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3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4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5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6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1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34.xml" ContentType="application/vnd.openxmlformats-officedocument.drawingml.chartshape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35.xml" ContentType="application/vnd.openxmlformats-officedocument.drawingml.chartshape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40.xml" ContentType="application/vnd.openxmlformats-officedocument.drawingml.chartshape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41.xml" ContentType="application/vnd.openxmlformats-officedocument.drawingml.chartshape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46.xml" ContentType="application/vnd.openxmlformats-officedocument.drawingml.chartshapes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47.xml" ContentType="application/vnd.openxmlformats-officedocument.drawingml.chartshapes+xml"/>
  <Override PartName="/xl/drawings/drawing48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49.xml" ContentType="application/vnd.openxmlformats-officedocument.drawingml.chartshapes+xml"/>
  <Override PartName="/xl/drawings/drawing50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51.xml" ContentType="application/vnd.openxmlformats-officedocument.drawingml.chartshapes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52.xml" ContentType="application/vnd.openxmlformats-officedocument.drawingml.chartshapes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53.xml" ContentType="application/vnd.openxmlformats-officedocument.drawingml.chartshapes+xml"/>
  <Override PartName="/xl/drawings/drawing54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55.xml" ContentType="application/vnd.openxmlformats-officedocument.drawingml.chartshapes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56.xml" ContentType="application/vnd.openxmlformats-officedocument.drawingml.chartshapes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57.xml" ContentType="application/vnd.openxmlformats-officedocument.drawingml.chartshapes+xml"/>
  <Override PartName="/xl/drawings/drawing58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59.xml" ContentType="application/vnd.openxmlformats-officedocument.drawingml.chartshapes+xml"/>
  <Override PartName="/xl/drawings/drawing60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61.xml" ContentType="application/vnd.openxmlformats-officedocument.drawingml.chartshapes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62.xml" ContentType="application/vnd.openxmlformats-officedocument.drawingml.chartshapes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63.xml" ContentType="application/vnd.openxmlformats-officedocument.drawingml.chartshapes+xml"/>
  <Override PartName="/xl/drawings/drawing64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65.xml" ContentType="application/vnd.openxmlformats-officedocument.drawingml.chartshapes+xml"/>
  <Override PartName="/xl/drawings/drawing66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67.xml" ContentType="application/vnd.openxmlformats-officedocument.drawingml.chartshapes+xml"/>
  <Override PartName="/xl/drawings/drawing68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69.xml" ContentType="application/vnd.openxmlformats-officedocument.drawingml.chartshapes+xml"/>
  <Override PartName="/xl/drawings/drawing70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71.xml" ContentType="application/vnd.openxmlformats-officedocument.drawingml.chartshapes+xml"/>
  <Override PartName="/xl/drawings/drawing72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73.xml" ContentType="application/vnd.openxmlformats-officedocument.drawingml.chartshapes+xml"/>
  <Override PartName="/xl/drawings/drawing74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75.xml" ContentType="application/vnd.openxmlformats-officedocument.drawingml.chartshapes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76.xml" ContentType="application/vnd.openxmlformats-officedocument.drawingml.chartshapes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77.xml" ContentType="application/vnd.openxmlformats-officedocument.drawingml.chartshapes+xml"/>
  <Override PartName="/xl/drawings/drawing78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79.xml" ContentType="application/vnd.openxmlformats-officedocument.drawingml.chartshapes+xml"/>
  <Override PartName="/xl/drawings/drawing80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81.xml" ContentType="application/vnd.openxmlformats-officedocument.drawingml.chartshapes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82.xml" ContentType="application/vnd.openxmlformats-officedocument.drawingml.chartshapes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83.xml" ContentType="application/vnd.openxmlformats-officedocument.drawingml.chartshapes+xml"/>
  <Override PartName="/xl/drawings/drawing84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85.xml" ContentType="application/vnd.openxmlformats-officedocument.drawingml.chartshapes+xml"/>
  <Override PartName="/xl/drawings/drawing86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87.xml" ContentType="application/vnd.openxmlformats-officedocument.drawingml.chartshapes+xml"/>
  <Override PartName="/xl/drawings/drawing88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89.xml" ContentType="application/vnd.openxmlformats-officedocument.drawingml.chartshapes+xml"/>
  <Override PartName="/xl/drawings/drawing90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91.xml" ContentType="application/vnd.openxmlformats-officedocument.drawingml.chartshapes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92.xml" ContentType="application/vnd.openxmlformats-officedocument.drawingml.chartshapes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93.xml" ContentType="application/vnd.openxmlformats-officedocument.drawingml.chartshapes+xml"/>
  <Override PartName="/xl/drawings/drawing94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95.xml" ContentType="application/vnd.openxmlformats-officedocument.drawingml.chartshapes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96.xml" ContentType="application/vnd.openxmlformats-officedocument.drawingml.chartshapes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97.xml" ContentType="application/vnd.openxmlformats-officedocument.drawingml.chartshapes+xml"/>
  <Override PartName="/xl/drawings/drawing98.xml" ContentType="application/vnd.openxmlformats-officedocument.drawing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99.xml" ContentType="application/vnd.openxmlformats-officedocument.drawingml.chartshapes+xml"/>
  <Override PartName="/xl/drawings/drawing100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101.xml" ContentType="application/vnd.openxmlformats-officedocument.drawingml.chartshapes+xml"/>
  <Override PartName="/xl/drawings/drawing102.xml" ContentType="application/vnd.openxmlformats-officedocument.drawing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103.xml" ContentType="application/vnd.openxmlformats-officedocument.drawingml.chartshapes+xml"/>
  <Override PartName="/xl/drawings/drawing104.xml" ContentType="application/vnd.openxmlformats-officedocument.drawing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105.xml" ContentType="application/vnd.openxmlformats-officedocument.drawingml.chartshapes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106.xml" ContentType="application/vnd.openxmlformats-officedocument.drawingml.chartshapes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drawings/drawing107.xml" ContentType="application/vnd.openxmlformats-officedocument.drawingml.chartshapes+xml"/>
  <Override PartName="/xl/drawings/drawing108.xml" ContentType="application/vnd.openxmlformats-officedocument.drawing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109.xml" ContentType="application/vnd.openxmlformats-officedocument.drawingml.chartshapes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drawings/drawing110.xml" ContentType="application/vnd.openxmlformats-officedocument.drawingml.chartshapes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111.xml" ContentType="application/vnd.openxmlformats-officedocument.drawingml.chartshapes+xml"/>
  <Override PartName="/xl/drawings/drawing112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drawings/drawing113.xml" ContentType="application/vnd.openxmlformats-officedocument.drawingml.chartshapes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114.xml" ContentType="application/vnd.openxmlformats-officedocument.drawingml.chartshapes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115.xml" ContentType="application/vnd.openxmlformats-officedocument.drawingml.chartshapes+xml"/>
  <Override PartName="/xl/drawings/drawing116.xml" ContentType="application/vnd.openxmlformats-officedocument.drawing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drawings/drawing117.xml" ContentType="application/vnd.openxmlformats-officedocument.drawingml.chartshapes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drawings/drawing118.xml" ContentType="application/vnd.openxmlformats-officedocument.drawingml.chartshapes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drawings/drawing119.xml" ContentType="application/vnd.openxmlformats-officedocument.drawingml.chartshapes+xml"/>
  <Override PartName="/xl/drawings/drawing120.xml" ContentType="application/vnd.openxmlformats-officedocument.drawing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drawings/drawing121.xml" ContentType="application/vnd.openxmlformats-officedocument.drawingml.chartshapes+xml"/>
  <Override PartName="/xl/drawings/drawing122.xml" ContentType="application/vnd.openxmlformats-officedocument.drawing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123.xml" ContentType="application/vnd.openxmlformats-officedocument.drawingml.chartshapes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drawings/drawing124.xml" ContentType="application/vnd.openxmlformats-officedocument.drawingml.chartshapes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drawings/drawing125.xml" ContentType="application/vnd.openxmlformats-officedocument.drawingml.chartshapes+xml"/>
  <Override PartName="/xl/drawings/drawing126.xml" ContentType="application/vnd.openxmlformats-officedocument.drawing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drawings/drawing127.xml" ContentType="application/vnd.openxmlformats-officedocument.drawingml.chartshapes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drawings/drawing128.xml" ContentType="application/vnd.openxmlformats-officedocument.drawingml.chartshapes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drawings/drawing129.xml" ContentType="application/vnd.openxmlformats-officedocument.drawingml.chartshapes+xml"/>
  <Override PartName="/xl/drawings/drawing130.xml" ContentType="application/vnd.openxmlformats-officedocument.drawing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drawings/drawing131.xml" ContentType="application/vnd.openxmlformats-officedocument.drawingml.chartshapes+xml"/>
  <Override PartName="/xl/drawings/drawing132.xml" ContentType="application/vnd.openxmlformats-officedocument.drawing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drawings/drawing133.xml" ContentType="application/vnd.openxmlformats-officedocument.drawingml.chartshapes+xml"/>
  <Override PartName="/xl/drawings/drawing134.xml" ContentType="application/vnd.openxmlformats-officedocument.drawing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drawings/drawing135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"/>
    </mc:Choice>
  </mc:AlternateContent>
  <xr:revisionPtr revIDLastSave="0" documentId="13_ncr:1_{BF6091C7-B50B-5544-9F13-0BB73FBB5803}" xr6:coauthVersionLast="47" xr6:coauthVersionMax="47" xr10:uidLastSave="{00000000-0000-0000-0000-000000000000}"/>
  <bookViews>
    <workbookView xWindow="3360" yWindow="-20980" windowWidth="35040" windowHeight="20340" activeTab="3" xr2:uid="{77F0E022-06CF-FA40-8AE3-345DFC46A4D0}"/>
  </bookViews>
  <sheets>
    <sheet name="Project Coverage --&gt;" sheetId="38" r:id="rId1"/>
    <sheet name="District Coverage by State" sheetId="37" r:id="rId2"/>
    <sheet name="Contribution Sum by State --&gt;" sheetId="32" r:id="rId3"/>
    <sheet name="Summary" sheetId="36" r:id="rId4"/>
    <sheet name="Teachers' Union Strength" sheetId="34" r:id="rId5"/>
    <sheet name="Employment Type" sheetId="35" r:id="rId6"/>
    <sheet name="State-by-State Results --&gt;" sheetId="1" r:id="rId7"/>
    <sheet name="Northeast --&gt;" sheetId="16" r:id="rId8"/>
    <sheet name="Connecticut" sheetId="12" r:id="rId9"/>
    <sheet name="Delaware" sheetId="57" r:id="rId10"/>
    <sheet name="Maine" sheetId="47" r:id="rId11"/>
    <sheet name="Maryland" sheetId="55" r:id="rId12"/>
    <sheet name="Massachusetts" sheetId="25" r:id="rId13"/>
    <sheet name="New Hampshire" sheetId="49" r:id="rId14"/>
    <sheet name="New Jersey" sheetId="7" r:id="rId15"/>
    <sheet name="New York" sheetId="52" r:id="rId16"/>
    <sheet name="Rhode Island" sheetId="46" r:id="rId17"/>
    <sheet name="Vermont" sheetId="45" r:id="rId18"/>
    <sheet name="Midwest --&gt;" sheetId="17" r:id="rId19"/>
    <sheet name="Illinois" sheetId="4" r:id="rId20"/>
    <sheet name="Indiana" sheetId="50" r:id="rId21"/>
    <sheet name="Iowa" sheetId="41" r:id="rId22"/>
    <sheet name="Kansas" sheetId="40" r:id="rId23"/>
    <sheet name="Michigan" sheetId="5" r:id="rId24"/>
    <sheet name="Minnesota" sheetId="28" r:id="rId25"/>
    <sheet name="Missouri" sheetId="63" r:id="rId26"/>
    <sheet name="Nebraska" sheetId="13" r:id="rId27"/>
    <sheet name="North Dakota" sheetId="43" r:id="rId28"/>
    <sheet name="Ohio" sheetId="62" r:id="rId29"/>
    <sheet name="South Dakota" sheetId="53" r:id="rId30"/>
    <sheet name="Wisconsin" sheetId="54" r:id="rId31"/>
    <sheet name="Southeast --&gt;" sheetId="18" r:id="rId32"/>
    <sheet name="Alabama" sheetId="11" r:id="rId33"/>
    <sheet name="Arkansas" sheetId="8" r:id="rId34"/>
    <sheet name="DC" sheetId="58" r:id="rId35"/>
    <sheet name="Florida" sheetId="22" r:id="rId36"/>
    <sheet name="Georgia" sheetId="24" r:id="rId37"/>
    <sheet name="Kentucky" sheetId="6" r:id="rId38"/>
    <sheet name="Louisiana" sheetId="44" r:id="rId39"/>
    <sheet name="Mississippi" sheetId="61" r:id="rId40"/>
    <sheet name="North Carolina" sheetId="59" r:id="rId41"/>
    <sheet name="Tennessee" sheetId="56" r:id="rId42"/>
    <sheet name="Virginia" sheetId="20" r:id="rId43"/>
    <sheet name="West Virginia" sheetId="15" r:id="rId44"/>
    <sheet name="Southwest --&gt;" sheetId="26" r:id="rId45"/>
    <sheet name="Arizona" sheetId="29" r:id="rId46"/>
    <sheet name="New Mexico" sheetId="9" r:id="rId47"/>
    <sheet name="Oklahoma" sheetId="14" r:id="rId48"/>
    <sheet name="Texas" sheetId="27" r:id="rId49"/>
    <sheet name="West --&gt;" sheetId="19" r:id="rId50"/>
    <sheet name="Alaska" sheetId="10" r:id="rId51"/>
    <sheet name="California" sheetId="21" r:id="rId52"/>
    <sheet name="Hawaii" sheetId="30" r:id="rId53"/>
    <sheet name="Idaho" sheetId="48" r:id="rId54"/>
    <sheet name="Montana" sheetId="31" r:id="rId55"/>
    <sheet name="Nevada" sheetId="42" r:id="rId56"/>
    <sheet name="Oregon" sheetId="60" r:id="rId57"/>
    <sheet name="Utah" sheetId="64" r:id="rId58"/>
    <sheet name="Wyoming" sheetId="39" r:id="rId59"/>
  </sheets>
  <definedNames>
    <definedName name="_xlnm._FilterDatabase" localSheetId="1" hidden="1">'District Coverage by State'!$B$2:$E$2</definedName>
    <definedName name="_xlnm._FilterDatabase" localSheetId="3" hidden="1">Summary!$B$2:$G$2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64" l="1"/>
  <c r="C24" i="64"/>
  <c r="D23" i="64"/>
  <c r="C23" i="64"/>
  <c r="D22" i="64"/>
  <c r="C22" i="64"/>
  <c r="D21" i="64"/>
  <c r="C21" i="64"/>
  <c r="D20" i="64"/>
  <c r="C20" i="64"/>
  <c r="D19" i="64"/>
  <c r="C19" i="64"/>
  <c r="D18" i="64"/>
  <c r="C18" i="64"/>
  <c r="D17" i="64"/>
  <c r="C17" i="64"/>
  <c r="D15" i="64"/>
  <c r="C15" i="64"/>
  <c r="D13" i="64"/>
  <c r="C13" i="64"/>
  <c r="F44" i="36"/>
  <c r="G44" i="36"/>
  <c r="E44" i="37"/>
  <c r="D24" i="63"/>
  <c r="C24" i="63"/>
  <c r="D23" i="63"/>
  <c r="C23" i="63"/>
  <c r="D22" i="63"/>
  <c r="C22" i="63"/>
  <c r="D21" i="63"/>
  <c r="C21" i="63"/>
  <c r="D20" i="63"/>
  <c r="C20" i="63"/>
  <c r="D19" i="63"/>
  <c r="C19" i="63"/>
  <c r="D18" i="63"/>
  <c r="C18" i="63"/>
  <c r="D17" i="63"/>
  <c r="C17" i="63"/>
  <c r="D13" i="63"/>
  <c r="C13" i="63"/>
  <c r="F27" i="36"/>
  <c r="G27" i="36"/>
  <c r="E26" i="37"/>
  <c r="L24" i="42"/>
  <c r="K24" i="42"/>
  <c r="H24" i="42"/>
  <c r="G24" i="42"/>
  <c r="D24" i="42"/>
  <c r="C24" i="42"/>
  <c r="L23" i="42"/>
  <c r="K23" i="42"/>
  <c r="H23" i="42"/>
  <c r="G23" i="42"/>
  <c r="D23" i="42"/>
  <c r="C23" i="42"/>
  <c r="L22" i="42"/>
  <c r="K22" i="42"/>
  <c r="H22" i="42"/>
  <c r="G22" i="42"/>
  <c r="D22" i="42"/>
  <c r="C22" i="42"/>
  <c r="L21" i="42"/>
  <c r="K21" i="42"/>
  <c r="H21" i="42"/>
  <c r="G21" i="42"/>
  <c r="D21" i="42"/>
  <c r="C21" i="42"/>
  <c r="L20" i="42"/>
  <c r="K20" i="42"/>
  <c r="H20" i="42"/>
  <c r="G20" i="42"/>
  <c r="D20" i="42"/>
  <c r="C20" i="42"/>
  <c r="L19" i="42"/>
  <c r="K19" i="42"/>
  <c r="H19" i="42"/>
  <c r="G19" i="42"/>
  <c r="D19" i="42"/>
  <c r="C19" i="42"/>
  <c r="L18" i="42"/>
  <c r="K18" i="42"/>
  <c r="H18" i="42"/>
  <c r="G18" i="42"/>
  <c r="D18" i="42"/>
  <c r="C18" i="42"/>
  <c r="L17" i="42"/>
  <c r="K17" i="42"/>
  <c r="H17" i="42"/>
  <c r="G17" i="42"/>
  <c r="D17" i="42"/>
  <c r="C17" i="42"/>
  <c r="L13" i="42"/>
  <c r="K13" i="42"/>
  <c r="H13" i="42"/>
  <c r="G13" i="42"/>
  <c r="D13" i="42"/>
  <c r="C13" i="42"/>
  <c r="L24" i="47"/>
  <c r="K24" i="47"/>
  <c r="H24" i="47"/>
  <c r="G24" i="47"/>
  <c r="D24" i="47"/>
  <c r="C24" i="47"/>
  <c r="L23" i="47"/>
  <c r="K23" i="47"/>
  <c r="H23" i="47"/>
  <c r="G23" i="47"/>
  <c r="D23" i="47"/>
  <c r="C23" i="47"/>
  <c r="L22" i="47"/>
  <c r="K22" i="47"/>
  <c r="H22" i="47"/>
  <c r="G22" i="47"/>
  <c r="D22" i="47"/>
  <c r="C22" i="47"/>
  <c r="L21" i="47"/>
  <c r="K21" i="47"/>
  <c r="H21" i="47"/>
  <c r="G21" i="47"/>
  <c r="D21" i="47"/>
  <c r="C21" i="47"/>
  <c r="L20" i="47"/>
  <c r="K20" i="47"/>
  <c r="H20" i="47"/>
  <c r="G20" i="47"/>
  <c r="D20" i="47"/>
  <c r="C20" i="47"/>
  <c r="L19" i="47"/>
  <c r="K19" i="47"/>
  <c r="H19" i="47"/>
  <c r="G19" i="47"/>
  <c r="D19" i="47"/>
  <c r="C19" i="47"/>
  <c r="L18" i="47"/>
  <c r="K18" i="47"/>
  <c r="H18" i="47"/>
  <c r="G18" i="47"/>
  <c r="D18" i="47"/>
  <c r="C18" i="47"/>
  <c r="L17" i="47"/>
  <c r="K17" i="47"/>
  <c r="H17" i="47"/>
  <c r="G17" i="47"/>
  <c r="D17" i="47"/>
  <c r="C17" i="47"/>
  <c r="L13" i="47"/>
  <c r="K13" i="47"/>
  <c r="H13" i="47"/>
  <c r="G13" i="47"/>
  <c r="D13" i="47"/>
  <c r="C13" i="47"/>
  <c r="D24" i="62"/>
  <c r="C24" i="62"/>
  <c r="D23" i="62"/>
  <c r="C23" i="62"/>
  <c r="D22" i="62"/>
  <c r="C22" i="62"/>
  <c r="D21" i="62"/>
  <c r="C21" i="62"/>
  <c r="D20" i="62"/>
  <c r="C20" i="62"/>
  <c r="D19" i="62"/>
  <c r="C19" i="62"/>
  <c r="D18" i="62"/>
  <c r="C18" i="62"/>
  <c r="D17" i="62"/>
  <c r="C17" i="62"/>
  <c r="D13" i="62"/>
  <c r="C13" i="62"/>
  <c r="F38" i="36"/>
  <c r="G38" i="36"/>
  <c r="F39" i="36"/>
  <c r="G39" i="36"/>
  <c r="E37" i="37"/>
  <c r="D24" i="61"/>
  <c r="C24" i="61"/>
  <c r="D23" i="61"/>
  <c r="C23" i="61"/>
  <c r="D22" i="61"/>
  <c r="C22" i="61"/>
  <c r="D21" i="61"/>
  <c r="C21" i="61"/>
  <c r="D20" i="61"/>
  <c r="C20" i="61"/>
  <c r="D19" i="61"/>
  <c r="C19" i="61"/>
  <c r="D18" i="61"/>
  <c r="C18" i="61"/>
  <c r="D17" i="61"/>
  <c r="C17" i="61"/>
  <c r="D13" i="61"/>
  <c r="C13" i="61"/>
  <c r="F26" i="36"/>
  <c r="G26" i="36"/>
  <c r="E25" i="37"/>
  <c r="F47" i="36"/>
  <c r="G47" i="36"/>
  <c r="E47" i="37"/>
  <c r="D24" i="60" l="1"/>
  <c r="C24" i="60"/>
  <c r="D23" i="60"/>
  <c r="C23" i="60"/>
  <c r="D22" i="60"/>
  <c r="C22" i="60"/>
  <c r="D21" i="60"/>
  <c r="C21" i="60"/>
  <c r="D20" i="60"/>
  <c r="C20" i="60"/>
  <c r="D19" i="60"/>
  <c r="C19" i="60"/>
  <c r="D18" i="60"/>
  <c r="C18" i="60"/>
  <c r="D17" i="60"/>
  <c r="C17" i="60"/>
  <c r="D15" i="60"/>
  <c r="C15" i="60"/>
  <c r="D13" i="60"/>
  <c r="C13" i="60"/>
  <c r="F40" i="36"/>
  <c r="G40" i="36"/>
  <c r="F41" i="36"/>
  <c r="G41" i="36"/>
  <c r="E39" i="37"/>
  <c r="F35" i="36" l="1"/>
  <c r="G35" i="36"/>
  <c r="F36" i="36"/>
  <c r="G36" i="36"/>
  <c r="F37" i="36"/>
  <c r="G37" i="36"/>
  <c r="D24" i="59"/>
  <c r="C24" i="59"/>
  <c r="D23" i="59"/>
  <c r="C23" i="59"/>
  <c r="D22" i="59"/>
  <c r="C22" i="59"/>
  <c r="D21" i="59"/>
  <c r="C21" i="59"/>
  <c r="D20" i="59"/>
  <c r="C20" i="59"/>
  <c r="D19" i="59"/>
  <c r="C19" i="59"/>
  <c r="D18" i="59"/>
  <c r="C18" i="59"/>
  <c r="D17" i="59"/>
  <c r="C17" i="59"/>
  <c r="D13" i="59"/>
  <c r="C13" i="59"/>
  <c r="E35" i="37"/>
  <c r="G4" i="36" l="1"/>
  <c r="G6" i="36"/>
  <c r="G5" i="36"/>
  <c r="G7" i="36"/>
  <c r="G8" i="36"/>
  <c r="G10" i="36"/>
  <c r="G9" i="36"/>
  <c r="G11" i="36"/>
  <c r="G12" i="36"/>
  <c r="G13" i="36"/>
  <c r="G14" i="36"/>
  <c r="G15" i="36"/>
  <c r="G16" i="36"/>
  <c r="G17" i="36"/>
  <c r="G18" i="36"/>
  <c r="G19" i="36"/>
  <c r="G20" i="36"/>
  <c r="G21" i="36"/>
  <c r="G23" i="36"/>
  <c r="G24" i="36"/>
  <c r="G25" i="36"/>
  <c r="G28" i="36"/>
  <c r="G22" i="36"/>
  <c r="G29" i="36"/>
  <c r="G30" i="36"/>
  <c r="G31" i="36"/>
  <c r="G32" i="36"/>
  <c r="G33" i="36"/>
  <c r="G34" i="36"/>
  <c r="G43" i="36"/>
  <c r="G42" i="36"/>
  <c r="G45" i="36"/>
  <c r="G46" i="36"/>
  <c r="G48" i="36"/>
  <c r="G49" i="36"/>
  <c r="G50" i="36"/>
  <c r="G3" i="36"/>
  <c r="F9" i="36"/>
  <c r="F11" i="36"/>
  <c r="F12" i="36"/>
  <c r="F13" i="36"/>
  <c r="F14" i="36"/>
  <c r="F15" i="36"/>
  <c r="F16" i="36"/>
  <c r="F17" i="36"/>
  <c r="F18" i="36"/>
  <c r="F19" i="36"/>
  <c r="F20" i="36"/>
  <c r="F21" i="36"/>
  <c r="F23" i="36"/>
  <c r="F24" i="36"/>
  <c r="F25" i="36"/>
  <c r="F28" i="36"/>
  <c r="F22" i="36"/>
  <c r="F29" i="36"/>
  <c r="F30" i="36"/>
  <c r="F31" i="36"/>
  <c r="F32" i="36"/>
  <c r="F33" i="36"/>
  <c r="F34" i="36"/>
  <c r="F43" i="36"/>
  <c r="F42" i="36"/>
  <c r="F45" i="36"/>
  <c r="F46" i="36"/>
  <c r="F48" i="36"/>
  <c r="F49" i="36"/>
  <c r="F50" i="36"/>
  <c r="F3" i="36"/>
  <c r="F4" i="36"/>
  <c r="F6" i="36"/>
  <c r="F5" i="36"/>
  <c r="F7" i="36"/>
  <c r="F8" i="36"/>
  <c r="D24" i="58"/>
  <c r="C24" i="58"/>
  <c r="D23" i="58"/>
  <c r="C23" i="58"/>
  <c r="D22" i="58"/>
  <c r="C22" i="58"/>
  <c r="D21" i="58"/>
  <c r="C21" i="58"/>
  <c r="D20" i="58"/>
  <c r="C20" i="58"/>
  <c r="D19" i="58"/>
  <c r="C19" i="58"/>
  <c r="D18" i="58"/>
  <c r="C18" i="58"/>
  <c r="D17" i="58"/>
  <c r="C17" i="58"/>
  <c r="D15" i="58"/>
  <c r="C15" i="58"/>
  <c r="D13" i="58"/>
  <c r="C13" i="58"/>
  <c r="E9" i="37"/>
  <c r="E10" i="37"/>
  <c r="L24" i="57"/>
  <c r="K24" i="57"/>
  <c r="H24" i="57"/>
  <c r="G24" i="57"/>
  <c r="D24" i="57"/>
  <c r="C24" i="57"/>
  <c r="L23" i="57"/>
  <c r="K23" i="57"/>
  <c r="H23" i="57"/>
  <c r="G23" i="57"/>
  <c r="D23" i="57"/>
  <c r="C23" i="57"/>
  <c r="L22" i="57"/>
  <c r="K22" i="57"/>
  <c r="H22" i="57"/>
  <c r="G22" i="57"/>
  <c r="D22" i="57"/>
  <c r="C22" i="57"/>
  <c r="L21" i="57"/>
  <c r="K21" i="57"/>
  <c r="H21" i="57"/>
  <c r="G21" i="57"/>
  <c r="D21" i="57"/>
  <c r="C21" i="57"/>
  <c r="L20" i="57"/>
  <c r="K20" i="57"/>
  <c r="H20" i="57"/>
  <c r="G20" i="57"/>
  <c r="D20" i="57"/>
  <c r="C20" i="57"/>
  <c r="L19" i="57"/>
  <c r="K19" i="57"/>
  <c r="H19" i="57"/>
  <c r="G19" i="57"/>
  <c r="D19" i="57"/>
  <c r="C19" i="57"/>
  <c r="L18" i="57"/>
  <c r="K18" i="57"/>
  <c r="H18" i="57"/>
  <c r="G18" i="57"/>
  <c r="D18" i="57"/>
  <c r="C18" i="57"/>
  <c r="L17" i="57"/>
  <c r="K17" i="57"/>
  <c r="H17" i="57"/>
  <c r="G17" i="57"/>
  <c r="D17" i="57"/>
  <c r="C17" i="57"/>
  <c r="L13" i="57"/>
  <c r="K13" i="57"/>
  <c r="H13" i="57"/>
  <c r="G13" i="57"/>
  <c r="D13" i="57"/>
  <c r="C13" i="57"/>
  <c r="D24" i="56"/>
  <c r="C24" i="56"/>
  <c r="D23" i="56"/>
  <c r="C23" i="56"/>
  <c r="D22" i="56"/>
  <c r="C22" i="56"/>
  <c r="D21" i="56"/>
  <c r="C21" i="56"/>
  <c r="D20" i="56"/>
  <c r="C20" i="56"/>
  <c r="D19" i="56"/>
  <c r="C19" i="56"/>
  <c r="D18" i="56"/>
  <c r="C18" i="56"/>
  <c r="D17" i="56"/>
  <c r="C17" i="56"/>
  <c r="D13" i="56"/>
  <c r="C13" i="56"/>
  <c r="E43" i="37"/>
  <c r="L24" i="55" l="1"/>
  <c r="K24" i="55"/>
  <c r="H24" i="55"/>
  <c r="G24" i="55"/>
  <c r="D24" i="55"/>
  <c r="C24" i="55"/>
  <c r="L23" i="55"/>
  <c r="K23" i="55"/>
  <c r="H23" i="55"/>
  <c r="G23" i="55"/>
  <c r="D23" i="55"/>
  <c r="C23" i="55"/>
  <c r="L22" i="55"/>
  <c r="K22" i="55"/>
  <c r="H22" i="55"/>
  <c r="G22" i="55"/>
  <c r="D22" i="55"/>
  <c r="C22" i="55"/>
  <c r="L21" i="55"/>
  <c r="K21" i="55"/>
  <c r="H21" i="55"/>
  <c r="G21" i="55"/>
  <c r="D21" i="55"/>
  <c r="C21" i="55"/>
  <c r="L20" i="55"/>
  <c r="K20" i="55"/>
  <c r="H20" i="55"/>
  <c r="G20" i="55"/>
  <c r="D20" i="55"/>
  <c r="C20" i="55"/>
  <c r="L19" i="55"/>
  <c r="K19" i="55"/>
  <c r="H19" i="55"/>
  <c r="G19" i="55"/>
  <c r="D19" i="55"/>
  <c r="C19" i="55"/>
  <c r="L18" i="55"/>
  <c r="K18" i="55"/>
  <c r="H18" i="55"/>
  <c r="G18" i="55"/>
  <c r="D18" i="55"/>
  <c r="C18" i="55"/>
  <c r="L17" i="55"/>
  <c r="K17" i="55"/>
  <c r="H17" i="55"/>
  <c r="G17" i="55"/>
  <c r="D17" i="55"/>
  <c r="C17" i="55"/>
  <c r="L13" i="55"/>
  <c r="K13" i="55"/>
  <c r="H13" i="55"/>
  <c r="G13" i="55"/>
  <c r="D13" i="55"/>
  <c r="C13" i="55"/>
  <c r="E28" i="37"/>
  <c r="D24" i="54" l="1"/>
  <c r="C24" i="54"/>
  <c r="D23" i="54"/>
  <c r="C23" i="54"/>
  <c r="D22" i="54"/>
  <c r="C22" i="54"/>
  <c r="D21" i="54"/>
  <c r="C21" i="54"/>
  <c r="D20" i="54"/>
  <c r="C20" i="54"/>
  <c r="D19" i="54"/>
  <c r="C19" i="54"/>
  <c r="D18" i="54"/>
  <c r="C18" i="54"/>
  <c r="D17" i="54"/>
  <c r="C17" i="54"/>
  <c r="D13" i="54"/>
  <c r="C13" i="54"/>
  <c r="E49" i="37"/>
  <c r="L24" i="53"/>
  <c r="K24" i="53"/>
  <c r="H24" i="53"/>
  <c r="G24" i="53"/>
  <c r="D24" i="53"/>
  <c r="C24" i="53"/>
  <c r="L23" i="53"/>
  <c r="K23" i="53"/>
  <c r="H23" i="53"/>
  <c r="G23" i="53"/>
  <c r="D23" i="53"/>
  <c r="C23" i="53"/>
  <c r="L22" i="53"/>
  <c r="K22" i="53"/>
  <c r="H22" i="53"/>
  <c r="G22" i="53"/>
  <c r="D22" i="53"/>
  <c r="C22" i="53"/>
  <c r="L21" i="53"/>
  <c r="K21" i="53"/>
  <c r="H21" i="53"/>
  <c r="G21" i="53"/>
  <c r="D21" i="53"/>
  <c r="C21" i="53"/>
  <c r="L20" i="53"/>
  <c r="K20" i="53"/>
  <c r="H20" i="53"/>
  <c r="G20" i="53"/>
  <c r="D20" i="53"/>
  <c r="C20" i="53"/>
  <c r="L19" i="53"/>
  <c r="K19" i="53"/>
  <c r="H19" i="53"/>
  <c r="G19" i="53"/>
  <c r="D19" i="53"/>
  <c r="C19" i="53"/>
  <c r="L18" i="53"/>
  <c r="K18" i="53"/>
  <c r="H18" i="53"/>
  <c r="G18" i="53"/>
  <c r="D18" i="53"/>
  <c r="C18" i="53"/>
  <c r="L17" i="53"/>
  <c r="K17" i="53"/>
  <c r="H17" i="53"/>
  <c r="G17" i="53"/>
  <c r="D17" i="53"/>
  <c r="C17" i="53"/>
  <c r="L13" i="53"/>
  <c r="K13" i="53"/>
  <c r="H13" i="53"/>
  <c r="G13" i="53"/>
  <c r="D13" i="53"/>
  <c r="C13" i="53"/>
  <c r="E41" i="37"/>
  <c r="D24" i="52" l="1"/>
  <c r="C24" i="52"/>
  <c r="D23" i="52"/>
  <c r="C23" i="52"/>
  <c r="D22" i="52"/>
  <c r="C22" i="52"/>
  <c r="D21" i="52"/>
  <c r="C21" i="52"/>
  <c r="D20" i="52"/>
  <c r="C20" i="52"/>
  <c r="D19" i="52"/>
  <c r="C19" i="52"/>
  <c r="D18" i="52"/>
  <c r="C18" i="52"/>
  <c r="D17" i="52"/>
  <c r="C17" i="52"/>
  <c r="D15" i="52"/>
  <c r="C15" i="52"/>
  <c r="D13" i="52"/>
  <c r="C13" i="52"/>
  <c r="E34" i="37"/>
  <c r="H24" i="50"/>
  <c r="G24" i="50"/>
  <c r="H23" i="50"/>
  <c r="G23" i="50"/>
  <c r="H22" i="50"/>
  <c r="G22" i="50"/>
  <c r="H21" i="50"/>
  <c r="G21" i="50"/>
  <c r="H20" i="50"/>
  <c r="G20" i="50"/>
  <c r="H19" i="50"/>
  <c r="G19" i="50"/>
  <c r="H18" i="50"/>
  <c r="G18" i="50"/>
  <c r="H17" i="50"/>
  <c r="G17" i="50"/>
  <c r="L24" i="50"/>
  <c r="K24" i="50"/>
  <c r="D24" i="50"/>
  <c r="C24" i="50"/>
  <c r="L23" i="50"/>
  <c r="K23" i="50"/>
  <c r="D23" i="50"/>
  <c r="C23" i="50"/>
  <c r="L22" i="50"/>
  <c r="K22" i="50"/>
  <c r="D22" i="50"/>
  <c r="C22" i="50"/>
  <c r="L21" i="50"/>
  <c r="K21" i="50"/>
  <c r="D21" i="50"/>
  <c r="C21" i="50"/>
  <c r="L20" i="50"/>
  <c r="K20" i="50"/>
  <c r="D20" i="50"/>
  <c r="C20" i="50"/>
  <c r="L19" i="50"/>
  <c r="K19" i="50"/>
  <c r="D19" i="50"/>
  <c r="C19" i="50"/>
  <c r="L18" i="50"/>
  <c r="K18" i="50"/>
  <c r="D18" i="50"/>
  <c r="C18" i="50"/>
  <c r="L17" i="50"/>
  <c r="K17" i="50"/>
  <c r="D17" i="50"/>
  <c r="C17" i="50"/>
  <c r="L13" i="50"/>
  <c r="K13" i="50"/>
  <c r="H13" i="50"/>
  <c r="G13" i="50"/>
  <c r="D13" i="50"/>
  <c r="C13" i="50"/>
  <c r="E16" i="37"/>
  <c r="D24" i="49" l="1"/>
  <c r="C24" i="49"/>
  <c r="D23" i="49"/>
  <c r="C23" i="49"/>
  <c r="D22" i="49"/>
  <c r="C22" i="49"/>
  <c r="D21" i="49"/>
  <c r="C21" i="49"/>
  <c r="D20" i="49"/>
  <c r="C20" i="49"/>
  <c r="D19" i="49"/>
  <c r="C19" i="49"/>
  <c r="D18" i="49"/>
  <c r="C18" i="49"/>
  <c r="D17" i="49"/>
  <c r="C17" i="49"/>
  <c r="D15" i="49"/>
  <c r="C15" i="49"/>
  <c r="D13" i="49"/>
  <c r="C13" i="49"/>
  <c r="E31" i="37"/>
  <c r="D24" i="48"/>
  <c r="C24" i="48"/>
  <c r="D23" i="48"/>
  <c r="C23" i="48"/>
  <c r="D22" i="48"/>
  <c r="C22" i="48"/>
  <c r="D21" i="48"/>
  <c r="C21" i="48"/>
  <c r="D20" i="48"/>
  <c r="C20" i="48"/>
  <c r="D19" i="48"/>
  <c r="C19" i="48"/>
  <c r="D18" i="48"/>
  <c r="C18" i="48"/>
  <c r="D17" i="48"/>
  <c r="C17" i="48"/>
  <c r="D15" i="48"/>
  <c r="C15" i="48"/>
  <c r="D13" i="48"/>
  <c r="C13" i="48"/>
  <c r="E14" i="37"/>
  <c r="H24" i="46"/>
  <c r="G24" i="46"/>
  <c r="H23" i="46"/>
  <c r="G23" i="46"/>
  <c r="H22" i="46"/>
  <c r="G22" i="46"/>
  <c r="H21" i="46"/>
  <c r="G21" i="46"/>
  <c r="H20" i="46"/>
  <c r="G20" i="46"/>
  <c r="H19" i="46"/>
  <c r="G19" i="46"/>
  <c r="H18" i="46"/>
  <c r="G18" i="46"/>
  <c r="H17" i="46"/>
  <c r="G17" i="46"/>
  <c r="L24" i="46"/>
  <c r="K24" i="46"/>
  <c r="D24" i="46"/>
  <c r="C24" i="46"/>
  <c r="L23" i="46"/>
  <c r="K23" i="46"/>
  <c r="D23" i="46"/>
  <c r="C23" i="46"/>
  <c r="L22" i="46"/>
  <c r="K22" i="46"/>
  <c r="D22" i="46"/>
  <c r="C22" i="46"/>
  <c r="L21" i="46"/>
  <c r="K21" i="46"/>
  <c r="D21" i="46"/>
  <c r="C21" i="46"/>
  <c r="L20" i="46"/>
  <c r="K20" i="46"/>
  <c r="D20" i="46"/>
  <c r="C20" i="46"/>
  <c r="L19" i="46"/>
  <c r="K19" i="46"/>
  <c r="D19" i="46"/>
  <c r="C19" i="46"/>
  <c r="L18" i="46"/>
  <c r="K18" i="46"/>
  <c r="D18" i="46"/>
  <c r="C18" i="46"/>
  <c r="L17" i="46"/>
  <c r="K17" i="46"/>
  <c r="D17" i="46"/>
  <c r="C17" i="46"/>
  <c r="L13" i="46"/>
  <c r="K13" i="46"/>
  <c r="H13" i="46"/>
  <c r="G13" i="46"/>
  <c r="D13" i="46"/>
  <c r="C13" i="46"/>
  <c r="E40" i="37"/>
  <c r="E21" i="37"/>
  <c r="D24" i="45"/>
  <c r="C24" i="45"/>
  <c r="D23" i="45"/>
  <c r="C23" i="45"/>
  <c r="D22" i="45"/>
  <c r="C22" i="45"/>
  <c r="D21" i="45"/>
  <c r="C21" i="45"/>
  <c r="D20" i="45"/>
  <c r="C20" i="45"/>
  <c r="D19" i="45"/>
  <c r="C19" i="45"/>
  <c r="D18" i="45"/>
  <c r="C18" i="45"/>
  <c r="D17" i="45"/>
  <c r="C17" i="45"/>
  <c r="D15" i="45"/>
  <c r="C15" i="45"/>
  <c r="D13" i="45"/>
  <c r="C13" i="45"/>
  <c r="E45" i="37"/>
  <c r="L24" i="44"/>
  <c r="K24" i="44"/>
  <c r="H24" i="44"/>
  <c r="G24" i="44"/>
  <c r="D24" i="44"/>
  <c r="C24" i="44"/>
  <c r="L23" i="44"/>
  <c r="K23" i="44"/>
  <c r="H23" i="44"/>
  <c r="G23" i="44"/>
  <c r="D23" i="44"/>
  <c r="C23" i="44"/>
  <c r="L22" i="44"/>
  <c r="K22" i="44"/>
  <c r="H22" i="44"/>
  <c r="G22" i="44"/>
  <c r="D22" i="44"/>
  <c r="C22" i="44"/>
  <c r="L21" i="44"/>
  <c r="K21" i="44"/>
  <c r="H21" i="44"/>
  <c r="G21" i="44"/>
  <c r="D21" i="44"/>
  <c r="C21" i="44"/>
  <c r="L20" i="44"/>
  <c r="K20" i="44"/>
  <c r="H20" i="44"/>
  <c r="G20" i="44"/>
  <c r="D20" i="44"/>
  <c r="C20" i="44"/>
  <c r="L19" i="44"/>
  <c r="K19" i="44"/>
  <c r="H19" i="44"/>
  <c r="G19" i="44"/>
  <c r="D19" i="44"/>
  <c r="C19" i="44"/>
  <c r="L18" i="44"/>
  <c r="K18" i="44"/>
  <c r="H18" i="44"/>
  <c r="G18" i="44"/>
  <c r="D18" i="44"/>
  <c r="C18" i="44"/>
  <c r="L17" i="44"/>
  <c r="K17" i="44"/>
  <c r="H17" i="44"/>
  <c r="G17" i="44"/>
  <c r="D17" i="44"/>
  <c r="C17" i="44"/>
  <c r="L13" i="44"/>
  <c r="K13" i="44"/>
  <c r="H13" i="44"/>
  <c r="G13" i="44"/>
  <c r="D13" i="44"/>
  <c r="C13" i="44"/>
  <c r="H13" i="43"/>
  <c r="L24" i="43"/>
  <c r="K24" i="43"/>
  <c r="H24" i="43"/>
  <c r="G24" i="43"/>
  <c r="D24" i="43"/>
  <c r="C24" i="43"/>
  <c r="L23" i="43"/>
  <c r="K23" i="43"/>
  <c r="H23" i="43"/>
  <c r="G23" i="43"/>
  <c r="D23" i="43"/>
  <c r="C23" i="43"/>
  <c r="L22" i="43"/>
  <c r="K22" i="43"/>
  <c r="H22" i="43"/>
  <c r="G22" i="43"/>
  <c r="D22" i="43"/>
  <c r="C22" i="43"/>
  <c r="L21" i="43"/>
  <c r="K21" i="43"/>
  <c r="H21" i="43"/>
  <c r="G21" i="43"/>
  <c r="D21" i="43"/>
  <c r="C21" i="43"/>
  <c r="L20" i="43"/>
  <c r="K20" i="43"/>
  <c r="H20" i="43"/>
  <c r="G20" i="43"/>
  <c r="D20" i="43"/>
  <c r="C20" i="43"/>
  <c r="L19" i="43"/>
  <c r="K19" i="43"/>
  <c r="H19" i="43"/>
  <c r="G19" i="43"/>
  <c r="D19" i="43"/>
  <c r="C19" i="43"/>
  <c r="L18" i="43"/>
  <c r="K18" i="43"/>
  <c r="H18" i="43"/>
  <c r="G18" i="43"/>
  <c r="D18" i="43"/>
  <c r="C18" i="43"/>
  <c r="L17" i="43"/>
  <c r="K17" i="43"/>
  <c r="H17" i="43"/>
  <c r="G17" i="43"/>
  <c r="D17" i="43"/>
  <c r="C17" i="43"/>
  <c r="L13" i="43"/>
  <c r="K13" i="43"/>
  <c r="G13" i="43"/>
  <c r="D13" i="43"/>
  <c r="C13" i="43"/>
  <c r="C54" i="37"/>
  <c r="E36" i="37"/>
  <c r="E20" i="37"/>
  <c r="E30" i="37"/>
  <c r="D24" i="41"/>
  <c r="C24" i="41"/>
  <c r="D23" i="41"/>
  <c r="C23" i="41"/>
  <c r="D22" i="41"/>
  <c r="C22" i="41"/>
  <c r="D21" i="41"/>
  <c r="C21" i="41"/>
  <c r="D20" i="41"/>
  <c r="C20" i="41"/>
  <c r="D19" i="41"/>
  <c r="C19" i="41"/>
  <c r="D18" i="41"/>
  <c r="C18" i="41"/>
  <c r="D17" i="41"/>
  <c r="C17" i="41"/>
  <c r="D13" i="41"/>
  <c r="C13" i="41"/>
  <c r="L24" i="40"/>
  <c r="K24" i="40"/>
  <c r="H24" i="40"/>
  <c r="G24" i="40"/>
  <c r="D24" i="40"/>
  <c r="C24" i="40"/>
  <c r="L23" i="40"/>
  <c r="K23" i="40"/>
  <c r="H23" i="40"/>
  <c r="G23" i="40"/>
  <c r="D23" i="40"/>
  <c r="C23" i="40"/>
  <c r="L22" i="40"/>
  <c r="K22" i="40"/>
  <c r="H22" i="40"/>
  <c r="G22" i="40"/>
  <c r="D22" i="40"/>
  <c r="C22" i="40"/>
  <c r="L21" i="40"/>
  <c r="K21" i="40"/>
  <c r="H21" i="40"/>
  <c r="G21" i="40"/>
  <c r="D21" i="40"/>
  <c r="C21" i="40"/>
  <c r="L20" i="40"/>
  <c r="K20" i="40"/>
  <c r="H20" i="40"/>
  <c r="G20" i="40"/>
  <c r="D20" i="40"/>
  <c r="C20" i="40"/>
  <c r="L19" i="40"/>
  <c r="K19" i="40"/>
  <c r="H19" i="40"/>
  <c r="G19" i="40"/>
  <c r="D19" i="40"/>
  <c r="C19" i="40"/>
  <c r="L18" i="40"/>
  <c r="K18" i="40"/>
  <c r="H18" i="40"/>
  <c r="G18" i="40"/>
  <c r="D18" i="40"/>
  <c r="C18" i="40"/>
  <c r="L17" i="40"/>
  <c r="K17" i="40"/>
  <c r="H17" i="40"/>
  <c r="G17" i="40"/>
  <c r="D17" i="40"/>
  <c r="C17" i="40"/>
  <c r="L13" i="40"/>
  <c r="K13" i="40"/>
  <c r="H13" i="40"/>
  <c r="G13" i="40"/>
  <c r="D13" i="40"/>
  <c r="C13" i="40"/>
  <c r="D24" i="39" l="1"/>
  <c r="C24" i="39"/>
  <c r="D23" i="39"/>
  <c r="C23" i="39"/>
  <c r="D22" i="39"/>
  <c r="C22" i="39"/>
  <c r="D21" i="39"/>
  <c r="C21" i="39"/>
  <c r="D20" i="39"/>
  <c r="C20" i="39"/>
  <c r="D19" i="39"/>
  <c r="C19" i="39"/>
  <c r="D18" i="39"/>
  <c r="C18" i="39"/>
  <c r="D17" i="39"/>
  <c r="C17" i="39"/>
  <c r="D15" i="39"/>
  <c r="C15" i="39"/>
  <c r="D13" i="39"/>
  <c r="C13" i="39"/>
  <c r="D52" i="37"/>
  <c r="E50" i="37"/>
  <c r="E17" i="37" l="1"/>
  <c r="E18" i="37"/>
  <c r="E19" i="37"/>
  <c r="E22" i="37"/>
  <c r="E23" i="37"/>
  <c r="E24" i="37"/>
  <c r="E27" i="37"/>
  <c r="E29" i="37"/>
  <c r="E32" i="37"/>
  <c r="E33" i="37"/>
  <c r="E38" i="37"/>
  <c r="E42" i="37"/>
  <c r="E46" i="37"/>
  <c r="E48" i="37"/>
  <c r="C52" i="37"/>
  <c r="E3" i="37"/>
  <c r="E4" i="37"/>
  <c r="E5" i="37"/>
  <c r="E6" i="37"/>
  <c r="E7" i="37"/>
  <c r="E8" i="37"/>
  <c r="E11" i="37"/>
  <c r="E12" i="37"/>
  <c r="E13" i="37"/>
  <c r="E15" i="37"/>
  <c r="E52" i="37" l="1"/>
  <c r="D53" i="36"/>
  <c r="E53" i="36"/>
  <c r="D54" i="36"/>
  <c r="E54" i="36"/>
  <c r="D61" i="36"/>
  <c r="D62" i="36"/>
  <c r="D58" i="36" l="1"/>
  <c r="E57" i="36"/>
  <c r="D57" i="36"/>
  <c r="E58" i="36"/>
  <c r="L24" i="31"/>
  <c r="K24" i="31"/>
  <c r="H24" i="31"/>
  <c r="G24" i="31"/>
  <c r="D24" i="31"/>
  <c r="C24" i="31"/>
  <c r="L23" i="31"/>
  <c r="K23" i="31"/>
  <c r="H23" i="31"/>
  <c r="G23" i="31"/>
  <c r="D23" i="31"/>
  <c r="C23" i="31"/>
  <c r="L22" i="31"/>
  <c r="K22" i="31"/>
  <c r="H22" i="31"/>
  <c r="G22" i="31"/>
  <c r="D22" i="31"/>
  <c r="C22" i="31"/>
  <c r="L21" i="31"/>
  <c r="K21" i="31"/>
  <c r="H21" i="31"/>
  <c r="G21" i="31"/>
  <c r="D21" i="31"/>
  <c r="C21" i="31"/>
  <c r="L20" i="31"/>
  <c r="K20" i="31"/>
  <c r="H20" i="31"/>
  <c r="G20" i="31"/>
  <c r="D20" i="31"/>
  <c r="C20" i="31"/>
  <c r="L19" i="31"/>
  <c r="K19" i="31"/>
  <c r="H19" i="31"/>
  <c r="G19" i="31"/>
  <c r="D19" i="31"/>
  <c r="C19" i="31"/>
  <c r="L18" i="31"/>
  <c r="K18" i="31"/>
  <c r="H18" i="31"/>
  <c r="G18" i="31"/>
  <c r="D18" i="31"/>
  <c r="C18" i="31"/>
  <c r="L17" i="31"/>
  <c r="K17" i="31"/>
  <c r="H17" i="31"/>
  <c r="G17" i="31"/>
  <c r="D17" i="31"/>
  <c r="C17" i="31"/>
  <c r="L13" i="31"/>
  <c r="K13" i="31"/>
  <c r="H13" i="31"/>
  <c r="G13" i="31"/>
  <c r="D13" i="31"/>
  <c r="C13" i="31"/>
  <c r="L24" i="30" l="1"/>
  <c r="K24" i="30"/>
  <c r="H24" i="30"/>
  <c r="G24" i="30"/>
  <c r="D24" i="30"/>
  <c r="C24" i="30"/>
  <c r="L23" i="30"/>
  <c r="K23" i="30"/>
  <c r="H23" i="30"/>
  <c r="G23" i="30"/>
  <c r="D23" i="30"/>
  <c r="C23" i="30"/>
  <c r="L22" i="30"/>
  <c r="K22" i="30"/>
  <c r="H22" i="30"/>
  <c r="G22" i="30"/>
  <c r="D22" i="30"/>
  <c r="C22" i="30"/>
  <c r="L21" i="30"/>
  <c r="K21" i="30"/>
  <c r="H21" i="30"/>
  <c r="G21" i="30"/>
  <c r="D21" i="30"/>
  <c r="C21" i="30"/>
  <c r="L20" i="30"/>
  <c r="K20" i="30"/>
  <c r="H20" i="30"/>
  <c r="G20" i="30"/>
  <c r="D20" i="30"/>
  <c r="C20" i="30"/>
  <c r="L19" i="30"/>
  <c r="K19" i="30"/>
  <c r="H19" i="30"/>
  <c r="G19" i="30"/>
  <c r="D19" i="30"/>
  <c r="C19" i="30"/>
  <c r="L18" i="30"/>
  <c r="K18" i="30"/>
  <c r="H18" i="30"/>
  <c r="G18" i="30"/>
  <c r="D18" i="30"/>
  <c r="C18" i="30"/>
  <c r="L17" i="30"/>
  <c r="K17" i="30"/>
  <c r="H17" i="30"/>
  <c r="G17" i="30"/>
  <c r="D17" i="30"/>
  <c r="C17" i="30"/>
  <c r="L13" i="30"/>
  <c r="K13" i="30"/>
  <c r="H13" i="30"/>
  <c r="G13" i="30"/>
  <c r="D13" i="30"/>
  <c r="C13" i="30"/>
  <c r="D24" i="29"/>
  <c r="C24" i="29"/>
  <c r="D23" i="29"/>
  <c r="C23" i="29"/>
  <c r="D22" i="29"/>
  <c r="C22" i="29"/>
  <c r="D21" i="29"/>
  <c r="C21" i="29"/>
  <c r="D20" i="29"/>
  <c r="C20" i="29"/>
  <c r="D19" i="29"/>
  <c r="C19" i="29"/>
  <c r="D18" i="29"/>
  <c r="C18" i="29"/>
  <c r="D17" i="29"/>
  <c r="C17" i="29"/>
  <c r="D15" i="29"/>
  <c r="C15" i="29"/>
  <c r="D13" i="29"/>
  <c r="C13" i="29"/>
  <c r="H24" i="28" l="1"/>
  <c r="G24" i="28"/>
  <c r="H23" i="28"/>
  <c r="G23" i="28"/>
  <c r="H22" i="28"/>
  <c r="G22" i="28"/>
  <c r="H21" i="28"/>
  <c r="G21" i="28"/>
  <c r="H20" i="28"/>
  <c r="G20" i="28"/>
  <c r="H19" i="28"/>
  <c r="G19" i="28"/>
  <c r="H18" i="28"/>
  <c r="G18" i="28"/>
  <c r="H17" i="28"/>
  <c r="G17" i="28"/>
  <c r="L24" i="28"/>
  <c r="K24" i="28"/>
  <c r="D24" i="28"/>
  <c r="C24" i="28"/>
  <c r="L23" i="28"/>
  <c r="K23" i="28"/>
  <c r="D23" i="28"/>
  <c r="C23" i="28"/>
  <c r="L22" i="28"/>
  <c r="K22" i="28"/>
  <c r="D22" i="28"/>
  <c r="C22" i="28"/>
  <c r="L21" i="28"/>
  <c r="K21" i="28"/>
  <c r="D21" i="28"/>
  <c r="C21" i="28"/>
  <c r="L20" i="28"/>
  <c r="K20" i="28"/>
  <c r="D20" i="28"/>
  <c r="C20" i="28"/>
  <c r="L19" i="28"/>
  <c r="K19" i="28"/>
  <c r="D19" i="28"/>
  <c r="C19" i="28"/>
  <c r="L18" i="28"/>
  <c r="K18" i="28"/>
  <c r="D18" i="28"/>
  <c r="C18" i="28"/>
  <c r="L17" i="28"/>
  <c r="K17" i="28"/>
  <c r="D17" i="28"/>
  <c r="C17" i="28"/>
  <c r="L13" i="28"/>
  <c r="K13" i="28"/>
  <c r="H13" i="28"/>
  <c r="G13" i="28"/>
  <c r="D13" i="28"/>
  <c r="C13" i="28"/>
  <c r="L24" i="27" l="1"/>
  <c r="K24" i="27"/>
  <c r="H24" i="27"/>
  <c r="G24" i="27"/>
  <c r="D24" i="27"/>
  <c r="C24" i="27"/>
  <c r="L23" i="27"/>
  <c r="K23" i="27"/>
  <c r="H23" i="27"/>
  <c r="G23" i="27"/>
  <c r="D23" i="27"/>
  <c r="C23" i="27"/>
  <c r="L22" i="27"/>
  <c r="K22" i="27"/>
  <c r="H22" i="27"/>
  <c r="G22" i="27"/>
  <c r="D22" i="27"/>
  <c r="C22" i="27"/>
  <c r="L21" i="27"/>
  <c r="K21" i="27"/>
  <c r="H21" i="27"/>
  <c r="G21" i="27"/>
  <c r="D21" i="27"/>
  <c r="C21" i="27"/>
  <c r="L20" i="27"/>
  <c r="K20" i="27"/>
  <c r="H20" i="27"/>
  <c r="G20" i="27"/>
  <c r="D20" i="27"/>
  <c r="C20" i="27"/>
  <c r="L19" i="27"/>
  <c r="K19" i="27"/>
  <c r="H19" i="27"/>
  <c r="G19" i="27"/>
  <c r="D19" i="27"/>
  <c r="C19" i="27"/>
  <c r="L18" i="27"/>
  <c r="K18" i="27"/>
  <c r="H18" i="27"/>
  <c r="G18" i="27"/>
  <c r="D18" i="27"/>
  <c r="C18" i="27"/>
  <c r="L17" i="27"/>
  <c r="K17" i="27"/>
  <c r="H17" i="27"/>
  <c r="G17" i="27"/>
  <c r="D17" i="27"/>
  <c r="C17" i="27"/>
  <c r="L13" i="27"/>
  <c r="K13" i="27"/>
  <c r="H13" i="27"/>
  <c r="G13" i="27"/>
  <c r="D13" i="27"/>
  <c r="C13" i="27"/>
  <c r="D24" i="25" l="1"/>
  <c r="C24" i="25"/>
  <c r="D23" i="25"/>
  <c r="C23" i="25"/>
  <c r="D22" i="25"/>
  <c r="C22" i="25"/>
  <c r="D21" i="25"/>
  <c r="C21" i="25"/>
  <c r="D20" i="25"/>
  <c r="C20" i="25"/>
  <c r="D19" i="25"/>
  <c r="C19" i="25"/>
  <c r="D18" i="25"/>
  <c r="C18" i="25"/>
  <c r="D17" i="25"/>
  <c r="C17" i="25"/>
  <c r="D15" i="25"/>
  <c r="C15" i="25"/>
  <c r="D13" i="25"/>
  <c r="C13" i="25"/>
  <c r="L24" i="24" l="1"/>
  <c r="K24" i="24"/>
  <c r="H24" i="24"/>
  <c r="G24" i="24"/>
  <c r="D24" i="24"/>
  <c r="C24" i="24"/>
  <c r="L23" i="24"/>
  <c r="K23" i="24"/>
  <c r="H23" i="24"/>
  <c r="G23" i="24"/>
  <c r="D23" i="24"/>
  <c r="C23" i="24"/>
  <c r="L22" i="24"/>
  <c r="K22" i="24"/>
  <c r="H22" i="24"/>
  <c r="G22" i="24"/>
  <c r="D22" i="24"/>
  <c r="C22" i="24"/>
  <c r="L21" i="24"/>
  <c r="K21" i="24"/>
  <c r="H21" i="24"/>
  <c r="G21" i="24"/>
  <c r="D21" i="24"/>
  <c r="C21" i="24"/>
  <c r="L20" i="24"/>
  <c r="K20" i="24"/>
  <c r="H20" i="24"/>
  <c r="G20" i="24"/>
  <c r="D20" i="24"/>
  <c r="C20" i="24"/>
  <c r="L19" i="24"/>
  <c r="K19" i="24"/>
  <c r="H19" i="24"/>
  <c r="G19" i="24"/>
  <c r="D19" i="24"/>
  <c r="C19" i="24"/>
  <c r="L18" i="24"/>
  <c r="K18" i="24"/>
  <c r="H18" i="24"/>
  <c r="G18" i="24"/>
  <c r="D18" i="24"/>
  <c r="C18" i="24"/>
  <c r="L17" i="24"/>
  <c r="K17" i="24"/>
  <c r="H17" i="24"/>
  <c r="G17" i="24"/>
  <c r="D17" i="24"/>
  <c r="C17" i="24"/>
  <c r="L13" i="24"/>
  <c r="K13" i="24"/>
  <c r="H13" i="24"/>
  <c r="G13" i="24"/>
  <c r="D13" i="24"/>
  <c r="C13" i="24"/>
  <c r="D24" i="22"/>
  <c r="C24" i="22"/>
  <c r="D23" i="22"/>
  <c r="C23" i="22"/>
  <c r="D22" i="22"/>
  <c r="C22" i="22"/>
  <c r="D21" i="22"/>
  <c r="C21" i="22"/>
  <c r="D20" i="22"/>
  <c r="C20" i="22"/>
  <c r="D19" i="22"/>
  <c r="C19" i="22"/>
  <c r="D18" i="22"/>
  <c r="C18" i="22"/>
  <c r="D17" i="22"/>
  <c r="C17" i="22"/>
  <c r="D15" i="22"/>
  <c r="C15" i="22"/>
  <c r="D13" i="22"/>
  <c r="C13" i="22"/>
  <c r="L24" i="21"/>
  <c r="K24" i="21"/>
  <c r="H24" i="21"/>
  <c r="G24" i="21"/>
  <c r="D24" i="21"/>
  <c r="C24" i="21"/>
  <c r="L23" i="21"/>
  <c r="K23" i="21"/>
  <c r="H23" i="21"/>
  <c r="G23" i="21"/>
  <c r="D23" i="21"/>
  <c r="C23" i="21"/>
  <c r="L22" i="21"/>
  <c r="K22" i="21"/>
  <c r="H22" i="21"/>
  <c r="G22" i="21"/>
  <c r="D22" i="21"/>
  <c r="C22" i="21"/>
  <c r="L21" i="21"/>
  <c r="K21" i="21"/>
  <c r="H21" i="21"/>
  <c r="G21" i="21"/>
  <c r="D21" i="21"/>
  <c r="C21" i="21"/>
  <c r="L20" i="21"/>
  <c r="K20" i="21"/>
  <c r="H20" i="21"/>
  <c r="G20" i="21"/>
  <c r="D20" i="21"/>
  <c r="C20" i="21"/>
  <c r="L19" i="21"/>
  <c r="K19" i="21"/>
  <c r="H19" i="21"/>
  <c r="G19" i="21"/>
  <c r="D19" i="21"/>
  <c r="C19" i="21"/>
  <c r="L18" i="21"/>
  <c r="K18" i="21"/>
  <c r="H18" i="21"/>
  <c r="G18" i="21"/>
  <c r="D18" i="21"/>
  <c r="C18" i="21"/>
  <c r="L17" i="21"/>
  <c r="K17" i="21"/>
  <c r="H17" i="21"/>
  <c r="G17" i="21"/>
  <c r="D17" i="21"/>
  <c r="C17" i="21"/>
  <c r="L13" i="21"/>
  <c r="K13" i="21"/>
  <c r="H13" i="21"/>
  <c r="G13" i="21"/>
  <c r="D13" i="21"/>
  <c r="C13" i="21"/>
  <c r="L24" i="20"/>
  <c r="K24" i="20"/>
  <c r="H24" i="20"/>
  <c r="G24" i="20"/>
  <c r="D24" i="20"/>
  <c r="C24" i="20"/>
  <c r="L23" i="20"/>
  <c r="K23" i="20"/>
  <c r="H23" i="20"/>
  <c r="G23" i="20"/>
  <c r="D23" i="20"/>
  <c r="C23" i="20"/>
  <c r="L22" i="20"/>
  <c r="K22" i="20"/>
  <c r="H22" i="20"/>
  <c r="G22" i="20"/>
  <c r="D22" i="20"/>
  <c r="C22" i="20"/>
  <c r="L21" i="20"/>
  <c r="K21" i="20"/>
  <c r="H21" i="20"/>
  <c r="G21" i="20"/>
  <c r="D21" i="20"/>
  <c r="C21" i="20"/>
  <c r="L20" i="20"/>
  <c r="K20" i="20"/>
  <c r="H20" i="20"/>
  <c r="G20" i="20"/>
  <c r="D20" i="20"/>
  <c r="C20" i="20"/>
  <c r="L19" i="20"/>
  <c r="K19" i="20"/>
  <c r="H19" i="20"/>
  <c r="G19" i="20"/>
  <c r="D19" i="20"/>
  <c r="C19" i="20"/>
  <c r="L18" i="20"/>
  <c r="K18" i="20"/>
  <c r="H18" i="20"/>
  <c r="G18" i="20"/>
  <c r="D18" i="20"/>
  <c r="C18" i="20"/>
  <c r="L17" i="20"/>
  <c r="K17" i="20"/>
  <c r="H17" i="20"/>
  <c r="G17" i="20"/>
  <c r="D17" i="20"/>
  <c r="C17" i="20"/>
  <c r="L13" i="20"/>
  <c r="K13" i="20"/>
  <c r="H13" i="20"/>
  <c r="G13" i="20"/>
  <c r="D13" i="20"/>
  <c r="C13" i="20"/>
  <c r="L24" i="15"/>
  <c r="K24" i="15"/>
  <c r="H24" i="15"/>
  <c r="G24" i="15"/>
  <c r="D24" i="15"/>
  <c r="C24" i="15"/>
  <c r="L23" i="15"/>
  <c r="K23" i="15"/>
  <c r="H23" i="15"/>
  <c r="G23" i="15"/>
  <c r="D23" i="15"/>
  <c r="C23" i="15"/>
  <c r="L22" i="15"/>
  <c r="K22" i="15"/>
  <c r="H22" i="15"/>
  <c r="G22" i="15"/>
  <c r="D22" i="15"/>
  <c r="C22" i="15"/>
  <c r="L21" i="15"/>
  <c r="K21" i="15"/>
  <c r="H21" i="15"/>
  <c r="G21" i="15"/>
  <c r="D21" i="15"/>
  <c r="C21" i="15"/>
  <c r="L20" i="15"/>
  <c r="K20" i="15"/>
  <c r="H20" i="15"/>
  <c r="G20" i="15"/>
  <c r="D20" i="15"/>
  <c r="C20" i="15"/>
  <c r="L19" i="15"/>
  <c r="K19" i="15"/>
  <c r="H19" i="15"/>
  <c r="G19" i="15"/>
  <c r="D19" i="15"/>
  <c r="C19" i="15"/>
  <c r="L18" i="15"/>
  <c r="K18" i="15"/>
  <c r="H18" i="15"/>
  <c r="G18" i="15"/>
  <c r="D18" i="15"/>
  <c r="C18" i="15"/>
  <c r="L17" i="15"/>
  <c r="K17" i="15"/>
  <c r="H17" i="15"/>
  <c r="G17" i="15"/>
  <c r="D17" i="15"/>
  <c r="C17" i="15"/>
  <c r="L13" i="15"/>
  <c r="K13" i="15"/>
  <c r="H13" i="15"/>
  <c r="G13" i="15"/>
  <c r="D13" i="15"/>
  <c r="C13" i="15"/>
  <c r="D24" i="14"/>
  <c r="C24" i="14"/>
  <c r="D23" i="14"/>
  <c r="C23" i="14"/>
  <c r="D22" i="14"/>
  <c r="C22" i="14"/>
  <c r="D21" i="14"/>
  <c r="C21" i="14"/>
  <c r="D20" i="14"/>
  <c r="C20" i="14"/>
  <c r="D19" i="14"/>
  <c r="C19" i="14"/>
  <c r="D18" i="14"/>
  <c r="C18" i="14"/>
  <c r="D17" i="14"/>
  <c r="C17" i="14"/>
  <c r="D15" i="14"/>
  <c r="C15" i="14"/>
  <c r="D13" i="14"/>
  <c r="C13" i="14"/>
  <c r="L24" i="13"/>
  <c r="K24" i="13"/>
  <c r="H24" i="13"/>
  <c r="G24" i="13"/>
  <c r="D24" i="13"/>
  <c r="C24" i="13"/>
  <c r="L23" i="13"/>
  <c r="K23" i="13"/>
  <c r="H23" i="13"/>
  <c r="G23" i="13"/>
  <c r="D23" i="13"/>
  <c r="C23" i="13"/>
  <c r="L22" i="13"/>
  <c r="K22" i="13"/>
  <c r="H22" i="13"/>
  <c r="G22" i="13"/>
  <c r="D22" i="13"/>
  <c r="C22" i="13"/>
  <c r="L21" i="13"/>
  <c r="K21" i="13"/>
  <c r="H21" i="13"/>
  <c r="G21" i="13"/>
  <c r="D21" i="13"/>
  <c r="C21" i="13"/>
  <c r="L20" i="13"/>
  <c r="K20" i="13"/>
  <c r="H20" i="13"/>
  <c r="G20" i="13"/>
  <c r="D20" i="13"/>
  <c r="C20" i="13"/>
  <c r="L19" i="13"/>
  <c r="K19" i="13"/>
  <c r="H19" i="13"/>
  <c r="G19" i="13"/>
  <c r="D19" i="13"/>
  <c r="C19" i="13"/>
  <c r="L18" i="13"/>
  <c r="K18" i="13"/>
  <c r="H18" i="13"/>
  <c r="G18" i="13"/>
  <c r="D18" i="13"/>
  <c r="C18" i="13"/>
  <c r="L17" i="13"/>
  <c r="K17" i="13"/>
  <c r="H17" i="13"/>
  <c r="G17" i="13"/>
  <c r="D17" i="13"/>
  <c r="C17" i="13"/>
  <c r="L13" i="13"/>
  <c r="K13" i="13"/>
  <c r="H13" i="13"/>
  <c r="G13" i="13"/>
  <c r="D13" i="13"/>
  <c r="C13" i="13"/>
  <c r="D24" i="12"/>
  <c r="C24" i="12"/>
  <c r="D23" i="12"/>
  <c r="C23" i="12"/>
  <c r="D22" i="12"/>
  <c r="C22" i="12"/>
  <c r="D21" i="12"/>
  <c r="C21" i="12"/>
  <c r="D20" i="12"/>
  <c r="C20" i="12"/>
  <c r="D19" i="12"/>
  <c r="C19" i="12"/>
  <c r="D18" i="12"/>
  <c r="C18" i="12"/>
  <c r="D17" i="12"/>
  <c r="C17" i="12"/>
  <c r="D15" i="12"/>
  <c r="C15" i="12"/>
  <c r="D13" i="12"/>
  <c r="C13" i="12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5" i="11"/>
  <c r="C15" i="11"/>
  <c r="D13" i="11"/>
  <c r="C13" i="11"/>
  <c r="L13" i="10"/>
  <c r="K13" i="10"/>
  <c r="H13" i="10"/>
  <c r="G13" i="10"/>
  <c r="D13" i="10"/>
  <c r="C13" i="10"/>
  <c r="L24" i="10" l="1"/>
  <c r="K24" i="10"/>
  <c r="H24" i="10"/>
  <c r="G24" i="10"/>
  <c r="D24" i="10"/>
  <c r="C24" i="10"/>
  <c r="L23" i="10"/>
  <c r="K23" i="10"/>
  <c r="H23" i="10"/>
  <c r="G23" i="10"/>
  <c r="D23" i="10"/>
  <c r="C23" i="10"/>
  <c r="L22" i="10"/>
  <c r="K22" i="10"/>
  <c r="H22" i="10"/>
  <c r="G22" i="10"/>
  <c r="D22" i="10"/>
  <c r="C22" i="10"/>
  <c r="L21" i="10"/>
  <c r="K21" i="10"/>
  <c r="H21" i="10"/>
  <c r="G21" i="10"/>
  <c r="D21" i="10"/>
  <c r="C21" i="10"/>
  <c r="L20" i="10"/>
  <c r="K20" i="10"/>
  <c r="H20" i="10"/>
  <c r="G20" i="10"/>
  <c r="D20" i="10"/>
  <c r="C20" i="10"/>
  <c r="L19" i="10"/>
  <c r="K19" i="10"/>
  <c r="H19" i="10"/>
  <c r="G19" i="10"/>
  <c r="D19" i="10"/>
  <c r="C19" i="10"/>
  <c r="L18" i="10"/>
  <c r="K18" i="10"/>
  <c r="H18" i="10"/>
  <c r="G18" i="10"/>
  <c r="D18" i="10"/>
  <c r="C18" i="10"/>
  <c r="L17" i="10"/>
  <c r="K17" i="10"/>
  <c r="H17" i="10"/>
  <c r="G17" i="10"/>
  <c r="D17" i="10"/>
  <c r="C17" i="10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5" i="9"/>
  <c r="C15" i="9"/>
  <c r="D13" i="9"/>
  <c r="C13" i="9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5" i="8"/>
  <c r="C15" i="8"/>
  <c r="D13" i="8"/>
  <c r="C13" i="8"/>
  <c r="C13" i="7"/>
  <c r="D13" i="7"/>
  <c r="C15" i="7"/>
  <c r="D15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13" i="6" l="1"/>
  <c r="D13" i="6"/>
  <c r="C17" i="6"/>
  <c r="D17" i="6"/>
  <c r="C18" i="6"/>
  <c r="D18" i="6"/>
  <c r="C19" i="6"/>
  <c r="D19" i="6"/>
  <c r="C20" i="6"/>
  <c r="D20" i="6"/>
  <c r="C21" i="6"/>
  <c r="D21" i="6"/>
  <c r="C22" i="6"/>
  <c r="D22" i="6"/>
  <c r="C23" i="6"/>
  <c r="D23" i="6"/>
  <c r="C24" i="6"/>
  <c r="D24" i="6"/>
  <c r="C13" i="5"/>
  <c r="D13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4" i="5"/>
  <c r="D24" i="5"/>
  <c r="C13" i="4"/>
  <c r="D13" i="4"/>
  <c r="G13" i="4"/>
  <c r="H13" i="4"/>
  <c r="K13" i="4"/>
  <c r="L13" i="4"/>
  <c r="C17" i="4"/>
  <c r="D17" i="4"/>
  <c r="K17" i="4"/>
  <c r="L17" i="4"/>
  <c r="C18" i="4"/>
  <c r="D18" i="4"/>
  <c r="K18" i="4"/>
  <c r="L18" i="4"/>
  <c r="C19" i="4"/>
  <c r="D19" i="4"/>
  <c r="K19" i="4"/>
  <c r="L19" i="4"/>
  <c r="C20" i="4"/>
  <c r="D20" i="4"/>
  <c r="K20" i="4"/>
  <c r="L20" i="4"/>
  <c r="C21" i="4"/>
  <c r="D21" i="4"/>
  <c r="K21" i="4"/>
  <c r="L21" i="4"/>
  <c r="C22" i="4"/>
  <c r="D22" i="4"/>
  <c r="K22" i="4"/>
  <c r="L22" i="4"/>
  <c r="C23" i="4"/>
  <c r="D23" i="4"/>
  <c r="K23" i="4"/>
  <c r="L23" i="4"/>
  <c r="C24" i="4"/>
  <c r="D24" i="4"/>
  <c r="K24" i="4"/>
  <c r="L2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tc={29E5F5A4-C55B-694B-84B3-CD12F12315BE}</author>
    <author>tc={FB7A93E5-BDD0-354E-A34E-7D8658624416}</author>
    <author>tc={376E828F-04DC-4B4D-B1E9-8486544B8D39}</author>
    <author>tc={E188AD26-0B48-A342-9BF9-3A30BD1ADB1F}</author>
    <author>tc={3C236833-0237-D045-8859-5F6A268910E6}</author>
    <author>tc={F96CFBF9-B65B-034C-A9DB-39E5238E0B9A}</author>
  </authors>
  <commentList>
    <comment ref="C5" authorId="0" shapeId="0" xr:uid="{29E5F5A4-C55B-694B-84B3-CD12F12315B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https://www.usnews.com/education/best-high-schools/arizona/districts</t>
      </text>
    </comment>
    <comment ref="C11" authorId="1" shapeId="0" xr:uid="{FB7A93E5-BDD0-354E-A34E-7D8658624416}">
      <text>
        <t>[Threaded comment]
Your version of Excel allows you to read this threaded comment; however, any edits to it will get removed if the file is opened in a newer version of Excel. Learn more: https://go.microsoft.com/fwlink/?linkid=870924
Comment:
    Between 69-73</t>
      </text>
    </comment>
    <comment ref="C12" authorId="2" shapeId="0" xr:uid="{376E828F-04DC-4B4D-B1E9-8486544B8D39}">
      <text>
        <t>[Threaded comment]
Your version of Excel allows you to read this threaded comment; however, any edits to it will get removed if the file is opened in a newer version of Excel. Learn more: https://go.microsoft.com/fwlink/?linkid=870924
Comment:
    Between 180-194. 194 in 2022-2023 academic year.</t>
      </text>
    </comment>
    <comment ref="C14" authorId="3" shapeId="0" xr:uid="{E188AD26-0B48-A342-9BF9-3A30BD1ADB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Apparently, there are something like 117 public school districts and 49 charters. </t>
      </text>
    </comment>
    <comment ref="C38" authorId="4" shapeId="0" xr:uid="{3C236833-0237-D045-8859-5F6A268910E6}">
      <text>
        <t>[Threaded comment]
Your version of Excel allows you to read this threaded comment; however, any edits to it will get removed if the file is opened in a newer version of Excel. Learn more: https://go.microsoft.com/fwlink/?linkid=870924
Comment:
    Between 429-512 (changed over time)</t>
      </text>
    </comment>
    <comment ref="C45" authorId="5" shapeId="0" xr:uid="{F96CFBF9-B65B-034C-A9DB-39E5238E0B9A}">
      <text>
        <t>[Threaded comment]
Your version of Excel allows you to read this threaded comment; however, any edits to it will get removed if the file is opened in a newer version of Excel. Learn more: https://go.microsoft.com/fwlink/?linkid=870924
Comment:
    In 2015, Vermont had around 280 school districts. By 2022 after a significant consolidation process, there were fewer than 60. We analyzed the districts that had all 8 years of data.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tc={002CDA51-BD2B-9442-99FE-39BE5E68E52A}</author>
  </authors>
  <commentList>
    <comment ref="B10" authorId="0" shapeId="0" xr:uid="{002CDA51-BD2B-9442-99FE-39BE5E68E52A}">
      <text>
        <t>[Threaded comment]
Your version of Excel allows you to read this threaded comment; however, any edits to it will get removed if the file is opened in a newer version of Excel. Learn more: https://go.microsoft.com/fwlink/?linkid=870924
Comment:
    Obviously, for DC this is in reference to the mayor.</t>
      </text>
    </comment>
  </commentList>
</comments>
</file>

<file path=xl/sharedStrings.xml><?xml version="1.0" encoding="utf-8"?>
<sst xmlns="http://schemas.openxmlformats.org/spreadsheetml/2006/main" count="785" uniqueCount="84">
  <si>
    <t>State Contributions</t>
  </si>
  <si>
    <t>Year</t>
  </si>
  <si>
    <t>Unweighted</t>
  </si>
  <si>
    <t>Weighted</t>
  </si>
  <si>
    <t>Change</t>
  </si>
  <si>
    <t>Total Contributions</t>
  </si>
  <si>
    <t>District Contributions</t>
  </si>
  <si>
    <t>Weights based on NCES variables TCURINST / E17 / E08 / E09 / V40</t>
  </si>
  <si>
    <t>Freq.</t>
  </si>
  <si>
    <t>.</t>
  </si>
  <si>
    <t>Total</t>
  </si>
  <si>
    <t>Arizona</t>
  </si>
  <si>
    <t>Florida</t>
  </si>
  <si>
    <t>South Carolina</t>
  </si>
  <si>
    <t>Arkansas</t>
  </si>
  <si>
    <t>Virginia</t>
  </si>
  <si>
    <t>Mississippi</t>
  </si>
  <si>
    <t>Georgia</t>
  </si>
  <si>
    <t>Texas</t>
  </si>
  <si>
    <t>Oklahoma</t>
  </si>
  <si>
    <t>Louisiana</t>
  </si>
  <si>
    <t>Tennessee</t>
  </si>
  <si>
    <t>North Carolina</t>
  </si>
  <si>
    <t>Utah</t>
  </si>
  <si>
    <t>Missouri</t>
  </si>
  <si>
    <t>New Mexico</t>
  </si>
  <si>
    <t>Idaho</t>
  </si>
  <si>
    <t>Colorado</t>
  </si>
  <si>
    <t>South Dakota</t>
  </si>
  <si>
    <t>District of Columbia</t>
  </si>
  <si>
    <t>Kansas</t>
  </si>
  <si>
    <t>Indiana</t>
  </si>
  <si>
    <t>New Hampshire</t>
  </si>
  <si>
    <t>Wyoming</t>
  </si>
  <si>
    <t>Kentucky</t>
  </si>
  <si>
    <t>Iowa</t>
  </si>
  <si>
    <t>Nebraska</t>
  </si>
  <si>
    <t>Nevada</t>
  </si>
  <si>
    <t>North Dakota</t>
  </si>
  <si>
    <t>Maryland</t>
  </si>
  <si>
    <t>Maine</t>
  </si>
  <si>
    <t>Massachusetts</t>
  </si>
  <si>
    <t>Alabama</t>
  </si>
  <si>
    <t>Delaware</t>
  </si>
  <si>
    <t>Wisconsin</t>
  </si>
  <si>
    <t>Connecticut</t>
  </si>
  <si>
    <t>Michigan</t>
  </si>
  <si>
    <t>Alaska</t>
  </si>
  <si>
    <t>Minnesota</t>
  </si>
  <si>
    <t>West Virginia</t>
  </si>
  <si>
    <t>Ohio</t>
  </si>
  <si>
    <t>Vermont</t>
  </si>
  <si>
    <t>Washington</t>
  </si>
  <si>
    <t>New York</t>
  </si>
  <si>
    <t>Illinois</t>
  </si>
  <si>
    <t>New Jersey</t>
  </si>
  <si>
    <t>California</t>
  </si>
  <si>
    <t>Rhode Island</t>
  </si>
  <si>
    <t>Pennsylvania</t>
  </si>
  <si>
    <t>Montana</t>
  </si>
  <si>
    <t>Oregon</t>
  </si>
  <si>
    <t>Hawaii</t>
  </si>
  <si>
    <t>Non-Right-to-Work</t>
  </si>
  <si>
    <t>Right-to-Work</t>
  </si>
  <si>
    <t>Right-to-Work Status</t>
  </si>
  <si>
    <t>State</t>
  </si>
  <si>
    <t>Republican</t>
  </si>
  <si>
    <t>Democrat</t>
  </si>
  <si>
    <t>Count by Party</t>
  </si>
  <si>
    <t>Average Percentage Point Change in Total Contribution %</t>
  </si>
  <si>
    <t>Avg Total Contribution % (2022)</t>
  </si>
  <si>
    <t>Right to Work vs. Non-Right to Work</t>
  </si>
  <si>
    <t>Party Affiliation</t>
  </si>
  <si>
    <t>Teachers' Union Strength</t>
  </si>
  <si>
    <t>Total Contribution % Percentage Point Change</t>
  </si>
  <si>
    <t>Total Contribution % (2022)</t>
  </si>
  <si>
    <t>Coverage</t>
  </si>
  <si>
    <t>Our Data # Districts</t>
  </si>
  <si>
    <t>Google # Districts</t>
  </si>
  <si>
    <t>State Count</t>
  </si>
  <si>
    <t>https://fordhaminstitute.org/national/research/how-strong-are-us-teacher-unions-state-state-comparison</t>
  </si>
  <si>
    <t>Rank</t>
  </si>
  <si>
    <t xml:space="preserve">. 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</si>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</sst>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#,##0.000000"/>
    <numFmt numFmtId="167" formatCode="0.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414042"/>
      <name val="Helvetica Neue"/>
      <family val="2"/>
    </font>
    <font>
      <u/>
      <sz val="12"/>
      <color theme="10"/>
      <name val="Aptos Narrow"/>
      <family val="2"/>
      <scheme val="minor"/>
    </font>
    <font>
      <b/>
      <sz val="12"/>
      <color rgb="FF414042"/>
      <name val="Helvetica Neue"/>
      <family val="2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10" fontId="0" fillId="3" borderId="1" xfId="2" applyNumberFormat="1" applyFont="1" applyFill="1" applyBorder="1"/>
    <xf numFmtId="0" fontId="3" fillId="4" borderId="0" xfId="0" applyFont="1" applyFill="1"/>
    <xf numFmtId="164" fontId="3" fillId="4" borderId="0" xfId="0" applyNumberFormat="1" applyFont="1" applyFill="1"/>
    <xf numFmtId="164" fontId="3" fillId="3" borderId="0" xfId="0" applyNumberFormat="1" applyFont="1" applyFill="1"/>
    <xf numFmtId="10" fontId="0" fillId="3" borderId="0" xfId="2" applyNumberFormat="1" applyFont="1" applyFill="1" applyBorder="1"/>
    <xf numFmtId="0" fontId="2" fillId="3" borderId="0" xfId="0" applyFont="1" applyFill="1" applyAlignment="1">
      <alignment horizontal="center"/>
    </xf>
    <xf numFmtId="165" fontId="0" fillId="3" borderId="0" xfId="1" applyNumberFormat="1" applyFont="1" applyFill="1"/>
    <xf numFmtId="2" fontId="0" fillId="3" borderId="0" xfId="0" applyNumberFormat="1" applyFill="1"/>
    <xf numFmtId="10" fontId="0" fillId="3" borderId="0" xfId="0" applyNumberFormat="1" applyFill="1"/>
    <xf numFmtId="3" fontId="0" fillId="3" borderId="0" xfId="0" applyNumberFormat="1" applyFill="1"/>
    <xf numFmtId="10" fontId="0" fillId="3" borderId="0" xfId="2" applyNumberFormat="1" applyFont="1" applyFill="1"/>
    <xf numFmtId="10" fontId="3" fillId="4" borderId="0" xfId="0" applyNumberFormat="1" applyFont="1" applyFill="1"/>
    <xf numFmtId="11" fontId="0" fillId="3" borderId="0" xfId="0" applyNumberFormat="1" applyFill="1"/>
    <xf numFmtId="165" fontId="0" fillId="3" borderId="0" xfId="0" applyNumberFormat="1" applyFill="1"/>
    <xf numFmtId="9" fontId="0" fillId="3" borderId="0" xfId="2" applyFont="1" applyFill="1"/>
    <xf numFmtId="164" fontId="0" fillId="3" borderId="0" xfId="2" applyNumberFormat="1" applyFont="1" applyFill="1"/>
    <xf numFmtId="166" fontId="0" fillId="3" borderId="0" xfId="0" applyNumberFormat="1" applyFill="1"/>
    <xf numFmtId="0" fontId="6" fillId="0" borderId="0" xfId="0" applyFont="1"/>
    <xf numFmtId="0" fontId="7" fillId="0" borderId="0" xfId="3"/>
    <xf numFmtId="0" fontId="8" fillId="0" borderId="0" xfId="0" applyFont="1"/>
    <xf numFmtId="0" fontId="5" fillId="0" borderId="0" xfId="0" applyFont="1"/>
    <xf numFmtId="2" fontId="3" fillId="4" borderId="1" xfId="0" applyNumberFormat="1" applyFont="1" applyFill="1" applyBorder="1"/>
    <xf numFmtId="0" fontId="3" fillId="4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2" fontId="0" fillId="0" borderId="1" xfId="0" applyNumberFormat="1" applyBorder="1"/>
    <xf numFmtId="167" fontId="0" fillId="0" borderId="1" xfId="0" applyNumberFormat="1" applyBorder="1"/>
    <xf numFmtId="164" fontId="3" fillId="4" borderId="2" xfId="2" applyNumberFormat="1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4" borderId="5" xfId="0" applyFont="1" applyFill="1" applyBorder="1"/>
    <xf numFmtId="9" fontId="0" fillId="3" borderId="2" xfId="2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9" fontId="0" fillId="3" borderId="6" xfId="2" applyFont="1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9" fontId="0" fillId="3" borderId="10" xfId="2" applyFont="1" applyFill="1" applyBorder="1"/>
    <xf numFmtId="0" fontId="0" fillId="3" borderId="11" xfId="0" applyFill="1" applyBorder="1"/>
    <xf numFmtId="0" fontId="0" fillId="3" borderId="12" xfId="0" applyFill="1" applyBorder="1"/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vertical="center"/>
    </xf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4" fillId="3" borderId="0" xfId="0" applyFont="1" applyFill="1"/>
    <xf numFmtId="9" fontId="0" fillId="3" borderId="20" xfId="2" applyFont="1" applyFill="1" applyBorder="1"/>
    <xf numFmtId="0" fontId="0" fillId="0" borderId="12" xfId="0" applyBorder="1"/>
    <xf numFmtId="0" fontId="9" fillId="0" borderId="0" xfId="0" applyFont="1"/>
    <xf numFmtId="0" fontId="2" fillId="2" borderId="1" xfId="0" applyFont="1" applyFill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0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1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6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7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9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1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2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3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5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6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7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9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1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2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3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5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7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9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1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3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5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6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7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9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1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2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3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5.xml"/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7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9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1.xml"/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2.xml"/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3.xml"/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5.xml"/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6.xml"/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7.xml"/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9.xml"/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1.xml"/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3.xml"/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5.xml"/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6.xml"/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7.xml"/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9.xml"/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0.xml"/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1.xml"/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3.xml"/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4.xml"/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5.xml"/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7.xml"/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8.xml"/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9.xml"/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1.xml"/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3.xml"/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4.xml"/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5.xml"/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7.xml"/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8.xml"/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9.xml"/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1.xml"/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3.xml"/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5.xml"/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354741884418493"/>
                  <c:y val="-0.237917143616959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Summary!$D$3:$D$50</c:f>
              <c:numCache>
                <c:formatCode>General</c:formatCode>
                <c:ptCount val="48"/>
                <c:pt idx="0">
                  <c:v>6.93</c:v>
                </c:pt>
                <c:pt idx="1">
                  <c:v>5.96</c:v>
                </c:pt>
                <c:pt idx="2">
                  <c:v>6.38</c:v>
                </c:pt>
                <c:pt idx="3">
                  <c:v>9.0399999999999991</c:v>
                </c:pt>
                <c:pt idx="4" formatCode="0.00">
                  <c:v>14.22</c:v>
                </c:pt>
                <c:pt idx="5">
                  <c:v>21.45</c:v>
                </c:pt>
                <c:pt idx="6">
                  <c:v>11.55</c:v>
                </c:pt>
                <c:pt idx="7">
                  <c:v>7.58</c:v>
                </c:pt>
                <c:pt idx="8">
                  <c:v>4.6500000000000004</c:v>
                </c:pt>
                <c:pt idx="9">
                  <c:v>9.68</c:v>
                </c:pt>
                <c:pt idx="10">
                  <c:v>17.649999999999999</c:v>
                </c:pt>
                <c:pt idx="11">
                  <c:v>13.16</c:v>
                </c:pt>
                <c:pt idx="12">
                  <c:v>22.66</c:v>
                </c:pt>
                <c:pt idx="13">
                  <c:v>18.8</c:v>
                </c:pt>
                <c:pt idx="14">
                  <c:v>5.64</c:v>
                </c:pt>
                <c:pt idx="15">
                  <c:v>7.59</c:v>
                </c:pt>
                <c:pt idx="16">
                  <c:v>17.059999999999999</c:v>
                </c:pt>
                <c:pt idx="17">
                  <c:v>12.81</c:v>
                </c:pt>
                <c:pt idx="18">
                  <c:v>8.73</c:v>
                </c:pt>
                <c:pt idx="19">
                  <c:v>9.6300000000000008</c:v>
                </c:pt>
                <c:pt idx="20" formatCode="0.00">
                  <c:v>13.43</c:v>
                </c:pt>
                <c:pt idx="21">
                  <c:v>15.96</c:v>
                </c:pt>
                <c:pt idx="22">
                  <c:v>4.9400000000000004</c:v>
                </c:pt>
                <c:pt idx="23">
                  <c:v>10.34</c:v>
                </c:pt>
                <c:pt idx="24">
                  <c:v>9.57</c:v>
                </c:pt>
                <c:pt idx="25">
                  <c:v>7.82</c:v>
                </c:pt>
                <c:pt idx="26">
                  <c:v>5.4</c:v>
                </c:pt>
                <c:pt idx="27">
                  <c:v>8.1999999999999993</c:v>
                </c:pt>
                <c:pt idx="28">
                  <c:v>6.91</c:v>
                </c:pt>
                <c:pt idx="29">
                  <c:v>14.19</c:v>
                </c:pt>
                <c:pt idx="30">
                  <c:v>7.72</c:v>
                </c:pt>
                <c:pt idx="31">
                  <c:v>5.01</c:v>
                </c:pt>
                <c:pt idx="32">
                  <c:v>14.22</c:v>
                </c:pt>
                <c:pt idx="33">
                  <c:v>8.41</c:v>
                </c:pt>
                <c:pt idx="34">
                  <c:v>5.74</c:v>
                </c:pt>
                <c:pt idx="35">
                  <c:v>7.05</c:v>
                </c:pt>
                <c:pt idx="36">
                  <c:v>13.17</c:v>
                </c:pt>
                <c:pt idx="37">
                  <c:v>12.67</c:v>
                </c:pt>
                <c:pt idx="38">
                  <c:v>4.8600000000000003</c:v>
                </c:pt>
                <c:pt idx="39">
                  <c:v>4.8899999999999997</c:v>
                </c:pt>
                <c:pt idx="40">
                  <c:v>4.33</c:v>
                </c:pt>
                <c:pt idx="41">
                  <c:v>18.54</c:v>
                </c:pt>
                <c:pt idx="42">
                  <c:v>19.489999999999998</c:v>
                </c:pt>
                <c:pt idx="43">
                  <c:v>9.89</c:v>
                </c:pt>
                <c:pt idx="44">
                  <c:v>4.13</c:v>
                </c:pt>
                <c:pt idx="45">
                  <c:v>15.57</c:v>
                </c:pt>
                <c:pt idx="46">
                  <c:v>3.28</c:v>
                </c:pt>
                <c:pt idx="47">
                  <c:v>9.35</c:v>
                </c:pt>
              </c:numCache>
            </c:numRef>
          </c:xVal>
          <c:yVal>
            <c:numRef>
              <c:f>Summary!$G$3:$G$50</c:f>
              <c:numCache>
                <c:formatCode>General</c:formatCode>
                <c:ptCount val="48"/>
                <c:pt idx="0">
                  <c:v>20</c:v>
                </c:pt>
                <c:pt idx="1">
                  <c:v>15</c:v>
                </c:pt>
                <c:pt idx="2">
                  <c:v>51</c:v>
                </c:pt>
                <c:pt idx="3">
                  <c:v>48</c:v>
                </c:pt>
                <c:pt idx="4">
                  <c:v>6</c:v>
                </c:pt>
                <c:pt idx="5">
                  <c:v>17</c:v>
                </c:pt>
                <c:pt idx="6">
                  <c:v>19</c:v>
                </c:pt>
                <c:pt idx="7">
                  <c:v>33</c:v>
                </c:pt>
                <c:pt idx="8">
                  <c:v>50</c:v>
                </c:pt>
                <c:pt idx="9">
                  <c:v>45</c:v>
                </c:pt>
                <c:pt idx="10">
                  <c:v>1</c:v>
                </c:pt>
                <c:pt idx="11">
                  <c:v>36</c:v>
                </c:pt>
                <c:pt idx="12">
                  <c:v>8</c:v>
                </c:pt>
                <c:pt idx="13">
                  <c:v>31</c:v>
                </c:pt>
                <c:pt idx="14">
                  <c:v>27</c:v>
                </c:pt>
                <c:pt idx="15">
                  <c:v>32</c:v>
                </c:pt>
                <c:pt idx="16">
                  <c:v>28</c:v>
                </c:pt>
                <c:pt idx="17">
                  <c:v>42</c:v>
                </c:pt>
                <c:pt idx="18">
                  <c:v>22</c:v>
                </c:pt>
                <c:pt idx="19">
                  <c:v>23</c:v>
                </c:pt>
                <c:pt idx="20">
                  <c:v>21</c:v>
                </c:pt>
                <c:pt idx="21">
                  <c:v>16</c:v>
                </c:pt>
                <c:pt idx="22">
                  <c:v>14</c:v>
                </c:pt>
                <c:pt idx="23">
                  <c:v>46</c:v>
                </c:pt>
                <c:pt idx="24">
                  <c:v>38</c:v>
                </c:pt>
                <c:pt idx="25">
                  <c:v>3</c:v>
                </c:pt>
                <c:pt idx="26">
                  <c:v>26</c:v>
                </c:pt>
                <c:pt idx="27">
                  <c:v>25</c:v>
                </c:pt>
                <c:pt idx="28">
                  <c:v>30</c:v>
                </c:pt>
                <c:pt idx="29">
                  <c:v>7</c:v>
                </c:pt>
                <c:pt idx="30">
                  <c:v>37</c:v>
                </c:pt>
                <c:pt idx="31">
                  <c:v>9</c:v>
                </c:pt>
                <c:pt idx="32">
                  <c:v>40</c:v>
                </c:pt>
                <c:pt idx="33">
                  <c:v>24</c:v>
                </c:pt>
                <c:pt idx="34">
                  <c:v>43</c:v>
                </c:pt>
                <c:pt idx="35">
                  <c:v>12</c:v>
                </c:pt>
                <c:pt idx="36">
                  <c:v>2</c:v>
                </c:pt>
                <c:pt idx="37">
                  <c:v>5</c:v>
                </c:pt>
                <c:pt idx="38">
                  <c:v>34</c:v>
                </c:pt>
                <c:pt idx="39">
                  <c:v>41</c:v>
                </c:pt>
                <c:pt idx="40">
                  <c:v>44</c:v>
                </c:pt>
                <c:pt idx="41">
                  <c:v>39</c:v>
                </c:pt>
                <c:pt idx="42">
                  <c:v>11</c:v>
                </c:pt>
                <c:pt idx="43">
                  <c:v>47</c:v>
                </c:pt>
                <c:pt idx="44">
                  <c:v>10</c:v>
                </c:pt>
                <c:pt idx="45">
                  <c:v>13</c:v>
                </c:pt>
                <c:pt idx="46">
                  <c:v>18</c:v>
                </c:pt>
                <c:pt idx="47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0A-5544-BEE7-317B57179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59887"/>
        <c:axId val="1062264303"/>
      </c:scatterChart>
      <c:valAx>
        <c:axId val="106225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64303"/>
        <c:crosses val="autoZero"/>
        <c:crossBetween val="midCat"/>
      </c:valAx>
      <c:valAx>
        <c:axId val="106226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59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03958947855976E-2"/>
          <c:y val="0.16500491582198634"/>
          <c:w val="0.93693254674435045"/>
          <c:h val="0.71458563535911601"/>
        </c:manualLayout>
      </c:layout>
      <c:lineChart>
        <c:grouping val="standard"/>
        <c:varyColors val="0"/>
        <c:ser>
          <c:idx val="0"/>
          <c:order val="0"/>
          <c:tx>
            <c:strRef>
              <c:f>Connecticut!$C$3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Connecticut!$B$4:$B$11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Connecticut!$C$17:$C$24</c:f>
              <c:numCache>
                <c:formatCode>General</c:formatCode>
                <c:ptCount val="8"/>
                <c:pt idx="0">
                  <c:v>13.208681</c:v>
                </c:pt>
                <c:pt idx="1">
                  <c:v>12.610711999999999</c:v>
                </c:pt>
                <c:pt idx="2">
                  <c:v>12.778236000000001</c:v>
                </c:pt>
                <c:pt idx="3">
                  <c:v>15.323228</c:v>
                </c:pt>
                <c:pt idx="4">
                  <c:v>16.065901</c:v>
                </c:pt>
                <c:pt idx="5">
                  <c:v>20.024635</c:v>
                </c:pt>
                <c:pt idx="6">
                  <c:v>19.654706000000001</c:v>
                </c:pt>
                <c:pt idx="7">
                  <c:v>21.449842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F-154C-9C41-116B4776EF61}"/>
            </c:ext>
          </c:extLst>
        </c:ser>
        <c:ser>
          <c:idx val="1"/>
          <c:order val="1"/>
          <c:tx>
            <c:strRef>
              <c:f>Connecticut!$D$3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Connecticut!$B$4:$B$11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Connecticut!$D$17:$D$24</c:f>
              <c:numCache>
                <c:formatCode>General</c:formatCode>
                <c:ptCount val="8"/>
                <c:pt idx="0">
                  <c:v>12.876440000000001</c:v>
                </c:pt>
                <c:pt idx="1">
                  <c:v>12.517300000000001</c:v>
                </c:pt>
                <c:pt idx="2">
                  <c:v>12.787190000000001</c:v>
                </c:pt>
                <c:pt idx="3">
                  <c:v>15.394459999999999</c:v>
                </c:pt>
                <c:pt idx="4">
                  <c:v>15.368200000000002</c:v>
                </c:pt>
                <c:pt idx="5">
                  <c:v>14.393470000000001</c:v>
                </c:pt>
                <c:pt idx="6">
                  <c:v>14.29204</c:v>
                </c:pt>
                <c:pt idx="7">
                  <c:v>15.489269999999999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2F-154C-9C41-116B4776E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62255"/>
        <c:axId val="722103407"/>
      </c:lineChart>
      <c:catAx>
        <c:axId val="7216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3407"/>
        <c:crosses val="autoZero"/>
        <c:auto val="1"/>
        <c:lblAlgn val="ctr"/>
        <c:lblOffset val="100"/>
        <c:noMultiLvlLbl val="0"/>
      </c:catAx>
      <c:valAx>
        <c:axId val="722103407"/>
        <c:scaling>
          <c:orientation val="minMax"/>
          <c:max val="26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62255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498256990322035"/>
          <c:y val="0.93479914734415104"/>
          <c:w val="0.30693888496136124"/>
          <c:h val="4.5311349893418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Delaware!$C$3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Delaware!$B$4:$B$11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Delaware!$C$17:$C$24</c:f>
              <c:numCache>
                <c:formatCode>General</c:formatCode>
                <c:ptCount val="8"/>
                <c:pt idx="0">
                  <c:v>11.450507</c:v>
                </c:pt>
                <c:pt idx="1">
                  <c:v>12.376694000000001</c:v>
                </c:pt>
                <c:pt idx="2">
                  <c:v>10.418892</c:v>
                </c:pt>
                <c:pt idx="3">
                  <c:v>6.696059</c:v>
                </c:pt>
                <c:pt idx="4">
                  <c:v>9.6632319999999989</c:v>
                </c:pt>
                <c:pt idx="5">
                  <c:v>6.8840310000000002</c:v>
                </c:pt>
                <c:pt idx="6">
                  <c:v>5.9986829999999998</c:v>
                </c:pt>
                <c:pt idx="7">
                  <c:v>11.548556999999999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E1-9D41-A417-F42A00082D56}"/>
            </c:ext>
          </c:extLst>
        </c:ser>
        <c:ser>
          <c:idx val="1"/>
          <c:order val="1"/>
          <c:tx>
            <c:strRef>
              <c:f>Delaware!$D$3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Delaware!$B$4:$B$11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Delaware!$D$17:$D$24</c:f>
              <c:numCache>
                <c:formatCode>General</c:formatCode>
                <c:ptCount val="8"/>
                <c:pt idx="0">
                  <c:v>12.01562</c:v>
                </c:pt>
                <c:pt idx="1">
                  <c:v>12.95683</c:v>
                </c:pt>
                <c:pt idx="2">
                  <c:v>10.78266</c:v>
                </c:pt>
                <c:pt idx="3">
                  <c:v>6.9737900000000002</c:v>
                </c:pt>
                <c:pt idx="4">
                  <c:v>10.02276</c:v>
                </c:pt>
                <c:pt idx="5">
                  <c:v>7.1362800000000002</c:v>
                </c:pt>
                <c:pt idx="6">
                  <c:v>6.2029399999999999</c:v>
                </c:pt>
                <c:pt idx="7">
                  <c:v>11.613660000000001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E1-9D41-A417-F42A00082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Delaware!$G$3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Delaware!$F$4:$F$11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Delaware!$G$17:$G$24</c:f>
              <c:numCache>
                <c:formatCode>General</c:formatCode>
                <c:ptCount val="8"/>
                <c:pt idx="0">
                  <c:v>4.1395379999999999</c:v>
                </c:pt>
                <c:pt idx="1">
                  <c:v>4.0663390000000001</c:v>
                </c:pt>
                <c:pt idx="2">
                  <c:v>4.083831</c:v>
                </c:pt>
                <c:pt idx="3">
                  <c:v>4.5381840000000002</c:v>
                </c:pt>
                <c:pt idx="4">
                  <c:v>5.3422320000000001</c:v>
                </c:pt>
                <c:pt idx="5">
                  <c:v>5.7097980000000002</c:v>
                </c:pt>
                <c:pt idx="6">
                  <c:v>5.9986829999999998</c:v>
                </c:pt>
                <c:pt idx="7">
                  <c:v>5.8274159999999995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8-C64A-9801-0BEDB24B774E}"/>
            </c:ext>
          </c:extLst>
        </c:ser>
        <c:ser>
          <c:idx val="1"/>
          <c:order val="1"/>
          <c:tx>
            <c:strRef>
              <c:f>Delaware!$H$3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Delaware!$F$4:$F$11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Delaware!$H$17:$H$24</c:f>
              <c:numCache>
                <c:formatCode>General</c:formatCode>
                <c:ptCount val="8"/>
                <c:pt idx="0">
                  <c:v>4.3202199999999999</c:v>
                </c:pt>
                <c:pt idx="1">
                  <c:v>4.2569400000000002</c:v>
                </c:pt>
                <c:pt idx="2">
                  <c:v>4.2264200000000001</c:v>
                </c:pt>
                <c:pt idx="3">
                  <c:v>4.7264200000000001</c:v>
                </c:pt>
                <c:pt idx="4">
                  <c:v>5.5409899999999999</c:v>
                </c:pt>
                <c:pt idx="5">
                  <c:v>5.9190199999999997</c:v>
                </c:pt>
                <c:pt idx="6">
                  <c:v>6.2029399999999999</c:v>
                </c:pt>
                <c:pt idx="7">
                  <c:v>5.9634800000000006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8-C64A-9801-0BEDB24B7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Delaware!$K$3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Delaware!$J$4:$J$11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Delaware!$K$17:$K$24</c:f>
              <c:numCache>
                <c:formatCode>General</c:formatCode>
                <c:ptCount val="8"/>
                <c:pt idx="0">
                  <c:v>7.2204639999999998</c:v>
                </c:pt>
                <c:pt idx="1">
                  <c:v>8.2746279999999999</c:v>
                </c:pt>
                <c:pt idx="2">
                  <c:v>6.3350600000000004</c:v>
                </c:pt>
                <c:pt idx="3">
                  <c:v>2.1578759999999999</c:v>
                </c:pt>
                <c:pt idx="4">
                  <c:v>4.3210009999999999</c:v>
                </c:pt>
                <c:pt idx="5">
                  <c:v>1.1742330000000001</c:v>
                </c:pt>
                <c:pt idx="6">
                  <c:v>0</c:v>
                </c:pt>
                <c:pt idx="7">
                  <c:v>5.8472720000000002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DF-364B-919E-2AF0E3F1BED6}"/>
            </c:ext>
          </c:extLst>
        </c:ser>
        <c:ser>
          <c:idx val="1"/>
          <c:order val="1"/>
          <c:tx>
            <c:strRef>
              <c:f>Delaware!$L$3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Delaware!$J$4:$J$11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Delaware!$L$17:$L$24</c:f>
              <c:numCache>
                <c:formatCode>General</c:formatCode>
                <c:ptCount val="8"/>
                <c:pt idx="0">
                  <c:v>7.6682299999999994</c:v>
                </c:pt>
                <c:pt idx="1">
                  <c:v>8.5921000000000003</c:v>
                </c:pt>
                <c:pt idx="2">
                  <c:v>6.5562499999999995</c:v>
                </c:pt>
                <c:pt idx="3">
                  <c:v>2.2473799999999997</c:v>
                </c:pt>
                <c:pt idx="4">
                  <c:v>4.48177</c:v>
                </c:pt>
                <c:pt idx="5">
                  <c:v>1.21726</c:v>
                </c:pt>
                <c:pt idx="6">
                  <c:v>0</c:v>
                </c:pt>
                <c:pt idx="7">
                  <c:v>6.0220099999999999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DF-364B-919E-2AF0E3F1B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Maine!$C$3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Maine!$B$4:$B$11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Maine!$C$17:$C$24</c:f>
              <c:numCache>
                <c:formatCode>General</c:formatCode>
                <c:ptCount val="8"/>
                <c:pt idx="0">
                  <c:v>7.6268340000000006</c:v>
                </c:pt>
                <c:pt idx="1">
                  <c:v>6.5251699999999992</c:v>
                </c:pt>
                <c:pt idx="2">
                  <c:v>6.2952089999999998</c:v>
                </c:pt>
                <c:pt idx="3">
                  <c:v>7.2905159999999993</c:v>
                </c:pt>
                <c:pt idx="4">
                  <c:v>6.7377309999999992</c:v>
                </c:pt>
                <c:pt idx="5">
                  <c:v>8.8179829999999999</c:v>
                </c:pt>
                <c:pt idx="6">
                  <c:v>8.1539429999999999</c:v>
                </c:pt>
                <c:pt idx="7">
                  <c:v>8.7262090000000008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D5-FB42-80D4-33C43D91021B}"/>
            </c:ext>
          </c:extLst>
        </c:ser>
        <c:ser>
          <c:idx val="1"/>
          <c:order val="1"/>
          <c:tx>
            <c:strRef>
              <c:f>Maine!$D$3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Maine!$B$4:$B$11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Maine!$D$17:$D$24</c:f>
              <c:numCache>
                <c:formatCode>General</c:formatCode>
                <c:ptCount val="8"/>
                <c:pt idx="0">
                  <c:v>7.5249700000000006</c:v>
                </c:pt>
                <c:pt idx="1">
                  <c:v>6.1208299999999998</c:v>
                </c:pt>
                <c:pt idx="2">
                  <c:v>6.08779</c:v>
                </c:pt>
                <c:pt idx="3">
                  <c:v>6.6586000000000007</c:v>
                </c:pt>
                <c:pt idx="4">
                  <c:v>6.5442299999999998</c:v>
                </c:pt>
                <c:pt idx="5">
                  <c:v>7.7996699999999999</c:v>
                </c:pt>
                <c:pt idx="6">
                  <c:v>7.2874400000000001</c:v>
                </c:pt>
                <c:pt idx="7">
                  <c:v>8.4068699999999996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D5-FB42-80D4-33C43D910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Maine!$G$3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Maine!$F$4:$F$11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Maine!$G$17:$G$24</c:f>
              <c:numCache>
                <c:formatCode>General</c:formatCode>
                <c:ptCount val="8"/>
                <c:pt idx="0">
                  <c:v>0.38002999999999998</c:v>
                </c:pt>
                <c:pt idx="1">
                  <c:v>0.32667499999999999</c:v>
                </c:pt>
                <c:pt idx="2">
                  <c:v>0.314467</c:v>
                </c:pt>
                <c:pt idx="3">
                  <c:v>0.34339999999999998</c:v>
                </c:pt>
                <c:pt idx="4">
                  <c:v>0.30242799999999997</c:v>
                </c:pt>
                <c:pt idx="5">
                  <c:v>0.38053000000000003</c:v>
                </c:pt>
                <c:pt idx="6">
                  <c:v>0.45860700000000004</c:v>
                </c:pt>
                <c:pt idx="7">
                  <c:v>0.56542300000000001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FC-DC45-B166-3297A95E3FA0}"/>
            </c:ext>
          </c:extLst>
        </c:ser>
        <c:ser>
          <c:idx val="1"/>
          <c:order val="1"/>
          <c:tx>
            <c:strRef>
              <c:f>Maine!$H$3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Maine!$F$4:$F$11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Maine!$H$17:$H$24</c:f>
              <c:numCache>
                <c:formatCode>General</c:formatCode>
                <c:ptCount val="8"/>
                <c:pt idx="0">
                  <c:v>0.37813999999999998</c:v>
                </c:pt>
                <c:pt idx="1">
                  <c:v>0.30813000000000001</c:v>
                </c:pt>
                <c:pt idx="2">
                  <c:v>0.30580000000000002</c:v>
                </c:pt>
                <c:pt idx="3">
                  <c:v>0.31637999999999999</c:v>
                </c:pt>
                <c:pt idx="4">
                  <c:v>0.29830999999999996</c:v>
                </c:pt>
                <c:pt idx="5">
                  <c:v>0.34390999999999999</c:v>
                </c:pt>
                <c:pt idx="6">
                  <c:v>0.40987999999999997</c:v>
                </c:pt>
                <c:pt idx="7">
                  <c:v>0.54012000000000004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FC-DC45-B166-3297A95E3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Maine!$K$3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Maine!$J$4:$J$11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Maine!$K$17:$K$24</c:f>
              <c:numCache>
                <c:formatCode>General</c:formatCode>
                <c:ptCount val="8"/>
                <c:pt idx="0">
                  <c:v>7.2487399999999997</c:v>
                </c:pt>
                <c:pt idx="1">
                  <c:v>6.1989969999999994</c:v>
                </c:pt>
                <c:pt idx="2">
                  <c:v>5.9815060000000004</c:v>
                </c:pt>
                <c:pt idx="3">
                  <c:v>6.9475670000000003</c:v>
                </c:pt>
                <c:pt idx="4">
                  <c:v>6.4365880000000004</c:v>
                </c:pt>
                <c:pt idx="5">
                  <c:v>8.4383590000000002</c:v>
                </c:pt>
                <c:pt idx="6">
                  <c:v>7.6966400000000004</c:v>
                </c:pt>
                <c:pt idx="7">
                  <c:v>8.1612980000000004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7-8D4C-9369-177C303508AD}"/>
            </c:ext>
          </c:extLst>
        </c:ser>
        <c:ser>
          <c:idx val="1"/>
          <c:order val="1"/>
          <c:tx>
            <c:strRef>
              <c:f>Maine!$L$3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Maine!$J$4:$J$11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Maine!$L$17:$L$24</c:f>
              <c:numCache>
                <c:formatCode>General</c:formatCode>
                <c:ptCount val="8"/>
                <c:pt idx="0">
                  <c:v>7.1517800000000005</c:v>
                </c:pt>
                <c:pt idx="1">
                  <c:v>5.8149199999999999</c:v>
                </c:pt>
                <c:pt idx="2">
                  <c:v>5.7844199999999999</c:v>
                </c:pt>
                <c:pt idx="3">
                  <c:v>6.3445999999999998</c:v>
                </c:pt>
                <c:pt idx="4">
                  <c:v>6.2489799999999995</c:v>
                </c:pt>
                <c:pt idx="5">
                  <c:v>7.4602899999999996</c:v>
                </c:pt>
                <c:pt idx="6">
                  <c:v>6.8817199999999996</c:v>
                </c:pt>
                <c:pt idx="7">
                  <c:v>7.8694500000000005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7-8D4C-9369-177C30350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Maryland!$C$3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Maryland!$B$4:$B$11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Maryland!$C$17:$C$24</c:f>
              <c:numCache>
                <c:formatCode>General</c:formatCode>
                <c:ptCount val="8"/>
                <c:pt idx="0">
                  <c:v>12.191679000000001</c:v>
                </c:pt>
                <c:pt idx="1">
                  <c:v>10.794003999999999</c:v>
                </c:pt>
                <c:pt idx="2">
                  <c:v>10.642182999999999</c:v>
                </c:pt>
                <c:pt idx="3">
                  <c:v>10.511845000000001</c:v>
                </c:pt>
                <c:pt idx="4">
                  <c:v>10.530973000000001</c:v>
                </c:pt>
                <c:pt idx="5">
                  <c:v>10.521709</c:v>
                </c:pt>
                <c:pt idx="6">
                  <c:v>10.489286</c:v>
                </c:pt>
                <c:pt idx="7">
                  <c:v>9.6393110000000011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FD-B548-9600-F8575239CF98}"/>
            </c:ext>
          </c:extLst>
        </c:ser>
        <c:ser>
          <c:idx val="1"/>
          <c:order val="1"/>
          <c:tx>
            <c:strRef>
              <c:f>Maryland!$D$3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Maryland!$B$4:$B$11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Maryland!$D$17:$D$24</c:f>
              <c:numCache>
                <c:formatCode>General</c:formatCode>
                <c:ptCount val="8"/>
                <c:pt idx="0">
                  <c:v>9.3972299999999986</c:v>
                </c:pt>
                <c:pt idx="1">
                  <c:v>8.40029</c:v>
                </c:pt>
                <c:pt idx="2">
                  <c:v>8.0841899999999995</c:v>
                </c:pt>
                <c:pt idx="3">
                  <c:v>8.0338999999999992</c:v>
                </c:pt>
                <c:pt idx="4">
                  <c:v>8.0810399999999998</c:v>
                </c:pt>
                <c:pt idx="5">
                  <c:v>8.0702400000000001</c:v>
                </c:pt>
                <c:pt idx="6">
                  <c:v>8.1627500000000008</c:v>
                </c:pt>
                <c:pt idx="7">
                  <c:v>8.2353899999999989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FD-B548-9600-F8575239C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Maryland!$G$3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Maryland!$F$4:$F$11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Maryland!$G$17:$G$24</c:f>
              <c:numCache>
                <c:formatCode>General</c:formatCode>
                <c:ptCount val="8"/>
                <c:pt idx="0">
                  <c:v>0.75699300000000003</c:v>
                </c:pt>
                <c:pt idx="1">
                  <c:v>0.67581999999999998</c:v>
                </c:pt>
                <c:pt idx="2">
                  <c:v>0.63184200000000001</c:v>
                </c:pt>
                <c:pt idx="3">
                  <c:v>0.67975400000000008</c:v>
                </c:pt>
                <c:pt idx="4">
                  <c:v>0.710032</c:v>
                </c:pt>
                <c:pt idx="5">
                  <c:v>0.72022400000000009</c:v>
                </c:pt>
                <c:pt idx="6">
                  <c:v>0.80277300000000007</c:v>
                </c:pt>
                <c:pt idx="7">
                  <c:v>0.70633000000000001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EA-F449-8344-9CB9B2CED612}"/>
            </c:ext>
          </c:extLst>
        </c:ser>
        <c:ser>
          <c:idx val="1"/>
          <c:order val="1"/>
          <c:tx>
            <c:strRef>
              <c:f>Maryland!$H$3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Maryland!$F$4:$F$11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Maryland!$H$17:$H$24</c:f>
              <c:numCache>
                <c:formatCode>General</c:formatCode>
                <c:ptCount val="8"/>
                <c:pt idx="0">
                  <c:v>0.63368000000000002</c:v>
                </c:pt>
                <c:pt idx="1">
                  <c:v>0.57612999999999992</c:v>
                </c:pt>
                <c:pt idx="2">
                  <c:v>0.52932999999999997</c:v>
                </c:pt>
                <c:pt idx="3">
                  <c:v>0.56818000000000002</c:v>
                </c:pt>
                <c:pt idx="4">
                  <c:v>0.59562999999999999</c:v>
                </c:pt>
                <c:pt idx="5">
                  <c:v>0.58798000000000006</c:v>
                </c:pt>
                <c:pt idx="6">
                  <c:v>0.80695000000000006</c:v>
                </c:pt>
                <c:pt idx="7">
                  <c:v>0.76303999999999994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EA-F449-8344-9CB9B2CED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Maryland!$K$3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Maryland!$J$4:$J$11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Maryland!$K$17:$K$24</c:f>
              <c:numCache>
                <c:formatCode>General</c:formatCode>
                <c:ptCount val="8"/>
                <c:pt idx="0">
                  <c:v>11.979194999999999</c:v>
                </c:pt>
                <c:pt idx="1">
                  <c:v>10.600002</c:v>
                </c:pt>
                <c:pt idx="2">
                  <c:v>10.487024</c:v>
                </c:pt>
                <c:pt idx="3">
                  <c:v>10.300286</c:v>
                </c:pt>
                <c:pt idx="4">
                  <c:v>10.288605</c:v>
                </c:pt>
                <c:pt idx="5">
                  <c:v>10.268223000000001</c:v>
                </c:pt>
                <c:pt idx="6">
                  <c:v>10.186003000000001</c:v>
                </c:pt>
                <c:pt idx="7">
                  <c:v>9.3919959999999989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2F-FB4E-851B-AA9E7148F3DC}"/>
            </c:ext>
          </c:extLst>
        </c:ser>
        <c:ser>
          <c:idx val="1"/>
          <c:order val="1"/>
          <c:tx>
            <c:strRef>
              <c:f>Maryland!$L$3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Maryland!$J$4:$J$11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Maryland!$L$17:$L$24</c:f>
              <c:numCache>
                <c:formatCode>General</c:formatCode>
                <c:ptCount val="8"/>
                <c:pt idx="0">
                  <c:v>9.906270000000001</c:v>
                </c:pt>
                <c:pt idx="1">
                  <c:v>8.7764699999999998</c:v>
                </c:pt>
                <c:pt idx="2">
                  <c:v>8.4669999999999987</c:v>
                </c:pt>
                <c:pt idx="3">
                  <c:v>8.3022299999999998</c:v>
                </c:pt>
                <c:pt idx="4">
                  <c:v>8.2988400000000002</c:v>
                </c:pt>
                <c:pt idx="5">
                  <c:v>8.2786299999999997</c:v>
                </c:pt>
                <c:pt idx="6">
                  <c:v>8.3805300000000003</c:v>
                </c:pt>
                <c:pt idx="7">
                  <c:v>8.4349299999999996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2F-FB4E-851B-AA9E7148F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03958947855976E-2"/>
          <c:y val="0.16500491582198634"/>
          <c:w val="0.93693254674435045"/>
          <c:h val="0.71458563535911601"/>
        </c:manualLayout>
      </c:layout>
      <c:lineChart>
        <c:grouping val="standard"/>
        <c:varyColors val="0"/>
        <c:ser>
          <c:idx val="0"/>
          <c:order val="0"/>
          <c:tx>
            <c:strRef>
              <c:f>Massachusetts!$C$3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Massachusetts!$B$4:$B$11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Massachusetts!$C$17:$C$24</c:f>
              <c:numCache>
                <c:formatCode>General</c:formatCode>
                <c:ptCount val="8"/>
                <c:pt idx="0">
                  <c:v>8.5071809999999992</c:v>
                </c:pt>
                <c:pt idx="1">
                  <c:v>9.8251010000000001</c:v>
                </c:pt>
                <c:pt idx="2">
                  <c:v>10.257864999999999</c:v>
                </c:pt>
                <c:pt idx="3">
                  <c:v>10.525142000000001</c:v>
                </c:pt>
                <c:pt idx="4">
                  <c:v>10.979559</c:v>
                </c:pt>
                <c:pt idx="5">
                  <c:v>12.135311</c:v>
                </c:pt>
                <c:pt idx="6">
                  <c:v>12.357131000000001</c:v>
                </c:pt>
                <c:pt idx="7">
                  <c:v>13.434747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1-4849-B37B-B04EDAD6A511}"/>
            </c:ext>
          </c:extLst>
        </c:ser>
        <c:ser>
          <c:idx val="1"/>
          <c:order val="1"/>
          <c:tx>
            <c:strRef>
              <c:f>Massachusetts!$D$3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Massachusetts!$B$4:$B$11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Massachusetts!$D$17:$D$24</c:f>
              <c:numCache>
                <c:formatCode>General</c:formatCode>
                <c:ptCount val="8"/>
                <c:pt idx="0">
                  <c:v>9.0008300000000006</c:v>
                </c:pt>
                <c:pt idx="1">
                  <c:v>9.9839500000000001</c:v>
                </c:pt>
                <c:pt idx="2">
                  <c:v>10.460990000000001</c:v>
                </c:pt>
                <c:pt idx="3">
                  <c:v>10.74113</c:v>
                </c:pt>
                <c:pt idx="4">
                  <c:v>11.224119999999999</c:v>
                </c:pt>
                <c:pt idx="5">
                  <c:v>11.470039999999999</c:v>
                </c:pt>
                <c:pt idx="6">
                  <c:v>12.324669999999999</c:v>
                </c:pt>
                <c:pt idx="7">
                  <c:v>13.558670000000001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C1-4849-B37B-B04EDAD6A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62255"/>
        <c:axId val="722103407"/>
      </c:lineChart>
      <c:catAx>
        <c:axId val="7216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3407"/>
        <c:crosses val="autoZero"/>
        <c:auto val="1"/>
        <c:lblAlgn val="ctr"/>
        <c:lblOffset val="100"/>
        <c:noMultiLvlLbl val="0"/>
      </c:catAx>
      <c:valAx>
        <c:axId val="722103407"/>
        <c:scaling>
          <c:orientation val="minMax"/>
          <c:max val="15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62255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498256990322035"/>
          <c:y val="0.93479914734415104"/>
          <c:w val="0.30693888496136124"/>
          <c:h val="4.5311349893418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03958947855976E-2"/>
          <c:y val="0.16500491582198634"/>
          <c:w val="0.93693254674435045"/>
          <c:h val="0.71458563535911601"/>
        </c:manualLayout>
      </c:layout>
      <c:lineChart>
        <c:grouping val="standard"/>
        <c:varyColors val="0"/>
        <c:ser>
          <c:idx val="0"/>
          <c:order val="0"/>
          <c:tx>
            <c:strRef>
              <c:f>'New Hampshire'!$C$3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'New Hampshire'!$B$4:$B$11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'New Hampshire'!$C$17:$C$24</c:f>
              <c:numCache>
                <c:formatCode>General</c:formatCode>
                <c:ptCount val="8"/>
                <c:pt idx="0">
                  <c:v>5.0734309999999994</c:v>
                </c:pt>
                <c:pt idx="1">
                  <c:v>5.3493899999999996</c:v>
                </c:pt>
                <c:pt idx="2">
                  <c:v>5.3668449999999996</c:v>
                </c:pt>
                <c:pt idx="3">
                  <c:v>6.3526170000000004</c:v>
                </c:pt>
                <c:pt idx="4">
                  <c:v>6.3657130000000004</c:v>
                </c:pt>
                <c:pt idx="5">
                  <c:v>6.5162389999999997</c:v>
                </c:pt>
                <c:pt idx="6">
                  <c:v>6.4990790000000009</c:v>
                </c:pt>
                <c:pt idx="7">
                  <c:v>6.9185670000000004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F1-FB40-8F40-FBDD06776E00}"/>
            </c:ext>
          </c:extLst>
        </c:ser>
        <c:ser>
          <c:idx val="1"/>
          <c:order val="1"/>
          <c:tx>
            <c:strRef>
              <c:f>'New Hampshire'!$D$3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'New Hampshire'!$B$4:$B$11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'New Hampshire'!$D$17:$D$24</c:f>
              <c:numCache>
                <c:formatCode>General</c:formatCode>
                <c:ptCount val="8"/>
                <c:pt idx="0">
                  <c:v>5.5803000000000003</c:v>
                </c:pt>
                <c:pt idx="1">
                  <c:v>5.83345</c:v>
                </c:pt>
                <c:pt idx="2">
                  <c:v>5.8238400000000006</c:v>
                </c:pt>
                <c:pt idx="3">
                  <c:v>6.8666700000000001</c:v>
                </c:pt>
                <c:pt idx="4">
                  <c:v>6.8436700000000004</c:v>
                </c:pt>
                <c:pt idx="5">
                  <c:v>6.9852100000000004</c:v>
                </c:pt>
                <c:pt idx="6">
                  <c:v>7.0056599999999998</c:v>
                </c:pt>
                <c:pt idx="7">
                  <c:v>7.7956899999999996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F1-FB40-8F40-FBDD06776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62255"/>
        <c:axId val="722103407"/>
      </c:lineChart>
      <c:catAx>
        <c:axId val="7216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3407"/>
        <c:crosses val="autoZero"/>
        <c:auto val="1"/>
        <c:lblAlgn val="ctr"/>
        <c:lblOffset val="100"/>
        <c:noMultiLvlLbl val="0"/>
      </c:catAx>
      <c:valAx>
        <c:axId val="722103407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62255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498256990322035"/>
          <c:y val="0.93479914734415104"/>
          <c:w val="0.30693888496136124"/>
          <c:h val="4.5311349893418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03958947855976E-2"/>
          <c:y val="0.16500491582198634"/>
          <c:w val="0.93693254674435045"/>
          <c:h val="0.71458563535911601"/>
        </c:manualLayout>
      </c:layout>
      <c:lineChart>
        <c:grouping val="standard"/>
        <c:varyColors val="0"/>
        <c:ser>
          <c:idx val="0"/>
          <c:order val="0"/>
          <c:tx>
            <c:strRef>
              <c:f>'New Jersey'!$C$3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'New Jersey'!$B$4:$B$11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'New Jersey'!$C$17:$C$24</c:f>
              <c:numCache>
                <c:formatCode>General</c:formatCode>
                <c:ptCount val="8"/>
                <c:pt idx="0">
                  <c:v>2.5405579999999999</c:v>
                </c:pt>
                <c:pt idx="1">
                  <c:v>3.5934269999999997</c:v>
                </c:pt>
                <c:pt idx="2">
                  <c:v>4.9250470000000002</c:v>
                </c:pt>
                <c:pt idx="3">
                  <c:v>6.4309679999999991</c:v>
                </c:pt>
                <c:pt idx="4">
                  <c:v>8.1916390000000003</c:v>
                </c:pt>
                <c:pt idx="5">
                  <c:v>9.1161460000000005</c:v>
                </c:pt>
                <c:pt idx="6">
                  <c:v>11.226316000000001</c:v>
                </c:pt>
                <c:pt idx="7">
                  <c:v>14.193239999999999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FA-2949-861B-D35F24120E4A}"/>
            </c:ext>
          </c:extLst>
        </c:ser>
        <c:ser>
          <c:idx val="1"/>
          <c:order val="1"/>
          <c:tx>
            <c:strRef>
              <c:f>'New Jersey'!$D$3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'New Jersey'!$B$4:$B$11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'New Jersey'!$D$17:$D$24</c:f>
              <c:numCache>
                <c:formatCode>General</c:formatCode>
                <c:ptCount val="8"/>
                <c:pt idx="0">
                  <c:v>2.6837300000000002</c:v>
                </c:pt>
                <c:pt idx="1">
                  <c:v>3.8508599999999995</c:v>
                </c:pt>
                <c:pt idx="2">
                  <c:v>5.2165400000000002</c:v>
                </c:pt>
                <c:pt idx="3">
                  <c:v>6.7096</c:v>
                </c:pt>
                <c:pt idx="4">
                  <c:v>8.4307400000000001</c:v>
                </c:pt>
                <c:pt idx="5">
                  <c:v>9.2668800000000005</c:v>
                </c:pt>
                <c:pt idx="6">
                  <c:v>11.27097</c:v>
                </c:pt>
                <c:pt idx="7">
                  <c:v>13.828720000000001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FA-2949-861B-D35F24120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62255"/>
        <c:axId val="722103407"/>
      </c:lineChart>
      <c:catAx>
        <c:axId val="7216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3407"/>
        <c:crosses val="autoZero"/>
        <c:auto val="1"/>
        <c:lblAlgn val="ctr"/>
        <c:lblOffset val="100"/>
        <c:noMultiLvlLbl val="0"/>
      </c:catAx>
      <c:valAx>
        <c:axId val="722103407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62255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498256990322035"/>
          <c:y val="0.93479914734415104"/>
          <c:w val="0.30693888496136124"/>
          <c:h val="4.5311349893418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03958947855976E-2"/>
          <c:y val="0.16500491582198634"/>
          <c:w val="0.93693254674435045"/>
          <c:h val="0.71458563535911601"/>
        </c:manualLayout>
      </c:layout>
      <c:lineChart>
        <c:grouping val="standard"/>
        <c:varyColors val="0"/>
        <c:ser>
          <c:idx val="0"/>
          <c:order val="0"/>
          <c:tx>
            <c:strRef>
              <c:f>'New York'!$C$3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'New York'!$B$4:$B$11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'New York'!$C$17:$C$24</c:f>
              <c:numCache>
                <c:formatCode>General</c:formatCode>
                <c:ptCount val="8"/>
                <c:pt idx="0">
                  <c:v>8.8546519999999997</c:v>
                </c:pt>
                <c:pt idx="1">
                  <c:v>6.8356050000000002</c:v>
                </c:pt>
                <c:pt idx="2">
                  <c:v>6.0705109999999998</c:v>
                </c:pt>
                <c:pt idx="3">
                  <c:v>5.0931920000000002</c:v>
                </c:pt>
                <c:pt idx="4">
                  <c:v>5.4480180000000002</c:v>
                </c:pt>
                <c:pt idx="5">
                  <c:v>4.6106540000000003</c:v>
                </c:pt>
                <c:pt idx="6">
                  <c:v>4.9469050000000001</c:v>
                </c:pt>
                <c:pt idx="7">
                  <c:v>5.0070700000000006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F4-3741-8B29-1B22BDF59781}"/>
            </c:ext>
          </c:extLst>
        </c:ser>
        <c:ser>
          <c:idx val="1"/>
          <c:order val="1"/>
          <c:tx>
            <c:strRef>
              <c:f>'New York'!$D$3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'New York'!$B$4:$B$11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'New York'!$D$17:$D$24</c:f>
              <c:numCache>
                <c:formatCode>General</c:formatCode>
                <c:ptCount val="8"/>
                <c:pt idx="0">
                  <c:v>9.1102399999999992</c:v>
                </c:pt>
                <c:pt idx="1">
                  <c:v>7.1429900000000002</c:v>
                </c:pt>
                <c:pt idx="2">
                  <c:v>6.3597900000000003</c:v>
                </c:pt>
                <c:pt idx="3">
                  <c:v>5.3715600000000006</c:v>
                </c:pt>
                <c:pt idx="4">
                  <c:v>5.7542099999999996</c:v>
                </c:pt>
                <c:pt idx="5">
                  <c:v>4.8985799999999999</c:v>
                </c:pt>
                <c:pt idx="6">
                  <c:v>5.2378200000000001</c:v>
                </c:pt>
                <c:pt idx="7">
                  <c:v>5.3130600000000001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F4-3741-8B29-1B22BDF59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62255"/>
        <c:axId val="722103407"/>
      </c:lineChart>
      <c:catAx>
        <c:axId val="7216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3407"/>
        <c:crosses val="autoZero"/>
        <c:auto val="1"/>
        <c:lblAlgn val="ctr"/>
        <c:lblOffset val="100"/>
        <c:noMultiLvlLbl val="0"/>
      </c:catAx>
      <c:valAx>
        <c:axId val="72210340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62255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498256990322035"/>
          <c:y val="0.93479914734415104"/>
          <c:w val="0.30693888496136124"/>
          <c:h val="4.5311349893418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'Rhode Island'!$C$3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'Rhode Island'!$B$4:$B$11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'Rhode Island'!$C$17:$C$24</c:f>
              <c:numCache>
                <c:formatCode>General</c:formatCode>
                <c:ptCount val="8"/>
                <c:pt idx="0">
                  <c:v>12.356643</c:v>
                </c:pt>
                <c:pt idx="1">
                  <c:v>12.505520000000001</c:v>
                </c:pt>
                <c:pt idx="2">
                  <c:v>12.974475999999999</c:v>
                </c:pt>
                <c:pt idx="3">
                  <c:v>16.340962999999999</c:v>
                </c:pt>
                <c:pt idx="4">
                  <c:v>12.507937</c:v>
                </c:pt>
                <c:pt idx="5">
                  <c:v>12.026327999999999</c:v>
                </c:pt>
                <c:pt idx="6">
                  <c:v>12.883729999999998</c:v>
                </c:pt>
                <c:pt idx="7">
                  <c:v>12.667804999999998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3A-B342-84EA-A1C02FB85540}"/>
            </c:ext>
          </c:extLst>
        </c:ser>
        <c:ser>
          <c:idx val="1"/>
          <c:order val="1"/>
          <c:tx>
            <c:strRef>
              <c:f>'Rhode Island'!$D$3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'Rhode Island'!$B$4:$B$11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'Rhode Island'!$D$17:$D$24</c:f>
              <c:numCache>
                <c:formatCode>General</c:formatCode>
                <c:ptCount val="8"/>
                <c:pt idx="0">
                  <c:v>12.74953</c:v>
                </c:pt>
                <c:pt idx="1">
                  <c:v>12.90887</c:v>
                </c:pt>
                <c:pt idx="2">
                  <c:v>13.05796</c:v>
                </c:pt>
                <c:pt idx="3">
                  <c:v>15.001629999999999</c:v>
                </c:pt>
                <c:pt idx="4">
                  <c:v>13.056119999999998</c:v>
                </c:pt>
                <c:pt idx="5">
                  <c:v>12.70425</c:v>
                </c:pt>
                <c:pt idx="6">
                  <c:v>13.462759999999999</c:v>
                </c:pt>
                <c:pt idx="7">
                  <c:v>13.26994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3A-B342-84EA-A1C02FB85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20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'Rhode Island'!$G$3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'Rhode Island'!$F$4:$F$11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'Rhode Island'!$G$17:$G$24</c:f>
              <c:numCache>
                <c:formatCode>General</c:formatCode>
                <c:ptCount val="8"/>
                <c:pt idx="0">
                  <c:v>7.5161379999999998</c:v>
                </c:pt>
                <c:pt idx="1">
                  <c:v>7.6054680000000001</c:v>
                </c:pt>
                <c:pt idx="2">
                  <c:v>7.6137850000000009</c:v>
                </c:pt>
                <c:pt idx="3">
                  <c:v>8.1996380000000002</c:v>
                </c:pt>
                <c:pt idx="4">
                  <c:v>7.3858709999999999</c:v>
                </c:pt>
                <c:pt idx="5">
                  <c:v>6.8735010000000001</c:v>
                </c:pt>
                <c:pt idx="6">
                  <c:v>7.4019560000000002</c:v>
                </c:pt>
                <c:pt idx="7">
                  <c:v>7.2864369999999994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89-7049-9D86-8FCE4CEF4BE3}"/>
            </c:ext>
          </c:extLst>
        </c:ser>
        <c:ser>
          <c:idx val="1"/>
          <c:order val="1"/>
          <c:tx>
            <c:strRef>
              <c:f>'Rhode Island'!$H$3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'Rhode Island'!$F$4:$F$11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'Rhode Island'!$H$17:$H$24</c:f>
              <c:numCache>
                <c:formatCode>General</c:formatCode>
                <c:ptCount val="8"/>
                <c:pt idx="0">
                  <c:v>7.7790499999999998</c:v>
                </c:pt>
                <c:pt idx="1">
                  <c:v>7.8725600000000009</c:v>
                </c:pt>
                <c:pt idx="2">
                  <c:v>7.6664300000000001</c:v>
                </c:pt>
                <c:pt idx="3">
                  <c:v>7.6915399999999998</c:v>
                </c:pt>
                <c:pt idx="4">
                  <c:v>7.7141199999999994</c:v>
                </c:pt>
                <c:pt idx="5">
                  <c:v>7.2629799999999998</c:v>
                </c:pt>
                <c:pt idx="6">
                  <c:v>7.7665899999999999</c:v>
                </c:pt>
                <c:pt idx="7">
                  <c:v>7.6619099999999998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89-7049-9D86-8FCE4CEF4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'Rhode Island'!$K$3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'Rhode Island'!$J$4:$J$11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'Rhode Island'!$K$17:$K$24</c:f>
              <c:numCache>
                <c:formatCode>General</c:formatCode>
                <c:ptCount val="8"/>
                <c:pt idx="0">
                  <c:v>4.832999</c:v>
                </c:pt>
                <c:pt idx="1">
                  <c:v>4.8931750000000003</c:v>
                </c:pt>
                <c:pt idx="2">
                  <c:v>5.3584870000000002</c:v>
                </c:pt>
                <c:pt idx="3">
                  <c:v>8.1528519999999993</c:v>
                </c:pt>
                <c:pt idx="4">
                  <c:v>5.1265280000000004</c:v>
                </c:pt>
                <c:pt idx="5">
                  <c:v>5.1503500000000004</c:v>
                </c:pt>
                <c:pt idx="6">
                  <c:v>5.4862349999999998</c:v>
                </c:pt>
                <c:pt idx="7">
                  <c:v>5.3858299999999995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7F-9E43-A507-DF9AC5E77390}"/>
            </c:ext>
          </c:extLst>
        </c:ser>
        <c:ser>
          <c:idx val="1"/>
          <c:order val="1"/>
          <c:tx>
            <c:strRef>
              <c:f>'Rhode Island'!$L$3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'Rhode Island'!$J$4:$J$11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'Rhode Island'!$L$17:$L$24</c:f>
              <c:numCache>
                <c:formatCode>General</c:formatCode>
                <c:ptCount val="8"/>
                <c:pt idx="0">
                  <c:v>4.9703499999999998</c:v>
                </c:pt>
                <c:pt idx="1">
                  <c:v>5.0361799999999999</c:v>
                </c:pt>
                <c:pt idx="2">
                  <c:v>5.3914099999999996</c:v>
                </c:pt>
                <c:pt idx="3">
                  <c:v>7.3504399999999999</c:v>
                </c:pt>
                <c:pt idx="4">
                  <c:v>5.3806899999999995</c:v>
                </c:pt>
                <c:pt idx="5">
                  <c:v>5.4411500000000004</c:v>
                </c:pt>
                <c:pt idx="6">
                  <c:v>5.7339200000000003</c:v>
                </c:pt>
                <c:pt idx="7">
                  <c:v>5.64398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7F-9E43-A507-DF9AC5E77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03958947855976E-2"/>
          <c:y val="0.16500491582198634"/>
          <c:w val="0.93693254674435045"/>
          <c:h val="0.71458563535911601"/>
        </c:manualLayout>
      </c:layout>
      <c:lineChart>
        <c:grouping val="standard"/>
        <c:varyColors val="0"/>
        <c:ser>
          <c:idx val="0"/>
          <c:order val="0"/>
          <c:tx>
            <c:strRef>
              <c:f>Vermont!$C$3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Vermont!$B$4:$B$11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Vermont!$C$17:$C$24</c:f>
              <c:numCache>
                <c:formatCode>General</c:formatCode>
                <c:ptCount val="8"/>
                <c:pt idx="0">
                  <c:v>6.5542870000000004</c:v>
                </c:pt>
                <c:pt idx="1">
                  <c:v>6.0822669999999999</c:v>
                </c:pt>
                <c:pt idx="2">
                  <c:v>6.4561190000000002</c:v>
                </c:pt>
                <c:pt idx="3">
                  <c:v>8.7050830000000001</c:v>
                </c:pt>
                <c:pt idx="4">
                  <c:v>8.6130069999999996</c:v>
                </c:pt>
                <c:pt idx="5">
                  <c:v>9.019362000000001</c:v>
                </c:pt>
                <c:pt idx="6">
                  <c:v>8.913945</c:v>
                </c:pt>
                <c:pt idx="7">
                  <c:v>19.493289000000001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65-EF42-8B95-DA06752378D0}"/>
            </c:ext>
          </c:extLst>
        </c:ser>
        <c:ser>
          <c:idx val="1"/>
          <c:order val="1"/>
          <c:tx>
            <c:strRef>
              <c:f>Vermont!$D$3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Vermont!$B$4:$B$11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Vermont!$D$17:$D$24</c:f>
              <c:numCache>
                <c:formatCode>General</c:formatCode>
                <c:ptCount val="8"/>
                <c:pt idx="0">
                  <c:v>6.2101299999999995</c:v>
                </c:pt>
                <c:pt idx="1">
                  <c:v>5.8657599999999999</c:v>
                </c:pt>
                <c:pt idx="2">
                  <c:v>6.1644600000000001</c:v>
                </c:pt>
                <c:pt idx="3">
                  <c:v>8.4045400000000008</c:v>
                </c:pt>
                <c:pt idx="4">
                  <c:v>8.4721299999999999</c:v>
                </c:pt>
                <c:pt idx="5">
                  <c:v>8.5805400000000009</c:v>
                </c:pt>
                <c:pt idx="6">
                  <c:v>8.8544499999999999</c:v>
                </c:pt>
                <c:pt idx="7">
                  <c:v>17.302049999999998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65-EF42-8B95-DA0675237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62255"/>
        <c:axId val="722103407"/>
      </c:lineChart>
      <c:catAx>
        <c:axId val="7216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3407"/>
        <c:crosses val="autoZero"/>
        <c:auto val="1"/>
        <c:lblAlgn val="ctr"/>
        <c:lblOffset val="100"/>
        <c:noMultiLvlLbl val="0"/>
      </c:catAx>
      <c:valAx>
        <c:axId val="722103407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62255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498256990322035"/>
          <c:y val="0.93479914734415104"/>
          <c:w val="0.30693888496136124"/>
          <c:h val="4.5311349893418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Illinois!$C$3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Illinois!$B$4:$B$11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Illinois!$C$17:$C$24</c:f>
              <c:numCache>
                <c:formatCode>General</c:formatCode>
                <c:ptCount val="8"/>
                <c:pt idx="0">
                  <c:v>16.814373</c:v>
                </c:pt>
                <c:pt idx="1">
                  <c:v>17.604271000000001</c:v>
                </c:pt>
                <c:pt idx="2">
                  <c:v>16.497501</c:v>
                </c:pt>
                <c:pt idx="3">
                  <c:v>17.641710999999997</c:v>
                </c:pt>
                <c:pt idx="4">
                  <c:v>18.19229</c:v>
                </c:pt>
                <c:pt idx="5">
                  <c:v>19.200859000000001</c:v>
                </c:pt>
                <c:pt idx="6">
                  <c:v>21.245094000000002</c:v>
                </c:pt>
                <c:pt idx="7">
                  <c:v>22.657557000000001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CD-804D-AEF0-8F2DD3BE41C1}"/>
            </c:ext>
          </c:extLst>
        </c:ser>
        <c:ser>
          <c:idx val="1"/>
          <c:order val="1"/>
          <c:tx>
            <c:strRef>
              <c:f>Illinois!$D$3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Illinois!$B$4:$B$11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Illinois!$D$17:$D$24</c:f>
              <c:numCache>
                <c:formatCode>General</c:formatCode>
                <c:ptCount val="8"/>
                <c:pt idx="0">
                  <c:v>15.612639999999999</c:v>
                </c:pt>
                <c:pt idx="1">
                  <c:v>13.55382</c:v>
                </c:pt>
                <c:pt idx="2">
                  <c:v>13.259119999999999</c:v>
                </c:pt>
                <c:pt idx="3">
                  <c:v>15.325890000000001</c:v>
                </c:pt>
                <c:pt idx="4">
                  <c:v>16.249839999999999</c:v>
                </c:pt>
                <c:pt idx="5">
                  <c:v>16.708369999999999</c:v>
                </c:pt>
                <c:pt idx="6">
                  <c:v>17.168869999999998</c:v>
                </c:pt>
                <c:pt idx="7">
                  <c:v>18.85285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CD-804D-AEF0-8F2DD3BE4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24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Illinois!$C$3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Illinois!$B$4:$B$11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Illinois!$K$17:$K$24</c:f>
              <c:numCache>
                <c:formatCode>General</c:formatCode>
                <c:ptCount val="8"/>
                <c:pt idx="0">
                  <c:v>16.196982999999999</c:v>
                </c:pt>
                <c:pt idx="1">
                  <c:v>17.015472000000003</c:v>
                </c:pt>
                <c:pt idx="2">
                  <c:v>15.965749000000001</c:v>
                </c:pt>
                <c:pt idx="3">
                  <c:v>17.387991</c:v>
                </c:pt>
                <c:pt idx="4">
                  <c:v>17.940328000000001</c:v>
                </c:pt>
                <c:pt idx="5">
                  <c:v>18.958508999999999</c:v>
                </c:pt>
                <c:pt idx="6">
                  <c:v>20.994107</c:v>
                </c:pt>
                <c:pt idx="7">
                  <c:v>22.398624000000002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F0-6345-ADF5-59FCAD30E8AB}"/>
            </c:ext>
          </c:extLst>
        </c:ser>
        <c:ser>
          <c:idx val="1"/>
          <c:order val="1"/>
          <c:tx>
            <c:strRef>
              <c:f>Illinois!$D$3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Illinois!$B$4:$B$11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Illinois!$L$17:$L$24</c:f>
              <c:numCache>
                <c:formatCode>General</c:formatCode>
                <c:ptCount val="8"/>
                <c:pt idx="0">
                  <c:v>12.56263</c:v>
                </c:pt>
                <c:pt idx="1">
                  <c:v>13.117049999999999</c:v>
                </c:pt>
                <c:pt idx="2">
                  <c:v>12.84967</c:v>
                </c:pt>
                <c:pt idx="3">
                  <c:v>15.119430000000001</c:v>
                </c:pt>
                <c:pt idx="4">
                  <c:v>16.038610000000002</c:v>
                </c:pt>
                <c:pt idx="5">
                  <c:v>16.50892</c:v>
                </c:pt>
                <c:pt idx="6">
                  <c:v>16.975519999999999</c:v>
                </c:pt>
                <c:pt idx="7">
                  <c:v>18.645790000000002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F0-6345-ADF5-59FCAD30E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24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Indiana!$C$3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Indiana!$B$4:$B$11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Indiana!$C$17:$C$24</c:f>
              <c:numCache>
                <c:formatCode>General</c:formatCode>
                <c:ptCount val="8"/>
                <c:pt idx="0">
                  <c:v>13.988967999999998</c:v>
                </c:pt>
                <c:pt idx="1">
                  <c:v>14.190878000000001</c:v>
                </c:pt>
                <c:pt idx="2">
                  <c:v>13.725277999999999</c:v>
                </c:pt>
                <c:pt idx="3">
                  <c:v>14.267869999999998</c:v>
                </c:pt>
                <c:pt idx="4">
                  <c:v>10.02905</c:v>
                </c:pt>
                <c:pt idx="5">
                  <c:v>13.713023999999999</c:v>
                </c:pt>
                <c:pt idx="6">
                  <c:v>23.168596999999998</c:v>
                </c:pt>
                <c:pt idx="7">
                  <c:v>18.811658000000001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15-D747-A8AA-58AFE9787102}"/>
            </c:ext>
          </c:extLst>
        </c:ser>
        <c:ser>
          <c:idx val="1"/>
          <c:order val="1"/>
          <c:tx>
            <c:strRef>
              <c:f>Indiana!$D$3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Indiana!$B$4:$B$11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Indiana!$D$17:$D$24</c:f>
              <c:numCache>
                <c:formatCode>General</c:formatCode>
                <c:ptCount val="8"/>
                <c:pt idx="0">
                  <c:v>14.365810000000002</c:v>
                </c:pt>
                <c:pt idx="1">
                  <c:v>14.57521</c:v>
                </c:pt>
                <c:pt idx="2">
                  <c:v>14.232670000000001</c:v>
                </c:pt>
                <c:pt idx="3">
                  <c:v>14.328360000000002</c:v>
                </c:pt>
                <c:pt idx="4">
                  <c:v>10.482149999999999</c:v>
                </c:pt>
                <c:pt idx="5">
                  <c:v>13.626669999999999</c:v>
                </c:pt>
                <c:pt idx="6">
                  <c:v>21.98959</c:v>
                </c:pt>
                <c:pt idx="7">
                  <c:v>18.174129999999998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15-D747-A8AA-58AFE9787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25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Indiana!$G$3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Indiana!$F$4:$F$11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Indiana!$G$17:$G$24</c:f>
              <c:numCache>
                <c:formatCode>General</c:formatCode>
                <c:ptCount val="8"/>
                <c:pt idx="0">
                  <c:v>2.8005</c:v>
                </c:pt>
                <c:pt idx="1">
                  <c:v>2.825437</c:v>
                </c:pt>
                <c:pt idx="2">
                  <c:v>2.8833449999999998</c:v>
                </c:pt>
                <c:pt idx="3">
                  <c:v>2.908744</c:v>
                </c:pt>
                <c:pt idx="4">
                  <c:v>2.956979</c:v>
                </c:pt>
                <c:pt idx="5">
                  <c:v>2.1959240000000002</c:v>
                </c:pt>
                <c:pt idx="6">
                  <c:v>2.4926340000000002</c:v>
                </c:pt>
                <c:pt idx="7">
                  <c:v>2.2169140000000001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B0-F74C-9408-AFC9E1803582}"/>
            </c:ext>
          </c:extLst>
        </c:ser>
        <c:ser>
          <c:idx val="1"/>
          <c:order val="1"/>
          <c:tx>
            <c:strRef>
              <c:f>Indiana!$H$3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Indiana!$F$4:$F$11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Indiana!$H$17:$H$24</c:f>
              <c:numCache>
                <c:formatCode>General</c:formatCode>
                <c:ptCount val="8"/>
                <c:pt idx="0">
                  <c:v>2.8542000000000001</c:v>
                </c:pt>
                <c:pt idx="1">
                  <c:v>2.8828399999999998</c:v>
                </c:pt>
                <c:pt idx="2">
                  <c:v>2.9550700000000001</c:v>
                </c:pt>
                <c:pt idx="3">
                  <c:v>2.97919</c:v>
                </c:pt>
                <c:pt idx="4">
                  <c:v>3.0152899999999998</c:v>
                </c:pt>
                <c:pt idx="5">
                  <c:v>2.29352</c:v>
                </c:pt>
                <c:pt idx="6">
                  <c:v>2.5964399999999999</c:v>
                </c:pt>
                <c:pt idx="7">
                  <c:v>2.3195100000000002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B0-F74C-9408-AFC9E1803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Indiana!$K$3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Indiana!$J$4:$J$11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Indiana!$K$17:$K$24</c:f>
              <c:numCache>
                <c:formatCode>General</c:formatCode>
                <c:ptCount val="8"/>
                <c:pt idx="0">
                  <c:v>11.192620999999999</c:v>
                </c:pt>
                <c:pt idx="1">
                  <c:v>11.371207999999999</c:v>
                </c:pt>
                <c:pt idx="2">
                  <c:v>10.845543000000001</c:v>
                </c:pt>
                <c:pt idx="3">
                  <c:v>11.354828999999999</c:v>
                </c:pt>
                <c:pt idx="4">
                  <c:v>7.0619230000000002</c:v>
                </c:pt>
                <c:pt idx="5">
                  <c:v>11.512490999999999</c:v>
                </c:pt>
                <c:pt idx="6">
                  <c:v>20.648746000000003</c:v>
                </c:pt>
                <c:pt idx="7">
                  <c:v>16.576574000000001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D2-7046-A298-9865D9611945}"/>
            </c:ext>
          </c:extLst>
        </c:ser>
        <c:ser>
          <c:idx val="1"/>
          <c:order val="1"/>
          <c:tx>
            <c:strRef>
              <c:f>Indiana!$L$3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Indiana!$J$4:$J$11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Indiana!$L$17:$L$24</c:f>
              <c:numCache>
                <c:formatCode>General</c:formatCode>
                <c:ptCount val="8"/>
                <c:pt idx="0">
                  <c:v>11.54393</c:v>
                </c:pt>
                <c:pt idx="1">
                  <c:v>11.723749999999999</c:v>
                </c:pt>
                <c:pt idx="2">
                  <c:v>11.29941</c:v>
                </c:pt>
                <c:pt idx="3">
                  <c:v>11.378259999999999</c:v>
                </c:pt>
                <c:pt idx="4">
                  <c:v>7.3809700000000005</c:v>
                </c:pt>
                <c:pt idx="5">
                  <c:v>11.36684</c:v>
                </c:pt>
                <c:pt idx="6">
                  <c:v>19.374410000000001</c:v>
                </c:pt>
                <c:pt idx="7">
                  <c:v>15.853819999999999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D2-7046-A298-9865D9611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25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Iowa!$C$3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Iowa!$B$4:$B$11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Iowa!$C$17:$C$24</c:f>
              <c:numCache>
                <c:formatCode>General</c:formatCode>
                <c:ptCount val="8"/>
                <c:pt idx="0">
                  <c:v>5.479209</c:v>
                </c:pt>
                <c:pt idx="1">
                  <c:v>5.504467</c:v>
                </c:pt>
                <c:pt idx="2">
                  <c:v>5.5281260000000003</c:v>
                </c:pt>
                <c:pt idx="3">
                  <c:v>5.5045739999999999</c:v>
                </c:pt>
                <c:pt idx="4">
                  <c:v>5.8442959999999999</c:v>
                </c:pt>
                <c:pt idx="5">
                  <c:v>5.8912510000000005</c:v>
                </c:pt>
                <c:pt idx="6">
                  <c:v>5.7675030000000005</c:v>
                </c:pt>
                <c:pt idx="7">
                  <c:v>5.6420900000000005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4-0043-827C-DDE6A15D70E2}"/>
            </c:ext>
          </c:extLst>
        </c:ser>
        <c:ser>
          <c:idx val="1"/>
          <c:order val="1"/>
          <c:tx>
            <c:strRef>
              <c:f>Iowa!$D$3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Iowa!$B$4:$B$11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Iowa!$D$17:$D$24</c:f>
              <c:numCache>
                <c:formatCode>General</c:formatCode>
                <c:ptCount val="8"/>
                <c:pt idx="0">
                  <c:v>5.5798500000000004</c:v>
                </c:pt>
                <c:pt idx="1">
                  <c:v>5.62974</c:v>
                </c:pt>
                <c:pt idx="2">
                  <c:v>5.6714399999999996</c:v>
                </c:pt>
                <c:pt idx="3">
                  <c:v>5.63314</c:v>
                </c:pt>
                <c:pt idx="4">
                  <c:v>5.9021100000000004</c:v>
                </c:pt>
                <c:pt idx="5">
                  <c:v>5.96</c:v>
                </c:pt>
                <c:pt idx="6">
                  <c:v>5.8479400000000004</c:v>
                </c:pt>
                <c:pt idx="7">
                  <c:v>5.7501600000000002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64-0043-827C-DDE6A15D7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Kansas!$C$3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Kansas!$B$4:$B$11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Kansas!$C$17:$C$24</c:f>
              <c:numCache>
                <c:formatCode>General</c:formatCode>
                <c:ptCount val="8"/>
                <c:pt idx="0">
                  <c:v>6.3228870000000006</c:v>
                </c:pt>
                <c:pt idx="1">
                  <c:v>21.208483000000001</c:v>
                </c:pt>
                <c:pt idx="2">
                  <c:v>6.9183560000000002</c:v>
                </c:pt>
                <c:pt idx="3">
                  <c:v>7.5320970000000003</c:v>
                </c:pt>
                <c:pt idx="4">
                  <c:v>8.135408</c:v>
                </c:pt>
                <c:pt idx="5">
                  <c:v>8.4931889999999992</c:v>
                </c:pt>
                <c:pt idx="6">
                  <c:v>8.1543299999999999</c:v>
                </c:pt>
                <c:pt idx="7">
                  <c:v>7.5917399999999997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2D-B840-87F9-BC0959E3D5A0}"/>
            </c:ext>
          </c:extLst>
        </c:ser>
        <c:ser>
          <c:idx val="1"/>
          <c:order val="1"/>
          <c:tx>
            <c:strRef>
              <c:f>Kansas!$D$3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Kansas!$B$4:$B$11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Kansas!$D$17:$D$24</c:f>
              <c:numCache>
                <c:formatCode>General</c:formatCode>
                <c:ptCount val="8"/>
                <c:pt idx="0">
                  <c:v>7.0577000000000005</c:v>
                </c:pt>
                <c:pt idx="1">
                  <c:v>19.84939</c:v>
                </c:pt>
                <c:pt idx="2">
                  <c:v>7.7514000000000003</c:v>
                </c:pt>
                <c:pt idx="3">
                  <c:v>8.4476300000000002</c:v>
                </c:pt>
                <c:pt idx="4">
                  <c:v>9.1945899999999998</c:v>
                </c:pt>
                <c:pt idx="5">
                  <c:v>9.4165700000000001</c:v>
                </c:pt>
                <c:pt idx="6">
                  <c:v>9.16709</c:v>
                </c:pt>
                <c:pt idx="7">
                  <c:v>8.5854999999999997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2D-B840-87F9-BC0959E3D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Kansas!$G$3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Kansas!$F$4:$F$11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Kansas!$G$17:$G$24</c:f>
              <c:numCache>
                <c:formatCode>General</c:formatCode>
                <c:ptCount val="8"/>
                <c:pt idx="0">
                  <c:v>5.434183</c:v>
                </c:pt>
                <c:pt idx="1">
                  <c:v>5.9146840000000003</c:v>
                </c:pt>
                <c:pt idx="2">
                  <c:v>5.9752149999999995</c:v>
                </c:pt>
                <c:pt idx="3">
                  <c:v>6.534752000000001</c:v>
                </c:pt>
                <c:pt idx="4">
                  <c:v>7.0490979999999999</c:v>
                </c:pt>
                <c:pt idx="5">
                  <c:v>7.3699219999999999</c:v>
                </c:pt>
                <c:pt idx="6">
                  <c:v>7.0850750000000007</c:v>
                </c:pt>
                <c:pt idx="7">
                  <c:v>6.6735149999999992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73-E548-A7E3-E5A73FD2C501}"/>
            </c:ext>
          </c:extLst>
        </c:ser>
        <c:ser>
          <c:idx val="1"/>
          <c:order val="1"/>
          <c:tx>
            <c:strRef>
              <c:f>Kansas!$H$3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Kansas!$F$4:$F$11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Kansas!$H$17:$H$24</c:f>
              <c:numCache>
                <c:formatCode>General</c:formatCode>
                <c:ptCount val="8"/>
                <c:pt idx="0">
                  <c:v>6.04495</c:v>
                </c:pt>
                <c:pt idx="1">
                  <c:v>6.5911499999999998</c:v>
                </c:pt>
                <c:pt idx="2">
                  <c:v>6.6706199999999995</c:v>
                </c:pt>
                <c:pt idx="3">
                  <c:v>7.2575700000000003</c:v>
                </c:pt>
                <c:pt idx="4">
                  <c:v>7.8562599999999998</c:v>
                </c:pt>
                <c:pt idx="5">
                  <c:v>8.0765899999999995</c:v>
                </c:pt>
                <c:pt idx="6">
                  <c:v>7.8586</c:v>
                </c:pt>
                <c:pt idx="7">
                  <c:v>7.4200699999999991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73-E548-A7E3-E5A73FD2C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Kansas!$C$3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Kansas!$J$4:$J$11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Kansas!$K$17:$K$24</c:f>
              <c:numCache>
                <c:formatCode>General</c:formatCode>
                <c:ptCount val="8"/>
                <c:pt idx="0">
                  <c:v>0.87714199999999998</c:v>
                </c:pt>
                <c:pt idx="1">
                  <c:v>14.957778999999999</c:v>
                </c:pt>
                <c:pt idx="2">
                  <c:v>0.93544899999999997</c:v>
                </c:pt>
                <c:pt idx="3">
                  <c:v>0.99329699999999987</c:v>
                </c:pt>
                <c:pt idx="4">
                  <c:v>1.0804360000000002</c:v>
                </c:pt>
                <c:pt idx="5">
                  <c:v>1.1226969999999998</c:v>
                </c:pt>
                <c:pt idx="6">
                  <c:v>1.0659000000000001</c:v>
                </c:pt>
                <c:pt idx="7">
                  <c:v>0.91496400000000011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6E-2D49-ABB3-53A8EF79A3E4}"/>
            </c:ext>
          </c:extLst>
        </c:ser>
        <c:ser>
          <c:idx val="1"/>
          <c:order val="1"/>
          <c:tx>
            <c:strRef>
              <c:f>Kansas!$L$3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Kansas!$J$4:$J$11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Kansas!$L$17:$L$24</c:f>
              <c:numCache>
                <c:formatCode>General</c:formatCode>
                <c:ptCount val="8"/>
                <c:pt idx="0">
                  <c:v>1.0022200000000001</c:v>
                </c:pt>
                <c:pt idx="1">
                  <c:v>11.346390000000001</c:v>
                </c:pt>
                <c:pt idx="2">
                  <c:v>1.0800099999999999</c:v>
                </c:pt>
                <c:pt idx="3">
                  <c:v>1.1704700000000001</c:v>
                </c:pt>
                <c:pt idx="4">
                  <c:v>1.2946</c:v>
                </c:pt>
                <c:pt idx="5">
                  <c:v>1.3329600000000001</c:v>
                </c:pt>
                <c:pt idx="6">
                  <c:v>1.28386</c:v>
                </c:pt>
                <c:pt idx="7">
                  <c:v>1.1187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6E-2D49-ABB3-53A8EF79A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Michigan!$C$3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Michigan!$B$4:$B$11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Michigan!$C$17:$C$24</c:f>
              <c:numCache>
                <c:formatCode>General</c:formatCode>
                <c:ptCount val="8"/>
                <c:pt idx="0">
                  <c:v>11.014194</c:v>
                </c:pt>
                <c:pt idx="1">
                  <c:v>12.733502999999999</c:v>
                </c:pt>
                <c:pt idx="2">
                  <c:v>13.116584000000001</c:v>
                </c:pt>
                <c:pt idx="3">
                  <c:v>14.723549</c:v>
                </c:pt>
                <c:pt idx="4">
                  <c:v>14.152448000000001</c:v>
                </c:pt>
                <c:pt idx="5">
                  <c:v>14.392773999999999</c:v>
                </c:pt>
                <c:pt idx="6">
                  <c:v>18.158369</c:v>
                </c:pt>
                <c:pt idx="7">
                  <c:v>15.964795000000001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7D-FC4A-B152-5BE22116ADD2}"/>
            </c:ext>
          </c:extLst>
        </c:ser>
        <c:ser>
          <c:idx val="1"/>
          <c:order val="1"/>
          <c:tx>
            <c:strRef>
              <c:f>Michigan!$D$3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Michigan!$B$4:$B$11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Michigan!$D$17:$D$24</c:f>
              <c:numCache>
                <c:formatCode>General</c:formatCode>
                <c:ptCount val="8"/>
                <c:pt idx="0">
                  <c:v>11.78567</c:v>
                </c:pt>
                <c:pt idx="1">
                  <c:v>13.524829999999998</c:v>
                </c:pt>
                <c:pt idx="2">
                  <c:v>13.88395</c:v>
                </c:pt>
                <c:pt idx="3">
                  <c:v>15.49729</c:v>
                </c:pt>
                <c:pt idx="4">
                  <c:v>14.91797</c:v>
                </c:pt>
                <c:pt idx="5">
                  <c:v>15.179129999999999</c:v>
                </c:pt>
                <c:pt idx="6">
                  <c:v>15.9114</c:v>
                </c:pt>
                <c:pt idx="7">
                  <c:v>16.287479999999999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D-FC4A-B152-5BE22116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20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Minnesota!$C$3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Minnesota!$B$4:$B$11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Minnesota!$C$17:$C$24</c:f>
              <c:numCache>
                <c:formatCode>General</c:formatCode>
                <c:ptCount val="8"/>
                <c:pt idx="0">
                  <c:v>4.7285690000000002</c:v>
                </c:pt>
                <c:pt idx="1">
                  <c:v>4.5963400000000005</c:v>
                </c:pt>
                <c:pt idx="2">
                  <c:v>4.622287</c:v>
                </c:pt>
                <c:pt idx="3">
                  <c:v>4.5623570000000004</c:v>
                </c:pt>
                <c:pt idx="4">
                  <c:v>4.6543349999999997</c:v>
                </c:pt>
                <c:pt idx="5">
                  <c:v>4.7748989999999996</c:v>
                </c:pt>
                <c:pt idx="6">
                  <c:v>4.9295690000000008</c:v>
                </c:pt>
                <c:pt idx="7">
                  <c:v>4.9364280000000003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82-744E-9B3E-4B73515C3263}"/>
            </c:ext>
          </c:extLst>
        </c:ser>
        <c:ser>
          <c:idx val="1"/>
          <c:order val="1"/>
          <c:tx>
            <c:strRef>
              <c:f>Minnesota!$D$3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Minnesota!$B$4:$B$11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Minnesota!$D$17:$D$24</c:f>
              <c:numCache>
                <c:formatCode>General</c:formatCode>
                <c:ptCount val="8"/>
                <c:pt idx="0">
                  <c:v>4.6248499999999995</c:v>
                </c:pt>
                <c:pt idx="1">
                  <c:v>4.5073400000000001</c:v>
                </c:pt>
                <c:pt idx="2">
                  <c:v>4.5299699999999996</c:v>
                </c:pt>
                <c:pt idx="3">
                  <c:v>4.50129</c:v>
                </c:pt>
                <c:pt idx="4">
                  <c:v>4.5801300000000005</c:v>
                </c:pt>
                <c:pt idx="5">
                  <c:v>4.6899000000000006</c:v>
                </c:pt>
                <c:pt idx="6">
                  <c:v>4.7765199999999997</c:v>
                </c:pt>
                <c:pt idx="7">
                  <c:v>4.7993199999999998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82-744E-9B3E-4B73515C3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Minnesota!$G$3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Minnesota!$F$4:$F$11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Minnesota!$G$17:$G$24</c:f>
              <c:numCache>
                <c:formatCode>General</c:formatCode>
                <c:ptCount val="8"/>
                <c:pt idx="0">
                  <c:v>4.2645040000000005</c:v>
                </c:pt>
                <c:pt idx="1">
                  <c:v>4.2260049999999998</c:v>
                </c:pt>
                <c:pt idx="2">
                  <c:v>4.2622790000000004</c:v>
                </c:pt>
                <c:pt idx="3">
                  <c:v>4.2160400000000005</c:v>
                </c:pt>
                <c:pt idx="4">
                  <c:v>4.3196669999999999</c:v>
                </c:pt>
                <c:pt idx="5">
                  <c:v>4.4481760000000001</c:v>
                </c:pt>
                <c:pt idx="6">
                  <c:v>4.5879729999999999</c:v>
                </c:pt>
                <c:pt idx="7">
                  <c:v>4.6347969999999998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20-7547-9AD4-9938B27B6CEA}"/>
            </c:ext>
          </c:extLst>
        </c:ser>
        <c:ser>
          <c:idx val="1"/>
          <c:order val="1"/>
          <c:tx>
            <c:strRef>
              <c:f>Minnesota!$H$3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Minnesota!$F$4:$F$11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Minnesota!$H$17:$H$24</c:f>
              <c:numCache>
                <c:formatCode>General</c:formatCode>
                <c:ptCount val="8"/>
                <c:pt idx="0">
                  <c:v>4.1811300000000005</c:v>
                </c:pt>
                <c:pt idx="1">
                  <c:v>4.1455400000000004</c:v>
                </c:pt>
                <c:pt idx="2">
                  <c:v>4.1772299999999998</c:v>
                </c:pt>
                <c:pt idx="3">
                  <c:v>4.1585400000000003</c:v>
                </c:pt>
                <c:pt idx="4">
                  <c:v>4.2475400000000008</c:v>
                </c:pt>
                <c:pt idx="5">
                  <c:v>4.3639600000000005</c:v>
                </c:pt>
                <c:pt idx="6">
                  <c:v>4.4408700000000003</c:v>
                </c:pt>
                <c:pt idx="7">
                  <c:v>4.4955600000000002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20-7547-9AD4-9938B27B6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Missouri!$C$3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Missouri!$B$4:$B$11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Missouri!$C$17:$C$24</c:f>
              <c:numCache>
                <c:formatCode>General</c:formatCode>
                <c:ptCount val="8"/>
                <c:pt idx="0">
                  <c:v>10.047946000000001</c:v>
                </c:pt>
                <c:pt idx="1">
                  <c:v>10.017885999999999</c:v>
                </c:pt>
                <c:pt idx="2">
                  <c:v>9.9666940000000004</c:v>
                </c:pt>
                <c:pt idx="3">
                  <c:v>9.7304139999999997</c:v>
                </c:pt>
                <c:pt idx="4">
                  <c:v>9.8519889999999997</c:v>
                </c:pt>
                <c:pt idx="5">
                  <c:v>9.9303670000000004</c:v>
                </c:pt>
                <c:pt idx="6">
                  <c:v>9.8166419999999999</c:v>
                </c:pt>
                <c:pt idx="7">
                  <c:v>9.566376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7C-E541-8978-09FA683374AA}"/>
            </c:ext>
          </c:extLst>
        </c:ser>
        <c:ser>
          <c:idx val="1"/>
          <c:order val="1"/>
          <c:tx>
            <c:strRef>
              <c:f>Missouri!$D$3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Missouri!$B$4:$B$11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Missouri!$D$17:$D$24</c:f>
              <c:numCache>
                <c:formatCode>General</c:formatCode>
                <c:ptCount val="8"/>
                <c:pt idx="0">
                  <c:v>10.28135</c:v>
                </c:pt>
                <c:pt idx="1">
                  <c:v>10.26857</c:v>
                </c:pt>
                <c:pt idx="2">
                  <c:v>10.243130000000001</c:v>
                </c:pt>
                <c:pt idx="3">
                  <c:v>10.06507</c:v>
                </c:pt>
                <c:pt idx="4">
                  <c:v>10.235850000000001</c:v>
                </c:pt>
                <c:pt idx="5">
                  <c:v>10.307740000000001</c:v>
                </c:pt>
                <c:pt idx="6">
                  <c:v>10.303089999999999</c:v>
                </c:pt>
                <c:pt idx="7">
                  <c:v>10.110529999999999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7C-E541-8978-09FA68337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Nebraska!$C$3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Nebraska!$B$4:$B$11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Nebraska!$C$17:$C$24</c:f>
              <c:numCache>
                <c:formatCode>General</c:formatCode>
                <c:ptCount val="8"/>
                <c:pt idx="0">
                  <c:v>5.2937909999999997</c:v>
                </c:pt>
                <c:pt idx="1">
                  <c:v>5.4359120000000001</c:v>
                </c:pt>
                <c:pt idx="2">
                  <c:v>5.4313539999999998</c:v>
                </c:pt>
                <c:pt idx="3">
                  <c:v>5.5825709999999997</c:v>
                </c:pt>
                <c:pt idx="4">
                  <c:v>5.5356950000000005</c:v>
                </c:pt>
                <c:pt idx="5">
                  <c:v>5.5666340000000005</c:v>
                </c:pt>
                <c:pt idx="6">
                  <c:v>5.5251550000000007</c:v>
                </c:pt>
                <c:pt idx="7">
                  <c:v>5.4037929999999994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CA-FB42-B8EA-ADF3F11F5DB2}"/>
            </c:ext>
          </c:extLst>
        </c:ser>
        <c:ser>
          <c:idx val="1"/>
          <c:order val="1"/>
          <c:tx>
            <c:strRef>
              <c:f>Nebraska!$D$3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Nebraska!$B$4:$B$11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Nebraska!$D$17:$D$24</c:f>
              <c:numCache>
                <c:formatCode>General</c:formatCode>
                <c:ptCount val="8"/>
                <c:pt idx="0">
                  <c:v>5.6153599999999999</c:v>
                </c:pt>
                <c:pt idx="1">
                  <c:v>5.7260900000000001</c:v>
                </c:pt>
                <c:pt idx="2">
                  <c:v>5.7226100000000004</c:v>
                </c:pt>
                <c:pt idx="3">
                  <c:v>5.8760000000000003</c:v>
                </c:pt>
                <c:pt idx="4">
                  <c:v>5.8298299999999994</c:v>
                </c:pt>
                <c:pt idx="5">
                  <c:v>5.8324300000000004</c:v>
                </c:pt>
                <c:pt idx="6">
                  <c:v>5.7665800000000003</c:v>
                </c:pt>
                <c:pt idx="7">
                  <c:v>5.6520399999999995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CA-FB42-B8EA-ADF3F11F5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Nebraska!$G$3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Nebraska!$F$4:$F$11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Nebraska!$G$17:$G$24</c:f>
              <c:numCache>
                <c:formatCode>General</c:formatCode>
                <c:ptCount val="8"/>
                <c:pt idx="0">
                  <c:v>1.8958000000000003E-2</c:v>
                </c:pt>
                <c:pt idx="1">
                  <c:v>1.9235000000000002E-2</c:v>
                </c:pt>
                <c:pt idx="2">
                  <c:v>1.9196999999999999E-2</c:v>
                </c:pt>
                <c:pt idx="3">
                  <c:v>1.9682000000000002E-2</c:v>
                </c:pt>
                <c:pt idx="4">
                  <c:v>1.9523000000000002E-2</c:v>
                </c:pt>
                <c:pt idx="5">
                  <c:v>1.9521E-2</c:v>
                </c:pt>
                <c:pt idx="6">
                  <c:v>1.9365E-2</c:v>
                </c:pt>
                <c:pt idx="7">
                  <c:v>1.9066E-2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93-E94A-85A1-C9CCAC20C29F}"/>
            </c:ext>
          </c:extLst>
        </c:ser>
        <c:ser>
          <c:idx val="1"/>
          <c:order val="1"/>
          <c:tx>
            <c:strRef>
              <c:f>Nebraska!$H$3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Nebraska!$F$4:$F$11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Nebraska!$H$17:$H$24</c:f>
              <c:numCache>
                <c:formatCode>General</c:formatCode>
                <c:ptCount val="8"/>
                <c:pt idx="0">
                  <c:v>8.09E-2</c:v>
                </c:pt>
                <c:pt idx="1">
                  <c:v>8.0869999999999997E-2</c:v>
                </c:pt>
                <c:pt idx="2">
                  <c:v>8.0559999999999993E-2</c:v>
                </c:pt>
                <c:pt idx="3">
                  <c:v>8.2269999999999996E-2</c:v>
                </c:pt>
                <c:pt idx="4">
                  <c:v>8.1350000000000006E-2</c:v>
                </c:pt>
                <c:pt idx="5">
                  <c:v>8.1259999999999999E-2</c:v>
                </c:pt>
                <c:pt idx="6">
                  <c:v>8.0570000000000003E-2</c:v>
                </c:pt>
                <c:pt idx="7">
                  <c:v>7.9130000000000006E-2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93-E94A-85A1-C9CCAC20C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Nebraska!$K$3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Nebraska!$J$4:$J$11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Nebraska!$K$17:$K$24</c:f>
              <c:numCache>
                <c:formatCode>General</c:formatCode>
                <c:ptCount val="8"/>
                <c:pt idx="0">
                  <c:v>5.2748499999999998</c:v>
                </c:pt>
                <c:pt idx="1">
                  <c:v>5.4167019999999999</c:v>
                </c:pt>
                <c:pt idx="2">
                  <c:v>5.4121799999999993</c:v>
                </c:pt>
                <c:pt idx="3">
                  <c:v>5.562913</c:v>
                </c:pt>
                <c:pt idx="4">
                  <c:v>5.5161990000000003</c:v>
                </c:pt>
                <c:pt idx="5">
                  <c:v>5.5471399999999997</c:v>
                </c:pt>
                <c:pt idx="6">
                  <c:v>5.5058309999999997</c:v>
                </c:pt>
                <c:pt idx="7">
                  <c:v>5.3847839999999998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D-194F-B560-7BC2284854B4}"/>
            </c:ext>
          </c:extLst>
        </c:ser>
        <c:ser>
          <c:idx val="1"/>
          <c:order val="1"/>
          <c:tx>
            <c:strRef>
              <c:f>Nebraska!$L$3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Nebraska!$J$4:$J$11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Nebraska!$L$17:$L$24</c:f>
              <c:numCache>
                <c:formatCode>General</c:formatCode>
                <c:ptCount val="8"/>
                <c:pt idx="0">
                  <c:v>5.5348099999999993</c:v>
                </c:pt>
                <c:pt idx="1">
                  <c:v>5.6455600000000006</c:v>
                </c:pt>
                <c:pt idx="2">
                  <c:v>5.6423800000000002</c:v>
                </c:pt>
                <c:pt idx="3">
                  <c:v>5.79406</c:v>
                </c:pt>
                <c:pt idx="4">
                  <c:v>5.7488000000000001</c:v>
                </c:pt>
                <c:pt idx="5">
                  <c:v>5.7514799999999999</c:v>
                </c:pt>
                <c:pt idx="6">
                  <c:v>5.6864600000000003</c:v>
                </c:pt>
                <c:pt idx="7">
                  <c:v>5.5734899999999996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FD-194F-B560-7BC228485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'North Dakota'!$C$3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'North Dakota'!$B$4:$B$11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'North Dakota'!$C$17:$C$24</c:f>
              <c:numCache>
                <c:formatCode>General</c:formatCode>
                <c:ptCount val="8"/>
                <c:pt idx="0">
                  <c:v>8.6773559999999996</c:v>
                </c:pt>
                <c:pt idx="1">
                  <c:v>8.9328749999999992</c:v>
                </c:pt>
                <c:pt idx="2">
                  <c:v>8.9712739999999993</c:v>
                </c:pt>
                <c:pt idx="3">
                  <c:v>8.8920999999999992</c:v>
                </c:pt>
                <c:pt idx="4">
                  <c:v>8.8190050000000006</c:v>
                </c:pt>
                <c:pt idx="5">
                  <c:v>8.7866160000000004</c:v>
                </c:pt>
                <c:pt idx="6">
                  <c:v>8.761234</c:v>
                </c:pt>
                <c:pt idx="7">
                  <c:v>8.4160380000000004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DE-D34C-BAF3-E16248E4A839}"/>
            </c:ext>
          </c:extLst>
        </c:ser>
        <c:ser>
          <c:idx val="1"/>
          <c:order val="1"/>
          <c:tx>
            <c:strRef>
              <c:f>'North Dakota'!$D$3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'North Dakota'!$B$4:$B$11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'North Dakota'!$D$17:$D$24</c:f>
              <c:numCache>
                <c:formatCode>General</c:formatCode>
                <c:ptCount val="8"/>
                <c:pt idx="0">
                  <c:v>7.6219400000000004</c:v>
                </c:pt>
                <c:pt idx="1">
                  <c:v>7.8267299999999995</c:v>
                </c:pt>
                <c:pt idx="2">
                  <c:v>7.7839599999999995</c:v>
                </c:pt>
                <c:pt idx="3">
                  <c:v>7.6997899999999992</c:v>
                </c:pt>
                <c:pt idx="4">
                  <c:v>7.62852</c:v>
                </c:pt>
                <c:pt idx="5">
                  <c:v>7.6091000000000006</c:v>
                </c:pt>
                <c:pt idx="6">
                  <c:v>7.5776499999999993</c:v>
                </c:pt>
                <c:pt idx="7">
                  <c:v>7.38544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DE-D34C-BAF3-E16248E4A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'North Dakota'!$G$3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'North Dakota'!$F$4:$F$11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'North Dakota'!$G$17:$G$24</c:f>
              <c:numCache>
                <c:formatCode>General</c:formatCode>
                <c:ptCount val="8"/>
                <c:pt idx="0">
                  <c:v>0.192021</c:v>
                </c:pt>
                <c:pt idx="1">
                  <c:v>0.29183700000000001</c:v>
                </c:pt>
                <c:pt idx="2">
                  <c:v>0.28048400000000001</c:v>
                </c:pt>
                <c:pt idx="3">
                  <c:v>0.23665800000000001</c:v>
                </c:pt>
                <c:pt idx="4">
                  <c:v>0.200264</c:v>
                </c:pt>
                <c:pt idx="5">
                  <c:v>0.21492600000000001</c:v>
                </c:pt>
                <c:pt idx="6">
                  <c:v>0.232519</c:v>
                </c:pt>
                <c:pt idx="7">
                  <c:v>0.16864399999999999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7-0940-8C24-C6287C6CD70D}"/>
            </c:ext>
          </c:extLst>
        </c:ser>
        <c:ser>
          <c:idx val="1"/>
          <c:order val="1"/>
          <c:tx>
            <c:strRef>
              <c:f>'North Dakota'!$H$3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'North Dakota'!$F$4:$F$11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'North Dakota'!$H$17:$H$24</c:f>
              <c:numCache>
                <c:formatCode>General</c:formatCode>
                <c:ptCount val="8"/>
                <c:pt idx="0">
                  <c:v>0.16850999999999999</c:v>
                </c:pt>
                <c:pt idx="1">
                  <c:v>0.23998999999999998</c:v>
                </c:pt>
                <c:pt idx="2">
                  <c:v>0.22861000000000001</c:v>
                </c:pt>
                <c:pt idx="3">
                  <c:v>0.20026000000000002</c:v>
                </c:pt>
                <c:pt idx="4">
                  <c:v>0.17443999999999998</c:v>
                </c:pt>
                <c:pt idx="5">
                  <c:v>0.18504999999999999</c:v>
                </c:pt>
                <c:pt idx="6">
                  <c:v>0.19488</c:v>
                </c:pt>
                <c:pt idx="7">
                  <c:v>0.15372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47-0940-8C24-C6287C6CD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'North Dakota'!$K$3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'North Dakota'!$J$4:$J$11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'North Dakota'!$K$17:$K$24</c:f>
              <c:numCache>
                <c:formatCode>General</c:formatCode>
                <c:ptCount val="8"/>
                <c:pt idx="0">
                  <c:v>8.4857150000000008</c:v>
                </c:pt>
                <c:pt idx="1">
                  <c:v>8.6404149999999991</c:v>
                </c:pt>
                <c:pt idx="2">
                  <c:v>8.6900710000000014</c:v>
                </c:pt>
                <c:pt idx="3">
                  <c:v>8.6550600000000006</c:v>
                </c:pt>
                <c:pt idx="4">
                  <c:v>8.6184419999999999</c:v>
                </c:pt>
                <c:pt idx="5">
                  <c:v>8.5713989999999995</c:v>
                </c:pt>
                <c:pt idx="6">
                  <c:v>8.527804999999999</c:v>
                </c:pt>
                <c:pt idx="7">
                  <c:v>8.2465609999999998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0-F944-B283-FB2EEA6A503B}"/>
            </c:ext>
          </c:extLst>
        </c:ser>
        <c:ser>
          <c:idx val="1"/>
          <c:order val="1"/>
          <c:tx>
            <c:strRef>
              <c:f>'North Dakota'!$L$3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'North Dakota'!$J$4:$J$11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'North Dakota'!$L$17:$L$24</c:f>
              <c:numCache>
                <c:formatCode>General</c:formatCode>
                <c:ptCount val="8"/>
                <c:pt idx="0">
                  <c:v>7.4534400000000005</c:v>
                </c:pt>
                <c:pt idx="1">
                  <c:v>7.5697000000000001</c:v>
                </c:pt>
                <c:pt idx="2">
                  <c:v>7.5396199999999993</c:v>
                </c:pt>
                <c:pt idx="3">
                  <c:v>7.4861800000000009</c:v>
                </c:pt>
                <c:pt idx="4">
                  <c:v>7.4407200000000007</c:v>
                </c:pt>
                <c:pt idx="5">
                  <c:v>7.4115200000000003</c:v>
                </c:pt>
                <c:pt idx="6">
                  <c:v>7.3648500000000006</c:v>
                </c:pt>
                <c:pt idx="7">
                  <c:v>7.2119600000000004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10-F944-B283-FB2EEA6A5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Ohio!$C$3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Ohio!$B$4:$B$11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Ohio!$C$17:$C$24</c:f>
              <c:numCache>
                <c:formatCode>General</c:formatCode>
                <c:ptCount val="8"/>
                <c:pt idx="0">
                  <c:v>7.5114600000000005</c:v>
                </c:pt>
                <c:pt idx="1">
                  <c:v>7.4906299999999995</c:v>
                </c:pt>
                <c:pt idx="2">
                  <c:v>7.2760149999999992</c:v>
                </c:pt>
                <c:pt idx="3">
                  <c:v>7.2927099999999996</c:v>
                </c:pt>
                <c:pt idx="4">
                  <c:v>7.2530200000000002</c:v>
                </c:pt>
                <c:pt idx="5">
                  <c:v>7.747382</c:v>
                </c:pt>
                <c:pt idx="6">
                  <c:v>7.2267300000000008</c:v>
                </c:pt>
                <c:pt idx="7">
                  <c:v>7.0525400000000005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8-9C49-A262-528F04AE704F}"/>
            </c:ext>
          </c:extLst>
        </c:ser>
        <c:ser>
          <c:idx val="1"/>
          <c:order val="1"/>
          <c:tx>
            <c:strRef>
              <c:f>Ohio!$D$3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Ohio!$B$4:$B$11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Ohio!$D$17:$D$24</c:f>
              <c:numCache>
                <c:formatCode>General</c:formatCode>
                <c:ptCount val="8"/>
                <c:pt idx="0">
                  <c:v>7.96096</c:v>
                </c:pt>
                <c:pt idx="1">
                  <c:v>7.7495700000000003</c:v>
                </c:pt>
                <c:pt idx="2">
                  <c:v>7.7601300000000002</c:v>
                </c:pt>
                <c:pt idx="3">
                  <c:v>7.8068</c:v>
                </c:pt>
                <c:pt idx="4">
                  <c:v>7.7844600000000002</c:v>
                </c:pt>
                <c:pt idx="5">
                  <c:v>7.8134700000000006</c:v>
                </c:pt>
                <c:pt idx="6">
                  <c:v>7.7641199999999992</c:v>
                </c:pt>
                <c:pt idx="7">
                  <c:v>7.6620800000000004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8-9C49-A262-528F04AE7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'South Dakota'!$C$3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'South Dakota'!$B$4:$B$11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'South Dakota'!$C$17:$C$24</c:f>
              <c:numCache>
                <c:formatCode>General</c:formatCode>
                <c:ptCount val="8"/>
                <c:pt idx="0">
                  <c:v>5.1574299999999997</c:v>
                </c:pt>
                <c:pt idx="1">
                  <c:v>5.1339740000000003</c:v>
                </c:pt>
                <c:pt idx="2">
                  <c:v>5.0281539999999998</c:v>
                </c:pt>
                <c:pt idx="3">
                  <c:v>5.0216669999999999</c:v>
                </c:pt>
                <c:pt idx="4">
                  <c:v>5.0342219999999998</c:v>
                </c:pt>
                <c:pt idx="5">
                  <c:v>5.06752</c:v>
                </c:pt>
                <c:pt idx="6">
                  <c:v>4.9660890000000002</c:v>
                </c:pt>
                <c:pt idx="7">
                  <c:v>4.8642320000000003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86-6341-B14B-0E407BBDE0D6}"/>
            </c:ext>
          </c:extLst>
        </c:ser>
        <c:ser>
          <c:idx val="1"/>
          <c:order val="1"/>
          <c:tx>
            <c:strRef>
              <c:f>'South Dakota'!$D$3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'South Dakota'!$B$4:$B$11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'South Dakota'!$D$17:$D$24</c:f>
              <c:numCache>
                <c:formatCode>General</c:formatCode>
                <c:ptCount val="8"/>
                <c:pt idx="0">
                  <c:v>5.3697400000000002</c:v>
                </c:pt>
                <c:pt idx="1">
                  <c:v>5.3508300000000002</c:v>
                </c:pt>
                <c:pt idx="2">
                  <c:v>5.2763299999999997</c:v>
                </c:pt>
                <c:pt idx="3">
                  <c:v>5.2687999999999997</c:v>
                </c:pt>
                <c:pt idx="4">
                  <c:v>5.26952</c:v>
                </c:pt>
                <c:pt idx="5">
                  <c:v>5.3448200000000003</c:v>
                </c:pt>
                <c:pt idx="6">
                  <c:v>5.2043600000000003</c:v>
                </c:pt>
                <c:pt idx="7">
                  <c:v>5.1381600000000001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86-6341-B14B-0E407BBDE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'South Dakota'!$G$3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'South Dakota'!$F$4:$F$11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'South Dakota'!$G$17:$G$24</c:f>
              <c:numCache>
                <c:formatCode>General</c:formatCode>
                <c:ptCount val="8"/>
                <c:pt idx="0">
                  <c:v>1.8802539999999999</c:v>
                </c:pt>
                <c:pt idx="1">
                  <c:v>1.8734759999999999</c:v>
                </c:pt>
                <c:pt idx="2">
                  <c:v>1.769379</c:v>
                </c:pt>
                <c:pt idx="3">
                  <c:v>1.726842</c:v>
                </c:pt>
                <c:pt idx="4">
                  <c:v>1.719292</c:v>
                </c:pt>
                <c:pt idx="5">
                  <c:v>1.7246250000000001</c:v>
                </c:pt>
                <c:pt idx="6">
                  <c:v>1.6652070000000001</c:v>
                </c:pt>
                <c:pt idx="7">
                  <c:v>1.6454790000000001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A-E942-8996-74414D076786}"/>
            </c:ext>
          </c:extLst>
        </c:ser>
        <c:ser>
          <c:idx val="1"/>
          <c:order val="1"/>
          <c:tx>
            <c:strRef>
              <c:f>'South Dakota'!$H$3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'South Dakota'!$F$4:$F$11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'South Dakota'!$H$17:$H$24</c:f>
              <c:numCache>
                <c:formatCode>General</c:formatCode>
                <c:ptCount val="8"/>
                <c:pt idx="0">
                  <c:v>1.9481900000000001</c:v>
                </c:pt>
                <c:pt idx="1">
                  <c:v>1.9435999999999998</c:v>
                </c:pt>
                <c:pt idx="2">
                  <c:v>1.85371</c:v>
                </c:pt>
                <c:pt idx="3">
                  <c:v>1.8137699999999999</c:v>
                </c:pt>
                <c:pt idx="4">
                  <c:v>1.80393</c:v>
                </c:pt>
                <c:pt idx="5">
                  <c:v>1.8241099999999999</c:v>
                </c:pt>
                <c:pt idx="6">
                  <c:v>1.7538199999999999</c:v>
                </c:pt>
                <c:pt idx="7">
                  <c:v>1.7401500000000001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3A-E942-8996-74414D076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'South Dakota'!$K$3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'South Dakota'!$J$4:$J$11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'South Dakota'!$K$17:$K$24</c:f>
              <c:numCache>
                <c:formatCode>General</c:formatCode>
                <c:ptCount val="8"/>
                <c:pt idx="0">
                  <c:v>3.2758870000000004</c:v>
                </c:pt>
                <c:pt idx="1">
                  <c:v>3.2591500000000004</c:v>
                </c:pt>
                <c:pt idx="2">
                  <c:v>3.258019</c:v>
                </c:pt>
                <c:pt idx="3">
                  <c:v>3.294251</c:v>
                </c:pt>
                <c:pt idx="4">
                  <c:v>3.3144199999999997</c:v>
                </c:pt>
                <c:pt idx="5">
                  <c:v>3.3421149999999997</c:v>
                </c:pt>
                <c:pt idx="6">
                  <c:v>3.300516</c:v>
                </c:pt>
                <c:pt idx="7">
                  <c:v>3.2182379999999995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DA-264A-8E21-702CF798AE7A}"/>
            </c:ext>
          </c:extLst>
        </c:ser>
        <c:ser>
          <c:idx val="1"/>
          <c:order val="1"/>
          <c:tx>
            <c:strRef>
              <c:f>'South Dakota'!$L$3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'South Dakota'!$J$4:$J$11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'South Dakota'!$L$17:$L$24</c:f>
              <c:numCache>
                <c:formatCode>General</c:formatCode>
                <c:ptCount val="8"/>
                <c:pt idx="0">
                  <c:v>3.4271299999999996</c:v>
                </c:pt>
                <c:pt idx="1">
                  <c:v>3.4125799999999997</c:v>
                </c:pt>
                <c:pt idx="2">
                  <c:v>3.4275800000000003</c:v>
                </c:pt>
                <c:pt idx="3">
                  <c:v>3.4647900000000003</c:v>
                </c:pt>
                <c:pt idx="4">
                  <c:v>3.47525</c:v>
                </c:pt>
                <c:pt idx="5">
                  <c:v>3.5301499999999999</c:v>
                </c:pt>
                <c:pt idx="6">
                  <c:v>3.4595199999999999</c:v>
                </c:pt>
                <c:pt idx="7">
                  <c:v>3.4022700000000001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DA-264A-8E21-702CF798A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Wisconsin!$C$3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Wisconsin!$B$4:$B$11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Wisconsin!$C$17:$C$24</c:f>
              <c:numCache>
                <c:formatCode>General</c:formatCode>
                <c:ptCount val="8"/>
                <c:pt idx="0">
                  <c:v>3.3948369999999999</c:v>
                </c:pt>
                <c:pt idx="1">
                  <c:v>3.4422250000000001</c:v>
                </c:pt>
                <c:pt idx="2">
                  <c:v>3.3879220000000001</c:v>
                </c:pt>
                <c:pt idx="3">
                  <c:v>3.357828</c:v>
                </c:pt>
                <c:pt idx="4">
                  <c:v>3.3494669999999998</c:v>
                </c:pt>
                <c:pt idx="5">
                  <c:v>3.4093400000000003</c:v>
                </c:pt>
                <c:pt idx="6">
                  <c:v>3.392871</c:v>
                </c:pt>
                <c:pt idx="7">
                  <c:v>3.280834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B5-5B43-80E2-078514FA405F}"/>
            </c:ext>
          </c:extLst>
        </c:ser>
        <c:ser>
          <c:idx val="1"/>
          <c:order val="1"/>
          <c:tx>
            <c:strRef>
              <c:f>Wisconsin!$D$3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Wisconsin!$B$4:$B$11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Wisconsin!$D$17:$D$24</c:f>
              <c:numCache>
                <c:formatCode>General</c:formatCode>
                <c:ptCount val="8"/>
                <c:pt idx="0">
                  <c:v>3.5212399999999997</c:v>
                </c:pt>
                <c:pt idx="1">
                  <c:v>3.5541499999999995</c:v>
                </c:pt>
                <c:pt idx="2">
                  <c:v>3.4752199999999998</c:v>
                </c:pt>
                <c:pt idx="3">
                  <c:v>3.4445200000000002</c:v>
                </c:pt>
                <c:pt idx="4">
                  <c:v>3.4331199999999997</c:v>
                </c:pt>
                <c:pt idx="5">
                  <c:v>3.4824199999999998</c:v>
                </c:pt>
                <c:pt idx="6">
                  <c:v>3.4624299999999995</c:v>
                </c:pt>
                <c:pt idx="7">
                  <c:v>3.375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B5-5B43-80E2-078514FA4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03958947855976E-2"/>
          <c:y val="0.16500491582198634"/>
          <c:w val="0.93693254674435045"/>
          <c:h val="0.71458563535911601"/>
        </c:manualLayout>
      </c:layout>
      <c:lineChart>
        <c:grouping val="standard"/>
        <c:varyColors val="0"/>
        <c:ser>
          <c:idx val="0"/>
          <c:order val="0"/>
          <c:tx>
            <c:strRef>
              <c:f>Alabama!$C$3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Alabama!$B$4:$B$11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Alabama!$C$17:$C$24</c:f>
              <c:numCache>
                <c:formatCode>General</c:formatCode>
                <c:ptCount val="8"/>
                <c:pt idx="0">
                  <c:v>6.3157040000000002</c:v>
                </c:pt>
                <c:pt idx="1">
                  <c:v>6.3575290000000004</c:v>
                </c:pt>
                <c:pt idx="2">
                  <c:v>6.4295729999999995</c:v>
                </c:pt>
                <c:pt idx="3">
                  <c:v>6.4525070000000007</c:v>
                </c:pt>
                <c:pt idx="4">
                  <c:v>6.8203410000000009</c:v>
                </c:pt>
                <c:pt idx="5">
                  <c:v>6.6133470000000001</c:v>
                </c:pt>
                <c:pt idx="6">
                  <c:v>6.5728400000000002</c:v>
                </c:pt>
                <c:pt idx="7">
                  <c:v>6.2865459999999995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20-AD46-AF1D-0C94B51389A7}"/>
            </c:ext>
          </c:extLst>
        </c:ser>
        <c:ser>
          <c:idx val="1"/>
          <c:order val="1"/>
          <c:tx>
            <c:strRef>
              <c:f>Alabama!$D$3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Alabama!$B$4:$B$11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Alabama!$D$17:$D$24</c:f>
              <c:numCache>
                <c:formatCode>General</c:formatCode>
                <c:ptCount val="8"/>
                <c:pt idx="0">
                  <c:v>6.3538100000000002</c:v>
                </c:pt>
                <c:pt idx="1">
                  <c:v>6.37948</c:v>
                </c:pt>
                <c:pt idx="2">
                  <c:v>6.4580799999999989</c:v>
                </c:pt>
                <c:pt idx="3">
                  <c:v>6.4868400000000008</c:v>
                </c:pt>
                <c:pt idx="4">
                  <c:v>6.8925799999999997</c:v>
                </c:pt>
                <c:pt idx="5">
                  <c:v>6.6806500000000009</c:v>
                </c:pt>
                <c:pt idx="6">
                  <c:v>6.6233299999999993</c:v>
                </c:pt>
                <c:pt idx="7">
                  <c:v>6.3696600000000005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20-AD46-AF1D-0C94B5138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62255"/>
        <c:axId val="722103407"/>
      </c:lineChart>
      <c:catAx>
        <c:axId val="7216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3407"/>
        <c:crosses val="autoZero"/>
        <c:auto val="1"/>
        <c:lblAlgn val="ctr"/>
        <c:lblOffset val="100"/>
        <c:noMultiLvlLbl val="0"/>
      </c:catAx>
      <c:valAx>
        <c:axId val="722103407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62255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498256990322035"/>
          <c:y val="0.93479914734415104"/>
          <c:w val="0.30693888496136124"/>
          <c:h val="4.5311349893418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03958947855976E-2"/>
          <c:y val="0.16500491582198634"/>
          <c:w val="0.93693254674435045"/>
          <c:h val="0.71458563535911601"/>
        </c:manualLayout>
      </c:layout>
      <c:lineChart>
        <c:grouping val="standard"/>
        <c:varyColors val="0"/>
        <c:ser>
          <c:idx val="0"/>
          <c:order val="0"/>
          <c:tx>
            <c:strRef>
              <c:f>Arkansas!$C$3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'New Jersey'!$B$4:$B$11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Arkansas!$C$17:$C$24</c:f>
              <c:numCache>
                <c:formatCode>General</c:formatCode>
                <c:ptCount val="8"/>
                <c:pt idx="0">
                  <c:v>8.8895119999999999</c:v>
                </c:pt>
                <c:pt idx="1">
                  <c:v>8.8183199999999999</c:v>
                </c:pt>
                <c:pt idx="2">
                  <c:v>8.842632</c:v>
                </c:pt>
                <c:pt idx="3">
                  <c:v>8.8620080000000012</c:v>
                </c:pt>
                <c:pt idx="4">
                  <c:v>8.8357930000000007</c:v>
                </c:pt>
                <c:pt idx="5">
                  <c:v>9.190866999999999</c:v>
                </c:pt>
                <c:pt idx="6">
                  <c:v>9.205051000000001</c:v>
                </c:pt>
                <c:pt idx="7">
                  <c:v>9.0434970000000003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33-8249-A8CF-406B22799A5B}"/>
            </c:ext>
          </c:extLst>
        </c:ser>
        <c:ser>
          <c:idx val="1"/>
          <c:order val="1"/>
          <c:tx>
            <c:strRef>
              <c:f>Arkansas!$D$3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'New Jersey'!$B$4:$B$11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Arkansas!$D$17:$D$24</c:f>
              <c:numCache>
                <c:formatCode>General</c:formatCode>
                <c:ptCount val="8"/>
                <c:pt idx="0">
                  <c:v>9.1474200000000003</c:v>
                </c:pt>
                <c:pt idx="1">
                  <c:v>9.0762900000000002</c:v>
                </c:pt>
                <c:pt idx="2">
                  <c:v>9.0464500000000001</c:v>
                </c:pt>
                <c:pt idx="3">
                  <c:v>9.0697200000000002</c:v>
                </c:pt>
                <c:pt idx="4">
                  <c:v>9.0461100000000005</c:v>
                </c:pt>
                <c:pt idx="5">
                  <c:v>9.3800999999999988</c:v>
                </c:pt>
                <c:pt idx="6">
                  <c:v>9.38673</c:v>
                </c:pt>
                <c:pt idx="7">
                  <c:v>9.2407799999999991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33-8249-A8CF-406B22799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62255"/>
        <c:axId val="722103407"/>
      </c:lineChart>
      <c:catAx>
        <c:axId val="7216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3407"/>
        <c:crosses val="autoZero"/>
        <c:auto val="1"/>
        <c:lblAlgn val="ctr"/>
        <c:lblOffset val="100"/>
        <c:noMultiLvlLbl val="0"/>
      </c:catAx>
      <c:valAx>
        <c:axId val="722103407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62255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498256990322035"/>
          <c:y val="0.93479914734415104"/>
          <c:w val="0.30693888496136124"/>
          <c:h val="4.5311349893418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03958947855976E-2"/>
          <c:y val="0.16500491582198634"/>
          <c:w val="0.93693254674435045"/>
          <c:h val="0.71458563535911601"/>
        </c:manualLayout>
      </c:layout>
      <c:lineChart>
        <c:grouping val="standard"/>
        <c:varyColors val="0"/>
        <c:ser>
          <c:idx val="0"/>
          <c:order val="0"/>
          <c:tx>
            <c:strRef>
              <c:f>DC!$C$3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DC!$B$4:$B$11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DC!$C$17:$C$24</c:f>
              <c:numCache>
                <c:formatCode>General</c:formatCode>
                <c:ptCount val="8"/>
                <c:pt idx="0">
                  <c:v>5.4565190000000001</c:v>
                </c:pt>
                <c:pt idx="1">
                  <c:v>6.0522629999999999</c:v>
                </c:pt>
                <c:pt idx="2">
                  <c:v>7.3229340000000001</c:v>
                </c:pt>
                <c:pt idx="3">
                  <c:v>7.3650989999999998</c:v>
                </c:pt>
                <c:pt idx="4">
                  <c:v>6.6044229999999997</c:v>
                </c:pt>
                <c:pt idx="5">
                  <c:v>6.7361470000000008</c:v>
                </c:pt>
                <c:pt idx="6">
                  <c:v>7.7324380000000001</c:v>
                </c:pt>
                <c:pt idx="7">
                  <c:v>7.5817880000000004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4A-A44D-92BB-68B3EBBA9FA1}"/>
            </c:ext>
          </c:extLst>
        </c:ser>
        <c:ser>
          <c:idx val="1"/>
          <c:order val="1"/>
          <c:tx>
            <c:strRef>
              <c:f>DC!$D$3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DC!$B$4:$B$11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DC!$D$17:$D$24</c:f>
              <c:numCache>
                <c:formatCode>General</c:formatCode>
                <c:ptCount val="8"/>
                <c:pt idx="0">
                  <c:v>5.4565200000000003</c:v>
                </c:pt>
                <c:pt idx="1">
                  <c:v>6.0522600000000004</c:v>
                </c:pt>
                <c:pt idx="2">
                  <c:v>7.3229299999999995</c:v>
                </c:pt>
                <c:pt idx="3">
                  <c:v>7.3650999999999991</c:v>
                </c:pt>
                <c:pt idx="4">
                  <c:v>6.6044199999999993</c:v>
                </c:pt>
                <c:pt idx="5">
                  <c:v>6.7361500000000003</c:v>
                </c:pt>
                <c:pt idx="6">
                  <c:v>7.7324400000000004</c:v>
                </c:pt>
                <c:pt idx="7">
                  <c:v>7.5817899999999998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4A-A44D-92BB-68B3EBBA9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62255"/>
        <c:axId val="722103407"/>
      </c:lineChart>
      <c:catAx>
        <c:axId val="7216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3407"/>
        <c:crosses val="autoZero"/>
        <c:auto val="1"/>
        <c:lblAlgn val="ctr"/>
        <c:lblOffset val="100"/>
        <c:noMultiLvlLbl val="0"/>
      </c:catAx>
      <c:valAx>
        <c:axId val="72210340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62255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498256990322035"/>
          <c:y val="0.93479914734415104"/>
          <c:w val="0.30693888496136124"/>
          <c:h val="4.5311349893418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03958947855976E-2"/>
          <c:y val="0.16500491582198634"/>
          <c:w val="0.93693254674435045"/>
          <c:h val="0.71458563535911601"/>
        </c:manualLayout>
      </c:layout>
      <c:lineChart>
        <c:grouping val="standard"/>
        <c:varyColors val="0"/>
        <c:ser>
          <c:idx val="0"/>
          <c:order val="0"/>
          <c:tx>
            <c:strRef>
              <c:f>Florida!$C$3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Florida!$B$4:$B$11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Florida!$C$17:$C$24</c:f>
              <c:numCache>
                <c:formatCode>General</c:formatCode>
                <c:ptCount val="8"/>
                <c:pt idx="0">
                  <c:v>3.5100129999999998</c:v>
                </c:pt>
                <c:pt idx="1">
                  <c:v>3.221428</c:v>
                </c:pt>
                <c:pt idx="2">
                  <c:v>3.3148110000000002</c:v>
                </c:pt>
                <c:pt idx="3">
                  <c:v>3.4884569999999995</c:v>
                </c:pt>
                <c:pt idx="4">
                  <c:v>3.5673849999999998</c:v>
                </c:pt>
                <c:pt idx="5">
                  <c:v>3.6953760000000004</c:v>
                </c:pt>
                <c:pt idx="6">
                  <c:v>4.4906360000000003</c:v>
                </c:pt>
                <c:pt idx="7">
                  <c:v>4.6501929999999998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88-EC44-B824-E0F7AB3103BE}"/>
            </c:ext>
          </c:extLst>
        </c:ser>
        <c:ser>
          <c:idx val="1"/>
          <c:order val="1"/>
          <c:tx>
            <c:strRef>
              <c:f>Florida!$D$3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Florida!$B$4:$B$11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Florida!$D$17:$D$24</c:f>
              <c:numCache>
                <c:formatCode>General</c:formatCode>
                <c:ptCount val="8"/>
                <c:pt idx="0">
                  <c:v>3.3827000000000003</c:v>
                </c:pt>
                <c:pt idx="1">
                  <c:v>3.0856600000000003</c:v>
                </c:pt>
                <c:pt idx="2">
                  <c:v>3.1972199999999997</c:v>
                </c:pt>
                <c:pt idx="3">
                  <c:v>3.36022</c:v>
                </c:pt>
                <c:pt idx="4">
                  <c:v>3.46618</c:v>
                </c:pt>
                <c:pt idx="5">
                  <c:v>3.60541</c:v>
                </c:pt>
                <c:pt idx="6">
                  <c:v>4.3153600000000001</c:v>
                </c:pt>
                <c:pt idx="7">
                  <c:v>4.41357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88-EC44-B824-E0F7AB310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62255"/>
        <c:axId val="722103407"/>
      </c:lineChart>
      <c:catAx>
        <c:axId val="7216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3407"/>
        <c:crosses val="autoZero"/>
        <c:auto val="1"/>
        <c:lblAlgn val="ctr"/>
        <c:lblOffset val="100"/>
        <c:noMultiLvlLbl val="0"/>
      </c:catAx>
      <c:valAx>
        <c:axId val="72210340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62255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498256990322035"/>
          <c:y val="0.93479914734415104"/>
          <c:w val="0.30693888496136124"/>
          <c:h val="4.5311349893418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Georgia!$C$3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Georgia!$B$4:$B$11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Georgia!$C$17:$C$24</c:f>
              <c:numCache>
                <c:formatCode>General</c:formatCode>
                <c:ptCount val="8"/>
                <c:pt idx="0">
                  <c:v>7.3513060000000001</c:v>
                </c:pt>
                <c:pt idx="1">
                  <c:v>7.799944</c:v>
                </c:pt>
                <c:pt idx="2">
                  <c:v>7.6939789999999997</c:v>
                </c:pt>
                <c:pt idx="3">
                  <c:v>9.0684970000000007</c:v>
                </c:pt>
                <c:pt idx="4">
                  <c:v>10.882997</c:v>
                </c:pt>
                <c:pt idx="5">
                  <c:v>11.139381</c:v>
                </c:pt>
                <c:pt idx="6">
                  <c:v>9.9253400000000003</c:v>
                </c:pt>
                <c:pt idx="7">
                  <c:v>9.6844630000000009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E2-F546-A5DC-8F0B75C5B098}"/>
            </c:ext>
          </c:extLst>
        </c:ser>
        <c:ser>
          <c:idx val="1"/>
          <c:order val="1"/>
          <c:tx>
            <c:strRef>
              <c:f>Georgia!$D$3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Georgia!$B$4:$B$11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Georgia!$D$17:$D$24</c:f>
              <c:numCache>
                <c:formatCode>General</c:formatCode>
                <c:ptCount val="8"/>
                <c:pt idx="0">
                  <c:v>7.4760900000000001</c:v>
                </c:pt>
                <c:pt idx="1">
                  <c:v>8.0874900000000007</c:v>
                </c:pt>
                <c:pt idx="2">
                  <c:v>7.9861299999999993</c:v>
                </c:pt>
                <c:pt idx="3">
                  <c:v>9.1227400000000003</c:v>
                </c:pt>
                <c:pt idx="4">
                  <c:v>10.94022</c:v>
                </c:pt>
                <c:pt idx="5">
                  <c:v>11.10172</c:v>
                </c:pt>
                <c:pt idx="6">
                  <c:v>10.184189999999999</c:v>
                </c:pt>
                <c:pt idx="7">
                  <c:v>9.9148600000000009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E2-F546-A5DC-8F0B75C5B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Georgia!$G$3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Georgia!$F$4:$F$11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Georgia!$G$17:$G$24</c:f>
              <c:numCache>
                <c:formatCode>General</c:formatCode>
                <c:ptCount val="8"/>
                <c:pt idx="0">
                  <c:v>7.5267000000000001E-2</c:v>
                </c:pt>
                <c:pt idx="1">
                  <c:v>8.6057999999999996E-2</c:v>
                </c:pt>
                <c:pt idx="2">
                  <c:v>6.6529999999999992E-2</c:v>
                </c:pt>
                <c:pt idx="3">
                  <c:v>5.7821999999999998E-2</c:v>
                </c:pt>
                <c:pt idx="4">
                  <c:v>7.196000000000001E-2</c:v>
                </c:pt>
                <c:pt idx="5">
                  <c:v>7.5444999999999998E-2</c:v>
                </c:pt>
                <c:pt idx="6">
                  <c:v>6.8547999999999998E-2</c:v>
                </c:pt>
                <c:pt idx="7">
                  <c:v>6.7832000000000003E-2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4B-D54F-BE06-C211A6070E05}"/>
            </c:ext>
          </c:extLst>
        </c:ser>
        <c:ser>
          <c:idx val="1"/>
          <c:order val="1"/>
          <c:tx>
            <c:strRef>
              <c:f>Georgia!$H$3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Georgia!$F$4:$F$11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Georgia!$H$17:$H$24</c:f>
              <c:numCache>
                <c:formatCode>General</c:formatCode>
                <c:ptCount val="8"/>
                <c:pt idx="0">
                  <c:v>4.7550000000000002E-2</c:v>
                </c:pt>
                <c:pt idx="1">
                  <c:v>5.1549999999999999E-2</c:v>
                </c:pt>
                <c:pt idx="2">
                  <c:v>3.7940000000000002E-2</c:v>
                </c:pt>
                <c:pt idx="3">
                  <c:v>2.6840000000000003E-2</c:v>
                </c:pt>
                <c:pt idx="4">
                  <c:v>3.2479999999999995E-2</c:v>
                </c:pt>
                <c:pt idx="5">
                  <c:v>3.304E-2</c:v>
                </c:pt>
                <c:pt idx="6">
                  <c:v>2.9369999999999997E-2</c:v>
                </c:pt>
                <c:pt idx="7">
                  <c:v>2.8669999999999998E-2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4B-D54F-BE06-C211A6070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Georgia!$K$3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Georgia!$J$4:$J$11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Georgia!$K$17:$K$24</c:f>
              <c:numCache>
                <c:formatCode>General</c:formatCode>
                <c:ptCount val="8"/>
                <c:pt idx="0">
                  <c:v>7.2942419999999997</c:v>
                </c:pt>
                <c:pt idx="1">
                  <c:v>7.7364269999999999</c:v>
                </c:pt>
                <c:pt idx="2">
                  <c:v>7.6436459999999995</c:v>
                </c:pt>
                <c:pt idx="3">
                  <c:v>9.0234579999999998</c:v>
                </c:pt>
                <c:pt idx="4">
                  <c:v>10.828118999999999</c:v>
                </c:pt>
                <c:pt idx="5">
                  <c:v>11.080107999999999</c:v>
                </c:pt>
                <c:pt idx="6">
                  <c:v>9.8723290000000006</c:v>
                </c:pt>
                <c:pt idx="7">
                  <c:v>9.6327200000000008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FC-A943-A7CF-59B1FD6F55B4}"/>
            </c:ext>
          </c:extLst>
        </c:ser>
        <c:ser>
          <c:idx val="1"/>
          <c:order val="1"/>
          <c:tx>
            <c:strRef>
              <c:f>Georgia!$L$3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Georgia!$J$4:$J$11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Georgia!$L$17:$L$24</c:f>
              <c:numCache>
                <c:formatCode>General</c:formatCode>
                <c:ptCount val="8"/>
                <c:pt idx="0">
                  <c:v>7.4293899999999997</c:v>
                </c:pt>
                <c:pt idx="1">
                  <c:v>8.0367800000000003</c:v>
                </c:pt>
                <c:pt idx="2">
                  <c:v>7.9483799999999993</c:v>
                </c:pt>
                <c:pt idx="3">
                  <c:v>9.0963399999999996</c:v>
                </c:pt>
                <c:pt idx="4">
                  <c:v>10.905049999999999</c:v>
                </c:pt>
                <c:pt idx="5">
                  <c:v>11.06385</c:v>
                </c:pt>
                <c:pt idx="6">
                  <c:v>10.15202</c:v>
                </c:pt>
                <c:pt idx="7">
                  <c:v>9.8843300000000003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FC-A943-A7CF-59B1FD6F5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Kentucky!$C$3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  <a:alpha val="99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Kentucky!$B$4:$B$11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Kentucky!$C$17:$C$24</c:f>
              <c:numCache>
                <c:formatCode>General</c:formatCode>
                <c:ptCount val="8"/>
                <c:pt idx="0">
                  <c:v>7.2838459999999996</c:v>
                </c:pt>
                <c:pt idx="1">
                  <c:v>7.1823519999999998</c:v>
                </c:pt>
                <c:pt idx="2">
                  <c:v>13.659242999999998</c:v>
                </c:pt>
                <c:pt idx="3">
                  <c:v>12.343083</c:v>
                </c:pt>
                <c:pt idx="4">
                  <c:v>13.058971</c:v>
                </c:pt>
                <c:pt idx="5">
                  <c:v>12.622493000000002</c:v>
                </c:pt>
                <c:pt idx="6">
                  <c:v>12.468728</c:v>
                </c:pt>
                <c:pt idx="7">
                  <c:v>17.063665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7-1C4A-B307-82462ACD1D39}"/>
            </c:ext>
          </c:extLst>
        </c:ser>
        <c:ser>
          <c:idx val="1"/>
          <c:order val="1"/>
          <c:tx>
            <c:strRef>
              <c:f>Kentucky!$D$3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Kentucky!$B$4:$B$11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Kentucky!$D$17:$D$24</c:f>
              <c:numCache>
                <c:formatCode>General</c:formatCode>
                <c:ptCount val="8"/>
                <c:pt idx="0">
                  <c:v>8.0731900000000003</c:v>
                </c:pt>
                <c:pt idx="1">
                  <c:v>7.9652100000000008</c:v>
                </c:pt>
                <c:pt idx="2">
                  <c:v>14.25479</c:v>
                </c:pt>
                <c:pt idx="3">
                  <c:v>13.061919999999999</c:v>
                </c:pt>
                <c:pt idx="4">
                  <c:v>13.735289999999999</c:v>
                </c:pt>
                <c:pt idx="5">
                  <c:v>13.338990000000001</c:v>
                </c:pt>
                <c:pt idx="6">
                  <c:v>13.26839</c:v>
                </c:pt>
                <c:pt idx="7">
                  <c:v>17.436140000000002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7-1C4A-B307-82462ACD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Louisiana!$C$3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Louisiana!$B$4:$B$11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Louisiana!$C$17:$C$24</c:f>
              <c:numCache>
                <c:formatCode>General</c:formatCode>
                <c:ptCount val="8"/>
                <c:pt idx="0">
                  <c:v>14.936118</c:v>
                </c:pt>
                <c:pt idx="1">
                  <c:v>14.242311999999998</c:v>
                </c:pt>
                <c:pt idx="2">
                  <c:v>13.569374</c:v>
                </c:pt>
                <c:pt idx="3">
                  <c:v>14.240843</c:v>
                </c:pt>
                <c:pt idx="4">
                  <c:v>13.914293000000001</c:v>
                </c:pt>
                <c:pt idx="5">
                  <c:v>13.802801000000001</c:v>
                </c:pt>
                <c:pt idx="6">
                  <c:v>13.163943999999999</c:v>
                </c:pt>
                <c:pt idx="7">
                  <c:v>12.819894000000001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4-8048-9D7E-CE444D643076}"/>
            </c:ext>
          </c:extLst>
        </c:ser>
        <c:ser>
          <c:idx val="1"/>
          <c:order val="1"/>
          <c:tx>
            <c:strRef>
              <c:f>'West Virginia'!$D$3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Louisiana!$B$4:$B$11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Louisiana!$D$17:$D$24</c:f>
              <c:numCache>
                <c:formatCode>General</c:formatCode>
                <c:ptCount val="8"/>
                <c:pt idx="0">
                  <c:v>15.1938</c:v>
                </c:pt>
                <c:pt idx="1">
                  <c:v>14.466680000000002</c:v>
                </c:pt>
                <c:pt idx="2">
                  <c:v>13.882639999999999</c:v>
                </c:pt>
                <c:pt idx="3">
                  <c:v>14.63218</c:v>
                </c:pt>
                <c:pt idx="4">
                  <c:v>14.315439999999999</c:v>
                </c:pt>
                <c:pt idx="5">
                  <c:v>14.274319999999999</c:v>
                </c:pt>
                <c:pt idx="6">
                  <c:v>13.641859999999999</c:v>
                </c:pt>
                <c:pt idx="7">
                  <c:v>13.240789999999999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B4-8048-9D7E-CE444D643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6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Louisiana!$G$3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Louisiana!$F$4:$F$11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Louisiana!$G$17:$G$24</c:f>
              <c:numCache>
                <c:formatCode>General</c:formatCode>
                <c:ptCount val="8"/>
                <c:pt idx="0">
                  <c:v>0.44560600000000006</c:v>
                </c:pt>
                <c:pt idx="1">
                  <c:v>0.45478100000000005</c:v>
                </c:pt>
                <c:pt idx="2">
                  <c:v>0.45303300000000002</c:v>
                </c:pt>
                <c:pt idx="3">
                  <c:v>0.45388399999999995</c:v>
                </c:pt>
                <c:pt idx="4">
                  <c:v>0.45191299999999995</c:v>
                </c:pt>
                <c:pt idx="5">
                  <c:v>0.47035000000000005</c:v>
                </c:pt>
                <c:pt idx="6">
                  <c:v>0.44274199999999997</c:v>
                </c:pt>
                <c:pt idx="7">
                  <c:v>0.44200499999999998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B2-0E40-A99C-35D5432D1FE6}"/>
            </c:ext>
          </c:extLst>
        </c:ser>
        <c:ser>
          <c:idx val="1"/>
          <c:order val="1"/>
          <c:tx>
            <c:strRef>
              <c:f>Louisiana!$H$3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Louisiana!$F$4:$F$11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Louisiana!$H$17:$H$24</c:f>
              <c:numCache>
                <c:formatCode>General</c:formatCode>
                <c:ptCount val="8"/>
                <c:pt idx="0">
                  <c:v>0.45396000000000003</c:v>
                </c:pt>
                <c:pt idx="1">
                  <c:v>0.46195000000000003</c:v>
                </c:pt>
                <c:pt idx="2">
                  <c:v>0.46349000000000001</c:v>
                </c:pt>
                <c:pt idx="3">
                  <c:v>0.46718000000000004</c:v>
                </c:pt>
                <c:pt idx="4">
                  <c:v>0.46534999999999999</c:v>
                </c:pt>
                <c:pt idx="5">
                  <c:v>0.48580999999999996</c:v>
                </c:pt>
                <c:pt idx="6">
                  <c:v>0.45862000000000003</c:v>
                </c:pt>
                <c:pt idx="7">
                  <c:v>0.45561000000000007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B2-0E40-A99C-35D5432D1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Louisiana!$K$3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Louisiana!$J$4:$J$11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Louisiana!$K$17:$K$24</c:f>
              <c:numCache>
                <c:formatCode>General</c:formatCode>
                <c:ptCount val="8"/>
                <c:pt idx="0">
                  <c:v>14.489875</c:v>
                </c:pt>
                <c:pt idx="1">
                  <c:v>13.787531</c:v>
                </c:pt>
                <c:pt idx="2">
                  <c:v>13.116342</c:v>
                </c:pt>
                <c:pt idx="3">
                  <c:v>13.786797</c:v>
                </c:pt>
                <c:pt idx="4">
                  <c:v>13.462245000000001</c:v>
                </c:pt>
                <c:pt idx="5">
                  <c:v>13.332406999999998</c:v>
                </c:pt>
                <c:pt idx="6">
                  <c:v>12.721154000000002</c:v>
                </c:pt>
                <c:pt idx="7">
                  <c:v>12.377828000000001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9-5C4E-BCCF-5BD336B48C16}"/>
            </c:ext>
          </c:extLst>
        </c:ser>
        <c:ser>
          <c:idx val="1"/>
          <c:order val="1"/>
          <c:tx>
            <c:strRef>
              <c:f>Louisiana!$L$3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Louisiana!$J$4:$J$11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Louisiana!$L$17:$L$24</c:f>
              <c:numCache>
                <c:formatCode>General</c:formatCode>
                <c:ptCount val="8"/>
                <c:pt idx="0">
                  <c:v>14.736450000000001</c:v>
                </c:pt>
                <c:pt idx="1">
                  <c:v>14.004739999999998</c:v>
                </c:pt>
                <c:pt idx="2">
                  <c:v>13.419149999999998</c:v>
                </c:pt>
                <c:pt idx="3">
                  <c:v>14.164060000000001</c:v>
                </c:pt>
                <c:pt idx="4">
                  <c:v>13.849339999999998</c:v>
                </c:pt>
                <c:pt idx="5">
                  <c:v>13.78825</c:v>
                </c:pt>
                <c:pt idx="6">
                  <c:v>13.18299</c:v>
                </c:pt>
                <c:pt idx="7">
                  <c:v>12.78486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39-5C4E-BCCF-5BD336B48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6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Mississippi!$C$3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Mississippi!$B$4:$B$11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Mississippi!$C$17:$C$24</c:f>
              <c:numCache>
                <c:formatCode>General</c:formatCode>
                <c:ptCount val="8"/>
                <c:pt idx="0">
                  <c:v>9.5831350000000004</c:v>
                </c:pt>
                <c:pt idx="1">
                  <c:v>9.7202830000000002</c:v>
                </c:pt>
                <c:pt idx="2">
                  <c:v>9.6622599999999998</c:v>
                </c:pt>
                <c:pt idx="3">
                  <c:v>9.5257939999999994</c:v>
                </c:pt>
                <c:pt idx="4">
                  <c:v>9.5541730000000005</c:v>
                </c:pt>
                <c:pt idx="5">
                  <c:v>10.506347</c:v>
                </c:pt>
                <c:pt idx="6">
                  <c:v>10.489165999999999</c:v>
                </c:pt>
                <c:pt idx="7">
                  <c:v>10.340078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22-CE4C-BFDE-9E38BE808201}"/>
            </c:ext>
          </c:extLst>
        </c:ser>
        <c:ser>
          <c:idx val="1"/>
          <c:order val="1"/>
          <c:tx>
            <c:strRef>
              <c:f>Mississippi!$D$3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Mississippi!$B$4:$B$11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Mississippi!$D$17:$D$24</c:f>
              <c:numCache>
                <c:formatCode>General</c:formatCode>
                <c:ptCount val="8"/>
                <c:pt idx="0">
                  <c:v>9.6363799999999991</c:v>
                </c:pt>
                <c:pt idx="1">
                  <c:v>9.7491500000000002</c:v>
                </c:pt>
                <c:pt idx="2">
                  <c:v>9.6937700000000007</c:v>
                </c:pt>
                <c:pt idx="3">
                  <c:v>9.5597199999999987</c:v>
                </c:pt>
                <c:pt idx="4">
                  <c:v>9.5942500000000006</c:v>
                </c:pt>
                <c:pt idx="5">
                  <c:v>10.53558</c:v>
                </c:pt>
                <c:pt idx="6">
                  <c:v>10.529919999999999</c:v>
                </c:pt>
                <c:pt idx="7">
                  <c:v>10.37453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22-CE4C-BFDE-9E38BE808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'North Carolina'!$C$3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'North Carolina'!$B$4:$B$11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'North Carolina'!$C$17:$C$24</c:f>
              <c:numCache>
                <c:formatCode>General</c:formatCode>
                <c:ptCount val="8"/>
                <c:pt idx="0">
                  <c:v>9.2637910000000012</c:v>
                </c:pt>
                <c:pt idx="1">
                  <c:v>8.5669360000000001</c:v>
                </c:pt>
                <c:pt idx="2">
                  <c:v>8.747484</c:v>
                </c:pt>
                <c:pt idx="3">
                  <c:v>9.8953790000000001</c:v>
                </c:pt>
                <c:pt idx="4">
                  <c:v>11.468643999999999</c:v>
                </c:pt>
                <c:pt idx="5">
                  <c:v>11.956498999999999</c:v>
                </c:pt>
                <c:pt idx="6">
                  <c:v>13.626912999999998</c:v>
                </c:pt>
                <c:pt idx="7">
                  <c:v>14.219723999999999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6-864C-95EE-30DF43E43D35}"/>
            </c:ext>
          </c:extLst>
        </c:ser>
        <c:ser>
          <c:idx val="1"/>
          <c:order val="1"/>
          <c:tx>
            <c:strRef>
              <c:f>'North Carolina'!$D$3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'North Carolina'!$B$4:$B$11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'North Carolina'!$D$17:$D$24</c:f>
              <c:numCache>
                <c:formatCode>General</c:formatCode>
                <c:ptCount val="8"/>
                <c:pt idx="0">
                  <c:v>7.2412099999999997</c:v>
                </c:pt>
                <c:pt idx="1">
                  <c:v>7.2976299999999998</c:v>
                </c:pt>
                <c:pt idx="2">
                  <c:v>7.8404699999999998</c:v>
                </c:pt>
                <c:pt idx="3">
                  <c:v>8.3030299999999997</c:v>
                </c:pt>
                <c:pt idx="4">
                  <c:v>9.2531100000000013</c:v>
                </c:pt>
                <c:pt idx="5">
                  <c:v>9.6729300000000009</c:v>
                </c:pt>
                <c:pt idx="6">
                  <c:v>10.17924</c:v>
                </c:pt>
                <c:pt idx="7">
                  <c:v>10.766100000000002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46-864C-95EE-30DF43E43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Tennessee!$C$3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Tennessee!$B$4:$B$11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Tennessee!$C$17:$C$24</c:f>
              <c:numCache>
                <c:formatCode>General</c:formatCode>
                <c:ptCount val="8"/>
                <c:pt idx="0">
                  <c:v>5.343318</c:v>
                </c:pt>
                <c:pt idx="1">
                  <c:v>5.2685930000000001</c:v>
                </c:pt>
                <c:pt idx="2">
                  <c:v>5.1779630000000001</c:v>
                </c:pt>
                <c:pt idx="3">
                  <c:v>5.1124290000000006</c:v>
                </c:pt>
                <c:pt idx="4">
                  <c:v>5.3732819999999997</c:v>
                </c:pt>
                <c:pt idx="5">
                  <c:v>5.394539</c:v>
                </c:pt>
                <c:pt idx="6">
                  <c:v>5.0422190000000002</c:v>
                </c:pt>
                <c:pt idx="7">
                  <c:v>4.8874189999999995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A3-544B-9990-6E3A1B07D2E8}"/>
            </c:ext>
          </c:extLst>
        </c:ser>
        <c:ser>
          <c:idx val="1"/>
          <c:order val="1"/>
          <c:tx>
            <c:strRef>
              <c:f>Tennessee!$D$3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Tennessee!$B$4:$B$11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Tennessee!$D$17:$D$24</c:f>
              <c:numCache>
                <c:formatCode>General</c:formatCode>
                <c:ptCount val="8"/>
                <c:pt idx="0">
                  <c:v>5.0779800000000002</c:v>
                </c:pt>
                <c:pt idx="1">
                  <c:v>4.9976700000000003</c:v>
                </c:pt>
                <c:pt idx="2">
                  <c:v>4.8613099999999996</c:v>
                </c:pt>
                <c:pt idx="3">
                  <c:v>4.7927499999999998</c:v>
                </c:pt>
                <c:pt idx="4">
                  <c:v>4.8838399999999993</c:v>
                </c:pt>
                <c:pt idx="5">
                  <c:v>4.8977399999999998</c:v>
                </c:pt>
                <c:pt idx="6">
                  <c:v>4.6218200000000005</c:v>
                </c:pt>
                <c:pt idx="7">
                  <c:v>4.5454799999999995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A3-544B-9990-6E3A1B07D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Virginia!$C$3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Virginia!$B$4:$B$11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Virginia!$C$17:$C$24</c:f>
              <c:numCache>
                <c:formatCode>General</c:formatCode>
                <c:ptCount val="8"/>
                <c:pt idx="0">
                  <c:v>7.7306269999999992</c:v>
                </c:pt>
                <c:pt idx="1">
                  <c:v>7.1882989999999998</c:v>
                </c:pt>
                <c:pt idx="2">
                  <c:v>7.3195620000000003</c:v>
                </c:pt>
                <c:pt idx="3">
                  <c:v>7.9943349999999995</c:v>
                </c:pt>
                <c:pt idx="4">
                  <c:v>7.6420899999999996</c:v>
                </c:pt>
                <c:pt idx="5">
                  <c:v>7.7155209999999999</c:v>
                </c:pt>
                <c:pt idx="6">
                  <c:v>8.0985310000000013</c:v>
                </c:pt>
                <c:pt idx="7">
                  <c:v>9.8887600000000013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79-3844-924B-17050A9258E3}"/>
            </c:ext>
          </c:extLst>
        </c:ser>
        <c:ser>
          <c:idx val="1"/>
          <c:order val="1"/>
          <c:tx>
            <c:strRef>
              <c:f>Virginia!$D$3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Virginia!$B$4:$B$11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Virginia!$D$17:$D$24</c:f>
              <c:numCache>
                <c:formatCode>General</c:formatCode>
                <c:ptCount val="8"/>
                <c:pt idx="0">
                  <c:v>8.0346399999999996</c:v>
                </c:pt>
                <c:pt idx="1">
                  <c:v>7.5399200000000004</c:v>
                </c:pt>
                <c:pt idx="2">
                  <c:v>7.6632099999999994</c:v>
                </c:pt>
                <c:pt idx="3">
                  <c:v>8.3384599999999995</c:v>
                </c:pt>
                <c:pt idx="4">
                  <c:v>8.0309799999999996</c:v>
                </c:pt>
                <c:pt idx="5">
                  <c:v>8.1093399999999995</c:v>
                </c:pt>
                <c:pt idx="6">
                  <c:v>8.6163600000000002</c:v>
                </c:pt>
                <c:pt idx="7">
                  <c:v>9.9567100000000011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79-3844-924B-17050A925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Virginia!$G$3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Virginia!$F$4:$F$11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Virginia!$G$17:$G$24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0.34171400000000002</c:v>
                </c:pt>
                <c:pt idx="7">
                  <c:v>2.285282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A7-6049-A37E-B75A35031DC9}"/>
            </c:ext>
          </c:extLst>
        </c:ser>
        <c:ser>
          <c:idx val="1"/>
          <c:order val="1"/>
          <c:tx>
            <c:strRef>
              <c:f>Virginia!$H$3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Virginia!$F$4:$F$11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Virginia!$H$17:$H$24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0.39907999999999999</c:v>
                </c:pt>
                <c:pt idx="7">
                  <c:v>2.33412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A7-6049-A37E-B75A35031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Virginia!$K$3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Virginia!$J$4:$J$11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Virginia!$K$17:$K$24</c:f>
              <c:numCache>
                <c:formatCode>General</c:formatCode>
                <c:ptCount val="8"/>
                <c:pt idx="0">
                  <c:v>7.7220070000000005</c:v>
                </c:pt>
                <c:pt idx="1">
                  <c:v>7.1799100000000005</c:v>
                </c:pt>
                <c:pt idx="2">
                  <c:v>7.3111809999999995</c:v>
                </c:pt>
                <c:pt idx="3">
                  <c:v>7.9859540000000004</c:v>
                </c:pt>
                <c:pt idx="4">
                  <c:v>7.6337150000000005</c:v>
                </c:pt>
                <c:pt idx="5">
                  <c:v>7.7071500000000004</c:v>
                </c:pt>
                <c:pt idx="6">
                  <c:v>7.7532189999999996</c:v>
                </c:pt>
                <c:pt idx="7">
                  <c:v>7.6916869999999999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6-6E49-9153-A9F63A75A8C4}"/>
            </c:ext>
          </c:extLst>
        </c:ser>
        <c:ser>
          <c:idx val="1"/>
          <c:order val="1"/>
          <c:tx>
            <c:strRef>
              <c:f>Virginia!$L$3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Virginia!$J$4:$J$11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Virginia!$L$17:$L$24</c:f>
              <c:numCache>
                <c:formatCode>General</c:formatCode>
                <c:ptCount val="8"/>
                <c:pt idx="0">
                  <c:v>7.9167199999999998</c:v>
                </c:pt>
                <c:pt idx="1">
                  <c:v>7.4286400000000006</c:v>
                </c:pt>
                <c:pt idx="2">
                  <c:v>7.5556700000000001</c:v>
                </c:pt>
                <c:pt idx="3">
                  <c:v>8.2340499999999999</c:v>
                </c:pt>
                <c:pt idx="4">
                  <c:v>7.9292799999999994</c:v>
                </c:pt>
                <c:pt idx="5">
                  <c:v>8.0099</c:v>
                </c:pt>
                <c:pt idx="6">
                  <c:v>8.1318000000000001</c:v>
                </c:pt>
                <c:pt idx="7">
                  <c:v>7.8873100000000003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6-6E49-9153-A9F63A75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'West Virginia'!$C$3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'West Virginia'!$B$4:$B$11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'West Virginia'!$C$17:$C$24</c:f>
              <c:numCache>
                <c:formatCode>General</c:formatCode>
                <c:ptCount val="8"/>
                <c:pt idx="0">
                  <c:v>15.795814</c:v>
                </c:pt>
                <c:pt idx="1">
                  <c:v>13.969860000000001</c:v>
                </c:pt>
                <c:pt idx="2">
                  <c:v>14.456394</c:v>
                </c:pt>
                <c:pt idx="3">
                  <c:v>15.826566999999999</c:v>
                </c:pt>
                <c:pt idx="4">
                  <c:v>15.746397000000002</c:v>
                </c:pt>
                <c:pt idx="5">
                  <c:v>13.711872999999999</c:v>
                </c:pt>
                <c:pt idx="6">
                  <c:v>12.693766</c:v>
                </c:pt>
                <c:pt idx="7">
                  <c:v>15.573416000000002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9-124B-BC29-A145894E8672}"/>
            </c:ext>
          </c:extLst>
        </c:ser>
        <c:ser>
          <c:idx val="1"/>
          <c:order val="1"/>
          <c:tx>
            <c:strRef>
              <c:f>'West Virginia'!$D$3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'West Virginia'!$B$4:$B$11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'West Virginia'!$D$17:$D$24</c:f>
              <c:numCache>
                <c:formatCode>General</c:formatCode>
                <c:ptCount val="8"/>
                <c:pt idx="0">
                  <c:v>16.93066</c:v>
                </c:pt>
                <c:pt idx="1">
                  <c:v>15.13958</c:v>
                </c:pt>
                <c:pt idx="2">
                  <c:v>15.945309999999999</c:v>
                </c:pt>
                <c:pt idx="3">
                  <c:v>17.241709999999998</c:v>
                </c:pt>
                <c:pt idx="4">
                  <c:v>16.622129999999999</c:v>
                </c:pt>
                <c:pt idx="5">
                  <c:v>15.48986</c:v>
                </c:pt>
                <c:pt idx="6">
                  <c:v>13.85563</c:v>
                </c:pt>
                <c:pt idx="7">
                  <c:v>15.72287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D9-124B-BC29-A145894E8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26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'West Virginia'!$G$3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'West Virginia'!$F$4:$F$11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'West Virginia'!$G$17:$G$24</c:f>
              <c:numCache>
                <c:formatCode>General</c:formatCode>
                <c:ptCount val="8"/>
                <c:pt idx="0">
                  <c:v>14.835407999999999</c:v>
                </c:pt>
                <c:pt idx="1">
                  <c:v>12.957646</c:v>
                </c:pt>
                <c:pt idx="2">
                  <c:v>13.510753000000001</c:v>
                </c:pt>
                <c:pt idx="3">
                  <c:v>14.907253000000001</c:v>
                </c:pt>
                <c:pt idx="4">
                  <c:v>14.793634000000001</c:v>
                </c:pt>
                <c:pt idx="5">
                  <c:v>12.89564</c:v>
                </c:pt>
                <c:pt idx="6">
                  <c:v>11.845550000000001</c:v>
                </c:pt>
                <c:pt idx="7">
                  <c:v>14.593250999999999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9C-FB49-BA26-86E888F4466D}"/>
            </c:ext>
          </c:extLst>
        </c:ser>
        <c:ser>
          <c:idx val="1"/>
          <c:order val="1"/>
          <c:tx>
            <c:strRef>
              <c:f>'West Virginia'!$H$3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'West Virginia'!$F$4:$F$11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'West Virginia'!$H$17:$H$24</c:f>
              <c:numCache>
                <c:formatCode>General</c:formatCode>
                <c:ptCount val="8"/>
                <c:pt idx="0">
                  <c:v>15.901250000000001</c:v>
                </c:pt>
                <c:pt idx="1">
                  <c:v>14.04261</c:v>
                </c:pt>
                <c:pt idx="2">
                  <c:v>14.907980000000002</c:v>
                </c:pt>
                <c:pt idx="3">
                  <c:v>16.237670000000001</c:v>
                </c:pt>
                <c:pt idx="4">
                  <c:v>15.616379999999999</c:v>
                </c:pt>
                <c:pt idx="5">
                  <c:v>14.56672</c:v>
                </c:pt>
                <c:pt idx="6">
                  <c:v>12.936300000000001</c:v>
                </c:pt>
                <c:pt idx="7">
                  <c:v>14.733140000000001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9C-FB49-BA26-86E888F44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26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'West Virginia'!$K$3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'West Virginia'!$J$4:$J$11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'West Virginia'!$K$17:$K$24</c:f>
              <c:numCache>
                <c:formatCode>General</c:formatCode>
                <c:ptCount val="8"/>
                <c:pt idx="0">
                  <c:v>0.39444500000000005</c:v>
                </c:pt>
                <c:pt idx="1">
                  <c:v>0.42436299999999999</c:v>
                </c:pt>
                <c:pt idx="2">
                  <c:v>0.42012500000000003</c:v>
                </c:pt>
                <c:pt idx="3">
                  <c:v>0.44567299999999999</c:v>
                </c:pt>
                <c:pt idx="4">
                  <c:v>0.43683100000000002</c:v>
                </c:pt>
                <c:pt idx="5">
                  <c:v>0.45308799999999999</c:v>
                </c:pt>
                <c:pt idx="6">
                  <c:v>0.38222999999999996</c:v>
                </c:pt>
                <c:pt idx="7">
                  <c:v>0.37828400000000001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6-CA4F-8807-14771F0937BB}"/>
            </c:ext>
          </c:extLst>
        </c:ser>
        <c:ser>
          <c:idx val="1"/>
          <c:order val="1"/>
          <c:tx>
            <c:strRef>
              <c:f>'West Virginia'!$L$3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'West Virginia'!$J$4:$J$11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'West Virginia'!$L$17:$L$24</c:f>
              <c:numCache>
                <c:formatCode>General</c:formatCode>
                <c:ptCount val="8"/>
                <c:pt idx="0">
                  <c:v>1.0294099999999999</c:v>
                </c:pt>
                <c:pt idx="1">
                  <c:v>1.0923499999999999</c:v>
                </c:pt>
                <c:pt idx="2">
                  <c:v>1.0432600000000001</c:v>
                </c:pt>
                <c:pt idx="3">
                  <c:v>1.01007</c:v>
                </c:pt>
                <c:pt idx="4">
                  <c:v>1.0057500000000001</c:v>
                </c:pt>
                <c:pt idx="5">
                  <c:v>0.92881000000000002</c:v>
                </c:pt>
                <c:pt idx="6">
                  <c:v>0.92484999999999995</c:v>
                </c:pt>
                <c:pt idx="7">
                  <c:v>0.98974000000000006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6-CA4F-8807-14771F093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03958947855976E-2"/>
          <c:y val="0.16500491582198634"/>
          <c:w val="0.93693254674435045"/>
          <c:h val="0.71458563535911601"/>
        </c:manualLayout>
      </c:layout>
      <c:lineChart>
        <c:grouping val="standard"/>
        <c:varyColors val="0"/>
        <c:ser>
          <c:idx val="0"/>
          <c:order val="0"/>
          <c:tx>
            <c:strRef>
              <c:f>Arizona!$C$3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Arizona!$B$4:$B$11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Arizona!$C$17:$C$24</c:f>
              <c:numCache>
                <c:formatCode>General</c:formatCode>
                <c:ptCount val="8"/>
                <c:pt idx="0">
                  <c:v>5.5914140000000003</c:v>
                </c:pt>
                <c:pt idx="1">
                  <c:v>5.5830850000000005</c:v>
                </c:pt>
                <c:pt idx="2">
                  <c:v>5.5864880000000001</c:v>
                </c:pt>
                <c:pt idx="3">
                  <c:v>5.6337600000000005</c:v>
                </c:pt>
                <c:pt idx="4">
                  <c:v>5.8989909999999997</c:v>
                </c:pt>
                <c:pt idx="5">
                  <c:v>5.9774529999999997</c:v>
                </c:pt>
                <c:pt idx="6">
                  <c:v>6.1355170000000001</c:v>
                </c:pt>
                <c:pt idx="7">
                  <c:v>6.3826560000000008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E-4C45-B87D-8447746BE5B5}"/>
            </c:ext>
          </c:extLst>
        </c:ser>
        <c:ser>
          <c:idx val="1"/>
          <c:order val="1"/>
          <c:tx>
            <c:strRef>
              <c:f>Arizona!$D$3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Arizona!$B$4:$B$11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Arizona!$D$17:$D$24</c:f>
              <c:numCache>
                <c:formatCode>General</c:formatCode>
                <c:ptCount val="8"/>
                <c:pt idx="0">
                  <c:v>6.4860299999999995</c:v>
                </c:pt>
                <c:pt idx="1">
                  <c:v>6.4589800000000004</c:v>
                </c:pt>
                <c:pt idx="2">
                  <c:v>6.4582600000000001</c:v>
                </c:pt>
                <c:pt idx="3">
                  <c:v>6.49139</c:v>
                </c:pt>
                <c:pt idx="4">
                  <c:v>6.70641</c:v>
                </c:pt>
                <c:pt idx="5">
                  <c:v>6.9618299999999991</c:v>
                </c:pt>
                <c:pt idx="6">
                  <c:v>7.06928</c:v>
                </c:pt>
                <c:pt idx="7">
                  <c:v>7.1028999999999991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3E-4C45-B87D-8447746BE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62255"/>
        <c:axId val="722103407"/>
      </c:lineChart>
      <c:catAx>
        <c:axId val="7216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3407"/>
        <c:crosses val="autoZero"/>
        <c:auto val="1"/>
        <c:lblAlgn val="ctr"/>
        <c:lblOffset val="100"/>
        <c:noMultiLvlLbl val="0"/>
      </c:catAx>
      <c:valAx>
        <c:axId val="722103407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62255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498256990322035"/>
          <c:y val="0.93479914734415104"/>
          <c:w val="0.30693888496136124"/>
          <c:h val="4.5311349893418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03958947855976E-2"/>
          <c:y val="0.16500491582198634"/>
          <c:w val="0.93693254674435045"/>
          <c:h val="0.71458563535911601"/>
        </c:manualLayout>
      </c:layout>
      <c:lineChart>
        <c:grouping val="standard"/>
        <c:varyColors val="0"/>
        <c:ser>
          <c:idx val="0"/>
          <c:order val="0"/>
          <c:tx>
            <c:strRef>
              <c:f>'New Mexico'!$C$3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'New Jersey'!$B$4:$B$11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'New Mexico'!$C$17:$C$24</c:f>
              <c:numCache>
                <c:formatCode>General</c:formatCode>
                <c:ptCount val="8"/>
                <c:pt idx="0">
                  <c:v>7.0091780000000004</c:v>
                </c:pt>
                <c:pt idx="1">
                  <c:v>7.2428999999999997</c:v>
                </c:pt>
                <c:pt idx="2">
                  <c:v>7.1804829999999997</c:v>
                </c:pt>
                <c:pt idx="3">
                  <c:v>7.3342069999999993</c:v>
                </c:pt>
                <c:pt idx="4">
                  <c:v>7.1677939999999998</c:v>
                </c:pt>
                <c:pt idx="5">
                  <c:v>7.5573890000000006</c:v>
                </c:pt>
                <c:pt idx="6">
                  <c:v>7.4738780000000009</c:v>
                </c:pt>
                <c:pt idx="7">
                  <c:v>7.7200260000000007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B8-834E-B037-AF65438BFED3}"/>
            </c:ext>
          </c:extLst>
        </c:ser>
        <c:ser>
          <c:idx val="1"/>
          <c:order val="1"/>
          <c:tx>
            <c:strRef>
              <c:f>'New Mexico'!$D$3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'New Jersey'!$B$4:$B$11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'New Mexico'!$D$17:$D$24</c:f>
              <c:numCache>
                <c:formatCode>General</c:formatCode>
                <c:ptCount val="8"/>
                <c:pt idx="0">
                  <c:v>7.4946700000000002</c:v>
                </c:pt>
                <c:pt idx="1">
                  <c:v>7.7358899999999995</c:v>
                </c:pt>
                <c:pt idx="2">
                  <c:v>7.6229900000000006</c:v>
                </c:pt>
                <c:pt idx="3">
                  <c:v>7.7525200000000005</c:v>
                </c:pt>
                <c:pt idx="4">
                  <c:v>7.68065</c:v>
                </c:pt>
                <c:pt idx="5">
                  <c:v>7.8801199999999998</c:v>
                </c:pt>
                <c:pt idx="6">
                  <c:v>7.8036200000000004</c:v>
                </c:pt>
                <c:pt idx="7">
                  <c:v>7.9305299999999992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B8-834E-B037-AF65438BF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62255"/>
        <c:axId val="722103407"/>
      </c:lineChart>
      <c:catAx>
        <c:axId val="7216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3407"/>
        <c:crosses val="autoZero"/>
        <c:auto val="1"/>
        <c:lblAlgn val="ctr"/>
        <c:lblOffset val="100"/>
        <c:noMultiLvlLbl val="0"/>
      </c:catAx>
      <c:valAx>
        <c:axId val="722103407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62255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498256990322035"/>
          <c:y val="0.93479914734415104"/>
          <c:w val="0.30693888496136124"/>
          <c:h val="4.5311349893418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03958947855976E-2"/>
          <c:y val="0.16500491582198634"/>
          <c:w val="0.93693254674435045"/>
          <c:h val="0.71458563535911601"/>
        </c:manualLayout>
      </c:layout>
      <c:lineChart>
        <c:grouping val="standard"/>
        <c:varyColors val="0"/>
        <c:ser>
          <c:idx val="0"/>
          <c:order val="0"/>
          <c:tx>
            <c:strRef>
              <c:f>Oklahoma!$C$3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Oklahoma!$B$4:$B$11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Oklahoma!$C$17:$C$24</c:f>
              <c:numCache>
                <c:formatCode>General</c:formatCode>
                <c:ptCount val="8"/>
                <c:pt idx="0">
                  <c:v>5.1963140000000001</c:v>
                </c:pt>
                <c:pt idx="1">
                  <c:v>5.2291429999999997</c:v>
                </c:pt>
                <c:pt idx="2">
                  <c:v>5.1469849999999999</c:v>
                </c:pt>
                <c:pt idx="3">
                  <c:v>5.1463510000000001</c:v>
                </c:pt>
                <c:pt idx="4">
                  <c:v>5.1486410000000005</c:v>
                </c:pt>
                <c:pt idx="5">
                  <c:v>5.3686379999999998</c:v>
                </c:pt>
                <c:pt idx="6">
                  <c:v>5.2445589999999997</c:v>
                </c:pt>
                <c:pt idx="7">
                  <c:v>5.736453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96-1447-8F11-DA1DB38EEA97}"/>
            </c:ext>
          </c:extLst>
        </c:ser>
        <c:ser>
          <c:idx val="1"/>
          <c:order val="1"/>
          <c:tx>
            <c:strRef>
              <c:f>Oklahoma!$D$3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Oklahoma!$B$4:$B$11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Oklahoma!$D$17:$D$24</c:f>
              <c:numCache>
                <c:formatCode>General</c:formatCode>
                <c:ptCount val="8"/>
                <c:pt idx="0">
                  <c:v>5.2020799999999996</c:v>
                </c:pt>
                <c:pt idx="1">
                  <c:v>5.2390800000000004</c:v>
                </c:pt>
                <c:pt idx="2">
                  <c:v>5.1874500000000001</c:v>
                </c:pt>
                <c:pt idx="3">
                  <c:v>5.2815199999999995</c:v>
                </c:pt>
                <c:pt idx="4">
                  <c:v>5.1779799999999998</c:v>
                </c:pt>
                <c:pt idx="5">
                  <c:v>5.3762699999999999</c:v>
                </c:pt>
                <c:pt idx="6">
                  <c:v>5.2879800000000001</c:v>
                </c:pt>
                <c:pt idx="7">
                  <c:v>5.4380100000000002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96-1447-8F11-DA1DB38EE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62255"/>
        <c:axId val="722103407"/>
      </c:lineChart>
      <c:catAx>
        <c:axId val="7216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3407"/>
        <c:crosses val="autoZero"/>
        <c:auto val="1"/>
        <c:lblAlgn val="ctr"/>
        <c:lblOffset val="100"/>
        <c:noMultiLvlLbl val="0"/>
      </c:catAx>
      <c:valAx>
        <c:axId val="72210340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62255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498256990322035"/>
          <c:y val="0.93479914734415104"/>
          <c:w val="0.30693888496136124"/>
          <c:h val="4.5311349893418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Texas!$C$3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Texas!$B$4:$B$11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Texas!$C$17:$C$24</c:f>
              <c:numCache>
                <c:formatCode>General</c:formatCode>
                <c:ptCount val="8"/>
                <c:pt idx="0">
                  <c:v>3.9071349999999998</c:v>
                </c:pt>
                <c:pt idx="1">
                  <c:v>3.8736890000000002</c:v>
                </c:pt>
                <c:pt idx="2">
                  <c:v>3.7943799999999999</c:v>
                </c:pt>
                <c:pt idx="3">
                  <c:v>3.7079249999999999</c:v>
                </c:pt>
                <c:pt idx="4">
                  <c:v>3.7259029999999997</c:v>
                </c:pt>
                <c:pt idx="5">
                  <c:v>4.1849270000000001</c:v>
                </c:pt>
                <c:pt idx="6">
                  <c:v>4.1933530000000001</c:v>
                </c:pt>
                <c:pt idx="7">
                  <c:v>4.3273039999999998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6C-F84F-9872-73FC778DAA73}"/>
            </c:ext>
          </c:extLst>
        </c:ser>
        <c:ser>
          <c:idx val="1"/>
          <c:order val="1"/>
          <c:tx>
            <c:strRef>
              <c:f>Texas!$D$3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Texas!$B$4:$B$11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Texas!$D$17:$D$24</c:f>
              <c:numCache>
                <c:formatCode>General</c:formatCode>
                <c:ptCount val="8"/>
                <c:pt idx="0">
                  <c:v>5.6153599999999999</c:v>
                </c:pt>
                <c:pt idx="1">
                  <c:v>5.7260900000000001</c:v>
                </c:pt>
                <c:pt idx="2">
                  <c:v>5.7226100000000004</c:v>
                </c:pt>
                <c:pt idx="3">
                  <c:v>5.8760000000000003</c:v>
                </c:pt>
                <c:pt idx="4">
                  <c:v>5.8298299999999994</c:v>
                </c:pt>
                <c:pt idx="5">
                  <c:v>5.8324300000000004</c:v>
                </c:pt>
                <c:pt idx="6">
                  <c:v>5.7665800000000003</c:v>
                </c:pt>
                <c:pt idx="7">
                  <c:v>5.6520399999999995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6C-F84F-9872-73FC778DA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Texas!$G$3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Texas!$F$4:$F$11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Texas!$G$17:$G$24</c:f>
              <c:numCache>
                <c:formatCode>General</c:formatCode>
                <c:ptCount val="8"/>
                <c:pt idx="0">
                  <c:v>2.166893</c:v>
                </c:pt>
                <c:pt idx="1">
                  <c:v>2.1120000000000001</c:v>
                </c:pt>
                <c:pt idx="2">
                  <c:v>2.046306</c:v>
                </c:pt>
                <c:pt idx="3">
                  <c:v>1.9598190000000002</c:v>
                </c:pt>
                <c:pt idx="4">
                  <c:v>1.952942</c:v>
                </c:pt>
                <c:pt idx="5">
                  <c:v>2.2317619999999998</c:v>
                </c:pt>
                <c:pt idx="6">
                  <c:v>2.193378</c:v>
                </c:pt>
                <c:pt idx="7">
                  <c:v>2.1080860000000001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7-F043-B06B-715EC8332721}"/>
            </c:ext>
          </c:extLst>
        </c:ser>
        <c:ser>
          <c:idx val="1"/>
          <c:order val="1"/>
          <c:tx>
            <c:strRef>
              <c:f>Texas!$H$3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Texas!$F$4:$F$11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Texas!$H$17:$H$24</c:f>
              <c:numCache>
                <c:formatCode>General</c:formatCode>
                <c:ptCount val="8"/>
                <c:pt idx="0">
                  <c:v>2.3875799999999998</c:v>
                </c:pt>
                <c:pt idx="1">
                  <c:v>2.35127</c:v>
                </c:pt>
                <c:pt idx="2">
                  <c:v>2.2924799999999999</c:v>
                </c:pt>
                <c:pt idx="3">
                  <c:v>2.2150500000000002</c:v>
                </c:pt>
                <c:pt idx="4">
                  <c:v>2.2039199999999997</c:v>
                </c:pt>
                <c:pt idx="5">
                  <c:v>2.4411800000000001</c:v>
                </c:pt>
                <c:pt idx="6">
                  <c:v>2.4105000000000003</c:v>
                </c:pt>
                <c:pt idx="7">
                  <c:v>2.30131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77-F043-B06B-715EC8332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Texas!$K$3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Texas!$J$4:$J$11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Texas!$K$17:$K$24</c:f>
              <c:numCache>
                <c:formatCode>General</c:formatCode>
                <c:ptCount val="8"/>
                <c:pt idx="0">
                  <c:v>1.7404679999999999</c:v>
                </c:pt>
                <c:pt idx="1">
                  <c:v>1.7618740000000002</c:v>
                </c:pt>
                <c:pt idx="2">
                  <c:v>1.7483430000000002</c:v>
                </c:pt>
                <c:pt idx="3">
                  <c:v>1.748491</c:v>
                </c:pt>
                <c:pt idx="4">
                  <c:v>1.7734429999999999</c:v>
                </c:pt>
                <c:pt idx="5">
                  <c:v>1.954277</c:v>
                </c:pt>
                <c:pt idx="6">
                  <c:v>2.0018099999999999</c:v>
                </c:pt>
                <c:pt idx="7">
                  <c:v>2.2206869999999999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8-E04C-AAEA-83672A06B677}"/>
            </c:ext>
          </c:extLst>
        </c:ser>
        <c:ser>
          <c:idx val="1"/>
          <c:order val="1"/>
          <c:tx>
            <c:strRef>
              <c:f>Texas!$L$3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Texas!$J$4:$J$11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Texas!$L$17:$L$24</c:f>
              <c:numCache>
                <c:formatCode>General</c:formatCode>
                <c:ptCount val="8"/>
                <c:pt idx="0">
                  <c:v>1.9369399999999999</c:v>
                </c:pt>
                <c:pt idx="1">
                  <c:v>1.9739900000000001</c:v>
                </c:pt>
                <c:pt idx="2">
                  <c:v>1.96946</c:v>
                </c:pt>
                <c:pt idx="3">
                  <c:v>1.9780699999999998</c:v>
                </c:pt>
                <c:pt idx="4">
                  <c:v>1.9990500000000002</c:v>
                </c:pt>
                <c:pt idx="5">
                  <c:v>2.1461100000000002</c:v>
                </c:pt>
                <c:pt idx="6">
                  <c:v>2.1933199999999999</c:v>
                </c:pt>
                <c:pt idx="7">
                  <c:v>2.3538000000000001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58-E04C-AAEA-83672A06B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Alaska!$C$3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Alaska!$B$5:$B$11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Alaska!$C$18:$C$24</c:f>
              <c:numCache>
                <c:formatCode>General</c:formatCode>
                <c:ptCount val="7"/>
                <c:pt idx="0">
                  <c:v>4.8449819999999999</c:v>
                </c:pt>
                <c:pt idx="1">
                  <c:v>5.8940960000000002</c:v>
                </c:pt>
                <c:pt idx="2">
                  <c:v>6.1456629999999999</c:v>
                </c:pt>
                <c:pt idx="3">
                  <c:v>5.4868449999999998</c:v>
                </c:pt>
                <c:pt idx="4">
                  <c:v>6.5282930000000006</c:v>
                </c:pt>
                <c:pt idx="5">
                  <c:v>5.9826800000000002</c:v>
                </c:pt>
                <c:pt idx="6">
                  <c:v>5.9577119999999999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38-054E-A816-260B86D2CABC}"/>
            </c:ext>
          </c:extLst>
        </c:ser>
        <c:ser>
          <c:idx val="1"/>
          <c:order val="1"/>
          <c:tx>
            <c:strRef>
              <c:f>Alaska!$D$3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Alaska!$B$5:$B$11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Alaska!$D$18:$D$24</c:f>
              <c:numCache>
                <c:formatCode>General</c:formatCode>
                <c:ptCount val="7"/>
                <c:pt idx="0">
                  <c:v>6.3855599999999999</c:v>
                </c:pt>
                <c:pt idx="1">
                  <c:v>7.77196</c:v>
                </c:pt>
                <c:pt idx="2">
                  <c:v>7.7886800000000003</c:v>
                </c:pt>
                <c:pt idx="3">
                  <c:v>8.2340599999999995</c:v>
                </c:pt>
                <c:pt idx="4">
                  <c:v>8.7272100000000012</c:v>
                </c:pt>
                <c:pt idx="5">
                  <c:v>7.7657000000000007</c:v>
                </c:pt>
                <c:pt idx="6">
                  <c:v>8.053799999999999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38-054E-A816-260B86D2C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Alaska!$G$3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Alaska!$F$5:$F$11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Alaska!$G$18:$G$24</c:f>
              <c:numCache>
                <c:formatCode>General</c:formatCode>
                <c:ptCount val="7"/>
                <c:pt idx="0">
                  <c:v>3.513538</c:v>
                </c:pt>
                <c:pt idx="1">
                  <c:v>4.4584380000000001</c:v>
                </c:pt>
                <c:pt idx="2">
                  <c:v>4.501728</c:v>
                </c:pt>
                <c:pt idx="3">
                  <c:v>4.2567430000000002</c:v>
                </c:pt>
                <c:pt idx="4">
                  <c:v>5.250661</c:v>
                </c:pt>
                <c:pt idx="5">
                  <c:v>4.9086319999999999</c:v>
                </c:pt>
                <c:pt idx="6">
                  <c:v>4.8968319999999999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9-4F4E-9255-4A3EEBC26BC6}"/>
            </c:ext>
          </c:extLst>
        </c:ser>
        <c:ser>
          <c:idx val="1"/>
          <c:order val="1"/>
          <c:tx>
            <c:strRef>
              <c:f>Alaska!$H$3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Alaska!$F$5:$F$11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Alaska!$H$18:$H$24</c:f>
              <c:numCache>
                <c:formatCode>General</c:formatCode>
                <c:ptCount val="7"/>
                <c:pt idx="0">
                  <c:v>4.6299600000000005</c:v>
                </c:pt>
                <c:pt idx="1">
                  <c:v>5.8786399999999999</c:v>
                </c:pt>
                <c:pt idx="2">
                  <c:v>5.7052399999999999</c:v>
                </c:pt>
                <c:pt idx="3">
                  <c:v>6.3880699999999999</c:v>
                </c:pt>
                <c:pt idx="4">
                  <c:v>7.0194200000000002</c:v>
                </c:pt>
                <c:pt idx="5">
                  <c:v>6.3715499999999992</c:v>
                </c:pt>
                <c:pt idx="6">
                  <c:v>6.6196699999999993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69-4F4E-9255-4A3EEBC26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Alaska!$K$3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Alaska!$J$5:$J$11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Alaska!$K$18:$K$24</c:f>
              <c:numCache>
                <c:formatCode>General</c:formatCode>
                <c:ptCount val="7"/>
                <c:pt idx="0">
                  <c:v>1.3316700000000001</c:v>
                </c:pt>
                <c:pt idx="1">
                  <c:v>1.4325330000000001</c:v>
                </c:pt>
                <c:pt idx="2">
                  <c:v>1.6371980000000002</c:v>
                </c:pt>
                <c:pt idx="3">
                  <c:v>1.225514</c:v>
                </c:pt>
                <c:pt idx="4">
                  <c:v>1.2777229999999999</c:v>
                </c:pt>
                <c:pt idx="5">
                  <c:v>1.0740480000000001</c:v>
                </c:pt>
                <c:pt idx="6">
                  <c:v>1.06088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5-2C42-8044-70B009597EF8}"/>
            </c:ext>
          </c:extLst>
        </c:ser>
        <c:ser>
          <c:idx val="1"/>
          <c:order val="1"/>
          <c:tx>
            <c:strRef>
              <c:f>Alaska!$L$3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Alaska!$J$5:$J$11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Alaska!$L$18:$L$24</c:f>
              <c:numCache>
                <c:formatCode>General</c:formatCode>
                <c:ptCount val="7"/>
                <c:pt idx="0">
                  <c:v>1.7555999999999998</c:v>
                </c:pt>
                <c:pt idx="1">
                  <c:v>1.8398999999999999</c:v>
                </c:pt>
                <c:pt idx="2">
                  <c:v>1.9760900000000001</c:v>
                </c:pt>
                <c:pt idx="3">
                  <c:v>1.7705900000000001</c:v>
                </c:pt>
                <c:pt idx="4">
                  <c:v>1.7077899999999999</c:v>
                </c:pt>
                <c:pt idx="5">
                  <c:v>1.39415</c:v>
                </c:pt>
                <c:pt idx="6">
                  <c:v>1.4341299999999999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5-2C42-8044-70B009597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California!$C$3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California!$B$4:$B$11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California!$C$17:$C$24</c:f>
              <c:numCache>
                <c:formatCode>General</c:formatCode>
                <c:ptCount val="8"/>
                <c:pt idx="0">
                  <c:v>7.3016139999999989</c:v>
                </c:pt>
                <c:pt idx="1">
                  <c:v>8.6443130000000004</c:v>
                </c:pt>
                <c:pt idx="2">
                  <c:v>10.050756</c:v>
                </c:pt>
                <c:pt idx="3">
                  <c:v>11.147622999999999</c:v>
                </c:pt>
                <c:pt idx="4">
                  <c:v>13.507791999999998</c:v>
                </c:pt>
                <c:pt idx="5">
                  <c:v>15.150136999999999</c:v>
                </c:pt>
                <c:pt idx="6">
                  <c:v>14.963146999999999</c:v>
                </c:pt>
                <c:pt idx="7">
                  <c:v>14.222987000000002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EB-E244-B4B4-C755775B446C}"/>
            </c:ext>
          </c:extLst>
        </c:ser>
        <c:ser>
          <c:idx val="1"/>
          <c:order val="1"/>
          <c:tx>
            <c:strRef>
              <c:f>California!$D$3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California!$B$4:$B$11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California!$D$17:$D$24</c:f>
              <c:numCache>
                <c:formatCode>General</c:formatCode>
                <c:ptCount val="8"/>
                <c:pt idx="0">
                  <c:v>7.9734299999999996</c:v>
                </c:pt>
                <c:pt idx="1">
                  <c:v>9.4074799999999996</c:v>
                </c:pt>
                <c:pt idx="2">
                  <c:v>10.94003</c:v>
                </c:pt>
                <c:pt idx="3">
                  <c:v>12.01947</c:v>
                </c:pt>
                <c:pt idx="4">
                  <c:v>12.971170000000001</c:v>
                </c:pt>
                <c:pt idx="5">
                  <c:v>14.430200000000001</c:v>
                </c:pt>
                <c:pt idx="6">
                  <c:v>14.560280000000001</c:v>
                </c:pt>
                <c:pt idx="7">
                  <c:v>14.27318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EB-E244-B4B4-C755775B4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California!$G$3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California!$F$4:$F$11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California!$G$17:$G$24</c:f>
              <c:numCache>
                <c:formatCode>General</c:formatCode>
                <c:ptCount val="8"/>
                <c:pt idx="0">
                  <c:v>2.5266639999999998</c:v>
                </c:pt>
                <c:pt idx="1">
                  <c:v>3.133175</c:v>
                </c:pt>
                <c:pt idx="2">
                  <c:v>3.730194</c:v>
                </c:pt>
                <c:pt idx="3">
                  <c:v>4.0547769999999996</c:v>
                </c:pt>
                <c:pt idx="4">
                  <c:v>4.7671580000000002</c:v>
                </c:pt>
                <c:pt idx="5">
                  <c:v>5.1545939999999995</c:v>
                </c:pt>
                <c:pt idx="6">
                  <c:v>5.0109159999999999</c:v>
                </c:pt>
                <c:pt idx="7">
                  <c:v>4.7486370000000004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5A-884A-98B3-56B09D0AEB0A}"/>
            </c:ext>
          </c:extLst>
        </c:ser>
        <c:ser>
          <c:idx val="1"/>
          <c:order val="1"/>
          <c:tx>
            <c:strRef>
              <c:f>California!$H$3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California!$F$4:$F$11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California!$H$17:$H$24</c:f>
              <c:numCache>
                <c:formatCode>General</c:formatCode>
                <c:ptCount val="8"/>
                <c:pt idx="0">
                  <c:v>2.7581000000000002</c:v>
                </c:pt>
                <c:pt idx="1">
                  <c:v>3.40313</c:v>
                </c:pt>
                <c:pt idx="2">
                  <c:v>4.0386100000000003</c:v>
                </c:pt>
                <c:pt idx="3">
                  <c:v>4.3550899999999997</c:v>
                </c:pt>
                <c:pt idx="4">
                  <c:v>4.5685000000000002</c:v>
                </c:pt>
                <c:pt idx="5">
                  <c:v>4.9189799999999995</c:v>
                </c:pt>
                <c:pt idx="6">
                  <c:v>4.8958599999999999</c:v>
                </c:pt>
                <c:pt idx="7">
                  <c:v>4.7875699999999997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5A-884A-98B3-56B09D0AE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California!$K$3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California!$J$4:$J$11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California!$K$17:$K$24</c:f>
              <c:numCache>
                <c:formatCode>General</c:formatCode>
                <c:ptCount val="8"/>
                <c:pt idx="0">
                  <c:v>4.774991</c:v>
                </c:pt>
                <c:pt idx="1">
                  <c:v>5.5106910000000005</c:v>
                </c:pt>
                <c:pt idx="2">
                  <c:v>6.3190209999999993</c:v>
                </c:pt>
                <c:pt idx="3">
                  <c:v>7.0911949999999999</c:v>
                </c:pt>
                <c:pt idx="4">
                  <c:v>8.7391020000000008</c:v>
                </c:pt>
                <c:pt idx="5">
                  <c:v>9.9927740000000007</c:v>
                </c:pt>
                <c:pt idx="6">
                  <c:v>9.9494740000000004</c:v>
                </c:pt>
                <c:pt idx="7">
                  <c:v>9.4711479999999995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1F-2E4E-9158-86B2FD3E2718}"/>
            </c:ext>
          </c:extLst>
        </c:ser>
        <c:ser>
          <c:idx val="1"/>
          <c:order val="1"/>
          <c:tx>
            <c:strRef>
              <c:f>California!$L$3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California!$J$4:$J$11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California!$L$17:$L$24</c:f>
              <c:numCache>
                <c:formatCode>General</c:formatCode>
                <c:ptCount val="8"/>
                <c:pt idx="0">
                  <c:v>5.2111700000000001</c:v>
                </c:pt>
                <c:pt idx="1">
                  <c:v>5.99587</c:v>
                </c:pt>
                <c:pt idx="2">
                  <c:v>6.8844000000000003</c:v>
                </c:pt>
                <c:pt idx="3">
                  <c:v>7.6472700000000007</c:v>
                </c:pt>
                <c:pt idx="4">
                  <c:v>8.3828600000000009</c:v>
                </c:pt>
                <c:pt idx="5">
                  <c:v>9.4775700000000001</c:v>
                </c:pt>
                <c:pt idx="6">
                  <c:v>9.6321399999999997</c:v>
                </c:pt>
                <c:pt idx="7">
                  <c:v>9.4512299999999989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1F-2E4E-9158-86B2FD3E2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Hawaii!$C$3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Hawaii!$B$4:$B$11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Hawaii!$C$17:$C$24</c:f>
              <c:numCache>
                <c:formatCode>General</c:formatCode>
                <c:ptCount val="8"/>
                <c:pt idx="0">
                  <c:v>13.907363</c:v>
                </c:pt>
                <c:pt idx="1">
                  <c:v>13.751469999999999</c:v>
                </c:pt>
                <c:pt idx="2">
                  <c:v>13.751417</c:v>
                </c:pt>
                <c:pt idx="3">
                  <c:v>13.908909</c:v>
                </c:pt>
                <c:pt idx="4">
                  <c:v>14.160058000000001</c:v>
                </c:pt>
                <c:pt idx="5">
                  <c:v>15.994869000000001</c:v>
                </c:pt>
                <c:pt idx="6">
                  <c:v>18.786593</c:v>
                </c:pt>
                <c:pt idx="7">
                  <c:v>17.649654000000002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1E-E843-8F55-EE8BF109D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Hawaii!$G$3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Hawaii!$F$4:$F$11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Hawaii!$G$17:$G$24</c:f>
              <c:numCache>
                <c:formatCode>General</c:formatCode>
                <c:ptCount val="8"/>
                <c:pt idx="0">
                  <c:v>3.2842089999999997</c:v>
                </c:pt>
                <c:pt idx="1">
                  <c:v>3.2599549999999997</c:v>
                </c:pt>
                <c:pt idx="2">
                  <c:v>3.3257299999999996</c:v>
                </c:pt>
                <c:pt idx="3">
                  <c:v>3.2389489999999999</c:v>
                </c:pt>
                <c:pt idx="4">
                  <c:v>3.21271</c:v>
                </c:pt>
                <c:pt idx="5">
                  <c:v>3.2868389999999996</c:v>
                </c:pt>
                <c:pt idx="6">
                  <c:v>3.558484</c:v>
                </c:pt>
                <c:pt idx="7">
                  <c:v>3.363273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8-2F4F-9AB2-A5E17430B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Hawaii!$K$3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Hawaii!$J$4:$J$11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Hawaii!$K$17:$K$24</c:f>
              <c:numCache>
                <c:formatCode>General</c:formatCode>
                <c:ptCount val="8"/>
                <c:pt idx="0">
                  <c:v>10.623153</c:v>
                </c:pt>
                <c:pt idx="1">
                  <c:v>10.491514</c:v>
                </c:pt>
                <c:pt idx="2">
                  <c:v>10.425687999999999</c:v>
                </c:pt>
                <c:pt idx="3">
                  <c:v>10.66996</c:v>
                </c:pt>
                <c:pt idx="4">
                  <c:v>10.947348</c:v>
                </c:pt>
                <c:pt idx="5">
                  <c:v>12.708031</c:v>
                </c:pt>
                <c:pt idx="6">
                  <c:v>15.228109</c:v>
                </c:pt>
                <c:pt idx="7">
                  <c:v>14.286381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B4-CA40-AC3B-12153BF0C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03958947855976E-2"/>
          <c:y val="0.16500491582198634"/>
          <c:w val="0.93693254674435045"/>
          <c:h val="0.71458563535911601"/>
        </c:manualLayout>
      </c:layout>
      <c:lineChart>
        <c:grouping val="standard"/>
        <c:varyColors val="0"/>
        <c:ser>
          <c:idx val="0"/>
          <c:order val="0"/>
          <c:tx>
            <c:strRef>
              <c:f>Idaho!$C$3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Idaho!$B$4:$B$11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Idaho!$C$17:$C$24</c:f>
              <c:numCache>
                <c:formatCode>General</c:formatCode>
                <c:ptCount val="8"/>
                <c:pt idx="0">
                  <c:v>10.360239999999999</c:v>
                </c:pt>
                <c:pt idx="1">
                  <c:v>10.418355</c:v>
                </c:pt>
                <c:pt idx="2">
                  <c:v>10.648942</c:v>
                </c:pt>
                <c:pt idx="3">
                  <c:v>11.291993999999999</c:v>
                </c:pt>
                <c:pt idx="4">
                  <c:v>11.552049999999999</c:v>
                </c:pt>
                <c:pt idx="5">
                  <c:v>12.699345000000001</c:v>
                </c:pt>
                <c:pt idx="6">
                  <c:v>12.734222000000001</c:v>
                </c:pt>
                <c:pt idx="7">
                  <c:v>13.162201000000001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ED-384A-AFB5-8041CF796842}"/>
            </c:ext>
          </c:extLst>
        </c:ser>
        <c:ser>
          <c:idx val="1"/>
          <c:order val="1"/>
          <c:tx>
            <c:strRef>
              <c:f>Idaho!$D$3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Idaho!$B$4:$B$11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Idaho!$D$17:$D$24</c:f>
              <c:numCache>
                <c:formatCode>General</c:formatCode>
                <c:ptCount val="8"/>
                <c:pt idx="0">
                  <c:v>6.2886100000000003</c:v>
                </c:pt>
                <c:pt idx="1">
                  <c:v>6.2741899999999999</c:v>
                </c:pt>
                <c:pt idx="2">
                  <c:v>6.2162000000000006</c:v>
                </c:pt>
                <c:pt idx="3">
                  <c:v>6.2173499999999997</c:v>
                </c:pt>
                <c:pt idx="4">
                  <c:v>6.2438599999999997</c:v>
                </c:pt>
                <c:pt idx="5">
                  <c:v>6.6739000000000006</c:v>
                </c:pt>
                <c:pt idx="6">
                  <c:v>6.6110500000000005</c:v>
                </c:pt>
                <c:pt idx="7">
                  <c:v>6.4975800000000001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ED-384A-AFB5-8041CF796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62255"/>
        <c:axId val="722103407"/>
      </c:lineChart>
      <c:catAx>
        <c:axId val="7216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3407"/>
        <c:crosses val="autoZero"/>
        <c:auto val="1"/>
        <c:lblAlgn val="ctr"/>
        <c:lblOffset val="100"/>
        <c:noMultiLvlLbl val="0"/>
      </c:catAx>
      <c:valAx>
        <c:axId val="722103407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62255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498256990322035"/>
          <c:y val="0.93479914734415104"/>
          <c:w val="0.30693888496136124"/>
          <c:h val="4.5311349893418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Montana!$C$3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Montana!$B$4:$B$11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Montana!$C$17:$C$24</c:f>
              <c:numCache>
                <c:formatCode>General</c:formatCode>
                <c:ptCount val="8"/>
                <c:pt idx="0">
                  <c:v>8.2009429999999988</c:v>
                </c:pt>
                <c:pt idx="1">
                  <c:v>8.0277250000000002</c:v>
                </c:pt>
                <c:pt idx="2">
                  <c:v>12.252770999999999</c:v>
                </c:pt>
                <c:pt idx="3">
                  <c:v>8.1257979999999996</c:v>
                </c:pt>
                <c:pt idx="4">
                  <c:v>8.0346489999999999</c:v>
                </c:pt>
                <c:pt idx="5">
                  <c:v>8.2235209999999999</c:v>
                </c:pt>
                <c:pt idx="6">
                  <c:v>7.9869570000000003</c:v>
                </c:pt>
                <c:pt idx="7">
                  <c:v>7.817747999999999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BC-5E4D-A535-61EB87BD1FC0}"/>
            </c:ext>
          </c:extLst>
        </c:ser>
        <c:ser>
          <c:idx val="1"/>
          <c:order val="1"/>
          <c:tx>
            <c:strRef>
              <c:f>Montana!$D$3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Montana!$B$4:$B$11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Montana!$D$17:$D$24</c:f>
              <c:numCache>
                <c:formatCode>General</c:formatCode>
                <c:ptCount val="8"/>
                <c:pt idx="0">
                  <c:v>8.6482799999999997</c:v>
                </c:pt>
                <c:pt idx="1">
                  <c:v>8.6585300000000007</c:v>
                </c:pt>
                <c:pt idx="2">
                  <c:v>8.8292099999999998</c:v>
                </c:pt>
                <c:pt idx="3">
                  <c:v>8.7876499999999993</c:v>
                </c:pt>
                <c:pt idx="4">
                  <c:v>8.7415400000000005</c:v>
                </c:pt>
                <c:pt idx="5">
                  <c:v>8.8355399999999999</c:v>
                </c:pt>
                <c:pt idx="6">
                  <c:v>8.6791199999999993</c:v>
                </c:pt>
                <c:pt idx="7">
                  <c:v>8.6607599999999998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BC-5E4D-A535-61EB87BD1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Montana!$G$3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Montana!$F$4:$F$11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Montana!$G$17:$G$24</c:f>
              <c:numCache>
                <c:formatCode>General</c:formatCode>
                <c:ptCount val="8"/>
                <c:pt idx="0">
                  <c:v>3.3727060000000004</c:v>
                </c:pt>
                <c:pt idx="1">
                  <c:v>3.2003570000000003</c:v>
                </c:pt>
                <c:pt idx="2">
                  <c:v>4.758527</c:v>
                </c:pt>
                <c:pt idx="3">
                  <c:v>3.1655330000000004</c:v>
                </c:pt>
                <c:pt idx="4">
                  <c:v>3.0427119999999999</c:v>
                </c:pt>
                <c:pt idx="5">
                  <c:v>3.0440200000000002</c:v>
                </c:pt>
                <c:pt idx="6">
                  <c:v>2.8965589999999999</c:v>
                </c:pt>
                <c:pt idx="7">
                  <c:v>2.7694509999999997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03-5B4E-A6A0-08FB5D202FCB}"/>
            </c:ext>
          </c:extLst>
        </c:ser>
        <c:ser>
          <c:idx val="1"/>
          <c:order val="1"/>
          <c:tx>
            <c:strRef>
              <c:f>Montana!$H$3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Montana!$F$4:$F$11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Montana!$H$17:$H$24</c:f>
              <c:numCache>
                <c:formatCode>General</c:formatCode>
                <c:ptCount val="8"/>
                <c:pt idx="0">
                  <c:v>3.4576099999999999</c:v>
                </c:pt>
                <c:pt idx="1">
                  <c:v>3.4039199999999998</c:v>
                </c:pt>
                <c:pt idx="2">
                  <c:v>3.4246100000000004</c:v>
                </c:pt>
                <c:pt idx="3">
                  <c:v>3.3768600000000002</c:v>
                </c:pt>
                <c:pt idx="4">
                  <c:v>3.3126799999999998</c:v>
                </c:pt>
                <c:pt idx="5">
                  <c:v>3.3062099999999996</c:v>
                </c:pt>
                <c:pt idx="6">
                  <c:v>3.1883399999999997</c:v>
                </c:pt>
                <c:pt idx="7">
                  <c:v>3.1414599999999999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03-5B4E-A6A0-08FB5D202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Montana!$K$3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Montana!$J$4:$J$11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Montana!$K$17:$K$24</c:f>
              <c:numCache>
                <c:formatCode>General</c:formatCode>
                <c:ptCount val="8"/>
                <c:pt idx="0">
                  <c:v>4.8316460000000001</c:v>
                </c:pt>
                <c:pt idx="1">
                  <c:v>4.8263790000000002</c:v>
                </c:pt>
                <c:pt idx="2">
                  <c:v>7.4915969999999996</c:v>
                </c:pt>
                <c:pt idx="3">
                  <c:v>4.9601350000000002</c:v>
                </c:pt>
                <c:pt idx="4">
                  <c:v>4.9919289999999998</c:v>
                </c:pt>
                <c:pt idx="5">
                  <c:v>5.1783910000000004</c:v>
                </c:pt>
                <c:pt idx="6">
                  <c:v>5.0918480000000006</c:v>
                </c:pt>
                <c:pt idx="7">
                  <c:v>5.0515669999999995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A-1B4C-A16E-2616CF23FCC2}"/>
            </c:ext>
          </c:extLst>
        </c:ser>
        <c:ser>
          <c:idx val="1"/>
          <c:order val="1"/>
          <c:tx>
            <c:strRef>
              <c:f>Montana!$L$3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Montana!$J$4:$J$11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Montana!$L$17:$L$24</c:f>
              <c:numCache>
                <c:formatCode>General</c:formatCode>
                <c:ptCount val="8"/>
                <c:pt idx="0">
                  <c:v>5.2073200000000002</c:v>
                </c:pt>
                <c:pt idx="1">
                  <c:v>5.2657600000000002</c:v>
                </c:pt>
                <c:pt idx="2">
                  <c:v>5.4286300000000001</c:v>
                </c:pt>
                <c:pt idx="3">
                  <c:v>5.4342600000000001</c:v>
                </c:pt>
                <c:pt idx="4">
                  <c:v>5.4516799999999996</c:v>
                </c:pt>
                <c:pt idx="5">
                  <c:v>5.5519400000000001</c:v>
                </c:pt>
                <c:pt idx="6">
                  <c:v>5.5122499999999999</c:v>
                </c:pt>
                <c:pt idx="7">
                  <c:v>5.5469499999999998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8A-1B4C-A16E-2616CF23F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Nevada!$C$3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Nevada!$B$4:$B$11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Nevada!$C$17:$C$24</c:f>
              <c:numCache>
                <c:formatCode>General</c:formatCode>
                <c:ptCount val="8"/>
                <c:pt idx="0">
                  <c:v>15.405295999999998</c:v>
                </c:pt>
                <c:pt idx="1">
                  <c:v>16.508893999999998</c:v>
                </c:pt>
                <c:pt idx="2">
                  <c:v>8.4214590000000005</c:v>
                </c:pt>
                <c:pt idx="3">
                  <c:v>8.3929799999999997</c:v>
                </c:pt>
                <c:pt idx="4">
                  <c:v>8.1765889999999999</c:v>
                </c:pt>
                <c:pt idx="5">
                  <c:v>8.8084699999999998</c:v>
                </c:pt>
                <c:pt idx="6">
                  <c:v>8.6967359999999996</c:v>
                </c:pt>
                <c:pt idx="7">
                  <c:v>8.2393869999999989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D2-0B45-81C6-3E1E3C99A81F}"/>
            </c:ext>
          </c:extLst>
        </c:ser>
        <c:ser>
          <c:idx val="1"/>
          <c:order val="1"/>
          <c:tx>
            <c:strRef>
              <c:f>Nevada!$D$3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Nevada!$B$4:$B$11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Nevada!$D$17:$D$24</c:f>
              <c:numCache>
                <c:formatCode>General</c:formatCode>
                <c:ptCount val="8"/>
                <c:pt idx="0">
                  <c:v>15.916399999999999</c:v>
                </c:pt>
                <c:pt idx="1">
                  <c:v>15.730040000000001</c:v>
                </c:pt>
                <c:pt idx="2">
                  <c:v>8.4985900000000001</c:v>
                </c:pt>
                <c:pt idx="3">
                  <c:v>8.5959599999999998</c:v>
                </c:pt>
                <c:pt idx="4">
                  <c:v>8.6158900000000003</c:v>
                </c:pt>
                <c:pt idx="5">
                  <c:v>8.9258000000000006</c:v>
                </c:pt>
                <c:pt idx="6">
                  <c:v>8.8675699999999988</c:v>
                </c:pt>
                <c:pt idx="7">
                  <c:v>8.6574399999999994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D2-0B45-81C6-3E1E3C99A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Nevada!$G$3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Nevada!$F$4:$F$11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Nevada!$G$17:$G$24</c:f>
              <c:numCache>
                <c:formatCode>General</c:formatCode>
                <c:ptCount val="8"/>
                <c:pt idx="0">
                  <c:v>2.4815670000000001</c:v>
                </c:pt>
                <c:pt idx="1">
                  <c:v>2.6413790000000001</c:v>
                </c:pt>
                <c:pt idx="2">
                  <c:v>1.3885700000000001</c:v>
                </c:pt>
                <c:pt idx="3">
                  <c:v>1.36205</c:v>
                </c:pt>
                <c:pt idx="4">
                  <c:v>1.342244</c:v>
                </c:pt>
                <c:pt idx="5">
                  <c:v>1.459595</c:v>
                </c:pt>
                <c:pt idx="6">
                  <c:v>1.425964</c:v>
                </c:pt>
                <c:pt idx="7">
                  <c:v>1.270268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51-474B-851C-BA86A604A11B}"/>
            </c:ext>
          </c:extLst>
        </c:ser>
        <c:ser>
          <c:idx val="1"/>
          <c:order val="1"/>
          <c:tx>
            <c:strRef>
              <c:f>Nevada!$H$3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Nevada!$F$4:$F$11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Nevada!$H$17:$H$24</c:f>
              <c:numCache>
                <c:formatCode>General</c:formatCode>
                <c:ptCount val="8"/>
                <c:pt idx="0">
                  <c:v>2.5638999999999998</c:v>
                </c:pt>
                <c:pt idx="1">
                  <c:v>2.5282900000000001</c:v>
                </c:pt>
                <c:pt idx="2">
                  <c:v>1.40211</c:v>
                </c:pt>
                <c:pt idx="3">
                  <c:v>1.3947400000000001</c:v>
                </c:pt>
                <c:pt idx="4">
                  <c:v>1.4143599999999998</c:v>
                </c:pt>
                <c:pt idx="5">
                  <c:v>1.4790400000000001</c:v>
                </c:pt>
                <c:pt idx="6">
                  <c:v>1.4539800000000001</c:v>
                </c:pt>
                <c:pt idx="7">
                  <c:v>1.3347199999999999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51-474B-851C-BA86A604A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18283927744326E-2"/>
          <c:y val="0.16962277525528285"/>
          <c:w val="0.92866112783696153"/>
          <c:h val="0.70358353928386697"/>
        </c:manualLayout>
      </c:layout>
      <c:lineChart>
        <c:grouping val="standard"/>
        <c:varyColors val="0"/>
        <c:ser>
          <c:idx val="0"/>
          <c:order val="0"/>
          <c:tx>
            <c:strRef>
              <c:f>Nevada!$K$3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Nevada!$J$4:$J$11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Nevada!$K$17:$K$24</c:f>
              <c:numCache>
                <c:formatCode>General</c:formatCode>
                <c:ptCount val="8"/>
                <c:pt idx="0">
                  <c:v>12.923729</c:v>
                </c:pt>
                <c:pt idx="1">
                  <c:v>13.867515999999998</c:v>
                </c:pt>
                <c:pt idx="2">
                  <c:v>7.0331260000000011</c:v>
                </c:pt>
                <c:pt idx="3">
                  <c:v>7.0311769999999996</c:v>
                </c:pt>
                <c:pt idx="4">
                  <c:v>6.8343449999999999</c:v>
                </c:pt>
                <c:pt idx="5">
                  <c:v>7.3488750000000005</c:v>
                </c:pt>
                <c:pt idx="6">
                  <c:v>7.2707709999999999</c:v>
                </c:pt>
                <c:pt idx="7">
                  <c:v>6.9691180000000008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6F-F040-9207-9FC9C82FAE1A}"/>
            </c:ext>
          </c:extLst>
        </c:ser>
        <c:ser>
          <c:idx val="1"/>
          <c:order val="1"/>
          <c:tx>
            <c:strRef>
              <c:f>Nevada!$L$3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Nevada!$J$4:$J$11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Nevada!$L$17:$L$24</c:f>
              <c:numCache>
                <c:formatCode>General</c:formatCode>
                <c:ptCount val="8"/>
                <c:pt idx="0">
                  <c:v>13.352500000000001</c:v>
                </c:pt>
                <c:pt idx="1">
                  <c:v>13.201750000000001</c:v>
                </c:pt>
                <c:pt idx="2">
                  <c:v>7.0964899999999993</c:v>
                </c:pt>
                <c:pt idx="3">
                  <c:v>7.2012299999999998</c:v>
                </c:pt>
                <c:pt idx="4">
                  <c:v>7.20153</c:v>
                </c:pt>
                <c:pt idx="5">
                  <c:v>7.4467599999999994</c:v>
                </c:pt>
                <c:pt idx="6">
                  <c:v>7.4135999999999997</c:v>
                </c:pt>
                <c:pt idx="7">
                  <c:v>7.3227200000000003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6F-F040-9207-9FC9C82FA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411200"/>
        <c:axId val="768124256"/>
      </c:lineChart>
      <c:catAx>
        <c:axId val="7684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24256"/>
        <c:crosses val="autoZero"/>
        <c:auto val="1"/>
        <c:lblAlgn val="ctr"/>
        <c:lblOffset val="100"/>
        <c:noMultiLvlLbl val="0"/>
      </c:catAx>
      <c:valAx>
        <c:axId val="768124256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112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60797510108533"/>
          <c:y val="0.92471890314409999"/>
          <c:w val="0.39878404979782933"/>
          <c:h val="4.4978066552869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03958947855976E-2"/>
          <c:y val="0.16500491582198634"/>
          <c:w val="0.93693254674435045"/>
          <c:h val="0.71458563535911601"/>
        </c:manualLayout>
      </c:layout>
      <c:lineChart>
        <c:grouping val="standard"/>
        <c:varyColors val="0"/>
        <c:ser>
          <c:idx val="0"/>
          <c:order val="0"/>
          <c:tx>
            <c:strRef>
              <c:f>Oregon!$C$3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Oregon!$B$4:$B$11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Oregon!$C$17:$C$24</c:f>
              <c:numCache>
                <c:formatCode>General</c:formatCode>
                <c:ptCount val="8"/>
                <c:pt idx="0">
                  <c:v>6.9921590000000009</c:v>
                </c:pt>
                <c:pt idx="1">
                  <c:v>5.5452899999999996</c:v>
                </c:pt>
                <c:pt idx="2">
                  <c:v>5.3446229999999995</c:v>
                </c:pt>
                <c:pt idx="3">
                  <c:v>6.731751</c:v>
                </c:pt>
                <c:pt idx="4">
                  <c:v>7.5847709999999999</c:v>
                </c:pt>
                <c:pt idx="5">
                  <c:v>9.3526830000000007</c:v>
                </c:pt>
                <c:pt idx="6">
                  <c:v>8.0378059999999998</c:v>
                </c:pt>
                <c:pt idx="7">
                  <c:v>13.171815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0A-714C-9928-F8AF974333A6}"/>
            </c:ext>
          </c:extLst>
        </c:ser>
        <c:ser>
          <c:idx val="1"/>
          <c:order val="1"/>
          <c:tx>
            <c:strRef>
              <c:f>Oregon!$D$3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Oregon!$B$4:$B$11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Oregon!$D$17:$D$24</c:f>
              <c:numCache>
                <c:formatCode>General</c:formatCode>
                <c:ptCount val="8"/>
                <c:pt idx="0">
                  <c:v>6.0297799999999997</c:v>
                </c:pt>
                <c:pt idx="1">
                  <c:v>5.1614500000000003</c:v>
                </c:pt>
                <c:pt idx="2">
                  <c:v>5.3220900000000002</c:v>
                </c:pt>
                <c:pt idx="3">
                  <c:v>7.0497300000000003</c:v>
                </c:pt>
                <c:pt idx="4">
                  <c:v>7.6951500000000008</c:v>
                </c:pt>
                <c:pt idx="5">
                  <c:v>9.4410100000000003</c:v>
                </c:pt>
                <c:pt idx="6">
                  <c:v>8.3842200000000009</c:v>
                </c:pt>
                <c:pt idx="7">
                  <c:v>12.065470000000001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0A-714C-9928-F8AF9743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62255"/>
        <c:axId val="722103407"/>
      </c:lineChart>
      <c:catAx>
        <c:axId val="7216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3407"/>
        <c:crosses val="autoZero"/>
        <c:auto val="1"/>
        <c:lblAlgn val="ctr"/>
        <c:lblOffset val="100"/>
        <c:noMultiLvlLbl val="0"/>
      </c:catAx>
      <c:valAx>
        <c:axId val="722103407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62255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498256990322035"/>
          <c:y val="0.93479914734415104"/>
          <c:w val="0.30693888496136124"/>
          <c:h val="4.5311349893418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03958947855976E-2"/>
          <c:y val="0.16500491582198634"/>
          <c:w val="0.93693254674435045"/>
          <c:h val="0.71458563535911601"/>
        </c:manualLayout>
      </c:layout>
      <c:lineChart>
        <c:grouping val="standard"/>
        <c:varyColors val="0"/>
        <c:ser>
          <c:idx val="0"/>
          <c:order val="0"/>
          <c:tx>
            <c:strRef>
              <c:f>Utah!$C$3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Utah!$B$4:$B$11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Utah!$C$17:$C$24</c:f>
              <c:numCache>
                <c:formatCode>General</c:formatCode>
                <c:ptCount val="8"/>
                <c:pt idx="0">
                  <c:v>20.128515</c:v>
                </c:pt>
                <c:pt idx="1">
                  <c:v>19.408928</c:v>
                </c:pt>
                <c:pt idx="2">
                  <c:v>19.209029000000001</c:v>
                </c:pt>
                <c:pt idx="3">
                  <c:v>19.608255</c:v>
                </c:pt>
                <c:pt idx="4">
                  <c:v>19.640133000000002</c:v>
                </c:pt>
                <c:pt idx="5">
                  <c:v>19.748984</c:v>
                </c:pt>
                <c:pt idx="6">
                  <c:v>20.310373000000002</c:v>
                </c:pt>
                <c:pt idx="7">
                  <c:v>18.541371999999999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28-9C49-9B46-5FBEB13A7A1E}"/>
            </c:ext>
          </c:extLst>
        </c:ser>
        <c:ser>
          <c:idx val="1"/>
          <c:order val="1"/>
          <c:tx>
            <c:strRef>
              <c:f>Utah!$D$3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Utah!$B$4:$B$11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Utah!$D$17:$D$24</c:f>
              <c:numCache>
                <c:formatCode>General</c:formatCode>
                <c:ptCount val="8"/>
                <c:pt idx="0">
                  <c:v>11.6037</c:v>
                </c:pt>
                <c:pt idx="1">
                  <c:v>11.146559999999999</c:v>
                </c:pt>
                <c:pt idx="2">
                  <c:v>11.13434</c:v>
                </c:pt>
                <c:pt idx="3">
                  <c:v>10.96377</c:v>
                </c:pt>
                <c:pt idx="4">
                  <c:v>11.01075</c:v>
                </c:pt>
                <c:pt idx="5">
                  <c:v>11.10843</c:v>
                </c:pt>
                <c:pt idx="6">
                  <c:v>11.07255</c:v>
                </c:pt>
                <c:pt idx="7">
                  <c:v>10.9651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28-9C49-9B46-5FBEB13A7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62255"/>
        <c:axId val="722103407"/>
      </c:lineChart>
      <c:catAx>
        <c:axId val="7216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3407"/>
        <c:crosses val="autoZero"/>
        <c:auto val="1"/>
        <c:lblAlgn val="ctr"/>
        <c:lblOffset val="100"/>
        <c:noMultiLvlLbl val="0"/>
      </c:catAx>
      <c:valAx>
        <c:axId val="722103407"/>
        <c:scaling>
          <c:orientation val="minMax"/>
          <c:max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62255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498256990322035"/>
          <c:y val="0.93479914734415104"/>
          <c:w val="0.30693888496136124"/>
          <c:h val="4.5311349893418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03958947855976E-2"/>
          <c:y val="0.16500491582198634"/>
          <c:w val="0.93693254674435045"/>
          <c:h val="0.71458563535911601"/>
        </c:manualLayout>
      </c:layout>
      <c:lineChart>
        <c:grouping val="standard"/>
        <c:varyColors val="0"/>
        <c:ser>
          <c:idx val="0"/>
          <c:order val="0"/>
          <c:tx>
            <c:strRef>
              <c:f>Wyoming!$C$3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Wyoming!$B$4:$B$11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Wyoming!$C$17:$C$24</c:f>
              <c:numCache>
                <c:formatCode>General</c:formatCode>
                <c:ptCount val="8"/>
                <c:pt idx="0">
                  <c:v>8.7626640000000009</c:v>
                </c:pt>
                <c:pt idx="1">
                  <c:v>8.8531779999999998</c:v>
                </c:pt>
                <c:pt idx="2">
                  <c:v>8.6753330000000002</c:v>
                </c:pt>
                <c:pt idx="3">
                  <c:v>8.8284470000000006</c:v>
                </c:pt>
                <c:pt idx="4">
                  <c:v>9.2259460000000004</c:v>
                </c:pt>
                <c:pt idx="5">
                  <c:v>9.3934259999999998</c:v>
                </c:pt>
                <c:pt idx="6">
                  <c:v>9.340268</c:v>
                </c:pt>
                <c:pt idx="7">
                  <c:v>9.3455720000000007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8-7141-8372-CE5EF7EE0595}"/>
            </c:ext>
          </c:extLst>
        </c:ser>
        <c:ser>
          <c:idx val="1"/>
          <c:order val="1"/>
          <c:tx>
            <c:strRef>
              <c:f>Wyoming!$D$3</c:f>
              <c:strCache>
                <c:ptCount val="1"/>
                <c:pt idx="0">
                  <c:v>Weighted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Wyoming!$B$4:$B$11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Wyoming!$D$17:$D$24</c:f>
              <c:numCache>
                <c:formatCode>General</c:formatCode>
                <c:ptCount val="8"/>
                <c:pt idx="0">
                  <c:v>9.1365400000000001</c:v>
                </c:pt>
                <c:pt idx="1">
                  <c:v>9.1859999999999999</c:v>
                </c:pt>
                <c:pt idx="2">
                  <c:v>8.9868400000000008</c:v>
                </c:pt>
                <c:pt idx="3">
                  <c:v>9.0778200000000009</c:v>
                </c:pt>
                <c:pt idx="4">
                  <c:v>9.4869699999999995</c:v>
                </c:pt>
                <c:pt idx="5">
                  <c:v>9.6461299999999994</c:v>
                </c:pt>
                <c:pt idx="6">
                  <c:v>9.4982300000000013</c:v>
                </c:pt>
                <c:pt idx="7">
                  <c:v>9.6459100000000007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88-7141-8372-CE5EF7EE0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62255"/>
        <c:axId val="722103407"/>
      </c:lineChart>
      <c:catAx>
        <c:axId val="7216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3407"/>
        <c:crosses val="autoZero"/>
        <c:auto val="1"/>
        <c:lblAlgn val="ctr"/>
        <c:lblOffset val="100"/>
        <c:noMultiLvlLbl val="0"/>
      </c:catAx>
      <c:valAx>
        <c:axId val="722103407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62255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498256990322035"/>
          <c:y val="0.93479914734415104"/>
          <c:w val="0.30693888496136124"/>
          <c:h val="4.5311349893418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.xml"/><Relationship Id="rId2" Type="http://schemas.openxmlformats.org/officeDocument/2006/relationships/chart" Target="../charts/chart53.xml"/><Relationship Id="rId1" Type="http://schemas.openxmlformats.org/officeDocument/2006/relationships/chart" Target="../charts/chart52.xml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0.xml"/><Relationship Id="rId2" Type="http://schemas.openxmlformats.org/officeDocument/2006/relationships/chart" Target="../charts/chart59.xml"/><Relationship Id="rId1" Type="http://schemas.openxmlformats.org/officeDocument/2006/relationships/chart" Target="../charts/chart58.xml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9.xml"/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2.xml"/><Relationship Id="rId2" Type="http://schemas.openxmlformats.org/officeDocument/2006/relationships/chart" Target="../charts/chart71.xml"/><Relationship Id="rId1" Type="http://schemas.openxmlformats.org/officeDocument/2006/relationships/chart" Target="../charts/chart70.xml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5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9.xml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2.xml"/><Relationship Id="rId2" Type="http://schemas.openxmlformats.org/officeDocument/2006/relationships/chart" Target="../charts/chart81.xml"/><Relationship Id="rId1" Type="http://schemas.openxmlformats.org/officeDocument/2006/relationships/chart" Target="../charts/chart80.xml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5.xml"/><Relationship Id="rId2" Type="http://schemas.openxmlformats.org/officeDocument/2006/relationships/chart" Target="../charts/chart84.xml"/><Relationship Id="rId1" Type="http://schemas.openxmlformats.org/officeDocument/2006/relationships/chart" Target="../charts/chart83.xml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6.xml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7.xml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349250</xdr:colOff>
      <xdr:row>10</xdr:row>
      <xdr:rowOff>82550</xdr:rowOff>
    </xdr:from>
    <xdr:to>
      <xdr:col>17</xdr:col>
      <xdr:colOff>215900</xdr:colOff>
      <xdr:row>36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FEE4AF-0335-5646-7413-B79F0C110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3</xdr:row>
      <xdr:rowOff>184150</xdr:rowOff>
    </xdr:from>
    <xdr:to>
      <xdr:col>14</xdr:col>
      <xdr:colOff>762000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6A984C-9A5F-814C-AB31-BC19959FD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0.00619</cdr:x>
      <cdr:y>0.00884</cdr:y>
    </cdr:from>
    <cdr:to>
      <cdr:x>0.9969</cdr:x>
      <cdr:y>0.13039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5DDE6-CD45-874E-10A8-D5339B31F85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1280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Figure 1. Connecticut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0.00464</cdr:x>
      <cdr:y>0.10608</cdr:y>
    </cdr:from>
    <cdr:to>
      <cdr:x>0.25696</cdr:x>
      <cdr:y>0.16354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7BF9A93-C3E5-20DE-C8E8-F42500F4F8B7}"/>
            </a:ext>
          </a:extLst>
        </cdr:cNvPr>
        <cdr:cNvSpPr txBox="1"/>
      </cdr:nvSpPr>
      <cdr:spPr>
        <a:xfrm xmlns:a="http://schemas.openxmlformats.org/drawingml/2006/main">
          <a:off x="38100" y="609600"/>
          <a:ext cx="2070084" cy="330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0.93189</cdr:x>
      <cdr:y>0.1558</cdr:y>
    </cdr:from>
    <cdr:to>
      <cdr:x>0.99381</cdr:x>
      <cdr:y>0.21768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1D4DDE9-A706-A6B4-176D-DD9CBB1170B0}"/>
            </a:ext>
          </a:extLst>
        </cdr:cNvPr>
        <cdr:cNvSpPr txBox="1"/>
      </cdr:nvSpPr>
      <cdr:spPr>
        <a:xfrm xmlns:a="http://schemas.openxmlformats.org/drawingml/2006/main">
          <a:off x="7645400" y="895350"/>
          <a:ext cx="508000" cy="355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2022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381000</xdr:colOff>
      <xdr:row>1</xdr:row>
      <xdr:rowOff>101600</xdr:rowOff>
    </xdr:from>
    <xdr:to>
      <xdr:col>23</xdr:col>
      <xdr:colOff>12700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C89A3D-9852-C24B-8F6B-C2008A104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177800</xdr:colOff>
      <xdr:row>0</xdr:row>
      <xdr:rowOff>165100</xdr:rowOff>
    </xdr:from>
    <xdr:to>
      <xdr:col>32</xdr:col>
      <xdr:colOff>88900</xdr:colOff>
      <xdr:row>26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0B20B7-6099-3240-A5D4-7EB8BA1B3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571500</xdr:colOff>
      <xdr:row>27</xdr:row>
      <xdr:rowOff>152400</xdr:rowOff>
    </xdr:from>
    <xdr:to>
      <xdr:col>23</xdr:col>
      <xdr:colOff>203200</xdr:colOff>
      <xdr:row>53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42183E-D576-A54A-91BD-0B13D00907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Delaware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Delaware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3. Delaware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381000</xdr:colOff>
      <xdr:row>1</xdr:row>
      <xdr:rowOff>101600</xdr:rowOff>
    </xdr:from>
    <xdr:to>
      <xdr:col>23</xdr:col>
      <xdr:colOff>12700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79385A-3109-9F44-8070-75D96BC19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177800</xdr:colOff>
      <xdr:row>0</xdr:row>
      <xdr:rowOff>165100</xdr:rowOff>
    </xdr:from>
    <xdr:to>
      <xdr:col>32</xdr:col>
      <xdr:colOff>88900</xdr:colOff>
      <xdr:row>26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1C21FF-25E1-7D4F-AE2D-FBDE741C4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571500</xdr:colOff>
      <xdr:row>27</xdr:row>
      <xdr:rowOff>152400</xdr:rowOff>
    </xdr:from>
    <xdr:to>
      <xdr:col>23</xdr:col>
      <xdr:colOff>203200</xdr:colOff>
      <xdr:row>53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8FEDC9-1001-3249-8AF6-C02BDD4BD0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Maine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Maine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3. Maine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381000</xdr:colOff>
      <xdr:row>1</xdr:row>
      <xdr:rowOff>101600</xdr:rowOff>
    </xdr:from>
    <xdr:to>
      <xdr:col>23</xdr:col>
      <xdr:colOff>12700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AF698-A62C-A24A-963B-EC8E08571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177800</xdr:colOff>
      <xdr:row>0</xdr:row>
      <xdr:rowOff>165100</xdr:rowOff>
    </xdr:from>
    <xdr:to>
      <xdr:col>32</xdr:col>
      <xdr:colOff>88900</xdr:colOff>
      <xdr:row>26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1BF144-676E-0C4E-9140-5A7573760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571500</xdr:colOff>
      <xdr:row>27</xdr:row>
      <xdr:rowOff>152400</xdr:rowOff>
    </xdr:from>
    <xdr:to>
      <xdr:col>23</xdr:col>
      <xdr:colOff>203200</xdr:colOff>
      <xdr:row>53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7BD8D1-3FF7-E943-A75A-429AD50300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Maryland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Maryland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3. Maryland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3</xdr:row>
      <xdr:rowOff>184150</xdr:rowOff>
    </xdr:from>
    <xdr:to>
      <xdr:col>14</xdr:col>
      <xdr:colOff>762000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644A1C-8CB9-C64D-8A8F-D8696A674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0.00619</cdr:x>
      <cdr:y>0.00884</cdr:y>
    </cdr:from>
    <cdr:to>
      <cdr:x>0.9969</cdr:x>
      <cdr:y>0.13039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5DDE6-CD45-874E-10A8-D5339B31F85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1280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Figure 2. Massachusetts</a:t>
          </a:r>
          <a:r>
            <a:rPr lang="en-US" sz="1600" b="1" kern="1200" baseline="0"/>
            <a:t> </a:t>
          </a:r>
          <a:r>
            <a:rPr lang="en-US" sz="1600" b="1" kern="1200"/>
            <a:t>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0.00464</cdr:x>
      <cdr:y>0.10608</cdr:y>
    </cdr:from>
    <cdr:to>
      <cdr:x>0.25696</cdr:x>
      <cdr:y>0.16354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7BF9A93-C3E5-20DE-C8E8-F42500F4F8B7}"/>
            </a:ext>
          </a:extLst>
        </cdr:cNvPr>
        <cdr:cNvSpPr txBox="1"/>
      </cdr:nvSpPr>
      <cdr:spPr>
        <a:xfrm xmlns:a="http://schemas.openxmlformats.org/drawingml/2006/main">
          <a:off x="38100" y="609600"/>
          <a:ext cx="2070084" cy="330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0.93189</cdr:x>
      <cdr:y>0.1558</cdr:y>
    </cdr:from>
    <cdr:to>
      <cdr:x>0.99381</cdr:x>
      <cdr:y>0.21768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1D4DDE9-A706-A6B4-176D-DD9CBB1170B0}"/>
            </a:ext>
          </a:extLst>
        </cdr:cNvPr>
        <cdr:cNvSpPr txBox="1"/>
      </cdr:nvSpPr>
      <cdr:spPr>
        <a:xfrm xmlns:a="http://schemas.openxmlformats.org/drawingml/2006/main">
          <a:off x="7645400" y="895350"/>
          <a:ext cx="508000" cy="355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2022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3</xdr:row>
      <xdr:rowOff>184150</xdr:rowOff>
    </xdr:from>
    <xdr:to>
      <xdr:col>14</xdr:col>
      <xdr:colOff>762000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51255B-0189-504A-8386-C69D75FAE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0.00619</cdr:x>
      <cdr:y>0.00884</cdr:y>
    </cdr:from>
    <cdr:to>
      <cdr:x>0.9969</cdr:x>
      <cdr:y>0.13039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5DDE6-CD45-874E-10A8-D5339B31F85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1280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Figure 1. New Hampshire</a:t>
          </a:r>
          <a:r>
            <a:rPr lang="en-US" sz="1600" b="1" kern="1200" baseline="0"/>
            <a:t> </a:t>
          </a:r>
          <a:r>
            <a:rPr lang="en-US" sz="1600" b="1" kern="1200"/>
            <a:t>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0.00464</cdr:x>
      <cdr:y>0.10608</cdr:y>
    </cdr:from>
    <cdr:to>
      <cdr:x>0.25696</cdr:x>
      <cdr:y>0.16354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7BF9A93-C3E5-20DE-C8E8-F42500F4F8B7}"/>
            </a:ext>
          </a:extLst>
        </cdr:cNvPr>
        <cdr:cNvSpPr txBox="1"/>
      </cdr:nvSpPr>
      <cdr:spPr>
        <a:xfrm xmlns:a="http://schemas.openxmlformats.org/drawingml/2006/main">
          <a:off x="38100" y="609600"/>
          <a:ext cx="2070084" cy="330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0.93189</cdr:x>
      <cdr:y>0.1558</cdr:y>
    </cdr:from>
    <cdr:to>
      <cdr:x>0.99381</cdr:x>
      <cdr:y>0.21768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1D4DDE9-A706-A6B4-176D-DD9CBB1170B0}"/>
            </a:ext>
          </a:extLst>
        </cdr:cNvPr>
        <cdr:cNvSpPr txBox="1"/>
      </cdr:nvSpPr>
      <cdr:spPr>
        <a:xfrm xmlns:a="http://schemas.openxmlformats.org/drawingml/2006/main">
          <a:off x="7645400" y="895350"/>
          <a:ext cx="508000" cy="355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2022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3</xdr:row>
      <xdr:rowOff>184150</xdr:rowOff>
    </xdr:from>
    <xdr:to>
      <xdr:col>14</xdr:col>
      <xdr:colOff>762000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50E3B2-0B62-6F4E-8C14-450632D1A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0.00619</cdr:x>
      <cdr:y>0.00884</cdr:y>
    </cdr:from>
    <cdr:to>
      <cdr:x>0.9969</cdr:x>
      <cdr:y>0.13039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5DDE6-CD45-874E-10A8-D5339B31F85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1280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Figure 1. New</a:t>
          </a:r>
          <a:r>
            <a:rPr lang="en-US" sz="1600" b="1" kern="1200" baseline="0"/>
            <a:t> Jersey</a:t>
          </a:r>
          <a:r>
            <a:rPr lang="en-US" sz="1600" b="1" kern="1200"/>
            <a:t>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0.00464</cdr:x>
      <cdr:y>0.10608</cdr:y>
    </cdr:from>
    <cdr:to>
      <cdr:x>0.25696</cdr:x>
      <cdr:y>0.16354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7BF9A93-C3E5-20DE-C8E8-F42500F4F8B7}"/>
            </a:ext>
          </a:extLst>
        </cdr:cNvPr>
        <cdr:cNvSpPr txBox="1"/>
      </cdr:nvSpPr>
      <cdr:spPr>
        <a:xfrm xmlns:a="http://schemas.openxmlformats.org/drawingml/2006/main">
          <a:off x="38100" y="609600"/>
          <a:ext cx="2070084" cy="330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0.93189</cdr:x>
      <cdr:y>0.1558</cdr:y>
    </cdr:from>
    <cdr:to>
      <cdr:x>0.99381</cdr:x>
      <cdr:y>0.21768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1D4DDE9-A706-A6B4-176D-DD9CBB1170B0}"/>
            </a:ext>
          </a:extLst>
        </cdr:cNvPr>
        <cdr:cNvSpPr txBox="1"/>
      </cdr:nvSpPr>
      <cdr:spPr>
        <a:xfrm xmlns:a="http://schemas.openxmlformats.org/drawingml/2006/main">
          <a:off x="7645400" y="895350"/>
          <a:ext cx="508000" cy="355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2022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3</xdr:row>
      <xdr:rowOff>184150</xdr:rowOff>
    </xdr:from>
    <xdr:to>
      <xdr:col>14</xdr:col>
      <xdr:colOff>762000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4EE878-7F48-FC4B-A810-4345C9B40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0.00619</cdr:x>
      <cdr:y>0.00884</cdr:y>
    </cdr:from>
    <cdr:to>
      <cdr:x>0.9969</cdr:x>
      <cdr:y>0.13039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5DDE6-CD45-874E-10A8-D5339B31F85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1280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Figure 1. New</a:t>
          </a:r>
          <a:r>
            <a:rPr lang="en-US" sz="1600" b="1" kern="1200" baseline="0"/>
            <a:t> York</a:t>
          </a:r>
          <a:r>
            <a:rPr lang="en-US" sz="1600" b="1" kern="1200"/>
            <a:t>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0.00464</cdr:x>
      <cdr:y>0.10608</cdr:y>
    </cdr:from>
    <cdr:to>
      <cdr:x>0.25696</cdr:x>
      <cdr:y>0.16354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7BF9A93-C3E5-20DE-C8E8-F42500F4F8B7}"/>
            </a:ext>
          </a:extLst>
        </cdr:cNvPr>
        <cdr:cNvSpPr txBox="1"/>
      </cdr:nvSpPr>
      <cdr:spPr>
        <a:xfrm xmlns:a="http://schemas.openxmlformats.org/drawingml/2006/main">
          <a:off x="38100" y="609600"/>
          <a:ext cx="2070084" cy="330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0.93189</cdr:x>
      <cdr:y>0.1558</cdr:y>
    </cdr:from>
    <cdr:to>
      <cdr:x>0.99381</cdr:x>
      <cdr:y>0.21768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1D4DDE9-A706-A6B4-176D-DD9CBB1170B0}"/>
            </a:ext>
          </a:extLst>
        </cdr:cNvPr>
        <cdr:cNvSpPr txBox="1"/>
      </cdr:nvSpPr>
      <cdr:spPr>
        <a:xfrm xmlns:a="http://schemas.openxmlformats.org/drawingml/2006/main">
          <a:off x="7645400" y="895350"/>
          <a:ext cx="508000" cy="355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2022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381000</xdr:colOff>
      <xdr:row>1</xdr:row>
      <xdr:rowOff>101600</xdr:rowOff>
    </xdr:from>
    <xdr:to>
      <xdr:col>23</xdr:col>
      <xdr:colOff>12700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BB8CCB-DDCE-8A40-9FD8-765D45328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177800</xdr:colOff>
      <xdr:row>0</xdr:row>
      <xdr:rowOff>165100</xdr:rowOff>
    </xdr:from>
    <xdr:to>
      <xdr:col>32</xdr:col>
      <xdr:colOff>88900</xdr:colOff>
      <xdr:row>26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116887-18F5-FF4E-A3B3-CC2A411D4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571500</xdr:colOff>
      <xdr:row>27</xdr:row>
      <xdr:rowOff>152400</xdr:rowOff>
    </xdr:from>
    <xdr:to>
      <xdr:col>23</xdr:col>
      <xdr:colOff>203200</xdr:colOff>
      <xdr:row>53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76DE76-9DAB-5248-A3C0-18F8E541B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Rhode Island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Rhode</a:t>
          </a:r>
          <a:r>
            <a:rPr lang="en-US" sz="1600" b="1" kern="1200" baseline="0"/>
            <a:t> Island</a:t>
          </a:r>
          <a:r>
            <a:rPr lang="en-US" sz="1600" b="1" kern="1200"/>
            <a:t>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3. Rhode Island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3</xdr:row>
      <xdr:rowOff>184150</xdr:rowOff>
    </xdr:from>
    <xdr:to>
      <xdr:col>14</xdr:col>
      <xdr:colOff>762000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8F3EC-70BD-254F-9D1C-677BFA7A83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0.00619</cdr:x>
      <cdr:y>0.00884</cdr:y>
    </cdr:from>
    <cdr:to>
      <cdr:x>0.9969</cdr:x>
      <cdr:y>0.13039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5DDE6-CD45-874E-10A8-D5339B31F85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1280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Figure 1. Vermont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0.00464</cdr:x>
      <cdr:y>0.10608</cdr:y>
    </cdr:from>
    <cdr:to>
      <cdr:x>0.25696</cdr:x>
      <cdr:y>0.16354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7BF9A93-C3E5-20DE-C8E8-F42500F4F8B7}"/>
            </a:ext>
          </a:extLst>
        </cdr:cNvPr>
        <cdr:cNvSpPr txBox="1"/>
      </cdr:nvSpPr>
      <cdr:spPr>
        <a:xfrm xmlns:a="http://schemas.openxmlformats.org/drawingml/2006/main">
          <a:off x="38100" y="609600"/>
          <a:ext cx="2070084" cy="330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0.93189</cdr:x>
      <cdr:y>0.1558</cdr:y>
    </cdr:from>
    <cdr:to>
      <cdr:x>0.99381</cdr:x>
      <cdr:y>0.21768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1D4DDE9-A706-A6B4-176D-DD9CBB1170B0}"/>
            </a:ext>
          </a:extLst>
        </cdr:cNvPr>
        <cdr:cNvSpPr txBox="1"/>
      </cdr:nvSpPr>
      <cdr:spPr>
        <a:xfrm xmlns:a="http://schemas.openxmlformats.org/drawingml/2006/main">
          <a:off x="7645400" y="895350"/>
          <a:ext cx="508000" cy="355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2022</a:t>
          </a: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381000</xdr:colOff>
      <xdr:row>1</xdr:row>
      <xdr:rowOff>101600</xdr:rowOff>
    </xdr:from>
    <xdr:to>
      <xdr:col>22</xdr:col>
      <xdr:colOff>685800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5DEA26-C456-EF47-B3B6-5C342EE6C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177800</xdr:colOff>
      <xdr:row>0</xdr:row>
      <xdr:rowOff>165100</xdr:rowOff>
    </xdr:from>
    <xdr:to>
      <xdr:col>31</xdr:col>
      <xdr:colOff>482600</xdr:colOff>
      <xdr:row>26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790587-9F6A-3243-BADD-C9C58F75C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Illinois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Illinois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381000</xdr:colOff>
      <xdr:row>1</xdr:row>
      <xdr:rowOff>101600</xdr:rowOff>
    </xdr:from>
    <xdr:to>
      <xdr:col>22</xdr:col>
      <xdr:colOff>685800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FA322-0CE5-444E-A654-FF48799E8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177800</xdr:colOff>
      <xdr:row>0</xdr:row>
      <xdr:rowOff>165100</xdr:rowOff>
    </xdr:from>
    <xdr:to>
      <xdr:col>31</xdr:col>
      <xdr:colOff>482600</xdr:colOff>
      <xdr:row>26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6D5977-C1DA-7E42-8CF9-D3BF3075C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584200</xdr:colOff>
      <xdr:row>27</xdr:row>
      <xdr:rowOff>152400</xdr:rowOff>
    </xdr:from>
    <xdr:to>
      <xdr:col>23</xdr:col>
      <xdr:colOff>63500</xdr:colOff>
      <xdr:row>53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3A2C5F-46FE-8241-9655-E7E426B372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Indiana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Indiana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3. Indiana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698500</xdr:colOff>
      <xdr:row>0</xdr:row>
      <xdr:rowOff>165100</xdr:rowOff>
    </xdr:from>
    <xdr:to>
      <xdr:col>15</xdr:col>
      <xdr:colOff>787400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A7BC4-CC06-CB41-B63C-31BDD277F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177800</xdr:colOff>
      <xdr:row>5</xdr:row>
      <xdr:rowOff>88900</xdr:rowOff>
    </xdr:from>
    <xdr:to>
      <xdr:col>15</xdr:col>
      <xdr:colOff>673100</xdr:colOff>
      <xdr:row>7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B8DF54-6A94-B646-B4F8-974EF1F934F2}"/>
            </a:ext>
          </a:extLst>
        </xdr:cNvPr>
        <xdr:cNvSpPr txBox="1"/>
      </xdr:nvSpPr>
      <xdr:spPr>
        <a:xfrm>
          <a:off x="11747500" y="1104900"/>
          <a:ext cx="4953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2022</a:t>
          </a:r>
        </a:p>
      </xdr:txBody>
    </xdr:sp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Michigan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381000</xdr:colOff>
      <xdr:row>1</xdr:row>
      <xdr:rowOff>101600</xdr:rowOff>
    </xdr:from>
    <xdr:to>
      <xdr:col>22</xdr:col>
      <xdr:colOff>685800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53811B-0ABF-8F43-852C-6A55464D9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177800</xdr:colOff>
      <xdr:row>0</xdr:row>
      <xdr:rowOff>165100</xdr:rowOff>
    </xdr:from>
    <xdr:to>
      <xdr:col>31</xdr:col>
      <xdr:colOff>482600</xdr:colOff>
      <xdr:row>26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94554A-2DA0-D54F-BB9B-BEDDF8C2E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444500</xdr:colOff>
      <xdr:row>28</xdr:row>
      <xdr:rowOff>25400</xdr:rowOff>
    </xdr:from>
    <xdr:to>
      <xdr:col>22</xdr:col>
      <xdr:colOff>749300</xdr:colOff>
      <xdr:row>53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4B457A-82D5-514D-97A6-D3EA1733B3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Kansas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Kansas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3. Kansas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698500</xdr:colOff>
      <xdr:row>0</xdr:row>
      <xdr:rowOff>165100</xdr:rowOff>
    </xdr:from>
    <xdr:to>
      <xdr:col>15</xdr:col>
      <xdr:colOff>787400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F933D0-918A-7948-9AF1-56EDA556B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177800</xdr:colOff>
      <xdr:row>5</xdr:row>
      <xdr:rowOff>88900</xdr:rowOff>
    </xdr:from>
    <xdr:to>
      <xdr:col>15</xdr:col>
      <xdr:colOff>673100</xdr:colOff>
      <xdr:row>7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872180-4F05-DB41-9DCA-DA76BE4E5102}"/>
            </a:ext>
          </a:extLst>
        </xdr:cNvPr>
        <xdr:cNvSpPr txBox="1"/>
      </xdr:nvSpPr>
      <xdr:spPr>
        <a:xfrm>
          <a:off x="12560300" y="1104900"/>
          <a:ext cx="4953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2022</a:t>
          </a:r>
        </a:p>
      </xdr:txBody>
    </xdr:sp>
    <xdr:clientData/>
  </xdr:twoCell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Michigan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381000</xdr:colOff>
      <xdr:row>1</xdr:row>
      <xdr:rowOff>101600</xdr:rowOff>
    </xdr:from>
    <xdr:to>
      <xdr:col>22</xdr:col>
      <xdr:colOff>685800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BF753D-42CB-1447-BCEF-9184ECD3D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177800</xdr:colOff>
      <xdr:row>0</xdr:row>
      <xdr:rowOff>165100</xdr:rowOff>
    </xdr:from>
    <xdr:to>
      <xdr:col>31</xdr:col>
      <xdr:colOff>482600</xdr:colOff>
      <xdr:row>26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7C4A7B-BC89-BB4C-88C4-4D0F6C0DC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Illinois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47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Illinois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698500</xdr:colOff>
      <xdr:row>0</xdr:row>
      <xdr:rowOff>165100</xdr:rowOff>
    </xdr:from>
    <xdr:to>
      <xdr:col>15</xdr:col>
      <xdr:colOff>787400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DCFAA1-A146-D14E-99B7-3E175431B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177800</xdr:colOff>
      <xdr:row>5</xdr:row>
      <xdr:rowOff>88900</xdr:rowOff>
    </xdr:from>
    <xdr:to>
      <xdr:col>15</xdr:col>
      <xdr:colOff>673100</xdr:colOff>
      <xdr:row>7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85CBD32-8C12-6A4B-92ED-644B1511C3F0}"/>
            </a:ext>
          </a:extLst>
        </xdr:cNvPr>
        <xdr:cNvSpPr txBox="1"/>
      </xdr:nvSpPr>
      <xdr:spPr>
        <a:xfrm>
          <a:off x="11747500" y="1104900"/>
          <a:ext cx="4953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2022</a:t>
          </a:r>
        </a:p>
      </xdr:txBody>
    </xdr:sp>
    <xdr:clientData/>
  </xdr:twoCellAnchor>
</xdr:wsDr>
</file>

<file path=xl/drawings/drawing49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Missouri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698500</xdr:colOff>
      <xdr:row>0</xdr:row>
      <xdr:rowOff>165100</xdr:rowOff>
    </xdr:from>
    <xdr:to>
      <xdr:col>23</xdr:col>
      <xdr:colOff>787400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289555-D296-5249-8903-56F959E0C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203200</xdr:colOff>
      <xdr:row>5</xdr:row>
      <xdr:rowOff>127000</xdr:rowOff>
    </xdr:from>
    <xdr:to>
      <xdr:col>23</xdr:col>
      <xdr:colOff>698500</xdr:colOff>
      <xdr:row>7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65F8AE8-C5AE-B745-B049-C1718F8543AA}"/>
            </a:ext>
          </a:extLst>
        </xdr:cNvPr>
        <xdr:cNvSpPr txBox="1"/>
      </xdr:nvSpPr>
      <xdr:spPr>
        <a:xfrm>
          <a:off x="17881600" y="1066800"/>
          <a:ext cx="4953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2022</a:t>
          </a:r>
        </a:p>
      </xdr:txBody>
    </xdr:sp>
    <xdr:clientData/>
  </xdr:twoCellAnchor>
  <xdr:twoCellAnchor>
    <xdr:from>
      <xdr:col>14</xdr:col>
      <xdr:colOff>800100</xdr:colOff>
      <xdr:row>27</xdr:row>
      <xdr:rowOff>114300</xdr:rowOff>
    </xdr:from>
    <xdr:to>
      <xdr:col>24</xdr:col>
      <xdr:colOff>63500</xdr:colOff>
      <xdr:row>54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09BB5B-1D95-D74C-939C-FC7C0E129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1</xdr:row>
      <xdr:rowOff>0</xdr:rowOff>
    </xdr:from>
    <xdr:to>
      <xdr:col>34</xdr:col>
      <xdr:colOff>88900</xdr:colOff>
      <xdr:row>27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528607-083E-4646-9C17-82E14D6FCD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1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Nebraska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Nebraska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0.17483</cdr:y>
    </cdr:from>
    <cdr:to>
      <cdr:x>0.99155</cdr:x>
      <cdr:y>0.24709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525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53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3. Nebraska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0.17249</cdr:y>
    </cdr:from>
    <cdr:to>
      <cdr:x>0.99155</cdr:x>
      <cdr:y>0.24476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398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698500</xdr:colOff>
      <xdr:row>0</xdr:row>
      <xdr:rowOff>165100</xdr:rowOff>
    </xdr:from>
    <xdr:to>
      <xdr:col>23</xdr:col>
      <xdr:colOff>787400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25C601-E357-B343-BA15-0C23E9D2C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203200</xdr:colOff>
      <xdr:row>5</xdr:row>
      <xdr:rowOff>127000</xdr:rowOff>
    </xdr:from>
    <xdr:to>
      <xdr:col>23</xdr:col>
      <xdr:colOff>698500</xdr:colOff>
      <xdr:row>7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8336C4-9DE2-E146-ACCF-AA5DC2082165}"/>
            </a:ext>
          </a:extLst>
        </xdr:cNvPr>
        <xdr:cNvSpPr txBox="1"/>
      </xdr:nvSpPr>
      <xdr:spPr>
        <a:xfrm>
          <a:off x="17881600" y="1066800"/>
          <a:ext cx="4953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2022</a:t>
          </a:r>
        </a:p>
      </xdr:txBody>
    </xdr:sp>
    <xdr:clientData/>
  </xdr:twoCellAnchor>
  <xdr:twoCellAnchor>
    <xdr:from>
      <xdr:col>14</xdr:col>
      <xdr:colOff>800100</xdr:colOff>
      <xdr:row>27</xdr:row>
      <xdr:rowOff>114300</xdr:rowOff>
    </xdr:from>
    <xdr:to>
      <xdr:col>24</xdr:col>
      <xdr:colOff>63500</xdr:colOff>
      <xdr:row>54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1C3357-C75A-764D-A1A8-D052AA7DB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1</xdr:row>
      <xdr:rowOff>0</xdr:rowOff>
    </xdr:from>
    <xdr:to>
      <xdr:col>34</xdr:col>
      <xdr:colOff>88900</xdr:colOff>
      <xdr:row>27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CF475F-D302-8A44-847B-6640A5B0C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5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North</a:t>
          </a:r>
          <a:r>
            <a:rPr lang="en-US" sz="1600" b="1" kern="1200" baseline="0"/>
            <a:t> Dakota</a:t>
          </a:r>
          <a:r>
            <a:rPr lang="en-US" sz="1600" b="1" kern="1200"/>
            <a:t>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North Dakota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0.17483</cdr:y>
    </cdr:from>
    <cdr:to>
      <cdr:x>0.99155</cdr:x>
      <cdr:y>0.24709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525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57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3. North Dakota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0.17249</cdr:y>
    </cdr:from>
    <cdr:to>
      <cdr:x>0.99155</cdr:x>
      <cdr:y>0.24476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398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698500</xdr:colOff>
      <xdr:row>0</xdr:row>
      <xdr:rowOff>165100</xdr:rowOff>
    </xdr:from>
    <xdr:to>
      <xdr:col>15</xdr:col>
      <xdr:colOff>787400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AEB973-546F-1542-8866-51989D64E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177800</xdr:colOff>
      <xdr:row>5</xdr:row>
      <xdr:rowOff>88900</xdr:rowOff>
    </xdr:from>
    <xdr:to>
      <xdr:col>15</xdr:col>
      <xdr:colOff>673100</xdr:colOff>
      <xdr:row>7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2D6787D-0933-CC4C-919A-6588251A8AEA}"/>
            </a:ext>
          </a:extLst>
        </xdr:cNvPr>
        <xdr:cNvSpPr txBox="1"/>
      </xdr:nvSpPr>
      <xdr:spPr>
        <a:xfrm>
          <a:off x="11747500" y="1104900"/>
          <a:ext cx="4953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2022</a:t>
          </a:r>
        </a:p>
      </xdr:txBody>
    </xdr:sp>
    <xdr:clientData/>
  </xdr:twoCellAnchor>
</xdr:wsDr>
</file>

<file path=xl/drawings/drawing59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Ohio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698500</xdr:colOff>
      <xdr:row>0</xdr:row>
      <xdr:rowOff>165100</xdr:rowOff>
    </xdr:from>
    <xdr:to>
      <xdr:col>23</xdr:col>
      <xdr:colOff>787400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6D79E0-BE3B-E446-9F47-EF7F80253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203200</xdr:colOff>
      <xdr:row>5</xdr:row>
      <xdr:rowOff>127000</xdr:rowOff>
    </xdr:from>
    <xdr:to>
      <xdr:col>23</xdr:col>
      <xdr:colOff>698500</xdr:colOff>
      <xdr:row>7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74C272-8F2B-9A44-BD42-E49E07414E37}"/>
            </a:ext>
          </a:extLst>
        </xdr:cNvPr>
        <xdr:cNvSpPr txBox="1"/>
      </xdr:nvSpPr>
      <xdr:spPr>
        <a:xfrm>
          <a:off x="17881600" y="1066800"/>
          <a:ext cx="4953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2022</a:t>
          </a:r>
        </a:p>
      </xdr:txBody>
    </xdr:sp>
    <xdr:clientData/>
  </xdr:twoCellAnchor>
  <xdr:twoCellAnchor>
    <xdr:from>
      <xdr:col>14</xdr:col>
      <xdr:colOff>800100</xdr:colOff>
      <xdr:row>27</xdr:row>
      <xdr:rowOff>114300</xdr:rowOff>
    </xdr:from>
    <xdr:to>
      <xdr:col>24</xdr:col>
      <xdr:colOff>63500</xdr:colOff>
      <xdr:row>54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7EF973-7D24-FA46-B66F-39215BB19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1</xdr:row>
      <xdr:rowOff>0</xdr:rowOff>
    </xdr:from>
    <xdr:to>
      <xdr:col>34</xdr:col>
      <xdr:colOff>88900</xdr:colOff>
      <xdr:row>27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9EFB30-42AB-F741-B267-142BD130B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1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South</a:t>
          </a:r>
          <a:r>
            <a:rPr lang="en-US" sz="1600" b="1" kern="1200" baseline="0"/>
            <a:t> Dakota</a:t>
          </a:r>
          <a:r>
            <a:rPr lang="en-US" sz="1600" b="1" kern="1200"/>
            <a:t>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South Dakota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0.17483</cdr:y>
    </cdr:from>
    <cdr:to>
      <cdr:x>0.99155</cdr:x>
      <cdr:y>0.24709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525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63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3. South Dakota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0.17249</cdr:y>
    </cdr:from>
    <cdr:to>
      <cdr:x>0.99155</cdr:x>
      <cdr:y>0.24476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398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698500</xdr:colOff>
      <xdr:row>0</xdr:row>
      <xdr:rowOff>165100</xdr:rowOff>
    </xdr:from>
    <xdr:to>
      <xdr:col>15</xdr:col>
      <xdr:colOff>787400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7E4F0C-8000-734E-B48F-F55C36A02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177800</xdr:colOff>
      <xdr:row>5</xdr:row>
      <xdr:rowOff>88900</xdr:rowOff>
    </xdr:from>
    <xdr:to>
      <xdr:col>15</xdr:col>
      <xdr:colOff>673100</xdr:colOff>
      <xdr:row>7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D8B710-DE6D-6249-9A8A-C287B53E3011}"/>
            </a:ext>
          </a:extLst>
        </xdr:cNvPr>
        <xdr:cNvSpPr txBox="1"/>
      </xdr:nvSpPr>
      <xdr:spPr>
        <a:xfrm>
          <a:off x="11747500" y="1104900"/>
          <a:ext cx="4953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2022</a:t>
          </a:r>
        </a:p>
      </xdr:txBody>
    </xdr:sp>
    <xdr:clientData/>
  </xdr:twoCellAnchor>
</xdr:wsDr>
</file>

<file path=xl/drawings/drawing65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Wisconsin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3</xdr:row>
      <xdr:rowOff>184150</xdr:rowOff>
    </xdr:from>
    <xdr:to>
      <xdr:col>14</xdr:col>
      <xdr:colOff>762000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DAB9FF-ACEE-4C46-BEFF-10C07CA80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7.xml><?xml version="1.0" encoding="utf-8"?>
<c:userShapes xmlns:c="http://schemas.openxmlformats.org/drawingml/2006/chart">
  <cdr:relSizeAnchor xmlns:cdr="http://schemas.openxmlformats.org/drawingml/2006/chartDrawing">
    <cdr:from>
      <cdr:x>0.00619</cdr:x>
      <cdr:y>0.00884</cdr:y>
    </cdr:from>
    <cdr:to>
      <cdr:x>0.9969</cdr:x>
      <cdr:y>0.13039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5DDE6-CD45-874E-10A8-D5339B31F85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1280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Figure 2. Alabama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0.00464</cdr:x>
      <cdr:y>0.10608</cdr:y>
    </cdr:from>
    <cdr:to>
      <cdr:x>0.25696</cdr:x>
      <cdr:y>0.16354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7BF9A93-C3E5-20DE-C8E8-F42500F4F8B7}"/>
            </a:ext>
          </a:extLst>
        </cdr:cNvPr>
        <cdr:cNvSpPr txBox="1"/>
      </cdr:nvSpPr>
      <cdr:spPr>
        <a:xfrm xmlns:a="http://schemas.openxmlformats.org/drawingml/2006/main">
          <a:off x="38100" y="609600"/>
          <a:ext cx="2070084" cy="330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0.93189</cdr:x>
      <cdr:y>0.1558</cdr:y>
    </cdr:from>
    <cdr:to>
      <cdr:x>0.99381</cdr:x>
      <cdr:y>0.21768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1D4DDE9-A706-A6B4-176D-DD9CBB1170B0}"/>
            </a:ext>
          </a:extLst>
        </cdr:cNvPr>
        <cdr:cNvSpPr txBox="1"/>
      </cdr:nvSpPr>
      <cdr:spPr>
        <a:xfrm xmlns:a="http://schemas.openxmlformats.org/drawingml/2006/main">
          <a:off x="7645400" y="895350"/>
          <a:ext cx="508000" cy="355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2022</a:t>
          </a:r>
        </a:p>
      </cdr:txBody>
    </cdr:sp>
  </cdr:relSizeAnchor>
</c:userShapes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3</xdr:row>
      <xdr:rowOff>184150</xdr:rowOff>
    </xdr:from>
    <xdr:to>
      <xdr:col>14</xdr:col>
      <xdr:colOff>762000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E8EE5D-9E12-864E-8DB2-67C2283C7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9.xml><?xml version="1.0" encoding="utf-8"?>
<c:userShapes xmlns:c="http://schemas.openxmlformats.org/drawingml/2006/chart">
  <cdr:relSizeAnchor xmlns:cdr="http://schemas.openxmlformats.org/drawingml/2006/chartDrawing">
    <cdr:from>
      <cdr:x>0.00619</cdr:x>
      <cdr:y>0.00884</cdr:y>
    </cdr:from>
    <cdr:to>
      <cdr:x>0.9969</cdr:x>
      <cdr:y>0.13039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5DDE6-CD45-874E-10A8-D5339B31F85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1280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Figure 2. Arkansas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0.00464</cdr:x>
      <cdr:y>0.10608</cdr:y>
    </cdr:from>
    <cdr:to>
      <cdr:x>0.25696</cdr:x>
      <cdr:y>0.16354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7BF9A93-C3E5-20DE-C8E8-F42500F4F8B7}"/>
            </a:ext>
          </a:extLst>
        </cdr:cNvPr>
        <cdr:cNvSpPr txBox="1"/>
      </cdr:nvSpPr>
      <cdr:spPr>
        <a:xfrm xmlns:a="http://schemas.openxmlformats.org/drawingml/2006/main">
          <a:off x="38100" y="609600"/>
          <a:ext cx="2070084" cy="330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0.93189</cdr:x>
      <cdr:y>0.1558</cdr:y>
    </cdr:from>
    <cdr:to>
      <cdr:x>0.99381</cdr:x>
      <cdr:y>0.21768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1D4DDE9-A706-A6B4-176D-DD9CBB1170B0}"/>
            </a:ext>
          </a:extLst>
        </cdr:cNvPr>
        <cdr:cNvSpPr txBox="1"/>
      </cdr:nvSpPr>
      <cdr:spPr>
        <a:xfrm xmlns:a="http://schemas.openxmlformats.org/drawingml/2006/main">
          <a:off x="7645400" y="895350"/>
          <a:ext cx="508000" cy="355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2022</a:t>
          </a:r>
        </a:p>
      </cdr:txBody>
    </cdr:sp>
  </cdr:relSizeAnchor>
</c:userShapes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3</xdr:row>
      <xdr:rowOff>184150</xdr:rowOff>
    </xdr:from>
    <xdr:to>
      <xdr:col>14</xdr:col>
      <xdr:colOff>762000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D84472-6BC7-614A-9CF1-564C348C1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1.xml><?xml version="1.0" encoding="utf-8"?>
<c:userShapes xmlns:c="http://schemas.openxmlformats.org/drawingml/2006/chart">
  <cdr:relSizeAnchor xmlns:cdr="http://schemas.openxmlformats.org/drawingml/2006/chartDrawing">
    <cdr:from>
      <cdr:x>0.00619</cdr:x>
      <cdr:y>0.00884</cdr:y>
    </cdr:from>
    <cdr:to>
      <cdr:x>0.9969</cdr:x>
      <cdr:y>0.13039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5DDE6-CD45-874E-10A8-D5339B31F85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1280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Figure 1. Washington DC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0.00464</cdr:x>
      <cdr:y>0.10608</cdr:y>
    </cdr:from>
    <cdr:to>
      <cdr:x>0.25696</cdr:x>
      <cdr:y>0.16354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7BF9A93-C3E5-20DE-C8E8-F42500F4F8B7}"/>
            </a:ext>
          </a:extLst>
        </cdr:cNvPr>
        <cdr:cNvSpPr txBox="1"/>
      </cdr:nvSpPr>
      <cdr:spPr>
        <a:xfrm xmlns:a="http://schemas.openxmlformats.org/drawingml/2006/main">
          <a:off x="38100" y="609600"/>
          <a:ext cx="2070084" cy="330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0.93189</cdr:x>
      <cdr:y>0.1558</cdr:y>
    </cdr:from>
    <cdr:to>
      <cdr:x>0.99381</cdr:x>
      <cdr:y>0.21768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1D4DDE9-A706-A6B4-176D-DD9CBB1170B0}"/>
            </a:ext>
          </a:extLst>
        </cdr:cNvPr>
        <cdr:cNvSpPr txBox="1"/>
      </cdr:nvSpPr>
      <cdr:spPr>
        <a:xfrm xmlns:a="http://schemas.openxmlformats.org/drawingml/2006/main">
          <a:off x="7645400" y="895350"/>
          <a:ext cx="508000" cy="355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2022</a:t>
          </a:r>
        </a:p>
      </cdr:txBody>
    </cdr:sp>
  </cdr:relSizeAnchor>
</c:userShapes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3</xdr:row>
      <xdr:rowOff>184150</xdr:rowOff>
    </xdr:from>
    <xdr:to>
      <xdr:col>14</xdr:col>
      <xdr:colOff>762000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4161CB-36BA-2948-8DE5-832C41D67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3.xml><?xml version="1.0" encoding="utf-8"?>
<c:userShapes xmlns:c="http://schemas.openxmlformats.org/drawingml/2006/chart">
  <cdr:relSizeAnchor xmlns:cdr="http://schemas.openxmlformats.org/drawingml/2006/chartDrawing">
    <cdr:from>
      <cdr:x>0.00619</cdr:x>
      <cdr:y>0.00884</cdr:y>
    </cdr:from>
    <cdr:to>
      <cdr:x>0.9969</cdr:x>
      <cdr:y>0.13039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5DDE6-CD45-874E-10A8-D5339B31F85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1280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Figure 2. Florida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0.00464</cdr:x>
      <cdr:y>0.10608</cdr:y>
    </cdr:from>
    <cdr:to>
      <cdr:x>0.25696</cdr:x>
      <cdr:y>0.16354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7BF9A93-C3E5-20DE-C8E8-F42500F4F8B7}"/>
            </a:ext>
          </a:extLst>
        </cdr:cNvPr>
        <cdr:cNvSpPr txBox="1"/>
      </cdr:nvSpPr>
      <cdr:spPr>
        <a:xfrm xmlns:a="http://schemas.openxmlformats.org/drawingml/2006/main">
          <a:off x="38100" y="609600"/>
          <a:ext cx="2070084" cy="330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0.93189</cdr:x>
      <cdr:y>0.1558</cdr:y>
    </cdr:from>
    <cdr:to>
      <cdr:x>0.99381</cdr:x>
      <cdr:y>0.21768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1D4DDE9-A706-A6B4-176D-DD9CBB1170B0}"/>
            </a:ext>
          </a:extLst>
        </cdr:cNvPr>
        <cdr:cNvSpPr txBox="1"/>
      </cdr:nvSpPr>
      <cdr:spPr>
        <a:xfrm xmlns:a="http://schemas.openxmlformats.org/drawingml/2006/main">
          <a:off x="7645400" y="895350"/>
          <a:ext cx="508000" cy="355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2022</a:t>
          </a:r>
        </a:p>
      </cdr:txBody>
    </cdr:sp>
  </cdr:relSizeAnchor>
</c:userShapes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698500</xdr:colOff>
      <xdr:row>0</xdr:row>
      <xdr:rowOff>165100</xdr:rowOff>
    </xdr:from>
    <xdr:to>
      <xdr:col>23</xdr:col>
      <xdr:colOff>787400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F77B68-641E-B946-87AB-32A04A9BA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203200</xdr:colOff>
      <xdr:row>5</xdr:row>
      <xdr:rowOff>127000</xdr:rowOff>
    </xdr:from>
    <xdr:to>
      <xdr:col>23</xdr:col>
      <xdr:colOff>698500</xdr:colOff>
      <xdr:row>7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890016B-9A8C-A24A-9F05-63FFD5055D16}"/>
            </a:ext>
          </a:extLst>
        </xdr:cNvPr>
        <xdr:cNvSpPr txBox="1"/>
      </xdr:nvSpPr>
      <xdr:spPr>
        <a:xfrm>
          <a:off x="17881600" y="1066800"/>
          <a:ext cx="4953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2022</a:t>
          </a:r>
        </a:p>
      </xdr:txBody>
    </xdr:sp>
    <xdr:clientData/>
  </xdr:twoCellAnchor>
  <xdr:twoCellAnchor>
    <xdr:from>
      <xdr:col>14</xdr:col>
      <xdr:colOff>800100</xdr:colOff>
      <xdr:row>27</xdr:row>
      <xdr:rowOff>114300</xdr:rowOff>
    </xdr:from>
    <xdr:to>
      <xdr:col>24</xdr:col>
      <xdr:colOff>63500</xdr:colOff>
      <xdr:row>54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1A0FEA-3762-F441-A687-E24CBFCD7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1</xdr:row>
      <xdr:rowOff>0</xdr:rowOff>
    </xdr:from>
    <xdr:to>
      <xdr:col>34</xdr:col>
      <xdr:colOff>88900</xdr:colOff>
      <xdr:row>27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9B64F8-849A-F443-8E1C-093FBD021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5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Georgia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76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Georgia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0.17483</cdr:y>
    </cdr:from>
    <cdr:to>
      <cdr:x>0.99155</cdr:x>
      <cdr:y>0.24709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525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77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3. Georgia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0.17249</cdr:y>
    </cdr:from>
    <cdr:to>
      <cdr:x>0.99155</cdr:x>
      <cdr:y>0.24476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398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1</xdr:row>
      <xdr:rowOff>127000</xdr:rowOff>
    </xdr:from>
    <xdr:to>
      <xdr:col>15</xdr:col>
      <xdr:colOff>495300</xdr:colOff>
      <xdr:row>28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D2DC1D-8175-D645-AA1A-8C9872B63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9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Kentucky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0.17483</cdr:y>
    </cdr:from>
    <cdr:to>
      <cdr:x>0.99155</cdr:x>
      <cdr:y>0.24709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525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698500</xdr:colOff>
      <xdr:row>0</xdr:row>
      <xdr:rowOff>165100</xdr:rowOff>
    </xdr:from>
    <xdr:to>
      <xdr:col>23</xdr:col>
      <xdr:colOff>787400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C457A3-3DB3-7B47-9438-047C2AA997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203200</xdr:colOff>
      <xdr:row>5</xdr:row>
      <xdr:rowOff>127000</xdr:rowOff>
    </xdr:from>
    <xdr:to>
      <xdr:col>23</xdr:col>
      <xdr:colOff>698500</xdr:colOff>
      <xdr:row>7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B761DC2-0D65-8141-8074-4352100D4C60}"/>
            </a:ext>
          </a:extLst>
        </xdr:cNvPr>
        <xdr:cNvSpPr txBox="1"/>
      </xdr:nvSpPr>
      <xdr:spPr>
        <a:xfrm>
          <a:off x="17881600" y="1066800"/>
          <a:ext cx="4953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2022</a:t>
          </a:r>
        </a:p>
      </xdr:txBody>
    </xdr:sp>
    <xdr:clientData/>
  </xdr:twoCellAnchor>
  <xdr:twoCellAnchor>
    <xdr:from>
      <xdr:col>14</xdr:col>
      <xdr:colOff>800100</xdr:colOff>
      <xdr:row>27</xdr:row>
      <xdr:rowOff>114300</xdr:rowOff>
    </xdr:from>
    <xdr:to>
      <xdr:col>24</xdr:col>
      <xdr:colOff>63500</xdr:colOff>
      <xdr:row>54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A75102-EBB5-5E4F-8B97-4EA77A434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1</xdr:row>
      <xdr:rowOff>0</xdr:rowOff>
    </xdr:from>
    <xdr:to>
      <xdr:col>34</xdr:col>
      <xdr:colOff>88900</xdr:colOff>
      <xdr:row>27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B0B35B-6ED3-204E-B2E4-A4298EBF9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1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Louisiana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82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Louisiana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0.17483</cdr:y>
    </cdr:from>
    <cdr:to>
      <cdr:x>0.99155</cdr:x>
      <cdr:y>0.24709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525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83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3. Louisiana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0.17249</cdr:y>
    </cdr:from>
    <cdr:to>
      <cdr:x>0.99155</cdr:x>
      <cdr:y>0.24476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398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1</xdr:row>
      <xdr:rowOff>127000</xdr:rowOff>
    </xdr:from>
    <xdr:to>
      <xdr:col>15</xdr:col>
      <xdr:colOff>495300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4299C0-89EF-7E4F-8081-2EC7D3859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5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Mississippi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0.17483</cdr:y>
    </cdr:from>
    <cdr:to>
      <cdr:x>0.99155</cdr:x>
      <cdr:y>0.24709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525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1</xdr:row>
      <xdr:rowOff>127000</xdr:rowOff>
    </xdr:from>
    <xdr:to>
      <xdr:col>15</xdr:col>
      <xdr:colOff>495300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9274FA-5C3D-1749-8F07-041A3466B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7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North Carolina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0.17483</cdr:y>
    </cdr:from>
    <cdr:to>
      <cdr:x>0.99155</cdr:x>
      <cdr:y>0.24709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525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1</xdr:row>
      <xdr:rowOff>127000</xdr:rowOff>
    </xdr:from>
    <xdr:to>
      <xdr:col>15</xdr:col>
      <xdr:colOff>495300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93F5E7-51F7-3643-A36F-0863FD825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9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Tennessee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0.17483</cdr:y>
    </cdr:from>
    <cdr:to>
      <cdr:x>0.99155</cdr:x>
      <cdr:y>0.24709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525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698500</xdr:colOff>
      <xdr:row>0</xdr:row>
      <xdr:rowOff>165100</xdr:rowOff>
    </xdr:from>
    <xdr:to>
      <xdr:col>23</xdr:col>
      <xdr:colOff>787400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FFDACE-CF37-5E48-B1AB-E35C890957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203200</xdr:colOff>
      <xdr:row>5</xdr:row>
      <xdr:rowOff>127000</xdr:rowOff>
    </xdr:from>
    <xdr:to>
      <xdr:col>23</xdr:col>
      <xdr:colOff>698500</xdr:colOff>
      <xdr:row>7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E6F38A-42F0-5D4F-A86B-632F45B6F541}"/>
            </a:ext>
          </a:extLst>
        </xdr:cNvPr>
        <xdr:cNvSpPr txBox="1"/>
      </xdr:nvSpPr>
      <xdr:spPr>
        <a:xfrm>
          <a:off x="17881600" y="1066800"/>
          <a:ext cx="4953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2022</a:t>
          </a:r>
        </a:p>
      </xdr:txBody>
    </xdr:sp>
    <xdr:clientData/>
  </xdr:twoCellAnchor>
  <xdr:twoCellAnchor>
    <xdr:from>
      <xdr:col>14</xdr:col>
      <xdr:colOff>800100</xdr:colOff>
      <xdr:row>27</xdr:row>
      <xdr:rowOff>114300</xdr:rowOff>
    </xdr:from>
    <xdr:to>
      <xdr:col>24</xdr:col>
      <xdr:colOff>63500</xdr:colOff>
      <xdr:row>54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69978F-0664-EC42-B477-81886915C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1</xdr:row>
      <xdr:rowOff>0</xdr:rowOff>
    </xdr:from>
    <xdr:to>
      <xdr:col>34</xdr:col>
      <xdr:colOff>88900</xdr:colOff>
      <xdr:row>27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5C5EB3-16B3-474B-888A-5EADE492F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1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Virginia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92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Virginia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0.17483</cdr:y>
    </cdr:from>
    <cdr:to>
      <cdr:x>0.99155</cdr:x>
      <cdr:y>0.24709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525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93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3. Virginia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0.17249</cdr:y>
    </cdr:from>
    <cdr:to>
      <cdr:x>0.99155</cdr:x>
      <cdr:y>0.24476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398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698500</xdr:colOff>
      <xdr:row>0</xdr:row>
      <xdr:rowOff>165100</xdr:rowOff>
    </xdr:from>
    <xdr:to>
      <xdr:col>23</xdr:col>
      <xdr:colOff>787400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9D5E53-0712-B048-AF67-502E246F4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203200</xdr:colOff>
      <xdr:row>5</xdr:row>
      <xdr:rowOff>127000</xdr:rowOff>
    </xdr:from>
    <xdr:to>
      <xdr:col>23</xdr:col>
      <xdr:colOff>698500</xdr:colOff>
      <xdr:row>7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66924F9-922D-A94B-9CBB-CA74DE47FEB5}"/>
            </a:ext>
          </a:extLst>
        </xdr:cNvPr>
        <xdr:cNvSpPr txBox="1"/>
      </xdr:nvSpPr>
      <xdr:spPr>
        <a:xfrm>
          <a:off x="17881600" y="1066800"/>
          <a:ext cx="4953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2022</a:t>
          </a:r>
        </a:p>
      </xdr:txBody>
    </xdr:sp>
    <xdr:clientData/>
  </xdr:twoCellAnchor>
  <xdr:twoCellAnchor>
    <xdr:from>
      <xdr:col>14</xdr:col>
      <xdr:colOff>800100</xdr:colOff>
      <xdr:row>27</xdr:row>
      <xdr:rowOff>114300</xdr:rowOff>
    </xdr:from>
    <xdr:to>
      <xdr:col>24</xdr:col>
      <xdr:colOff>63500</xdr:colOff>
      <xdr:row>54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03DB38-A8D2-5D40-AB7F-FEDBEBEB2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1</xdr:row>
      <xdr:rowOff>0</xdr:rowOff>
    </xdr:from>
    <xdr:to>
      <xdr:col>34</xdr:col>
      <xdr:colOff>88900</xdr:colOff>
      <xdr:row>27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9E61F4-BCCB-B641-A852-D51EF8338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5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West</a:t>
          </a:r>
          <a:r>
            <a:rPr lang="en-US" sz="1600" b="1" kern="1200" baseline="0"/>
            <a:t> Virginia</a:t>
          </a:r>
          <a:r>
            <a:rPr lang="en-US" sz="1600" b="1" kern="1200"/>
            <a:t>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96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West Virginia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0.17483</cdr:y>
    </cdr:from>
    <cdr:to>
      <cdr:x>0.99155</cdr:x>
      <cdr:y>0.24709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525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97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3. West Virginia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0.17249</cdr:y>
    </cdr:from>
    <cdr:to>
      <cdr:x>0.99155</cdr:x>
      <cdr:y>0.24476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398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3</xdr:row>
      <xdr:rowOff>184150</xdr:rowOff>
    </xdr:from>
    <xdr:to>
      <xdr:col>14</xdr:col>
      <xdr:colOff>762000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FF77A3-921C-5547-BAB5-4F7ED041A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9.xml><?xml version="1.0" encoding="utf-8"?>
<c:userShapes xmlns:c="http://schemas.openxmlformats.org/drawingml/2006/chart">
  <cdr:relSizeAnchor xmlns:cdr="http://schemas.openxmlformats.org/drawingml/2006/chartDrawing">
    <cdr:from>
      <cdr:x>0.00619</cdr:x>
      <cdr:y>0.00884</cdr:y>
    </cdr:from>
    <cdr:to>
      <cdr:x>0.9969</cdr:x>
      <cdr:y>0.13039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5DDE6-CD45-874E-10A8-D5339B31F85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1280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Figure 1.</a:t>
          </a:r>
          <a:r>
            <a:rPr lang="en-US" sz="1600" b="1" kern="1200" baseline="0"/>
            <a:t> Arizona</a:t>
          </a:r>
          <a:r>
            <a:rPr lang="en-US" sz="1600" b="1" kern="1200"/>
            <a:t>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0.00464</cdr:x>
      <cdr:y>0.10608</cdr:y>
    </cdr:from>
    <cdr:to>
      <cdr:x>0.25696</cdr:x>
      <cdr:y>0.16354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7BF9A93-C3E5-20DE-C8E8-F42500F4F8B7}"/>
            </a:ext>
          </a:extLst>
        </cdr:cNvPr>
        <cdr:cNvSpPr txBox="1"/>
      </cdr:nvSpPr>
      <cdr:spPr>
        <a:xfrm xmlns:a="http://schemas.openxmlformats.org/drawingml/2006/main">
          <a:off x="38100" y="609600"/>
          <a:ext cx="2070084" cy="330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0.93189</cdr:x>
      <cdr:y>0.1558</cdr:y>
    </cdr:from>
    <cdr:to>
      <cdr:x>0.99381</cdr:x>
      <cdr:y>0.21768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1D4DDE9-A706-A6B4-176D-DD9CBB1170B0}"/>
            </a:ext>
          </a:extLst>
        </cdr:cNvPr>
        <cdr:cNvSpPr txBox="1"/>
      </cdr:nvSpPr>
      <cdr:spPr>
        <a:xfrm xmlns:a="http://schemas.openxmlformats.org/drawingml/2006/main">
          <a:off x="7645400" y="895350"/>
          <a:ext cx="508000" cy="355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2022</a:t>
          </a:r>
        </a:p>
      </cdr:txBody>
    </cdr:sp>
  </cdr:relSizeAnchor>
</c:userShapes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3</xdr:row>
      <xdr:rowOff>184150</xdr:rowOff>
    </xdr:from>
    <xdr:to>
      <xdr:col>14</xdr:col>
      <xdr:colOff>762000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E11B7B-C1A6-2D4A-A27A-ABB5AE1B1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1.xml><?xml version="1.0" encoding="utf-8"?>
<c:userShapes xmlns:c="http://schemas.openxmlformats.org/drawingml/2006/chart">
  <cdr:relSizeAnchor xmlns:cdr="http://schemas.openxmlformats.org/drawingml/2006/chartDrawing">
    <cdr:from>
      <cdr:x>0.00619</cdr:x>
      <cdr:y>0.00884</cdr:y>
    </cdr:from>
    <cdr:to>
      <cdr:x>0.9969</cdr:x>
      <cdr:y>0.13039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5DDE6-CD45-874E-10A8-D5339B31F85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1280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Figure 2. New Mexico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0.00464</cdr:x>
      <cdr:y>0.10608</cdr:y>
    </cdr:from>
    <cdr:to>
      <cdr:x>0.25696</cdr:x>
      <cdr:y>0.16354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7BF9A93-C3E5-20DE-C8E8-F42500F4F8B7}"/>
            </a:ext>
          </a:extLst>
        </cdr:cNvPr>
        <cdr:cNvSpPr txBox="1"/>
      </cdr:nvSpPr>
      <cdr:spPr>
        <a:xfrm xmlns:a="http://schemas.openxmlformats.org/drawingml/2006/main">
          <a:off x="38100" y="609600"/>
          <a:ext cx="2070084" cy="330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0.93189</cdr:x>
      <cdr:y>0.1558</cdr:y>
    </cdr:from>
    <cdr:to>
      <cdr:x>0.99381</cdr:x>
      <cdr:y>0.21768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1D4DDE9-A706-A6B4-176D-DD9CBB1170B0}"/>
            </a:ext>
          </a:extLst>
        </cdr:cNvPr>
        <cdr:cNvSpPr txBox="1"/>
      </cdr:nvSpPr>
      <cdr:spPr>
        <a:xfrm xmlns:a="http://schemas.openxmlformats.org/drawingml/2006/main">
          <a:off x="7645400" y="895350"/>
          <a:ext cx="508000" cy="355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2022</a:t>
          </a:r>
        </a:p>
      </cdr:txBody>
    </cdr:sp>
  </cdr:relSizeAnchor>
</c:userShapes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3</xdr:row>
      <xdr:rowOff>184150</xdr:rowOff>
    </xdr:from>
    <xdr:to>
      <xdr:col>14</xdr:col>
      <xdr:colOff>762000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284893-A4DA-9F46-AE2B-A5E4DF3206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3.xml><?xml version="1.0" encoding="utf-8"?>
<c:userShapes xmlns:c="http://schemas.openxmlformats.org/drawingml/2006/chart">
  <cdr:relSizeAnchor xmlns:cdr="http://schemas.openxmlformats.org/drawingml/2006/chartDrawing">
    <cdr:from>
      <cdr:x>0.00619</cdr:x>
      <cdr:y>0.00884</cdr:y>
    </cdr:from>
    <cdr:to>
      <cdr:x>0.9969</cdr:x>
      <cdr:y>0.13039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5DDE6-CD45-874E-10A8-D5339B31F85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1280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Figure 2. Alabama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0.00464</cdr:x>
      <cdr:y>0.10608</cdr:y>
    </cdr:from>
    <cdr:to>
      <cdr:x>0.25696</cdr:x>
      <cdr:y>0.16354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7BF9A93-C3E5-20DE-C8E8-F42500F4F8B7}"/>
            </a:ext>
          </a:extLst>
        </cdr:cNvPr>
        <cdr:cNvSpPr txBox="1"/>
      </cdr:nvSpPr>
      <cdr:spPr>
        <a:xfrm xmlns:a="http://schemas.openxmlformats.org/drawingml/2006/main">
          <a:off x="38100" y="609600"/>
          <a:ext cx="2070084" cy="330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0.93189</cdr:x>
      <cdr:y>0.1558</cdr:y>
    </cdr:from>
    <cdr:to>
      <cdr:x>0.99381</cdr:x>
      <cdr:y>0.21768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1D4DDE9-A706-A6B4-176D-DD9CBB1170B0}"/>
            </a:ext>
          </a:extLst>
        </cdr:cNvPr>
        <cdr:cNvSpPr txBox="1"/>
      </cdr:nvSpPr>
      <cdr:spPr>
        <a:xfrm xmlns:a="http://schemas.openxmlformats.org/drawingml/2006/main">
          <a:off x="7645400" y="895350"/>
          <a:ext cx="508000" cy="355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2022</a:t>
          </a:r>
        </a:p>
      </cdr:txBody>
    </cdr:sp>
  </cdr:relSizeAnchor>
</c:userShapes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698500</xdr:colOff>
      <xdr:row>0</xdr:row>
      <xdr:rowOff>165100</xdr:rowOff>
    </xdr:from>
    <xdr:to>
      <xdr:col>23</xdr:col>
      <xdr:colOff>787400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DF5A7C-5BF9-7B49-89C5-DCCE26230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203200</xdr:colOff>
      <xdr:row>5</xdr:row>
      <xdr:rowOff>127000</xdr:rowOff>
    </xdr:from>
    <xdr:to>
      <xdr:col>23</xdr:col>
      <xdr:colOff>698500</xdr:colOff>
      <xdr:row>7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DF9B04-D915-1E4A-AA2E-9EA8E04BA49A}"/>
            </a:ext>
          </a:extLst>
        </xdr:cNvPr>
        <xdr:cNvSpPr txBox="1"/>
      </xdr:nvSpPr>
      <xdr:spPr>
        <a:xfrm>
          <a:off x="17881600" y="1066800"/>
          <a:ext cx="4953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2022</a:t>
          </a:r>
        </a:p>
      </xdr:txBody>
    </xdr:sp>
    <xdr:clientData/>
  </xdr:twoCellAnchor>
  <xdr:twoCellAnchor>
    <xdr:from>
      <xdr:col>14</xdr:col>
      <xdr:colOff>800100</xdr:colOff>
      <xdr:row>27</xdr:row>
      <xdr:rowOff>114300</xdr:rowOff>
    </xdr:from>
    <xdr:to>
      <xdr:col>24</xdr:col>
      <xdr:colOff>63500</xdr:colOff>
      <xdr:row>54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7EB9EB-8CF5-4A40-8479-DEF862647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1</xdr:row>
      <xdr:rowOff>0</xdr:rowOff>
    </xdr:from>
    <xdr:to>
      <xdr:col>34</xdr:col>
      <xdr:colOff>88900</xdr:colOff>
      <xdr:row>27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470F9F-902A-9F4F-82A5-5B56DDCDC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5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Texas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106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Texas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0.17483</cdr:y>
    </cdr:from>
    <cdr:to>
      <cdr:x>0.99155</cdr:x>
      <cdr:y>0.24709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525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107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3. Texas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0.17249</cdr:y>
    </cdr:from>
    <cdr:to>
      <cdr:x>0.99155</cdr:x>
      <cdr:y>0.24476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398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698500</xdr:colOff>
      <xdr:row>0</xdr:row>
      <xdr:rowOff>165100</xdr:rowOff>
    </xdr:from>
    <xdr:to>
      <xdr:col>23</xdr:col>
      <xdr:colOff>787400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A14EA8-1143-7941-B547-9BF00DDCE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203200</xdr:colOff>
      <xdr:row>5</xdr:row>
      <xdr:rowOff>127000</xdr:rowOff>
    </xdr:from>
    <xdr:to>
      <xdr:col>23</xdr:col>
      <xdr:colOff>698500</xdr:colOff>
      <xdr:row>7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5DB3CB-B48D-294B-A800-B7D72E98BE1D}"/>
            </a:ext>
          </a:extLst>
        </xdr:cNvPr>
        <xdr:cNvSpPr txBox="1"/>
      </xdr:nvSpPr>
      <xdr:spPr>
        <a:xfrm>
          <a:off x="17881600" y="1066800"/>
          <a:ext cx="4953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2022</a:t>
          </a:r>
        </a:p>
      </xdr:txBody>
    </xdr:sp>
    <xdr:clientData/>
  </xdr:twoCellAnchor>
  <xdr:twoCellAnchor>
    <xdr:from>
      <xdr:col>14</xdr:col>
      <xdr:colOff>800100</xdr:colOff>
      <xdr:row>27</xdr:row>
      <xdr:rowOff>114300</xdr:rowOff>
    </xdr:from>
    <xdr:to>
      <xdr:col>24</xdr:col>
      <xdr:colOff>63500</xdr:colOff>
      <xdr:row>54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9D95D1-03FB-7F4B-851B-044E8EA78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1</xdr:row>
      <xdr:rowOff>0</xdr:rowOff>
    </xdr:from>
    <xdr:to>
      <xdr:col>34</xdr:col>
      <xdr:colOff>88900</xdr:colOff>
      <xdr:row>27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389605-0FF2-1D43-9E35-6FB61754A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9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Alaska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110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Alaska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0.17017</cdr:y>
    </cdr:from>
    <cdr:to>
      <cdr:x>0.99155</cdr:x>
      <cdr:y>0.24243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7000372" y="917881"/>
          <a:ext cx="498136" cy="38976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111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3. Alaska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0.93001</cdr:x>
      <cdr:y>0.16312</cdr:y>
    </cdr:from>
    <cdr:to>
      <cdr:x>0.99489</cdr:x>
      <cdr:y>0.20973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A7A13DF5-2A1A-4723-D7C4-3CF5F45BA30D}"/>
            </a:ext>
          </a:extLst>
        </cdr:cNvPr>
        <cdr:cNvSpPr txBox="1"/>
      </cdr:nvSpPr>
      <cdr:spPr>
        <a:xfrm xmlns:a="http://schemas.openxmlformats.org/drawingml/2006/main">
          <a:off x="7029010" y="880197"/>
          <a:ext cx="490396" cy="251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698500</xdr:colOff>
      <xdr:row>0</xdr:row>
      <xdr:rowOff>165100</xdr:rowOff>
    </xdr:from>
    <xdr:to>
      <xdr:col>23</xdr:col>
      <xdr:colOff>787400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B85133-010B-954C-A23E-215EF8042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203200</xdr:colOff>
      <xdr:row>5</xdr:row>
      <xdr:rowOff>127000</xdr:rowOff>
    </xdr:from>
    <xdr:to>
      <xdr:col>23</xdr:col>
      <xdr:colOff>698500</xdr:colOff>
      <xdr:row>7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3A89B62-DCD8-874D-B821-55F2F42F7920}"/>
            </a:ext>
          </a:extLst>
        </xdr:cNvPr>
        <xdr:cNvSpPr txBox="1"/>
      </xdr:nvSpPr>
      <xdr:spPr>
        <a:xfrm>
          <a:off x="17881600" y="1066800"/>
          <a:ext cx="4953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2022</a:t>
          </a:r>
        </a:p>
      </xdr:txBody>
    </xdr:sp>
    <xdr:clientData/>
  </xdr:twoCellAnchor>
  <xdr:twoCellAnchor>
    <xdr:from>
      <xdr:col>14</xdr:col>
      <xdr:colOff>800100</xdr:colOff>
      <xdr:row>27</xdr:row>
      <xdr:rowOff>114300</xdr:rowOff>
    </xdr:from>
    <xdr:to>
      <xdr:col>24</xdr:col>
      <xdr:colOff>63500</xdr:colOff>
      <xdr:row>54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94F58F-823A-9C49-9332-D90C7E36C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1</xdr:row>
      <xdr:rowOff>0</xdr:rowOff>
    </xdr:from>
    <xdr:to>
      <xdr:col>34</xdr:col>
      <xdr:colOff>88900</xdr:colOff>
      <xdr:row>27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5DE8AB-E329-AC41-B720-BADA27B25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3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California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114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California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0.17483</cdr:y>
    </cdr:from>
    <cdr:to>
      <cdr:x>0.99155</cdr:x>
      <cdr:y>0.24709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525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115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3. California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0.17249</cdr:y>
    </cdr:from>
    <cdr:to>
      <cdr:x>0.99155</cdr:x>
      <cdr:y>0.24476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398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698500</xdr:colOff>
      <xdr:row>0</xdr:row>
      <xdr:rowOff>165100</xdr:rowOff>
    </xdr:from>
    <xdr:to>
      <xdr:col>23</xdr:col>
      <xdr:colOff>787400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65B308-5769-9C48-A24B-D472D8868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203200</xdr:colOff>
      <xdr:row>5</xdr:row>
      <xdr:rowOff>127000</xdr:rowOff>
    </xdr:from>
    <xdr:to>
      <xdr:col>23</xdr:col>
      <xdr:colOff>698500</xdr:colOff>
      <xdr:row>7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3FF836-A451-A043-946A-362D87463F7B}"/>
            </a:ext>
          </a:extLst>
        </xdr:cNvPr>
        <xdr:cNvSpPr txBox="1"/>
      </xdr:nvSpPr>
      <xdr:spPr>
        <a:xfrm>
          <a:off x="17881600" y="1066800"/>
          <a:ext cx="4953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2022</a:t>
          </a:r>
        </a:p>
      </xdr:txBody>
    </xdr:sp>
    <xdr:clientData/>
  </xdr:twoCellAnchor>
  <xdr:twoCellAnchor>
    <xdr:from>
      <xdr:col>14</xdr:col>
      <xdr:colOff>800100</xdr:colOff>
      <xdr:row>27</xdr:row>
      <xdr:rowOff>114300</xdr:rowOff>
    </xdr:from>
    <xdr:to>
      <xdr:col>24</xdr:col>
      <xdr:colOff>63500</xdr:colOff>
      <xdr:row>54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2BBFB1-4E07-2C4B-AE23-D63DBB297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1</xdr:row>
      <xdr:rowOff>0</xdr:rowOff>
    </xdr:from>
    <xdr:to>
      <xdr:col>34</xdr:col>
      <xdr:colOff>88900</xdr:colOff>
      <xdr:row>27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92B251-AEF4-F94B-A063-11C4BDE84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7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Hawaii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118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Hawaii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0.17483</cdr:y>
    </cdr:from>
    <cdr:to>
      <cdr:x>0.99155</cdr:x>
      <cdr:y>0.24709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525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119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3. Hawaii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0.17249</cdr:y>
    </cdr:from>
    <cdr:to>
      <cdr:x>0.99155</cdr:x>
      <cdr:y>0.24476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398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3</xdr:row>
      <xdr:rowOff>184150</xdr:rowOff>
    </xdr:from>
    <xdr:to>
      <xdr:col>14</xdr:col>
      <xdr:colOff>762000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2D341E-336B-754E-A99D-0B4173033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1.xml><?xml version="1.0" encoding="utf-8"?>
<c:userShapes xmlns:c="http://schemas.openxmlformats.org/drawingml/2006/chart">
  <cdr:relSizeAnchor xmlns:cdr="http://schemas.openxmlformats.org/drawingml/2006/chartDrawing">
    <cdr:from>
      <cdr:x>0.00619</cdr:x>
      <cdr:y>0.00884</cdr:y>
    </cdr:from>
    <cdr:to>
      <cdr:x>0.9969</cdr:x>
      <cdr:y>0.13039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5DDE6-CD45-874E-10A8-D5339B31F85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1280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Figure 1.</a:t>
          </a:r>
          <a:r>
            <a:rPr lang="en-US" sz="1600" b="1" kern="1200" baseline="0"/>
            <a:t> Idaho</a:t>
          </a:r>
          <a:r>
            <a:rPr lang="en-US" sz="1600" b="1" kern="1200"/>
            <a:t>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0.00464</cdr:x>
      <cdr:y>0.10608</cdr:y>
    </cdr:from>
    <cdr:to>
      <cdr:x>0.25696</cdr:x>
      <cdr:y>0.16354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7BF9A93-C3E5-20DE-C8E8-F42500F4F8B7}"/>
            </a:ext>
          </a:extLst>
        </cdr:cNvPr>
        <cdr:cNvSpPr txBox="1"/>
      </cdr:nvSpPr>
      <cdr:spPr>
        <a:xfrm xmlns:a="http://schemas.openxmlformats.org/drawingml/2006/main">
          <a:off x="38100" y="609600"/>
          <a:ext cx="2070084" cy="330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0.93189</cdr:x>
      <cdr:y>0.1558</cdr:y>
    </cdr:from>
    <cdr:to>
      <cdr:x>0.99381</cdr:x>
      <cdr:y>0.21768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1D4DDE9-A706-A6B4-176D-DD9CBB1170B0}"/>
            </a:ext>
          </a:extLst>
        </cdr:cNvPr>
        <cdr:cNvSpPr txBox="1"/>
      </cdr:nvSpPr>
      <cdr:spPr>
        <a:xfrm xmlns:a="http://schemas.openxmlformats.org/drawingml/2006/main">
          <a:off x="7645400" y="895350"/>
          <a:ext cx="508000" cy="355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2022</a:t>
          </a:r>
        </a:p>
      </cdr:txBody>
    </cdr:sp>
  </cdr:relSizeAnchor>
</c:userShapes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698500</xdr:colOff>
      <xdr:row>0</xdr:row>
      <xdr:rowOff>165100</xdr:rowOff>
    </xdr:from>
    <xdr:to>
      <xdr:col>23</xdr:col>
      <xdr:colOff>787400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E0321-A2DB-694C-8AC7-74A970FA9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203200</xdr:colOff>
      <xdr:row>5</xdr:row>
      <xdr:rowOff>127000</xdr:rowOff>
    </xdr:from>
    <xdr:to>
      <xdr:col>23</xdr:col>
      <xdr:colOff>698500</xdr:colOff>
      <xdr:row>7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A1064D-416B-EF4D-B289-A2677FEC32BE}"/>
            </a:ext>
          </a:extLst>
        </xdr:cNvPr>
        <xdr:cNvSpPr txBox="1"/>
      </xdr:nvSpPr>
      <xdr:spPr>
        <a:xfrm>
          <a:off x="17881600" y="1066800"/>
          <a:ext cx="4953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2022</a:t>
          </a:r>
        </a:p>
      </xdr:txBody>
    </xdr:sp>
    <xdr:clientData/>
  </xdr:twoCellAnchor>
  <xdr:twoCellAnchor>
    <xdr:from>
      <xdr:col>14</xdr:col>
      <xdr:colOff>800100</xdr:colOff>
      <xdr:row>27</xdr:row>
      <xdr:rowOff>114300</xdr:rowOff>
    </xdr:from>
    <xdr:to>
      <xdr:col>24</xdr:col>
      <xdr:colOff>63500</xdr:colOff>
      <xdr:row>54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AF5C33-2895-BC4F-9A06-231BD1995F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1</xdr:row>
      <xdr:rowOff>0</xdr:rowOff>
    </xdr:from>
    <xdr:to>
      <xdr:col>34</xdr:col>
      <xdr:colOff>88900</xdr:colOff>
      <xdr:row>27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27D319-3AA9-2C46-B309-67BC1232D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3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Montana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124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Montana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0.17483</cdr:y>
    </cdr:from>
    <cdr:to>
      <cdr:x>0.99155</cdr:x>
      <cdr:y>0.24709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525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125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3. California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0.17249</cdr:y>
    </cdr:from>
    <cdr:to>
      <cdr:x>0.99155</cdr:x>
      <cdr:y>0.24476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398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698500</xdr:colOff>
      <xdr:row>0</xdr:row>
      <xdr:rowOff>165100</xdr:rowOff>
    </xdr:from>
    <xdr:to>
      <xdr:col>23</xdr:col>
      <xdr:colOff>787400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99FE0D-7432-4740-B1C1-F1AAA0159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203200</xdr:colOff>
      <xdr:row>5</xdr:row>
      <xdr:rowOff>127000</xdr:rowOff>
    </xdr:from>
    <xdr:to>
      <xdr:col>23</xdr:col>
      <xdr:colOff>698500</xdr:colOff>
      <xdr:row>7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523056-6CB3-EE40-A216-9465765D6C3E}"/>
            </a:ext>
          </a:extLst>
        </xdr:cNvPr>
        <xdr:cNvSpPr txBox="1"/>
      </xdr:nvSpPr>
      <xdr:spPr>
        <a:xfrm>
          <a:off x="17881600" y="1066800"/>
          <a:ext cx="4953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2022</a:t>
          </a:r>
        </a:p>
      </xdr:txBody>
    </xdr:sp>
    <xdr:clientData/>
  </xdr:twoCellAnchor>
  <xdr:twoCellAnchor>
    <xdr:from>
      <xdr:col>14</xdr:col>
      <xdr:colOff>800100</xdr:colOff>
      <xdr:row>27</xdr:row>
      <xdr:rowOff>114300</xdr:rowOff>
    </xdr:from>
    <xdr:to>
      <xdr:col>24</xdr:col>
      <xdr:colOff>63500</xdr:colOff>
      <xdr:row>54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B4BB9C-DF2B-8045-8EA7-59772DEA1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1</xdr:row>
      <xdr:rowOff>0</xdr:rowOff>
    </xdr:from>
    <xdr:to>
      <xdr:col>34</xdr:col>
      <xdr:colOff>88900</xdr:colOff>
      <xdr:row>27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1A240E-F465-6245-9BC5-77A1C34DD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7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1. Nevada Weighted and Unweighted Averages of Total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</c:userShapes>
</file>

<file path=xl/drawings/drawing128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2. Nevada Weighted and Unweighted Averages of State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0.17483</cdr:y>
    </cdr:from>
    <cdr:to>
      <cdr:x>0.99155</cdr:x>
      <cdr:y>0.24709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525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129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0.0073</cdr:y>
    </cdr:from>
    <cdr:to>
      <cdr:x>0.99449</cdr:x>
      <cdr:y>0.14112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F964161-521D-0790-6E4A-0BC8FE9FC129}"/>
            </a:ext>
          </a:extLst>
        </cdr:cNvPr>
        <cdr:cNvSpPr txBox="1"/>
      </cdr:nvSpPr>
      <cdr:spPr>
        <a:xfrm xmlns:a="http://schemas.openxmlformats.org/drawingml/2006/main">
          <a:off x="63500" y="38100"/>
          <a:ext cx="68072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Figure 3. Nevada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0.01471</cdr:x>
      <cdr:y>0.10949</cdr:y>
    </cdr:from>
    <cdr:to>
      <cdr:x>0.31434</cdr:x>
      <cdr:y>0.17275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EB496F8-30E8-6A2D-912C-FA8706E6E149}"/>
            </a:ext>
          </a:extLst>
        </cdr:cNvPr>
        <cdr:cNvSpPr txBox="1"/>
      </cdr:nvSpPr>
      <cdr:spPr>
        <a:xfrm xmlns:a="http://schemas.openxmlformats.org/drawingml/2006/main">
          <a:off x="101600" y="571500"/>
          <a:ext cx="20701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0.92568</cdr:x>
      <cdr:y>0.17249</cdr:y>
    </cdr:from>
    <cdr:to>
      <cdr:x>0.99155</cdr:x>
      <cdr:y>0.24476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D9F906-5C2D-575D-F204-4EFA41297A3D}"/>
            </a:ext>
          </a:extLst>
        </cdr:cNvPr>
        <cdr:cNvSpPr txBox="1"/>
      </cdr:nvSpPr>
      <cdr:spPr>
        <a:xfrm xmlns:a="http://schemas.openxmlformats.org/drawingml/2006/main">
          <a:off x="6959600" y="939800"/>
          <a:ext cx="495300" cy="393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2022</a:t>
          </a:r>
        </a:p>
      </cdr:txBody>
    </cdr:sp>
  </cdr:relSizeAnchor>
</c:userShapes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3</xdr:row>
      <xdr:rowOff>184150</xdr:rowOff>
    </xdr:from>
    <xdr:to>
      <xdr:col>14</xdr:col>
      <xdr:colOff>762000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27A0EB-482A-F54B-ADF0-9D73E97BC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1.xml><?xml version="1.0" encoding="utf-8"?>
<c:userShapes xmlns:c="http://schemas.openxmlformats.org/drawingml/2006/chart">
  <cdr:relSizeAnchor xmlns:cdr="http://schemas.openxmlformats.org/drawingml/2006/chartDrawing">
    <cdr:from>
      <cdr:x>0.00619</cdr:x>
      <cdr:y>0.00884</cdr:y>
    </cdr:from>
    <cdr:to>
      <cdr:x>0.9969</cdr:x>
      <cdr:y>0.13039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5DDE6-CD45-874E-10A8-D5339B31F85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1280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Figure 1.</a:t>
          </a:r>
          <a:r>
            <a:rPr lang="en-US" sz="1600" b="1" kern="1200" baseline="0"/>
            <a:t> Oregon</a:t>
          </a:r>
          <a:r>
            <a:rPr lang="en-US" sz="1600" b="1" kern="1200"/>
            <a:t>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0.00464</cdr:x>
      <cdr:y>0.10608</cdr:y>
    </cdr:from>
    <cdr:to>
      <cdr:x>0.25696</cdr:x>
      <cdr:y>0.16354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7BF9A93-C3E5-20DE-C8E8-F42500F4F8B7}"/>
            </a:ext>
          </a:extLst>
        </cdr:cNvPr>
        <cdr:cNvSpPr txBox="1"/>
      </cdr:nvSpPr>
      <cdr:spPr>
        <a:xfrm xmlns:a="http://schemas.openxmlformats.org/drawingml/2006/main">
          <a:off x="38100" y="609600"/>
          <a:ext cx="2070084" cy="330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0.93189</cdr:x>
      <cdr:y>0.1558</cdr:y>
    </cdr:from>
    <cdr:to>
      <cdr:x>0.99381</cdr:x>
      <cdr:y>0.21768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1D4DDE9-A706-A6B4-176D-DD9CBB1170B0}"/>
            </a:ext>
          </a:extLst>
        </cdr:cNvPr>
        <cdr:cNvSpPr txBox="1"/>
      </cdr:nvSpPr>
      <cdr:spPr>
        <a:xfrm xmlns:a="http://schemas.openxmlformats.org/drawingml/2006/main">
          <a:off x="7645400" y="895350"/>
          <a:ext cx="508000" cy="355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2022</a:t>
          </a:r>
        </a:p>
      </cdr:txBody>
    </cdr:sp>
  </cdr:relSizeAnchor>
</c:userShapes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3</xdr:row>
      <xdr:rowOff>184150</xdr:rowOff>
    </xdr:from>
    <xdr:to>
      <xdr:col>14</xdr:col>
      <xdr:colOff>762000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04F617-8ACC-0741-8BBC-CA24188AB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3.xml><?xml version="1.0" encoding="utf-8"?>
<c:userShapes xmlns:c="http://schemas.openxmlformats.org/drawingml/2006/chart">
  <cdr:relSizeAnchor xmlns:cdr="http://schemas.openxmlformats.org/drawingml/2006/chartDrawing">
    <cdr:from>
      <cdr:x>0.00619</cdr:x>
      <cdr:y>0.00884</cdr:y>
    </cdr:from>
    <cdr:to>
      <cdr:x>0.9969</cdr:x>
      <cdr:y>0.13039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5DDE6-CD45-874E-10A8-D5339B31F85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1280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Figure 1.</a:t>
          </a:r>
          <a:r>
            <a:rPr lang="en-US" sz="1600" b="1" kern="1200" baseline="0"/>
            <a:t> Utah</a:t>
          </a:r>
          <a:r>
            <a:rPr lang="en-US" sz="1600" b="1" kern="1200"/>
            <a:t>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0.00464</cdr:x>
      <cdr:y>0.10608</cdr:y>
    </cdr:from>
    <cdr:to>
      <cdr:x>0.25696</cdr:x>
      <cdr:y>0.16354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7BF9A93-C3E5-20DE-C8E8-F42500F4F8B7}"/>
            </a:ext>
          </a:extLst>
        </cdr:cNvPr>
        <cdr:cNvSpPr txBox="1"/>
      </cdr:nvSpPr>
      <cdr:spPr>
        <a:xfrm xmlns:a="http://schemas.openxmlformats.org/drawingml/2006/main">
          <a:off x="38100" y="609600"/>
          <a:ext cx="2070084" cy="330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0.93189</cdr:x>
      <cdr:y>0.1558</cdr:y>
    </cdr:from>
    <cdr:to>
      <cdr:x>0.99381</cdr:x>
      <cdr:y>0.21768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1D4DDE9-A706-A6B4-176D-DD9CBB1170B0}"/>
            </a:ext>
          </a:extLst>
        </cdr:cNvPr>
        <cdr:cNvSpPr txBox="1"/>
      </cdr:nvSpPr>
      <cdr:spPr>
        <a:xfrm xmlns:a="http://schemas.openxmlformats.org/drawingml/2006/main">
          <a:off x="7645400" y="895350"/>
          <a:ext cx="508000" cy="355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2022</a:t>
          </a:r>
        </a:p>
      </cdr:txBody>
    </cdr:sp>
  </cdr:relSizeAnchor>
</c:userShapes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3</xdr:row>
      <xdr:rowOff>184150</xdr:rowOff>
    </xdr:from>
    <xdr:to>
      <xdr:col>14</xdr:col>
      <xdr:colOff>762000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5FE0B5-8FAA-E844-94E7-7FA92B041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5.xml><?xml version="1.0" encoding="utf-8"?>
<c:userShapes xmlns:c="http://schemas.openxmlformats.org/drawingml/2006/chart">
  <cdr:relSizeAnchor xmlns:cdr="http://schemas.openxmlformats.org/drawingml/2006/chartDrawing">
    <cdr:from>
      <cdr:x>0.00619</cdr:x>
      <cdr:y>0.00884</cdr:y>
    </cdr:from>
    <cdr:to>
      <cdr:x>0.9969</cdr:x>
      <cdr:y>0.13039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5DDE6-CD45-874E-10A8-D5339B31F85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128000" cy="698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Figure 2. Wyoming Weighted and Unweighted Averages of District Contributions as a Percentage of Associated Education Expenditures, 2015-2022 </a:t>
          </a:r>
        </a:p>
      </cdr:txBody>
    </cdr:sp>
  </cdr:relSizeAnchor>
  <cdr:relSizeAnchor xmlns:cdr="http://schemas.openxmlformats.org/drawingml/2006/chartDrawing">
    <cdr:from>
      <cdr:x>0.00464</cdr:x>
      <cdr:y>0.10608</cdr:y>
    </cdr:from>
    <cdr:to>
      <cdr:x>0.25696</cdr:x>
      <cdr:y>0.16354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7BF9A93-C3E5-20DE-C8E8-F42500F4F8B7}"/>
            </a:ext>
          </a:extLst>
        </cdr:cNvPr>
        <cdr:cNvSpPr txBox="1"/>
      </cdr:nvSpPr>
      <cdr:spPr>
        <a:xfrm xmlns:a="http://schemas.openxmlformats.org/drawingml/2006/main">
          <a:off x="38100" y="609600"/>
          <a:ext cx="2070084" cy="330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/>
            <a:t>Percent (%)</a:t>
          </a:r>
        </a:p>
      </cdr:txBody>
    </cdr:sp>
  </cdr:relSizeAnchor>
  <cdr:relSizeAnchor xmlns:cdr="http://schemas.openxmlformats.org/drawingml/2006/chartDrawing">
    <cdr:from>
      <cdr:x>0.93189</cdr:x>
      <cdr:y>0.1558</cdr:y>
    </cdr:from>
    <cdr:to>
      <cdr:x>0.99381</cdr:x>
      <cdr:y>0.21768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1D4DDE9-A706-A6B4-176D-DD9CBB1170B0}"/>
            </a:ext>
          </a:extLst>
        </cdr:cNvPr>
        <cdr:cNvSpPr txBox="1"/>
      </cdr:nvSpPr>
      <cdr:spPr>
        <a:xfrm xmlns:a="http://schemas.openxmlformats.org/drawingml/2006/main">
          <a:off x="7645400" y="895350"/>
          <a:ext cx="508000" cy="355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2022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Gregory Kearney" id="{7FBD31C0-C32D-8E4D-8E02-19946BA516D2}" userId="S::gkearne1@stanford.edu::8abaa3ae-42bc-4b74-bc92-dcb5bcde81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5-02-05T03:35:11.24" personId="{7FBD31C0-C32D-8E4D-8E02-19946BA516D2}" id="{29E5F5A4-C55B-694B-84B3-CD12F12315BE}">
    <text>https://www.usnews.com/education/best-high-schools/arizona/districts</text>
  </threadedComment>
  <threadedComment ref="C11" dT="2025-02-02T01:45:17.87" personId="{7FBD31C0-C32D-8E4D-8E02-19946BA516D2}" id="{FB7A93E5-BDD0-354E-A34E-7D8658624416}">
    <text>Between 69-73</text>
  </threadedComment>
  <threadedComment ref="C12" dT="2025-02-02T01:45:44.05" personId="{7FBD31C0-C32D-8E4D-8E02-19946BA516D2}" id="{376E828F-04DC-4B4D-B1E9-8486544B8D39}">
    <text>Between 180-194. 194 in 2022-2023 academic year.</text>
  </threadedComment>
  <threadedComment ref="C14" dT="2025-02-26T10:09:43.14" personId="{7FBD31C0-C32D-8E4D-8E02-19946BA516D2}" id="{E188AD26-0B48-A342-9BF9-3A30BD1ADB1F}">
    <text xml:space="preserve">Apparently, there are something like 117 public school districts and 49 charters. </text>
  </threadedComment>
  <threadedComment ref="C38" dT="2025-02-02T01:46:29.87" personId="{7FBD31C0-C32D-8E4D-8E02-19946BA516D2}" id="{3C236833-0237-D045-8859-5F6A268910E6}">
    <text>Between 429-512 (changed over time)</text>
  </threadedComment>
  <threadedComment ref="C45" dT="2025-02-14T23:19:52.58" personId="{7FBD31C0-C32D-8E4D-8E02-19946BA516D2}" id="{F96CFBF9-B65B-034C-A9DB-39E5238E0B9A}">
    <text>In 2015, Vermont had around 280 school districts. By 2022 after a significant consolidation process, there were fewer than 60. We analyzed the districts that had all 8 years of data.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0" dT="2025-02-27T21:07:54.91" personId="{7FBD31C0-C32D-8E4D-8E02-19946BA516D2}" id="{002CDA51-BD2B-9442-99FE-39BE5E68E52A}">
    <text>Obviously, for DC this is in reference to the mayor.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57B1-4357-6749-AD9A-4192005DBA31}">
  <sheetPr>
    <tabColor rgb="FF00B050"/>
  </sheetPr>
  <dimension ref="A1"/>
  <sheetViews>
    <sheetView workbookViewId="0">
      <selection activeCell="I32" sqref="I32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E2AD-C7A5-E542-82C1-620DA79DF652}">
  <sheetPr>
    <tabColor rgb="FFFFFF00"/>
  </sheetPr>
  <dimension ref="B1:G54"/>
  <sheetViews>
    <sheetView workbookViewId="0">
      <pane xSplit="2" ySplit="1" topLeftCell="C6" activePane="bottomRight" state="frozen"/>
      <selection pane="topRight" activeCell="C1" sqref="C1"/>
      <selection pane="bottomLeft" activeCell="A2" sqref="A2"/>
      <selection pane="bottomRight" activeCell="I7" sqref="I7"/>
    </sheetView>
  </sheetViews>
  <sheetFormatPr baseColWidth="10" defaultRowHeight="16" outlineLevelCol="1" x14ac:dyDescent="0.2"/>
  <cols>
    <col min="1" max="1" width="2.6640625" style="2" customWidth="1"/>
    <col min="2" max="2" width="14" style="2" bestFit="1" customWidth="1"/>
    <col min="3" max="3" width="16.83203125" style="2" customWidth="1"/>
    <col min="4" max="4" width="17.33203125" style="2" bestFit="1" customWidth="1"/>
    <col min="5" max="5" width="12.1640625" style="2" customWidth="1"/>
    <col min="6" max="6" width="10.83203125" style="2" hidden="1" customWidth="1" outlineLevel="1"/>
    <col min="7" max="7" width="10.83203125" style="2" collapsed="1"/>
    <col min="8" max="16384" width="10.83203125" style="2"/>
  </cols>
  <sheetData>
    <row r="1" spans="2:6" ht="17" thickBot="1" x14ac:dyDescent="0.25"/>
    <row r="2" spans="2:6" ht="30" customHeight="1" x14ac:dyDescent="0.2">
      <c r="B2" s="50" t="s">
        <v>65</v>
      </c>
      <c r="C2" s="49" t="s">
        <v>78</v>
      </c>
      <c r="D2" s="48" t="s">
        <v>77</v>
      </c>
      <c r="E2" s="47" t="s">
        <v>76</v>
      </c>
    </row>
    <row r="3" spans="2:6" x14ac:dyDescent="0.2">
      <c r="B3" s="56" t="s">
        <v>42</v>
      </c>
      <c r="C3" s="3">
        <v>140</v>
      </c>
      <c r="D3" s="45">
        <v>134</v>
      </c>
      <c r="E3" s="44">
        <f t="shared" ref="E3:E16" si="0">D3/C3</f>
        <v>0.95714285714285718</v>
      </c>
      <c r="F3" s="2">
        <v>1</v>
      </c>
    </row>
    <row r="4" spans="2:6" x14ac:dyDescent="0.2">
      <c r="B4" s="46" t="s">
        <v>47</v>
      </c>
      <c r="C4" s="3">
        <v>54</v>
      </c>
      <c r="D4" s="45">
        <v>52</v>
      </c>
      <c r="E4" s="44">
        <f t="shared" si="0"/>
        <v>0.96296296296296291</v>
      </c>
      <c r="F4" s="2">
        <v>1</v>
      </c>
    </row>
    <row r="5" spans="2:6" x14ac:dyDescent="0.2">
      <c r="B5" s="46" t="s">
        <v>11</v>
      </c>
      <c r="C5" s="3">
        <v>307</v>
      </c>
      <c r="D5" s="45">
        <v>295</v>
      </c>
      <c r="E5" s="44">
        <f t="shared" si="0"/>
        <v>0.96091205211726383</v>
      </c>
      <c r="F5" s="2">
        <v>1</v>
      </c>
    </row>
    <row r="6" spans="2:6" x14ac:dyDescent="0.2">
      <c r="B6" s="46" t="s">
        <v>14</v>
      </c>
      <c r="C6" s="3">
        <v>258</v>
      </c>
      <c r="D6" s="45">
        <v>246</v>
      </c>
      <c r="E6" s="44">
        <f t="shared" si="0"/>
        <v>0.95348837209302328</v>
      </c>
      <c r="F6" s="2">
        <v>1</v>
      </c>
    </row>
    <row r="7" spans="2:6" x14ac:dyDescent="0.2">
      <c r="B7" s="46" t="s">
        <v>56</v>
      </c>
      <c r="C7" s="3">
        <v>977</v>
      </c>
      <c r="D7" s="45">
        <v>967</v>
      </c>
      <c r="E7" s="44">
        <f t="shared" si="0"/>
        <v>0.98976458546571133</v>
      </c>
      <c r="F7" s="2">
        <v>1</v>
      </c>
    </row>
    <row r="8" spans="2:6" x14ac:dyDescent="0.2">
      <c r="B8" s="46" t="s">
        <v>45</v>
      </c>
      <c r="C8" s="3">
        <v>190</v>
      </c>
      <c r="D8" s="45">
        <v>181</v>
      </c>
      <c r="E8" s="44">
        <f t="shared" si="0"/>
        <v>0.95263157894736838</v>
      </c>
      <c r="F8" s="2">
        <v>1</v>
      </c>
    </row>
    <row r="9" spans="2:6" x14ac:dyDescent="0.2">
      <c r="B9" s="46" t="s">
        <v>83</v>
      </c>
      <c r="C9" s="3">
        <v>1</v>
      </c>
      <c r="D9" s="45">
        <v>1</v>
      </c>
      <c r="E9" s="44">
        <f t="shared" si="0"/>
        <v>1</v>
      </c>
      <c r="F9" s="2">
        <v>1</v>
      </c>
    </row>
    <row r="10" spans="2:6" x14ac:dyDescent="0.2">
      <c r="B10" s="46" t="s">
        <v>43</v>
      </c>
      <c r="C10" s="3">
        <v>19</v>
      </c>
      <c r="D10" s="45">
        <v>19</v>
      </c>
      <c r="E10" s="44">
        <f t="shared" si="0"/>
        <v>1</v>
      </c>
      <c r="F10" s="2">
        <v>1</v>
      </c>
    </row>
    <row r="11" spans="2:6" x14ac:dyDescent="0.2">
      <c r="B11" s="46" t="s">
        <v>12</v>
      </c>
      <c r="C11" s="3">
        <v>71</v>
      </c>
      <c r="D11" s="45">
        <v>66</v>
      </c>
      <c r="E11" s="44">
        <f t="shared" si="0"/>
        <v>0.92957746478873238</v>
      </c>
      <c r="F11" s="2">
        <v>1</v>
      </c>
    </row>
    <row r="12" spans="2:6" x14ac:dyDescent="0.2">
      <c r="B12" s="46" t="s">
        <v>17</v>
      </c>
      <c r="C12" s="3">
        <v>194</v>
      </c>
      <c r="D12" s="45">
        <v>189</v>
      </c>
      <c r="E12" s="44">
        <f t="shared" si="0"/>
        <v>0.97422680412371132</v>
      </c>
      <c r="F12" s="2">
        <v>1</v>
      </c>
    </row>
    <row r="13" spans="2:6" x14ac:dyDescent="0.2">
      <c r="B13" s="46" t="s">
        <v>61</v>
      </c>
      <c r="C13" s="3">
        <v>1</v>
      </c>
      <c r="D13" s="45">
        <v>1</v>
      </c>
      <c r="E13" s="44">
        <f t="shared" si="0"/>
        <v>1</v>
      </c>
      <c r="F13" s="2">
        <v>1</v>
      </c>
    </row>
    <row r="14" spans="2:6" x14ac:dyDescent="0.2">
      <c r="B14" s="46" t="s">
        <v>26</v>
      </c>
      <c r="C14" s="3">
        <v>166</v>
      </c>
      <c r="D14" s="45">
        <v>151</v>
      </c>
      <c r="E14" s="44">
        <f t="shared" si="0"/>
        <v>0.90963855421686746</v>
      </c>
      <c r="F14" s="2">
        <v>1</v>
      </c>
    </row>
    <row r="15" spans="2:6" x14ac:dyDescent="0.2">
      <c r="B15" s="46" t="s">
        <v>54</v>
      </c>
      <c r="C15" s="3">
        <v>852</v>
      </c>
      <c r="D15" s="45">
        <v>834</v>
      </c>
      <c r="E15" s="44">
        <f t="shared" si="0"/>
        <v>0.97887323943661975</v>
      </c>
      <c r="F15" s="2">
        <v>1</v>
      </c>
    </row>
    <row r="16" spans="2:6" x14ac:dyDescent="0.2">
      <c r="B16" s="46" t="s">
        <v>31</v>
      </c>
      <c r="C16" s="3">
        <v>351</v>
      </c>
      <c r="D16" s="45">
        <v>315</v>
      </c>
      <c r="E16" s="44">
        <f t="shared" si="0"/>
        <v>0.89743589743589747</v>
      </c>
      <c r="F16" s="2">
        <v>1</v>
      </c>
    </row>
    <row r="17" spans="2:6" x14ac:dyDescent="0.2">
      <c r="B17" s="46" t="s">
        <v>35</v>
      </c>
      <c r="C17" s="3">
        <v>328</v>
      </c>
      <c r="D17" s="45">
        <v>325</v>
      </c>
      <c r="E17" s="44">
        <f t="shared" ref="E17:E50" si="1">D17/C17</f>
        <v>0.99085365853658536</v>
      </c>
      <c r="F17" s="2">
        <v>1</v>
      </c>
    </row>
    <row r="18" spans="2:6" x14ac:dyDescent="0.2">
      <c r="B18" s="46" t="s">
        <v>30</v>
      </c>
      <c r="C18" s="3">
        <v>287</v>
      </c>
      <c r="D18" s="45">
        <v>280</v>
      </c>
      <c r="E18" s="44">
        <f t="shared" si="1"/>
        <v>0.97560975609756095</v>
      </c>
      <c r="F18" s="2">
        <v>1</v>
      </c>
    </row>
    <row r="19" spans="2:6" x14ac:dyDescent="0.2">
      <c r="B19" s="46" t="s">
        <v>34</v>
      </c>
      <c r="C19" s="3">
        <v>171</v>
      </c>
      <c r="D19" s="45">
        <v>171</v>
      </c>
      <c r="E19" s="44">
        <f t="shared" si="1"/>
        <v>1</v>
      </c>
      <c r="F19" s="2">
        <v>1</v>
      </c>
    </row>
    <row r="20" spans="2:6" x14ac:dyDescent="0.2">
      <c r="B20" s="46" t="s">
        <v>20</v>
      </c>
      <c r="C20" s="3">
        <v>73</v>
      </c>
      <c r="D20" s="45">
        <v>73</v>
      </c>
      <c r="E20" s="44">
        <f t="shared" si="1"/>
        <v>1</v>
      </c>
      <c r="F20" s="2">
        <v>1</v>
      </c>
    </row>
    <row r="21" spans="2:6" x14ac:dyDescent="0.2">
      <c r="B21" s="46" t="s">
        <v>40</v>
      </c>
      <c r="C21" s="3">
        <v>191</v>
      </c>
      <c r="D21" s="45">
        <v>172</v>
      </c>
      <c r="E21" s="44">
        <f t="shared" si="1"/>
        <v>0.90052356020942403</v>
      </c>
      <c r="F21" s="2">
        <v>1</v>
      </c>
    </row>
    <row r="22" spans="2:6" x14ac:dyDescent="0.2">
      <c r="B22" s="46" t="s">
        <v>41</v>
      </c>
      <c r="C22" s="3">
        <v>400</v>
      </c>
      <c r="D22" s="45">
        <v>380</v>
      </c>
      <c r="E22" s="44">
        <f t="shared" si="1"/>
        <v>0.95</v>
      </c>
      <c r="F22" s="2">
        <v>1</v>
      </c>
    </row>
    <row r="23" spans="2:6" x14ac:dyDescent="0.2">
      <c r="B23" s="46" t="s">
        <v>46</v>
      </c>
      <c r="C23" s="3">
        <v>705</v>
      </c>
      <c r="D23" s="45">
        <v>622</v>
      </c>
      <c r="E23" s="44">
        <f t="shared" si="1"/>
        <v>0.88226950354609934</v>
      </c>
      <c r="F23" s="2">
        <v>1</v>
      </c>
    </row>
    <row r="24" spans="2:6" x14ac:dyDescent="0.2">
      <c r="B24" s="46" t="s">
        <v>48</v>
      </c>
      <c r="C24" s="3">
        <v>496</v>
      </c>
      <c r="D24" s="45">
        <v>483</v>
      </c>
      <c r="E24" s="44">
        <f t="shared" si="1"/>
        <v>0.97379032258064513</v>
      </c>
      <c r="F24" s="2">
        <v>1</v>
      </c>
    </row>
    <row r="25" spans="2:6" x14ac:dyDescent="0.2">
      <c r="B25" s="46" t="s">
        <v>16</v>
      </c>
      <c r="C25" s="3">
        <v>144</v>
      </c>
      <c r="D25" s="45">
        <v>134</v>
      </c>
      <c r="E25" s="44">
        <f t="shared" si="1"/>
        <v>0.93055555555555558</v>
      </c>
      <c r="F25" s="2">
        <v>1</v>
      </c>
    </row>
    <row r="26" spans="2:6" x14ac:dyDescent="0.2">
      <c r="B26" s="46" t="s">
        <v>24</v>
      </c>
      <c r="C26" s="3">
        <v>518</v>
      </c>
      <c r="D26" s="45">
        <v>496</v>
      </c>
      <c r="E26" s="44">
        <f t="shared" si="1"/>
        <v>0.9575289575289575</v>
      </c>
      <c r="F26" s="2">
        <v>1</v>
      </c>
    </row>
    <row r="27" spans="2:6" x14ac:dyDescent="0.2">
      <c r="B27" s="46" t="s">
        <v>59</v>
      </c>
      <c r="C27" s="3">
        <v>302</v>
      </c>
      <c r="D27" s="45">
        <v>295</v>
      </c>
      <c r="E27" s="44">
        <f t="shared" si="1"/>
        <v>0.97682119205298013</v>
      </c>
      <c r="F27" s="2">
        <v>1</v>
      </c>
    </row>
    <row r="28" spans="2:6" x14ac:dyDescent="0.2">
      <c r="B28" s="46" t="s">
        <v>39</v>
      </c>
      <c r="C28" s="3">
        <v>24</v>
      </c>
      <c r="D28" s="45">
        <v>22</v>
      </c>
      <c r="E28" s="44">
        <f t="shared" si="1"/>
        <v>0.91666666666666663</v>
      </c>
      <c r="F28" s="2">
        <v>1</v>
      </c>
    </row>
    <row r="29" spans="2:6" x14ac:dyDescent="0.2">
      <c r="B29" s="46" t="s">
        <v>36</v>
      </c>
      <c r="C29" s="3">
        <v>248</v>
      </c>
      <c r="D29" s="45">
        <v>240</v>
      </c>
      <c r="E29" s="44">
        <f t="shared" si="1"/>
        <v>0.967741935483871</v>
      </c>
      <c r="F29" s="2">
        <v>1</v>
      </c>
    </row>
    <row r="30" spans="2:6" x14ac:dyDescent="0.2">
      <c r="B30" s="46" t="s">
        <v>37</v>
      </c>
      <c r="C30" s="3">
        <v>18</v>
      </c>
      <c r="D30" s="45">
        <v>18</v>
      </c>
      <c r="E30" s="44">
        <f t="shared" si="1"/>
        <v>1</v>
      </c>
      <c r="F30" s="2">
        <v>1</v>
      </c>
    </row>
    <row r="31" spans="2:6" x14ac:dyDescent="0.2">
      <c r="B31" s="46" t="s">
        <v>32</v>
      </c>
      <c r="C31" s="3">
        <v>164</v>
      </c>
      <c r="D31" s="45">
        <v>156</v>
      </c>
      <c r="E31" s="44">
        <f t="shared" si="1"/>
        <v>0.95121951219512191</v>
      </c>
      <c r="F31" s="2">
        <v>1</v>
      </c>
    </row>
    <row r="32" spans="2:6" x14ac:dyDescent="0.2">
      <c r="B32" s="46" t="s">
        <v>55</v>
      </c>
      <c r="C32" s="3">
        <v>673</v>
      </c>
      <c r="D32" s="45">
        <v>634</v>
      </c>
      <c r="E32" s="44">
        <f t="shared" si="1"/>
        <v>0.94205052005943535</v>
      </c>
      <c r="F32" s="2">
        <v>1</v>
      </c>
    </row>
    <row r="33" spans="2:6" x14ac:dyDescent="0.2">
      <c r="B33" s="46" t="s">
        <v>25</v>
      </c>
      <c r="C33" s="3">
        <v>129</v>
      </c>
      <c r="D33" s="45">
        <v>122</v>
      </c>
      <c r="E33" s="44">
        <f t="shared" si="1"/>
        <v>0.94573643410852715</v>
      </c>
      <c r="F33" s="2">
        <v>1</v>
      </c>
    </row>
    <row r="34" spans="2:6" x14ac:dyDescent="0.2">
      <c r="B34" s="46" t="s">
        <v>53</v>
      </c>
      <c r="C34" s="3">
        <v>731</v>
      </c>
      <c r="D34" s="45">
        <v>668</v>
      </c>
      <c r="E34" s="44">
        <f t="shared" si="1"/>
        <v>0.91381668946648431</v>
      </c>
      <c r="F34" s="2">
        <v>1</v>
      </c>
    </row>
    <row r="35" spans="2:6" x14ac:dyDescent="0.2">
      <c r="B35" s="46" t="s">
        <v>22</v>
      </c>
      <c r="C35" s="3">
        <v>191</v>
      </c>
      <c r="D35" s="45">
        <v>162</v>
      </c>
      <c r="E35" s="44">
        <f t="shared" si="1"/>
        <v>0.84816753926701571</v>
      </c>
      <c r="F35" s="2">
        <v>1</v>
      </c>
    </row>
    <row r="36" spans="2:6" x14ac:dyDescent="0.2">
      <c r="B36" s="46" t="s">
        <v>38</v>
      </c>
      <c r="C36" s="3">
        <v>179</v>
      </c>
      <c r="D36" s="45">
        <v>168</v>
      </c>
      <c r="E36" s="44">
        <f t="shared" si="1"/>
        <v>0.93854748603351956</v>
      </c>
      <c r="F36" s="2">
        <v>1</v>
      </c>
    </row>
    <row r="37" spans="2:6" x14ac:dyDescent="0.2">
      <c r="B37" s="46" t="s">
        <v>50</v>
      </c>
      <c r="C37" s="3">
        <v>900</v>
      </c>
      <c r="D37" s="45">
        <v>816</v>
      </c>
      <c r="E37" s="44">
        <f t="shared" si="1"/>
        <v>0.90666666666666662</v>
      </c>
      <c r="F37" s="2">
        <v>1</v>
      </c>
    </row>
    <row r="38" spans="2:6" x14ac:dyDescent="0.2">
      <c r="B38" s="46" t="s">
        <v>19</v>
      </c>
      <c r="C38" s="3">
        <v>512</v>
      </c>
      <c r="D38" s="45">
        <v>505</v>
      </c>
      <c r="E38" s="44">
        <f t="shared" si="1"/>
        <v>0.986328125</v>
      </c>
      <c r="F38" s="2">
        <v>1</v>
      </c>
    </row>
    <row r="39" spans="2:6" x14ac:dyDescent="0.2">
      <c r="B39" s="46" t="s">
        <v>60</v>
      </c>
      <c r="C39" s="3">
        <v>197</v>
      </c>
      <c r="D39" s="45">
        <v>185</v>
      </c>
      <c r="E39" s="44">
        <f t="shared" si="1"/>
        <v>0.93908629441624369</v>
      </c>
      <c r="F39" s="2">
        <v>1</v>
      </c>
    </row>
    <row r="40" spans="2:6" x14ac:dyDescent="0.2">
      <c r="B40" s="46" t="s">
        <v>57</v>
      </c>
      <c r="C40" s="3">
        <v>58</v>
      </c>
      <c r="D40" s="45">
        <v>52</v>
      </c>
      <c r="E40" s="44">
        <f t="shared" si="1"/>
        <v>0.89655172413793105</v>
      </c>
      <c r="F40" s="2">
        <v>1</v>
      </c>
    </row>
    <row r="41" spans="2:6" x14ac:dyDescent="0.2">
      <c r="B41" s="46" t="s">
        <v>28</v>
      </c>
      <c r="C41" s="3">
        <v>168</v>
      </c>
      <c r="D41" s="45">
        <v>148</v>
      </c>
      <c r="E41" s="44">
        <f t="shared" si="1"/>
        <v>0.88095238095238093</v>
      </c>
      <c r="F41" s="2">
        <v>1</v>
      </c>
    </row>
    <row r="42" spans="2:6" x14ac:dyDescent="0.2">
      <c r="B42" s="46" t="s">
        <v>18</v>
      </c>
      <c r="C42" s="3">
        <v>1207</v>
      </c>
      <c r="D42" s="45">
        <v>1142</v>
      </c>
      <c r="E42" s="44">
        <f t="shared" si="1"/>
        <v>0.94614747307373659</v>
      </c>
      <c r="F42" s="2">
        <v>1</v>
      </c>
    </row>
    <row r="43" spans="2:6" x14ac:dyDescent="0.2">
      <c r="B43" s="46" t="s">
        <v>21</v>
      </c>
      <c r="C43" s="3">
        <v>147</v>
      </c>
      <c r="D43" s="45">
        <v>137</v>
      </c>
      <c r="E43" s="44">
        <f t="shared" si="1"/>
        <v>0.93197278911564629</v>
      </c>
      <c r="F43" s="2">
        <v>1</v>
      </c>
    </row>
    <row r="44" spans="2:6" x14ac:dyDescent="0.2">
      <c r="B44" s="46" t="s">
        <v>23</v>
      </c>
      <c r="C44" s="3">
        <v>52</v>
      </c>
      <c r="D44" s="45">
        <v>51</v>
      </c>
      <c r="E44" s="44">
        <f t="shared" si="1"/>
        <v>0.98076923076923073</v>
      </c>
      <c r="F44" s="2">
        <v>1</v>
      </c>
    </row>
    <row r="45" spans="2:6" x14ac:dyDescent="0.2">
      <c r="B45" s="46" t="s">
        <v>51</v>
      </c>
      <c r="C45" s="3">
        <v>55</v>
      </c>
      <c r="D45" s="45">
        <v>50</v>
      </c>
      <c r="E45" s="44">
        <f t="shared" si="1"/>
        <v>0.90909090909090906</v>
      </c>
      <c r="F45" s="2">
        <v>1</v>
      </c>
    </row>
    <row r="46" spans="2:6" x14ac:dyDescent="0.2">
      <c r="B46" s="46" t="s">
        <v>15</v>
      </c>
      <c r="C46" s="3">
        <v>140</v>
      </c>
      <c r="D46" s="45">
        <v>132</v>
      </c>
      <c r="E46" s="44">
        <f t="shared" si="1"/>
        <v>0.94285714285714284</v>
      </c>
      <c r="F46" s="2">
        <v>1</v>
      </c>
    </row>
    <row r="47" spans="2:6" x14ac:dyDescent="0.2">
      <c r="B47" s="51" t="s">
        <v>52</v>
      </c>
      <c r="C47" s="52">
        <v>306</v>
      </c>
      <c r="D47" s="53">
        <v>296</v>
      </c>
      <c r="E47" s="44">
        <f t="shared" si="1"/>
        <v>0.9673202614379085</v>
      </c>
      <c r="F47" s="2">
        <v>1</v>
      </c>
    </row>
    <row r="48" spans="2:6" x14ac:dyDescent="0.2">
      <c r="B48" s="51" t="s">
        <v>49</v>
      </c>
      <c r="C48" s="52">
        <v>55</v>
      </c>
      <c r="D48" s="53">
        <v>54</v>
      </c>
      <c r="E48" s="44">
        <f t="shared" si="1"/>
        <v>0.98181818181818181</v>
      </c>
      <c r="F48" s="2">
        <v>1</v>
      </c>
    </row>
    <row r="49" spans="2:6" x14ac:dyDescent="0.2">
      <c r="B49" s="51" t="s">
        <v>44</v>
      </c>
      <c r="C49" s="52">
        <v>421</v>
      </c>
      <c r="D49" s="53">
        <v>412</v>
      </c>
      <c r="E49" s="55">
        <f t="shared" si="1"/>
        <v>0.97862232779097391</v>
      </c>
      <c r="F49" s="2">
        <v>1</v>
      </c>
    </row>
    <row r="50" spans="2:6" ht="17" thickBot="1" x14ac:dyDescent="0.25">
      <c r="B50" s="43" t="s">
        <v>33</v>
      </c>
      <c r="C50" s="42">
        <v>48</v>
      </c>
      <c r="D50" s="41">
        <v>47</v>
      </c>
      <c r="E50" s="40">
        <f t="shared" si="1"/>
        <v>0.97916666666666663</v>
      </c>
      <c r="F50" s="2">
        <v>1</v>
      </c>
    </row>
    <row r="51" spans="2:6" ht="5" customHeight="1" thickBot="1" x14ac:dyDescent="0.25">
      <c r="B51" s="39"/>
      <c r="C51" s="38"/>
      <c r="D51" s="37"/>
      <c r="E51" s="36"/>
    </row>
    <row r="52" spans="2:6" ht="17" thickBot="1" x14ac:dyDescent="0.25">
      <c r="B52" s="35" t="s">
        <v>10</v>
      </c>
      <c r="C52" s="34">
        <f>SUM(C3:C50)</f>
        <v>13819</v>
      </c>
      <c r="D52" s="33">
        <f>SUM(D3:D50)</f>
        <v>13099</v>
      </c>
      <c r="E52" s="32">
        <f>D52/C52</f>
        <v>0.94789782183949634</v>
      </c>
    </row>
    <row r="54" spans="2:6" x14ac:dyDescent="0.2">
      <c r="B54" s="54" t="s">
        <v>79</v>
      </c>
      <c r="C54" s="54">
        <f>COUNT(F3:F50)</f>
        <v>48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12A6-4698-8643-8A4A-0D0DA18034AD}">
  <sheetPr>
    <tabColor rgb="FF00B050"/>
  </sheetPr>
  <dimension ref="A1"/>
  <sheetViews>
    <sheetView workbookViewId="0">
      <selection activeCell="D63" sqref="D63"/>
    </sheetView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9295-9C35-8347-9D69-CD0C30007C25}">
  <sheetPr>
    <tabColor rgb="FF002060"/>
  </sheetPr>
  <dimension ref="B2:L65"/>
  <sheetViews>
    <sheetView tabSelected="1" zoomScale="90" zoomScaleNormal="90" workbookViewId="0">
      <selection activeCell="B3" sqref="B3:C50"/>
    </sheetView>
  </sheetViews>
  <sheetFormatPr baseColWidth="10" defaultRowHeight="16" x14ac:dyDescent="0.2"/>
  <cols>
    <col min="1" max="1" width="2.6640625" style="2" customWidth="1"/>
    <col min="2" max="2" width="14" style="2" bestFit="1" customWidth="1"/>
    <col min="3" max="3" width="18.5" style="2" customWidth="1"/>
    <col min="4" max="4" width="23.6640625" style="2" bestFit="1" customWidth="1"/>
    <col min="5" max="5" width="22.6640625" style="2" bestFit="1" customWidth="1"/>
    <col min="6" max="6" width="23.1640625" style="2" customWidth="1"/>
    <col min="7" max="7" width="16.5" style="2" customWidth="1"/>
    <col min="8" max="16384" width="10.83203125" style="2"/>
  </cols>
  <sheetData>
    <row r="2" spans="2:7" ht="34" customHeight="1" x14ac:dyDescent="0.2">
      <c r="B2" s="27" t="s">
        <v>65</v>
      </c>
      <c r="C2" s="27" t="s">
        <v>72</v>
      </c>
      <c r="D2" s="27" t="s">
        <v>75</v>
      </c>
      <c r="E2" s="27" t="s">
        <v>74</v>
      </c>
      <c r="F2" s="27" t="s">
        <v>71</v>
      </c>
      <c r="G2" s="27" t="s">
        <v>73</v>
      </c>
    </row>
    <row r="3" spans="2:7" x14ac:dyDescent="0.2">
      <c r="B3" s="29" t="s">
        <v>42</v>
      </c>
      <c r="C3" s="29" t="s">
        <v>66</v>
      </c>
      <c r="D3" s="29">
        <v>6.93</v>
      </c>
      <c r="E3" s="29">
        <v>0</v>
      </c>
      <c r="F3" s="3" t="str">
        <f>IFERROR(VLOOKUP(B3,'Employment Type'!$A$2:$B$52,2,FALSE),"")</f>
        <v>Right-to-Work</v>
      </c>
      <c r="G3" s="3">
        <f>IFERROR(VLOOKUP(B3,'Teachers'' Union Strength'!$A$2:$B$52,2,FALSE),"")</f>
        <v>20</v>
      </c>
    </row>
    <row r="4" spans="2:7" x14ac:dyDescent="0.2">
      <c r="B4" s="29" t="s">
        <v>47</v>
      </c>
      <c r="C4" s="29" t="s">
        <v>66</v>
      </c>
      <c r="D4" s="29">
        <v>5.96</v>
      </c>
      <c r="E4" s="29">
        <v>1.1000000000000001</v>
      </c>
      <c r="F4" s="3" t="str">
        <f>IFERROR(VLOOKUP(B4,'Employment Type'!$A$2:$B$52,2,FALSE),"")</f>
        <v>Non-Right-to-Work</v>
      </c>
      <c r="G4" s="3">
        <f>IFERROR(VLOOKUP(B4,'Teachers'' Union Strength'!$A$2:$B$52,2,FALSE),"")</f>
        <v>15</v>
      </c>
    </row>
    <row r="5" spans="2:7" x14ac:dyDescent="0.2">
      <c r="B5" s="29" t="s">
        <v>11</v>
      </c>
      <c r="C5" s="29" t="s">
        <v>67</v>
      </c>
      <c r="D5" s="29">
        <v>6.38</v>
      </c>
      <c r="E5" s="29">
        <v>0.8</v>
      </c>
      <c r="F5" s="3" t="str">
        <f>IFERROR(VLOOKUP(B5,'Employment Type'!$A$2:$B$52,2,FALSE),"")</f>
        <v>Right-to-Work</v>
      </c>
      <c r="G5" s="3">
        <f>IFERROR(VLOOKUP(B5,'Teachers'' Union Strength'!$A$2:$B$52,2,FALSE),"")</f>
        <v>51</v>
      </c>
    </row>
    <row r="6" spans="2:7" x14ac:dyDescent="0.2">
      <c r="B6" s="29" t="s">
        <v>14</v>
      </c>
      <c r="C6" s="29" t="s">
        <v>66</v>
      </c>
      <c r="D6" s="29">
        <v>9.0399999999999991</v>
      </c>
      <c r="E6" s="29">
        <v>0.2</v>
      </c>
      <c r="F6" s="3" t="str">
        <f>IFERROR(VLOOKUP(B6,'Employment Type'!$A$2:$B$52,2,FALSE),"")</f>
        <v>Right-to-Work</v>
      </c>
      <c r="G6" s="3">
        <f>IFERROR(VLOOKUP(B6,'Teachers'' Union Strength'!$A$2:$B$52,2,FALSE),"")</f>
        <v>48</v>
      </c>
    </row>
    <row r="7" spans="2:7" x14ac:dyDescent="0.2">
      <c r="B7" s="29" t="s">
        <v>56</v>
      </c>
      <c r="C7" s="29" t="s">
        <v>67</v>
      </c>
      <c r="D7" s="30">
        <v>14.22</v>
      </c>
      <c r="E7" s="29">
        <v>6.9</v>
      </c>
      <c r="F7" s="3" t="str">
        <f>IFERROR(VLOOKUP(B7,'Employment Type'!$A$2:$B$52,2,FALSE),"")</f>
        <v>Non-Right-to-Work</v>
      </c>
      <c r="G7" s="3">
        <f>IFERROR(VLOOKUP(B7,'Teachers'' Union Strength'!$A$2:$B$52,2,FALSE),"")</f>
        <v>6</v>
      </c>
    </row>
    <row r="8" spans="2:7" x14ac:dyDescent="0.2">
      <c r="B8" s="29" t="s">
        <v>45</v>
      </c>
      <c r="C8" s="29" t="s">
        <v>67</v>
      </c>
      <c r="D8" s="29">
        <v>21.45</v>
      </c>
      <c r="E8" s="31">
        <v>8.1999999999999993</v>
      </c>
      <c r="F8" s="3" t="str">
        <f>IFERROR(VLOOKUP(B8,'Employment Type'!$A$2:$B$52,2,FALSE),"")</f>
        <v>Non-Right-to-Work</v>
      </c>
      <c r="G8" s="3">
        <f>IFERROR(VLOOKUP(B8,'Teachers'' Union Strength'!$A$2:$B$52,2,FALSE),"")</f>
        <v>17</v>
      </c>
    </row>
    <row r="9" spans="2:7" x14ac:dyDescent="0.2">
      <c r="B9" s="29" t="s">
        <v>43</v>
      </c>
      <c r="C9" s="29" t="s">
        <v>67</v>
      </c>
      <c r="D9" s="29">
        <v>11.55</v>
      </c>
      <c r="E9" s="31">
        <v>0.1</v>
      </c>
      <c r="F9" s="3" t="str">
        <f>IFERROR(VLOOKUP(B9,'Employment Type'!$A$2:$B$52,2,FALSE),"")</f>
        <v>Non-Right-to-Work</v>
      </c>
      <c r="G9" s="3">
        <f>IFERROR(VLOOKUP(B9,'Teachers'' Union Strength'!$A$2:$B$52,2,FALSE),"")</f>
        <v>19</v>
      </c>
    </row>
    <row r="10" spans="2:7" x14ac:dyDescent="0.2">
      <c r="B10" s="29" t="s">
        <v>29</v>
      </c>
      <c r="C10" s="29" t="s">
        <v>67</v>
      </c>
      <c r="D10" s="29">
        <v>7.58</v>
      </c>
      <c r="E10" s="31">
        <v>2.1</v>
      </c>
      <c r="F10" s="3" t="s">
        <v>62</v>
      </c>
      <c r="G10" s="3">
        <f>IFERROR(VLOOKUP(B10,'Teachers'' Union Strength'!$A$2:$B$52,2,FALSE),"")</f>
        <v>33</v>
      </c>
    </row>
    <row r="11" spans="2:7" x14ac:dyDescent="0.2">
      <c r="B11" s="29" t="s">
        <v>12</v>
      </c>
      <c r="C11" s="29" t="s">
        <v>66</v>
      </c>
      <c r="D11" s="29">
        <v>4.6500000000000004</v>
      </c>
      <c r="E11" s="29">
        <v>1.1399999999999999</v>
      </c>
      <c r="F11" s="3" t="str">
        <f>IFERROR(VLOOKUP(B11,'Employment Type'!$A$2:$B$52,2,FALSE),"")</f>
        <v>Right-to-Work</v>
      </c>
      <c r="G11" s="3">
        <f>IFERROR(VLOOKUP(B11,'Teachers'' Union Strength'!$A$2:$B$52,2,FALSE),"")</f>
        <v>50</v>
      </c>
    </row>
    <row r="12" spans="2:7" x14ac:dyDescent="0.2">
      <c r="B12" s="29" t="s">
        <v>17</v>
      </c>
      <c r="C12" s="29" t="s">
        <v>66</v>
      </c>
      <c r="D12" s="29">
        <v>9.68</v>
      </c>
      <c r="E12" s="29">
        <v>2.2999999999999998</v>
      </c>
      <c r="F12" s="3" t="str">
        <f>IFERROR(VLOOKUP(B12,'Employment Type'!$A$2:$B$52,2,FALSE),"")</f>
        <v>Right-to-Work</v>
      </c>
      <c r="G12" s="3">
        <f>IFERROR(VLOOKUP(B12,'Teachers'' Union Strength'!$A$2:$B$52,2,FALSE),"")</f>
        <v>45</v>
      </c>
    </row>
    <row r="13" spans="2:7" x14ac:dyDescent="0.2">
      <c r="B13" s="29" t="s">
        <v>61</v>
      </c>
      <c r="C13" s="29" t="s">
        <v>67</v>
      </c>
      <c r="D13" s="29">
        <v>17.649999999999999</v>
      </c>
      <c r="E13" s="29">
        <v>3.7</v>
      </c>
      <c r="F13" s="3" t="str">
        <f>IFERROR(VLOOKUP(B13,'Employment Type'!$A$2:$B$52,2,FALSE),"")</f>
        <v>Non-Right-to-Work</v>
      </c>
      <c r="G13" s="3">
        <f>IFERROR(VLOOKUP(B13,'Teachers'' Union Strength'!$A$2:$B$52,2,FALSE),"")</f>
        <v>1</v>
      </c>
    </row>
    <row r="14" spans="2:7" x14ac:dyDescent="0.2">
      <c r="B14" s="29" t="s">
        <v>26</v>
      </c>
      <c r="C14" s="29" t="s">
        <v>66</v>
      </c>
      <c r="D14" s="29">
        <v>13.16</v>
      </c>
      <c r="E14" s="29">
        <v>2.8</v>
      </c>
      <c r="F14" s="3" t="str">
        <f>IFERROR(VLOOKUP(B14,'Employment Type'!$A$2:$B$52,2,FALSE),"")</f>
        <v>Right-to-Work</v>
      </c>
      <c r="G14" s="3">
        <f>IFERROR(VLOOKUP(B14,'Teachers'' Union Strength'!$A$2:$B$52,2,FALSE),"")</f>
        <v>36</v>
      </c>
    </row>
    <row r="15" spans="2:7" x14ac:dyDescent="0.2">
      <c r="B15" s="29" t="s">
        <v>54</v>
      </c>
      <c r="C15" s="29" t="s">
        <v>67</v>
      </c>
      <c r="D15" s="29">
        <v>22.66</v>
      </c>
      <c r="E15" s="29">
        <v>5.8</v>
      </c>
      <c r="F15" s="3" t="str">
        <f>IFERROR(VLOOKUP(B15,'Employment Type'!$A$2:$B$52,2,FALSE),"")</f>
        <v>Non-Right-to-Work</v>
      </c>
      <c r="G15" s="3">
        <f>IFERROR(VLOOKUP(B15,'Teachers'' Union Strength'!$A$2:$B$52,2,FALSE),"")</f>
        <v>8</v>
      </c>
    </row>
    <row r="16" spans="2:7" x14ac:dyDescent="0.2">
      <c r="B16" s="29" t="s">
        <v>31</v>
      </c>
      <c r="C16" s="29" t="s">
        <v>67</v>
      </c>
      <c r="D16" s="29">
        <v>18.8</v>
      </c>
      <c r="E16" s="29">
        <v>4.8</v>
      </c>
      <c r="F16" s="3" t="str">
        <f>IFERROR(VLOOKUP(B16,'Employment Type'!$A$2:$B$52,2,FALSE),"")</f>
        <v>Right-to-Work</v>
      </c>
      <c r="G16" s="3">
        <f>IFERROR(VLOOKUP(B16,'Teachers'' Union Strength'!$A$2:$B$52,2,FALSE),"")</f>
        <v>31</v>
      </c>
    </row>
    <row r="17" spans="2:7" x14ac:dyDescent="0.2">
      <c r="B17" s="29" t="s">
        <v>35</v>
      </c>
      <c r="C17" s="29" t="s">
        <v>67</v>
      </c>
      <c r="D17" s="29">
        <v>5.64</v>
      </c>
      <c r="E17" s="29">
        <v>0.2</v>
      </c>
      <c r="F17" s="3" t="str">
        <f>IFERROR(VLOOKUP(B17,'Employment Type'!$A$2:$B$52,2,FALSE),"")</f>
        <v>Right-to-Work</v>
      </c>
      <c r="G17" s="3">
        <f>IFERROR(VLOOKUP(B17,'Teachers'' Union Strength'!$A$2:$B$52,2,FALSE),"")</f>
        <v>27</v>
      </c>
    </row>
    <row r="18" spans="2:7" x14ac:dyDescent="0.2">
      <c r="B18" s="29" t="s">
        <v>30</v>
      </c>
      <c r="C18" s="29" t="s">
        <v>67</v>
      </c>
      <c r="D18" s="29">
        <v>7.59</v>
      </c>
      <c r="E18" s="29">
        <v>1.3</v>
      </c>
      <c r="F18" s="3" t="str">
        <f>IFERROR(VLOOKUP(B18,'Employment Type'!$A$2:$B$52,2,FALSE),"")</f>
        <v>Right-to-Work</v>
      </c>
      <c r="G18" s="3">
        <f>IFERROR(VLOOKUP(B18,'Teachers'' Union Strength'!$A$2:$B$52,2,FALSE),"")</f>
        <v>32</v>
      </c>
    </row>
    <row r="19" spans="2:7" x14ac:dyDescent="0.2">
      <c r="B19" s="29" t="s">
        <v>34</v>
      </c>
      <c r="C19" s="29" t="s">
        <v>67</v>
      </c>
      <c r="D19" s="29">
        <v>17.059999999999999</v>
      </c>
      <c r="E19" s="29">
        <v>9.8000000000000007</v>
      </c>
      <c r="F19" s="3" t="str">
        <f>IFERROR(VLOOKUP(B19,'Employment Type'!$A$2:$B$52,2,FALSE),"")</f>
        <v>Right-to-Work</v>
      </c>
      <c r="G19" s="3">
        <f>IFERROR(VLOOKUP(B19,'Teachers'' Union Strength'!$A$2:$B$52,2,FALSE),"")</f>
        <v>28</v>
      </c>
    </row>
    <row r="20" spans="2:7" x14ac:dyDescent="0.2">
      <c r="B20" s="29" t="s">
        <v>20</v>
      </c>
      <c r="C20" s="29" t="s">
        <v>66</v>
      </c>
      <c r="D20" s="29">
        <v>12.81</v>
      </c>
      <c r="E20" s="29">
        <v>-2.1</v>
      </c>
      <c r="F20" s="3" t="str">
        <f>IFERROR(VLOOKUP(B20,'Employment Type'!$A$2:$B$52,2,FALSE),"")</f>
        <v>Right-to-Work</v>
      </c>
      <c r="G20" s="3">
        <f>IFERROR(VLOOKUP(B20,'Teachers'' Union Strength'!$A$2:$B$52,2,FALSE),"")</f>
        <v>42</v>
      </c>
    </row>
    <row r="21" spans="2:7" x14ac:dyDescent="0.2">
      <c r="B21" s="29" t="s">
        <v>40</v>
      </c>
      <c r="C21" s="29" t="s">
        <v>67</v>
      </c>
      <c r="D21" s="29">
        <v>8.73</v>
      </c>
      <c r="E21" s="29">
        <v>1.1000000000000001</v>
      </c>
      <c r="F21" s="3" t="str">
        <f>IFERROR(VLOOKUP(B21,'Employment Type'!$A$2:$B$52,2,FALSE),"")</f>
        <v>Non-Right-to-Work</v>
      </c>
      <c r="G21" s="3">
        <f>IFERROR(VLOOKUP(B21,'Teachers'' Union Strength'!$A$2:$B$52,2,FALSE),"")</f>
        <v>22</v>
      </c>
    </row>
    <row r="22" spans="2:7" x14ac:dyDescent="0.2">
      <c r="B22" s="29" t="s">
        <v>39</v>
      </c>
      <c r="C22" s="29" t="s">
        <v>67</v>
      </c>
      <c r="D22" s="29">
        <v>9.6300000000000008</v>
      </c>
      <c r="E22" s="29">
        <v>-2.5499999999999998</v>
      </c>
      <c r="F22" s="3" t="str">
        <f>IFERROR(VLOOKUP(B22,'Employment Type'!$A$2:$B$52,2,FALSE),"")</f>
        <v>Non-Right-to-Work</v>
      </c>
      <c r="G22" s="3">
        <f>IFERROR(VLOOKUP(B22,'Teachers'' Union Strength'!$A$2:$B$52,2,FALSE),"")</f>
        <v>23</v>
      </c>
    </row>
    <row r="23" spans="2:7" x14ac:dyDescent="0.2">
      <c r="B23" s="29" t="s">
        <v>41</v>
      </c>
      <c r="C23" s="29" t="s">
        <v>67</v>
      </c>
      <c r="D23" s="30">
        <v>13.43</v>
      </c>
      <c r="E23" s="29">
        <v>4.93</v>
      </c>
      <c r="F23" s="3" t="str">
        <f>IFERROR(VLOOKUP(B23,'Employment Type'!$A$2:$B$52,2,FALSE),"")</f>
        <v>Non-Right-to-Work</v>
      </c>
      <c r="G23" s="3">
        <f>IFERROR(VLOOKUP(B23,'Teachers'' Union Strength'!$A$2:$B$52,2,FALSE),"")</f>
        <v>21</v>
      </c>
    </row>
    <row r="24" spans="2:7" x14ac:dyDescent="0.2">
      <c r="B24" s="29" t="s">
        <v>46</v>
      </c>
      <c r="C24" s="29" t="s">
        <v>67</v>
      </c>
      <c r="D24" s="29">
        <v>15.96</v>
      </c>
      <c r="E24" s="29">
        <v>5</v>
      </c>
      <c r="F24" s="3" t="str">
        <f>IFERROR(VLOOKUP(B24,'Employment Type'!$A$2:$B$52,2,FALSE),"")</f>
        <v>Non-Right-to-Work</v>
      </c>
      <c r="G24" s="3">
        <f>IFERROR(VLOOKUP(B24,'Teachers'' Union Strength'!$A$2:$B$52,2,FALSE),"")</f>
        <v>16</v>
      </c>
    </row>
    <row r="25" spans="2:7" x14ac:dyDescent="0.2">
      <c r="B25" s="29" t="s">
        <v>48</v>
      </c>
      <c r="C25" s="29" t="s">
        <v>67</v>
      </c>
      <c r="D25" s="29">
        <v>4.9400000000000004</v>
      </c>
      <c r="E25" s="29">
        <v>0.2</v>
      </c>
      <c r="F25" s="3" t="str">
        <f>IFERROR(VLOOKUP(B25,'Employment Type'!$A$2:$B$52,2,FALSE),"")</f>
        <v>Non-Right-to-Work</v>
      </c>
      <c r="G25" s="3">
        <f>IFERROR(VLOOKUP(B25,'Teachers'' Union Strength'!$A$2:$B$52,2,FALSE),"")</f>
        <v>14</v>
      </c>
    </row>
    <row r="26" spans="2:7" x14ac:dyDescent="0.2">
      <c r="B26" s="29" t="s">
        <v>16</v>
      </c>
      <c r="C26" s="29" t="s">
        <v>66</v>
      </c>
      <c r="D26" s="29">
        <v>10.34</v>
      </c>
      <c r="E26" s="29">
        <v>0.76</v>
      </c>
      <c r="F26" s="3" t="str">
        <f>IFERROR(VLOOKUP(B26,'Employment Type'!$A$2:$B$52,2,FALSE),"")</f>
        <v>Right-to-Work</v>
      </c>
      <c r="G26" s="3">
        <f>IFERROR(VLOOKUP(B26,'Teachers'' Union Strength'!$A$2:$B$52,2,FALSE),"")</f>
        <v>46</v>
      </c>
    </row>
    <row r="27" spans="2:7" x14ac:dyDescent="0.2">
      <c r="B27" s="29" t="s">
        <v>24</v>
      </c>
      <c r="C27" s="29" t="s">
        <v>66</v>
      </c>
      <c r="D27" s="29">
        <v>9.57</v>
      </c>
      <c r="E27" s="29">
        <v>-0.48</v>
      </c>
      <c r="F27" s="3" t="str">
        <f>IFERROR(VLOOKUP(B27,'Employment Type'!$A$2:$B$52,2,FALSE),"")</f>
        <v>Non-Right-to-Work</v>
      </c>
      <c r="G27" s="3">
        <f>IFERROR(VLOOKUP(B27,'Teachers'' Union Strength'!$A$2:$B$52,2,FALSE),"")</f>
        <v>38</v>
      </c>
    </row>
    <row r="28" spans="2:7" x14ac:dyDescent="0.2">
      <c r="B28" s="29" t="s">
        <v>59</v>
      </c>
      <c r="C28" s="29" t="s">
        <v>66</v>
      </c>
      <c r="D28" s="29">
        <v>7.82</v>
      </c>
      <c r="E28" s="29">
        <v>-0.4</v>
      </c>
      <c r="F28" s="3" t="str">
        <f>IFERROR(VLOOKUP(B28,'Employment Type'!$A$2:$B$52,2,FALSE),"")</f>
        <v>Non-Right-to-Work</v>
      </c>
      <c r="G28" s="3">
        <f>IFERROR(VLOOKUP(B28,'Teachers'' Union Strength'!$A$2:$B$52,2,FALSE),"")</f>
        <v>3</v>
      </c>
    </row>
    <row r="29" spans="2:7" x14ac:dyDescent="0.2">
      <c r="B29" s="29" t="s">
        <v>36</v>
      </c>
      <c r="C29" s="29" t="s">
        <v>66</v>
      </c>
      <c r="D29" s="29">
        <v>5.4</v>
      </c>
      <c r="E29" s="29">
        <v>0.1</v>
      </c>
      <c r="F29" s="3" t="str">
        <f>IFERROR(VLOOKUP(B29,'Employment Type'!$A$2:$B$52,2,FALSE),"")</f>
        <v>Right-to-Work</v>
      </c>
      <c r="G29" s="3">
        <f>IFERROR(VLOOKUP(B29,'Teachers'' Union Strength'!$A$2:$B$52,2,FALSE),"")</f>
        <v>26</v>
      </c>
    </row>
    <row r="30" spans="2:7" x14ac:dyDescent="0.2">
      <c r="B30" s="29" t="s">
        <v>37</v>
      </c>
      <c r="C30" s="29" t="s">
        <v>66</v>
      </c>
      <c r="D30" s="29">
        <v>8.1999999999999993</v>
      </c>
      <c r="E30" s="29">
        <v>-7.2</v>
      </c>
      <c r="F30" s="3" t="str">
        <f>IFERROR(VLOOKUP(B30,'Employment Type'!$A$2:$B$52,2,FALSE),"")</f>
        <v>Right-to-Work</v>
      </c>
      <c r="G30" s="3">
        <f>IFERROR(VLOOKUP(B30,'Teachers'' Union Strength'!$A$2:$B$52,2,FALSE),"")</f>
        <v>25</v>
      </c>
    </row>
    <row r="31" spans="2:7" x14ac:dyDescent="0.2">
      <c r="B31" s="29" t="s">
        <v>32</v>
      </c>
      <c r="C31" s="29" t="s">
        <v>66</v>
      </c>
      <c r="D31" s="29">
        <v>6.91</v>
      </c>
      <c r="E31" s="29">
        <v>1.9</v>
      </c>
      <c r="F31" s="3" t="str">
        <f>IFERROR(VLOOKUP(B31,'Employment Type'!$A$2:$B$52,2,FALSE),"")</f>
        <v>Non-Right-to-Work</v>
      </c>
      <c r="G31" s="3">
        <f>IFERROR(VLOOKUP(B31,'Teachers'' Union Strength'!$A$2:$B$52,2,FALSE),"")</f>
        <v>30</v>
      </c>
    </row>
    <row r="32" spans="2:7" ht="16" customHeight="1" x14ac:dyDescent="0.2">
      <c r="B32" s="29" t="s">
        <v>55</v>
      </c>
      <c r="C32" s="29" t="s">
        <v>67</v>
      </c>
      <c r="D32" s="29">
        <v>14.19</v>
      </c>
      <c r="E32" s="29">
        <v>11.65</v>
      </c>
      <c r="F32" s="3" t="str">
        <f>IFERROR(VLOOKUP(B32,'Employment Type'!$A$2:$B$52,2,FALSE),"")</f>
        <v>Non-Right-to-Work</v>
      </c>
      <c r="G32" s="3">
        <f>IFERROR(VLOOKUP(B32,'Teachers'' Union Strength'!$A$2:$B$52,2,FALSE),"")</f>
        <v>7</v>
      </c>
    </row>
    <row r="33" spans="2:7" ht="16" customHeight="1" x14ac:dyDescent="0.2">
      <c r="B33" s="29" t="s">
        <v>25</v>
      </c>
      <c r="C33" s="29" t="s">
        <v>67</v>
      </c>
      <c r="D33" s="29">
        <v>7.72</v>
      </c>
      <c r="E33" s="29">
        <v>0.7</v>
      </c>
      <c r="F33" s="3" t="str">
        <f>IFERROR(VLOOKUP(B33,'Employment Type'!$A$2:$B$52,2,FALSE),"")</f>
        <v>Non-Right-to-Work</v>
      </c>
      <c r="G33" s="3">
        <f>IFERROR(VLOOKUP(B33,'Teachers'' Union Strength'!$A$2:$B$52,2,FALSE),"")</f>
        <v>37</v>
      </c>
    </row>
    <row r="34" spans="2:7" ht="16" customHeight="1" x14ac:dyDescent="0.2">
      <c r="B34" s="29" t="s">
        <v>53</v>
      </c>
      <c r="C34" s="29" t="s">
        <v>67</v>
      </c>
      <c r="D34" s="29">
        <v>5.01</v>
      </c>
      <c r="E34" s="29">
        <v>-3.85</v>
      </c>
      <c r="F34" s="3" t="str">
        <f>IFERROR(VLOOKUP(B34,'Employment Type'!$A$2:$B$52,2,FALSE),"")</f>
        <v>Non-Right-to-Work</v>
      </c>
      <c r="G34" s="3">
        <f>IFERROR(VLOOKUP(B34,'Teachers'' Union Strength'!$A$2:$B$52,2,FALSE),"")</f>
        <v>9</v>
      </c>
    </row>
    <row r="35" spans="2:7" ht="16" customHeight="1" x14ac:dyDescent="0.2">
      <c r="B35" s="29" t="s">
        <v>22</v>
      </c>
      <c r="C35" s="29" t="s">
        <v>67</v>
      </c>
      <c r="D35" s="29">
        <v>14.22</v>
      </c>
      <c r="E35" s="31">
        <v>5</v>
      </c>
      <c r="F35" s="3" t="str">
        <f>IFERROR(VLOOKUP(B35,'Employment Type'!$A$2:$B$52,2,FALSE),"")</f>
        <v>Right-to-Work</v>
      </c>
      <c r="G35" s="3">
        <f>IFERROR(VLOOKUP(B35,'Teachers'' Union Strength'!$A$2:$B$52,2,FALSE),"")</f>
        <v>40</v>
      </c>
    </row>
    <row r="36" spans="2:7" ht="16" customHeight="1" x14ac:dyDescent="0.2">
      <c r="B36" s="29" t="s">
        <v>38</v>
      </c>
      <c r="C36" s="29" t="s">
        <v>66</v>
      </c>
      <c r="D36" s="29">
        <v>8.41</v>
      </c>
      <c r="E36" s="29">
        <v>-0.24</v>
      </c>
      <c r="F36" s="3" t="str">
        <f>IFERROR(VLOOKUP(B36,'Employment Type'!$A$2:$B$52,2,FALSE),"")</f>
        <v>Right-to-Work</v>
      </c>
      <c r="G36" s="3">
        <f>IFERROR(VLOOKUP(B36,'Teachers'' Union Strength'!$A$2:$B$52,2,FALSE),"")</f>
        <v>24</v>
      </c>
    </row>
    <row r="37" spans="2:7" x14ac:dyDescent="0.2">
      <c r="B37" s="29" t="s">
        <v>19</v>
      </c>
      <c r="C37" s="29" t="s">
        <v>66</v>
      </c>
      <c r="D37" s="29">
        <v>5.74</v>
      </c>
      <c r="E37" s="29">
        <v>0.5</v>
      </c>
      <c r="F37" s="3" t="str">
        <f>IFERROR(VLOOKUP(B37,'Employment Type'!$A$2:$B$52,2,FALSE),"")</f>
        <v>Right-to-Work</v>
      </c>
      <c r="G37" s="3">
        <f>IFERROR(VLOOKUP(B37,'Teachers'' Union Strength'!$A$2:$B$52,2,FALSE),"")</f>
        <v>43</v>
      </c>
    </row>
    <row r="38" spans="2:7" x14ac:dyDescent="0.2">
      <c r="B38" s="29" t="s">
        <v>50</v>
      </c>
      <c r="C38" s="29" t="s">
        <v>66</v>
      </c>
      <c r="D38" s="29">
        <v>7.05</v>
      </c>
      <c r="E38" s="29">
        <v>-0.46</v>
      </c>
      <c r="F38" s="3" t="str">
        <f>IFERROR(VLOOKUP(B38,'Employment Type'!$A$2:$B$52,2,FALSE),"")</f>
        <v>Non-Right-to-Work</v>
      </c>
      <c r="G38" s="3">
        <f>IFERROR(VLOOKUP(B38,'Teachers'' Union Strength'!$A$2:$B$52,2,FALSE),"")</f>
        <v>12</v>
      </c>
    </row>
    <row r="39" spans="2:7" x14ac:dyDescent="0.2">
      <c r="B39" s="29" t="s">
        <v>60</v>
      </c>
      <c r="C39" s="29" t="s">
        <v>67</v>
      </c>
      <c r="D39" s="29">
        <v>13.17</v>
      </c>
      <c r="E39" s="29">
        <v>6.2</v>
      </c>
      <c r="F39" s="3" t="str">
        <f>IFERROR(VLOOKUP(B39,'Employment Type'!$A$2:$B$52,2,FALSE),"")</f>
        <v>Non-Right-to-Work</v>
      </c>
      <c r="G39" s="3">
        <f>IFERROR(VLOOKUP(B39,'Teachers'' Union Strength'!$A$2:$B$52,2,FALSE),"")</f>
        <v>2</v>
      </c>
    </row>
    <row r="40" spans="2:7" x14ac:dyDescent="0.2">
      <c r="B40" s="29" t="s">
        <v>57</v>
      </c>
      <c r="C40" s="29" t="s">
        <v>67</v>
      </c>
      <c r="D40" s="29">
        <v>12.67</v>
      </c>
      <c r="E40" s="29">
        <v>0.31</v>
      </c>
      <c r="F40" s="3" t="str">
        <f>IFERROR(VLOOKUP(B40,'Employment Type'!$A$2:$B$52,2,FALSE),"")</f>
        <v>Non-Right-to-Work</v>
      </c>
      <c r="G40" s="3">
        <f>IFERROR(VLOOKUP(B40,'Teachers'' Union Strength'!$A$2:$B$52,2,FALSE),"")</f>
        <v>5</v>
      </c>
    </row>
    <row r="41" spans="2:7" x14ac:dyDescent="0.2">
      <c r="B41" s="29" t="s">
        <v>28</v>
      </c>
      <c r="C41" s="29" t="s">
        <v>66</v>
      </c>
      <c r="D41" s="29">
        <v>4.8600000000000003</v>
      </c>
      <c r="E41" s="29">
        <v>-0.3</v>
      </c>
      <c r="F41" s="3" t="str">
        <f>IFERROR(VLOOKUP(B41,'Employment Type'!$A$2:$B$52,2,FALSE),"")</f>
        <v>Right-to-Work</v>
      </c>
      <c r="G41" s="3">
        <f>IFERROR(VLOOKUP(B41,'Teachers'' Union Strength'!$A$2:$B$52,2,FALSE),"")</f>
        <v>34</v>
      </c>
    </row>
    <row r="42" spans="2:7" x14ac:dyDescent="0.2">
      <c r="B42" s="29" t="s">
        <v>21</v>
      </c>
      <c r="C42" s="29" t="s">
        <v>66</v>
      </c>
      <c r="D42" s="29">
        <v>4.8899999999999997</v>
      </c>
      <c r="E42" s="29">
        <v>-0.5</v>
      </c>
      <c r="F42" s="3" t="str">
        <f>IFERROR(VLOOKUP(B42,'Employment Type'!$A$2:$B$52,2,FALSE),"")</f>
        <v>Right-to-Work</v>
      </c>
      <c r="G42" s="3">
        <f>IFERROR(VLOOKUP(B42,'Teachers'' Union Strength'!$A$2:$B$52,2,FALSE),"")</f>
        <v>41</v>
      </c>
    </row>
    <row r="43" spans="2:7" x14ac:dyDescent="0.2">
      <c r="B43" s="29" t="s">
        <v>18</v>
      </c>
      <c r="C43" s="29" t="s">
        <v>66</v>
      </c>
      <c r="D43" s="29">
        <v>4.33</v>
      </c>
      <c r="E43" s="29">
        <v>0.4</v>
      </c>
      <c r="F43" s="3" t="str">
        <f>IFERROR(VLOOKUP(B43,'Employment Type'!$A$2:$B$52,2,FALSE),"")</f>
        <v>Right-to-Work</v>
      </c>
      <c r="G43" s="3">
        <f>IFERROR(VLOOKUP(B43,'Teachers'' Union Strength'!$A$2:$B$52,2,FALSE),"")</f>
        <v>44</v>
      </c>
    </row>
    <row r="44" spans="2:7" x14ac:dyDescent="0.2">
      <c r="B44" s="29" t="s">
        <v>23</v>
      </c>
      <c r="C44" s="29" t="s">
        <v>66</v>
      </c>
      <c r="D44" s="29">
        <v>18.54</v>
      </c>
      <c r="E44" s="29">
        <v>-1.59</v>
      </c>
      <c r="F44" s="3" t="str">
        <f>IFERROR(VLOOKUP(B44,'Employment Type'!$A$2:$B$52,2,FALSE),"")</f>
        <v>Right-to-Work</v>
      </c>
      <c r="G44" s="3">
        <f>IFERROR(VLOOKUP(B44,'Teachers'' Union Strength'!$A$2:$B$52,2,FALSE),"")</f>
        <v>39</v>
      </c>
    </row>
    <row r="45" spans="2:7" x14ac:dyDescent="0.2">
      <c r="B45" s="29" t="s">
        <v>51</v>
      </c>
      <c r="C45" s="29" t="s">
        <v>66</v>
      </c>
      <c r="D45" s="29">
        <v>19.489999999999998</v>
      </c>
      <c r="E45" s="29">
        <v>12.9</v>
      </c>
      <c r="F45" s="3" t="str">
        <f>IFERROR(VLOOKUP(B45,'Employment Type'!$A$2:$B$52,2,FALSE),"")</f>
        <v>Non-Right-to-Work</v>
      </c>
      <c r="G45" s="3">
        <f>IFERROR(VLOOKUP(B45,'Teachers'' Union Strength'!$A$2:$B$52,2,FALSE),"")</f>
        <v>11</v>
      </c>
    </row>
    <row r="46" spans="2:7" x14ac:dyDescent="0.2">
      <c r="B46" s="29" t="s">
        <v>15</v>
      </c>
      <c r="C46" s="29" t="s">
        <v>66</v>
      </c>
      <c r="D46" s="29">
        <v>9.89</v>
      </c>
      <c r="E46" s="29">
        <v>2.2000000000000002</v>
      </c>
      <c r="F46" s="3" t="str">
        <f>IFERROR(VLOOKUP(B46,'Employment Type'!$A$2:$B$52,2,FALSE),"")</f>
        <v>Right-to-Work</v>
      </c>
      <c r="G46" s="3">
        <f>IFERROR(VLOOKUP(B46,'Teachers'' Union Strength'!$A$2:$B$52,2,FALSE),"")</f>
        <v>47</v>
      </c>
    </row>
    <row r="47" spans="2:7" x14ac:dyDescent="0.2">
      <c r="B47" s="29" t="s">
        <v>52</v>
      </c>
      <c r="C47" s="29" t="s">
        <v>67</v>
      </c>
      <c r="D47" s="29">
        <v>4.13</v>
      </c>
      <c r="E47" s="29">
        <v>1.05</v>
      </c>
      <c r="F47" s="3" t="str">
        <f>IFERROR(VLOOKUP(B47,'Employment Type'!$A$2:$B$52,2,FALSE),"")</f>
        <v>Non-Right-to-Work</v>
      </c>
      <c r="G47" s="3">
        <f>IFERROR(VLOOKUP(B47,'Teachers'' Union Strength'!$A$2:$B$52,2,FALSE),"")</f>
        <v>10</v>
      </c>
    </row>
    <row r="48" spans="2:7" x14ac:dyDescent="0.2">
      <c r="B48" s="29" t="s">
        <v>49</v>
      </c>
      <c r="C48" s="29" t="s">
        <v>66</v>
      </c>
      <c r="D48" s="29">
        <v>15.57</v>
      </c>
      <c r="E48" s="29">
        <v>-0.2</v>
      </c>
      <c r="F48" s="3" t="str">
        <f>IFERROR(VLOOKUP(B48,'Employment Type'!$A$2:$B$52,2,FALSE),"")</f>
        <v>Right-to-Work</v>
      </c>
      <c r="G48" s="3">
        <f>IFERROR(VLOOKUP(B48,'Teachers'' Union Strength'!$A$2:$B$52,2,FALSE),"")</f>
        <v>13</v>
      </c>
    </row>
    <row r="49" spans="2:7" x14ac:dyDescent="0.2">
      <c r="B49" s="29" t="s">
        <v>44</v>
      </c>
      <c r="C49" s="29" t="s">
        <v>67</v>
      </c>
      <c r="D49" s="29">
        <v>3.28</v>
      </c>
      <c r="E49" s="29">
        <v>-0.1</v>
      </c>
      <c r="F49" s="3" t="str">
        <f>IFERROR(VLOOKUP(B49,'Employment Type'!$A$2:$B$52,2,FALSE),"")</f>
        <v>Right-to-Work</v>
      </c>
      <c r="G49" s="3">
        <f>IFERROR(VLOOKUP(B49,'Teachers'' Union Strength'!$A$2:$B$52,2,FALSE),"")</f>
        <v>18</v>
      </c>
    </row>
    <row r="50" spans="2:7" x14ac:dyDescent="0.2">
      <c r="B50" s="29" t="s">
        <v>33</v>
      </c>
      <c r="C50" s="29" t="s">
        <v>66</v>
      </c>
      <c r="D50" s="29">
        <v>9.35</v>
      </c>
      <c r="E50" s="29">
        <v>0.6</v>
      </c>
      <c r="F50" s="3" t="str">
        <f>IFERROR(VLOOKUP(B50,'Employment Type'!$A$2:$B$52,2,FALSE),"")</f>
        <v>Right-to-Work</v>
      </c>
      <c r="G50" s="3">
        <f>IFERROR(VLOOKUP(B50,'Teachers'' Union Strength'!$A$2:$B$52,2,FALSE),"")</f>
        <v>29</v>
      </c>
    </row>
    <row r="52" spans="2:7" ht="52" customHeight="1" x14ac:dyDescent="0.2">
      <c r="C52" s="28" t="s">
        <v>72</v>
      </c>
      <c r="D52" s="27" t="s">
        <v>70</v>
      </c>
      <c r="E52" s="27" t="s">
        <v>69</v>
      </c>
    </row>
    <row r="53" spans="2:7" x14ac:dyDescent="0.2">
      <c r="C53" s="26" t="s">
        <v>67</v>
      </c>
      <c r="D53" s="25">
        <f>AVERAGEIF($C$3:$C$50,$C53,$D$3:$D$50)</f>
        <v>11.569166666666666</v>
      </c>
      <c r="E53" s="25">
        <f>AVERAGEIF($C$3:$C$50,$C53,$E$3:$E$50)</f>
        <v>3.0558333333333345</v>
      </c>
    </row>
    <row r="54" spans="2:7" x14ac:dyDescent="0.2">
      <c r="C54" s="26" t="s">
        <v>66</v>
      </c>
      <c r="D54" s="25">
        <f>AVERAGEIF($C$3:$C$50,$C54,$D$3:$D$50)</f>
        <v>9.1079166666666662</v>
      </c>
      <c r="E54" s="25">
        <f>AVERAGEIF($C$3:$C$50,$C54,$E$3:$E$50)</f>
        <v>0.55958333333333321</v>
      </c>
    </row>
    <row r="56" spans="2:7" ht="52" customHeight="1" x14ac:dyDescent="0.2">
      <c r="C56" s="27" t="s">
        <v>71</v>
      </c>
      <c r="D56" s="27" t="s">
        <v>70</v>
      </c>
      <c r="E56" s="27" t="s">
        <v>69</v>
      </c>
    </row>
    <row r="57" spans="2:7" x14ac:dyDescent="0.2">
      <c r="C57" s="26" t="s">
        <v>62</v>
      </c>
      <c r="D57" s="25">
        <f>AVERAGEIF($F$3:$F$50,C57,$D$3:$D$50)</f>
        <v>11.369130434782607</v>
      </c>
      <c r="E57" s="25">
        <f>AVERAGEIF($F$3:$F$50,C57,$E$3:$E$50)</f>
        <v>2.8739130434782614</v>
      </c>
    </row>
    <row r="58" spans="2:7" x14ac:dyDescent="0.2">
      <c r="C58" s="26" t="s">
        <v>63</v>
      </c>
      <c r="D58" s="25">
        <f>AVERAGEIF($F$3:$F$50,C58,$D$3:$D$50)</f>
        <v>9.3903999999999996</v>
      </c>
      <c r="E58" s="25">
        <f>AVERAGEIF($F$3:$F$50,C58,$E$3:$E$50)</f>
        <v>0.82680000000000009</v>
      </c>
    </row>
    <row r="60" spans="2:7" x14ac:dyDescent="0.2">
      <c r="C60" s="58" t="s">
        <v>68</v>
      </c>
      <c r="D60" s="58"/>
    </row>
    <row r="61" spans="2:7" x14ac:dyDescent="0.2">
      <c r="C61" s="3" t="s">
        <v>67</v>
      </c>
      <c r="D61" s="3">
        <f>COUNTIF($C$3:$C$50,$C53)</f>
        <v>24</v>
      </c>
    </row>
    <row r="62" spans="2:7" x14ac:dyDescent="0.2">
      <c r="C62" s="3" t="s">
        <v>66</v>
      </c>
      <c r="D62" s="3">
        <f>COUNTIF($C$3:$C$50,$C54)</f>
        <v>24</v>
      </c>
    </row>
    <row r="65" spans="12:12" x14ac:dyDescent="0.2">
      <c r="L65" s="14"/>
    </row>
  </sheetData>
  <mergeCells count="1">
    <mergeCell ref="C60:D60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E6EF-4D1E-C641-BC52-39AC4FBC2B97}">
  <sheetPr>
    <tabColor rgb="FFFFFF00"/>
  </sheetPr>
  <dimension ref="A1:J52"/>
  <sheetViews>
    <sheetView workbookViewId="0">
      <selection activeCell="D10" sqref="D10"/>
    </sheetView>
  </sheetViews>
  <sheetFormatPr baseColWidth="10" defaultRowHeight="16" x14ac:dyDescent="0.2"/>
  <cols>
    <col min="1" max="1" width="17.5" bestFit="1" customWidth="1"/>
  </cols>
  <sheetData>
    <row r="1" spans="1:10" x14ac:dyDescent="0.2">
      <c r="A1" t="s">
        <v>65</v>
      </c>
      <c r="B1" t="s">
        <v>81</v>
      </c>
    </row>
    <row r="2" spans="1:10" x14ac:dyDescent="0.2">
      <c r="A2" t="s">
        <v>61</v>
      </c>
      <c r="B2">
        <v>1</v>
      </c>
      <c r="C2" s="23"/>
      <c r="D2" s="57" t="s">
        <v>80</v>
      </c>
      <c r="E2" s="23"/>
      <c r="F2" s="23"/>
      <c r="G2" s="23"/>
      <c r="H2" s="23"/>
      <c r="I2" s="23"/>
      <c r="J2" s="23"/>
    </row>
    <row r="3" spans="1:10" x14ac:dyDescent="0.2">
      <c r="A3" t="s">
        <v>60</v>
      </c>
      <c r="B3">
        <v>2</v>
      </c>
      <c r="C3" s="22"/>
      <c r="D3" s="21"/>
      <c r="E3" s="22"/>
      <c r="F3" s="21"/>
      <c r="G3" s="22"/>
      <c r="H3" s="21"/>
      <c r="I3" s="22"/>
      <c r="J3" s="21"/>
    </row>
    <row r="4" spans="1:10" x14ac:dyDescent="0.2">
      <c r="A4" t="s">
        <v>59</v>
      </c>
      <c r="B4">
        <v>3</v>
      </c>
      <c r="C4" s="22"/>
      <c r="D4" s="21"/>
      <c r="E4" s="22"/>
      <c r="F4" s="21"/>
      <c r="G4" s="22"/>
      <c r="H4" s="21"/>
      <c r="I4" s="22"/>
      <c r="J4" s="21"/>
    </row>
    <row r="5" spans="1:10" x14ac:dyDescent="0.2">
      <c r="A5" t="s">
        <v>58</v>
      </c>
      <c r="B5">
        <v>4</v>
      </c>
      <c r="C5" s="22"/>
      <c r="D5" s="21"/>
      <c r="E5" s="22"/>
      <c r="F5" s="21"/>
      <c r="G5" s="22"/>
      <c r="H5" s="21"/>
      <c r="I5" s="22"/>
      <c r="J5" s="21"/>
    </row>
    <row r="6" spans="1:10" x14ac:dyDescent="0.2">
      <c r="A6" t="s">
        <v>57</v>
      </c>
      <c r="B6">
        <v>5</v>
      </c>
      <c r="C6" s="22"/>
      <c r="D6" s="21"/>
      <c r="E6" s="22"/>
      <c r="F6" s="21"/>
      <c r="G6" s="22"/>
      <c r="H6" s="21"/>
      <c r="I6" s="22"/>
      <c r="J6" s="21"/>
    </row>
    <row r="7" spans="1:10" x14ac:dyDescent="0.2">
      <c r="A7" t="s">
        <v>56</v>
      </c>
      <c r="B7">
        <v>6</v>
      </c>
      <c r="C7" s="22"/>
      <c r="D7" s="21"/>
      <c r="E7" s="22"/>
      <c r="F7" s="21"/>
      <c r="G7" s="22"/>
      <c r="H7" s="21"/>
      <c r="I7" s="22"/>
      <c r="J7" s="21"/>
    </row>
    <row r="8" spans="1:10" x14ac:dyDescent="0.2">
      <c r="A8" t="s">
        <v>55</v>
      </c>
      <c r="B8">
        <v>7</v>
      </c>
      <c r="C8" s="22"/>
      <c r="E8" s="22"/>
      <c r="F8" s="21"/>
      <c r="G8" s="22"/>
      <c r="H8" s="21"/>
      <c r="I8" s="22"/>
      <c r="J8" s="21"/>
    </row>
    <row r="9" spans="1:10" x14ac:dyDescent="0.2">
      <c r="A9" t="s">
        <v>54</v>
      </c>
      <c r="B9">
        <v>8</v>
      </c>
      <c r="C9" s="22"/>
      <c r="D9" s="21"/>
      <c r="E9" s="22"/>
      <c r="F9" s="21"/>
      <c r="G9" s="22"/>
      <c r="H9" s="21"/>
      <c r="I9" s="22"/>
      <c r="J9" s="21"/>
    </row>
    <row r="10" spans="1:10" x14ac:dyDescent="0.2">
      <c r="A10" t="s">
        <v>53</v>
      </c>
      <c r="B10">
        <v>9</v>
      </c>
      <c r="C10" s="22"/>
      <c r="D10" s="21"/>
      <c r="E10" s="22"/>
      <c r="F10" s="21"/>
      <c r="G10" s="22"/>
      <c r="H10" s="21"/>
      <c r="I10" s="22"/>
      <c r="J10" s="21"/>
    </row>
    <row r="11" spans="1:10" x14ac:dyDescent="0.2">
      <c r="A11" t="s">
        <v>52</v>
      </c>
      <c r="B11">
        <v>10</v>
      </c>
      <c r="C11" s="22"/>
      <c r="D11" s="21"/>
      <c r="E11" s="22"/>
      <c r="F11" s="21"/>
      <c r="G11" s="22"/>
      <c r="H11" s="21"/>
      <c r="I11" s="22"/>
      <c r="J11" s="21"/>
    </row>
    <row r="12" spans="1:10" x14ac:dyDescent="0.2">
      <c r="A12" t="s">
        <v>51</v>
      </c>
      <c r="B12">
        <v>11</v>
      </c>
      <c r="C12" s="22"/>
      <c r="D12" s="21"/>
      <c r="E12" s="22"/>
      <c r="F12" s="21"/>
      <c r="G12" s="22"/>
      <c r="H12" s="21"/>
      <c r="I12" s="22"/>
      <c r="J12" s="21"/>
    </row>
    <row r="13" spans="1:10" x14ac:dyDescent="0.2">
      <c r="A13" t="s">
        <v>50</v>
      </c>
      <c r="B13">
        <v>12</v>
      </c>
      <c r="C13" s="21"/>
      <c r="D13" s="21"/>
      <c r="F13" s="21"/>
      <c r="G13" s="21"/>
      <c r="H13" s="21"/>
      <c r="I13" s="21"/>
    </row>
    <row r="14" spans="1:10" x14ac:dyDescent="0.2">
      <c r="A14" t="s">
        <v>49</v>
      </c>
      <c r="B14">
        <v>13</v>
      </c>
    </row>
    <row r="15" spans="1:10" x14ac:dyDescent="0.2">
      <c r="A15" t="s">
        <v>48</v>
      </c>
      <c r="B15">
        <v>14</v>
      </c>
    </row>
    <row r="16" spans="1:10" x14ac:dyDescent="0.2">
      <c r="A16" t="s">
        <v>47</v>
      </c>
      <c r="B16">
        <v>15</v>
      </c>
    </row>
    <row r="17" spans="1:2" x14ac:dyDescent="0.2">
      <c r="A17" t="s">
        <v>46</v>
      </c>
      <c r="B17">
        <v>16</v>
      </c>
    </row>
    <row r="18" spans="1:2" x14ac:dyDescent="0.2">
      <c r="A18" t="s">
        <v>45</v>
      </c>
      <c r="B18">
        <v>17</v>
      </c>
    </row>
    <row r="19" spans="1:2" x14ac:dyDescent="0.2">
      <c r="A19" t="s">
        <v>44</v>
      </c>
      <c r="B19">
        <v>18</v>
      </c>
    </row>
    <row r="20" spans="1:2" x14ac:dyDescent="0.2">
      <c r="A20" t="s">
        <v>43</v>
      </c>
      <c r="B20">
        <v>19</v>
      </c>
    </row>
    <row r="21" spans="1:2" x14ac:dyDescent="0.2">
      <c r="A21" t="s">
        <v>42</v>
      </c>
      <c r="B21">
        <v>20</v>
      </c>
    </row>
    <row r="22" spans="1:2" x14ac:dyDescent="0.2">
      <c r="A22" t="s">
        <v>41</v>
      </c>
      <c r="B22">
        <v>21</v>
      </c>
    </row>
    <row r="23" spans="1:2" x14ac:dyDescent="0.2">
      <c r="A23" t="s">
        <v>40</v>
      </c>
      <c r="B23">
        <v>22</v>
      </c>
    </row>
    <row r="24" spans="1:2" x14ac:dyDescent="0.2">
      <c r="A24" t="s">
        <v>39</v>
      </c>
      <c r="B24">
        <v>23</v>
      </c>
    </row>
    <row r="25" spans="1:2" x14ac:dyDescent="0.2">
      <c r="A25" t="s">
        <v>38</v>
      </c>
      <c r="B25">
        <v>24</v>
      </c>
    </row>
    <row r="26" spans="1:2" x14ac:dyDescent="0.2">
      <c r="A26" t="s">
        <v>37</v>
      </c>
      <c r="B26">
        <v>25</v>
      </c>
    </row>
    <row r="27" spans="1:2" x14ac:dyDescent="0.2">
      <c r="A27" t="s">
        <v>36</v>
      </c>
      <c r="B27">
        <v>26</v>
      </c>
    </row>
    <row r="28" spans="1:2" x14ac:dyDescent="0.2">
      <c r="A28" t="s">
        <v>35</v>
      </c>
      <c r="B28">
        <v>27</v>
      </c>
    </row>
    <row r="29" spans="1:2" x14ac:dyDescent="0.2">
      <c r="A29" t="s">
        <v>34</v>
      </c>
      <c r="B29">
        <v>28</v>
      </c>
    </row>
    <row r="30" spans="1:2" x14ac:dyDescent="0.2">
      <c r="A30" t="s">
        <v>33</v>
      </c>
      <c r="B30">
        <v>29</v>
      </c>
    </row>
    <row r="31" spans="1:2" x14ac:dyDescent="0.2">
      <c r="A31" t="s">
        <v>32</v>
      </c>
      <c r="B31">
        <v>30</v>
      </c>
    </row>
    <row r="32" spans="1:2" x14ac:dyDescent="0.2">
      <c r="A32" t="s">
        <v>31</v>
      </c>
      <c r="B32">
        <v>31</v>
      </c>
    </row>
    <row r="33" spans="1:2" x14ac:dyDescent="0.2">
      <c r="A33" t="s">
        <v>30</v>
      </c>
      <c r="B33">
        <v>32</v>
      </c>
    </row>
    <row r="34" spans="1:2" x14ac:dyDescent="0.2">
      <c r="A34" t="s">
        <v>29</v>
      </c>
      <c r="B34">
        <v>33</v>
      </c>
    </row>
    <row r="35" spans="1:2" x14ac:dyDescent="0.2">
      <c r="A35" t="s">
        <v>28</v>
      </c>
      <c r="B35">
        <v>34</v>
      </c>
    </row>
    <row r="36" spans="1:2" x14ac:dyDescent="0.2">
      <c r="A36" t="s">
        <v>27</v>
      </c>
      <c r="B36">
        <v>35</v>
      </c>
    </row>
    <row r="37" spans="1:2" x14ac:dyDescent="0.2">
      <c r="A37" t="s">
        <v>26</v>
      </c>
      <c r="B37">
        <v>36</v>
      </c>
    </row>
    <row r="38" spans="1:2" x14ac:dyDescent="0.2">
      <c r="A38" t="s">
        <v>25</v>
      </c>
      <c r="B38">
        <v>37</v>
      </c>
    </row>
    <row r="39" spans="1:2" x14ac:dyDescent="0.2">
      <c r="A39" t="s">
        <v>24</v>
      </c>
      <c r="B39">
        <v>38</v>
      </c>
    </row>
    <row r="40" spans="1:2" x14ac:dyDescent="0.2">
      <c r="A40" t="s">
        <v>23</v>
      </c>
      <c r="B40">
        <v>39</v>
      </c>
    </row>
    <row r="41" spans="1:2" x14ac:dyDescent="0.2">
      <c r="A41" t="s">
        <v>22</v>
      </c>
      <c r="B41">
        <v>40</v>
      </c>
    </row>
    <row r="42" spans="1:2" x14ac:dyDescent="0.2">
      <c r="A42" t="s">
        <v>21</v>
      </c>
      <c r="B42">
        <v>41</v>
      </c>
    </row>
    <row r="43" spans="1:2" x14ac:dyDescent="0.2">
      <c r="A43" t="s">
        <v>20</v>
      </c>
      <c r="B43">
        <v>42</v>
      </c>
    </row>
    <row r="44" spans="1:2" x14ac:dyDescent="0.2">
      <c r="A44" t="s">
        <v>19</v>
      </c>
      <c r="B44">
        <v>43</v>
      </c>
    </row>
    <row r="45" spans="1:2" x14ac:dyDescent="0.2">
      <c r="A45" t="s">
        <v>18</v>
      </c>
      <c r="B45">
        <v>44</v>
      </c>
    </row>
    <row r="46" spans="1:2" x14ac:dyDescent="0.2">
      <c r="A46" t="s">
        <v>17</v>
      </c>
      <c r="B46">
        <v>45</v>
      </c>
    </row>
    <row r="47" spans="1:2" x14ac:dyDescent="0.2">
      <c r="A47" t="s">
        <v>16</v>
      </c>
      <c r="B47">
        <v>46</v>
      </c>
    </row>
    <row r="48" spans="1:2" x14ac:dyDescent="0.2">
      <c r="A48" t="s">
        <v>15</v>
      </c>
      <c r="B48">
        <v>47</v>
      </c>
    </row>
    <row r="49" spans="1:2" x14ac:dyDescent="0.2">
      <c r="A49" t="s">
        <v>14</v>
      </c>
      <c r="B49">
        <v>48</v>
      </c>
    </row>
    <row r="50" spans="1:2" x14ac:dyDescent="0.2">
      <c r="A50" t="s">
        <v>13</v>
      </c>
      <c r="B50">
        <v>49</v>
      </c>
    </row>
    <row r="51" spans="1:2" x14ac:dyDescent="0.2">
      <c r="A51" t="s">
        <v>12</v>
      </c>
      <c r="B51">
        <v>50</v>
      </c>
    </row>
    <row r="52" spans="1:2" x14ac:dyDescent="0.2">
      <c r="A52" t="s">
        <v>11</v>
      </c>
      <c r="B52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77EB-B484-8C49-8A10-0F792FA17365}">
  <sheetPr>
    <tabColor rgb="FFFFFF00"/>
  </sheetPr>
  <dimension ref="A1:B52"/>
  <sheetViews>
    <sheetView workbookViewId="0">
      <selection activeCell="E11" sqref="E11"/>
    </sheetView>
  </sheetViews>
  <sheetFormatPr baseColWidth="10" defaultRowHeight="16" x14ac:dyDescent="0.2"/>
  <cols>
    <col min="1" max="1" width="20.33203125" customWidth="1"/>
    <col min="2" max="2" width="17.5" customWidth="1"/>
  </cols>
  <sheetData>
    <row r="1" spans="1:2" x14ac:dyDescent="0.2">
      <c r="A1" s="24" t="s">
        <v>65</v>
      </c>
      <c r="B1" s="24" t="s">
        <v>64</v>
      </c>
    </row>
    <row r="2" spans="1:2" x14ac:dyDescent="0.2">
      <c r="A2" t="s">
        <v>42</v>
      </c>
      <c r="B2" t="s">
        <v>63</v>
      </c>
    </row>
    <row r="3" spans="1:2" x14ac:dyDescent="0.2">
      <c r="A3" t="s">
        <v>47</v>
      </c>
      <c r="B3" t="s">
        <v>62</v>
      </c>
    </row>
    <row r="4" spans="1:2" x14ac:dyDescent="0.2">
      <c r="A4" t="s">
        <v>11</v>
      </c>
      <c r="B4" t="s">
        <v>63</v>
      </c>
    </row>
    <row r="5" spans="1:2" x14ac:dyDescent="0.2">
      <c r="A5" t="s">
        <v>14</v>
      </c>
      <c r="B5" t="s">
        <v>63</v>
      </c>
    </row>
    <row r="6" spans="1:2" x14ac:dyDescent="0.2">
      <c r="A6" t="s">
        <v>56</v>
      </c>
      <c r="B6" t="s">
        <v>62</v>
      </c>
    </row>
    <row r="7" spans="1:2" x14ac:dyDescent="0.2">
      <c r="A7" t="s">
        <v>27</v>
      </c>
      <c r="B7" t="s">
        <v>63</v>
      </c>
    </row>
    <row r="8" spans="1:2" x14ac:dyDescent="0.2">
      <c r="A8" t="s">
        <v>45</v>
      </c>
      <c r="B8" t="s">
        <v>62</v>
      </c>
    </row>
    <row r="9" spans="1:2" x14ac:dyDescent="0.2">
      <c r="A9" t="s">
        <v>43</v>
      </c>
      <c r="B9" t="s">
        <v>62</v>
      </c>
    </row>
    <row r="10" spans="1:2" x14ac:dyDescent="0.2">
      <c r="A10" t="s">
        <v>12</v>
      </c>
      <c r="B10" t="s">
        <v>63</v>
      </c>
    </row>
    <row r="11" spans="1:2" x14ac:dyDescent="0.2">
      <c r="A11" t="s">
        <v>17</v>
      </c>
      <c r="B11" t="s">
        <v>63</v>
      </c>
    </row>
    <row r="12" spans="1:2" x14ac:dyDescent="0.2">
      <c r="A12" t="s">
        <v>61</v>
      </c>
      <c r="B12" t="s">
        <v>62</v>
      </c>
    </row>
    <row r="13" spans="1:2" x14ac:dyDescent="0.2">
      <c r="A13" t="s">
        <v>26</v>
      </c>
      <c r="B13" t="s">
        <v>63</v>
      </c>
    </row>
    <row r="14" spans="1:2" x14ac:dyDescent="0.2">
      <c r="A14" t="s">
        <v>54</v>
      </c>
      <c r="B14" t="s">
        <v>62</v>
      </c>
    </row>
    <row r="15" spans="1:2" x14ac:dyDescent="0.2">
      <c r="A15" t="s">
        <v>31</v>
      </c>
      <c r="B15" t="s">
        <v>63</v>
      </c>
    </row>
    <row r="16" spans="1:2" x14ac:dyDescent="0.2">
      <c r="A16" t="s">
        <v>35</v>
      </c>
      <c r="B16" t="s">
        <v>63</v>
      </c>
    </row>
    <row r="17" spans="1:2" x14ac:dyDescent="0.2">
      <c r="A17" t="s">
        <v>30</v>
      </c>
      <c r="B17" t="s">
        <v>63</v>
      </c>
    </row>
    <row r="18" spans="1:2" x14ac:dyDescent="0.2">
      <c r="A18" t="s">
        <v>34</v>
      </c>
      <c r="B18" t="s">
        <v>63</v>
      </c>
    </row>
    <row r="19" spans="1:2" x14ac:dyDescent="0.2">
      <c r="A19" t="s">
        <v>20</v>
      </c>
      <c r="B19" t="s">
        <v>63</v>
      </c>
    </row>
    <row r="20" spans="1:2" x14ac:dyDescent="0.2">
      <c r="A20" t="s">
        <v>40</v>
      </c>
      <c r="B20" t="s">
        <v>62</v>
      </c>
    </row>
    <row r="21" spans="1:2" x14ac:dyDescent="0.2">
      <c r="A21" t="s">
        <v>39</v>
      </c>
      <c r="B21" t="s">
        <v>62</v>
      </c>
    </row>
    <row r="22" spans="1:2" x14ac:dyDescent="0.2">
      <c r="A22" t="s">
        <v>41</v>
      </c>
      <c r="B22" t="s">
        <v>62</v>
      </c>
    </row>
    <row r="23" spans="1:2" x14ac:dyDescent="0.2">
      <c r="A23" t="s">
        <v>46</v>
      </c>
      <c r="B23" t="s">
        <v>62</v>
      </c>
    </row>
    <row r="24" spans="1:2" x14ac:dyDescent="0.2">
      <c r="A24" t="s">
        <v>48</v>
      </c>
      <c r="B24" t="s">
        <v>62</v>
      </c>
    </row>
    <row r="25" spans="1:2" x14ac:dyDescent="0.2">
      <c r="A25" t="s">
        <v>16</v>
      </c>
      <c r="B25" t="s">
        <v>63</v>
      </c>
    </row>
    <row r="26" spans="1:2" x14ac:dyDescent="0.2">
      <c r="A26" t="s">
        <v>24</v>
      </c>
      <c r="B26" t="s">
        <v>62</v>
      </c>
    </row>
    <row r="27" spans="1:2" x14ac:dyDescent="0.2">
      <c r="A27" t="s">
        <v>59</v>
      </c>
      <c r="B27" t="s">
        <v>62</v>
      </c>
    </row>
    <row r="28" spans="1:2" x14ac:dyDescent="0.2">
      <c r="A28" t="s">
        <v>36</v>
      </c>
      <c r="B28" t="s">
        <v>63</v>
      </c>
    </row>
    <row r="29" spans="1:2" x14ac:dyDescent="0.2">
      <c r="A29" t="s">
        <v>37</v>
      </c>
      <c r="B29" t="s">
        <v>63</v>
      </c>
    </row>
    <row r="30" spans="1:2" x14ac:dyDescent="0.2">
      <c r="A30" t="s">
        <v>32</v>
      </c>
      <c r="B30" t="s">
        <v>62</v>
      </c>
    </row>
    <row r="31" spans="1:2" x14ac:dyDescent="0.2">
      <c r="A31" t="s">
        <v>55</v>
      </c>
      <c r="B31" t="s">
        <v>62</v>
      </c>
    </row>
    <row r="32" spans="1:2" x14ac:dyDescent="0.2">
      <c r="A32" t="s">
        <v>25</v>
      </c>
      <c r="B32" t="s">
        <v>62</v>
      </c>
    </row>
    <row r="33" spans="1:2" x14ac:dyDescent="0.2">
      <c r="A33" t="s">
        <v>53</v>
      </c>
      <c r="B33" t="s">
        <v>62</v>
      </c>
    </row>
    <row r="34" spans="1:2" x14ac:dyDescent="0.2">
      <c r="A34" t="s">
        <v>22</v>
      </c>
      <c r="B34" t="s">
        <v>63</v>
      </c>
    </row>
    <row r="35" spans="1:2" x14ac:dyDescent="0.2">
      <c r="A35" t="s">
        <v>38</v>
      </c>
      <c r="B35" t="s">
        <v>63</v>
      </c>
    </row>
    <row r="36" spans="1:2" x14ac:dyDescent="0.2">
      <c r="A36" t="s">
        <v>50</v>
      </c>
      <c r="B36" t="s">
        <v>62</v>
      </c>
    </row>
    <row r="37" spans="1:2" x14ac:dyDescent="0.2">
      <c r="A37" t="s">
        <v>19</v>
      </c>
      <c r="B37" t="s">
        <v>63</v>
      </c>
    </row>
    <row r="38" spans="1:2" x14ac:dyDescent="0.2">
      <c r="A38" t="s">
        <v>60</v>
      </c>
      <c r="B38" t="s">
        <v>62</v>
      </c>
    </row>
    <row r="39" spans="1:2" x14ac:dyDescent="0.2">
      <c r="A39" t="s">
        <v>58</v>
      </c>
      <c r="B39" t="s">
        <v>62</v>
      </c>
    </row>
    <row r="40" spans="1:2" x14ac:dyDescent="0.2">
      <c r="A40" t="s">
        <v>57</v>
      </c>
      <c r="B40" t="s">
        <v>62</v>
      </c>
    </row>
    <row r="41" spans="1:2" x14ac:dyDescent="0.2">
      <c r="A41" t="s">
        <v>13</v>
      </c>
      <c r="B41" t="s">
        <v>63</v>
      </c>
    </row>
    <row r="42" spans="1:2" x14ac:dyDescent="0.2">
      <c r="A42" t="s">
        <v>28</v>
      </c>
      <c r="B42" t="s">
        <v>63</v>
      </c>
    </row>
    <row r="43" spans="1:2" x14ac:dyDescent="0.2">
      <c r="A43" t="s">
        <v>21</v>
      </c>
      <c r="B43" t="s">
        <v>63</v>
      </c>
    </row>
    <row r="44" spans="1:2" x14ac:dyDescent="0.2">
      <c r="A44" t="s">
        <v>18</v>
      </c>
      <c r="B44" t="s">
        <v>63</v>
      </c>
    </row>
    <row r="45" spans="1:2" x14ac:dyDescent="0.2">
      <c r="A45" t="s">
        <v>23</v>
      </c>
      <c r="B45" t="s">
        <v>63</v>
      </c>
    </row>
    <row r="46" spans="1:2" x14ac:dyDescent="0.2">
      <c r="A46" t="s">
        <v>51</v>
      </c>
      <c r="B46" t="s">
        <v>62</v>
      </c>
    </row>
    <row r="47" spans="1:2" x14ac:dyDescent="0.2">
      <c r="A47" t="s">
        <v>15</v>
      </c>
      <c r="B47" t="s">
        <v>63</v>
      </c>
    </row>
    <row r="48" spans="1:2" x14ac:dyDescent="0.2">
      <c r="A48" t="s">
        <v>52</v>
      </c>
      <c r="B48" t="s">
        <v>62</v>
      </c>
    </row>
    <row r="49" spans="1:2" x14ac:dyDescent="0.2">
      <c r="A49" t="s">
        <v>49</v>
      </c>
      <c r="B49" t="s">
        <v>63</v>
      </c>
    </row>
    <row r="50" spans="1:2" x14ac:dyDescent="0.2">
      <c r="A50" t="s">
        <v>44</v>
      </c>
      <c r="B50" t="s">
        <v>63</v>
      </c>
    </row>
    <row r="51" spans="1:2" x14ac:dyDescent="0.2">
      <c r="A51" t="s">
        <v>33</v>
      </c>
      <c r="B51" t="s">
        <v>63</v>
      </c>
    </row>
    <row r="52" spans="1:2" x14ac:dyDescent="0.2">
      <c r="A52" t="s">
        <v>29</v>
      </c>
      <c r="B52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7503-DE15-5041-8EE9-15DAC230B914}">
  <sheetPr>
    <tabColor rgb="FF00B050"/>
  </sheetPr>
  <dimension ref="A1"/>
  <sheetViews>
    <sheetView workbookViewId="0">
      <selection activeCell="H57" sqref="H57"/>
    </sheetView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2773-4A2E-8847-A45C-CDC21E153E80}">
  <sheetPr>
    <tabColor rgb="FFFF0000"/>
  </sheetPr>
  <dimension ref="A1"/>
  <sheetViews>
    <sheetView workbookViewId="0">
      <selection activeCell="G31" sqref="G31"/>
    </sheetView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9EFC5-263A-A940-93DA-4D8C3B63BD64}">
  <sheetPr>
    <tabColor rgb="FFFFFF00"/>
  </sheetPr>
  <dimension ref="B2:K59"/>
  <sheetViews>
    <sheetView workbookViewId="0">
      <selection activeCell="D31" sqref="D31"/>
    </sheetView>
  </sheetViews>
  <sheetFormatPr baseColWidth="10" defaultRowHeight="16" outlineLevelRow="1" outlineLevelCol="1" x14ac:dyDescent="0.2"/>
  <cols>
    <col min="1" max="1" width="2.6640625" style="2" customWidth="1"/>
    <col min="2" max="2" width="10.83203125" style="2"/>
    <col min="3" max="4" width="13.83203125" style="2" customWidth="1"/>
    <col min="5" max="5" width="10.83203125" style="2"/>
    <col min="6" max="6" width="0" style="2" hidden="1" customWidth="1" outlineLevel="1"/>
    <col min="7" max="7" width="16.6640625" style="2" bestFit="1" customWidth="1" collapsed="1"/>
    <col min="8" max="10" width="10.83203125" style="2"/>
    <col min="11" max="11" width="17.6640625" style="2" bestFit="1" customWidth="1"/>
    <col min="12" max="16384" width="10.83203125" style="2"/>
  </cols>
  <sheetData>
    <row r="2" spans="2:6" x14ac:dyDescent="0.2">
      <c r="B2" s="58" t="s">
        <v>6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0.13208681</v>
      </c>
      <c r="D4" s="4">
        <v>0.1287644</v>
      </c>
      <c r="F4" s="2">
        <v>100</v>
      </c>
    </row>
    <row r="5" spans="2:6" x14ac:dyDescent="0.2">
      <c r="B5" s="3">
        <v>2016</v>
      </c>
      <c r="C5" s="4">
        <v>0.12610711999999999</v>
      </c>
      <c r="D5" s="4">
        <v>0.12517300000000001</v>
      </c>
    </row>
    <row r="6" spans="2:6" x14ac:dyDescent="0.2">
      <c r="B6" s="3">
        <v>2017</v>
      </c>
      <c r="C6" s="4">
        <v>0.12778236000000001</v>
      </c>
      <c r="D6" s="4">
        <v>0.12787190000000001</v>
      </c>
    </row>
    <row r="7" spans="2:6" x14ac:dyDescent="0.2">
      <c r="B7" s="3">
        <v>2018</v>
      </c>
      <c r="C7" s="4">
        <v>0.15323228</v>
      </c>
      <c r="D7" s="4">
        <v>0.15394459999999999</v>
      </c>
    </row>
    <row r="8" spans="2:6" x14ac:dyDescent="0.2">
      <c r="B8" s="3">
        <v>2019</v>
      </c>
      <c r="C8" s="4">
        <v>0.16065900999999999</v>
      </c>
      <c r="D8" s="4">
        <v>0.15368200000000001</v>
      </c>
    </row>
    <row r="9" spans="2:6" x14ac:dyDescent="0.2">
      <c r="B9" s="3">
        <v>2020</v>
      </c>
      <c r="C9" s="4">
        <v>0.20024634999999999</v>
      </c>
      <c r="D9" s="4">
        <v>0.1439347</v>
      </c>
    </row>
    <row r="10" spans="2:6" x14ac:dyDescent="0.2">
      <c r="B10" s="3">
        <v>2021</v>
      </c>
      <c r="C10" s="4">
        <v>0.19654706</v>
      </c>
      <c r="D10" s="4">
        <v>0.1429204</v>
      </c>
    </row>
    <row r="11" spans="2:6" x14ac:dyDescent="0.2">
      <c r="B11" s="3">
        <v>2022</v>
      </c>
      <c r="C11" s="4">
        <v>0.21449842</v>
      </c>
      <c r="D11" s="4">
        <v>0.15489269999999999</v>
      </c>
    </row>
    <row r="13" spans="2:6" x14ac:dyDescent="0.2">
      <c r="B13" s="5" t="s">
        <v>4</v>
      </c>
      <c r="C13" s="6">
        <f>C11-C4</f>
        <v>8.2411609999999996E-2</v>
      </c>
      <c r="D13" s="6">
        <f>D11-D4</f>
        <v>2.6128299999999993E-2</v>
      </c>
    </row>
    <row r="15" spans="2:6" x14ac:dyDescent="0.2">
      <c r="C15" s="12">
        <f>C11-C4</f>
        <v>8.2411609999999996E-2</v>
      </c>
      <c r="D15" s="12">
        <f>D11-D4</f>
        <v>2.6128299999999993E-2</v>
      </c>
    </row>
    <row r="17" spans="3:4" outlineLevel="1" x14ac:dyDescent="0.2">
      <c r="C17" s="2">
        <f t="shared" ref="C17:D24" si="0">C4*$F$4</f>
        <v>13.208681</v>
      </c>
      <c r="D17" s="2">
        <f t="shared" si="0"/>
        <v>12.876440000000001</v>
      </c>
    </row>
    <row r="18" spans="3:4" outlineLevel="1" x14ac:dyDescent="0.2">
      <c r="C18" s="2">
        <f t="shared" si="0"/>
        <v>12.610711999999999</v>
      </c>
      <c r="D18" s="2">
        <f t="shared" si="0"/>
        <v>12.517300000000001</v>
      </c>
    </row>
    <row r="19" spans="3:4" outlineLevel="1" x14ac:dyDescent="0.2">
      <c r="C19" s="2">
        <f t="shared" si="0"/>
        <v>12.778236000000001</v>
      </c>
      <c r="D19" s="2">
        <f t="shared" si="0"/>
        <v>12.787190000000001</v>
      </c>
    </row>
    <row r="20" spans="3:4" outlineLevel="1" x14ac:dyDescent="0.2">
      <c r="C20" s="2">
        <f t="shared" si="0"/>
        <v>15.323228</v>
      </c>
      <c r="D20" s="2">
        <f t="shared" si="0"/>
        <v>15.394459999999999</v>
      </c>
    </row>
    <row r="21" spans="3:4" outlineLevel="1" x14ac:dyDescent="0.2">
      <c r="C21" s="2">
        <f t="shared" si="0"/>
        <v>16.065901</v>
      </c>
      <c r="D21" s="2">
        <f t="shared" si="0"/>
        <v>15.368200000000002</v>
      </c>
    </row>
    <row r="22" spans="3:4" outlineLevel="1" x14ac:dyDescent="0.2">
      <c r="C22" s="2">
        <f t="shared" si="0"/>
        <v>20.024635</v>
      </c>
      <c r="D22" s="2">
        <f t="shared" si="0"/>
        <v>14.393470000000001</v>
      </c>
    </row>
    <row r="23" spans="3:4" outlineLevel="1" x14ac:dyDescent="0.2">
      <c r="C23" s="2">
        <f t="shared" si="0"/>
        <v>19.654706000000001</v>
      </c>
      <c r="D23" s="2">
        <f t="shared" si="0"/>
        <v>14.29204</v>
      </c>
    </row>
    <row r="24" spans="3:4" outlineLevel="1" x14ac:dyDescent="0.2">
      <c r="C24" s="2">
        <f t="shared" si="0"/>
        <v>21.449842</v>
      </c>
      <c r="D24" s="2">
        <f t="shared" si="0"/>
        <v>15.489269999999999</v>
      </c>
    </row>
    <row r="26" spans="3:4" x14ac:dyDescent="0.2">
      <c r="C26" s="11"/>
    </row>
    <row r="46" spans="8:11" x14ac:dyDescent="0.2">
      <c r="H46" s="13"/>
    </row>
    <row r="47" spans="8:11" x14ac:dyDescent="0.2">
      <c r="I47" s="13"/>
      <c r="K47" s="10"/>
    </row>
    <row r="50" spans="7:11" x14ac:dyDescent="0.2">
      <c r="K50" s="10"/>
    </row>
    <row r="52" spans="7:11" x14ac:dyDescent="0.2">
      <c r="G52" s="10"/>
    </row>
    <row r="53" spans="7:11" x14ac:dyDescent="0.2">
      <c r="G53" s="10"/>
    </row>
    <row r="54" spans="7:11" x14ac:dyDescent="0.2">
      <c r="G54" s="10"/>
    </row>
    <row r="55" spans="7:11" x14ac:dyDescent="0.2">
      <c r="G55" s="10"/>
    </row>
    <row r="56" spans="7:11" x14ac:dyDescent="0.2">
      <c r="G56" s="10"/>
    </row>
    <row r="57" spans="7:11" x14ac:dyDescent="0.2">
      <c r="G57" s="10"/>
    </row>
    <row r="58" spans="7:11" x14ac:dyDescent="0.2">
      <c r="G58" s="10"/>
    </row>
    <row r="59" spans="7:11" x14ac:dyDescent="0.2">
      <c r="G59" s="10"/>
    </row>
  </sheetData>
  <mergeCells count="1">
    <mergeCell ref="B2:D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5CC3-DA27-BA4D-B8DE-D3AC187C3BAB}">
  <sheetPr>
    <tabColor rgb="FFFFFF00"/>
  </sheetPr>
  <dimension ref="B2:Q42"/>
  <sheetViews>
    <sheetView workbookViewId="0">
      <selection sqref="A1:XFD1048576"/>
    </sheetView>
  </sheetViews>
  <sheetFormatPr baseColWidth="10" defaultRowHeight="16" outlineLevelRow="1" outlineLevelCol="1" x14ac:dyDescent="0.2"/>
  <cols>
    <col min="1" max="1" width="4.33203125" style="2" customWidth="1"/>
    <col min="2" max="2" width="10.83203125" style="2"/>
    <col min="3" max="4" width="13.83203125" style="2" customWidth="1"/>
    <col min="5" max="5" width="2.83203125" style="2" customWidth="1"/>
    <col min="6" max="6" width="10.83203125" style="2"/>
    <col min="7" max="8" width="13.83203125" style="2" customWidth="1"/>
    <col min="9" max="9" width="2.6640625" style="2" customWidth="1"/>
    <col min="10" max="10" width="10.83203125" style="2"/>
    <col min="11" max="12" width="13.83203125" style="2" customWidth="1"/>
    <col min="13" max="13" width="10.83203125" style="2"/>
    <col min="14" max="14" width="0" style="2" hidden="1" customWidth="1" outlineLevel="1"/>
    <col min="15" max="15" width="10.83203125" style="2" collapsed="1"/>
    <col min="16" max="16384" width="10.83203125" style="2"/>
  </cols>
  <sheetData>
    <row r="2" spans="2:14" x14ac:dyDescent="0.2">
      <c r="B2" s="58" t="s">
        <v>5</v>
      </c>
      <c r="C2" s="58"/>
      <c r="D2" s="58"/>
      <c r="F2" s="58" t="s">
        <v>6</v>
      </c>
      <c r="G2" s="58"/>
      <c r="H2" s="58"/>
      <c r="J2" s="58" t="s">
        <v>0</v>
      </c>
      <c r="K2" s="58"/>
      <c r="L2" s="58"/>
    </row>
    <row r="3" spans="2:14" x14ac:dyDescent="0.2">
      <c r="B3" s="1" t="s">
        <v>1</v>
      </c>
      <c r="C3" s="1" t="s">
        <v>2</v>
      </c>
      <c r="D3" s="1" t="s">
        <v>3</v>
      </c>
      <c r="F3" s="1" t="s">
        <v>1</v>
      </c>
      <c r="G3" s="1" t="s">
        <v>2</v>
      </c>
      <c r="H3" s="1" t="s">
        <v>3</v>
      </c>
      <c r="J3" s="1" t="s">
        <v>1</v>
      </c>
      <c r="K3" s="1" t="s">
        <v>2</v>
      </c>
      <c r="L3" s="1" t="s">
        <v>3</v>
      </c>
    </row>
    <row r="4" spans="2:14" x14ac:dyDescent="0.2">
      <c r="B4" s="3">
        <v>2015</v>
      </c>
      <c r="C4" s="4">
        <v>0.11450507</v>
      </c>
      <c r="D4" s="4">
        <v>0.1201562</v>
      </c>
      <c r="F4" s="3">
        <v>2015</v>
      </c>
      <c r="G4" s="4">
        <v>4.1395380000000002E-2</v>
      </c>
      <c r="H4" s="4">
        <v>4.3202200000000003E-2</v>
      </c>
      <c r="J4" s="3">
        <v>2015</v>
      </c>
      <c r="K4" s="4">
        <v>7.220464E-2</v>
      </c>
      <c r="L4" s="4">
        <v>7.6682299999999995E-2</v>
      </c>
      <c r="N4" s="2">
        <v>100</v>
      </c>
    </row>
    <row r="5" spans="2:14" x14ac:dyDescent="0.2">
      <c r="B5" s="3">
        <v>2016</v>
      </c>
      <c r="C5" s="4">
        <v>0.12376694000000001</v>
      </c>
      <c r="D5" s="4">
        <v>0.1295683</v>
      </c>
      <c r="F5" s="3">
        <v>2016</v>
      </c>
      <c r="G5" s="4">
        <v>4.0663390000000001E-2</v>
      </c>
      <c r="H5" s="4">
        <v>4.25694E-2</v>
      </c>
      <c r="J5" s="3">
        <v>2016</v>
      </c>
      <c r="K5" s="4">
        <v>8.2746280000000005E-2</v>
      </c>
      <c r="L5" s="4">
        <v>8.5920999999999997E-2</v>
      </c>
    </row>
    <row r="6" spans="2:14" x14ac:dyDescent="0.2">
      <c r="B6" s="3">
        <v>2017</v>
      </c>
      <c r="C6" s="4">
        <v>0.10418892</v>
      </c>
      <c r="D6" s="4">
        <v>0.10782659999999999</v>
      </c>
      <c r="F6" s="3">
        <v>2017</v>
      </c>
      <c r="G6" s="4">
        <v>4.0838310000000003E-2</v>
      </c>
      <c r="H6" s="4">
        <v>4.2264200000000002E-2</v>
      </c>
      <c r="J6" s="3">
        <v>2017</v>
      </c>
      <c r="K6" s="4">
        <v>6.3350600000000007E-2</v>
      </c>
      <c r="L6" s="4">
        <v>6.5562499999999996E-2</v>
      </c>
    </row>
    <row r="7" spans="2:14" x14ac:dyDescent="0.2">
      <c r="B7" s="3">
        <v>2018</v>
      </c>
      <c r="C7" s="4">
        <v>6.696059E-2</v>
      </c>
      <c r="D7" s="4">
        <v>6.9737900000000005E-2</v>
      </c>
      <c r="F7" s="3">
        <v>2018</v>
      </c>
      <c r="G7" s="4">
        <v>4.538184E-2</v>
      </c>
      <c r="H7" s="4">
        <v>4.7264199999999999E-2</v>
      </c>
      <c r="J7" s="3">
        <v>2018</v>
      </c>
      <c r="K7" s="4">
        <v>2.1578759999999999E-2</v>
      </c>
      <c r="L7" s="4">
        <v>2.2473799999999999E-2</v>
      </c>
    </row>
    <row r="8" spans="2:14" x14ac:dyDescent="0.2">
      <c r="B8" s="3">
        <v>2019</v>
      </c>
      <c r="C8" s="4">
        <v>9.6632319999999994E-2</v>
      </c>
      <c r="D8" s="4">
        <v>0.1002276</v>
      </c>
      <c r="F8" s="3">
        <v>2019</v>
      </c>
      <c r="G8" s="4">
        <v>5.3422320000000002E-2</v>
      </c>
      <c r="H8" s="4">
        <v>5.5409899999999998E-2</v>
      </c>
      <c r="J8" s="3">
        <v>2019</v>
      </c>
      <c r="K8" s="4">
        <v>4.321001E-2</v>
      </c>
      <c r="L8" s="4">
        <v>4.4817700000000002E-2</v>
      </c>
    </row>
    <row r="9" spans="2:14" x14ac:dyDescent="0.2">
      <c r="B9" s="3">
        <v>2020</v>
      </c>
      <c r="C9" s="4">
        <v>6.8840310000000002E-2</v>
      </c>
      <c r="D9" s="4">
        <v>7.1362800000000004E-2</v>
      </c>
      <c r="F9" s="3">
        <v>2020</v>
      </c>
      <c r="G9" s="4">
        <v>5.709798E-2</v>
      </c>
      <c r="H9" s="4">
        <v>5.9190199999999998E-2</v>
      </c>
      <c r="J9" s="3">
        <v>2020</v>
      </c>
      <c r="K9" s="4">
        <v>1.174233E-2</v>
      </c>
      <c r="L9" s="4">
        <v>1.21726E-2</v>
      </c>
    </row>
    <row r="10" spans="2:14" x14ac:dyDescent="0.2">
      <c r="B10" s="3">
        <v>2021</v>
      </c>
      <c r="C10" s="4">
        <v>5.9986829999999998E-2</v>
      </c>
      <c r="D10" s="4">
        <v>6.2029399999999998E-2</v>
      </c>
      <c r="F10" s="3">
        <v>2021</v>
      </c>
      <c r="G10" s="4">
        <v>5.9986829999999998E-2</v>
      </c>
      <c r="H10" s="4">
        <v>6.2029399999999998E-2</v>
      </c>
      <c r="J10" s="3">
        <v>2021</v>
      </c>
      <c r="K10" s="4">
        <v>0</v>
      </c>
      <c r="L10" s="4">
        <v>0</v>
      </c>
    </row>
    <row r="11" spans="2:14" x14ac:dyDescent="0.2">
      <c r="B11" s="3">
        <v>2022</v>
      </c>
      <c r="C11" s="4">
        <v>0.11548557</v>
      </c>
      <c r="D11" s="4">
        <v>0.11613660000000001</v>
      </c>
      <c r="F11" s="3">
        <v>2022</v>
      </c>
      <c r="G11" s="4">
        <v>5.8274159999999998E-2</v>
      </c>
      <c r="H11" s="4">
        <v>5.9634800000000002E-2</v>
      </c>
      <c r="J11" s="3">
        <v>2022</v>
      </c>
      <c r="K11" s="4">
        <v>5.8472719999999999E-2</v>
      </c>
      <c r="L11" s="4">
        <v>6.0220099999999999E-2</v>
      </c>
    </row>
    <row r="13" spans="2:14" x14ac:dyDescent="0.2">
      <c r="B13" s="5" t="s">
        <v>4</v>
      </c>
      <c r="C13" s="6">
        <f>C11-C4</f>
        <v>9.8049999999999526E-4</v>
      </c>
      <c r="D13" s="6">
        <f>D11-D4</f>
        <v>-4.0195999999999982E-3</v>
      </c>
      <c r="F13" s="5" t="s">
        <v>4</v>
      </c>
      <c r="G13" s="6">
        <f>G11-G4</f>
        <v>1.6878779999999996E-2</v>
      </c>
      <c r="H13" s="6">
        <f>H11-H4</f>
        <v>1.6432599999999999E-2</v>
      </c>
      <c r="J13" s="5" t="s">
        <v>4</v>
      </c>
      <c r="K13" s="6">
        <f>K11-K4</f>
        <v>-1.3731920000000002E-2</v>
      </c>
      <c r="L13" s="6">
        <f>L11-L4</f>
        <v>-1.6462199999999996E-2</v>
      </c>
    </row>
    <row r="17" spans="3:12" outlineLevel="1" x14ac:dyDescent="0.2">
      <c r="C17" s="2">
        <f t="shared" ref="C17:D24" si="0">C4*$N$4</f>
        <v>11.450507</v>
      </c>
      <c r="D17" s="2">
        <f t="shared" si="0"/>
        <v>12.01562</v>
      </c>
      <c r="G17" s="2">
        <f t="shared" ref="G17:H24" si="1">G4*$N$4</f>
        <v>4.1395379999999999</v>
      </c>
      <c r="H17" s="2">
        <f t="shared" si="1"/>
        <v>4.3202199999999999</v>
      </c>
      <c r="K17" s="2">
        <f t="shared" ref="K17:L24" si="2">K4*$N$4</f>
        <v>7.2204639999999998</v>
      </c>
      <c r="L17" s="2">
        <f t="shared" si="2"/>
        <v>7.6682299999999994</v>
      </c>
    </row>
    <row r="18" spans="3:12" outlineLevel="1" x14ac:dyDescent="0.2">
      <c r="C18" s="2">
        <f t="shared" si="0"/>
        <v>12.376694000000001</v>
      </c>
      <c r="D18" s="2">
        <f t="shared" si="0"/>
        <v>12.95683</v>
      </c>
      <c r="G18" s="2">
        <f t="shared" si="1"/>
        <v>4.0663390000000001</v>
      </c>
      <c r="H18" s="2">
        <f t="shared" si="1"/>
        <v>4.2569400000000002</v>
      </c>
      <c r="K18" s="2">
        <f t="shared" si="2"/>
        <v>8.2746279999999999</v>
      </c>
      <c r="L18" s="2">
        <f t="shared" si="2"/>
        <v>8.5921000000000003</v>
      </c>
    </row>
    <row r="19" spans="3:12" outlineLevel="1" x14ac:dyDescent="0.2">
      <c r="C19" s="2">
        <f t="shared" si="0"/>
        <v>10.418892</v>
      </c>
      <c r="D19" s="2">
        <f t="shared" si="0"/>
        <v>10.78266</v>
      </c>
      <c r="G19" s="2">
        <f t="shared" si="1"/>
        <v>4.083831</v>
      </c>
      <c r="H19" s="2">
        <f t="shared" si="1"/>
        <v>4.2264200000000001</v>
      </c>
      <c r="K19" s="2">
        <f t="shared" si="2"/>
        <v>6.3350600000000004</v>
      </c>
      <c r="L19" s="2">
        <f t="shared" si="2"/>
        <v>6.5562499999999995</v>
      </c>
    </row>
    <row r="20" spans="3:12" outlineLevel="1" x14ac:dyDescent="0.2">
      <c r="C20" s="2">
        <f t="shared" si="0"/>
        <v>6.696059</v>
      </c>
      <c r="D20" s="2">
        <f t="shared" si="0"/>
        <v>6.9737900000000002</v>
      </c>
      <c r="G20" s="2">
        <f t="shared" si="1"/>
        <v>4.5381840000000002</v>
      </c>
      <c r="H20" s="2">
        <f t="shared" si="1"/>
        <v>4.7264200000000001</v>
      </c>
      <c r="K20" s="2">
        <f t="shared" si="2"/>
        <v>2.1578759999999999</v>
      </c>
      <c r="L20" s="2">
        <f t="shared" si="2"/>
        <v>2.2473799999999997</v>
      </c>
    </row>
    <row r="21" spans="3:12" outlineLevel="1" x14ac:dyDescent="0.2">
      <c r="C21" s="2">
        <f t="shared" si="0"/>
        <v>9.6632319999999989</v>
      </c>
      <c r="D21" s="2">
        <f t="shared" si="0"/>
        <v>10.02276</v>
      </c>
      <c r="G21" s="2">
        <f t="shared" si="1"/>
        <v>5.3422320000000001</v>
      </c>
      <c r="H21" s="2">
        <f t="shared" si="1"/>
        <v>5.5409899999999999</v>
      </c>
      <c r="K21" s="2">
        <f t="shared" si="2"/>
        <v>4.3210009999999999</v>
      </c>
      <c r="L21" s="2">
        <f t="shared" si="2"/>
        <v>4.48177</v>
      </c>
    </row>
    <row r="22" spans="3:12" outlineLevel="1" x14ac:dyDescent="0.2">
      <c r="C22" s="2">
        <f t="shared" si="0"/>
        <v>6.8840310000000002</v>
      </c>
      <c r="D22" s="2">
        <f t="shared" si="0"/>
        <v>7.1362800000000002</v>
      </c>
      <c r="G22" s="2">
        <f t="shared" si="1"/>
        <v>5.7097980000000002</v>
      </c>
      <c r="H22" s="2">
        <f t="shared" si="1"/>
        <v>5.9190199999999997</v>
      </c>
      <c r="K22" s="2">
        <f t="shared" si="2"/>
        <v>1.1742330000000001</v>
      </c>
      <c r="L22" s="2">
        <f t="shared" si="2"/>
        <v>1.21726</v>
      </c>
    </row>
    <row r="23" spans="3:12" outlineLevel="1" x14ac:dyDescent="0.2">
      <c r="C23" s="2">
        <f t="shared" si="0"/>
        <v>5.9986829999999998</v>
      </c>
      <c r="D23" s="2">
        <f t="shared" si="0"/>
        <v>6.2029399999999999</v>
      </c>
      <c r="G23" s="2">
        <f t="shared" si="1"/>
        <v>5.9986829999999998</v>
      </c>
      <c r="H23" s="2">
        <f t="shared" si="1"/>
        <v>6.2029399999999999</v>
      </c>
      <c r="K23" s="2">
        <f t="shared" si="2"/>
        <v>0</v>
      </c>
      <c r="L23" s="2">
        <f t="shared" si="2"/>
        <v>0</v>
      </c>
    </row>
    <row r="24" spans="3:12" outlineLevel="1" x14ac:dyDescent="0.2">
      <c r="C24" s="2">
        <f t="shared" si="0"/>
        <v>11.548556999999999</v>
      </c>
      <c r="D24" s="2">
        <f t="shared" si="0"/>
        <v>11.613660000000001</v>
      </c>
      <c r="G24" s="2">
        <f t="shared" si="1"/>
        <v>5.8274159999999995</v>
      </c>
      <c r="H24" s="2">
        <f t="shared" si="1"/>
        <v>5.9634800000000006</v>
      </c>
      <c r="K24" s="2">
        <f t="shared" si="2"/>
        <v>5.8472720000000002</v>
      </c>
      <c r="L24" s="2">
        <f t="shared" si="2"/>
        <v>6.0220099999999999</v>
      </c>
    </row>
    <row r="39" spans="7:17" x14ac:dyDescent="0.2">
      <c r="G39" s="13"/>
    </row>
    <row r="40" spans="7:17" x14ac:dyDescent="0.2">
      <c r="I40" s="13"/>
    </row>
    <row r="42" spans="7:17" x14ac:dyDescent="0.2">
      <c r="Q42" s="13"/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F8DF6-CA34-9E4C-9669-952779B161C3}">
  <sheetPr>
    <tabColor rgb="FFFFFF00"/>
  </sheetPr>
  <dimension ref="B2:Q42"/>
  <sheetViews>
    <sheetView workbookViewId="0">
      <selection activeCell="AA32" sqref="AA32"/>
    </sheetView>
  </sheetViews>
  <sheetFormatPr baseColWidth="10" defaultRowHeight="16" outlineLevelRow="1" outlineLevelCol="1" x14ac:dyDescent="0.2"/>
  <cols>
    <col min="1" max="1" width="4.33203125" style="2" customWidth="1"/>
    <col min="2" max="2" width="10.83203125" style="2"/>
    <col min="3" max="4" width="13.83203125" style="2" customWidth="1"/>
    <col min="5" max="5" width="2.83203125" style="2" customWidth="1"/>
    <col min="6" max="6" width="10.83203125" style="2"/>
    <col min="7" max="8" width="13.83203125" style="2" customWidth="1"/>
    <col min="9" max="9" width="2.6640625" style="2" customWidth="1"/>
    <col min="10" max="10" width="10.83203125" style="2"/>
    <col min="11" max="12" width="13.83203125" style="2" customWidth="1"/>
    <col min="13" max="13" width="10.83203125" style="2"/>
    <col min="14" max="14" width="0" style="2" hidden="1" customWidth="1" outlineLevel="1"/>
    <col min="15" max="15" width="10.83203125" style="2" collapsed="1"/>
    <col min="16" max="16384" width="10.83203125" style="2"/>
  </cols>
  <sheetData>
    <row r="2" spans="2:14" x14ac:dyDescent="0.2">
      <c r="B2" s="58" t="s">
        <v>5</v>
      </c>
      <c r="C2" s="58"/>
      <c r="D2" s="58"/>
      <c r="F2" s="58" t="s">
        <v>6</v>
      </c>
      <c r="G2" s="58"/>
      <c r="H2" s="58"/>
      <c r="J2" s="58" t="s">
        <v>0</v>
      </c>
      <c r="K2" s="58"/>
      <c r="L2" s="58"/>
    </row>
    <row r="3" spans="2:14" x14ac:dyDescent="0.2">
      <c r="B3" s="1" t="s">
        <v>1</v>
      </c>
      <c r="C3" s="1" t="s">
        <v>2</v>
      </c>
      <c r="D3" s="1" t="s">
        <v>3</v>
      </c>
      <c r="F3" s="1" t="s">
        <v>1</v>
      </c>
      <c r="G3" s="1" t="s">
        <v>2</v>
      </c>
      <c r="H3" s="1" t="s">
        <v>3</v>
      </c>
      <c r="J3" s="1" t="s">
        <v>1</v>
      </c>
      <c r="K3" s="1" t="s">
        <v>2</v>
      </c>
      <c r="L3" s="1" t="s">
        <v>3</v>
      </c>
    </row>
    <row r="4" spans="2:14" x14ac:dyDescent="0.2">
      <c r="B4" s="3">
        <v>2015</v>
      </c>
      <c r="C4" s="4">
        <v>7.6268340000000004E-2</v>
      </c>
      <c r="D4" s="4">
        <v>7.5249700000000003E-2</v>
      </c>
      <c r="F4" s="3">
        <v>2015</v>
      </c>
      <c r="G4" s="4">
        <v>3.8002999999999999E-3</v>
      </c>
      <c r="H4" s="4">
        <v>3.7813999999999999E-3</v>
      </c>
      <c r="J4" s="3">
        <v>2015</v>
      </c>
      <c r="K4" s="4">
        <v>7.2487399999999994E-2</v>
      </c>
      <c r="L4" s="4">
        <v>7.1517800000000006E-2</v>
      </c>
      <c r="N4" s="2">
        <v>100</v>
      </c>
    </row>
    <row r="5" spans="2:14" x14ac:dyDescent="0.2">
      <c r="B5" s="3">
        <v>2016</v>
      </c>
      <c r="C5" s="4">
        <v>6.5251699999999996E-2</v>
      </c>
      <c r="D5" s="4">
        <v>6.12083E-2</v>
      </c>
      <c r="F5" s="3">
        <v>2016</v>
      </c>
      <c r="G5" s="4">
        <v>3.2667500000000001E-3</v>
      </c>
      <c r="H5" s="4">
        <v>3.0812999999999999E-3</v>
      </c>
      <c r="J5" s="3">
        <v>2016</v>
      </c>
      <c r="K5" s="4">
        <v>6.1989969999999998E-2</v>
      </c>
      <c r="L5" s="4">
        <v>5.8149199999999998E-2</v>
      </c>
    </row>
    <row r="6" spans="2:14" x14ac:dyDescent="0.2">
      <c r="B6" s="3">
        <v>2017</v>
      </c>
      <c r="C6" s="4">
        <v>6.2952090000000002E-2</v>
      </c>
      <c r="D6" s="4">
        <v>6.0877899999999999E-2</v>
      </c>
      <c r="F6" s="3">
        <v>2017</v>
      </c>
      <c r="G6" s="4">
        <v>3.14467E-3</v>
      </c>
      <c r="H6" s="4">
        <v>3.058E-3</v>
      </c>
      <c r="J6" s="3">
        <v>2017</v>
      </c>
      <c r="K6" s="4">
        <v>5.9815060000000003E-2</v>
      </c>
      <c r="L6" s="4">
        <v>5.7844199999999998E-2</v>
      </c>
    </row>
    <row r="7" spans="2:14" x14ac:dyDescent="0.2">
      <c r="B7" s="3">
        <v>2018</v>
      </c>
      <c r="C7" s="4">
        <v>7.2905159999999997E-2</v>
      </c>
      <c r="D7" s="4">
        <v>6.6586000000000006E-2</v>
      </c>
      <c r="F7" s="3">
        <v>2018</v>
      </c>
      <c r="G7" s="4">
        <v>3.434E-3</v>
      </c>
      <c r="H7" s="4">
        <v>3.1638E-3</v>
      </c>
      <c r="J7" s="3">
        <v>2018</v>
      </c>
      <c r="K7" s="4">
        <v>6.9475670000000003E-2</v>
      </c>
      <c r="L7" s="4">
        <v>6.3446000000000002E-2</v>
      </c>
    </row>
    <row r="8" spans="2:14" x14ac:dyDescent="0.2">
      <c r="B8" s="3">
        <v>2019</v>
      </c>
      <c r="C8" s="4">
        <v>6.7377309999999996E-2</v>
      </c>
      <c r="D8" s="4">
        <v>6.5442299999999995E-2</v>
      </c>
      <c r="F8" s="3">
        <v>2019</v>
      </c>
      <c r="G8" s="4">
        <v>3.0242799999999999E-3</v>
      </c>
      <c r="H8" s="4">
        <v>2.9830999999999998E-3</v>
      </c>
      <c r="J8" s="3">
        <v>2019</v>
      </c>
      <c r="K8" s="4">
        <v>6.436588E-2</v>
      </c>
      <c r="L8" s="4">
        <v>6.2489799999999998E-2</v>
      </c>
    </row>
    <row r="9" spans="2:14" x14ac:dyDescent="0.2">
      <c r="B9" s="3">
        <v>2020</v>
      </c>
      <c r="C9" s="4">
        <v>8.8179830000000001E-2</v>
      </c>
      <c r="D9" s="4">
        <v>7.7996700000000002E-2</v>
      </c>
      <c r="F9" s="3">
        <v>2020</v>
      </c>
      <c r="G9" s="4">
        <v>3.8053000000000002E-3</v>
      </c>
      <c r="H9" s="4">
        <v>3.4391000000000001E-3</v>
      </c>
      <c r="J9" s="3">
        <v>2020</v>
      </c>
      <c r="K9" s="4">
        <v>8.4383589999999994E-2</v>
      </c>
      <c r="L9" s="4">
        <v>7.46029E-2</v>
      </c>
    </row>
    <row r="10" spans="2:14" x14ac:dyDescent="0.2">
      <c r="B10" s="3">
        <v>2021</v>
      </c>
      <c r="C10" s="4">
        <v>8.1539429999999996E-2</v>
      </c>
      <c r="D10" s="4">
        <v>7.2874400000000006E-2</v>
      </c>
      <c r="F10" s="3">
        <v>2021</v>
      </c>
      <c r="G10" s="4">
        <v>4.5860700000000003E-3</v>
      </c>
      <c r="H10" s="4">
        <v>4.0987999999999997E-3</v>
      </c>
      <c r="J10" s="3">
        <v>2021</v>
      </c>
      <c r="K10" s="4">
        <v>7.6966400000000004E-2</v>
      </c>
      <c r="L10" s="4">
        <v>6.8817199999999995E-2</v>
      </c>
    </row>
    <row r="11" spans="2:14" x14ac:dyDescent="0.2">
      <c r="B11" s="3">
        <v>2022</v>
      </c>
      <c r="C11" s="4">
        <v>8.726209E-2</v>
      </c>
      <c r="D11" s="4">
        <v>8.4068699999999996E-2</v>
      </c>
      <c r="F11" s="3">
        <v>2022</v>
      </c>
      <c r="G11" s="4">
        <v>5.6542299999999997E-3</v>
      </c>
      <c r="H11" s="4">
        <v>5.4012000000000001E-3</v>
      </c>
      <c r="J11" s="3">
        <v>2022</v>
      </c>
      <c r="K11" s="4">
        <v>8.1612980000000002E-2</v>
      </c>
      <c r="L11" s="4">
        <v>7.8694500000000001E-2</v>
      </c>
    </row>
    <row r="13" spans="2:14" x14ac:dyDescent="0.2">
      <c r="B13" s="5" t="s">
        <v>4</v>
      </c>
      <c r="C13" s="6">
        <f>C11-C4</f>
        <v>1.0993749999999997E-2</v>
      </c>
      <c r="D13" s="6">
        <f>D11-D4</f>
        <v>8.8189999999999935E-3</v>
      </c>
      <c r="F13" s="5" t="s">
        <v>4</v>
      </c>
      <c r="G13" s="6">
        <f>G11-G4</f>
        <v>1.8539299999999997E-3</v>
      </c>
      <c r="H13" s="6">
        <f>H11-H4</f>
        <v>1.6198000000000002E-3</v>
      </c>
      <c r="J13" s="5" t="s">
        <v>4</v>
      </c>
      <c r="K13" s="6">
        <f>K11-K4</f>
        <v>9.1255800000000081E-3</v>
      </c>
      <c r="L13" s="6">
        <f>L11-L4</f>
        <v>7.1766999999999942E-3</v>
      </c>
    </row>
    <row r="17" spans="3:12" outlineLevel="1" x14ac:dyDescent="0.2">
      <c r="C17" s="2">
        <f t="shared" ref="C17:D24" si="0">C4*$N$4</f>
        <v>7.6268340000000006</v>
      </c>
      <c r="D17" s="2">
        <f t="shared" si="0"/>
        <v>7.5249700000000006</v>
      </c>
      <c r="G17" s="2">
        <f t="shared" ref="G17:H24" si="1">G4*$N$4</f>
        <v>0.38002999999999998</v>
      </c>
      <c r="H17" s="2">
        <f t="shared" si="1"/>
        <v>0.37813999999999998</v>
      </c>
      <c r="K17" s="2">
        <f t="shared" ref="K17:L24" si="2">K4*$N$4</f>
        <v>7.2487399999999997</v>
      </c>
      <c r="L17" s="2">
        <f t="shared" si="2"/>
        <v>7.1517800000000005</v>
      </c>
    </row>
    <row r="18" spans="3:12" outlineLevel="1" x14ac:dyDescent="0.2">
      <c r="C18" s="2">
        <f t="shared" si="0"/>
        <v>6.5251699999999992</v>
      </c>
      <c r="D18" s="2">
        <f t="shared" si="0"/>
        <v>6.1208299999999998</v>
      </c>
      <c r="G18" s="2">
        <f t="shared" si="1"/>
        <v>0.32667499999999999</v>
      </c>
      <c r="H18" s="2">
        <f t="shared" si="1"/>
        <v>0.30813000000000001</v>
      </c>
      <c r="K18" s="2">
        <f t="shared" si="2"/>
        <v>6.1989969999999994</v>
      </c>
      <c r="L18" s="2">
        <f t="shared" si="2"/>
        <v>5.8149199999999999</v>
      </c>
    </row>
    <row r="19" spans="3:12" outlineLevel="1" x14ac:dyDescent="0.2">
      <c r="C19" s="2">
        <f t="shared" si="0"/>
        <v>6.2952089999999998</v>
      </c>
      <c r="D19" s="2">
        <f t="shared" si="0"/>
        <v>6.08779</v>
      </c>
      <c r="G19" s="2">
        <f t="shared" si="1"/>
        <v>0.314467</v>
      </c>
      <c r="H19" s="2">
        <f t="shared" si="1"/>
        <v>0.30580000000000002</v>
      </c>
      <c r="K19" s="2">
        <f t="shared" si="2"/>
        <v>5.9815060000000004</v>
      </c>
      <c r="L19" s="2">
        <f t="shared" si="2"/>
        <v>5.7844199999999999</v>
      </c>
    </row>
    <row r="20" spans="3:12" outlineLevel="1" x14ac:dyDescent="0.2">
      <c r="C20" s="2">
        <f t="shared" si="0"/>
        <v>7.2905159999999993</v>
      </c>
      <c r="D20" s="2">
        <f t="shared" si="0"/>
        <v>6.6586000000000007</v>
      </c>
      <c r="G20" s="2">
        <f t="shared" si="1"/>
        <v>0.34339999999999998</v>
      </c>
      <c r="H20" s="2">
        <f t="shared" si="1"/>
        <v>0.31637999999999999</v>
      </c>
      <c r="K20" s="2">
        <f t="shared" si="2"/>
        <v>6.9475670000000003</v>
      </c>
      <c r="L20" s="2">
        <f t="shared" si="2"/>
        <v>6.3445999999999998</v>
      </c>
    </row>
    <row r="21" spans="3:12" outlineLevel="1" x14ac:dyDescent="0.2">
      <c r="C21" s="2">
        <f t="shared" si="0"/>
        <v>6.7377309999999992</v>
      </c>
      <c r="D21" s="2">
        <f t="shared" si="0"/>
        <v>6.5442299999999998</v>
      </c>
      <c r="G21" s="2">
        <f t="shared" si="1"/>
        <v>0.30242799999999997</v>
      </c>
      <c r="H21" s="2">
        <f t="shared" si="1"/>
        <v>0.29830999999999996</v>
      </c>
      <c r="K21" s="2">
        <f t="shared" si="2"/>
        <v>6.4365880000000004</v>
      </c>
      <c r="L21" s="2">
        <f t="shared" si="2"/>
        <v>6.2489799999999995</v>
      </c>
    </row>
    <row r="22" spans="3:12" outlineLevel="1" x14ac:dyDescent="0.2">
      <c r="C22" s="2">
        <f t="shared" si="0"/>
        <v>8.8179829999999999</v>
      </c>
      <c r="D22" s="2">
        <f t="shared" si="0"/>
        <v>7.7996699999999999</v>
      </c>
      <c r="G22" s="2">
        <f t="shared" si="1"/>
        <v>0.38053000000000003</v>
      </c>
      <c r="H22" s="2">
        <f t="shared" si="1"/>
        <v>0.34390999999999999</v>
      </c>
      <c r="K22" s="2">
        <f t="shared" si="2"/>
        <v>8.4383590000000002</v>
      </c>
      <c r="L22" s="2">
        <f t="shared" si="2"/>
        <v>7.4602899999999996</v>
      </c>
    </row>
    <row r="23" spans="3:12" outlineLevel="1" x14ac:dyDescent="0.2">
      <c r="C23" s="2">
        <f t="shared" si="0"/>
        <v>8.1539429999999999</v>
      </c>
      <c r="D23" s="2">
        <f t="shared" si="0"/>
        <v>7.2874400000000001</v>
      </c>
      <c r="G23" s="2">
        <f t="shared" si="1"/>
        <v>0.45860700000000004</v>
      </c>
      <c r="H23" s="2">
        <f t="shared" si="1"/>
        <v>0.40987999999999997</v>
      </c>
      <c r="K23" s="2">
        <f t="shared" si="2"/>
        <v>7.6966400000000004</v>
      </c>
      <c r="L23" s="2">
        <f t="shared" si="2"/>
        <v>6.8817199999999996</v>
      </c>
    </row>
    <row r="24" spans="3:12" outlineLevel="1" x14ac:dyDescent="0.2">
      <c r="C24" s="2">
        <f t="shared" si="0"/>
        <v>8.7262090000000008</v>
      </c>
      <c r="D24" s="2">
        <f t="shared" si="0"/>
        <v>8.4068699999999996</v>
      </c>
      <c r="G24" s="2">
        <f t="shared" si="1"/>
        <v>0.56542300000000001</v>
      </c>
      <c r="H24" s="2">
        <f t="shared" si="1"/>
        <v>0.54012000000000004</v>
      </c>
      <c r="K24" s="2">
        <f t="shared" si="2"/>
        <v>8.1612980000000004</v>
      </c>
      <c r="L24" s="2">
        <f t="shared" si="2"/>
        <v>7.8694500000000005</v>
      </c>
    </row>
    <row r="39" spans="7:17" x14ac:dyDescent="0.2">
      <c r="G39" s="13"/>
    </row>
    <row r="40" spans="7:17" x14ac:dyDescent="0.2">
      <c r="I40" s="13"/>
    </row>
    <row r="42" spans="7:17" x14ac:dyDescent="0.2">
      <c r="Q42" s="13"/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8A7F-67FD-9848-9AA9-7E77FE7EC05A}">
  <sheetPr>
    <tabColor rgb="FFFFFF00"/>
  </sheetPr>
  <dimension ref="B2:Q42"/>
  <sheetViews>
    <sheetView topLeftCell="L1" workbookViewId="0">
      <selection activeCell="AA34" sqref="AA34"/>
    </sheetView>
  </sheetViews>
  <sheetFormatPr baseColWidth="10" defaultRowHeight="16" outlineLevelRow="1" outlineLevelCol="1" x14ac:dyDescent="0.2"/>
  <cols>
    <col min="1" max="1" width="4.33203125" style="2" customWidth="1"/>
    <col min="2" max="2" width="10.83203125" style="2"/>
    <col min="3" max="4" width="13.83203125" style="2" customWidth="1"/>
    <col min="5" max="5" width="2.83203125" style="2" customWidth="1"/>
    <col min="6" max="6" width="10.83203125" style="2"/>
    <col min="7" max="8" width="13.83203125" style="2" customWidth="1"/>
    <col min="9" max="9" width="2.6640625" style="2" customWidth="1"/>
    <col min="10" max="10" width="10.83203125" style="2"/>
    <col min="11" max="12" width="13.83203125" style="2" customWidth="1"/>
    <col min="13" max="13" width="10.83203125" style="2"/>
    <col min="14" max="14" width="0" style="2" hidden="1" customWidth="1" outlineLevel="1"/>
    <col min="15" max="15" width="10.83203125" style="2" collapsed="1"/>
    <col min="16" max="16384" width="10.83203125" style="2"/>
  </cols>
  <sheetData>
    <row r="2" spans="2:14" x14ac:dyDescent="0.2">
      <c r="B2" s="58" t="s">
        <v>5</v>
      </c>
      <c r="C2" s="58"/>
      <c r="D2" s="58"/>
      <c r="F2" s="58" t="s">
        <v>6</v>
      </c>
      <c r="G2" s="58"/>
      <c r="H2" s="58"/>
      <c r="J2" s="58" t="s">
        <v>0</v>
      </c>
      <c r="K2" s="58"/>
      <c r="L2" s="58"/>
    </row>
    <row r="3" spans="2:14" x14ac:dyDescent="0.2">
      <c r="B3" s="1" t="s">
        <v>1</v>
      </c>
      <c r="C3" s="1" t="s">
        <v>2</v>
      </c>
      <c r="D3" s="1" t="s">
        <v>3</v>
      </c>
      <c r="F3" s="1" t="s">
        <v>1</v>
      </c>
      <c r="G3" s="1" t="s">
        <v>2</v>
      </c>
      <c r="H3" s="1" t="s">
        <v>3</v>
      </c>
      <c r="J3" s="1" t="s">
        <v>1</v>
      </c>
      <c r="K3" s="1" t="s">
        <v>2</v>
      </c>
      <c r="L3" s="1" t="s">
        <v>3</v>
      </c>
    </row>
    <row r="4" spans="2:14" x14ac:dyDescent="0.2">
      <c r="B4" s="3">
        <v>2015</v>
      </c>
      <c r="C4" s="4">
        <v>0.12191679</v>
      </c>
      <c r="D4" s="4">
        <v>9.3972299999999995E-2</v>
      </c>
      <c r="F4" s="3">
        <v>2015</v>
      </c>
      <c r="G4" s="4">
        <v>7.5699299999999999E-3</v>
      </c>
      <c r="H4" s="4">
        <v>6.3368000000000001E-3</v>
      </c>
      <c r="J4" s="3">
        <v>2015</v>
      </c>
      <c r="K4" s="4">
        <v>0.11979194999999999</v>
      </c>
      <c r="L4" s="4">
        <v>9.9062700000000004E-2</v>
      </c>
      <c r="N4" s="2">
        <v>100</v>
      </c>
    </row>
    <row r="5" spans="2:14" x14ac:dyDescent="0.2">
      <c r="B5" s="3">
        <v>2016</v>
      </c>
      <c r="C5" s="4">
        <v>0.10794004</v>
      </c>
      <c r="D5" s="4">
        <v>8.4002900000000005E-2</v>
      </c>
      <c r="F5" s="3">
        <v>2016</v>
      </c>
      <c r="G5" s="4">
        <v>6.7581999999999998E-3</v>
      </c>
      <c r="H5" s="4">
        <v>5.7612999999999996E-3</v>
      </c>
      <c r="J5" s="3">
        <v>2016</v>
      </c>
      <c r="K5" s="4">
        <v>0.10600002</v>
      </c>
      <c r="L5" s="4">
        <v>8.7764700000000001E-2</v>
      </c>
    </row>
    <row r="6" spans="2:14" x14ac:dyDescent="0.2">
      <c r="B6" s="3">
        <v>2017</v>
      </c>
      <c r="C6" s="4">
        <v>0.10642183</v>
      </c>
      <c r="D6" s="4">
        <v>8.0841899999999994E-2</v>
      </c>
      <c r="F6" s="3">
        <v>2017</v>
      </c>
      <c r="G6" s="4">
        <v>6.3184199999999999E-3</v>
      </c>
      <c r="H6" s="4">
        <v>5.2932999999999999E-3</v>
      </c>
      <c r="J6" s="3">
        <v>2017</v>
      </c>
      <c r="K6" s="4">
        <v>0.10487024</v>
      </c>
      <c r="L6" s="4">
        <v>8.4669999999999995E-2</v>
      </c>
    </row>
    <row r="7" spans="2:14" x14ac:dyDescent="0.2">
      <c r="B7" s="3">
        <v>2018</v>
      </c>
      <c r="C7" s="4">
        <v>0.10511845</v>
      </c>
      <c r="D7" s="4">
        <v>8.0338999999999994E-2</v>
      </c>
      <c r="F7" s="3">
        <v>2018</v>
      </c>
      <c r="G7" s="4">
        <v>6.7975400000000004E-3</v>
      </c>
      <c r="H7" s="4">
        <v>5.6817999999999999E-3</v>
      </c>
      <c r="J7" s="3">
        <v>2018</v>
      </c>
      <c r="K7" s="4">
        <v>0.10300286</v>
      </c>
      <c r="L7" s="4">
        <v>8.3022299999999993E-2</v>
      </c>
    </row>
    <row r="8" spans="2:14" x14ac:dyDescent="0.2">
      <c r="B8" s="3">
        <v>2019</v>
      </c>
      <c r="C8" s="4">
        <v>0.10530973</v>
      </c>
      <c r="D8" s="4">
        <v>8.0810400000000004E-2</v>
      </c>
      <c r="F8" s="3">
        <v>2019</v>
      </c>
      <c r="G8" s="4">
        <v>7.1003200000000002E-3</v>
      </c>
      <c r="H8" s="4">
        <v>5.9563000000000003E-3</v>
      </c>
      <c r="J8" s="3">
        <v>2019</v>
      </c>
      <c r="K8" s="4">
        <v>0.10288605000000001</v>
      </c>
      <c r="L8" s="4">
        <v>8.2988400000000004E-2</v>
      </c>
    </row>
    <row r="9" spans="2:14" x14ac:dyDescent="0.2">
      <c r="B9" s="3">
        <v>2020</v>
      </c>
      <c r="C9" s="4">
        <v>0.10521709</v>
      </c>
      <c r="D9" s="4">
        <v>8.0702399999999994E-2</v>
      </c>
      <c r="F9" s="3">
        <v>2020</v>
      </c>
      <c r="G9" s="4">
        <v>7.2022400000000004E-3</v>
      </c>
      <c r="H9" s="4">
        <v>5.8798000000000001E-3</v>
      </c>
      <c r="J9" s="3">
        <v>2020</v>
      </c>
      <c r="K9" s="4">
        <v>0.10268223</v>
      </c>
      <c r="L9" s="4">
        <v>8.2786299999999993E-2</v>
      </c>
    </row>
    <row r="10" spans="2:14" x14ac:dyDescent="0.2">
      <c r="B10" s="3">
        <v>2021</v>
      </c>
      <c r="C10" s="4">
        <v>0.10489286</v>
      </c>
      <c r="D10" s="4">
        <v>8.1627500000000006E-2</v>
      </c>
      <c r="F10" s="3">
        <v>2021</v>
      </c>
      <c r="G10" s="4">
        <v>8.0277300000000003E-3</v>
      </c>
      <c r="H10" s="4">
        <v>8.0695000000000003E-3</v>
      </c>
      <c r="J10" s="3">
        <v>2021</v>
      </c>
      <c r="K10" s="4">
        <v>0.10186003</v>
      </c>
      <c r="L10" s="4">
        <v>8.3805299999999999E-2</v>
      </c>
    </row>
    <row r="11" spans="2:14" x14ac:dyDescent="0.2">
      <c r="B11" s="3">
        <v>2022</v>
      </c>
      <c r="C11" s="4">
        <v>9.6393110000000004E-2</v>
      </c>
      <c r="D11" s="4">
        <v>8.2353899999999994E-2</v>
      </c>
      <c r="F11" s="3">
        <v>2022</v>
      </c>
      <c r="G11" s="4">
        <v>7.0632999999999998E-3</v>
      </c>
      <c r="H11" s="4">
        <v>7.6303999999999999E-3</v>
      </c>
      <c r="J11" s="3">
        <v>2022</v>
      </c>
      <c r="K11" s="4">
        <v>9.3919959999999997E-2</v>
      </c>
      <c r="L11" s="4">
        <v>8.4349300000000002E-2</v>
      </c>
    </row>
    <row r="13" spans="2:14" x14ac:dyDescent="0.2">
      <c r="B13" s="5" t="s">
        <v>4</v>
      </c>
      <c r="C13" s="6">
        <f>C11-C4</f>
        <v>-2.5523679999999993E-2</v>
      </c>
      <c r="D13" s="6">
        <f>D11-D4</f>
        <v>-1.1618400000000001E-2</v>
      </c>
      <c r="F13" s="5" t="s">
        <v>4</v>
      </c>
      <c r="G13" s="6">
        <f>G11-G4</f>
        <v>-5.066300000000001E-4</v>
      </c>
      <c r="H13" s="6">
        <f>H11-H4</f>
        <v>1.2935999999999998E-3</v>
      </c>
      <c r="J13" s="5" t="s">
        <v>4</v>
      </c>
      <c r="K13" s="6">
        <f>K11-K4</f>
        <v>-2.5871989999999997E-2</v>
      </c>
      <c r="L13" s="6">
        <f>L11-L4</f>
        <v>-1.4713400000000001E-2</v>
      </c>
    </row>
    <row r="17" spans="3:12" outlineLevel="1" x14ac:dyDescent="0.2">
      <c r="C17" s="2">
        <f t="shared" ref="C17:D24" si="0">C4*$N$4</f>
        <v>12.191679000000001</v>
      </c>
      <c r="D17" s="2">
        <f t="shared" si="0"/>
        <v>9.3972299999999986</v>
      </c>
      <c r="G17" s="2">
        <f t="shared" ref="G17:H24" si="1">G4*$N$4</f>
        <v>0.75699300000000003</v>
      </c>
      <c r="H17" s="2">
        <f t="shared" si="1"/>
        <v>0.63368000000000002</v>
      </c>
      <c r="K17" s="2">
        <f t="shared" ref="K17:L24" si="2">K4*$N$4</f>
        <v>11.979194999999999</v>
      </c>
      <c r="L17" s="2">
        <f t="shared" si="2"/>
        <v>9.906270000000001</v>
      </c>
    </row>
    <row r="18" spans="3:12" outlineLevel="1" x14ac:dyDescent="0.2">
      <c r="C18" s="2">
        <f t="shared" si="0"/>
        <v>10.794003999999999</v>
      </c>
      <c r="D18" s="2">
        <f t="shared" si="0"/>
        <v>8.40029</v>
      </c>
      <c r="G18" s="2">
        <f t="shared" si="1"/>
        <v>0.67581999999999998</v>
      </c>
      <c r="H18" s="2">
        <f t="shared" si="1"/>
        <v>0.57612999999999992</v>
      </c>
      <c r="K18" s="2">
        <f t="shared" si="2"/>
        <v>10.600002</v>
      </c>
      <c r="L18" s="2">
        <f t="shared" si="2"/>
        <v>8.7764699999999998</v>
      </c>
    </row>
    <row r="19" spans="3:12" outlineLevel="1" x14ac:dyDescent="0.2">
      <c r="C19" s="2">
        <f t="shared" si="0"/>
        <v>10.642182999999999</v>
      </c>
      <c r="D19" s="2">
        <f t="shared" si="0"/>
        <v>8.0841899999999995</v>
      </c>
      <c r="G19" s="2">
        <f t="shared" si="1"/>
        <v>0.63184200000000001</v>
      </c>
      <c r="H19" s="2">
        <f t="shared" si="1"/>
        <v>0.52932999999999997</v>
      </c>
      <c r="K19" s="2">
        <f t="shared" si="2"/>
        <v>10.487024</v>
      </c>
      <c r="L19" s="2">
        <f t="shared" si="2"/>
        <v>8.4669999999999987</v>
      </c>
    </row>
    <row r="20" spans="3:12" outlineLevel="1" x14ac:dyDescent="0.2">
      <c r="C20" s="2">
        <f t="shared" si="0"/>
        <v>10.511845000000001</v>
      </c>
      <c r="D20" s="2">
        <f t="shared" si="0"/>
        <v>8.0338999999999992</v>
      </c>
      <c r="G20" s="2">
        <f t="shared" si="1"/>
        <v>0.67975400000000008</v>
      </c>
      <c r="H20" s="2">
        <f t="shared" si="1"/>
        <v>0.56818000000000002</v>
      </c>
      <c r="K20" s="2">
        <f t="shared" si="2"/>
        <v>10.300286</v>
      </c>
      <c r="L20" s="2">
        <f t="shared" si="2"/>
        <v>8.3022299999999998</v>
      </c>
    </row>
    <row r="21" spans="3:12" outlineLevel="1" x14ac:dyDescent="0.2">
      <c r="C21" s="2">
        <f t="shared" si="0"/>
        <v>10.530973000000001</v>
      </c>
      <c r="D21" s="2">
        <f t="shared" si="0"/>
        <v>8.0810399999999998</v>
      </c>
      <c r="G21" s="2">
        <f t="shared" si="1"/>
        <v>0.710032</v>
      </c>
      <c r="H21" s="2">
        <f t="shared" si="1"/>
        <v>0.59562999999999999</v>
      </c>
      <c r="K21" s="2">
        <f t="shared" si="2"/>
        <v>10.288605</v>
      </c>
      <c r="L21" s="2">
        <f t="shared" si="2"/>
        <v>8.2988400000000002</v>
      </c>
    </row>
    <row r="22" spans="3:12" outlineLevel="1" x14ac:dyDescent="0.2">
      <c r="C22" s="2">
        <f t="shared" si="0"/>
        <v>10.521709</v>
      </c>
      <c r="D22" s="2">
        <f t="shared" si="0"/>
        <v>8.0702400000000001</v>
      </c>
      <c r="G22" s="2">
        <f t="shared" si="1"/>
        <v>0.72022400000000009</v>
      </c>
      <c r="H22" s="2">
        <f t="shared" si="1"/>
        <v>0.58798000000000006</v>
      </c>
      <c r="K22" s="2">
        <f t="shared" si="2"/>
        <v>10.268223000000001</v>
      </c>
      <c r="L22" s="2">
        <f t="shared" si="2"/>
        <v>8.2786299999999997</v>
      </c>
    </row>
    <row r="23" spans="3:12" outlineLevel="1" x14ac:dyDescent="0.2">
      <c r="C23" s="2">
        <f t="shared" si="0"/>
        <v>10.489286</v>
      </c>
      <c r="D23" s="2">
        <f t="shared" si="0"/>
        <v>8.1627500000000008</v>
      </c>
      <c r="G23" s="2">
        <f t="shared" si="1"/>
        <v>0.80277300000000007</v>
      </c>
      <c r="H23" s="2">
        <f t="shared" si="1"/>
        <v>0.80695000000000006</v>
      </c>
      <c r="K23" s="2">
        <f t="shared" si="2"/>
        <v>10.186003000000001</v>
      </c>
      <c r="L23" s="2">
        <f t="shared" si="2"/>
        <v>8.3805300000000003</v>
      </c>
    </row>
    <row r="24" spans="3:12" outlineLevel="1" x14ac:dyDescent="0.2">
      <c r="C24" s="2">
        <f t="shared" si="0"/>
        <v>9.6393110000000011</v>
      </c>
      <c r="D24" s="2">
        <f t="shared" si="0"/>
        <v>8.2353899999999989</v>
      </c>
      <c r="G24" s="2">
        <f t="shared" si="1"/>
        <v>0.70633000000000001</v>
      </c>
      <c r="H24" s="2">
        <f t="shared" si="1"/>
        <v>0.76303999999999994</v>
      </c>
      <c r="K24" s="2">
        <f t="shared" si="2"/>
        <v>9.3919959999999989</v>
      </c>
      <c r="L24" s="2">
        <f t="shared" si="2"/>
        <v>8.4349299999999996</v>
      </c>
    </row>
    <row r="39" spans="7:17" x14ac:dyDescent="0.2">
      <c r="G39" s="13"/>
    </row>
    <row r="40" spans="7:17" x14ac:dyDescent="0.2">
      <c r="I40" s="13"/>
    </row>
    <row r="42" spans="7:17" x14ac:dyDescent="0.2">
      <c r="Q42" s="13"/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1B4D-4CFC-E04D-ADC6-C13A622BA51F}">
  <sheetPr>
    <tabColor rgb="FFFFFF00"/>
  </sheetPr>
  <dimension ref="B2:N59"/>
  <sheetViews>
    <sheetView workbookViewId="0">
      <selection activeCell="C4" sqref="C4:C11"/>
    </sheetView>
  </sheetViews>
  <sheetFormatPr baseColWidth="10" defaultRowHeight="16" outlineLevelRow="1" outlineLevelCol="1" x14ac:dyDescent="0.2"/>
  <cols>
    <col min="1" max="1" width="2.6640625" style="2" customWidth="1"/>
    <col min="2" max="2" width="10.83203125" style="2"/>
    <col min="3" max="4" width="13.83203125" style="2" customWidth="1"/>
    <col min="5" max="5" width="10.83203125" style="2"/>
    <col min="6" max="6" width="0" style="2" hidden="1" customWidth="1" outlineLevel="1"/>
    <col min="7" max="7" width="16.6640625" style="2" bestFit="1" customWidth="1" collapsed="1"/>
    <col min="8" max="8" width="20.83203125" style="2" bestFit="1" customWidth="1"/>
    <col min="9" max="9" width="18.83203125" style="2" customWidth="1"/>
    <col min="10" max="10" width="10.83203125" style="2"/>
    <col min="11" max="11" width="17.6640625" style="2" bestFit="1" customWidth="1"/>
    <col min="12" max="13" width="10.83203125" style="2"/>
    <col min="14" max="14" width="13" style="2" bestFit="1" customWidth="1"/>
    <col min="15" max="16384" width="10.83203125" style="2"/>
  </cols>
  <sheetData>
    <row r="2" spans="2:6" x14ac:dyDescent="0.2">
      <c r="B2" s="58" t="s">
        <v>0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8.5071809999999998E-2</v>
      </c>
      <c r="D4" s="4">
        <v>9.0008299999999999E-2</v>
      </c>
      <c r="F4" s="2">
        <v>100</v>
      </c>
    </row>
    <row r="5" spans="2:6" x14ac:dyDescent="0.2">
      <c r="B5" s="3">
        <v>2016</v>
      </c>
      <c r="C5" s="4">
        <v>9.825101E-2</v>
      </c>
      <c r="D5" s="4">
        <v>9.9839499999999998E-2</v>
      </c>
    </row>
    <row r="6" spans="2:6" x14ac:dyDescent="0.2">
      <c r="B6" s="3">
        <v>2017</v>
      </c>
      <c r="C6" s="4">
        <v>0.10257864999999999</v>
      </c>
      <c r="D6" s="4">
        <v>0.10460990000000001</v>
      </c>
    </row>
    <row r="7" spans="2:6" x14ac:dyDescent="0.2">
      <c r="B7" s="3">
        <v>2018</v>
      </c>
      <c r="C7" s="4">
        <v>0.10525142</v>
      </c>
      <c r="D7" s="4">
        <v>0.1074113</v>
      </c>
    </row>
    <row r="8" spans="2:6" x14ac:dyDescent="0.2">
      <c r="B8" s="3">
        <v>2019</v>
      </c>
      <c r="C8" s="4">
        <v>0.10979559</v>
      </c>
      <c r="D8" s="4">
        <v>0.1122412</v>
      </c>
    </row>
    <row r="9" spans="2:6" x14ac:dyDescent="0.2">
      <c r="B9" s="3">
        <v>2020</v>
      </c>
      <c r="C9" s="4">
        <v>0.12135311</v>
      </c>
      <c r="D9" s="4">
        <v>0.11470039999999999</v>
      </c>
    </row>
    <row r="10" spans="2:6" x14ac:dyDescent="0.2">
      <c r="B10" s="3">
        <v>2021</v>
      </c>
      <c r="C10" s="4">
        <v>0.12357131</v>
      </c>
      <c r="D10" s="4">
        <v>0.1232467</v>
      </c>
    </row>
    <row r="11" spans="2:6" x14ac:dyDescent="0.2">
      <c r="B11" s="3">
        <v>2022</v>
      </c>
      <c r="C11" s="4">
        <v>0.13434747</v>
      </c>
      <c r="D11" s="4">
        <v>0.1355867</v>
      </c>
    </row>
    <row r="13" spans="2:6" x14ac:dyDescent="0.2">
      <c r="B13" s="5" t="s">
        <v>4</v>
      </c>
      <c r="C13" s="15">
        <f>C11-C4</f>
        <v>4.9275659999999999E-2</v>
      </c>
      <c r="D13" s="6">
        <f>D11-D4</f>
        <v>4.5578400000000005E-2</v>
      </c>
    </row>
    <row r="15" spans="2:6" x14ac:dyDescent="0.2">
      <c r="C15" s="12">
        <f>C11-C4</f>
        <v>4.9275659999999999E-2</v>
      </c>
      <c r="D15" s="12">
        <f>D11-D4</f>
        <v>4.5578400000000005E-2</v>
      </c>
    </row>
    <row r="17" spans="3:4" outlineLevel="1" x14ac:dyDescent="0.2">
      <c r="C17" s="2">
        <f t="shared" ref="C17:D24" si="0">C4*$F$4</f>
        <v>8.5071809999999992</v>
      </c>
      <c r="D17" s="2">
        <f t="shared" si="0"/>
        <v>9.0008300000000006</v>
      </c>
    </row>
    <row r="18" spans="3:4" outlineLevel="1" x14ac:dyDescent="0.2">
      <c r="C18" s="2">
        <f t="shared" si="0"/>
        <v>9.8251010000000001</v>
      </c>
      <c r="D18" s="2">
        <f t="shared" si="0"/>
        <v>9.9839500000000001</v>
      </c>
    </row>
    <row r="19" spans="3:4" outlineLevel="1" x14ac:dyDescent="0.2">
      <c r="C19" s="2">
        <f t="shared" si="0"/>
        <v>10.257864999999999</v>
      </c>
      <c r="D19" s="2">
        <f t="shared" si="0"/>
        <v>10.460990000000001</v>
      </c>
    </row>
    <row r="20" spans="3:4" outlineLevel="1" x14ac:dyDescent="0.2">
      <c r="C20" s="2">
        <f t="shared" si="0"/>
        <v>10.525142000000001</v>
      </c>
      <c r="D20" s="2">
        <f t="shared" si="0"/>
        <v>10.74113</v>
      </c>
    </row>
    <row r="21" spans="3:4" outlineLevel="1" x14ac:dyDescent="0.2">
      <c r="C21" s="2">
        <f t="shared" si="0"/>
        <v>10.979559</v>
      </c>
      <c r="D21" s="2">
        <f t="shared" si="0"/>
        <v>11.224119999999999</v>
      </c>
    </row>
    <row r="22" spans="3:4" outlineLevel="1" x14ac:dyDescent="0.2">
      <c r="C22" s="2">
        <f t="shared" si="0"/>
        <v>12.135311</v>
      </c>
      <c r="D22" s="2">
        <f t="shared" si="0"/>
        <v>11.470039999999999</v>
      </c>
    </row>
    <row r="23" spans="3:4" outlineLevel="1" x14ac:dyDescent="0.2">
      <c r="C23" s="2">
        <f t="shared" si="0"/>
        <v>12.357131000000001</v>
      </c>
      <c r="D23" s="2">
        <f t="shared" si="0"/>
        <v>12.324669999999999</v>
      </c>
    </row>
    <row r="24" spans="3:4" outlineLevel="1" x14ac:dyDescent="0.2">
      <c r="C24" s="2">
        <f t="shared" si="0"/>
        <v>13.434747</v>
      </c>
      <c r="D24" s="2">
        <f t="shared" si="0"/>
        <v>13.558670000000001</v>
      </c>
    </row>
    <row r="26" spans="3:4" x14ac:dyDescent="0.2">
      <c r="C26" s="11"/>
    </row>
    <row r="36" spans="4:14" x14ac:dyDescent="0.2">
      <c r="H36" s="16"/>
      <c r="I36" s="16"/>
    </row>
    <row r="37" spans="4:14" x14ac:dyDescent="0.2">
      <c r="H37" s="16"/>
      <c r="I37" s="16"/>
    </row>
    <row r="38" spans="4:14" x14ac:dyDescent="0.2">
      <c r="H38" s="16"/>
      <c r="I38" s="16"/>
    </row>
    <row r="39" spans="4:14" x14ac:dyDescent="0.2">
      <c r="H39" s="10"/>
      <c r="I39" s="10"/>
    </row>
    <row r="40" spans="4:14" x14ac:dyDescent="0.2">
      <c r="D40" s="10"/>
      <c r="H40" s="10"/>
      <c r="I40" s="10"/>
    </row>
    <row r="41" spans="4:14" x14ac:dyDescent="0.2">
      <c r="D41" s="10"/>
      <c r="H41" s="10"/>
      <c r="I41" s="10"/>
    </row>
    <row r="42" spans="4:14" x14ac:dyDescent="0.2">
      <c r="D42" s="10"/>
      <c r="H42" s="10"/>
      <c r="I42" s="10"/>
      <c r="N42" s="10"/>
    </row>
    <row r="43" spans="4:14" x14ac:dyDescent="0.2">
      <c r="D43" s="10"/>
      <c r="H43" s="10"/>
      <c r="I43" s="10"/>
      <c r="N43" s="10"/>
    </row>
    <row r="44" spans="4:14" x14ac:dyDescent="0.2">
      <c r="D44" s="10"/>
      <c r="H44" s="10"/>
      <c r="I44" s="10"/>
      <c r="N44" s="10"/>
    </row>
    <row r="45" spans="4:14" x14ac:dyDescent="0.2">
      <c r="D45" s="10"/>
      <c r="G45" s="13"/>
      <c r="H45" s="10"/>
      <c r="I45" s="10"/>
      <c r="N45" s="10"/>
    </row>
    <row r="46" spans="4:14" x14ac:dyDescent="0.2">
      <c r="D46" s="10"/>
      <c r="H46" s="18"/>
      <c r="I46" s="19"/>
      <c r="N46" s="10"/>
    </row>
    <row r="47" spans="4:14" x14ac:dyDescent="0.2">
      <c r="D47" s="10"/>
      <c r="K47" s="10"/>
      <c r="N47" s="10"/>
    </row>
    <row r="48" spans="4:14" x14ac:dyDescent="0.2">
      <c r="H48" s="17"/>
      <c r="I48" s="17"/>
      <c r="L48" s="13"/>
      <c r="N48" s="10"/>
    </row>
    <row r="49" spans="7:14" x14ac:dyDescent="0.2">
      <c r="N49" s="10"/>
    </row>
    <row r="50" spans="7:14" x14ac:dyDescent="0.2">
      <c r="K50" s="10"/>
    </row>
    <row r="52" spans="7:14" x14ac:dyDescent="0.2">
      <c r="G52" s="10"/>
      <c r="H52" s="10"/>
    </row>
    <row r="53" spans="7:14" x14ac:dyDescent="0.2">
      <c r="G53" s="10"/>
    </row>
    <row r="54" spans="7:14" x14ac:dyDescent="0.2">
      <c r="G54" s="10"/>
    </row>
    <row r="55" spans="7:14" x14ac:dyDescent="0.2">
      <c r="G55" s="10"/>
    </row>
    <row r="56" spans="7:14" x14ac:dyDescent="0.2">
      <c r="G56" s="10"/>
    </row>
    <row r="57" spans="7:14" x14ac:dyDescent="0.2">
      <c r="G57" s="10"/>
    </row>
    <row r="58" spans="7:14" x14ac:dyDescent="0.2">
      <c r="G58" s="10"/>
    </row>
    <row r="59" spans="7:14" x14ac:dyDescent="0.2">
      <c r="G59" s="10"/>
    </row>
  </sheetData>
  <mergeCells count="1">
    <mergeCell ref="B2:D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5C65-8276-0B42-BB46-908BDEE424EB}">
  <sheetPr>
    <tabColor rgb="FFFFFF00"/>
  </sheetPr>
  <dimension ref="B2:N59"/>
  <sheetViews>
    <sheetView workbookViewId="0">
      <selection activeCell="C4" sqref="C4:C11"/>
    </sheetView>
  </sheetViews>
  <sheetFormatPr baseColWidth="10" defaultRowHeight="16" outlineLevelRow="1" outlineLevelCol="1" x14ac:dyDescent="0.2"/>
  <cols>
    <col min="1" max="1" width="2.6640625" style="2" customWidth="1"/>
    <col min="2" max="2" width="10.83203125" style="2"/>
    <col min="3" max="4" width="13.83203125" style="2" customWidth="1"/>
    <col min="5" max="5" width="10.83203125" style="2"/>
    <col min="6" max="6" width="0" style="2" hidden="1" customWidth="1" outlineLevel="1"/>
    <col min="7" max="7" width="16.6640625" style="2" bestFit="1" customWidth="1" collapsed="1"/>
    <col min="8" max="8" width="20.83203125" style="2" bestFit="1" customWidth="1"/>
    <col min="9" max="9" width="18.83203125" style="2" customWidth="1"/>
    <col min="10" max="10" width="10.83203125" style="2"/>
    <col min="11" max="11" width="17.6640625" style="2" bestFit="1" customWidth="1"/>
    <col min="12" max="13" width="10.83203125" style="2"/>
    <col min="14" max="14" width="13" style="2" bestFit="1" customWidth="1"/>
    <col min="15" max="16384" width="10.83203125" style="2"/>
  </cols>
  <sheetData>
    <row r="2" spans="2:6" x14ac:dyDescent="0.2">
      <c r="B2" s="58" t="s">
        <v>6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5.0734309999999998E-2</v>
      </c>
      <c r="D4" s="4">
        <v>5.5802999999999998E-2</v>
      </c>
      <c r="F4" s="2">
        <v>100</v>
      </c>
    </row>
    <row r="5" spans="2:6" x14ac:dyDescent="0.2">
      <c r="B5" s="3">
        <v>2016</v>
      </c>
      <c r="C5" s="4">
        <v>5.3493899999999997E-2</v>
      </c>
      <c r="D5" s="4">
        <v>5.8334499999999997E-2</v>
      </c>
    </row>
    <row r="6" spans="2:6" x14ac:dyDescent="0.2">
      <c r="B6" s="3">
        <v>2017</v>
      </c>
      <c r="C6" s="4">
        <v>5.3668449999999999E-2</v>
      </c>
      <c r="D6" s="4">
        <v>5.8238400000000003E-2</v>
      </c>
    </row>
    <row r="7" spans="2:6" x14ac:dyDescent="0.2">
      <c r="B7" s="3">
        <v>2018</v>
      </c>
      <c r="C7" s="4">
        <v>6.3526170000000007E-2</v>
      </c>
      <c r="D7" s="4">
        <v>6.8666699999999997E-2</v>
      </c>
    </row>
    <row r="8" spans="2:6" x14ac:dyDescent="0.2">
      <c r="B8" s="3">
        <v>2019</v>
      </c>
      <c r="C8" s="4">
        <v>6.3657130000000006E-2</v>
      </c>
      <c r="D8" s="4">
        <v>6.8436700000000003E-2</v>
      </c>
    </row>
    <row r="9" spans="2:6" x14ac:dyDescent="0.2">
      <c r="B9" s="3">
        <v>2020</v>
      </c>
      <c r="C9" s="4">
        <v>6.5162390000000001E-2</v>
      </c>
      <c r="D9" s="4">
        <v>6.98521E-2</v>
      </c>
    </row>
    <row r="10" spans="2:6" x14ac:dyDescent="0.2">
      <c r="B10" s="3">
        <v>2021</v>
      </c>
      <c r="C10" s="4">
        <v>6.4990790000000007E-2</v>
      </c>
      <c r="D10" s="4">
        <v>7.0056599999999997E-2</v>
      </c>
    </row>
    <row r="11" spans="2:6" x14ac:dyDescent="0.2">
      <c r="B11" s="3">
        <v>2022</v>
      </c>
      <c r="C11" s="4">
        <v>6.9185670000000005E-2</v>
      </c>
      <c r="D11" s="4">
        <v>7.7956899999999996E-2</v>
      </c>
    </row>
    <row r="13" spans="2:6" x14ac:dyDescent="0.2">
      <c r="B13" s="5" t="s">
        <v>4</v>
      </c>
      <c r="C13" s="15">
        <f>C11-C4</f>
        <v>1.8451360000000007E-2</v>
      </c>
      <c r="D13" s="6">
        <f>D11-D4</f>
        <v>2.2153899999999997E-2</v>
      </c>
    </row>
    <row r="15" spans="2:6" x14ac:dyDescent="0.2">
      <c r="C15" s="12">
        <f>C11-C4</f>
        <v>1.8451360000000007E-2</v>
      </c>
      <c r="D15" s="12">
        <f>D11-D4</f>
        <v>2.2153899999999997E-2</v>
      </c>
    </row>
    <row r="17" spans="3:4" outlineLevel="1" x14ac:dyDescent="0.2">
      <c r="C17" s="2">
        <f t="shared" ref="C17:D24" si="0">C4*$F$4</f>
        <v>5.0734309999999994</v>
      </c>
      <c r="D17" s="2">
        <f t="shared" si="0"/>
        <v>5.5803000000000003</v>
      </c>
    </row>
    <row r="18" spans="3:4" outlineLevel="1" x14ac:dyDescent="0.2">
      <c r="C18" s="2">
        <f t="shared" si="0"/>
        <v>5.3493899999999996</v>
      </c>
      <c r="D18" s="2">
        <f t="shared" si="0"/>
        <v>5.83345</v>
      </c>
    </row>
    <row r="19" spans="3:4" outlineLevel="1" x14ac:dyDescent="0.2">
      <c r="C19" s="2">
        <f t="shared" si="0"/>
        <v>5.3668449999999996</v>
      </c>
      <c r="D19" s="2">
        <f t="shared" si="0"/>
        <v>5.8238400000000006</v>
      </c>
    </row>
    <row r="20" spans="3:4" outlineLevel="1" x14ac:dyDescent="0.2">
      <c r="C20" s="2">
        <f t="shared" si="0"/>
        <v>6.3526170000000004</v>
      </c>
      <c r="D20" s="2">
        <f t="shared" si="0"/>
        <v>6.8666700000000001</v>
      </c>
    </row>
    <row r="21" spans="3:4" outlineLevel="1" x14ac:dyDescent="0.2">
      <c r="C21" s="2">
        <f t="shared" si="0"/>
        <v>6.3657130000000004</v>
      </c>
      <c r="D21" s="2">
        <f t="shared" si="0"/>
        <v>6.8436700000000004</v>
      </c>
    </row>
    <row r="22" spans="3:4" outlineLevel="1" x14ac:dyDescent="0.2">
      <c r="C22" s="2">
        <f t="shared" si="0"/>
        <v>6.5162389999999997</v>
      </c>
      <c r="D22" s="2">
        <f t="shared" si="0"/>
        <v>6.9852100000000004</v>
      </c>
    </row>
    <row r="23" spans="3:4" outlineLevel="1" x14ac:dyDescent="0.2">
      <c r="C23" s="2">
        <f t="shared" si="0"/>
        <v>6.4990790000000009</v>
      </c>
      <c r="D23" s="2">
        <f t="shared" si="0"/>
        <v>7.0056599999999998</v>
      </c>
    </row>
    <row r="24" spans="3:4" outlineLevel="1" x14ac:dyDescent="0.2">
      <c r="C24" s="2">
        <f t="shared" si="0"/>
        <v>6.9185670000000004</v>
      </c>
      <c r="D24" s="2">
        <f t="shared" si="0"/>
        <v>7.7956899999999996</v>
      </c>
    </row>
    <row r="26" spans="3:4" x14ac:dyDescent="0.2">
      <c r="C26" s="11"/>
    </row>
    <row r="36" spans="4:14" x14ac:dyDescent="0.2">
      <c r="H36" s="16"/>
      <c r="I36" s="16"/>
    </row>
    <row r="37" spans="4:14" x14ac:dyDescent="0.2">
      <c r="H37" s="16"/>
      <c r="I37" s="16"/>
    </row>
    <row r="38" spans="4:14" x14ac:dyDescent="0.2">
      <c r="H38" s="16"/>
      <c r="I38" s="16"/>
    </row>
    <row r="39" spans="4:14" x14ac:dyDescent="0.2">
      <c r="H39" s="10"/>
      <c r="I39" s="10"/>
    </row>
    <row r="40" spans="4:14" x14ac:dyDescent="0.2">
      <c r="D40" s="10"/>
      <c r="H40" s="10"/>
      <c r="I40" s="10"/>
    </row>
    <row r="41" spans="4:14" x14ac:dyDescent="0.2">
      <c r="D41" s="10"/>
      <c r="H41" s="10"/>
      <c r="I41" s="10"/>
    </row>
    <row r="42" spans="4:14" x14ac:dyDescent="0.2">
      <c r="D42" s="10"/>
      <c r="H42" s="10"/>
      <c r="I42" s="10"/>
      <c r="N42" s="10"/>
    </row>
    <row r="43" spans="4:14" x14ac:dyDescent="0.2">
      <c r="D43" s="10"/>
      <c r="H43" s="10"/>
      <c r="I43" s="10"/>
      <c r="N43" s="10"/>
    </row>
    <row r="44" spans="4:14" x14ac:dyDescent="0.2">
      <c r="D44" s="10"/>
      <c r="H44" s="10"/>
      <c r="I44" s="10"/>
      <c r="N44" s="10"/>
    </row>
    <row r="45" spans="4:14" x14ac:dyDescent="0.2">
      <c r="D45" s="10"/>
      <c r="G45" s="13"/>
      <c r="H45" s="10"/>
      <c r="I45" s="10"/>
      <c r="N45" s="10"/>
    </row>
    <row r="46" spans="4:14" x14ac:dyDescent="0.2">
      <c r="D46" s="10"/>
      <c r="H46" s="18"/>
      <c r="I46" s="19"/>
      <c r="N46" s="10"/>
    </row>
    <row r="47" spans="4:14" x14ac:dyDescent="0.2">
      <c r="D47" s="10"/>
      <c r="K47" s="10"/>
      <c r="N47" s="10"/>
    </row>
    <row r="48" spans="4:14" x14ac:dyDescent="0.2">
      <c r="H48" s="17"/>
      <c r="I48" s="17"/>
      <c r="L48" s="13"/>
      <c r="N48" s="10"/>
    </row>
    <row r="49" spans="7:14" x14ac:dyDescent="0.2">
      <c r="N49" s="10"/>
    </row>
    <row r="50" spans="7:14" x14ac:dyDescent="0.2">
      <c r="K50" s="10"/>
    </row>
    <row r="52" spans="7:14" x14ac:dyDescent="0.2">
      <c r="G52" s="10"/>
      <c r="H52" s="10"/>
    </row>
    <row r="53" spans="7:14" x14ac:dyDescent="0.2">
      <c r="G53" s="10"/>
    </row>
    <row r="54" spans="7:14" x14ac:dyDescent="0.2">
      <c r="G54" s="10"/>
    </row>
    <row r="55" spans="7:14" x14ac:dyDescent="0.2">
      <c r="G55" s="10"/>
    </row>
    <row r="56" spans="7:14" x14ac:dyDescent="0.2">
      <c r="G56" s="10"/>
    </row>
    <row r="57" spans="7:14" x14ac:dyDescent="0.2">
      <c r="G57" s="10"/>
    </row>
    <row r="58" spans="7:14" x14ac:dyDescent="0.2">
      <c r="G58" s="10"/>
    </row>
    <row r="59" spans="7:14" x14ac:dyDescent="0.2">
      <c r="G59" s="10"/>
    </row>
  </sheetData>
  <mergeCells count="1">
    <mergeCell ref="B2:D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8791E-022E-E84A-AF61-BFCE1BED902A}">
  <sheetPr>
    <tabColor rgb="FFFFFF00"/>
  </sheetPr>
  <dimension ref="B2:N59"/>
  <sheetViews>
    <sheetView workbookViewId="0">
      <selection activeCell="C4" sqref="C4:C11"/>
    </sheetView>
  </sheetViews>
  <sheetFormatPr baseColWidth="10" defaultRowHeight="16" outlineLevelRow="1" outlineLevelCol="1" x14ac:dyDescent="0.2"/>
  <cols>
    <col min="1" max="1" width="2.6640625" style="2" customWidth="1"/>
    <col min="2" max="2" width="10.83203125" style="2"/>
    <col min="3" max="4" width="13.83203125" style="2" customWidth="1"/>
    <col min="5" max="5" width="10.83203125" style="2"/>
    <col min="6" max="6" width="0" style="2" hidden="1" customWidth="1" outlineLevel="1"/>
    <col min="7" max="7" width="16.6640625" style="2" bestFit="1" customWidth="1" collapsed="1"/>
    <col min="8" max="8" width="20.83203125" style="2" bestFit="1" customWidth="1"/>
    <col min="9" max="9" width="18.83203125" style="2" customWidth="1"/>
    <col min="10" max="10" width="10.83203125" style="2"/>
    <col min="11" max="11" width="17.6640625" style="2" bestFit="1" customWidth="1"/>
    <col min="12" max="13" width="10.83203125" style="2"/>
    <col min="14" max="14" width="13" style="2" bestFit="1" customWidth="1"/>
    <col min="15" max="16384" width="10.83203125" style="2"/>
  </cols>
  <sheetData>
    <row r="2" spans="2:6" x14ac:dyDescent="0.2">
      <c r="B2" s="58" t="s">
        <v>0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2.5405580000000001E-2</v>
      </c>
      <c r="D4" s="4">
        <v>2.6837300000000001E-2</v>
      </c>
      <c r="F4" s="2">
        <v>100</v>
      </c>
    </row>
    <row r="5" spans="2:6" x14ac:dyDescent="0.2">
      <c r="B5" s="3">
        <v>2016</v>
      </c>
      <c r="C5" s="4">
        <v>3.5934269999999997E-2</v>
      </c>
      <c r="D5" s="4">
        <v>3.8508599999999997E-2</v>
      </c>
    </row>
    <row r="6" spans="2:6" x14ac:dyDescent="0.2">
      <c r="B6" s="3">
        <v>2017</v>
      </c>
      <c r="C6" s="4">
        <v>4.9250469999999998E-2</v>
      </c>
      <c r="D6" s="4">
        <v>5.2165400000000001E-2</v>
      </c>
    </row>
    <row r="7" spans="2:6" x14ac:dyDescent="0.2">
      <c r="B7" s="3">
        <v>2018</v>
      </c>
      <c r="C7" s="4">
        <v>6.4309679999999994E-2</v>
      </c>
      <c r="D7" s="4">
        <v>6.7096000000000003E-2</v>
      </c>
    </row>
    <row r="8" spans="2:6" x14ac:dyDescent="0.2">
      <c r="B8" s="3">
        <v>2019</v>
      </c>
      <c r="C8" s="4">
        <v>8.1916390000000006E-2</v>
      </c>
      <c r="D8" s="4">
        <v>8.4307400000000005E-2</v>
      </c>
    </row>
    <row r="9" spans="2:6" x14ac:dyDescent="0.2">
      <c r="B9" s="3">
        <v>2020</v>
      </c>
      <c r="C9" s="4">
        <v>9.116146E-2</v>
      </c>
      <c r="D9" s="4">
        <v>9.2668799999999996E-2</v>
      </c>
    </row>
    <row r="10" spans="2:6" x14ac:dyDescent="0.2">
      <c r="B10" s="3">
        <v>2021</v>
      </c>
      <c r="C10" s="4">
        <v>0.11226316</v>
      </c>
      <c r="D10" s="4">
        <v>0.1127097</v>
      </c>
    </row>
    <row r="11" spans="2:6" x14ac:dyDescent="0.2">
      <c r="B11" s="3">
        <v>2022</v>
      </c>
      <c r="C11" s="4">
        <v>0.14193239999999999</v>
      </c>
      <c r="D11" s="4">
        <v>0.1382872</v>
      </c>
    </row>
    <row r="13" spans="2:6" x14ac:dyDescent="0.2">
      <c r="B13" s="5" t="s">
        <v>4</v>
      </c>
      <c r="C13" s="15">
        <f>C11-C4</f>
        <v>0.11652681999999999</v>
      </c>
      <c r="D13" s="6">
        <f>D11-D4</f>
        <v>0.11144989999999999</v>
      </c>
    </row>
    <row r="15" spans="2:6" x14ac:dyDescent="0.2">
      <c r="C15" s="12">
        <f>C11-C4</f>
        <v>0.11652681999999999</v>
      </c>
      <c r="D15" s="12">
        <f>D11-D4</f>
        <v>0.11144989999999999</v>
      </c>
    </row>
    <row r="17" spans="3:4" outlineLevel="1" x14ac:dyDescent="0.2">
      <c r="C17" s="2">
        <f t="shared" ref="C17:D24" si="0">C4*$F$4</f>
        <v>2.5405579999999999</v>
      </c>
      <c r="D17" s="2">
        <f t="shared" si="0"/>
        <v>2.6837300000000002</v>
      </c>
    </row>
    <row r="18" spans="3:4" outlineLevel="1" x14ac:dyDescent="0.2">
      <c r="C18" s="2">
        <f t="shared" si="0"/>
        <v>3.5934269999999997</v>
      </c>
      <c r="D18" s="2">
        <f t="shared" si="0"/>
        <v>3.8508599999999995</v>
      </c>
    </row>
    <row r="19" spans="3:4" outlineLevel="1" x14ac:dyDescent="0.2">
      <c r="C19" s="2">
        <f t="shared" si="0"/>
        <v>4.9250470000000002</v>
      </c>
      <c r="D19" s="2">
        <f t="shared" si="0"/>
        <v>5.2165400000000002</v>
      </c>
    </row>
    <row r="20" spans="3:4" outlineLevel="1" x14ac:dyDescent="0.2">
      <c r="C20" s="2">
        <f t="shared" si="0"/>
        <v>6.4309679999999991</v>
      </c>
      <c r="D20" s="2">
        <f t="shared" si="0"/>
        <v>6.7096</v>
      </c>
    </row>
    <row r="21" spans="3:4" outlineLevel="1" x14ac:dyDescent="0.2">
      <c r="C21" s="2">
        <f t="shared" si="0"/>
        <v>8.1916390000000003</v>
      </c>
      <c r="D21" s="2">
        <f t="shared" si="0"/>
        <v>8.4307400000000001</v>
      </c>
    </row>
    <row r="22" spans="3:4" outlineLevel="1" x14ac:dyDescent="0.2">
      <c r="C22" s="2">
        <f t="shared" si="0"/>
        <v>9.1161460000000005</v>
      </c>
      <c r="D22" s="2">
        <f t="shared" si="0"/>
        <v>9.2668800000000005</v>
      </c>
    </row>
    <row r="23" spans="3:4" outlineLevel="1" x14ac:dyDescent="0.2">
      <c r="C23" s="2">
        <f t="shared" si="0"/>
        <v>11.226316000000001</v>
      </c>
      <c r="D23" s="2">
        <f t="shared" si="0"/>
        <v>11.27097</v>
      </c>
    </row>
    <row r="24" spans="3:4" outlineLevel="1" x14ac:dyDescent="0.2">
      <c r="C24" s="2">
        <f t="shared" si="0"/>
        <v>14.193239999999999</v>
      </c>
      <c r="D24" s="2">
        <f t="shared" si="0"/>
        <v>13.828720000000001</v>
      </c>
    </row>
    <row r="26" spans="3:4" x14ac:dyDescent="0.2">
      <c r="C26" s="11"/>
    </row>
    <row r="36" spans="4:14" x14ac:dyDescent="0.2">
      <c r="H36" s="16"/>
      <c r="I36" s="16"/>
    </row>
    <row r="37" spans="4:14" x14ac:dyDescent="0.2">
      <c r="H37" s="16"/>
      <c r="I37" s="16"/>
    </row>
    <row r="38" spans="4:14" x14ac:dyDescent="0.2">
      <c r="H38" s="16"/>
      <c r="I38" s="16"/>
    </row>
    <row r="39" spans="4:14" x14ac:dyDescent="0.2">
      <c r="H39" s="10"/>
      <c r="I39" s="10"/>
    </row>
    <row r="40" spans="4:14" x14ac:dyDescent="0.2">
      <c r="D40" s="10"/>
      <c r="H40" s="10"/>
      <c r="I40" s="10"/>
    </row>
    <row r="41" spans="4:14" x14ac:dyDescent="0.2">
      <c r="D41" s="10"/>
      <c r="H41" s="10"/>
      <c r="I41" s="10"/>
    </row>
    <row r="42" spans="4:14" x14ac:dyDescent="0.2">
      <c r="D42" s="10"/>
      <c r="H42" s="10"/>
      <c r="I42" s="10"/>
      <c r="N42" s="10"/>
    </row>
    <row r="43" spans="4:14" x14ac:dyDescent="0.2">
      <c r="D43" s="10"/>
      <c r="H43" s="10"/>
      <c r="I43" s="10"/>
      <c r="N43" s="10"/>
    </row>
    <row r="44" spans="4:14" x14ac:dyDescent="0.2">
      <c r="D44" s="10"/>
      <c r="H44" s="10"/>
      <c r="I44" s="10"/>
      <c r="N44" s="10"/>
    </row>
    <row r="45" spans="4:14" x14ac:dyDescent="0.2">
      <c r="D45" s="10"/>
      <c r="G45" s="13"/>
      <c r="H45" s="10"/>
      <c r="I45" s="10"/>
      <c r="N45" s="10"/>
    </row>
    <row r="46" spans="4:14" x14ac:dyDescent="0.2">
      <c r="D46" s="10"/>
      <c r="H46" s="18"/>
      <c r="I46" s="19"/>
      <c r="N46" s="10"/>
    </row>
    <row r="47" spans="4:14" x14ac:dyDescent="0.2">
      <c r="D47" s="10"/>
      <c r="K47" s="10"/>
      <c r="N47" s="10"/>
    </row>
    <row r="48" spans="4:14" x14ac:dyDescent="0.2">
      <c r="H48" s="17"/>
      <c r="I48" s="17"/>
      <c r="L48" s="13"/>
      <c r="N48" s="10"/>
    </row>
    <row r="49" spans="7:14" x14ac:dyDescent="0.2">
      <c r="N49" s="10"/>
    </row>
    <row r="50" spans="7:14" x14ac:dyDescent="0.2">
      <c r="K50" s="10"/>
    </row>
    <row r="52" spans="7:14" x14ac:dyDescent="0.2">
      <c r="G52" s="10"/>
      <c r="H52" s="10"/>
    </row>
    <row r="53" spans="7:14" x14ac:dyDescent="0.2">
      <c r="G53" s="10"/>
    </row>
    <row r="54" spans="7:14" x14ac:dyDescent="0.2">
      <c r="G54" s="10"/>
    </row>
    <row r="55" spans="7:14" x14ac:dyDescent="0.2">
      <c r="G55" s="10"/>
    </row>
    <row r="56" spans="7:14" x14ac:dyDescent="0.2">
      <c r="G56" s="10"/>
    </row>
    <row r="57" spans="7:14" x14ac:dyDescent="0.2">
      <c r="G57" s="10"/>
    </row>
    <row r="58" spans="7:14" x14ac:dyDescent="0.2">
      <c r="G58" s="10"/>
    </row>
    <row r="59" spans="7:14" x14ac:dyDescent="0.2">
      <c r="G59" s="10"/>
    </row>
  </sheetData>
  <mergeCells count="1">
    <mergeCell ref="B2:D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003A-C620-364B-B8F6-D5E25719BA0B}">
  <sheetPr>
    <tabColor rgb="FFFFFF00"/>
  </sheetPr>
  <dimension ref="B2:N59"/>
  <sheetViews>
    <sheetView workbookViewId="0">
      <selection activeCell="C4" sqref="C4:C11"/>
    </sheetView>
  </sheetViews>
  <sheetFormatPr baseColWidth="10" defaultRowHeight="16" outlineLevelRow="1" outlineLevelCol="1" x14ac:dyDescent="0.2"/>
  <cols>
    <col min="1" max="1" width="2.6640625" style="2" customWidth="1"/>
    <col min="2" max="2" width="10.83203125" style="2"/>
    <col min="3" max="4" width="13.83203125" style="2" customWidth="1"/>
    <col min="5" max="5" width="10.83203125" style="2"/>
    <col min="6" max="6" width="0" style="2" hidden="1" customWidth="1" outlineLevel="1"/>
    <col min="7" max="7" width="16.6640625" style="2" bestFit="1" customWidth="1" collapsed="1"/>
    <col min="8" max="8" width="20.83203125" style="2" bestFit="1" customWidth="1"/>
    <col min="9" max="9" width="18.83203125" style="2" customWidth="1"/>
    <col min="10" max="10" width="10.83203125" style="2"/>
    <col min="11" max="11" width="17.6640625" style="2" bestFit="1" customWidth="1"/>
    <col min="12" max="13" width="10.83203125" style="2"/>
    <col min="14" max="14" width="13" style="2" bestFit="1" customWidth="1"/>
    <col min="15" max="16384" width="10.83203125" style="2"/>
  </cols>
  <sheetData>
    <row r="2" spans="2:6" x14ac:dyDescent="0.2">
      <c r="B2" s="58" t="s">
        <v>6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8.8546520000000004E-2</v>
      </c>
      <c r="D4" s="4">
        <v>9.11024E-2</v>
      </c>
      <c r="F4" s="2">
        <v>100</v>
      </c>
    </row>
    <row r="5" spans="2:6" x14ac:dyDescent="0.2">
      <c r="B5" s="3">
        <v>2016</v>
      </c>
      <c r="C5" s="4">
        <v>6.8356050000000002E-2</v>
      </c>
      <c r="D5" s="4">
        <v>7.1429900000000005E-2</v>
      </c>
    </row>
    <row r="6" spans="2:6" x14ac:dyDescent="0.2">
      <c r="B6" s="3">
        <v>2017</v>
      </c>
      <c r="C6" s="4">
        <v>6.070511E-2</v>
      </c>
      <c r="D6" s="4">
        <v>6.3597899999999999E-2</v>
      </c>
    </row>
    <row r="7" spans="2:6" x14ac:dyDescent="0.2">
      <c r="B7" s="3">
        <v>2018</v>
      </c>
      <c r="C7" s="4">
        <v>5.0931919999999999E-2</v>
      </c>
      <c r="D7" s="4">
        <v>5.3715600000000002E-2</v>
      </c>
    </row>
    <row r="8" spans="2:6" x14ac:dyDescent="0.2">
      <c r="B8" s="3">
        <v>2019</v>
      </c>
      <c r="C8" s="4">
        <v>5.4480180000000003E-2</v>
      </c>
      <c r="D8" s="4">
        <v>5.7542099999999999E-2</v>
      </c>
    </row>
    <row r="9" spans="2:6" x14ac:dyDescent="0.2">
      <c r="B9" s="3">
        <v>2020</v>
      </c>
      <c r="C9" s="4">
        <v>4.6106540000000001E-2</v>
      </c>
      <c r="D9" s="4">
        <v>4.8985800000000003E-2</v>
      </c>
    </row>
    <row r="10" spans="2:6" x14ac:dyDescent="0.2">
      <c r="B10" s="3">
        <v>2021</v>
      </c>
      <c r="C10" s="4">
        <v>4.9469050000000001E-2</v>
      </c>
      <c r="D10" s="4">
        <v>5.23782E-2</v>
      </c>
    </row>
    <row r="11" spans="2:6" x14ac:dyDescent="0.2">
      <c r="B11" s="3">
        <v>2022</v>
      </c>
      <c r="C11" s="4">
        <v>5.0070700000000003E-2</v>
      </c>
      <c r="D11" s="4">
        <v>5.31306E-2</v>
      </c>
    </row>
    <row r="13" spans="2:6" x14ac:dyDescent="0.2">
      <c r="B13" s="5" t="s">
        <v>4</v>
      </c>
      <c r="C13" s="15">
        <f>C11-C4</f>
        <v>-3.8475820000000001E-2</v>
      </c>
      <c r="D13" s="6">
        <f>D11-D4</f>
        <v>-3.79718E-2</v>
      </c>
    </row>
    <row r="15" spans="2:6" x14ac:dyDescent="0.2">
      <c r="C15" s="12">
        <f>C11-C4</f>
        <v>-3.8475820000000001E-2</v>
      </c>
      <c r="D15" s="12">
        <f>D11-D4</f>
        <v>-3.79718E-2</v>
      </c>
    </row>
    <row r="17" spans="3:4" outlineLevel="1" x14ac:dyDescent="0.2">
      <c r="C17" s="2">
        <f t="shared" ref="C17:D24" si="0">C4*$F$4</f>
        <v>8.8546519999999997</v>
      </c>
      <c r="D17" s="2">
        <f t="shared" si="0"/>
        <v>9.1102399999999992</v>
      </c>
    </row>
    <row r="18" spans="3:4" outlineLevel="1" x14ac:dyDescent="0.2">
      <c r="C18" s="2">
        <f t="shared" si="0"/>
        <v>6.8356050000000002</v>
      </c>
      <c r="D18" s="2">
        <f t="shared" si="0"/>
        <v>7.1429900000000002</v>
      </c>
    </row>
    <row r="19" spans="3:4" outlineLevel="1" x14ac:dyDescent="0.2">
      <c r="C19" s="2">
        <f t="shared" si="0"/>
        <v>6.0705109999999998</v>
      </c>
      <c r="D19" s="2">
        <f t="shared" si="0"/>
        <v>6.3597900000000003</v>
      </c>
    </row>
    <row r="20" spans="3:4" outlineLevel="1" x14ac:dyDescent="0.2">
      <c r="C20" s="2">
        <f t="shared" si="0"/>
        <v>5.0931920000000002</v>
      </c>
      <c r="D20" s="2">
        <f t="shared" si="0"/>
        <v>5.3715600000000006</v>
      </c>
    </row>
    <row r="21" spans="3:4" outlineLevel="1" x14ac:dyDescent="0.2">
      <c r="C21" s="2">
        <f t="shared" si="0"/>
        <v>5.4480180000000002</v>
      </c>
      <c r="D21" s="2">
        <f t="shared" si="0"/>
        <v>5.7542099999999996</v>
      </c>
    </row>
    <row r="22" spans="3:4" outlineLevel="1" x14ac:dyDescent="0.2">
      <c r="C22" s="2">
        <f t="shared" si="0"/>
        <v>4.6106540000000003</v>
      </c>
      <c r="D22" s="2">
        <f t="shared" si="0"/>
        <v>4.8985799999999999</v>
      </c>
    </row>
    <row r="23" spans="3:4" outlineLevel="1" x14ac:dyDescent="0.2">
      <c r="C23" s="2">
        <f t="shared" si="0"/>
        <v>4.9469050000000001</v>
      </c>
      <c r="D23" s="2">
        <f t="shared" si="0"/>
        <v>5.2378200000000001</v>
      </c>
    </row>
    <row r="24" spans="3:4" outlineLevel="1" x14ac:dyDescent="0.2">
      <c r="C24" s="2">
        <f t="shared" si="0"/>
        <v>5.0070700000000006</v>
      </c>
      <c r="D24" s="2">
        <f t="shared" si="0"/>
        <v>5.3130600000000001</v>
      </c>
    </row>
    <row r="26" spans="3:4" x14ac:dyDescent="0.2">
      <c r="C26" s="11"/>
    </row>
    <row r="36" spans="4:14" x14ac:dyDescent="0.2">
      <c r="H36" s="16"/>
      <c r="I36" s="16"/>
    </row>
    <row r="37" spans="4:14" x14ac:dyDescent="0.2">
      <c r="H37" s="16"/>
      <c r="I37" s="16"/>
    </row>
    <row r="38" spans="4:14" x14ac:dyDescent="0.2">
      <c r="H38" s="16"/>
      <c r="I38" s="16"/>
    </row>
    <row r="39" spans="4:14" x14ac:dyDescent="0.2">
      <c r="H39" s="10"/>
      <c r="I39" s="10"/>
    </row>
    <row r="40" spans="4:14" x14ac:dyDescent="0.2">
      <c r="D40" s="10"/>
      <c r="H40" s="10"/>
      <c r="I40" s="10"/>
    </row>
    <row r="41" spans="4:14" x14ac:dyDescent="0.2">
      <c r="D41" s="10"/>
      <c r="H41" s="10"/>
      <c r="I41" s="10"/>
    </row>
    <row r="42" spans="4:14" x14ac:dyDescent="0.2">
      <c r="D42" s="10"/>
      <c r="H42" s="10"/>
      <c r="I42" s="10"/>
      <c r="N42" s="10"/>
    </row>
    <row r="43" spans="4:14" x14ac:dyDescent="0.2">
      <c r="D43" s="10"/>
      <c r="H43" s="10"/>
      <c r="I43" s="10"/>
      <c r="N43" s="10"/>
    </row>
    <row r="44" spans="4:14" x14ac:dyDescent="0.2">
      <c r="D44" s="10"/>
      <c r="H44" s="10"/>
      <c r="I44" s="10"/>
      <c r="N44" s="10"/>
    </row>
    <row r="45" spans="4:14" x14ac:dyDescent="0.2">
      <c r="D45" s="10"/>
      <c r="G45" s="13"/>
      <c r="H45" s="10"/>
      <c r="I45" s="10"/>
      <c r="N45" s="10"/>
    </row>
    <row r="46" spans="4:14" x14ac:dyDescent="0.2">
      <c r="D46" s="10"/>
      <c r="H46" s="18"/>
      <c r="I46" s="19"/>
      <c r="N46" s="10"/>
    </row>
    <row r="47" spans="4:14" x14ac:dyDescent="0.2">
      <c r="D47" s="10"/>
      <c r="K47" s="10"/>
      <c r="N47" s="10"/>
    </row>
    <row r="48" spans="4:14" x14ac:dyDescent="0.2">
      <c r="H48" s="17"/>
      <c r="I48" s="17"/>
      <c r="L48" s="13"/>
      <c r="N48" s="10"/>
    </row>
    <row r="49" spans="7:14" x14ac:dyDescent="0.2">
      <c r="N49" s="10"/>
    </row>
    <row r="50" spans="7:14" x14ac:dyDescent="0.2">
      <c r="K50" s="10"/>
    </row>
    <row r="52" spans="7:14" x14ac:dyDescent="0.2">
      <c r="G52" s="10"/>
      <c r="H52" s="10"/>
    </row>
    <row r="53" spans="7:14" x14ac:dyDescent="0.2">
      <c r="G53" s="10"/>
    </row>
    <row r="54" spans="7:14" x14ac:dyDescent="0.2">
      <c r="G54" s="10"/>
    </row>
    <row r="55" spans="7:14" x14ac:dyDescent="0.2">
      <c r="G55" s="10"/>
    </row>
    <row r="56" spans="7:14" x14ac:dyDescent="0.2">
      <c r="G56" s="10"/>
    </row>
    <row r="57" spans="7:14" x14ac:dyDescent="0.2">
      <c r="G57" s="10"/>
    </row>
    <row r="58" spans="7:14" x14ac:dyDescent="0.2">
      <c r="G58" s="10"/>
    </row>
    <row r="59" spans="7:14" x14ac:dyDescent="0.2">
      <c r="G59" s="10"/>
    </row>
  </sheetData>
  <mergeCells count="1">
    <mergeCell ref="B2:D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2291-A84B-A249-B8EC-D13AE8C51440}">
  <sheetPr>
    <tabColor rgb="FFFFFF00"/>
  </sheetPr>
  <dimension ref="B2:Q42"/>
  <sheetViews>
    <sheetView topLeftCell="L8" workbookViewId="0">
      <selection activeCell="C4" sqref="C4:C11"/>
    </sheetView>
  </sheetViews>
  <sheetFormatPr baseColWidth="10" defaultRowHeight="16" outlineLevelRow="1" outlineLevelCol="1" x14ac:dyDescent="0.2"/>
  <cols>
    <col min="1" max="1" width="4.33203125" style="2" customWidth="1"/>
    <col min="2" max="2" width="10.83203125" style="2"/>
    <col min="3" max="4" width="13.83203125" style="2" customWidth="1"/>
    <col min="5" max="5" width="2.83203125" style="2" customWidth="1"/>
    <col min="6" max="6" width="10.83203125" style="2"/>
    <col min="7" max="8" width="13.83203125" style="2" customWidth="1"/>
    <col min="9" max="9" width="2.6640625" style="2" customWidth="1"/>
    <col min="10" max="10" width="10.83203125" style="2"/>
    <col min="11" max="12" width="13.83203125" style="2" customWidth="1"/>
    <col min="13" max="13" width="10.83203125" style="2"/>
    <col min="14" max="14" width="0" style="2" hidden="1" customWidth="1" outlineLevel="1"/>
    <col min="15" max="15" width="10.83203125" style="2" collapsed="1"/>
    <col min="16" max="16384" width="10.83203125" style="2"/>
  </cols>
  <sheetData>
    <row r="2" spans="2:14" x14ac:dyDescent="0.2">
      <c r="B2" s="58" t="s">
        <v>5</v>
      </c>
      <c r="C2" s="58"/>
      <c r="D2" s="58"/>
      <c r="F2" s="58" t="s">
        <v>6</v>
      </c>
      <c r="G2" s="58"/>
      <c r="H2" s="58"/>
      <c r="J2" s="58" t="s">
        <v>0</v>
      </c>
      <c r="K2" s="58"/>
      <c r="L2" s="58"/>
    </row>
    <row r="3" spans="2:14" x14ac:dyDescent="0.2">
      <c r="B3" s="1" t="s">
        <v>1</v>
      </c>
      <c r="C3" s="1" t="s">
        <v>2</v>
      </c>
      <c r="D3" s="1" t="s">
        <v>3</v>
      </c>
      <c r="F3" s="1" t="s">
        <v>1</v>
      </c>
      <c r="G3" s="1" t="s">
        <v>2</v>
      </c>
      <c r="H3" s="1" t="s">
        <v>3</v>
      </c>
      <c r="J3" s="1" t="s">
        <v>1</v>
      </c>
      <c r="K3" s="1" t="s">
        <v>2</v>
      </c>
      <c r="L3" s="1" t="s">
        <v>3</v>
      </c>
    </row>
    <row r="4" spans="2:14" x14ac:dyDescent="0.2">
      <c r="B4" s="3">
        <v>2015</v>
      </c>
      <c r="C4" s="4">
        <v>0.12356643</v>
      </c>
      <c r="D4" s="4">
        <v>0.12749530000000001</v>
      </c>
      <c r="F4" s="3">
        <v>2015</v>
      </c>
      <c r="G4" s="4">
        <v>7.516138E-2</v>
      </c>
      <c r="H4" s="4">
        <v>7.7790499999999999E-2</v>
      </c>
      <c r="J4" s="3">
        <v>2015</v>
      </c>
      <c r="K4" s="4">
        <v>4.8329990000000003E-2</v>
      </c>
      <c r="L4" s="4">
        <v>4.9703499999999998E-2</v>
      </c>
      <c r="N4" s="2">
        <v>100</v>
      </c>
    </row>
    <row r="5" spans="2:14" x14ac:dyDescent="0.2">
      <c r="B5" s="3">
        <v>2016</v>
      </c>
      <c r="C5" s="4">
        <v>0.12505520000000001</v>
      </c>
      <c r="D5" s="4">
        <v>0.1290887</v>
      </c>
      <c r="F5" s="3">
        <v>2016</v>
      </c>
      <c r="G5" s="4">
        <v>7.605468E-2</v>
      </c>
      <c r="H5" s="4">
        <v>7.8725600000000007E-2</v>
      </c>
      <c r="J5" s="3">
        <v>2016</v>
      </c>
      <c r="K5" s="4">
        <v>4.8931750000000003E-2</v>
      </c>
      <c r="L5" s="4">
        <v>5.0361799999999998E-2</v>
      </c>
    </row>
    <row r="6" spans="2:14" x14ac:dyDescent="0.2">
      <c r="B6" s="3">
        <v>2017</v>
      </c>
      <c r="C6" s="4">
        <v>0.12974475999999999</v>
      </c>
      <c r="D6" s="4">
        <v>0.13057959999999999</v>
      </c>
      <c r="F6" s="3">
        <v>2017</v>
      </c>
      <c r="G6" s="4">
        <v>7.6137850000000007E-2</v>
      </c>
      <c r="H6" s="4">
        <v>7.6664300000000005E-2</v>
      </c>
      <c r="J6" s="3">
        <v>2017</v>
      </c>
      <c r="K6" s="4">
        <v>5.358487E-2</v>
      </c>
      <c r="L6" s="4">
        <v>5.39141E-2</v>
      </c>
    </row>
    <row r="7" spans="2:14" x14ac:dyDescent="0.2">
      <c r="B7" s="3">
        <v>2018</v>
      </c>
      <c r="C7" s="4">
        <v>0.16340963</v>
      </c>
      <c r="D7" s="4">
        <v>0.15001629999999999</v>
      </c>
      <c r="F7" s="3">
        <v>2018</v>
      </c>
      <c r="G7" s="4">
        <v>8.1996379999999994E-2</v>
      </c>
      <c r="H7" s="4">
        <v>7.6915399999999995E-2</v>
      </c>
      <c r="J7" s="3">
        <v>2018</v>
      </c>
      <c r="K7" s="4">
        <v>8.1528519999999993E-2</v>
      </c>
      <c r="L7" s="4">
        <v>7.3504399999999998E-2</v>
      </c>
    </row>
    <row r="8" spans="2:14" x14ac:dyDescent="0.2">
      <c r="B8" s="3">
        <v>2019</v>
      </c>
      <c r="C8" s="4">
        <v>0.12507937</v>
      </c>
      <c r="D8" s="4">
        <v>0.13056119999999999</v>
      </c>
      <c r="F8" s="3">
        <v>2019</v>
      </c>
      <c r="G8" s="4">
        <v>7.3858709999999994E-2</v>
      </c>
      <c r="H8" s="4">
        <v>7.7141199999999993E-2</v>
      </c>
      <c r="J8" s="3">
        <v>2019</v>
      </c>
      <c r="K8" s="4">
        <v>5.1265280000000003E-2</v>
      </c>
      <c r="L8" s="4">
        <v>5.3806899999999998E-2</v>
      </c>
    </row>
    <row r="9" spans="2:14" x14ac:dyDescent="0.2">
      <c r="B9" s="3">
        <v>2020</v>
      </c>
      <c r="C9" s="4">
        <v>0.12026328</v>
      </c>
      <c r="D9" s="4">
        <v>0.1270425</v>
      </c>
      <c r="F9" s="3">
        <v>2020</v>
      </c>
      <c r="G9" s="4">
        <v>6.8735009999999999E-2</v>
      </c>
      <c r="H9" s="4">
        <v>7.2629799999999994E-2</v>
      </c>
      <c r="J9" s="3">
        <v>2020</v>
      </c>
      <c r="K9" s="4">
        <v>5.1503500000000001E-2</v>
      </c>
      <c r="L9" s="4">
        <v>5.4411500000000002E-2</v>
      </c>
    </row>
    <row r="10" spans="2:14" x14ac:dyDescent="0.2">
      <c r="B10" s="3">
        <v>2021</v>
      </c>
      <c r="C10" s="4">
        <v>0.12883729999999999</v>
      </c>
      <c r="D10" s="4">
        <v>0.13462759999999999</v>
      </c>
      <c r="F10" s="3">
        <v>2021</v>
      </c>
      <c r="G10" s="4">
        <v>7.4019559999999998E-2</v>
      </c>
      <c r="H10" s="4">
        <v>7.7665899999999996E-2</v>
      </c>
      <c r="J10" s="3">
        <v>2021</v>
      </c>
      <c r="K10" s="4">
        <v>5.4862349999999997E-2</v>
      </c>
      <c r="L10" s="4">
        <v>5.73392E-2</v>
      </c>
    </row>
    <row r="11" spans="2:14" x14ac:dyDescent="0.2">
      <c r="B11" s="3">
        <v>2022</v>
      </c>
      <c r="C11" s="4">
        <v>0.12667804999999999</v>
      </c>
      <c r="D11" s="4">
        <v>0.1326994</v>
      </c>
      <c r="F11" s="3">
        <v>2022</v>
      </c>
      <c r="G11" s="4">
        <v>7.2864369999999998E-2</v>
      </c>
      <c r="H11" s="4">
        <v>7.6619099999999996E-2</v>
      </c>
      <c r="J11" s="3">
        <v>2022</v>
      </c>
      <c r="K11" s="4">
        <v>5.3858299999999998E-2</v>
      </c>
      <c r="L11" s="4">
        <v>5.6439799999999998E-2</v>
      </c>
    </row>
    <row r="13" spans="2:14" x14ac:dyDescent="0.2">
      <c r="B13" s="5" t="s">
        <v>4</v>
      </c>
      <c r="C13" s="6">
        <f>C11-C4</f>
        <v>3.1116199999999816E-3</v>
      </c>
      <c r="D13" s="6">
        <f>D11-D4</f>
        <v>5.2040999999999893E-3</v>
      </c>
      <c r="F13" s="5" t="s">
        <v>4</v>
      </c>
      <c r="G13" s="6">
        <f>G11-G4</f>
        <v>-2.2970100000000021E-3</v>
      </c>
      <c r="H13" s="6">
        <f>H11-H4</f>
        <v>-1.171400000000003E-3</v>
      </c>
      <c r="J13" s="5" t="s">
        <v>4</v>
      </c>
      <c r="K13" s="6">
        <f>K11-K4</f>
        <v>5.5283099999999946E-3</v>
      </c>
      <c r="L13" s="6">
        <f>L11-L4</f>
        <v>6.7363000000000006E-3</v>
      </c>
    </row>
    <row r="17" spans="3:12" outlineLevel="1" x14ac:dyDescent="0.2">
      <c r="C17" s="2">
        <f t="shared" ref="C17:D24" si="0">C4*$N$4</f>
        <v>12.356643</v>
      </c>
      <c r="D17" s="2">
        <f t="shared" si="0"/>
        <v>12.74953</v>
      </c>
      <c r="G17" s="2">
        <f t="shared" ref="G17:H17" si="1">G4*$N$4</f>
        <v>7.5161379999999998</v>
      </c>
      <c r="H17" s="2">
        <f t="shared" si="1"/>
        <v>7.7790499999999998</v>
      </c>
      <c r="K17" s="2">
        <f t="shared" ref="K17:L24" si="2">K4*$N$4</f>
        <v>4.832999</v>
      </c>
      <c r="L17" s="2">
        <f t="shared" si="2"/>
        <v>4.9703499999999998</v>
      </c>
    </row>
    <row r="18" spans="3:12" outlineLevel="1" x14ac:dyDescent="0.2">
      <c r="C18" s="2">
        <f t="shared" si="0"/>
        <v>12.505520000000001</v>
      </c>
      <c r="D18" s="2">
        <f t="shared" si="0"/>
        <v>12.90887</v>
      </c>
      <c r="G18" s="2">
        <f t="shared" ref="G18:H18" si="3">G5*$N$4</f>
        <v>7.6054680000000001</v>
      </c>
      <c r="H18" s="2">
        <f t="shared" si="3"/>
        <v>7.8725600000000009</v>
      </c>
      <c r="K18" s="2">
        <f t="shared" si="2"/>
        <v>4.8931750000000003</v>
      </c>
      <c r="L18" s="2">
        <f t="shared" si="2"/>
        <v>5.0361799999999999</v>
      </c>
    </row>
    <row r="19" spans="3:12" outlineLevel="1" x14ac:dyDescent="0.2">
      <c r="C19" s="2">
        <f t="shared" si="0"/>
        <v>12.974475999999999</v>
      </c>
      <c r="D19" s="2">
        <f t="shared" si="0"/>
        <v>13.05796</v>
      </c>
      <c r="G19" s="2">
        <f t="shared" ref="G19:H19" si="4">G6*$N$4</f>
        <v>7.6137850000000009</v>
      </c>
      <c r="H19" s="2">
        <f t="shared" si="4"/>
        <v>7.6664300000000001</v>
      </c>
      <c r="K19" s="2">
        <f t="shared" si="2"/>
        <v>5.3584870000000002</v>
      </c>
      <c r="L19" s="2">
        <f t="shared" si="2"/>
        <v>5.3914099999999996</v>
      </c>
    </row>
    <row r="20" spans="3:12" outlineLevel="1" x14ac:dyDescent="0.2">
      <c r="C20" s="2">
        <f t="shared" si="0"/>
        <v>16.340962999999999</v>
      </c>
      <c r="D20" s="2">
        <f t="shared" si="0"/>
        <v>15.001629999999999</v>
      </c>
      <c r="G20" s="2">
        <f t="shared" ref="G20:H20" si="5">G7*$N$4</f>
        <v>8.1996380000000002</v>
      </c>
      <c r="H20" s="2">
        <f t="shared" si="5"/>
        <v>7.6915399999999998</v>
      </c>
      <c r="K20" s="2">
        <f t="shared" si="2"/>
        <v>8.1528519999999993</v>
      </c>
      <c r="L20" s="2">
        <f t="shared" si="2"/>
        <v>7.3504399999999999</v>
      </c>
    </row>
    <row r="21" spans="3:12" outlineLevel="1" x14ac:dyDescent="0.2">
      <c r="C21" s="2">
        <f t="shared" si="0"/>
        <v>12.507937</v>
      </c>
      <c r="D21" s="2">
        <f t="shared" si="0"/>
        <v>13.056119999999998</v>
      </c>
      <c r="G21" s="2">
        <f t="shared" ref="G21:H21" si="6">G8*$N$4</f>
        <v>7.3858709999999999</v>
      </c>
      <c r="H21" s="2">
        <f t="shared" si="6"/>
        <v>7.7141199999999994</v>
      </c>
      <c r="K21" s="2">
        <f t="shared" si="2"/>
        <v>5.1265280000000004</v>
      </c>
      <c r="L21" s="2">
        <f t="shared" si="2"/>
        <v>5.3806899999999995</v>
      </c>
    </row>
    <row r="22" spans="3:12" outlineLevel="1" x14ac:dyDescent="0.2">
      <c r="C22" s="2">
        <f t="shared" si="0"/>
        <v>12.026327999999999</v>
      </c>
      <c r="D22" s="2">
        <f t="shared" si="0"/>
        <v>12.70425</v>
      </c>
      <c r="G22" s="2">
        <f t="shared" ref="G22:H22" si="7">G9*$N$4</f>
        <v>6.8735010000000001</v>
      </c>
      <c r="H22" s="2">
        <f t="shared" si="7"/>
        <v>7.2629799999999998</v>
      </c>
      <c r="K22" s="2">
        <f t="shared" si="2"/>
        <v>5.1503500000000004</v>
      </c>
      <c r="L22" s="2">
        <f t="shared" si="2"/>
        <v>5.4411500000000004</v>
      </c>
    </row>
    <row r="23" spans="3:12" outlineLevel="1" x14ac:dyDescent="0.2">
      <c r="C23" s="2">
        <f t="shared" si="0"/>
        <v>12.883729999999998</v>
      </c>
      <c r="D23" s="2">
        <f t="shared" si="0"/>
        <v>13.462759999999999</v>
      </c>
      <c r="G23" s="2">
        <f t="shared" ref="G23:H23" si="8">G10*$N$4</f>
        <v>7.4019560000000002</v>
      </c>
      <c r="H23" s="2">
        <f t="shared" si="8"/>
        <v>7.7665899999999999</v>
      </c>
      <c r="K23" s="2">
        <f t="shared" si="2"/>
        <v>5.4862349999999998</v>
      </c>
      <c r="L23" s="2">
        <f t="shared" si="2"/>
        <v>5.7339200000000003</v>
      </c>
    </row>
    <row r="24" spans="3:12" outlineLevel="1" x14ac:dyDescent="0.2">
      <c r="C24" s="2">
        <f t="shared" si="0"/>
        <v>12.667804999999998</v>
      </c>
      <c r="D24" s="2">
        <f t="shared" si="0"/>
        <v>13.26994</v>
      </c>
      <c r="G24" s="2">
        <f t="shared" ref="G24:H24" si="9">G11*$N$4</f>
        <v>7.2864369999999994</v>
      </c>
      <c r="H24" s="2">
        <f t="shared" si="9"/>
        <v>7.6619099999999998</v>
      </c>
      <c r="K24" s="2">
        <f t="shared" si="2"/>
        <v>5.3858299999999995</v>
      </c>
      <c r="L24" s="2">
        <f t="shared" si="2"/>
        <v>5.64398</v>
      </c>
    </row>
    <row r="39" spans="7:17" x14ac:dyDescent="0.2">
      <c r="G39" s="13"/>
    </row>
    <row r="40" spans="7:17" x14ac:dyDescent="0.2">
      <c r="I40" s="13"/>
    </row>
    <row r="42" spans="7:17" x14ac:dyDescent="0.2">
      <c r="Q42" s="13"/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DDC9-830D-6A4D-A649-F6684A516AD9}">
  <sheetPr>
    <tabColor rgb="FFFFFF00"/>
  </sheetPr>
  <dimension ref="B2:K59"/>
  <sheetViews>
    <sheetView workbookViewId="0">
      <selection activeCell="R25" sqref="R25"/>
    </sheetView>
  </sheetViews>
  <sheetFormatPr baseColWidth="10" defaultRowHeight="16" outlineLevelRow="1" outlineLevelCol="1" x14ac:dyDescent="0.2"/>
  <cols>
    <col min="1" max="1" width="2.6640625" style="2" customWidth="1"/>
    <col min="2" max="2" width="10.83203125" style="2"/>
    <col min="3" max="4" width="13.83203125" style="2" customWidth="1"/>
    <col min="5" max="5" width="10.83203125" style="2"/>
    <col min="6" max="6" width="0" style="2" hidden="1" customWidth="1" outlineLevel="1"/>
    <col min="7" max="7" width="16.6640625" style="2" bestFit="1" customWidth="1" collapsed="1"/>
    <col min="8" max="10" width="10.83203125" style="2"/>
    <col min="11" max="11" width="17.6640625" style="2" bestFit="1" customWidth="1"/>
    <col min="12" max="16384" width="10.83203125" style="2"/>
  </cols>
  <sheetData>
    <row r="2" spans="2:6" x14ac:dyDescent="0.2">
      <c r="B2" s="58" t="s">
        <v>0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6.5542870000000003E-2</v>
      </c>
      <c r="D4" s="4">
        <v>6.2101299999999998E-2</v>
      </c>
      <c r="F4" s="2">
        <v>100</v>
      </c>
    </row>
    <row r="5" spans="2:6" x14ac:dyDescent="0.2">
      <c r="B5" s="3">
        <v>2016</v>
      </c>
      <c r="C5" s="4">
        <v>6.0822670000000002E-2</v>
      </c>
      <c r="D5" s="4">
        <v>5.8657599999999997E-2</v>
      </c>
    </row>
    <row r="6" spans="2:6" x14ac:dyDescent="0.2">
      <c r="B6" s="3">
        <v>2017</v>
      </c>
      <c r="C6" s="4">
        <v>6.4561190000000004E-2</v>
      </c>
      <c r="D6" s="4">
        <v>6.1644600000000001E-2</v>
      </c>
    </row>
    <row r="7" spans="2:6" x14ac:dyDescent="0.2">
      <c r="B7" s="3">
        <v>2018</v>
      </c>
      <c r="C7" s="4">
        <v>8.7050829999999996E-2</v>
      </c>
      <c r="D7" s="4">
        <v>8.4045400000000006E-2</v>
      </c>
    </row>
    <row r="8" spans="2:6" x14ac:dyDescent="0.2">
      <c r="B8" s="3">
        <v>2019</v>
      </c>
      <c r="C8" s="4">
        <v>8.6130070000000003E-2</v>
      </c>
      <c r="D8" s="4">
        <v>8.4721299999999999E-2</v>
      </c>
    </row>
    <row r="9" spans="2:6" x14ac:dyDescent="0.2">
      <c r="B9" s="3">
        <v>2020</v>
      </c>
      <c r="C9" s="4">
        <v>9.0193620000000002E-2</v>
      </c>
      <c r="D9" s="4">
        <v>8.5805400000000004E-2</v>
      </c>
    </row>
    <row r="10" spans="2:6" x14ac:dyDescent="0.2">
      <c r="B10" s="3">
        <v>2021</v>
      </c>
      <c r="C10" s="4">
        <v>8.9139449999999995E-2</v>
      </c>
      <c r="D10" s="4">
        <v>8.8544499999999998E-2</v>
      </c>
    </row>
    <row r="11" spans="2:6" x14ac:dyDescent="0.2">
      <c r="B11" s="3">
        <v>2022</v>
      </c>
      <c r="C11" s="4">
        <v>0.19493289</v>
      </c>
      <c r="D11" s="4">
        <v>0.17302049999999999</v>
      </c>
    </row>
    <row r="13" spans="2:6" x14ac:dyDescent="0.2">
      <c r="B13" s="5" t="s">
        <v>4</v>
      </c>
      <c r="C13" s="6">
        <f>C11-C4</f>
        <v>0.12939001999999999</v>
      </c>
      <c r="D13" s="6">
        <f>D11-D4</f>
        <v>0.1109192</v>
      </c>
    </row>
    <row r="15" spans="2:6" x14ac:dyDescent="0.2">
      <c r="C15" s="12">
        <f>C11-C4</f>
        <v>0.12939001999999999</v>
      </c>
      <c r="D15" s="12">
        <f>D11-D4</f>
        <v>0.1109192</v>
      </c>
    </row>
    <row r="17" spans="3:4" outlineLevel="1" x14ac:dyDescent="0.2">
      <c r="C17" s="2">
        <f t="shared" ref="C17:D24" si="0">C4*$F$4</f>
        <v>6.5542870000000004</v>
      </c>
      <c r="D17" s="2">
        <f t="shared" si="0"/>
        <v>6.2101299999999995</v>
      </c>
    </row>
    <row r="18" spans="3:4" outlineLevel="1" x14ac:dyDescent="0.2">
      <c r="C18" s="2">
        <f t="shared" si="0"/>
        <v>6.0822669999999999</v>
      </c>
      <c r="D18" s="2">
        <f t="shared" si="0"/>
        <v>5.8657599999999999</v>
      </c>
    </row>
    <row r="19" spans="3:4" outlineLevel="1" x14ac:dyDescent="0.2">
      <c r="C19" s="2">
        <f t="shared" si="0"/>
        <v>6.4561190000000002</v>
      </c>
      <c r="D19" s="2">
        <f t="shared" si="0"/>
        <v>6.1644600000000001</v>
      </c>
    </row>
    <row r="20" spans="3:4" outlineLevel="1" x14ac:dyDescent="0.2">
      <c r="C20" s="2">
        <f t="shared" si="0"/>
        <v>8.7050830000000001</v>
      </c>
      <c r="D20" s="2">
        <f t="shared" si="0"/>
        <v>8.4045400000000008</v>
      </c>
    </row>
    <row r="21" spans="3:4" outlineLevel="1" x14ac:dyDescent="0.2">
      <c r="C21" s="2">
        <f t="shared" si="0"/>
        <v>8.6130069999999996</v>
      </c>
      <c r="D21" s="2">
        <f t="shared" si="0"/>
        <v>8.4721299999999999</v>
      </c>
    </row>
    <row r="22" spans="3:4" outlineLevel="1" x14ac:dyDescent="0.2">
      <c r="C22" s="2">
        <f t="shared" si="0"/>
        <v>9.019362000000001</v>
      </c>
      <c r="D22" s="2">
        <f t="shared" si="0"/>
        <v>8.5805400000000009</v>
      </c>
    </row>
    <row r="23" spans="3:4" outlineLevel="1" x14ac:dyDescent="0.2">
      <c r="C23" s="2">
        <f t="shared" si="0"/>
        <v>8.913945</v>
      </c>
      <c r="D23" s="2">
        <f t="shared" si="0"/>
        <v>8.8544499999999999</v>
      </c>
    </row>
    <row r="24" spans="3:4" outlineLevel="1" x14ac:dyDescent="0.2">
      <c r="C24" s="2">
        <f t="shared" si="0"/>
        <v>19.493289000000001</v>
      </c>
      <c r="D24" s="2">
        <f t="shared" si="0"/>
        <v>17.302049999999998</v>
      </c>
    </row>
    <row r="26" spans="3:4" x14ac:dyDescent="0.2">
      <c r="C26" s="11"/>
    </row>
    <row r="46" spans="8:11" x14ac:dyDescent="0.2">
      <c r="H46" s="13"/>
    </row>
    <row r="47" spans="8:11" x14ac:dyDescent="0.2">
      <c r="I47" s="13"/>
      <c r="K47" s="10"/>
    </row>
    <row r="50" spans="7:11" x14ac:dyDescent="0.2">
      <c r="K50" s="10"/>
    </row>
    <row r="52" spans="7:11" x14ac:dyDescent="0.2">
      <c r="G52" s="10"/>
    </row>
    <row r="53" spans="7:11" x14ac:dyDescent="0.2">
      <c r="G53" s="10"/>
    </row>
    <row r="54" spans="7:11" x14ac:dyDescent="0.2">
      <c r="G54" s="10"/>
    </row>
    <row r="55" spans="7:11" x14ac:dyDescent="0.2">
      <c r="G55" s="10"/>
    </row>
    <row r="56" spans="7:11" x14ac:dyDescent="0.2">
      <c r="G56" s="10"/>
    </row>
    <row r="57" spans="7:11" x14ac:dyDescent="0.2">
      <c r="G57" s="10"/>
    </row>
    <row r="58" spans="7:11" x14ac:dyDescent="0.2">
      <c r="G58" s="10"/>
    </row>
    <row r="59" spans="7:11" x14ac:dyDescent="0.2">
      <c r="G59" s="10"/>
    </row>
  </sheetData>
  <mergeCells count="1">
    <mergeCell ref="B2:D2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6F36-7AAD-E74A-BBE7-365AD3F1CA2C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4A80-FADD-8E4E-BB28-0BE05887AFE5}">
  <sheetPr>
    <tabColor rgb="FFFFFF00"/>
  </sheetPr>
  <dimension ref="B2:Q42"/>
  <sheetViews>
    <sheetView topLeftCell="L1" workbookViewId="0">
      <selection activeCell="K30" sqref="K30"/>
    </sheetView>
  </sheetViews>
  <sheetFormatPr baseColWidth="10" defaultRowHeight="16" outlineLevelRow="1" outlineLevelCol="1" x14ac:dyDescent="0.2"/>
  <cols>
    <col min="1" max="1" width="4.33203125" style="2" customWidth="1"/>
    <col min="2" max="2" width="10.83203125" style="2"/>
    <col min="3" max="4" width="13.83203125" style="2" customWidth="1"/>
    <col min="5" max="5" width="2.83203125" style="2" customWidth="1"/>
    <col min="6" max="6" width="10.83203125" style="2"/>
    <col min="7" max="8" width="13.83203125" style="2" customWidth="1"/>
    <col min="9" max="9" width="2.6640625" style="2" customWidth="1"/>
    <col min="10" max="10" width="10.83203125" style="2"/>
    <col min="11" max="12" width="13.83203125" style="2" customWidth="1"/>
    <col min="13" max="13" width="10.83203125" style="2"/>
    <col min="14" max="14" width="0" style="2" hidden="1" customWidth="1" outlineLevel="1"/>
    <col min="15" max="15" width="10.83203125" style="2" collapsed="1"/>
    <col min="16" max="16384" width="10.83203125" style="2"/>
  </cols>
  <sheetData>
    <row r="2" spans="2:14" x14ac:dyDescent="0.2">
      <c r="B2" s="58" t="s">
        <v>5</v>
      </c>
      <c r="C2" s="58"/>
      <c r="D2" s="58"/>
      <c r="F2" s="58" t="s">
        <v>6</v>
      </c>
      <c r="G2" s="58"/>
      <c r="H2" s="58"/>
      <c r="J2" s="58" t="s">
        <v>0</v>
      </c>
      <c r="K2" s="58"/>
      <c r="L2" s="58"/>
    </row>
    <row r="3" spans="2:14" x14ac:dyDescent="0.2">
      <c r="B3" s="1" t="s">
        <v>1</v>
      </c>
      <c r="C3" s="1" t="s">
        <v>2</v>
      </c>
      <c r="D3" s="1" t="s">
        <v>3</v>
      </c>
      <c r="F3" s="1" t="s">
        <v>1</v>
      </c>
      <c r="G3" s="1" t="s">
        <v>2</v>
      </c>
      <c r="H3" s="1" t="s">
        <v>3</v>
      </c>
      <c r="J3" s="1" t="s">
        <v>1</v>
      </c>
      <c r="K3" s="1" t="s">
        <v>2</v>
      </c>
      <c r="L3" s="1" t="s">
        <v>3</v>
      </c>
    </row>
    <row r="4" spans="2:14" x14ac:dyDescent="0.2">
      <c r="B4" s="3">
        <v>2015</v>
      </c>
      <c r="C4" s="4">
        <v>0.16814372999999999</v>
      </c>
      <c r="D4" s="4">
        <v>0.1561264</v>
      </c>
      <c r="F4" s="3">
        <v>2015</v>
      </c>
      <c r="G4" s="4">
        <v>6.1694999999999996E-3</v>
      </c>
      <c r="H4" s="4">
        <v>3.0461200000000001E-2</v>
      </c>
      <c r="J4" s="3">
        <v>2015</v>
      </c>
      <c r="K4" s="4">
        <v>0.16196983000000001</v>
      </c>
      <c r="L4" s="4">
        <v>0.1256263</v>
      </c>
      <c r="N4" s="2">
        <v>100</v>
      </c>
    </row>
    <row r="5" spans="2:14" x14ac:dyDescent="0.2">
      <c r="B5" s="3">
        <v>2016</v>
      </c>
      <c r="C5" s="4">
        <v>0.17604270999999999</v>
      </c>
      <c r="D5" s="4">
        <v>0.1355382</v>
      </c>
      <c r="F5" s="3">
        <v>2016</v>
      </c>
      <c r="G5" s="4">
        <v>6.0704899999999996E-3</v>
      </c>
      <c r="H5" s="4">
        <v>3.3690699999999997E-2</v>
      </c>
      <c r="J5" s="3">
        <v>2016</v>
      </c>
      <c r="K5" s="4">
        <v>0.17015472000000001</v>
      </c>
      <c r="L5" s="4">
        <v>0.1311705</v>
      </c>
    </row>
    <row r="6" spans="2:14" x14ac:dyDescent="0.2">
      <c r="B6" s="3">
        <v>2017</v>
      </c>
      <c r="C6" s="4">
        <v>0.16497501000000001</v>
      </c>
      <c r="D6" s="4">
        <v>0.13259119999999999</v>
      </c>
      <c r="F6" s="3">
        <v>2017</v>
      </c>
      <c r="G6" s="4">
        <v>5.5177799999999999E-3</v>
      </c>
      <c r="H6" s="4">
        <v>3.2889300000000003E-2</v>
      </c>
      <c r="J6" s="3">
        <v>2017</v>
      </c>
      <c r="K6" s="4">
        <v>0.15965749000000001</v>
      </c>
      <c r="L6" s="4">
        <v>0.12849669999999999</v>
      </c>
    </row>
    <row r="7" spans="2:14" x14ac:dyDescent="0.2">
      <c r="B7" s="3">
        <v>2018</v>
      </c>
      <c r="C7" s="4">
        <v>0.17641710999999999</v>
      </c>
      <c r="D7" s="4">
        <v>0.1532589</v>
      </c>
      <c r="F7" s="3">
        <v>2018</v>
      </c>
      <c r="G7" s="4">
        <v>2.68732E-3</v>
      </c>
      <c r="H7" s="4">
        <v>2.24414E-2</v>
      </c>
      <c r="J7" s="3">
        <v>2018</v>
      </c>
      <c r="K7" s="4">
        <v>0.17387991</v>
      </c>
      <c r="L7" s="4">
        <v>0.1511943</v>
      </c>
    </row>
    <row r="8" spans="2:14" x14ac:dyDescent="0.2">
      <c r="B8" s="3">
        <v>2019</v>
      </c>
      <c r="C8" s="4">
        <v>0.1819229</v>
      </c>
      <c r="D8" s="4">
        <v>0.16249839999999999</v>
      </c>
      <c r="F8" s="3">
        <v>2019</v>
      </c>
      <c r="G8" s="4">
        <v>2.6721599999999998E-3</v>
      </c>
      <c r="H8" s="4">
        <v>2.2963399999999998E-2</v>
      </c>
      <c r="J8" s="3">
        <v>2019</v>
      </c>
      <c r="K8" s="4">
        <v>0.17940328</v>
      </c>
      <c r="L8" s="4">
        <v>0.1603861</v>
      </c>
    </row>
    <row r="9" spans="2:14" x14ac:dyDescent="0.2">
      <c r="B9" s="3">
        <v>2020</v>
      </c>
      <c r="C9" s="4">
        <v>0.19200859000000001</v>
      </c>
      <c r="D9" s="4">
        <v>0.1670837</v>
      </c>
      <c r="F9" s="3">
        <v>2020</v>
      </c>
      <c r="G9" s="4">
        <v>2.5738800000000002E-3</v>
      </c>
      <c r="H9" s="4">
        <v>2.2741399999999998E-2</v>
      </c>
      <c r="J9" s="3">
        <v>2020</v>
      </c>
      <c r="K9" s="4">
        <v>0.18958509000000001</v>
      </c>
      <c r="L9" s="4">
        <v>0.16508919999999999</v>
      </c>
    </row>
    <row r="10" spans="2:14" x14ac:dyDescent="0.2">
      <c r="B10" s="3">
        <v>2021</v>
      </c>
      <c r="C10" s="4">
        <v>0.21245094</v>
      </c>
      <c r="D10" s="4">
        <v>0.1716887</v>
      </c>
      <c r="F10" s="3">
        <v>2021</v>
      </c>
      <c r="G10" s="4">
        <v>2.6566699999999999E-3</v>
      </c>
      <c r="H10" s="4">
        <v>2.2724899999999999E-2</v>
      </c>
      <c r="J10" s="3">
        <v>2021</v>
      </c>
      <c r="K10" s="4">
        <v>0.20994107000000001</v>
      </c>
      <c r="L10" s="4">
        <v>0.16975519999999999</v>
      </c>
    </row>
    <row r="11" spans="2:14" x14ac:dyDescent="0.2">
      <c r="B11" s="3">
        <v>2022</v>
      </c>
      <c r="C11" s="4">
        <v>0.22657557</v>
      </c>
      <c r="D11" s="4">
        <v>0.18852849999999999</v>
      </c>
      <c r="F11" s="3">
        <v>2022</v>
      </c>
      <c r="G11" s="4">
        <v>2.7343799999999998E-3</v>
      </c>
      <c r="H11" s="4">
        <v>2.4343199999999999E-2</v>
      </c>
      <c r="J11" s="3">
        <v>2022</v>
      </c>
      <c r="K11" s="4">
        <v>0.22398624</v>
      </c>
      <c r="L11" s="4">
        <v>0.18645790000000001</v>
      </c>
    </row>
    <row r="13" spans="2:14" x14ac:dyDescent="0.2">
      <c r="B13" s="5" t="s">
        <v>4</v>
      </c>
      <c r="C13" s="6">
        <f>C11-C4</f>
        <v>5.8431840000000013E-2</v>
      </c>
      <c r="D13" s="6">
        <f>D11-D4</f>
        <v>3.2402099999999989E-2</v>
      </c>
      <c r="F13" s="5" t="s">
        <v>4</v>
      </c>
      <c r="G13" s="6">
        <f>G11-G4</f>
        <v>-3.4351199999999998E-3</v>
      </c>
      <c r="H13" s="6">
        <f>H11-H4</f>
        <v>-6.1180000000000019E-3</v>
      </c>
      <c r="J13" s="5" t="s">
        <v>4</v>
      </c>
      <c r="K13" s="6">
        <f>K11-K4</f>
        <v>6.2016409999999994E-2</v>
      </c>
      <c r="L13" s="6">
        <f>L11-L4</f>
        <v>6.0831600000000013E-2</v>
      </c>
    </row>
    <row r="15" spans="2:14" x14ac:dyDescent="0.2">
      <c r="B15" s="2" t="s">
        <v>7</v>
      </c>
    </row>
    <row r="17" spans="3:12" outlineLevel="1" x14ac:dyDescent="0.2">
      <c r="C17" s="2">
        <f t="shared" ref="C17:D24" si="0">C4*$N$4</f>
        <v>16.814373</v>
      </c>
      <c r="D17" s="2">
        <f t="shared" si="0"/>
        <v>15.612639999999999</v>
      </c>
      <c r="K17" s="2">
        <f t="shared" ref="K17:L24" si="1">K4*$N$4</f>
        <v>16.196982999999999</v>
      </c>
      <c r="L17" s="2">
        <f t="shared" si="1"/>
        <v>12.56263</v>
      </c>
    </row>
    <row r="18" spans="3:12" outlineLevel="1" x14ac:dyDescent="0.2">
      <c r="C18" s="2">
        <f t="shared" si="0"/>
        <v>17.604271000000001</v>
      </c>
      <c r="D18" s="2">
        <f t="shared" si="0"/>
        <v>13.55382</v>
      </c>
      <c r="K18" s="2">
        <f t="shared" si="1"/>
        <v>17.015472000000003</v>
      </c>
      <c r="L18" s="2">
        <f t="shared" si="1"/>
        <v>13.117049999999999</v>
      </c>
    </row>
    <row r="19" spans="3:12" outlineLevel="1" x14ac:dyDescent="0.2">
      <c r="C19" s="2">
        <f t="shared" si="0"/>
        <v>16.497501</v>
      </c>
      <c r="D19" s="2">
        <f t="shared" si="0"/>
        <v>13.259119999999999</v>
      </c>
      <c r="K19" s="2">
        <f t="shared" si="1"/>
        <v>15.965749000000001</v>
      </c>
      <c r="L19" s="2">
        <f t="shared" si="1"/>
        <v>12.84967</v>
      </c>
    </row>
    <row r="20" spans="3:12" outlineLevel="1" x14ac:dyDescent="0.2">
      <c r="C20" s="2">
        <f t="shared" si="0"/>
        <v>17.641710999999997</v>
      </c>
      <c r="D20" s="2">
        <f t="shared" si="0"/>
        <v>15.325890000000001</v>
      </c>
      <c r="K20" s="2">
        <f t="shared" si="1"/>
        <v>17.387991</v>
      </c>
      <c r="L20" s="2">
        <f t="shared" si="1"/>
        <v>15.119430000000001</v>
      </c>
    </row>
    <row r="21" spans="3:12" outlineLevel="1" x14ac:dyDescent="0.2">
      <c r="C21" s="2">
        <f t="shared" si="0"/>
        <v>18.19229</v>
      </c>
      <c r="D21" s="2">
        <f t="shared" si="0"/>
        <v>16.249839999999999</v>
      </c>
      <c r="K21" s="2">
        <f t="shared" si="1"/>
        <v>17.940328000000001</v>
      </c>
      <c r="L21" s="2">
        <f t="shared" si="1"/>
        <v>16.038610000000002</v>
      </c>
    </row>
    <row r="22" spans="3:12" outlineLevel="1" x14ac:dyDescent="0.2">
      <c r="C22" s="2">
        <f t="shared" si="0"/>
        <v>19.200859000000001</v>
      </c>
      <c r="D22" s="2">
        <f t="shared" si="0"/>
        <v>16.708369999999999</v>
      </c>
      <c r="K22" s="2">
        <f t="shared" si="1"/>
        <v>18.958508999999999</v>
      </c>
      <c r="L22" s="2">
        <f t="shared" si="1"/>
        <v>16.50892</v>
      </c>
    </row>
    <row r="23" spans="3:12" outlineLevel="1" x14ac:dyDescent="0.2">
      <c r="C23" s="2">
        <f t="shared" si="0"/>
        <v>21.245094000000002</v>
      </c>
      <c r="D23" s="2">
        <f t="shared" si="0"/>
        <v>17.168869999999998</v>
      </c>
      <c r="K23" s="2">
        <f t="shared" si="1"/>
        <v>20.994107</v>
      </c>
      <c r="L23" s="2">
        <f t="shared" si="1"/>
        <v>16.975519999999999</v>
      </c>
    </row>
    <row r="24" spans="3:12" outlineLevel="1" x14ac:dyDescent="0.2">
      <c r="C24" s="2">
        <f t="shared" si="0"/>
        <v>22.657557000000001</v>
      </c>
      <c r="D24" s="2">
        <f t="shared" si="0"/>
        <v>18.85285</v>
      </c>
      <c r="K24" s="2">
        <f t="shared" si="1"/>
        <v>22.398624000000002</v>
      </c>
      <c r="L24" s="2">
        <f t="shared" si="1"/>
        <v>18.645790000000002</v>
      </c>
    </row>
    <row r="39" spans="7:17" x14ac:dyDescent="0.2">
      <c r="G39" s="13"/>
    </row>
    <row r="40" spans="7:17" x14ac:dyDescent="0.2">
      <c r="I40" s="13"/>
    </row>
    <row r="42" spans="7:17" x14ac:dyDescent="0.2">
      <c r="Q42" s="13"/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593D-2B3D-BD42-AB4F-D48E2C33E983}">
  <sheetPr>
    <tabColor rgb="FFFFFF00"/>
  </sheetPr>
  <dimension ref="B2:Q42"/>
  <sheetViews>
    <sheetView topLeftCell="K8" workbookViewId="0">
      <selection activeCell="C4" sqref="C4:C11"/>
    </sheetView>
  </sheetViews>
  <sheetFormatPr baseColWidth="10" defaultRowHeight="16" outlineLevelRow="1" outlineLevelCol="1" x14ac:dyDescent="0.2"/>
  <cols>
    <col min="1" max="1" width="4.33203125" style="2" customWidth="1"/>
    <col min="2" max="2" width="10.83203125" style="2"/>
    <col min="3" max="4" width="13.83203125" style="2" customWidth="1"/>
    <col min="5" max="5" width="2.83203125" style="2" customWidth="1"/>
    <col min="6" max="6" width="10.83203125" style="2"/>
    <col min="7" max="8" width="13.83203125" style="2" customWidth="1"/>
    <col min="9" max="9" width="2.6640625" style="2" customWidth="1"/>
    <col min="10" max="10" width="10.83203125" style="2"/>
    <col min="11" max="12" width="13.83203125" style="2" customWidth="1"/>
    <col min="13" max="13" width="10.83203125" style="2"/>
    <col min="14" max="14" width="0" style="2" hidden="1" customWidth="1" outlineLevel="1"/>
    <col min="15" max="15" width="10.83203125" style="2" collapsed="1"/>
    <col min="16" max="16384" width="10.83203125" style="2"/>
  </cols>
  <sheetData>
    <row r="2" spans="2:14" x14ac:dyDescent="0.2">
      <c r="B2" s="58" t="s">
        <v>5</v>
      </c>
      <c r="C2" s="58"/>
      <c r="D2" s="58"/>
      <c r="F2" s="58" t="s">
        <v>6</v>
      </c>
      <c r="G2" s="58"/>
      <c r="H2" s="58"/>
      <c r="J2" s="58" t="s">
        <v>0</v>
      </c>
      <c r="K2" s="58"/>
      <c r="L2" s="58"/>
    </row>
    <row r="3" spans="2:14" x14ac:dyDescent="0.2">
      <c r="B3" s="1" t="s">
        <v>1</v>
      </c>
      <c r="C3" s="1" t="s">
        <v>2</v>
      </c>
      <c r="D3" s="1" t="s">
        <v>3</v>
      </c>
      <c r="F3" s="1" t="s">
        <v>1</v>
      </c>
      <c r="G3" s="1" t="s">
        <v>2</v>
      </c>
      <c r="H3" s="1" t="s">
        <v>3</v>
      </c>
      <c r="J3" s="1" t="s">
        <v>1</v>
      </c>
      <c r="K3" s="1" t="s">
        <v>2</v>
      </c>
      <c r="L3" s="1" t="s">
        <v>3</v>
      </c>
    </row>
    <row r="4" spans="2:14" x14ac:dyDescent="0.2">
      <c r="B4" s="3">
        <v>2015</v>
      </c>
      <c r="C4" s="4">
        <v>0.13988967999999999</v>
      </c>
      <c r="D4" s="4">
        <v>0.14365810000000001</v>
      </c>
      <c r="F4" s="3">
        <v>2015</v>
      </c>
      <c r="G4" s="4">
        <v>2.8004999999999999E-2</v>
      </c>
      <c r="H4" s="4">
        <v>2.8542000000000001E-2</v>
      </c>
      <c r="J4" s="3">
        <v>2015</v>
      </c>
      <c r="K4" s="4">
        <v>0.11192621</v>
      </c>
      <c r="L4" s="4">
        <v>0.11543929999999999</v>
      </c>
      <c r="N4" s="2">
        <v>100</v>
      </c>
    </row>
    <row r="5" spans="2:14" x14ac:dyDescent="0.2">
      <c r="B5" s="3">
        <v>2016</v>
      </c>
      <c r="C5" s="4">
        <v>0.14190878000000001</v>
      </c>
      <c r="D5" s="4">
        <v>0.1457521</v>
      </c>
      <c r="F5" s="3">
        <v>2016</v>
      </c>
      <c r="G5" s="4">
        <v>2.8254370000000001E-2</v>
      </c>
      <c r="H5" s="4">
        <v>2.8828400000000001E-2</v>
      </c>
      <c r="J5" s="3">
        <v>2016</v>
      </c>
      <c r="K5" s="4">
        <v>0.11371207999999999</v>
      </c>
      <c r="L5" s="4">
        <v>0.11723749999999999</v>
      </c>
    </row>
    <row r="6" spans="2:14" x14ac:dyDescent="0.2">
      <c r="B6" s="3">
        <v>2017</v>
      </c>
      <c r="C6" s="4">
        <v>0.13725277999999999</v>
      </c>
      <c r="D6" s="4">
        <v>0.1423267</v>
      </c>
      <c r="F6" s="3">
        <v>2017</v>
      </c>
      <c r="G6" s="4">
        <v>2.883345E-2</v>
      </c>
      <c r="H6" s="4">
        <v>2.9550699999999999E-2</v>
      </c>
      <c r="J6" s="3">
        <v>2017</v>
      </c>
      <c r="K6" s="4">
        <v>0.10845543000000001</v>
      </c>
      <c r="L6" s="4">
        <v>0.1129941</v>
      </c>
    </row>
    <row r="7" spans="2:14" x14ac:dyDescent="0.2">
      <c r="B7" s="3">
        <v>2018</v>
      </c>
      <c r="C7" s="4">
        <v>0.14267869999999999</v>
      </c>
      <c r="D7" s="4">
        <v>0.14328360000000001</v>
      </c>
      <c r="F7" s="3">
        <v>2018</v>
      </c>
      <c r="G7" s="4">
        <v>2.9087439999999999E-2</v>
      </c>
      <c r="H7" s="4">
        <v>2.97919E-2</v>
      </c>
      <c r="J7" s="3">
        <v>2018</v>
      </c>
      <c r="K7" s="4">
        <v>0.11354829</v>
      </c>
      <c r="L7" s="4">
        <v>0.1137826</v>
      </c>
    </row>
    <row r="8" spans="2:14" x14ac:dyDescent="0.2">
      <c r="B8" s="3">
        <v>2019</v>
      </c>
      <c r="C8" s="4">
        <v>0.1002905</v>
      </c>
      <c r="D8" s="4">
        <v>0.1048215</v>
      </c>
      <c r="F8" s="3">
        <v>2019</v>
      </c>
      <c r="G8" s="4">
        <v>2.9569789999999999E-2</v>
      </c>
      <c r="H8" s="4">
        <v>3.01529E-2</v>
      </c>
      <c r="J8" s="3">
        <v>2019</v>
      </c>
      <c r="K8" s="4">
        <v>7.0619230000000005E-2</v>
      </c>
      <c r="L8" s="4">
        <v>7.3809700000000006E-2</v>
      </c>
    </row>
    <row r="9" spans="2:14" x14ac:dyDescent="0.2">
      <c r="B9" s="3">
        <v>2020</v>
      </c>
      <c r="C9" s="4">
        <v>0.13713023999999999</v>
      </c>
      <c r="D9" s="4">
        <v>0.13626669999999999</v>
      </c>
      <c r="F9" s="3">
        <v>2020</v>
      </c>
      <c r="G9" s="4">
        <v>2.1959240000000001E-2</v>
      </c>
      <c r="H9" s="4">
        <v>2.2935199999999999E-2</v>
      </c>
      <c r="J9" s="3">
        <v>2020</v>
      </c>
      <c r="K9" s="4">
        <v>0.11512491</v>
      </c>
      <c r="L9" s="4">
        <v>0.1136684</v>
      </c>
    </row>
    <row r="10" spans="2:14" x14ac:dyDescent="0.2">
      <c r="B10" s="3">
        <v>2021</v>
      </c>
      <c r="C10" s="4">
        <v>0.23168596999999999</v>
      </c>
      <c r="D10" s="4">
        <v>0.21989590000000001</v>
      </c>
      <c r="F10" s="3">
        <v>2021</v>
      </c>
      <c r="G10" s="4">
        <v>2.4926340000000002E-2</v>
      </c>
      <c r="H10" s="4">
        <v>2.5964399999999999E-2</v>
      </c>
      <c r="J10" s="3">
        <v>2021</v>
      </c>
      <c r="K10" s="4">
        <v>0.20648746000000001</v>
      </c>
      <c r="L10" s="4">
        <v>0.1937441</v>
      </c>
    </row>
    <row r="11" spans="2:14" x14ac:dyDescent="0.2">
      <c r="B11" s="3">
        <v>2022</v>
      </c>
      <c r="C11" s="4">
        <v>0.18811658000000001</v>
      </c>
      <c r="D11" s="4">
        <v>0.18174129999999999</v>
      </c>
      <c r="F11" s="3">
        <v>2022</v>
      </c>
      <c r="G11" s="4">
        <v>2.216914E-2</v>
      </c>
      <c r="H11" s="4">
        <v>2.31951E-2</v>
      </c>
      <c r="J11" s="3">
        <v>2022</v>
      </c>
      <c r="K11" s="4">
        <v>0.16576573999999999</v>
      </c>
      <c r="L11" s="4">
        <v>0.15853819999999999</v>
      </c>
    </row>
    <row r="13" spans="2:14" x14ac:dyDescent="0.2">
      <c r="B13" s="5" t="s">
        <v>4</v>
      </c>
      <c r="C13" s="6">
        <f>C11-C4</f>
        <v>4.8226900000000017E-2</v>
      </c>
      <c r="D13" s="6">
        <f>D11-D4</f>
        <v>3.8083199999999984E-2</v>
      </c>
      <c r="F13" s="5" t="s">
        <v>4</v>
      </c>
      <c r="G13" s="6">
        <f>G11-G4</f>
        <v>-5.8358599999999983E-3</v>
      </c>
      <c r="H13" s="6">
        <f>H11-H4</f>
        <v>-5.3469000000000017E-3</v>
      </c>
      <c r="J13" s="5" t="s">
        <v>4</v>
      </c>
      <c r="K13" s="6">
        <f>K11-K4</f>
        <v>5.3839529999999997E-2</v>
      </c>
      <c r="L13" s="6">
        <f>L11-L4</f>
        <v>4.3098899999999996E-2</v>
      </c>
    </row>
    <row r="15" spans="2:14" x14ac:dyDescent="0.2">
      <c r="B15" s="2" t="s">
        <v>7</v>
      </c>
    </row>
    <row r="17" spans="3:12" outlineLevel="1" x14ac:dyDescent="0.2">
      <c r="C17" s="2">
        <f t="shared" ref="C17:D24" si="0">C4*$N$4</f>
        <v>13.988967999999998</v>
      </c>
      <c r="D17" s="2">
        <f t="shared" si="0"/>
        <v>14.365810000000002</v>
      </c>
      <c r="G17" s="2">
        <f t="shared" ref="G17:H17" si="1">G4*$N$4</f>
        <v>2.8005</v>
      </c>
      <c r="H17" s="2">
        <f t="shared" si="1"/>
        <v>2.8542000000000001</v>
      </c>
      <c r="K17" s="2">
        <f t="shared" ref="K17:L24" si="2">K4*$N$4</f>
        <v>11.192620999999999</v>
      </c>
      <c r="L17" s="2">
        <f t="shared" si="2"/>
        <v>11.54393</v>
      </c>
    </row>
    <row r="18" spans="3:12" outlineLevel="1" x14ac:dyDescent="0.2">
      <c r="C18" s="2">
        <f t="shared" si="0"/>
        <v>14.190878000000001</v>
      </c>
      <c r="D18" s="2">
        <f t="shared" si="0"/>
        <v>14.57521</v>
      </c>
      <c r="G18" s="2">
        <f t="shared" ref="G18:H18" si="3">G5*$N$4</f>
        <v>2.825437</v>
      </c>
      <c r="H18" s="2">
        <f t="shared" si="3"/>
        <v>2.8828399999999998</v>
      </c>
      <c r="K18" s="2">
        <f t="shared" si="2"/>
        <v>11.371207999999999</v>
      </c>
      <c r="L18" s="2">
        <f t="shared" si="2"/>
        <v>11.723749999999999</v>
      </c>
    </row>
    <row r="19" spans="3:12" outlineLevel="1" x14ac:dyDescent="0.2">
      <c r="C19" s="2">
        <f t="shared" si="0"/>
        <v>13.725277999999999</v>
      </c>
      <c r="D19" s="2">
        <f t="shared" si="0"/>
        <v>14.232670000000001</v>
      </c>
      <c r="G19" s="2">
        <f t="shared" ref="G19:H19" si="4">G6*$N$4</f>
        <v>2.8833449999999998</v>
      </c>
      <c r="H19" s="2">
        <f t="shared" si="4"/>
        <v>2.9550700000000001</v>
      </c>
      <c r="K19" s="2">
        <f t="shared" si="2"/>
        <v>10.845543000000001</v>
      </c>
      <c r="L19" s="2">
        <f t="shared" si="2"/>
        <v>11.29941</v>
      </c>
    </row>
    <row r="20" spans="3:12" outlineLevel="1" x14ac:dyDescent="0.2">
      <c r="C20" s="2">
        <f t="shared" si="0"/>
        <v>14.267869999999998</v>
      </c>
      <c r="D20" s="2">
        <f t="shared" si="0"/>
        <v>14.328360000000002</v>
      </c>
      <c r="G20" s="2">
        <f t="shared" ref="G20:H20" si="5">G7*$N$4</f>
        <v>2.908744</v>
      </c>
      <c r="H20" s="2">
        <f t="shared" si="5"/>
        <v>2.97919</v>
      </c>
      <c r="K20" s="2">
        <f t="shared" si="2"/>
        <v>11.354828999999999</v>
      </c>
      <c r="L20" s="2">
        <f t="shared" si="2"/>
        <v>11.378259999999999</v>
      </c>
    </row>
    <row r="21" spans="3:12" outlineLevel="1" x14ac:dyDescent="0.2">
      <c r="C21" s="2">
        <f t="shared" si="0"/>
        <v>10.02905</v>
      </c>
      <c r="D21" s="2">
        <f t="shared" si="0"/>
        <v>10.482149999999999</v>
      </c>
      <c r="G21" s="2">
        <f t="shared" ref="G21:H21" si="6">G8*$N$4</f>
        <v>2.956979</v>
      </c>
      <c r="H21" s="2">
        <f t="shared" si="6"/>
        <v>3.0152899999999998</v>
      </c>
      <c r="K21" s="2">
        <f t="shared" si="2"/>
        <v>7.0619230000000002</v>
      </c>
      <c r="L21" s="2">
        <f t="shared" si="2"/>
        <v>7.3809700000000005</v>
      </c>
    </row>
    <row r="22" spans="3:12" outlineLevel="1" x14ac:dyDescent="0.2">
      <c r="C22" s="2">
        <f t="shared" si="0"/>
        <v>13.713023999999999</v>
      </c>
      <c r="D22" s="2">
        <f t="shared" si="0"/>
        <v>13.626669999999999</v>
      </c>
      <c r="G22" s="2">
        <f t="shared" ref="G22:H22" si="7">G9*$N$4</f>
        <v>2.1959240000000002</v>
      </c>
      <c r="H22" s="2">
        <f t="shared" si="7"/>
        <v>2.29352</v>
      </c>
      <c r="K22" s="2">
        <f t="shared" si="2"/>
        <v>11.512490999999999</v>
      </c>
      <c r="L22" s="2">
        <f t="shared" si="2"/>
        <v>11.36684</v>
      </c>
    </row>
    <row r="23" spans="3:12" outlineLevel="1" x14ac:dyDescent="0.2">
      <c r="C23" s="2">
        <f t="shared" si="0"/>
        <v>23.168596999999998</v>
      </c>
      <c r="D23" s="2">
        <f t="shared" si="0"/>
        <v>21.98959</v>
      </c>
      <c r="G23" s="2">
        <f t="shared" ref="G23:H23" si="8">G10*$N$4</f>
        <v>2.4926340000000002</v>
      </c>
      <c r="H23" s="2">
        <f t="shared" si="8"/>
        <v>2.5964399999999999</v>
      </c>
      <c r="K23" s="2">
        <f t="shared" si="2"/>
        <v>20.648746000000003</v>
      </c>
      <c r="L23" s="2">
        <f t="shared" si="2"/>
        <v>19.374410000000001</v>
      </c>
    </row>
    <row r="24" spans="3:12" outlineLevel="1" x14ac:dyDescent="0.2">
      <c r="C24" s="2">
        <f t="shared" si="0"/>
        <v>18.811658000000001</v>
      </c>
      <c r="D24" s="2">
        <f t="shared" si="0"/>
        <v>18.174129999999998</v>
      </c>
      <c r="G24" s="2">
        <f t="shared" ref="G24:H24" si="9">G11*$N$4</f>
        <v>2.2169140000000001</v>
      </c>
      <c r="H24" s="2">
        <f t="shared" si="9"/>
        <v>2.3195100000000002</v>
      </c>
      <c r="K24" s="2">
        <f t="shared" si="2"/>
        <v>16.576574000000001</v>
      </c>
      <c r="L24" s="2">
        <f t="shared" si="2"/>
        <v>15.853819999999999</v>
      </c>
    </row>
    <row r="39" spans="7:17" x14ac:dyDescent="0.2">
      <c r="G39" s="13"/>
    </row>
    <row r="40" spans="7:17" x14ac:dyDescent="0.2">
      <c r="I40" s="13"/>
    </row>
    <row r="42" spans="7:17" x14ac:dyDescent="0.2">
      <c r="Q42" s="13"/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46CF-904B-FD4B-ADD9-3EBB891D9235}">
  <sheetPr>
    <tabColor rgb="FFFFFF00"/>
  </sheetPr>
  <dimension ref="B2:I50"/>
  <sheetViews>
    <sheetView workbookViewId="0">
      <selection activeCell="Q33" sqref="Q33"/>
    </sheetView>
  </sheetViews>
  <sheetFormatPr baseColWidth="10" defaultRowHeight="16" outlineLevelRow="1" outlineLevelCol="1" x14ac:dyDescent="0.2"/>
  <cols>
    <col min="1" max="1" width="2.6640625" style="2" customWidth="1"/>
    <col min="2" max="2" width="13.1640625" style="2" customWidth="1"/>
    <col min="3" max="4" width="13.83203125" style="2" customWidth="1"/>
    <col min="5" max="5" width="10.83203125" style="2"/>
    <col min="6" max="6" width="0" style="2" hidden="1" customWidth="1" outlineLevel="1"/>
    <col min="7" max="7" width="10.83203125" style="2" collapsed="1"/>
    <col min="8" max="16384" width="10.83203125" style="2"/>
  </cols>
  <sheetData>
    <row r="2" spans="2:6" x14ac:dyDescent="0.2">
      <c r="B2" s="58" t="s">
        <v>6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5.4792090000000002E-2</v>
      </c>
      <c r="D4" s="4">
        <v>5.5798500000000001E-2</v>
      </c>
      <c r="F4" s="2">
        <v>100</v>
      </c>
    </row>
    <row r="5" spans="2:6" x14ac:dyDescent="0.2">
      <c r="B5" s="3">
        <v>2016</v>
      </c>
      <c r="C5" s="4">
        <v>5.5044669999999997E-2</v>
      </c>
      <c r="D5" s="4">
        <v>5.6297399999999997E-2</v>
      </c>
    </row>
    <row r="6" spans="2:6" x14ac:dyDescent="0.2">
      <c r="B6" s="3">
        <v>2017</v>
      </c>
      <c r="C6" s="4">
        <v>5.5281259999999999E-2</v>
      </c>
      <c r="D6" s="4">
        <v>5.6714399999999998E-2</v>
      </c>
    </row>
    <row r="7" spans="2:6" x14ac:dyDescent="0.2">
      <c r="B7" s="3">
        <v>2018</v>
      </c>
      <c r="C7" s="4">
        <v>5.5045740000000003E-2</v>
      </c>
      <c r="D7" s="4">
        <v>5.6331399999999997E-2</v>
      </c>
    </row>
    <row r="8" spans="2:6" x14ac:dyDescent="0.2">
      <c r="B8" s="3">
        <v>2019</v>
      </c>
      <c r="C8" s="4">
        <v>5.8442960000000002E-2</v>
      </c>
      <c r="D8" s="4">
        <v>5.90211E-2</v>
      </c>
    </row>
    <row r="9" spans="2:6" x14ac:dyDescent="0.2">
      <c r="B9" s="3">
        <v>2020</v>
      </c>
      <c r="C9" s="4">
        <v>5.8912510000000001E-2</v>
      </c>
      <c r="D9" s="4">
        <v>5.96E-2</v>
      </c>
    </row>
    <row r="10" spans="2:6" x14ac:dyDescent="0.2">
      <c r="B10" s="3">
        <v>2021</v>
      </c>
      <c r="C10" s="4">
        <v>5.7675030000000002E-2</v>
      </c>
      <c r="D10" s="4">
        <v>5.8479400000000001E-2</v>
      </c>
    </row>
    <row r="11" spans="2:6" x14ac:dyDescent="0.2">
      <c r="B11" s="3">
        <v>2022</v>
      </c>
      <c r="C11" s="4">
        <v>5.6420900000000003E-2</v>
      </c>
      <c r="D11" s="4">
        <v>5.75016E-2</v>
      </c>
    </row>
    <row r="13" spans="2:6" x14ac:dyDescent="0.2">
      <c r="B13" s="5" t="s">
        <v>4</v>
      </c>
      <c r="C13" s="6">
        <f>C11-C4</f>
        <v>1.6288100000000014E-3</v>
      </c>
      <c r="D13" s="6">
        <f>D11-D4</f>
        <v>1.7030999999999991E-3</v>
      </c>
    </row>
    <row r="17" spans="3:4" outlineLevel="1" x14ac:dyDescent="0.2">
      <c r="C17" s="2">
        <f t="shared" ref="C17:D24" si="0">C4*$F$4</f>
        <v>5.479209</v>
      </c>
      <c r="D17" s="2">
        <f t="shared" si="0"/>
        <v>5.5798500000000004</v>
      </c>
    </row>
    <row r="18" spans="3:4" outlineLevel="1" x14ac:dyDescent="0.2">
      <c r="C18" s="2">
        <f t="shared" si="0"/>
        <v>5.504467</v>
      </c>
      <c r="D18" s="2">
        <f t="shared" si="0"/>
        <v>5.62974</v>
      </c>
    </row>
    <row r="19" spans="3:4" outlineLevel="1" x14ac:dyDescent="0.2">
      <c r="C19" s="2">
        <f t="shared" si="0"/>
        <v>5.5281260000000003</v>
      </c>
      <c r="D19" s="2">
        <f t="shared" si="0"/>
        <v>5.6714399999999996</v>
      </c>
    </row>
    <row r="20" spans="3:4" outlineLevel="1" x14ac:dyDescent="0.2">
      <c r="C20" s="2">
        <f t="shared" si="0"/>
        <v>5.5045739999999999</v>
      </c>
      <c r="D20" s="2">
        <f t="shared" si="0"/>
        <v>5.63314</v>
      </c>
    </row>
    <row r="21" spans="3:4" outlineLevel="1" x14ac:dyDescent="0.2">
      <c r="C21" s="2">
        <f t="shared" si="0"/>
        <v>5.8442959999999999</v>
      </c>
      <c r="D21" s="2">
        <f t="shared" si="0"/>
        <v>5.9021100000000004</v>
      </c>
    </row>
    <row r="22" spans="3:4" outlineLevel="1" x14ac:dyDescent="0.2">
      <c r="C22" s="2">
        <f t="shared" si="0"/>
        <v>5.8912510000000005</v>
      </c>
      <c r="D22" s="2">
        <f t="shared" si="0"/>
        <v>5.96</v>
      </c>
    </row>
    <row r="23" spans="3:4" outlineLevel="1" x14ac:dyDescent="0.2">
      <c r="C23" s="2">
        <f t="shared" si="0"/>
        <v>5.7675030000000005</v>
      </c>
      <c r="D23" s="2">
        <f t="shared" si="0"/>
        <v>5.8479400000000004</v>
      </c>
    </row>
    <row r="24" spans="3:4" outlineLevel="1" x14ac:dyDescent="0.2">
      <c r="C24" s="2">
        <f t="shared" si="0"/>
        <v>5.6420900000000005</v>
      </c>
      <c r="D24" s="2">
        <f t="shared" si="0"/>
        <v>5.7501600000000002</v>
      </c>
    </row>
    <row r="45" spans="4:9" x14ac:dyDescent="0.2">
      <c r="I45" s="13"/>
    </row>
    <row r="47" spans="4:9" x14ac:dyDescent="0.2">
      <c r="D47" s="2" t="s">
        <v>9</v>
      </c>
    </row>
    <row r="50" spans="8:8" x14ac:dyDescent="0.2">
      <c r="H50" s="14"/>
    </row>
  </sheetData>
  <mergeCells count="1">
    <mergeCell ref="B2:D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71F5-202C-A349-9CE0-B937A8078F91}">
  <sheetPr>
    <tabColor rgb="FFFFFF00"/>
  </sheetPr>
  <dimension ref="B2:Q42"/>
  <sheetViews>
    <sheetView topLeftCell="M1" workbookViewId="0">
      <selection activeCell="C4" sqref="C4:C11"/>
    </sheetView>
  </sheetViews>
  <sheetFormatPr baseColWidth="10" defaultRowHeight="16" outlineLevelRow="1" outlineLevelCol="1" x14ac:dyDescent="0.2"/>
  <cols>
    <col min="1" max="1" width="4.33203125" style="2" customWidth="1"/>
    <col min="2" max="2" width="10.83203125" style="2"/>
    <col min="3" max="4" width="13.83203125" style="2" customWidth="1"/>
    <col min="5" max="5" width="2.83203125" style="2" customWidth="1"/>
    <col min="6" max="6" width="10.83203125" style="2"/>
    <col min="7" max="8" width="13.83203125" style="2" customWidth="1"/>
    <col min="9" max="9" width="2.6640625" style="2" customWidth="1"/>
    <col min="10" max="10" width="10.83203125" style="2"/>
    <col min="11" max="12" width="13.83203125" style="2" customWidth="1"/>
    <col min="13" max="13" width="10.83203125" style="2"/>
    <col min="14" max="14" width="0" style="2" hidden="1" customWidth="1" outlineLevel="1"/>
    <col min="15" max="15" width="10.83203125" style="2" collapsed="1"/>
    <col min="16" max="16384" width="10.83203125" style="2"/>
  </cols>
  <sheetData>
    <row r="2" spans="2:14" x14ac:dyDescent="0.2">
      <c r="B2" s="58" t="s">
        <v>5</v>
      </c>
      <c r="C2" s="58"/>
      <c r="D2" s="58"/>
      <c r="F2" s="58" t="s">
        <v>6</v>
      </c>
      <c r="G2" s="58"/>
      <c r="H2" s="58"/>
      <c r="J2" s="58" t="s">
        <v>0</v>
      </c>
      <c r="K2" s="58"/>
      <c r="L2" s="58"/>
    </row>
    <row r="3" spans="2:14" x14ac:dyDescent="0.2">
      <c r="B3" s="1" t="s">
        <v>1</v>
      </c>
      <c r="C3" s="1" t="s">
        <v>2</v>
      </c>
      <c r="D3" s="1" t="s">
        <v>3</v>
      </c>
      <c r="F3" s="1" t="s">
        <v>1</v>
      </c>
      <c r="G3" s="1" t="s">
        <v>2</v>
      </c>
      <c r="H3" s="1" t="s">
        <v>3</v>
      </c>
      <c r="J3" s="1" t="s">
        <v>1</v>
      </c>
      <c r="K3" s="1" t="s">
        <v>2</v>
      </c>
      <c r="L3" s="1" t="s">
        <v>3</v>
      </c>
    </row>
    <row r="4" spans="2:14" x14ac:dyDescent="0.2">
      <c r="B4" s="3">
        <v>2015</v>
      </c>
      <c r="C4" s="4">
        <v>6.3228870000000006E-2</v>
      </c>
      <c r="D4" s="4">
        <v>7.0577000000000001E-2</v>
      </c>
      <c r="F4" s="3">
        <v>2015</v>
      </c>
      <c r="G4" s="4">
        <v>5.4341830000000001E-2</v>
      </c>
      <c r="H4" s="4">
        <v>6.0449500000000003E-2</v>
      </c>
      <c r="J4" s="3">
        <v>2015</v>
      </c>
      <c r="K4" s="4">
        <v>8.7714200000000003E-3</v>
      </c>
      <c r="L4" s="4">
        <v>1.00222E-2</v>
      </c>
      <c r="N4" s="2">
        <v>100</v>
      </c>
    </row>
    <row r="5" spans="2:14" x14ac:dyDescent="0.2">
      <c r="B5" s="3">
        <v>2016</v>
      </c>
      <c r="C5" s="4">
        <v>0.21208483</v>
      </c>
      <c r="D5" s="4">
        <v>0.1984939</v>
      </c>
      <c r="F5" s="3">
        <v>2016</v>
      </c>
      <c r="G5" s="4">
        <v>5.9146839999999999E-2</v>
      </c>
      <c r="H5" s="4">
        <v>6.5911499999999998E-2</v>
      </c>
      <c r="J5" s="3">
        <v>2016</v>
      </c>
      <c r="K5" s="4">
        <v>0.14957778999999999</v>
      </c>
      <c r="L5" s="4">
        <v>0.11346390000000001</v>
      </c>
    </row>
    <row r="6" spans="2:14" x14ac:dyDescent="0.2">
      <c r="B6" s="3">
        <v>2017</v>
      </c>
      <c r="C6" s="4">
        <v>6.9183560000000005E-2</v>
      </c>
      <c r="D6" s="4">
        <v>7.7514E-2</v>
      </c>
      <c r="F6" s="3">
        <v>2017</v>
      </c>
      <c r="G6" s="4">
        <v>5.9752149999999997E-2</v>
      </c>
      <c r="H6" s="4">
        <v>6.6706199999999993E-2</v>
      </c>
      <c r="J6" s="3">
        <v>2017</v>
      </c>
      <c r="K6" s="4">
        <v>9.35449E-3</v>
      </c>
      <c r="L6" s="4">
        <v>1.08001E-2</v>
      </c>
    </row>
    <row r="7" spans="2:14" x14ac:dyDescent="0.2">
      <c r="B7" s="3">
        <v>2018</v>
      </c>
      <c r="C7" s="4">
        <v>7.5320970000000001E-2</v>
      </c>
      <c r="D7" s="4">
        <v>8.4476300000000004E-2</v>
      </c>
      <c r="F7" s="3">
        <v>2018</v>
      </c>
      <c r="G7" s="4">
        <v>6.5347520000000006E-2</v>
      </c>
      <c r="H7" s="4">
        <v>7.2575700000000007E-2</v>
      </c>
      <c r="J7" s="3">
        <v>2018</v>
      </c>
      <c r="K7" s="4">
        <v>9.9329699999999993E-3</v>
      </c>
      <c r="L7" s="4">
        <v>1.17047E-2</v>
      </c>
    </row>
    <row r="8" spans="2:14" x14ac:dyDescent="0.2">
      <c r="B8" s="3">
        <v>2019</v>
      </c>
      <c r="C8" s="4">
        <v>8.1354079999999995E-2</v>
      </c>
      <c r="D8" s="4">
        <v>9.1945899999999997E-2</v>
      </c>
      <c r="F8" s="3">
        <v>2019</v>
      </c>
      <c r="G8" s="4">
        <v>7.0490979999999995E-2</v>
      </c>
      <c r="H8" s="4">
        <v>7.8562599999999996E-2</v>
      </c>
      <c r="J8" s="3">
        <v>2019</v>
      </c>
      <c r="K8" s="4">
        <v>1.0804360000000001E-2</v>
      </c>
      <c r="L8" s="4">
        <v>1.2945999999999999E-2</v>
      </c>
    </row>
    <row r="9" spans="2:14" x14ac:dyDescent="0.2">
      <c r="B9" s="3">
        <v>2020</v>
      </c>
      <c r="C9" s="4">
        <v>8.4931889999999996E-2</v>
      </c>
      <c r="D9" s="4">
        <v>9.4165700000000005E-2</v>
      </c>
      <c r="F9" s="3">
        <v>2020</v>
      </c>
      <c r="G9" s="4">
        <v>7.3699219999999996E-2</v>
      </c>
      <c r="H9" s="4">
        <v>8.0765900000000002E-2</v>
      </c>
      <c r="J9" s="3">
        <v>2020</v>
      </c>
      <c r="K9" s="4">
        <v>1.1226969999999999E-2</v>
      </c>
      <c r="L9" s="4">
        <v>1.33296E-2</v>
      </c>
    </row>
    <row r="10" spans="2:14" x14ac:dyDescent="0.2">
      <c r="B10" s="3">
        <v>2021</v>
      </c>
      <c r="C10" s="4">
        <v>8.1543299999999999E-2</v>
      </c>
      <c r="D10" s="4">
        <v>9.16709E-2</v>
      </c>
      <c r="F10" s="3">
        <v>2021</v>
      </c>
      <c r="G10" s="4">
        <v>7.0850750000000004E-2</v>
      </c>
      <c r="H10" s="4">
        <v>7.8586000000000003E-2</v>
      </c>
      <c r="J10" s="3">
        <v>2021</v>
      </c>
      <c r="K10" s="4">
        <v>1.0659E-2</v>
      </c>
      <c r="L10" s="4">
        <v>1.28386E-2</v>
      </c>
    </row>
    <row r="11" spans="2:14" x14ac:dyDescent="0.2">
      <c r="B11" s="3">
        <v>2022</v>
      </c>
      <c r="C11" s="4">
        <v>7.5917399999999996E-2</v>
      </c>
      <c r="D11" s="4">
        <v>8.5855000000000001E-2</v>
      </c>
      <c r="F11" s="3">
        <v>2022</v>
      </c>
      <c r="G11" s="4">
        <v>6.6735149999999993E-2</v>
      </c>
      <c r="H11" s="4">
        <v>7.4200699999999994E-2</v>
      </c>
      <c r="J11" s="3">
        <v>2022</v>
      </c>
      <c r="K11" s="4">
        <v>9.1496400000000006E-3</v>
      </c>
      <c r="L11" s="4">
        <v>1.1187000000000001E-2</v>
      </c>
    </row>
    <row r="13" spans="2:14" x14ac:dyDescent="0.2">
      <c r="B13" s="5" t="s">
        <v>4</v>
      </c>
      <c r="C13" s="6">
        <f>C11-C4</f>
        <v>1.268852999999999E-2</v>
      </c>
      <c r="D13" s="6">
        <f>D11-D4</f>
        <v>1.5278E-2</v>
      </c>
      <c r="F13" s="5" t="s">
        <v>4</v>
      </c>
      <c r="G13" s="6">
        <f>G11-G4</f>
        <v>1.2393319999999992E-2</v>
      </c>
      <c r="H13" s="6">
        <f>H11-H4</f>
        <v>1.3751199999999991E-2</v>
      </c>
      <c r="J13" s="5" t="s">
        <v>4</v>
      </c>
      <c r="K13" s="6">
        <f>K11-K4</f>
        <v>3.7822000000000029E-4</v>
      </c>
      <c r="L13" s="6">
        <f>L11-L4</f>
        <v>1.1648000000000006E-3</v>
      </c>
    </row>
    <row r="17" spans="3:12" outlineLevel="1" x14ac:dyDescent="0.2">
      <c r="C17" s="2">
        <f t="shared" ref="C17:D24" si="0">C4*$N$4</f>
        <v>6.3228870000000006</v>
      </c>
      <c r="D17" s="2">
        <f t="shared" si="0"/>
        <v>7.0577000000000005</v>
      </c>
      <c r="G17" s="2">
        <f t="shared" ref="G17:H24" si="1">G4*$N$4</f>
        <v>5.434183</v>
      </c>
      <c r="H17" s="2">
        <f t="shared" si="1"/>
        <v>6.04495</v>
      </c>
      <c r="K17" s="2">
        <f t="shared" ref="K17:L24" si="2">K4*$N$4</f>
        <v>0.87714199999999998</v>
      </c>
      <c r="L17" s="2">
        <f t="shared" si="2"/>
        <v>1.0022200000000001</v>
      </c>
    </row>
    <row r="18" spans="3:12" outlineLevel="1" x14ac:dyDescent="0.2">
      <c r="C18" s="2">
        <f t="shared" si="0"/>
        <v>21.208483000000001</v>
      </c>
      <c r="D18" s="2">
        <f t="shared" si="0"/>
        <v>19.84939</v>
      </c>
      <c r="G18" s="2">
        <f t="shared" si="1"/>
        <v>5.9146840000000003</v>
      </c>
      <c r="H18" s="2">
        <f t="shared" si="1"/>
        <v>6.5911499999999998</v>
      </c>
      <c r="K18" s="2">
        <f t="shared" si="2"/>
        <v>14.957778999999999</v>
      </c>
      <c r="L18" s="2">
        <f t="shared" si="2"/>
        <v>11.346390000000001</v>
      </c>
    </row>
    <row r="19" spans="3:12" outlineLevel="1" x14ac:dyDescent="0.2">
      <c r="C19" s="2">
        <f t="shared" si="0"/>
        <v>6.9183560000000002</v>
      </c>
      <c r="D19" s="2">
        <f t="shared" si="0"/>
        <v>7.7514000000000003</v>
      </c>
      <c r="G19" s="2">
        <f t="shared" si="1"/>
        <v>5.9752149999999995</v>
      </c>
      <c r="H19" s="2">
        <f t="shared" si="1"/>
        <v>6.6706199999999995</v>
      </c>
      <c r="K19" s="2">
        <f t="shared" si="2"/>
        <v>0.93544899999999997</v>
      </c>
      <c r="L19" s="2">
        <f t="shared" si="2"/>
        <v>1.0800099999999999</v>
      </c>
    </row>
    <row r="20" spans="3:12" outlineLevel="1" x14ac:dyDescent="0.2">
      <c r="C20" s="2">
        <f t="shared" si="0"/>
        <v>7.5320970000000003</v>
      </c>
      <c r="D20" s="2">
        <f t="shared" si="0"/>
        <v>8.4476300000000002</v>
      </c>
      <c r="G20" s="2">
        <f t="shared" si="1"/>
        <v>6.534752000000001</v>
      </c>
      <c r="H20" s="2">
        <f t="shared" si="1"/>
        <v>7.2575700000000003</v>
      </c>
      <c r="K20" s="2">
        <f t="shared" si="2"/>
        <v>0.99329699999999987</v>
      </c>
      <c r="L20" s="2">
        <f t="shared" si="2"/>
        <v>1.1704700000000001</v>
      </c>
    </row>
    <row r="21" spans="3:12" outlineLevel="1" x14ac:dyDescent="0.2">
      <c r="C21" s="2">
        <f t="shared" si="0"/>
        <v>8.135408</v>
      </c>
      <c r="D21" s="2">
        <f t="shared" si="0"/>
        <v>9.1945899999999998</v>
      </c>
      <c r="G21" s="2">
        <f t="shared" si="1"/>
        <v>7.0490979999999999</v>
      </c>
      <c r="H21" s="2">
        <f t="shared" si="1"/>
        <v>7.8562599999999998</v>
      </c>
      <c r="K21" s="2">
        <f t="shared" si="2"/>
        <v>1.0804360000000002</v>
      </c>
      <c r="L21" s="2">
        <f t="shared" si="2"/>
        <v>1.2946</v>
      </c>
    </row>
    <row r="22" spans="3:12" outlineLevel="1" x14ac:dyDescent="0.2">
      <c r="C22" s="2">
        <f t="shared" si="0"/>
        <v>8.4931889999999992</v>
      </c>
      <c r="D22" s="2">
        <f t="shared" si="0"/>
        <v>9.4165700000000001</v>
      </c>
      <c r="G22" s="2">
        <f t="shared" si="1"/>
        <v>7.3699219999999999</v>
      </c>
      <c r="H22" s="2">
        <f t="shared" si="1"/>
        <v>8.0765899999999995</v>
      </c>
      <c r="K22" s="2">
        <f t="shared" si="2"/>
        <v>1.1226969999999998</v>
      </c>
      <c r="L22" s="2">
        <f t="shared" si="2"/>
        <v>1.3329600000000001</v>
      </c>
    </row>
    <row r="23" spans="3:12" outlineLevel="1" x14ac:dyDescent="0.2">
      <c r="C23" s="2">
        <f t="shared" si="0"/>
        <v>8.1543299999999999</v>
      </c>
      <c r="D23" s="2">
        <f t="shared" si="0"/>
        <v>9.16709</v>
      </c>
      <c r="G23" s="2">
        <f t="shared" si="1"/>
        <v>7.0850750000000007</v>
      </c>
      <c r="H23" s="2">
        <f t="shared" si="1"/>
        <v>7.8586</v>
      </c>
      <c r="K23" s="2">
        <f t="shared" si="2"/>
        <v>1.0659000000000001</v>
      </c>
      <c r="L23" s="2">
        <f t="shared" si="2"/>
        <v>1.28386</v>
      </c>
    </row>
    <row r="24" spans="3:12" outlineLevel="1" x14ac:dyDescent="0.2">
      <c r="C24" s="2">
        <f t="shared" si="0"/>
        <v>7.5917399999999997</v>
      </c>
      <c r="D24" s="2">
        <f t="shared" si="0"/>
        <v>8.5854999999999997</v>
      </c>
      <c r="G24" s="2">
        <f t="shared" si="1"/>
        <v>6.6735149999999992</v>
      </c>
      <c r="H24" s="2">
        <f t="shared" si="1"/>
        <v>7.4200699999999991</v>
      </c>
      <c r="K24" s="2">
        <f t="shared" si="2"/>
        <v>0.91496400000000011</v>
      </c>
      <c r="L24" s="2">
        <f t="shared" si="2"/>
        <v>1.1187</v>
      </c>
    </row>
    <row r="39" spans="7:17" x14ac:dyDescent="0.2">
      <c r="G39" s="13"/>
      <c r="K39" s="13"/>
      <c r="L39" s="13"/>
    </row>
    <row r="40" spans="7:17" x14ac:dyDescent="0.2">
      <c r="I40" s="13"/>
      <c r="L40" s="13"/>
    </row>
    <row r="42" spans="7:17" x14ac:dyDescent="0.2">
      <c r="Q42" s="13"/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CDDB-FBFB-E543-B48D-178A667F13D7}">
  <sheetPr>
    <tabColor rgb="FFFFFF00"/>
  </sheetPr>
  <dimension ref="B2:I50"/>
  <sheetViews>
    <sheetView workbookViewId="0">
      <selection sqref="A1:XFD1048576"/>
    </sheetView>
  </sheetViews>
  <sheetFormatPr baseColWidth="10" defaultRowHeight="16" outlineLevelRow="1" outlineLevelCol="1" x14ac:dyDescent="0.2"/>
  <cols>
    <col min="1" max="1" width="2.6640625" style="2" customWidth="1"/>
    <col min="2" max="2" width="13.1640625" style="2" customWidth="1"/>
    <col min="3" max="4" width="13.83203125" style="2" customWidth="1"/>
    <col min="5" max="5" width="10.83203125" style="2"/>
    <col min="6" max="6" width="0" style="2" hidden="1" customWidth="1" outlineLevel="1"/>
    <col min="7" max="7" width="10.83203125" style="2" collapsed="1"/>
    <col min="8" max="16384" width="10.83203125" style="2"/>
  </cols>
  <sheetData>
    <row r="2" spans="2:6" x14ac:dyDescent="0.2">
      <c r="B2" s="58" t="s">
        <v>6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0.11014193999999999</v>
      </c>
      <c r="D4" s="4">
        <v>0.11785669999999999</v>
      </c>
      <c r="F4" s="2">
        <v>100</v>
      </c>
    </row>
    <row r="5" spans="2:6" x14ac:dyDescent="0.2">
      <c r="B5" s="3">
        <v>2016</v>
      </c>
      <c r="C5" s="4">
        <v>0.12733502999999999</v>
      </c>
      <c r="D5" s="4">
        <v>0.13524829999999999</v>
      </c>
    </row>
    <row r="6" spans="2:6" x14ac:dyDescent="0.2">
      <c r="B6" s="3">
        <v>2017</v>
      </c>
      <c r="C6" s="4">
        <v>0.13116584000000001</v>
      </c>
      <c r="D6" s="4">
        <v>0.1388395</v>
      </c>
    </row>
    <row r="7" spans="2:6" x14ac:dyDescent="0.2">
      <c r="B7" s="3">
        <v>2018</v>
      </c>
      <c r="C7" s="4">
        <v>0.14723549</v>
      </c>
      <c r="D7" s="4">
        <v>0.1549729</v>
      </c>
    </row>
    <row r="8" spans="2:6" x14ac:dyDescent="0.2">
      <c r="B8" s="3">
        <v>2019</v>
      </c>
      <c r="C8" s="4">
        <v>0.14152448000000001</v>
      </c>
      <c r="D8" s="4">
        <v>0.1491797</v>
      </c>
    </row>
    <row r="9" spans="2:6" x14ac:dyDescent="0.2">
      <c r="B9" s="3">
        <v>2020</v>
      </c>
      <c r="C9" s="4">
        <v>0.14392774</v>
      </c>
      <c r="D9" s="4">
        <v>0.15179129999999999</v>
      </c>
    </row>
    <row r="10" spans="2:6" x14ac:dyDescent="0.2">
      <c r="B10" s="3">
        <v>2021</v>
      </c>
      <c r="C10" s="4">
        <v>0.18158368999999999</v>
      </c>
      <c r="D10" s="4">
        <v>0.15911400000000001</v>
      </c>
    </row>
    <row r="11" spans="2:6" x14ac:dyDescent="0.2">
      <c r="B11" s="3">
        <v>2022</v>
      </c>
      <c r="C11" s="4">
        <v>0.15964795000000001</v>
      </c>
      <c r="D11" s="4">
        <v>0.16287479999999999</v>
      </c>
    </row>
    <row r="13" spans="2:6" x14ac:dyDescent="0.2">
      <c r="B13" s="5" t="s">
        <v>4</v>
      </c>
      <c r="C13" s="6">
        <f>C11-C4</f>
        <v>4.9506010000000017E-2</v>
      </c>
      <c r="D13" s="6">
        <f>D11-D4</f>
        <v>4.5018099999999991E-2</v>
      </c>
    </row>
    <row r="17" spans="3:4" outlineLevel="1" x14ac:dyDescent="0.2">
      <c r="C17" s="2">
        <f t="shared" ref="C17:D24" si="0">C4*$F$4</f>
        <v>11.014194</v>
      </c>
      <c r="D17" s="2">
        <f t="shared" si="0"/>
        <v>11.78567</v>
      </c>
    </row>
    <row r="18" spans="3:4" outlineLevel="1" x14ac:dyDescent="0.2">
      <c r="C18" s="2">
        <f t="shared" si="0"/>
        <v>12.733502999999999</v>
      </c>
      <c r="D18" s="2">
        <f t="shared" si="0"/>
        <v>13.524829999999998</v>
      </c>
    </row>
    <row r="19" spans="3:4" outlineLevel="1" x14ac:dyDescent="0.2">
      <c r="C19" s="2">
        <f t="shared" si="0"/>
        <v>13.116584000000001</v>
      </c>
      <c r="D19" s="2">
        <f t="shared" si="0"/>
        <v>13.88395</v>
      </c>
    </row>
    <row r="20" spans="3:4" outlineLevel="1" x14ac:dyDescent="0.2">
      <c r="C20" s="2">
        <f t="shared" si="0"/>
        <v>14.723549</v>
      </c>
      <c r="D20" s="2">
        <f t="shared" si="0"/>
        <v>15.49729</v>
      </c>
    </row>
    <row r="21" spans="3:4" outlineLevel="1" x14ac:dyDescent="0.2">
      <c r="C21" s="2">
        <f t="shared" si="0"/>
        <v>14.152448000000001</v>
      </c>
      <c r="D21" s="2">
        <f t="shared" si="0"/>
        <v>14.91797</v>
      </c>
    </row>
    <row r="22" spans="3:4" outlineLevel="1" x14ac:dyDescent="0.2">
      <c r="C22" s="2">
        <f t="shared" si="0"/>
        <v>14.392773999999999</v>
      </c>
      <c r="D22" s="2">
        <f t="shared" si="0"/>
        <v>15.179129999999999</v>
      </c>
    </row>
    <row r="23" spans="3:4" outlineLevel="1" x14ac:dyDescent="0.2">
      <c r="C23" s="2">
        <f t="shared" si="0"/>
        <v>18.158369</v>
      </c>
      <c r="D23" s="2">
        <f t="shared" si="0"/>
        <v>15.9114</v>
      </c>
    </row>
    <row r="24" spans="3:4" outlineLevel="1" x14ac:dyDescent="0.2">
      <c r="C24" s="2">
        <f t="shared" si="0"/>
        <v>15.964795000000001</v>
      </c>
      <c r="D24" s="2">
        <f t="shared" si="0"/>
        <v>16.287479999999999</v>
      </c>
    </row>
    <row r="45" spans="4:9" x14ac:dyDescent="0.2">
      <c r="I45" s="13"/>
    </row>
    <row r="47" spans="4:9" x14ac:dyDescent="0.2">
      <c r="D47" s="2" t="s">
        <v>9</v>
      </c>
    </row>
    <row r="50" spans="8:8" x14ac:dyDescent="0.2">
      <c r="H50" s="14"/>
    </row>
  </sheetData>
  <mergeCells count="1">
    <mergeCell ref="B2:D2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C213-4355-0248-BCDF-E8534DA80040}">
  <sheetPr>
    <tabColor rgb="FFFFFF00"/>
  </sheetPr>
  <dimension ref="B2:Q42"/>
  <sheetViews>
    <sheetView topLeftCell="L1" workbookViewId="0">
      <selection activeCell="X34" sqref="X34"/>
    </sheetView>
  </sheetViews>
  <sheetFormatPr baseColWidth="10" defaultRowHeight="16" outlineLevelRow="1" outlineLevelCol="1" x14ac:dyDescent="0.2"/>
  <cols>
    <col min="1" max="1" width="4.33203125" style="2" customWidth="1"/>
    <col min="2" max="2" width="10.83203125" style="2"/>
    <col min="3" max="4" width="13.83203125" style="2" customWidth="1"/>
    <col min="5" max="5" width="2.83203125" style="2" customWidth="1"/>
    <col min="6" max="6" width="10.83203125" style="2"/>
    <col min="7" max="8" width="13.83203125" style="2" customWidth="1"/>
    <col min="9" max="9" width="2.6640625" style="2" customWidth="1"/>
    <col min="10" max="10" width="10.83203125" style="2"/>
    <col min="11" max="12" width="13.83203125" style="2" customWidth="1"/>
    <col min="13" max="13" width="10.83203125" style="2"/>
    <col min="14" max="14" width="0" style="2" hidden="1" customWidth="1" outlineLevel="1"/>
    <col min="15" max="15" width="10.83203125" style="2" collapsed="1"/>
    <col min="16" max="16384" width="10.83203125" style="2"/>
  </cols>
  <sheetData>
    <row r="2" spans="2:14" x14ac:dyDescent="0.2">
      <c r="B2" s="58" t="s">
        <v>5</v>
      </c>
      <c r="C2" s="58"/>
      <c r="D2" s="58"/>
      <c r="F2" s="58" t="s">
        <v>6</v>
      </c>
      <c r="G2" s="58"/>
      <c r="H2" s="58"/>
      <c r="J2" s="58" t="s">
        <v>0</v>
      </c>
      <c r="K2" s="58"/>
      <c r="L2" s="58"/>
    </row>
    <row r="3" spans="2:14" x14ac:dyDescent="0.2">
      <c r="B3" s="1" t="s">
        <v>1</v>
      </c>
      <c r="C3" s="1" t="s">
        <v>2</v>
      </c>
      <c r="D3" s="1" t="s">
        <v>3</v>
      </c>
      <c r="F3" s="1" t="s">
        <v>1</v>
      </c>
      <c r="G3" s="1" t="s">
        <v>2</v>
      </c>
      <c r="H3" s="1" t="s">
        <v>3</v>
      </c>
      <c r="J3" s="1" t="s">
        <v>1</v>
      </c>
      <c r="K3" s="1" t="s">
        <v>2</v>
      </c>
      <c r="L3" s="1" t="s">
        <v>3</v>
      </c>
    </row>
    <row r="4" spans="2:14" x14ac:dyDescent="0.2">
      <c r="B4" s="3">
        <v>2015</v>
      </c>
      <c r="C4" s="4">
        <v>4.7285689999999998E-2</v>
      </c>
      <c r="D4" s="4">
        <v>4.6248499999999998E-2</v>
      </c>
      <c r="F4" s="3">
        <v>2015</v>
      </c>
      <c r="G4" s="4">
        <v>4.2645040000000002E-2</v>
      </c>
      <c r="H4" s="4">
        <v>4.1811300000000003E-2</v>
      </c>
      <c r="J4" s="3">
        <v>2015</v>
      </c>
      <c r="K4" s="4">
        <v>4.1225100000000002E-3</v>
      </c>
      <c r="L4" s="4">
        <v>4.3997000000000003E-3</v>
      </c>
      <c r="N4" s="2">
        <v>100</v>
      </c>
    </row>
    <row r="5" spans="2:14" x14ac:dyDescent="0.2">
      <c r="B5" s="3">
        <v>2016</v>
      </c>
      <c r="C5" s="4">
        <v>4.5963400000000001E-2</v>
      </c>
      <c r="D5" s="4">
        <v>4.50734E-2</v>
      </c>
      <c r="F5" s="3">
        <v>2016</v>
      </c>
      <c r="G5" s="4">
        <v>4.226005E-2</v>
      </c>
      <c r="H5" s="4">
        <v>4.1455400000000003E-2</v>
      </c>
      <c r="J5" s="3">
        <v>2016</v>
      </c>
      <c r="K5" s="4">
        <v>3.1720199999999998E-3</v>
      </c>
      <c r="L5" s="4">
        <v>3.6051999999999998E-3</v>
      </c>
    </row>
    <row r="6" spans="2:14" x14ac:dyDescent="0.2">
      <c r="B6" s="3">
        <v>2017</v>
      </c>
      <c r="C6" s="4">
        <v>4.6222869999999999E-2</v>
      </c>
      <c r="D6" s="4">
        <v>4.5299699999999998E-2</v>
      </c>
      <c r="F6" s="3">
        <v>2017</v>
      </c>
      <c r="G6" s="4">
        <v>4.2622790000000001E-2</v>
      </c>
      <c r="H6" s="4">
        <v>4.1772299999999998E-2</v>
      </c>
      <c r="J6" s="3">
        <v>2017</v>
      </c>
      <c r="K6" s="4">
        <v>3.3103300000000002E-3</v>
      </c>
      <c r="L6" s="4">
        <v>3.5119999999999999E-3</v>
      </c>
    </row>
    <row r="7" spans="2:14" x14ac:dyDescent="0.2">
      <c r="B7" s="3">
        <v>2018</v>
      </c>
      <c r="C7" s="4">
        <v>4.5623570000000002E-2</v>
      </c>
      <c r="D7" s="4">
        <v>4.5012900000000002E-2</v>
      </c>
      <c r="F7" s="3">
        <v>2018</v>
      </c>
      <c r="G7" s="4">
        <v>4.2160400000000001E-2</v>
      </c>
      <c r="H7" s="4">
        <v>4.1585400000000002E-2</v>
      </c>
      <c r="J7" s="3">
        <v>2018</v>
      </c>
      <c r="K7" s="4">
        <v>2.85842E-3</v>
      </c>
      <c r="L7" s="4">
        <v>3.4126E-3</v>
      </c>
    </row>
    <row r="8" spans="2:14" x14ac:dyDescent="0.2">
      <c r="B8" s="3">
        <v>2019</v>
      </c>
      <c r="C8" s="4">
        <v>4.6543349999999997E-2</v>
      </c>
      <c r="D8" s="4">
        <v>4.5801300000000003E-2</v>
      </c>
      <c r="F8" s="3">
        <v>2019</v>
      </c>
      <c r="G8" s="4">
        <v>4.319667E-2</v>
      </c>
      <c r="H8" s="4">
        <v>4.2475400000000003E-2</v>
      </c>
      <c r="J8" s="3">
        <v>2019</v>
      </c>
      <c r="K8" s="4">
        <v>2.9469600000000002E-3</v>
      </c>
      <c r="L8" s="4">
        <v>3.3113999999999999E-3</v>
      </c>
    </row>
    <row r="9" spans="2:14" x14ac:dyDescent="0.2">
      <c r="B9" s="3">
        <v>2020</v>
      </c>
      <c r="C9" s="4">
        <v>4.7748989999999998E-2</v>
      </c>
      <c r="D9" s="4">
        <v>4.6899000000000003E-2</v>
      </c>
      <c r="F9" s="3">
        <v>2020</v>
      </c>
      <c r="G9" s="4">
        <v>4.4481760000000002E-2</v>
      </c>
      <c r="H9" s="4">
        <v>4.3639600000000001E-2</v>
      </c>
      <c r="J9" s="3">
        <v>2020</v>
      </c>
      <c r="K9" s="4">
        <v>2.8320099999999998E-3</v>
      </c>
      <c r="L9" s="4">
        <v>3.2453999999999998E-3</v>
      </c>
    </row>
    <row r="10" spans="2:14" x14ac:dyDescent="0.2">
      <c r="B10" s="3">
        <v>2021</v>
      </c>
      <c r="C10" s="4">
        <v>4.9295690000000003E-2</v>
      </c>
      <c r="D10" s="4">
        <v>4.7765200000000001E-2</v>
      </c>
      <c r="F10" s="3">
        <v>2021</v>
      </c>
      <c r="G10" s="4">
        <v>4.5879730000000001E-2</v>
      </c>
      <c r="H10" s="4">
        <v>4.4408700000000002E-2</v>
      </c>
      <c r="J10" s="3">
        <v>2021</v>
      </c>
      <c r="K10" s="4">
        <v>3.2459199999999998E-3</v>
      </c>
      <c r="L10" s="4">
        <v>3.3427999999999999E-3</v>
      </c>
    </row>
    <row r="11" spans="2:14" x14ac:dyDescent="0.2">
      <c r="B11" s="3">
        <v>2022</v>
      </c>
      <c r="C11" s="4">
        <v>4.9364280000000003E-2</v>
      </c>
      <c r="D11" s="4">
        <v>4.79932E-2</v>
      </c>
      <c r="F11" s="3">
        <v>2022</v>
      </c>
      <c r="G11" s="4">
        <v>4.6347970000000002E-2</v>
      </c>
      <c r="H11" s="4">
        <v>4.4955599999999998E-2</v>
      </c>
      <c r="J11" s="3">
        <v>2022</v>
      </c>
      <c r="K11" s="4">
        <v>2.9545700000000001E-3</v>
      </c>
      <c r="L11" s="4">
        <v>3.0044E-3</v>
      </c>
    </row>
    <row r="13" spans="2:14" x14ac:dyDescent="0.2">
      <c r="B13" s="5" t="s">
        <v>4</v>
      </c>
      <c r="C13" s="6">
        <f>C11-C4</f>
        <v>2.0785900000000052E-3</v>
      </c>
      <c r="D13" s="6">
        <f>D11-D4</f>
        <v>1.7447000000000018E-3</v>
      </c>
      <c r="F13" s="5" t="s">
        <v>4</v>
      </c>
      <c r="G13" s="6">
        <f>G11-G4</f>
        <v>3.7029300000000001E-3</v>
      </c>
      <c r="H13" s="6">
        <f>H11-H4</f>
        <v>3.1442999999999957E-3</v>
      </c>
      <c r="J13" s="5" t="s">
        <v>4</v>
      </c>
      <c r="K13" s="6">
        <f>K11-K4</f>
        <v>-1.1679400000000001E-3</v>
      </c>
      <c r="L13" s="6">
        <f>L11-L4</f>
        <v>-1.3953000000000004E-3</v>
      </c>
    </row>
    <row r="15" spans="2:14" x14ac:dyDescent="0.2">
      <c r="B15" s="2" t="s">
        <v>7</v>
      </c>
    </row>
    <row r="17" spans="3:12" outlineLevel="1" x14ac:dyDescent="0.2">
      <c r="C17" s="2">
        <f t="shared" ref="C17:D24" si="0">C4*$N$4</f>
        <v>4.7285690000000002</v>
      </c>
      <c r="D17" s="2">
        <f t="shared" si="0"/>
        <v>4.6248499999999995</v>
      </c>
      <c r="G17" s="2">
        <f t="shared" ref="G17:H17" si="1">G4*$N$4</f>
        <v>4.2645040000000005</v>
      </c>
      <c r="H17" s="2">
        <f t="shared" si="1"/>
        <v>4.1811300000000005</v>
      </c>
      <c r="K17" s="2">
        <f t="shared" ref="K17:L24" si="2">K4*$N$4</f>
        <v>0.41225100000000003</v>
      </c>
      <c r="L17" s="2">
        <f t="shared" si="2"/>
        <v>0.43997000000000003</v>
      </c>
    </row>
    <row r="18" spans="3:12" outlineLevel="1" x14ac:dyDescent="0.2">
      <c r="C18" s="2">
        <f t="shared" si="0"/>
        <v>4.5963400000000005</v>
      </c>
      <c r="D18" s="2">
        <f t="shared" si="0"/>
        <v>4.5073400000000001</v>
      </c>
      <c r="G18" s="2">
        <f t="shared" ref="G18:H18" si="3">G5*$N$4</f>
        <v>4.2260049999999998</v>
      </c>
      <c r="H18" s="2">
        <f t="shared" si="3"/>
        <v>4.1455400000000004</v>
      </c>
      <c r="K18" s="2">
        <f t="shared" si="2"/>
        <v>0.31720199999999998</v>
      </c>
      <c r="L18" s="2">
        <f t="shared" si="2"/>
        <v>0.36052000000000001</v>
      </c>
    </row>
    <row r="19" spans="3:12" outlineLevel="1" x14ac:dyDescent="0.2">
      <c r="C19" s="2">
        <f t="shared" si="0"/>
        <v>4.622287</v>
      </c>
      <c r="D19" s="2">
        <f t="shared" si="0"/>
        <v>4.5299699999999996</v>
      </c>
      <c r="G19" s="2">
        <f t="shared" ref="G19:H19" si="4">G6*$N$4</f>
        <v>4.2622790000000004</v>
      </c>
      <c r="H19" s="2">
        <f t="shared" si="4"/>
        <v>4.1772299999999998</v>
      </c>
      <c r="K19" s="2">
        <f t="shared" si="2"/>
        <v>0.33103300000000002</v>
      </c>
      <c r="L19" s="2">
        <f t="shared" si="2"/>
        <v>0.35120000000000001</v>
      </c>
    </row>
    <row r="20" spans="3:12" outlineLevel="1" x14ac:dyDescent="0.2">
      <c r="C20" s="2">
        <f t="shared" si="0"/>
        <v>4.5623570000000004</v>
      </c>
      <c r="D20" s="2">
        <f t="shared" si="0"/>
        <v>4.50129</v>
      </c>
      <c r="G20" s="2">
        <f t="shared" ref="G20:H20" si="5">G7*$N$4</f>
        <v>4.2160400000000005</v>
      </c>
      <c r="H20" s="2">
        <f t="shared" si="5"/>
        <v>4.1585400000000003</v>
      </c>
      <c r="K20" s="2">
        <f t="shared" si="2"/>
        <v>0.28584199999999998</v>
      </c>
      <c r="L20" s="2">
        <f t="shared" si="2"/>
        <v>0.34126000000000001</v>
      </c>
    </row>
    <row r="21" spans="3:12" outlineLevel="1" x14ac:dyDescent="0.2">
      <c r="C21" s="2">
        <f t="shared" si="0"/>
        <v>4.6543349999999997</v>
      </c>
      <c r="D21" s="2">
        <f t="shared" si="0"/>
        <v>4.5801300000000005</v>
      </c>
      <c r="G21" s="2">
        <f t="shared" ref="G21:H21" si="6">G8*$N$4</f>
        <v>4.3196669999999999</v>
      </c>
      <c r="H21" s="2">
        <f t="shared" si="6"/>
        <v>4.2475400000000008</v>
      </c>
      <c r="K21" s="2">
        <f t="shared" si="2"/>
        <v>0.29469600000000001</v>
      </c>
      <c r="L21" s="2">
        <f t="shared" si="2"/>
        <v>0.33113999999999999</v>
      </c>
    </row>
    <row r="22" spans="3:12" outlineLevel="1" x14ac:dyDescent="0.2">
      <c r="C22" s="2">
        <f t="shared" si="0"/>
        <v>4.7748989999999996</v>
      </c>
      <c r="D22" s="2">
        <f t="shared" si="0"/>
        <v>4.6899000000000006</v>
      </c>
      <c r="G22" s="2">
        <f t="shared" ref="G22:H22" si="7">G9*$N$4</f>
        <v>4.4481760000000001</v>
      </c>
      <c r="H22" s="2">
        <f t="shared" si="7"/>
        <v>4.3639600000000005</v>
      </c>
      <c r="K22" s="2">
        <f t="shared" si="2"/>
        <v>0.28320099999999998</v>
      </c>
      <c r="L22" s="2">
        <f t="shared" si="2"/>
        <v>0.32454</v>
      </c>
    </row>
    <row r="23" spans="3:12" outlineLevel="1" x14ac:dyDescent="0.2">
      <c r="C23" s="2">
        <f t="shared" si="0"/>
        <v>4.9295690000000008</v>
      </c>
      <c r="D23" s="2">
        <f t="shared" si="0"/>
        <v>4.7765199999999997</v>
      </c>
      <c r="G23" s="2">
        <f t="shared" ref="G23:H23" si="8">G10*$N$4</f>
        <v>4.5879729999999999</v>
      </c>
      <c r="H23" s="2">
        <f t="shared" si="8"/>
        <v>4.4408700000000003</v>
      </c>
      <c r="K23" s="2">
        <f t="shared" si="2"/>
        <v>0.32459199999999999</v>
      </c>
      <c r="L23" s="2">
        <f t="shared" si="2"/>
        <v>0.33428000000000002</v>
      </c>
    </row>
    <row r="24" spans="3:12" outlineLevel="1" x14ac:dyDescent="0.2">
      <c r="C24" s="2">
        <f t="shared" si="0"/>
        <v>4.9364280000000003</v>
      </c>
      <c r="D24" s="2">
        <f t="shared" si="0"/>
        <v>4.7993199999999998</v>
      </c>
      <c r="G24" s="2">
        <f t="shared" ref="G24:H24" si="9">G11*$N$4</f>
        <v>4.6347969999999998</v>
      </c>
      <c r="H24" s="2">
        <f t="shared" si="9"/>
        <v>4.4955600000000002</v>
      </c>
      <c r="K24" s="2">
        <f t="shared" si="2"/>
        <v>0.29545700000000003</v>
      </c>
      <c r="L24" s="2">
        <f t="shared" si="2"/>
        <v>0.30043999999999998</v>
      </c>
    </row>
    <row r="39" spans="7:17" x14ac:dyDescent="0.2">
      <c r="G39" s="13"/>
      <c r="K39" s="13"/>
      <c r="L39" s="13"/>
    </row>
    <row r="40" spans="7:17" x14ac:dyDescent="0.2">
      <c r="I40" s="13"/>
      <c r="L40" s="13"/>
    </row>
    <row r="42" spans="7:17" x14ac:dyDescent="0.2">
      <c r="Q42" s="13"/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C07C-B565-6D43-A249-AEF170AEDCE6}">
  <sheetPr>
    <tabColor rgb="FFFFFF00"/>
  </sheetPr>
  <dimension ref="B2:I50"/>
  <sheetViews>
    <sheetView workbookViewId="0">
      <selection activeCell="M32" sqref="M32"/>
    </sheetView>
  </sheetViews>
  <sheetFormatPr baseColWidth="10" defaultRowHeight="16" outlineLevelRow="1" outlineLevelCol="1" x14ac:dyDescent="0.2"/>
  <cols>
    <col min="1" max="1" width="2.6640625" style="2" customWidth="1"/>
    <col min="2" max="2" width="13.1640625" style="2" customWidth="1"/>
    <col min="3" max="4" width="13.83203125" style="2" customWidth="1"/>
    <col min="5" max="5" width="10.83203125" style="2"/>
    <col min="6" max="6" width="0" style="2" hidden="1" customWidth="1" outlineLevel="1"/>
    <col min="7" max="7" width="10.83203125" style="2" collapsed="1"/>
    <col min="8" max="16384" width="10.83203125" style="2"/>
  </cols>
  <sheetData>
    <row r="2" spans="2:6" x14ac:dyDescent="0.2">
      <c r="B2" s="58" t="s">
        <v>6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0.10047946000000001</v>
      </c>
      <c r="D4" s="4">
        <v>0.1028135</v>
      </c>
      <c r="F4" s="2">
        <v>100</v>
      </c>
    </row>
    <row r="5" spans="2:6" x14ac:dyDescent="0.2">
      <c r="B5" s="3">
        <v>2016</v>
      </c>
      <c r="C5" s="4">
        <v>0.10017885999999999</v>
      </c>
      <c r="D5" s="4">
        <v>0.1026857</v>
      </c>
    </row>
    <row r="6" spans="2:6" x14ac:dyDescent="0.2">
      <c r="B6" s="3">
        <v>2017</v>
      </c>
      <c r="C6" s="4">
        <v>9.9666939999999996E-2</v>
      </c>
      <c r="D6" s="4">
        <v>0.1024313</v>
      </c>
    </row>
    <row r="7" spans="2:6" x14ac:dyDescent="0.2">
      <c r="B7" s="3">
        <v>2018</v>
      </c>
      <c r="C7" s="4">
        <v>9.7304139999999997E-2</v>
      </c>
      <c r="D7" s="4">
        <v>0.1006507</v>
      </c>
    </row>
    <row r="8" spans="2:6" x14ac:dyDescent="0.2">
      <c r="B8" s="3">
        <v>2019</v>
      </c>
      <c r="C8" s="4">
        <v>9.8519889999999999E-2</v>
      </c>
      <c r="D8" s="4">
        <v>0.10235850000000001</v>
      </c>
    </row>
    <row r="9" spans="2:6" x14ac:dyDescent="0.2">
      <c r="B9" s="3">
        <v>2020</v>
      </c>
      <c r="C9" s="4">
        <v>9.9303669999999997E-2</v>
      </c>
      <c r="D9" s="4">
        <v>0.1030774</v>
      </c>
    </row>
    <row r="10" spans="2:6" x14ac:dyDescent="0.2">
      <c r="B10" s="3">
        <v>2021</v>
      </c>
      <c r="C10" s="4">
        <v>9.8166420000000004E-2</v>
      </c>
      <c r="D10" s="4">
        <v>0.10303089999999999</v>
      </c>
    </row>
    <row r="11" spans="2:6" x14ac:dyDescent="0.2">
      <c r="B11" s="3">
        <v>2022</v>
      </c>
      <c r="C11" s="4">
        <v>9.566376E-2</v>
      </c>
      <c r="D11" s="4">
        <v>0.1011053</v>
      </c>
    </row>
    <row r="13" spans="2:6" x14ac:dyDescent="0.2">
      <c r="B13" s="5" t="s">
        <v>4</v>
      </c>
      <c r="C13" s="6">
        <f>C11-C4</f>
        <v>-4.8157000000000061E-3</v>
      </c>
      <c r="D13" s="6">
        <f>D11-D4</f>
        <v>-1.7082000000000069E-3</v>
      </c>
    </row>
    <row r="17" spans="3:4" outlineLevel="1" x14ac:dyDescent="0.2">
      <c r="C17" s="2">
        <f t="shared" ref="C17:D24" si="0">C4*$F$4</f>
        <v>10.047946000000001</v>
      </c>
      <c r="D17" s="2">
        <f t="shared" si="0"/>
        <v>10.28135</v>
      </c>
    </row>
    <row r="18" spans="3:4" outlineLevel="1" x14ac:dyDescent="0.2">
      <c r="C18" s="2">
        <f t="shared" si="0"/>
        <v>10.017885999999999</v>
      </c>
      <c r="D18" s="2">
        <f t="shared" si="0"/>
        <v>10.26857</v>
      </c>
    </row>
    <row r="19" spans="3:4" outlineLevel="1" x14ac:dyDescent="0.2">
      <c r="C19" s="2">
        <f t="shared" si="0"/>
        <v>9.9666940000000004</v>
      </c>
      <c r="D19" s="2">
        <f t="shared" si="0"/>
        <v>10.243130000000001</v>
      </c>
    </row>
    <row r="20" spans="3:4" outlineLevel="1" x14ac:dyDescent="0.2">
      <c r="C20" s="2">
        <f t="shared" si="0"/>
        <v>9.7304139999999997</v>
      </c>
      <c r="D20" s="2">
        <f t="shared" si="0"/>
        <v>10.06507</v>
      </c>
    </row>
    <row r="21" spans="3:4" outlineLevel="1" x14ac:dyDescent="0.2">
      <c r="C21" s="2">
        <f t="shared" si="0"/>
        <v>9.8519889999999997</v>
      </c>
      <c r="D21" s="2">
        <f t="shared" si="0"/>
        <v>10.235850000000001</v>
      </c>
    </row>
    <row r="22" spans="3:4" outlineLevel="1" x14ac:dyDescent="0.2">
      <c r="C22" s="2">
        <f t="shared" si="0"/>
        <v>9.9303670000000004</v>
      </c>
      <c r="D22" s="2">
        <f t="shared" si="0"/>
        <v>10.307740000000001</v>
      </c>
    </row>
    <row r="23" spans="3:4" outlineLevel="1" x14ac:dyDescent="0.2">
      <c r="C23" s="2">
        <f t="shared" si="0"/>
        <v>9.8166419999999999</v>
      </c>
      <c r="D23" s="2">
        <f t="shared" si="0"/>
        <v>10.303089999999999</v>
      </c>
    </row>
    <row r="24" spans="3:4" outlineLevel="1" x14ac:dyDescent="0.2">
      <c r="C24" s="2">
        <f t="shared" si="0"/>
        <v>9.566376</v>
      </c>
      <c r="D24" s="2">
        <f t="shared" si="0"/>
        <v>10.110529999999999</v>
      </c>
    </row>
    <row r="45" spans="4:9" x14ac:dyDescent="0.2">
      <c r="I45" s="13"/>
    </row>
    <row r="47" spans="4:9" x14ac:dyDescent="0.2">
      <c r="D47" s="2" t="s">
        <v>9</v>
      </c>
    </row>
    <row r="50" spans="8:8" x14ac:dyDescent="0.2">
      <c r="H50" s="14"/>
    </row>
  </sheetData>
  <mergeCells count="1">
    <mergeCell ref="B2:D2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8455-89C8-5849-B221-57FA7E870CDC}">
  <sheetPr>
    <tabColor rgb="FFFFFF00"/>
  </sheetPr>
  <dimension ref="B1:O45"/>
  <sheetViews>
    <sheetView topLeftCell="L12" workbookViewId="0">
      <selection activeCell="Z43" sqref="Z43"/>
    </sheetView>
  </sheetViews>
  <sheetFormatPr baseColWidth="10" defaultRowHeight="16" outlineLevelRow="1" outlineLevelCol="1" x14ac:dyDescent="0.2"/>
  <cols>
    <col min="1" max="1" width="2.6640625" style="2" customWidth="1"/>
    <col min="2" max="2" width="13.1640625" style="2" customWidth="1"/>
    <col min="3" max="4" width="13.83203125" style="2" customWidth="1"/>
    <col min="5" max="5" width="3.1640625" style="2" customWidth="1"/>
    <col min="6" max="8" width="13.83203125" style="2" customWidth="1"/>
    <col min="9" max="9" width="2.33203125" style="2" customWidth="1"/>
    <col min="10" max="12" width="13.83203125" style="2" customWidth="1"/>
    <col min="13" max="13" width="2.5" style="2" customWidth="1"/>
    <col min="14" max="14" width="0" style="2" hidden="1" customWidth="1" outlineLevel="1"/>
    <col min="15" max="15" width="10.83203125" style="2" collapsed="1"/>
    <col min="16" max="16384" width="10.83203125" style="2"/>
  </cols>
  <sheetData>
    <row r="1" spans="2:14" ht="10" customHeight="1" x14ac:dyDescent="0.2"/>
    <row r="2" spans="2:14" x14ac:dyDescent="0.2">
      <c r="B2" s="58" t="s">
        <v>5</v>
      </c>
      <c r="C2" s="58"/>
      <c r="D2" s="58"/>
      <c r="E2" s="9"/>
      <c r="F2" s="58" t="s">
        <v>0</v>
      </c>
      <c r="G2" s="58"/>
      <c r="H2" s="58"/>
      <c r="I2" s="9"/>
      <c r="J2" s="58" t="s">
        <v>6</v>
      </c>
      <c r="K2" s="58"/>
      <c r="L2" s="58"/>
      <c r="M2" s="9"/>
    </row>
    <row r="3" spans="2:14" x14ac:dyDescent="0.2">
      <c r="B3" s="1" t="s">
        <v>1</v>
      </c>
      <c r="C3" s="1" t="s">
        <v>2</v>
      </c>
      <c r="D3" s="1" t="s">
        <v>3</v>
      </c>
      <c r="E3" s="9"/>
      <c r="F3" s="1" t="s">
        <v>1</v>
      </c>
      <c r="G3" s="1" t="s">
        <v>2</v>
      </c>
      <c r="H3" s="1" t="s">
        <v>3</v>
      </c>
      <c r="I3" s="9"/>
      <c r="J3" s="1" t="s">
        <v>1</v>
      </c>
      <c r="K3" s="1" t="s">
        <v>2</v>
      </c>
      <c r="L3" s="1" t="s">
        <v>3</v>
      </c>
      <c r="M3" s="9"/>
    </row>
    <row r="4" spans="2:14" x14ac:dyDescent="0.2">
      <c r="B4" s="3">
        <v>2015</v>
      </c>
      <c r="C4" s="4">
        <v>5.2937909999999998E-2</v>
      </c>
      <c r="D4" s="4">
        <v>5.6153599999999998E-2</v>
      </c>
      <c r="E4" s="8"/>
      <c r="F4" s="3">
        <v>2015</v>
      </c>
      <c r="G4" s="4">
        <v>1.8958000000000001E-4</v>
      </c>
      <c r="H4" s="4">
        <v>8.0900000000000004E-4</v>
      </c>
      <c r="I4" s="8"/>
      <c r="J4" s="3">
        <v>2015</v>
      </c>
      <c r="K4" s="4">
        <v>5.2748499999999997E-2</v>
      </c>
      <c r="L4" s="4">
        <v>5.5348099999999997E-2</v>
      </c>
      <c r="M4" s="8"/>
      <c r="N4" s="2">
        <v>100</v>
      </c>
    </row>
    <row r="5" spans="2:14" x14ac:dyDescent="0.2">
      <c r="B5" s="3">
        <v>2016</v>
      </c>
      <c r="C5" s="4">
        <v>5.4359119999999997E-2</v>
      </c>
      <c r="D5" s="4">
        <v>5.7260900000000003E-2</v>
      </c>
      <c r="E5" s="8"/>
      <c r="F5" s="3">
        <v>2016</v>
      </c>
      <c r="G5" s="4">
        <v>1.9235000000000001E-4</v>
      </c>
      <c r="H5" s="4">
        <v>8.0869999999999998E-4</v>
      </c>
      <c r="I5" s="8"/>
      <c r="J5" s="3">
        <v>2016</v>
      </c>
      <c r="K5" s="4">
        <v>5.4167020000000003E-2</v>
      </c>
      <c r="L5" s="4">
        <v>5.6455600000000002E-2</v>
      </c>
      <c r="M5" s="8"/>
    </row>
    <row r="6" spans="2:14" x14ac:dyDescent="0.2">
      <c r="B6" s="3">
        <v>2017</v>
      </c>
      <c r="C6" s="4">
        <v>5.431354E-2</v>
      </c>
      <c r="D6" s="4">
        <v>5.7226100000000002E-2</v>
      </c>
      <c r="E6" s="8"/>
      <c r="F6" s="3">
        <v>2017</v>
      </c>
      <c r="G6" s="4">
        <v>1.9196999999999999E-4</v>
      </c>
      <c r="H6" s="4">
        <v>8.0559999999999996E-4</v>
      </c>
      <c r="I6" s="8"/>
      <c r="J6" s="3">
        <v>2017</v>
      </c>
      <c r="K6" s="4">
        <v>5.4121799999999998E-2</v>
      </c>
      <c r="L6" s="4">
        <v>5.6423800000000003E-2</v>
      </c>
      <c r="M6" s="8"/>
    </row>
    <row r="7" spans="2:14" x14ac:dyDescent="0.2">
      <c r="B7" s="3">
        <v>2018</v>
      </c>
      <c r="C7" s="4">
        <v>5.5825710000000001E-2</v>
      </c>
      <c r="D7" s="4">
        <v>5.876E-2</v>
      </c>
      <c r="E7" s="8"/>
      <c r="F7" s="3">
        <v>2018</v>
      </c>
      <c r="G7" s="4">
        <v>1.9682E-4</v>
      </c>
      <c r="H7" s="4">
        <v>8.2269999999999999E-4</v>
      </c>
      <c r="I7" s="8"/>
      <c r="J7" s="3">
        <v>2018</v>
      </c>
      <c r="K7" s="4">
        <v>5.5629129999999999E-2</v>
      </c>
      <c r="L7" s="4">
        <v>5.7940600000000002E-2</v>
      </c>
      <c r="M7" s="8"/>
    </row>
    <row r="8" spans="2:14" x14ac:dyDescent="0.2">
      <c r="B8" s="3">
        <v>2019</v>
      </c>
      <c r="C8" s="4">
        <v>5.5356950000000002E-2</v>
      </c>
      <c r="D8" s="4">
        <v>5.8298299999999997E-2</v>
      </c>
      <c r="E8" s="8"/>
      <c r="F8" s="3">
        <v>2019</v>
      </c>
      <c r="G8" s="4">
        <v>1.9523000000000001E-4</v>
      </c>
      <c r="H8" s="4">
        <v>8.1349999999999999E-4</v>
      </c>
      <c r="I8" s="8"/>
      <c r="J8" s="3">
        <v>2019</v>
      </c>
      <c r="K8" s="4">
        <v>5.5161990000000001E-2</v>
      </c>
      <c r="L8" s="4">
        <v>5.7487999999999997E-2</v>
      </c>
      <c r="M8" s="8"/>
    </row>
    <row r="9" spans="2:14" x14ac:dyDescent="0.2">
      <c r="B9" s="3">
        <v>2020</v>
      </c>
      <c r="C9" s="4">
        <v>5.5666340000000002E-2</v>
      </c>
      <c r="D9" s="4">
        <v>5.8324300000000003E-2</v>
      </c>
      <c r="E9" s="8"/>
      <c r="F9" s="3">
        <v>2020</v>
      </c>
      <c r="G9" s="4">
        <v>1.9521E-4</v>
      </c>
      <c r="H9" s="4">
        <v>8.1260000000000002E-4</v>
      </c>
      <c r="I9" s="8"/>
      <c r="J9" s="3">
        <v>2020</v>
      </c>
      <c r="K9" s="4">
        <v>5.5471399999999997E-2</v>
      </c>
      <c r="L9" s="4">
        <v>5.7514799999999998E-2</v>
      </c>
      <c r="M9" s="8"/>
    </row>
    <row r="10" spans="2:14" x14ac:dyDescent="0.2">
      <c r="B10" s="3">
        <v>2021</v>
      </c>
      <c r="C10" s="4">
        <v>5.5251550000000003E-2</v>
      </c>
      <c r="D10" s="4">
        <v>5.7665800000000003E-2</v>
      </c>
      <c r="E10" s="8"/>
      <c r="F10" s="3">
        <v>2021</v>
      </c>
      <c r="G10" s="4">
        <v>1.9364999999999999E-4</v>
      </c>
      <c r="H10" s="4">
        <v>8.0570000000000001E-4</v>
      </c>
      <c r="I10" s="8"/>
      <c r="J10" s="3">
        <v>2021</v>
      </c>
      <c r="K10" s="4">
        <v>5.5058309999999999E-2</v>
      </c>
      <c r="L10" s="4">
        <v>5.6864600000000001E-2</v>
      </c>
      <c r="M10" s="8"/>
    </row>
    <row r="11" spans="2:14" x14ac:dyDescent="0.2">
      <c r="B11" s="3">
        <v>2022</v>
      </c>
      <c r="C11" s="4">
        <v>5.4037929999999998E-2</v>
      </c>
      <c r="D11" s="4">
        <v>5.6520399999999998E-2</v>
      </c>
      <c r="E11" s="8"/>
      <c r="F11" s="3">
        <v>2022</v>
      </c>
      <c r="G11" s="4">
        <v>1.9065999999999999E-4</v>
      </c>
      <c r="H11" s="4">
        <v>7.9129999999999999E-4</v>
      </c>
      <c r="I11" s="8"/>
      <c r="J11" s="3">
        <v>2022</v>
      </c>
      <c r="K11" s="4">
        <v>5.3847840000000001E-2</v>
      </c>
      <c r="L11" s="4">
        <v>5.5734899999999997E-2</v>
      </c>
      <c r="M11" s="8"/>
    </row>
    <row r="13" spans="2:14" x14ac:dyDescent="0.2">
      <c r="B13" s="5" t="s">
        <v>4</v>
      </c>
      <c r="C13" s="6">
        <f>C11-C4</f>
        <v>1.1000200000000002E-3</v>
      </c>
      <c r="D13" s="6">
        <f>D11-D4</f>
        <v>3.6680000000000046E-4</v>
      </c>
      <c r="E13" s="7"/>
      <c r="F13" s="5" t="s">
        <v>4</v>
      </c>
      <c r="G13" s="6">
        <f>G11-G4</f>
        <v>1.0799999999999829E-6</v>
      </c>
      <c r="H13" s="6">
        <f>H11-H4</f>
        <v>-1.7700000000000051E-5</v>
      </c>
      <c r="I13" s="7"/>
      <c r="J13" s="5" t="s">
        <v>4</v>
      </c>
      <c r="K13" s="6">
        <f>K11-K4</f>
        <v>1.0993400000000042E-3</v>
      </c>
      <c r="L13" s="6">
        <f>L11-L4</f>
        <v>3.8679999999999964E-4</v>
      </c>
      <c r="M13" s="7"/>
    </row>
    <row r="17" spans="3:12" outlineLevel="1" x14ac:dyDescent="0.2">
      <c r="C17" s="2">
        <f t="shared" ref="C17:D24" si="0">C4*$N$4</f>
        <v>5.2937909999999997</v>
      </c>
      <c r="D17" s="2">
        <f t="shared" si="0"/>
        <v>5.6153599999999999</v>
      </c>
      <c r="G17" s="2">
        <f t="shared" ref="G17:H24" si="1">G4*$N$4</f>
        <v>1.8958000000000003E-2</v>
      </c>
      <c r="H17" s="2">
        <f t="shared" si="1"/>
        <v>8.09E-2</v>
      </c>
      <c r="K17" s="2">
        <f t="shared" ref="K17:L24" si="2">K4*$N$4</f>
        <v>5.2748499999999998</v>
      </c>
      <c r="L17" s="2">
        <f t="shared" si="2"/>
        <v>5.5348099999999993</v>
      </c>
    </row>
    <row r="18" spans="3:12" outlineLevel="1" x14ac:dyDescent="0.2">
      <c r="C18" s="2">
        <f t="shared" si="0"/>
        <v>5.4359120000000001</v>
      </c>
      <c r="D18" s="2">
        <f t="shared" si="0"/>
        <v>5.7260900000000001</v>
      </c>
      <c r="G18" s="2">
        <f t="shared" si="1"/>
        <v>1.9235000000000002E-2</v>
      </c>
      <c r="H18" s="2">
        <f t="shared" si="1"/>
        <v>8.0869999999999997E-2</v>
      </c>
      <c r="K18" s="2">
        <f t="shared" si="2"/>
        <v>5.4167019999999999</v>
      </c>
      <c r="L18" s="2">
        <f t="shared" si="2"/>
        <v>5.6455600000000006</v>
      </c>
    </row>
    <row r="19" spans="3:12" outlineLevel="1" x14ac:dyDescent="0.2">
      <c r="C19" s="2">
        <f t="shared" si="0"/>
        <v>5.4313539999999998</v>
      </c>
      <c r="D19" s="2">
        <f t="shared" si="0"/>
        <v>5.7226100000000004</v>
      </c>
      <c r="G19" s="2">
        <f t="shared" si="1"/>
        <v>1.9196999999999999E-2</v>
      </c>
      <c r="H19" s="2">
        <f t="shared" si="1"/>
        <v>8.0559999999999993E-2</v>
      </c>
      <c r="K19" s="2">
        <f t="shared" si="2"/>
        <v>5.4121799999999993</v>
      </c>
      <c r="L19" s="2">
        <f t="shared" si="2"/>
        <v>5.6423800000000002</v>
      </c>
    </row>
    <row r="20" spans="3:12" outlineLevel="1" x14ac:dyDescent="0.2">
      <c r="C20" s="2">
        <f t="shared" si="0"/>
        <v>5.5825709999999997</v>
      </c>
      <c r="D20" s="2">
        <f t="shared" si="0"/>
        <v>5.8760000000000003</v>
      </c>
      <c r="G20" s="2">
        <f t="shared" si="1"/>
        <v>1.9682000000000002E-2</v>
      </c>
      <c r="H20" s="2">
        <f t="shared" si="1"/>
        <v>8.2269999999999996E-2</v>
      </c>
      <c r="K20" s="2">
        <f t="shared" si="2"/>
        <v>5.562913</v>
      </c>
      <c r="L20" s="2">
        <f t="shared" si="2"/>
        <v>5.79406</v>
      </c>
    </row>
    <row r="21" spans="3:12" outlineLevel="1" x14ac:dyDescent="0.2">
      <c r="C21" s="2">
        <f t="shared" si="0"/>
        <v>5.5356950000000005</v>
      </c>
      <c r="D21" s="2">
        <f t="shared" si="0"/>
        <v>5.8298299999999994</v>
      </c>
      <c r="G21" s="2">
        <f t="shared" si="1"/>
        <v>1.9523000000000002E-2</v>
      </c>
      <c r="H21" s="2">
        <f t="shared" si="1"/>
        <v>8.1350000000000006E-2</v>
      </c>
      <c r="K21" s="2">
        <f t="shared" si="2"/>
        <v>5.5161990000000003</v>
      </c>
      <c r="L21" s="2">
        <f t="shared" si="2"/>
        <v>5.7488000000000001</v>
      </c>
    </row>
    <row r="22" spans="3:12" outlineLevel="1" x14ac:dyDescent="0.2">
      <c r="C22" s="2">
        <f t="shared" si="0"/>
        <v>5.5666340000000005</v>
      </c>
      <c r="D22" s="2">
        <f t="shared" si="0"/>
        <v>5.8324300000000004</v>
      </c>
      <c r="G22" s="2">
        <f t="shared" si="1"/>
        <v>1.9521E-2</v>
      </c>
      <c r="H22" s="2">
        <f t="shared" si="1"/>
        <v>8.1259999999999999E-2</v>
      </c>
      <c r="K22" s="2">
        <f t="shared" si="2"/>
        <v>5.5471399999999997</v>
      </c>
      <c r="L22" s="2">
        <f t="shared" si="2"/>
        <v>5.7514799999999999</v>
      </c>
    </row>
    <row r="23" spans="3:12" outlineLevel="1" x14ac:dyDescent="0.2">
      <c r="C23" s="2">
        <f t="shared" si="0"/>
        <v>5.5251550000000007</v>
      </c>
      <c r="D23" s="2">
        <f t="shared" si="0"/>
        <v>5.7665800000000003</v>
      </c>
      <c r="G23" s="2">
        <f t="shared" si="1"/>
        <v>1.9365E-2</v>
      </c>
      <c r="H23" s="2">
        <f t="shared" si="1"/>
        <v>8.0570000000000003E-2</v>
      </c>
      <c r="K23" s="2">
        <f t="shared" si="2"/>
        <v>5.5058309999999997</v>
      </c>
      <c r="L23" s="2">
        <f t="shared" si="2"/>
        <v>5.6864600000000003</v>
      </c>
    </row>
    <row r="24" spans="3:12" outlineLevel="1" x14ac:dyDescent="0.2">
      <c r="C24" s="2">
        <f t="shared" si="0"/>
        <v>5.4037929999999994</v>
      </c>
      <c r="D24" s="2">
        <f t="shared" si="0"/>
        <v>5.6520399999999995</v>
      </c>
      <c r="G24" s="2">
        <f t="shared" si="1"/>
        <v>1.9066E-2</v>
      </c>
      <c r="H24" s="2">
        <f t="shared" si="1"/>
        <v>7.9130000000000006E-2</v>
      </c>
      <c r="K24" s="2">
        <f t="shared" si="2"/>
        <v>5.3847839999999998</v>
      </c>
      <c r="L24" s="2">
        <f t="shared" si="2"/>
        <v>5.5734899999999996</v>
      </c>
    </row>
    <row r="39" spans="7:12" x14ac:dyDescent="0.2">
      <c r="G39" s="13"/>
    </row>
    <row r="40" spans="7:12" x14ac:dyDescent="0.2">
      <c r="L40" s="13"/>
    </row>
    <row r="43" spans="7:12" x14ac:dyDescent="0.2">
      <c r="H43" s="13"/>
    </row>
    <row r="45" spans="7:12" x14ac:dyDescent="0.2">
      <c r="G45" s="2" t="s">
        <v>9</v>
      </c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09D5-89E4-6E40-B4CC-A7C14364D40D}">
  <sheetPr>
    <tabColor rgb="FFFFFF00"/>
  </sheetPr>
  <dimension ref="B1:O42"/>
  <sheetViews>
    <sheetView workbookViewId="0">
      <selection activeCell="AC38" sqref="AC38"/>
    </sheetView>
  </sheetViews>
  <sheetFormatPr baseColWidth="10" defaultRowHeight="16" outlineLevelRow="1" outlineLevelCol="1" x14ac:dyDescent="0.2"/>
  <cols>
    <col min="1" max="1" width="2.6640625" style="2" customWidth="1"/>
    <col min="2" max="2" width="13.1640625" style="2" customWidth="1"/>
    <col min="3" max="4" width="13.83203125" style="2" customWidth="1"/>
    <col min="5" max="5" width="3.1640625" style="2" customWidth="1"/>
    <col min="6" max="8" width="13.83203125" style="2" customWidth="1"/>
    <col min="9" max="9" width="2.33203125" style="2" customWidth="1"/>
    <col min="10" max="12" width="13.83203125" style="2" customWidth="1"/>
    <col min="13" max="13" width="2.5" style="2" customWidth="1"/>
    <col min="14" max="14" width="0" style="2" hidden="1" customWidth="1" outlineLevel="1"/>
    <col min="15" max="15" width="10.83203125" style="2" collapsed="1"/>
    <col min="16" max="16384" width="10.83203125" style="2"/>
  </cols>
  <sheetData>
    <row r="1" spans="2:14" ht="10" customHeight="1" x14ac:dyDescent="0.2"/>
    <row r="2" spans="2:14" x14ac:dyDescent="0.2">
      <c r="B2" s="58" t="s">
        <v>5</v>
      </c>
      <c r="C2" s="58"/>
      <c r="D2" s="58"/>
      <c r="E2" s="9"/>
      <c r="F2" s="58" t="s">
        <v>0</v>
      </c>
      <c r="G2" s="58"/>
      <c r="H2" s="58"/>
      <c r="I2" s="9"/>
      <c r="J2" s="58" t="s">
        <v>6</v>
      </c>
      <c r="K2" s="58"/>
      <c r="L2" s="58"/>
      <c r="M2" s="9"/>
    </row>
    <row r="3" spans="2:14" x14ac:dyDescent="0.2">
      <c r="B3" s="1" t="s">
        <v>1</v>
      </c>
      <c r="C3" s="1" t="s">
        <v>2</v>
      </c>
      <c r="D3" s="1" t="s">
        <v>3</v>
      </c>
      <c r="E3" s="9"/>
      <c r="F3" s="1" t="s">
        <v>1</v>
      </c>
      <c r="G3" s="1" t="s">
        <v>2</v>
      </c>
      <c r="H3" s="1" t="s">
        <v>3</v>
      </c>
      <c r="I3" s="9"/>
      <c r="J3" s="1" t="s">
        <v>1</v>
      </c>
      <c r="K3" s="1" t="s">
        <v>2</v>
      </c>
      <c r="L3" s="1" t="s">
        <v>3</v>
      </c>
      <c r="M3" s="9"/>
    </row>
    <row r="4" spans="2:14" x14ac:dyDescent="0.2">
      <c r="B4" s="3">
        <v>2015</v>
      </c>
      <c r="C4" s="4">
        <v>8.677356E-2</v>
      </c>
      <c r="D4" s="4">
        <v>7.6219400000000007E-2</v>
      </c>
      <c r="E4" s="8"/>
      <c r="F4" s="3">
        <v>2015</v>
      </c>
      <c r="G4" s="4">
        <v>1.9202100000000001E-3</v>
      </c>
      <c r="H4" s="4">
        <v>1.6850999999999999E-3</v>
      </c>
      <c r="I4" s="8"/>
      <c r="J4" s="3">
        <v>2015</v>
      </c>
      <c r="K4" s="4">
        <v>8.4857150000000006E-2</v>
      </c>
      <c r="L4" s="4">
        <v>7.4534400000000001E-2</v>
      </c>
      <c r="M4" s="8"/>
      <c r="N4" s="2">
        <v>100</v>
      </c>
    </row>
    <row r="5" spans="2:14" x14ac:dyDescent="0.2">
      <c r="B5" s="3">
        <v>2016</v>
      </c>
      <c r="C5" s="4">
        <v>8.9328749999999998E-2</v>
      </c>
      <c r="D5" s="4">
        <v>7.8267299999999998E-2</v>
      </c>
      <c r="E5" s="8"/>
      <c r="F5" s="3">
        <v>2016</v>
      </c>
      <c r="G5" s="4">
        <v>2.91837E-3</v>
      </c>
      <c r="H5" s="4">
        <v>2.3998999999999999E-3</v>
      </c>
      <c r="I5" s="8"/>
      <c r="J5" s="3">
        <v>2016</v>
      </c>
      <c r="K5" s="4">
        <v>8.6404149999999999E-2</v>
      </c>
      <c r="L5" s="4">
        <v>7.5697E-2</v>
      </c>
      <c r="M5" s="8"/>
    </row>
    <row r="6" spans="2:14" x14ac:dyDescent="0.2">
      <c r="B6" s="3">
        <v>2017</v>
      </c>
      <c r="C6" s="4">
        <v>8.9712739999999999E-2</v>
      </c>
      <c r="D6" s="4">
        <v>7.7839599999999995E-2</v>
      </c>
      <c r="E6" s="8"/>
      <c r="F6" s="3">
        <v>2017</v>
      </c>
      <c r="G6" s="4">
        <v>2.8048399999999999E-3</v>
      </c>
      <c r="H6" s="4">
        <v>2.2861000000000001E-3</v>
      </c>
      <c r="I6" s="8"/>
      <c r="J6" s="3">
        <v>2017</v>
      </c>
      <c r="K6" s="4">
        <v>8.6900710000000006E-2</v>
      </c>
      <c r="L6" s="4">
        <v>7.5396199999999997E-2</v>
      </c>
      <c r="M6" s="8"/>
    </row>
    <row r="7" spans="2:14" x14ac:dyDescent="0.2">
      <c r="B7" s="3">
        <v>2018</v>
      </c>
      <c r="C7" s="4">
        <v>8.8921E-2</v>
      </c>
      <c r="D7" s="4">
        <v>7.6997899999999994E-2</v>
      </c>
      <c r="E7" s="8"/>
      <c r="F7" s="3">
        <v>2018</v>
      </c>
      <c r="G7" s="4">
        <v>2.3665800000000001E-3</v>
      </c>
      <c r="H7" s="4">
        <v>2.0026000000000002E-3</v>
      </c>
      <c r="I7" s="8"/>
      <c r="J7" s="3">
        <v>2018</v>
      </c>
      <c r="K7" s="4">
        <v>8.6550600000000005E-2</v>
      </c>
      <c r="L7" s="4">
        <v>7.4861800000000006E-2</v>
      </c>
      <c r="M7" s="8"/>
    </row>
    <row r="8" spans="2:14" x14ac:dyDescent="0.2">
      <c r="B8" s="3">
        <v>2019</v>
      </c>
      <c r="C8" s="4">
        <v>8.8190050000000006E-2</v>
      </c>
      <c r="D8" s="4">
        <v>7.6285199999999997E-2</v>
      </c>
      <c r="E8" s="8"/>
      <c r="F8" s="3">
        <v>2019</v>
      </c>
      <c r="G8" s="4">
        <v>2.00264E-3</v>
      </c>
      <c r="H8" s="4">
        <v>1.7443999999999999E-3</v>
      </c>
      <c r="I8" s="8"/>
      <c r="J8" s="3">
        <v>2019</v>
      </c>
      <c r="K8" s="4">
        <v>8.6184419999999998E-2</v>
      </c>
      <c r="L8" s="4">
        <v>7.4407200000000007E-2</v>
      </c>
      <c r="M8" s="8"/>
    </row>
    <row r="9" spans="2:14" x14ac:dyDescent="0.2">
      <c r="B9" s="3">
        <v>2020</v>
      </c>
      <c r="C9" s="4">
        <v>8.7866159999999999E-2</v>
      </c>
      <c r="D9" s="4">
        <v>7.6091000000000006E-2</v>
      </c>
      <c r="E9" s="8"/>
      <c r="F9" s="3">
        <v>2020</v>
      </c>
      <c r="G9" s="4">
        <v>2.1492600000000001E-3</v>
      </c>
      <c r="H9" s="4">
        <v>1.8504999999999999E-3</v>
      </c>
      <c r="I9" s="8"/>
      <c r="J9" s="3">
        <v>2020</v>
      </c>
      <c r="K9" s="4">
        <v>8.5713990000000004E-2</v>
      </c>
      <c r="L9" s="4">
        <v>7.4115200000000006E-2</v>
      </c>
      <c r="M9" s="8"/>
    </row>
    <row r="10" spans="2:14" x14ac:dyDescent="0.2">
      <c r="B10" s="3">
        <v>2021</v>
      </c>
      <c r="C10" s="4">
        <v>8.7612339999999997E-2</v>
      </c>
      <c r="D10" s="4">
        <v>7.5776499999999997E-2</v>
      </c>
      <c r="E10" s="8"/>
      <c r="F10" s="3">
        <v>2021</v>
      </c>
      <c r="G10" s="4">
        <v>2.32519E-3</v>
      </c>
      <c r="H10" s="4">
        <v>1.9488000000000001E-3</v>
      </c>
      <c r="I10" s="8"/>
      <c r="J10" s="3">
        <v>2021</v>
      </c>
      <c r="K10" s="4">
        <v>8.5278049999999994E-2</v>
      </c>
      <c r="L10" s="4">
        <v>7.3648500000000006E-2</v>
      </c>
      <c r="M10" s="8"/>
    </row>
    <row r="11" spans="2:14" x14ac:dyDescent="0.2">
      <c r="B11" s="3">
        <v>2022</v>
      </c>
      <c r="C11" s="4">
        <v>8.4160380000000007E-2</v>
      </c>
      <c r="D11" s="4">
        <v>7.3854400000000001E-2</v>
      </c>
      <c r="E11" s="8"/>
      <c r="F11" s="3">
        <v>2022</v>
      </c>
      <c r="G11" s="4">
        <v>1.68644E-3</v>
      </c>
      <c r="H11" s="4">
        <v>1.5372000000000001E-3</v>
      </c>
      <c r="I11" s="8"/>
      <c r="J11" s="3">
        <v>2022</v>
      </c>
      <c r="K11" s="4">
        <v>8.2465609999999995E-2</v>
      </c>
      <c r="L11" s="4">
        <v>7.2119600000000006E-2</v>
      </c>
      <c r="M11" s="8"/>
    </row>
    <row r="13" spans="2:14" x14ac:dyDescent="0.2">
      <c r="B13" s="5" t="s">
        <v>4</v>
      </c>
      <c r="C13" s="6">
        <f>C11-C4</f>
        <v>-2.6131799999999927E-3</v>
      </c>
      <c r="D13" s="6">
        <f>D11-D4</f>
        <v>-2.365000000000006E-3</v>
      </c>
      <c r="E13" s="7"/>
      <c r="F13" s="5" t="s">
        <v>4</v>
      </c>
      <c r="G13" s="6">
        <f>G11-G4</f>
        <v>-2.3377000000000011E-4</v>
      </c>
      <c r="H13" s="6">
        <f>H11-H4</f>
        <v>-1.4789999999999985E-4</v>
      </c>
      <c r="I13" s="7"/>
      <c r="J13" s="5" t="s">
        <v>4</v>
      </c>
      <c r="K13" s="6">
        <f>K11-K4</f>
        <v>-2.3915400000000114E-3</v>
      </c>
      <c r="L13" s="6">
        <f>L11-L4</f>
        <v>-2.4147999999999947E-3</v>
      </c>
      <c r="M13" s="7"/>
    </row>
    <row r="17" spans="3:12" outlineLevel="1" x14ac:dyDescent="0.2">
      <c r="C17" s="2">
        <f t="shared" ref="C17:D24" si="0">C4*$N$4</f>
        <v>8.6773559999999996</v>
      </c>
      <c r="D17" s="2">
        <f t="shared" si="0"/>
        <v>7.6219400000000004</v>
      </c>
      <c r="G17" s="2">
        <f t="shared" ref="G17:H24" si="1">G4*$N$4</f>
        <v>0.192021</v>
      </c>
      <c r="H17" s="2">
        <f t="shared" si="1"/>
        <v>0.16850999999999999</v>
      </c>
      <c r="K17" s="2">
        <f t="shared" ref="K17:L24" si="2">K4*$N$4</f>
        <v>8.4857150000000008</v>
      </c>
      <c r="L17" s="2">
        <f t="shared" si="2"/>
        <v>7.4534400000000005</v>
      </c>
    </row>
    <row r="18" spans="3:12" outlineLevel="1" x14ac:dyDescent="0.2">
      <c r="C18" s="2">
        <f t="shared" si="0"/>
        <v>8.9328749999999992</v>
      </c>
      <c r="D18" s="2">
        <f t="shared" si="0"/>
        <v>7.8267299999999995</v>
      </c>
      <c r="G18" s="2">
        <f t="shared" si="1"/>
        <v>0.29183700000000001</v>
      </c>
      <c r="H18" s="2">
        <f t="shared" si="1"/>
        <v>0.23998999999999998</v>
      </c>
      <c r="K18" s="2">
        <f t="shared" si="2"/>
        <v>8.6404149999999991</v>
      </c>
      <c r="L18" s="2">
        <f t="shared" si="2"/>
        <v>7.5697000000000001</v>
      </c>
    </row>
    <row r="19" spans="3:12" outlineLevel="1" x14ac:dyDescent="0.2">
      <c r="C19" s="2">
        <f t="shared" si="0"/>
        <v>8.9712739999999993</v>
      </c>
      <c r="D19" s="2">
        <f t="shared" si="0"/>
        <v>7.7839599999999995</v>
      </c>
      <c r="G19" s="2">
        <f t="shared" si="1"/>
        <v>0.28048400000000001</v>
      </c>
      <c r="H19" s="2">
        <f t="shared" si="1"/>
        <v>0.22861000000000001</v>
      </c>
      <c r="K19" s="2">
        <f t="shared" si="2"/>
        <v>8.6900710000000014</v>
      </c>
      <c r="L19" s="2">
        <f t="shared" si="2"/>
        <v>7.5396199999999993</v>
      </c>
    </row>
    <row r="20" spans="3:12" outlineLevel="1" x14ac:dyDescent="0.2">
      <c r="C20" s="2">
        <f t="shared" si="0"/>
        <v>8.8920999999999992</v>
      </c>
      <c r="D20" s="2">
        <f t="shared" si="0"/>
        <v>7.6997899999999992</v>
      </c>
      <c r="G20" s="2">
        <f t="shared" si="1"/>
        <v>0.23665800000000001</v>
      </c>
      <c r="H20" s="2">
        <f t="shared" si="1"/>
        <v>0.20026000000000002</v>
      </c>
      <c r="K20" s="2">
        <f t="shared" si="2"/>
        <v>8.6550600000000006</v>
      </c>
      <c r="L20" s="2">
        <f t="shared" si="2"/>
        <v>7.4861800000000009</v>
      </c>
    </row>
    <row r="21" spans="3:12" outlineLevel="1" x14ac:dyDescent="0.2">
      <c r="C21" s="2">
        <f t="shared" si="0"/>
        <v>8.8190050000000006</v>
      </c>
      <c r="D21" s="2">
        <f t="shared" si="0"/>
        <v>7.62852</v>
      </c>
      <c r="G21" s="2">
        <f t="shared" si="1"/>
        <v>0.200264</v>
      </c>
      <c r="H21" s="2">
        <f t="shared" si="1"/>
        <v>0.17443999999999998</v>
      </c>
      <c r="K21" s="2">
        <f t="shared" si="2"/>
        <v>8.6184419999999999</v>
      </c>
      <c r="L21" s="2">
        <f t="shared" si="2"/>
        <v>7.4407200000000007</v>
      </c>
    </row>
    <row r="22" spans="3:12" outlineLevel="1" x14ac:dyDescent="0.2">
      <c r="C22" s="2">
        <f t="shared" si="0"/>
        <v>8.7866160000000004</v>
      </c>
      <c r="D22" s="2">
        <f t="shared" si="0"/>
        <v>7.6091000000000006</v>
      </c>
      <c r="G22" s="2">
        <f t="shared" si="1"/>
        <v>0.21492600000000001</v>
      </c>
      <c r="H22" s="2">
        <f t="shared" si="1"/>
        <v>0.18504999999999999</v>
      </c>
      <c r="K22" s="2">
        <f t="shared" si="2"/>
        <v>8.5713989999999995</v>
      </c>
      <c r="L22" s="2">
        <f t="shared" si="2"/>
        <v>7.4115200000000003</v>
      </c>
    </row>
    <row r="23" spans="3:12" outlineLevel="1" x14ac:dyDescent="0.2">
      <c r="C23" s="2">
        <f t="shared" si="0"/>
        <v>8.761234</v>
      </c>
      <c r="D23" s="2">
        <f t="shared" si="0"/>
        <v>7.5776499999999993</v>
      </c>
      <c r="G23" s="2">
        <f t="shared" si="1"/>
        <v>0.232519</v>
      </c>
      <c r="H23" s="2">
        <f t="shared" si="1"/>
        <v>0.19488</v>
      </c>
      <c r="K23" s="2">
        <f t="shared" si="2"/>
        <v>8.527804999999999</v>
      </c>
      <c r="L23" s="2">
        <f t="shared" si="2"/>
        <v>7.3648500000000006</v>
      </c>
    </row>
    <row r="24" spans="3:12" outlineLevel="1" x14ac:dyDescent="0.2">
      <c r="C24" s="2">
        <f t="shared" si="0"/>
        <v>8.4160380000000004</v>
      </c>
      <c r="D24" s="2">
        <f t="shared" si="0"/>
        <v>7.38544</v>
      </c>
      <c r="G24" s="2">
        <f t="shared" si="1"/>
        <v>0.16864399999999999</v>
      </c>
      <c r="H24" s="2">
        <f t="shared" si="1"/>
        <v>0.15372</v>
      </c>
      <c r="K24" s="2">
        <f t="shared" si="2"/>
        <v>8.2465609999999998</v>
      </c>
      <c r="L24" s="2">
        <f t="shared" si="2"/>
        <v>7.2119600000000004</v>
      </c>
    </row>
    <row r="40" spans="8:8" x14ac:dyDescent="0.2">
      <c r="H40" s="13"/>
    </row>
    <row r="42" spans="8:8" x14ac:dyDescent="0.2">
      <c r="H42" s="13"/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0842-F452-4445-91DE-3DECB412DE03}">
  <sheetPr>
    <tabColor rgb="FFFFFF00"/>
  </sheetPr>
  <dimension ref="B2:I50"/>
  <sheetViews>
    <sheetView workbookViewId="0">
      <selection activeCell="R36" sqref="R36"/>
    </sheetView>
  </sheetViews>
  <sheetFormatPr baseColWidth="10" defaultRowHeight="16" outlineLevelRow="1" outlineLevelCol="1" x14ac:dyDescent="0.2"/>
  <cols>
    <col min="1" max="1" width="2.6640625" style="2" customWidth="1"/>
    <col min="2" max="2" width="13.1640625" style="2" customWidth="1"/>
    <col min="3" max="4" width="13.83203125" style="2" customWidth="1"/>
    <col min="5" max="5" width="10.83203125" style="2"/>
    <col min="6" max="6" width="0" style="2" hidden="1" customWidth="1" outlineLevel="1"/>
    <col min="7" max="7" width="10.83203125" style="2" collapsed="1"/>
    <col min="8" max="16384" width="10.83203125" style="2"/>
  </cols>
  <sheetData>
    <row r="2" spans="2:6" x14ac:dyDescent="0.2">
      <c r="B2" s="58" t="s">
        <v>6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7.5114600000000004E-2</v>
      </c>
      <c r="D4" s="4">
        <v>7.9609600000000003E-2</v>
      </c>
      <c r="F4" s="2">
        <v>100</v>
      </c>
    </row>
    <row r="5" spans="2:6" x14ac:dyDescent="0.2">
      <c r="B5" s="3">
        <v>2016</v>
      </c>
      <c r="C5" s="4">
        <v>7.4906299999999995E-2</v>
      </c>
      <c r="D5" s="4">
        <v>7.7495700000000001E-2</v>
      </c>
    </row>
    <row r="6" spans="2:6" x14ac:dyDescent="0.2">
      <c r="B6" s="3">
        <v>2017</v>
      </c>
      <c r="C6" s="4">
        <v>7.2760149999999996E-2</v>
      </c>
      <c r="D6" s="4">
        <v>7.7601299999999998E-2</v>
      </c>
    </row>
    <row r="7" spans="2:6" x14ac:dyDescent="0.2">
      <c r="B7" s="3">
        <v>2018</v>
      </c>
      <c r="C7" s="4">
        <v>7.2927099999999995E-2</v>
      </c>
      <c r="D7" s="4">
        <v>7.8067999999999999E-2</v>
      </c>
    </row>
    <row r="8" spans="2:6" x14ac:dyDescent="0.2">
      <c r="B8" s="3">
        <v>2019</v>
      </c>
      <c r="C8" s="4">
        <v>7.2530200000000003E-2</v>
      </c>
      <c r="D8" s="4">
        <v>7.78446E-2</v>
      </c>
    </row>
    <row r="9" spans="2:6" x14ac:dyDescent="0.2">
      <c r="B9" s="3">
        <v>2020</v>
      </c>
      <c r="C9" s="4">
        <v>7.7473819999999999E-2</v>
      </c>
      <c r="D9" s="4">
        <v>7.8134700000000001E-2</v>
      </c>
    </row>
    <row r="10" spans="2:6" x14ac:dyDescent="0.2">
      <c r="B10" s="3">
        <v>2021</v>
      </c>
      <c r="C10" s="4">
        <v>7.2267300000000007E-2</v>
      </c>
      <c r="D10" s="4">
        <v>7.7641199999999994E-2</v>
      </c>
    </row>
    <row r="11" spans="2:6" x14ac:dyDescent="0.2">
      <c r="B11" s="3">
        <v>2022</v>
      </c>
      <c r="C11" s="4">
        <v>7.0525400000000002E-2</v>
      </c>
      <c r="D11" s="4">
        <v>7.6620800000000003E-2</v>
      </c>
    </row>
    <row r="13" spans="2:6" x14ac:dyDescent="0.2">
      <c r="B13" s="5" t="s">
        <v>4</v>
      </c>
      <c r="C13" s="6">
        <f>C11-C4</f>
        <v>-4.5892000000000016E-3</v>
      </c>
      <c r="D13" s="6">
        <f>D11-D4</f>
        <v>-2.9887999999999998E-3</v>
      </c>
    </row>
    <row r="17" spans="3:4" outlineLevel="1" x14ac:dyDescent="0.2">
      <c r="C17" s="2">
        <f t="shared" ref="C17:D24" si="0">C4*$F$4</f>
        <v>7.5114600000000005</v>
      </c>
      <c r="D17" s="2">
        <f t="shared" si="0"/>
        <v>7.96096</v>
      </c>
    </row>
    <row r="18" spans="3:4" outlineLevel="1" x14ac:dyDescent="0.2">
      <c r="C18" s="2">
        <f t="shared" si="0"/>
        <v>7.4906299999999995</v>
      </c>
      <c r="D18" s="2">
        <f t="shared" si="0"/>
        <v>7.7495700000000003</v>
      </c>
    </row>
    <row r="19" spans="3:4" outlineLevel="1" x14ac:dyDescent="0.2">
      <c r="C19" s="2">
        <f t="shared" si="0"/>
        <v>7.2760149999999992</v>
      </c>
      <c r="D19" s="2">
        <f t="shared" si="0"/>
        <v>7.7601300000000002</v>
      </c>
    </row>
    <row r="20" spans="3:4" outlineLevel="1" x14ac:dyDescent="0.2">
      <c r="C20" s="2">
        <f t="shared" si="0"/>
        <v>7.2927099999999996</v>
      </c>
      <c r="D20" s="2">
        <f t="shared" si="0"/>
        <v>7.8068</v>
      </c>
    </row>
    <row r="21" spans="3:4" outlineLevel="1" x14ac:dyDescent="0.2">
      <c r="C21" s="2">
        <f t="shared" si="0"/>
        <v>7.2530200000000002</v>
      </c>
      <c r="D21" s="2">
        <f t="shared" si="0"/>
        <v>7.7844600000000002</v>
      </c>
    </row>
    <row r="22" spans="3:4" outlineLevel="1" x14ac:dyDescent="0.2">
      <c r="C22" s="2">
        <f t="shared" si="0"/>
        <v>7.747382</v>
      </c>
      <c r="D22" s="2">
        <f t="shared" si="0"/>
        <v>7.8134700000000006</v>
      </c>
    </row>
    <row r="23" spans="3:4" outlineLevel="1" x14ac:dyDescent="0.2">
      <c r="C23" s="2">
        <f t="shared" si="0"/>
        <v>7.2267300000000008</v>
      </c>
      <c r="D23" s="2">
        <f t="shared" si="0"/>
        <v>7.7641199999999992</v>
      </c>
    </row>
    <row r="24" spans="3:4" outlineLevel="1" x14ac:dyDescent="0.2">
      <c r="C24" s="2">
        <f t="shared" si="0"/>
        <v>7.0525400000000005</v>
      </c>
      <c r="D24" s="2">
        <f t="shared" si="0"/>
        <v>7.6620800000000004</v>
      </c>
    </row>
    <row r="45" spans="4:9" x14ac:dyDescent="0.2">
      <c r="I45" s="13"/>
    </row>
    <row r="47" spans="4:9" x14ac:dyDescent="0.2">
      <c r="D47" s="2" t="s">
        <v>9</v>
      </c>
    </row>
    <row r="50" spans="8:8" x14ac:dyDescent="0.2">
      <c r="H50" s="14"/>
    </row>
  </sheetData>
  <mergeCells count="1">
    <mergeCell ref="B2:D2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8116-A261-924A-8E8F-DC64D0CA8AA9}">
  <sheetPr>
    <tabColor rgb="FFFFFF00"/>
  </sheetPr>
  <dimension ref="B1:O44"/>
  <sheetViews>
    <sheetView topLeftCell="O2" workbookViewId="0">
      <selection activeCell="AD35" sqref="AD35"/>
    </sheetView>
  </sheetViews>
  <sheetFormatPr baseColWidth="10" defaultRowHeight="16" outlineLevelRow="1" outlineLevelCol="1" x14ac:dyDescent="0.2"/>
  <cols>
    <col min="1" max="1" width="2.6640625" style="2" customWidth="1"/>
    <col min="2" max="2" width="13.1640625" style="2" customWidth="1"/>
    <col min="3" max="4" width="13.83203125" style="2" customWidth="1"/>
    <col min="5" max="5" width="3.1640625" style="2" customWidth="1"/>
    <col min="6" max="8" width="13.83203125" style="2" customWidth="1"/>
    <col min="9" max="9" width="2.33203125" style="2" customWidth="1"/>
    <col min="10" max="12" width="13.83203125" style="2" customWidth="1"/>
    <col min="13" max="13" width="2.5" style="2" customWidth="1"/>
    <col min="14" max="14" width="0" style="2" hidden="1" customWidth="1" outlineLevel="1"/>
    <col min="15" max="15" width="10.83203125" style="2" collapsed="1"/>
    <col min="16" max="16384" width="10.83203125" style="2"/>
  </cols>
  <sheetData>
    <row r="1" spans="2:14" ht="10" customHeight="1" x14ac:dyDescent="0.2"/>
    <row r="2" spans="2:14" x14ac:dyDescent="0.2">
      <c r="B2" s="58" t="s">
        <v>5</v>
      </c>
      <c r="C2" s="58"/>
      <c r="D2" s="58"/>
      <c r="E2" s="9"/>
      <c r="F2" s="58" t="s">
        <v>0</v>
      </c>
      <c r="G2" s="58"/>
      <c r="H2" s="58"/>
      <c r="I2" s="9"/>
      <c r="J2" s="58" t="s">
        <v>6</v>
      </c>
      <c r="K2" s="58"/>
      <c r="L2" s="58"/>
      <c r="M2" s="9"/>
    </row>
    <row r="3" spans="2:14" x14ac:dyDescent="0.2">
      <c r="B3" s="1" t="s">
        <v>1</v>
      </c>
      <c r="C3" s="1" t="s">
        <v>2</v>
      </c>
      <c r="D3" s="1" t="s">
        <v>3</v>
      </c>
      <c r="E3" s="9"/>
      <c r="F3" s="1" t="s">
        <v>1</v>
      </c>
      <c r="G3" s="1" t="s">
        <v>2</v>
      </c>
      <c r="H3" s="1" t="s">
        <v>3</v>
      </c>
      <c r="I3" s="9"/>
      <c r="J3" s="1" t="s">
        <v>1</v>
      </c>
      <c r="K3" s="1" t="s">
        <v>2</v>
      </c>
      <c r="L3" s="1" t="s">
        <v>3</v>
      </c>
      <c r="M3" s="9"/>
    </row>
    <row r="4" spans="2:14" x14ac:dyDescent="0.2">
      <c r="B4" s="3">
        <v>2015</v>
      </c>
      <c r="C4" s="4">
        <v>5.1574299999999997E-2</v>
      </c>
      <c r="D4" s="4">
        <v>5.3697399999999999E-2</v>
      </c>
      <c r="E4" s="8"/>
      <c r="F4" s="3">
        <v>2015</v>
      </c>
      <c r="G4" s="4">
        <v>1.880254E-2</v>
      </c>
      <c r="H4" s="4">
        <v>1.94819E-2</v>
      </c>
      <c r="I4" s="8"/>
      <c r="J4" s="3">
        <v>2015</v>
      </c>
      <c r="K4" s="4">
        <v>3.2758870000000002E-2</v>
      </c>
      <c r="L4" s="4">
        <v>3.4271299999999998E-2</v>
      </c>
      <c r="M4" s="8"/>
      <c r="N4" s="2">
        <v>100</v>
      </c>
    </row>
    <row r="5" spans="2:14" x14ac:dyDescent="0.2">
      <c r="B5" s="3">
        <v>2016</v>
      </c>
      <c r="C5" s="4">
        <v>5.1339740000000002E-2</v>
      </c>
      <c r="D5" s="4">
        <v>5.3508300000000002E-2</v>
      </c>
      <c r="E5" s="8"/>
      <c r="F5" s="3">
        <v>2016</v>
      </c>
      <c r="G5" s="4">
        <v>1.873476E-2</v>
      </c>
      <c r="H5" s="4">
        <v>1.9435999999999998E-2</v>
      </c>
      <c r="I5" s="8"/>
      <c r="J5" s="3">
        <v>2016</v>
      </c>
      <c r="K5" s="4">
        <v>3.2591500000000002E-2</v>
      </c>
      <c r="L5" s="4">
        <v>3.4125799999999998E-2</v>
      </c>
      <c r="M5" s="8"/>
    </row>
    <row r="6" spans="2:14" x14ac:dyDescent="0.2">
      <c r="B6" s="3">
        <v>2017</v>
      </c>
      <c r="C6" s="4">
        <v>5.028154E-2</v>
      </c>
      <c r="D6" s="4">
        <v>5.2763299999999999E-2</v>
      </c>
      <c r="E6" s="8"/>
      <c r="F6" s="3">
        <v>2017</v>
      </c>
      <c r="G6" s="4">
        <v>1.7693790000000001E-2</v>
      </c>
      <c r="H6" s="4">
        <v>1.8537100000000001E-2</v>
      </c>
      <c r="I6" s="8"/>
      <c r="J6" s="3">
        <v>2017</v>
      </c>
      <c r="K6" s="4">
        <v>3.2580190000000002E-2</v>
      </c>
      <c r="L6" s="4">
        <v>3.4275800000000002E-2</v>
      </c>
      <c r="M6" s="8"/>
    </row>
    <row r="7" spans="2:14" x14ac:dyDescent="0.2">
      <c r="B7" s="3">
        <v>2018</v>
      </c>
      <c r="C7" s="4">
        <v>5.0216669999999998E-2</v>
      </c>
      <c r="D7" s="4">
        <v>5.2687999999999999E-2</v>
      </c>
      <c r="E7" s="8"/>
      <c r="F7" s="3">
        <v>2018</v>
      </c>
      <c r="G7" s="4">
        <v>1.726842E-2</v>
      </c>
      <c r="H7" s="4">
        <v>1.81377E-2</v>
      </c>
      <c r="I7" s="8"/>
      <c r="J7" s="3">
        <v>2018</v>
      </c>
      <c r="K7" s="4">
        <v>3.2942510000000001E-2</v>
      </c>
      <c r="L7" s="4">
        <v>3.4647900000000002E-2</v>
      </c>
      <c r="M7" s="8"/>
    </row>
    <row r="8" spans="2:14" x14ac:dyDescent="0.2">
      <c r="B8" s="3">
        <v>2019</v>
      </c>
      <c r="C8" s="4">
        <v>5.034222E-2</v>
      </c>
      <c r="D8" s="4">
        <v>5.2695199999999998E-2</v>
      </c>
      <c r="E8" s="8"/>
      <c r="F8" s="3">
        <v>2019</v>
      </c>
      <c r="G8" s="4">
        <v>1.719292E-2</v>
      </c>
      <c r="H8" s="4">
        <v>1.8039300000000001E-2</v>
      </c>
      <c r="I8" s="8"/>
      <c r="J8" s="3">
        <v>2019</v>
      </c>
      <c r="K8" s="4">
        <v>3.3144199999999999E-2</v>
      </c>
      <c r="L8" s="4">
        <v>3.4752499999999999E-2</v>
      </c>
      <c r="M8" s="8"/>
    </row>
    <row r="9" spans="2:14" x14ac:dyDescent="0.2">
      <c r="B9" s="3">
        <v>2020</v>
      </c>
      <c r="C9" s="4">
        <v>5.0675199999999997E-2</v>
      </c>
      <c r="D9" s="4">
        <v>5.3448200000000001E-2</v>
      </c>
      <c r="E9" s="8"/>
      <c r="F9" s="3">
        <v>2020</v>
      </c>
      <c r="G9" s="4">
        <v>1.7246250000000001E-2</v>
      </c>
      <c r="H9" s="4">
        <v>1.82411E-2</v>
      </c>
      <c r="I9" s="8"/>
      <c r="J9" s="3">
        <v>2020</v>
      </c>
      <c r="K9" s="4">
        <v>3.3421149999999997E-2</v>
      </c>
      <c r="L9" s="4">
        <v>3.53015E-2</v>
      </c>
      <c r="M9" s="8"/>
    </row>
    <row r="10" spans="2:14" x14ac:dyDescent="0.2">
      <c r="B10" s="3">
        <v>2021</v>
      </c>
      <c r="C10" s="4">
        <v>4.9660889999999999E-2</v>
      </c>
      <c r="D10" s="4">
        <v>5.2043600000000002E-2</v>
      </c>
      <c r="E10" s="8"/>
      <c r="F10" s="3">
        <v>2021</v>
      </c>
      <c r="G10" s="4">
        <v>1.6652070000000001E-2</v>
      </c>
      <c r="H10" s="4">
        <v>1.75382E-2</v>
      </c>
      <c r="I10" s="8"/>
      <c r="J10" s="3">
        <v>2021</v>
      </c>
      <c r="K10" s="4">
        <v>3.3005159999999999E-2</v>
      </c>
      <c r="L10" s="4">
        <v>3.45952E-2</v>
      </c>
      <c r="M10" s="8"/>
    </row>
    <row r="11" spans="2:14" x14ac:dyDescent="0.2">
      <c r="B11" s="3">
        <v>2022</v>
      </c>
      <c r="C11" s="4">
        <v>4.8642320000000003E-2</v>
      </c>
      <c r="D11" s="4">
        <v>5.1381599999999999E-2</v>
      </c>
      <c r="E11" s="8"/>
      <c r="F11" s="3">
        <v>2022</v>
      </c>
      <c r="G11" s="4">
        <v>1.645479E-2</v>
      </c>
      <c r="H11" s="4">
        <v>1.74015E-2</v>
      </c>
      <c r="I11" s="8"/>
      <c r="J11" s="3">
        <v>2022</v>
      </c>
      <c r="K11" s="4">
        <v>3.2182379999999997E-2</v>
      </c>
      <c r="L11" s="4">
        <v>3.4022700000000003E-2</v>
      </c>
      <c r="M11" s="8"/>
    </row>
    <row r="13" spans="2:14" x14ac:dyDescent="0.2">
      <c r="B13" s="5" t="s">
        <v>4</v>
      </c>
      <c r="C13" s="6">
        <f>C11-C4</f>
        <v>-2.9319799999999938E-3</v>
      </c>
      <c r="D13" s="6">
        <f>D11-D4</f>
        <v>-2.3157999999999998E-3</v>
      </c>
      <c r="E13" s="7"/>
      <c r="F13" s="5" t="s">
        <v>4</v>
      </c>
      <c r="G13" s="6">
        <f>G11-G4</f>
        <v>-2.3477499999999991E-3</v>
      </c>
      <c r="H13" s="6">
        <f>H11-H4</f>
        <v>-2.0803999999999996E-3</v>
      </c>
      <c r="I13" s="7"/>
      <c r="J13" s="5" t="s">
        <v>4</v>
      </c>
      <c r="K13" s="6">
        <f>K11-K4</f>
        <v>-5.7649000000000589E-4</v>
      </c>
      <c r="L13" s="6">
        <f>L11-L4</f>
        <v>-2.4859999999999466E-4</v>
      </c>
      <c r="M13" s="7"/>
    </row>
    <row r="17" spans="3:12" outlineLevel="1" x14ac:dyDescent="0.2">
      <c r="C17" s="2">
        <f t="shared" ref="C17:D24" si="0">C4*$N$4</f>
        <v>5.1574299999999997</v>
      </c>
      <c r="D17" s="2">
        <f t="shared" si="0"/>
        <v>5.3697400000000002</v>
      </c>
      <c r="G17" s="2">
        <f t="shared" ref="G17:H24" si="1">G4*$N$4</f>
        <v>1.8802539999999999</v>
      </c>
      <c r="H17" s="2">
        <f t="shared" si="1"/>
        <v>1.9481900000000001</v>
      </c>
      <c r="K17" s="2">
        <f t="shared" ref="K17:L24" si="2">K4*$N$4</f>
        <v>3.2758870000000004</v>
      </c>
      <c r="L17" s="2">
        <f t="shared" si="2"/>
        <v>3.4271299999999996</v>
      </c>
    </row>
    <row r="18" spans="3:12" outlineLevel="1" x14ac:dyDescent="0.2">
      <c r="C18" s="2">
        <f t="shared" si="0"/>
        <v>5.1339740000000003</v>
      </c>
      <c r="D18" s="2">
        <f t="shared" si="0"/>
        <v>5.3508300000000002</v>
      </c>
      <c r="G18" s="2">
        <f t="shared" si="1"/>
        <v>1.8734759999999999</v>
      </c>
      <c r="H18" s="2">
        <f t="shared" si="1"/>
        <v>1.9435999999999998</v>
      </c>
      <c r="K18" s="2">
        <f t="shared" si="2"/>
        <v>3.2591500000000004</v>
      </c>
      <c r="L18" s="2">
        <f t="shared" si="2"/>
        <v>3.4125799999999997</v>
      </c>
    </row>
    <row r="19" spans="3:12" outlineLevel="1" x14ac:dyDescent="0.2">
      <c r="C19" s="2">
        <f t="shared" si="0"/>
        <v>5.0281539999999998</v>
      </c>
      <c r="D19" s="2">
        <f t="shared" si="0"/>
        <v>5.2763299999999997</v>
      </c>
      <c r="G19" s="2">
        <f t="shared" si="1"/>
        <v>1.769379</v>
      </c>
      <c r="H19" s="2">
        <f t="shared" si="1"/>
        <v>1.85371</v>
      </c>
      <c r="K19" s="2">
        <f t="shared" si="2"/>
        <v>3.258019</v>
      </c>
      <c r="L19" s="2">
        <f t="shared" si="2"/>
        <v>3.4275800000000003</v>
      </c>
    </row>
    <row r="20" spans="3:12" outlineLevel="1" x14ac:dyDescent="0.2">
      <c r="C20" s="2">
        <f t="shared" si="0"/>
        <v>5.0216669999999999</v>
      </c>
      <c r="D20" s="2">
        <f t="shared" si="0"/>
        <v>5.2687999999999997</v>
      </c>
      <c r="G20" s="2">
        <f t="shared" si="1"/>
        <v>1.726842</v>
      </c>
      <c r="H20" s="2">
        <f t="shared" si="1"/>
        <v>1.8137699999999999</v>
      </c>
      <c r="K20" s="2">
        <f t="shared" si="2"/>
        <v>3.294251</v>
      </c>
      <c r="L20" s="2">
        <f t="shared" si="2"/>
        <v>3.4647900000000003</v>
      </c>
    </row>
    <row r="21" spans="3:12" outlineLevel="1" x14ac:dyDescent="0.2">
      <c r="C21" s="2">
        <f t="shared" si="0"/>
        <v>5.0342219999999998</v>
      </c>
      <c r="D21" s="2">
        <f t="shared" si="0"/>
        <v>5.26952</v>
      </c>
      <c r="G21" s="2">
        <f t="shared" si="1"/>
        <v>1.719292</v>
      </c>
      <c r="H21" s="2">
        <f t="shared" si="1"/>
        <v>1.80393</v>
      </c>
      <c r="K21" s="2">
        <f t="shared" si="2"/>
        <v>3.3144199999999997</v>
      </c>
      <c r="L21" s="2">
        <f t="shared" si="2"/>
        <v>3.47525</v>
      </c>
    </row>
    <row r="22" spans="3:12" outlineLevel="1" x14ac:dyDescent="0.2">
      <c r="C22" s="2">
        <f t="shared" si="0"/>
        <v>5.06752</v>
      </c>
      <c r="D22" s="2">
        <f t="shared" si="0"/>
        <v>5.3448200000000003</v>
      </c>
      <c r="G22" s="2">
        <f t="shared" si="1"/>
        <v>1.7246250000000001</v>
      </c>
      <c r="H22" s="2">
        <f t="shared" si="1"/>
        <v>1.8241099999999999</v>
      </c>
      <c r="K22" s="2">
        <f t="shared" si="2"/>
        <v>3.3421149999999997</v>
      </c>
      <c r="L22" s="2">
        <f t="shared" si="2"/>
        <v>3.5301499999999999</v>
      </c>
    </row>
    <row r="23" spans="3:12" outlineLevel="1" x14ac:dyDescent="0.2">
      <c r="C23" s="2">
        <f t="shared" si="0"/>
        <v>4.9660890000000002</v>
      </c>
      <c r="D23" s="2">
        <f t="shared" si="0"/>
        <v>5.2043600000000003</v>
      </c>
      <c r="G23" s="2">
        <f t="shared" si="1"/>
        <v>1.6652070000000001</v>
      </c>
      <c r="H23" s="2">
        <f t="shared" si="1"/>
        <v>1.7538199999999999</v>
      </c>
      <c r="K23" s="2">
        <f t="shared" si="2"/>
        <v>3.300516</v>
      </c>
      <c r="L23" s="2">
        <f t="shared" si="2"/>
        <v>3.4595199999999999</v>
      </c>
    </row>
    <row r="24" spans="3:12" outlineLevel="1" x14ac:dyDescent="0.2">
      <c r="C24" s="2">
        <f t="shared" si="0"/>
        <v>4.8642320000000003</v>
      </c>
      <c r="D24" s="2">
        <f t="shared" si="0"/>
        <v>5.1381600000000001</v>
      </c>
      <c r="G24" s="2">
        <f t="shared" si="1"/>
        <v>1.6454790000000001</v>
      </c>
      <c r="H24" s="2">
        <f t="shared" si="1"/>
        <v>1.7401500000000001</v>
      </c>
      <c r="K24" s="2">
        <f t="shared" si="2"/>
        <v>3.2182379999999995</v>
      </c>
      <c r="L24" s="2">
        <f t="shared" si="2"/>
        <v>3.4022700000000001</v>
      </c>
    </row>
    <row r="40" spans="3:8" x14ac:dyDescent="0.2">
      <c r="H40" s="13"/>
    </row>
    <row r="42" spans="3:8" x14ac:dyDescent="0.2">
      <c r="H42" s="13"/>
    </row>
    <row r="44" spans="3:8" x14ac:dyDescent="0.2">
      <c r="C44" s="2" t="s">
        <v>82</v>
      </c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F535-A2EE-1C48-9098-D6FC08D8C54B}">
  <sheetPr>
    <tabColor rgb="FFFFFF00"/>
  </sheetPr>
  <dimension ref="B2:I50"/>
  <sheetViews>
    <sheetView workbookViewId="0">
      <selection activeCell="M35" sqref="M35"/>
    </sheetView>
  </sheetViews>
  <sheetFormatPr baseColWidth="10" defaultRowHeight="16" outlineLevelRow="1" outlineLevelCol="1" x14ac:dyDescent="0.2"/>
  <cols>
    <col min="1" max="1" width="2.6640625" style="2" customWidth="1"/>
    <col min="2" max="2" width="13.1640625" style="2" customWidth="1"/>
    <col min="3" max="4" width="13.83203125" style="2" customWidth="1"/>
    <col min="5" max="5" width="10.83203125" style="2"/>
    <col min="6" max="6" width="0" style="2" hidden="1" customWidth="1" outlineLevel="1"/>
    <col min="7" max="7" width="10.83203125" style="2" collapsed="1"/>
    <col min="8" max="16384" width="10.83203125" style="2"/>
  </cols>
  <sheetData>
    <row r="2" spans="2:6" x14ac:dyDescent="0.2">
      <c r="B2" s="58" t="s">
        <v>6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3.3948369999999999E-2</v>
      </c>
      <c r="D4" s="4">
        <v>3.5212399999999998E-2</v>
      </c>
      <c r="F4" s="2">
        <v>100</v>
      </c>
    </row>
    <row r="5" spans="2:6" x14ac:dyDescent="0.2">
      <c r="B5" s="3">
        <v>2016</v>
      </c>
      <c r="C5" s="4">
        <v>3.4422250000000001E-2</v>
      </c>
      <c r="D5" s="4">
        <v>3.5541499999999997E-2</v>
      </c>
    </row>
    <row r="6" spans="2:6" x14ac:dyDescent="0.2">
      <c r="B6" s="3">
        <v>2017</v>
      </c>
      <c r="C6" s="4">
        <v>3.3879220000000002E-2</v>
      </c>
      <c r="D6" s="4">
        <v>3.4752199999999997E-2</v>
      </c>
    </row>
    <row r="7" spans="2:6" x14ac:dyDescent="0.2">
      <c r="B7" s="3">
        <v>2018</v>
      </c>
      <c r="C7" s="4">
        <v>3.3578280000000002E-2</v>
      </c>
      <c r="D7" s="4">
        <v>3.4445200000000002E-2</v>
      </c>
    </row>
    <row r="8" spans="2:6" x14ac:dyDescent="0.2">
      <c r="B8" s="3">
        <v>2019</v>
      </c>
      <c r="C8" s="4">
        <v>3.3494669999999997E-2</v>
      </c>
      <c r="D8" s="4">
        <v>3.4331199999999999E-2</v>
      </c>
    </row>
    <row r="9" spans="2:6" x14ac:dyDescent="0.2">
      <c r="B9" s="3">
        <v>2020</v>
      </c>
      <c r="C9" s="4">
        <v>3.4093400000000003E-2</v>
      </c>
      <c r="D9" s="4">
        <v>3.48242E-2</v>
      </c>
    </row>
    <row r="10" spans="2:6" x14ac:dyDescent="0.2">
      <c r="B10" s="3">
        <v>2021</v>
      </c>
      <c r="C10" s="4">
        <v>3.3928710000000001E-2</v>
      </c>
      <c r="D10" s="4">
        <v>3.4624299999999997E-2</v>
      </c>
    </row>
    <row r="11" spans="2:6" x14ac:dyDescent="0.2">
      <c r="B11" s="3">
        <v>2022</v>
      </c>
      <c r="C11" s="4">
        <v>3.2808339999999998E-2</v>
      </c>
      <c r="D11" s="4">
        <v>3.3750000000000002E-2</v>
      </c>
    </row>
    <row r="13" spans="2:6" x14ac:dyDescent="0.2">
      <c r="B13" s="5" t="s">
        <v>4</v>
      </c>
      <c r="C13" s="6">
        <f>C11-C4</f>
        <v>-1.1400300000000002E-3</v>
      </c>
      <c r="D13" s="6">
        <f>D11-D4</f>
        <v>-1.4623999999999956E-3</v>
      </c>
    </row>
    <row r="17" spans="3:4" outlineLevel="1" x14ac:dyDescent="0.2">
      <c r="C17" s="2">
        <f t="shared" ref="C17:D24" si="0">C4*$F$4</f>
        <v>3.3948369999999999</v>
      </c>
      <c r="D17" s="2">
        <f t="shared" si="0"/>
        <v>3.5212399999999997</v>
      </c>
    </row>
    <row r="18" spans="3:4" outlineLevel="1" x14ac:dyDescent="0.2">
      <c r="C18" s="2">
        <f t="shared" si="0"/>
        <v>3.4422250000000001</v>
      </c>
      <c r="D18" s="2">
        <f t="shared" si="0"/>
        <v>3.5541499999999995</v>
      </c>
    </row>
    <row r="19" spans="3:4" outlineLevel="1" x14ac:dyDescent="0.2">
      <c r="C19" s="2">
        <f t="shared" si="0"/>
        <v>3.3879220000000001</v>
      </c>
      <c r="D19" s="2">
        <f t="shared" si="0"/>
        <v>3.4752199999999998</v>
      </c>
    </row>
    <row r="20" spans="3:4" outlineLevel="1" x14ac:dyDescent="0.2">
      <c r="C20" s="2">
        <f t="shared" si="0"/>
        <v>3.357828</v>
      </c>
      <c r="D20" s="2">
        <f t="shared" si="0"/>
        <v>3.4445200000000002</v>
      </c>
    </row>
    <row r="21" spans="3:4" outlineLevel="1" x14ac:dyDescent="0.2">
      <c r="C21" s="2">
        <f t="shared" si="0"/>
        <v>3.3494669999999998</v>
      </c>
      <c r="D21" s="2">
        <f t="shared" si="0"/>
        <v>3.4331199999999997</v>
      </c>
    </row>
    <row r="22" spans="3:4" outlineLevel="1" x14ac:dyDescent="0.2">
      <c r="C22" s="2">
        <f t="shared" si="0"/>
        <v>3.4093400000000003</v>
      </c>
      <c r="D22" s="2">
        <f t="shared" si="0"/>
        <v>3.4824199999999998</v>
      </c>
    </row>
    <row r="23" spans="3:4" outlineLevel="1" x14ac:dyDescent="0.2">
      <c r="C23" s="2">
        <f t="shared" si="0"/>
        <v>3.392871</v>
      </c>
      <c r="D23" s="2">
        <f t="shared" si="0"/>
        <v>3.4624299999999995</v>
      </c>
    </row>
    <row r="24" spans="3:4" outlineLevel="1" x14ac:dyDescent="0.2">
      <c r="C24" s="2">
        <f t="shared" si="0"/>
        <v>3.280834</v>
      </c>
      <c r="D24" s="2">
        <f t="shared" si="0"/>
        <v>3.375</v>
      </c>
    </row>
    <row r="45" spans="4:9" x14ac:dyDescent="0.2">
      <c r="I45" s="13"/>
    </row>
    <row r="47" spans="4:9" x14ac:dyDescent="0.2">
      <c r="D47" s="2" t="s">
        <v>9</v>
      </c>
    </row>
    <row r="50" spans="8:8" x14ac:dyDescent="0.2">
      <c r="H50" s="14"/>
    </row>
  </sheetData>
  <mergeCells count="1">
    <mergeCell ref="B2:D2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7103-757D-7F49-97AF-C556D565B1B1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F9E7C-5E03-2A45-8A10-986AD430A025}">
  <sheetPr>
    <tabColor rgb="FFFFFF00"/>
  </sheetPr>
  <dimension ref="A2:K59"/>
  <sheetViews>
    <sheetView workbookViewId="0">
      <selection activeCell="L34" sqref="L34"/>
    </sheetView>
  </sheetViews>
  <sheetFormatPr baseColWidth="10" defaultRowHeight="16" outlineLevelRow="1" outlineLevelCol="1" x14ac:dyDescent="0.2"/>
  <cols>
    <col min="1" max="1" width="2.6640625" customWidth="1"/>
    <col min="2" max="2" width="10.83203125" style="2"/>
    <col min="3" max="4" width="13.83203125" style="2" customWidth="1"/>
    <col min="5" max="5" width="10.83203125" style="2"/>
    <col min="6" max="6" width="0" style="2" hidden="1" customWidth="1" outlineLevel="1"/>
    <col min="7" max="7" width="16.6640625" style="2" bestFit="1" customWidth="1" collapsed="1"/>
    <col min="8" max="10" width="10.83203125" style="2"/>
    <col min="11" max="11" width="17.6640625" style="2" bestFit="1" customWidth="1"/>
    <col min="12" max="16384" width="10.83203125" style="2"/>
  </cols>
  <sheetData>
    <row r="2" spans="2:6" s="2" customFormat="1" x14ac:dyDescent="0.2">
      <c r="B2" s="58" t="s">
        <v>6</v>
      </c>
      <c r="C2" s="58"/>
      <c r="D2" s="58"/>
    </row>
    <row r="3" spans="2:6" s="2" customFormat="1" x14ac:dyDescent="0.2">
      <c r="B3" s="1" t="s">
        <v>1</v>
      </c>
      <c r="C3" s="1" t="s">
        <v>2</v>
      </c>
      <c r="D3" s="1" t="s">
        <v>3</v>
      </c>
    </row>
    <row r="4" spans="2:6" s="2" customFormat="1" x14ac:dyDescent="0.2">
      <c r="B4" s="3">
        <v>2015</v>
      </c>
      <c r="C4" s="4">
        <v>6.3157039999999998E-2</v>
      </c>
      <c r="D4" s="4">
        <v>6.35381E-2</v>
      </c>
      <c r="F4" s="2">
        <v>100</v>
      </c>
    </row>
    <row r="5" spans="2:6" s="2" customFormat="1" x14ac:dyDescent="0.2">
      <c r="B5" s="3">
        <v>2016</v>
      </c>
      <c r="C5" s="4">
        <v>6.3575290000000007E-2</v>
      </c>
      <c r="D5" s="4">
        <v>6.3794799999999999E-2</v>
      </c>
    </row>
    <row r="6" spans="2:6" s="2" customFormat="1" x14ac:dyDescent="0.2">
      <c r="B6" s="3">
        <v>2017</v>
      </c>
      <c r="C6" s="4">
        <v>6.4295729999999995E-2</v>
      </c>
      <c r="D6" s="4">
        <v>6.4580799999999994E-2</v>
      </c>
    </row>
    <row r="7" spans="2:6" s="2" customFormat="1" x14ac:dyDescent="0.2">
      <c r="B7" s="3">
        <v>2018</v>
      </c>
      <c r="C7" s="4">
        <v>6.4525070000000004E-2</v>
      </c>
      <c r="D7" s="4">
        <v>6.4868400000000007E-2</v>
      </c>
    </row>
    <row r="8" spans="2:6" s="2" customFormat="1" x14ac:dyDescent="0.2">
      <c r="B8" s="3">
        <v>2019</v>
      </c>
      <c r="C8" s="4">
        <v>6.8203410000000006E-2</v>
      </c>
      <c r="D8" s="4">
        <v>6.8925799999999995E-2</v>
      </c>
    </row>
    <row r="9" spans="2:6" s="2" customFormat="1" x14ac:dyDescent="0.2">
      <c r="B9" s="3">
        <v>2020</v>
      </c>
      <c r="C9" s="4">
        <v>6.613347E-2</v>
      </c>
      <c r="D9" s="4">
        <v>6.6806500000000005E-2</v>
      </c>
    </row>
    <row r="10" spans="2:6" s="2" customFormat="1" x14ac:dyDescent="0.2">
      <c r="B10" s="3">
        <v>2021</v>
      </c>
      <c r="C10" s="4">
        <v>6.5728400000000006E-2</v>
      </c>
      <c r="D10" s="4">
        <v>6.6233299999999995E-2</v>
      </c>
    </row>
    <row r="11" spans="2:6" s="2" customFormat="1" x14ac:dyDescent="0.2">
      <c r="B11" s="3">
        <v>2022</v>
      </c>
      <c r="C11" s="4">
        <v>6.2865459999999998E-2</v>
      </c>
      <c r="D11" s="4">
        <v>6.3696600000000006E-2</v>
      </c>
    </row>
    <row r="13" spans="2:6" s="2" customFormat="1" x14ac:dyDescent="0.2">
      <c r="B13" s="5" t="s">
        <v>4</v>
      </c>
      <c r="C13" s="6">
        <f>C11-C4</f>
        <v>-2.9157999999999962E-4</v>
      </c>
      <c r="D13" s="6">
        <f>D11-D4</f>
        <v>1.5850000000000586E-4</v>
      </c>
    </row>
    <row r="15" spans="2:6" s="2" customFormat="1" x14ac:dyDescent="0.2">
      <c r="C15" s="12">
        <f>C11-C4</f>
        <v>-2.9157999999999962E-4</v>
      </c>
      <c r="D15" s="12">
        <f>D11-D4</f>
        <v>1.5850000000000586E-4</v>
      </c>
    </row>
    <row r="17" spans="3:4" s="2" customFormat="1" outlineLevel="1" x14ac:dyDescent="0.2">
      <c r="C17" s="2">
        <f t="shared" ref="C17:D24" si="0">C4*$F$4</f>
        <v>6.3157040000000002</v>
      </c>
      <c r="D17" s="2">
        <f t="shared" si="0"/>
        <v>6.3538100000000002</v>
      </c>
    </row>
    <row r="18" spans="3:4" s="2" customFormat="1" outlineLevel="1" x14ac:dyDescent="0.2">
      <c r="C18" s="2">
        <f t="shared" si="0"/>
        <v>6.3575290000000004</v>
      </c>
      <c r="D18" s="2">
        <f t="shared" si="0"/>
        <v>6.37948</v>
      </c>
    </row>
    <row r="19" spans="3:4" s="2" customFormat="1" outlineLevel="1" x14ac:dyDescent="0.2">
      <c r="C19" s="2">
        <f t="shared" si="0"/>
        <v>6.4295729999999995</v>
      </c>
      <c r="D19" s="2">
        <f t="shared" si="0"/>
        <v>6.4580799999999989</v>
      </c>
    </row>
    <row r="20" spans="3:4" s="2" customFormat="1" outlineLevel="1" x14ac:dyDescent="0.2">
      <c r="C20" s="2">
        <f t="shared" si="0"/>
        <v>6.4525070000000007</v>
      </c>
      <c r="D20" s="2">
        <f t="shared" si="0"/>
        <v>6.4868400000000008</v>
      </c>
    </row>
    <row r="21" spans="3:4" s="2" customFormat="1" outlineLevel="1" x14ac:dyDescent="0.2">
      <c r="C21" s="2">
        <f t="shared" si="0"/>
        <v>6.8203410000000009</v>
      </c>
      <c r="D21" s="2">
        <f t="shared" si="0"/>
        <v>6.8925799999999997</v>
      </c>
    </row>
    <row r="22" spans="3:4" s="2" customFormat="1" outlineLevel="1" x14ac:dyDescent="0.2">
      <c r="C22" s="2">
        <f t="shared" si="0"/>
        <v>6.6133470000000001</v>
      </c>
      <c r="D22" s="2">
        <f t="shared" si="0"/>
        <v>6.6806500000000009</v>
      </c>
    </row>
    <row r="23" spans="3:4" s="2" customFormat="1" outlineLevel="1" x14ac:dyDescent="0.2">
      <c r="C23" s="2">
        <f t="shared" si="0"/>
        <v>6.5728400000000002</v>
      </c>
      <c r="D23" s="2">
        <f t="shared" si="0"/>
        <v>6.6233299999999993</v>
      </c>
    </row>
    <row r="24" spans="3:4" s="2" customFormat="1" outlineLevel="1" x14ac:dyDescent="0.2">
      <c r="C24" s="2">
        <f t="shared" si="0"/>
        <v>6.2865459999999995</v>
      </c>
      <c r="D24" s="2">
        <f t="shared" si="0"/>
        <v>6.3696600000000005</v>
      </c>
    </row>
    <row r="26" spans="3:4" s="2" customFormat="1" x14ac:dyDescent="0.2">
      <c r="C26" s="11"/>
    </row>
    <row r="47" spans="8:11" s="2" customFormat="1" x14ac:dyDescent="0.2">
      <c r="H47" s="13"/>
      <c r="I47" s="13"/>
      <c r="K47" s="10"/>
    </row>
    <row r="49" spans="7:11" x14ac:dyDescent="0.2">
      <c r="I49" s="13"/>
    </row>
    <row r="50" spans="7:11" s="2" customFormat="1" x14ac:dyDescent="0.2">
      <c r="K50" s="10"/>
    </row>
    <row r="52" spans="7:11" s="2" customFormat="1" x14ac:dyDescent="0.2">
      <c r="G52" s="10"/>
    </row>
    <row r="53" spans="7:11" s="2" customFormat="1" x14ac:dyDescent="0.2">
      <c r="G53" s="10"/>
    </row>
    <row r="54" spans="7:11" s="2" customFormat="1" x14ac:dyDescent="0.2">
      <c r="G54" s="10"/>
    </row>
    <row r="55" spans="7:11" s="2" customFormat="1" x14ac:dyDescent="0.2">
      <c r="G55" s="10"/>
    </row>
    <row r="56" spans="7:11" s="2" customFormat="1" x14ac:dyDescent="0.2">
      <c r="G56" s="10"/>
    </row>
    <row r="57" spans="7:11" s="2" customFormat="1" x14ac:dyDescent="0.2">
      <c r="G57" s="10"/>
    </row>
    <row r="58" spans="7:11" s="2" customFormat="1" x14ac:dyDescent="0.2">
      <c r="G58" s="10"/>
    </row>
    <row r="59" spans="7:11" s="2" customFormat="1" x14ac:dyDescent="0.2">
      <c r="G59" s="10"/>
    </row>
  </sheetData>
  <mergeCells count="1">
    <mergeCell ref="B2:D2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AB8F-83BE-964B-AB8E-F3DA5F5A8634}">
  <sheetPr>
    <tabColor rgb="FFFFFF00"/>
  </sheetPr>
  <dimension ref="B2:K59"/>
  <sheetViews>
    <sheetView workbookViewId="0">
      <selection activeCell="H38" sqref="H38"/>
    </sheetView>
  </sheetViews>
  <sheetFormatPr baseColWidth="10" defaultRowHeight="16" outlineLevelRow="1" outlineLevelCol="1" x14ac:dyDescent="0.2"/>
  <cols>
    <col min="1" max="1" width="2.6640625" style="2" customWidth="1"/>
    <col min="2" max="2" width="10.83203125" style="2"/>
    <col min="3" max="4" width="13.83203125" style="2" customWidth="1"/>
    <col min="5" max="5" width="10.83203125" style="2"/>
    <col min="6" max="6" width="0" style="2" hidden="1" customWidth="1" outlineLevel="1"/>
    <col min="7" max="7" width="16.6640625" style="2" bestFit="1" customWidth="1" collapsed="1"/>
    <col min="8" max="10" width="10.83203125" style="2"/>
    <col min="11" max="11" width="17.6640625" style="2" bestFit="1" customWidth="1"/>
    <col min="12" max="16384" width="10.83203125" style="2"/>
  </cols>
  <sheetData>
    <row r="2" spans="2:6" x14ac:dyDescent="0.2">
      <c r="B2" s="58" t="s">
        <v>6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8.8895119999999994E-2</v>
      </c>
      <c r="D4" s="4">
        <v>9.1474200000000006E-2</v>
      </c>
      <c r="F4" s="2">
        <v>100</v>
      </c>
    </row>
    <row r="5" spans="2:6" x14ac:dyDescent="0.2">
      <c r="B5" s="3">
        <v>2016</v>
      </c>
      <c r="C5" s="4">
        <v>8.8183200000000003E-2</v>
      </c>
      <c r="D5" s="4">
        <v>9.0762899999999994E-2</v>
      </c>
    </row>
    <row r="6" spans="2:6" x14ac:dyDescent="0.2">
      <c r="B6" s="3">
        <v>2017</v>
      </c>
      <c r="C6" s="4">
        <v>8.8426320000000003E-2</v>
      </c>
      <c r="D6" s="4">
        <v>9.0464500000000003E-2</v>
      </c>
    </row>
    <row r="7" spans="2:6" x14ac:dyDescent="0.2">
      <c r="B7" s="3">
        <v>2018</v>
      </c>
      <c r="C7" s="4">
        <v>8.8620080000000004E-2</v>
      </c>
      <c r="D7" s="4">
        <v>9.0697200000000006E-2</v>
      </c>
    </row>
    <row r="8" spans="2:6" x14ac:dyDescent="0.2">
      <c r="B8" s="3">
        <v>2019</v>
      </c>
      <c r="C8" s="4">
        <v>8.8357930000000001E-2</v>
      </c>
      <c r="D8" s="4">
        <v>9.0461100000000003E-2</v>
      </c>
    </row>
    <row r="9" spans="2:6" x14ac:dyDescent="0.2">
      <c r="B9" s="3">
        <v>2020</v>
      </c>
      <c r="C9" s="4">
        <v>9.1908669999999998E-2</v>
      </c>
      <c r="D9" s="4">
        <v>9.3800999999999995E-2</v>
      </c>
    </row>
    <row r="10" spans="2:6" x14ac:dyDescent="0.2">
      <c r="B10" s="3">
        <v>2021</v>
      </c>
      <c r="C10" s="4">
        <v>9.2050510000000002E-2</v>
      </c>
      <c r="D10" s="4">
        <v>9.3867300000000001E-2</v>
      </c>
    </row>
    <row r="11" spans="2:6" x14ac:dyDescent="0.2">
      <c r="B11" s="3">
        <v>2022</v>
      </c>
      <c r="C11" s="4">
        <v>9.0434970000000003E-2</v>
      </c>
      <c r="D11" s="4">
        <v>9.2407799999999998E-2</v>
      </c>
    </row>
    <row r="13" spans="2:6" x14ac:dyDescent="0.2">
      <c r="B13" s="5" t="s">
        <v>4</v>
      </c>
      <c r="C13" s="6">
        <f>C11-C4</f>
        <v>1.5398500000000093E-3</v>
      </c>
      <c r="D13" s="6">
        <f>D11-D4</f>
        <v>9.3359999999999277E-4</v>
      </c>
    </row>
    <row r="15" spans="2:6" x14ac:dyDescent="0.2">
      <c r="C15" s="12">
        <f>C11-C4</f>
        <v>1.5398500000000093E-3</v>
      </c>
      <c r="D15" s="12">
        <f>D11-D4</f>
        <v>9.3359999999999277E-4</v>
      </c>
    </row>
    <row r="17" spans="3:4" outlineLevel="1" x14ac:dyDescent="0.2">
      <c r="C17" s="2">
        <f t="shared" ref="C17:D24" si="0">C4*$F$4</f>
        <v>8.8895119999999999</v>
      </c>
      <c r="D17" s="2">
        <f t="shared" si="0"/>
        <v>9.1474200000000003</v>
      </c>
    </row>
    <row r="18" spans="3:4" outlineLevel="1" x14ac:dyDescent="0.2">
      <c r="C18" s="2">
        <f t="shared" si="0"/>
        <v>8.8183199999999999</v>
      </c>
      <c r="D18" s="2">
        <f t="shared" si="0"/>
        <v>9.0762900000000002</v>
      </c>
    </row>
    <row r="19" spans="3:4" outlineLevel="1" x14ac:dyDescent="0.2">
      <c r="C19" s="2">
        <f t="shared" si="0"/>
        <v>8.842632</v>
      </c>
      <c r="D19" s="2">
        <f t="shared" si="0"/>
        <v>9.0464500000000001</v>
      </c>
    </row>
    <row r="20" spans="3:4" outlineLevel="1" x14ac:dyDescent="0.2">
      <c r="C20" s="2">
        <f t="shared" si="0"/>
        <v>8.8620080000000012</v>
      </c>
      <c r="D20" s="2">
        <f t="shared" si="0"/>
        <v>9.0697200000000002</v>
      </c>
    </row>
    <row r="21" spans="3:4" outlineLevel="1" x14ac:dyDescent="0.2">
      <c r="C21" s="2">
        <f t="shared" si="0"/>
        <v>8.8357930000000007</v>
      </c>
      <c r="D21" s="2">
        <f t="shared" si="0"/>
        <v>9.0461100000000005</v>
      </c>
    </row>
    <row r="22" spans="3:4" outlineLevel="1" x14ac:dyDescent="0.2">
      <c r="C22" s="2">
        <f t="shared" si="0"/>
        <v>9.190866999999999</v>
      </c>
      <c r="D22" s="2">
        <f t="shared" si="0"/>
        <v>9.3800999999999988</v>
      </c>
    </row>
    <row r="23" spans="3:4" outlineLevel="1" x14ac:dyDescent="0.2">
      <c r="C23" s="2">
        <f t="shared" si="0"/>
        <v>9.205051000000001</v>
      </c>
      <c r="D23" s="2">
        <f t="shared" si="0"/>
        <v>9.38673</v>
      </c>
    </row>
    <row r="24" spans="3:4" outlineLevel="1" x14ac:dyDescent="0.2">
      <c r="C24" s="2">
        <f t="shared" si="0"/>
        <v>9.0434970000000003</v>
      </c>
      <c r="D24" s="2">
        <f t="shared" si="0"/>
        <v>9.2407799999999991</v>
      </c>
    </row>
    <row r="26" spans="3:4" x14ac:dyDescent="0.2">
      <c r="C26" s="11"/>
    </row>
    <row r="46" spans="9:11" x14ac:dyDescent="0.2">
      <c r="I46" s="13"/>
    </row>
    <row r="47" spans="9:11" x14ac:dyDescent="0.2">
      <c r="K47" s="10"/>
    </row>
    <row r="50" spans="7:11" x14ac:dyDescent="0.2">
      <c r="K50" s="10"/>
    </row>
    <row r="52" spans="7:11" x14ac:dyDescent="0.2">
      <c r="G52" s="10"/>
    </row>
    <row r="53" spans="7:11" x14ac:dyDescent="0.2">
      <c r="G53" s="10"/>
    </row>
    <row r="54" spans="7:11" x14ac:dyDescent="0.2">
      <c r="G54" s="10"/>
    </row>
    <row r="55" spans="7:11" x14ac:dyDescent="0.2">
      <c r="G55" s="10"/>
    </row>
    <row r="56" spans="7:11" x14ac:dyDescent="0.2">
      <c r="G56" s="10"/>
    </row>
    <row r="57" spans="7:11" x14ac:dyDescent="0.2">
      <c r="G57" s="10"/>
    </row>
    <row r="58" spans="7:11" x14ac:dyDescent="0.2">
      <c r="G58" s="10"/>
    </row>
    <row r="59" spans="7:11" x14ac:dyDescent="0.2">
      <c r="G59" s="10"/>
    </row>
  </sheetData>
  <mergeCells count="1">
    <mergeCell ref="B2:D2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2FE5-44ED-674D-9163-52A68A5D11E7}">
  <sheetPr>
    <tabColor rgb="FFFFFF00"/>
  </sheetPr>
  <dimension ref="B2:K59"/>
  <sheetViews>
    <sheetView workbookViewId="0">
      <selection activeCell="E29" sqref="E29"/>
    </sheetView>
  </sheetViews>
  <sheetFormatPr baseColWidth="10" defaultRowHeight="16" outlineLevelRow="1" outlineLevelCol="1" x14ac:dyDescent="0.2"/>
  <cols>
    <col min="1" max="1" width="2.6640625" style="2" customWidth="1"/>
    <col min="2" max="2" width="10.83203125" style="2"/>
    <col min="3" max="4" width="13.83203125" style="2" customWidth="1"/>
    <col min="5" max="5" width="10.83203125" style="2"/>
    <col min="6" max="6" width="0" style="2" hidden="1" customWidth="1" outlineLevel="1"/>
    <col min="7" max="7" width="16.6640625" style="2" bestFit="1" customWidth="1" collapsed="1"/>
    <col min="8" max="10" width="10.83203125" style="2"/>
    <col min="11" max="11" width="17.6640625" style="2" bestFit="1" customWidth="1"/>
    <col min="12" max="16384" width="10.83203125" style="2"/>
  </cols>
  <sheetData>
    <row r="2" spans="2:6" x14ac:dyDescent="0.2">
      <c r="B2" s="58" t="s">
        <v>6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5.456519E-2</v>
      </c>
      <c r="D4" s="4">
        <v>5.4565200000000001E-2</v>
      </c>
      <c r="F4" s="2">
        <v>100</v>
      </c>
    </row>
    <row r="5" spans="2:6" x14ac:dyDescent="0.2">
      <c r="B5" s="3">
        <v>2016</v>
      </c>
      <c r="C5" s="4">
        <v>6.0522630000000001E-2</v>
      </c>
      <c r="D5" s="4">
        <v>6.0522600000000003E-2</v>
      </c>
    </row>
    <row r="6" spans="2:6" x14ac:dyDescent="0.2">
      <c r="B6" s="3">
        <v>2017</v>
      </c>
      <c r="C6" s="4">
        <v>7.3229340000000004E-2</v>
      </c>
      <c r="D6" s="4">
        <v>7.3229299999999997E-2</v>
      </c>
    </row>
    <row r="7" spans="2:6" x14ac:dyDescent="0.2">
      <c r="B7" s="3">
        <v>2018</v>
      </c>
      <c r="C7" s="4">
        <v>7.365099E-2</v>
      </c>
      <c r="D7" s="4">
        <v>7.3650999999999994E-2</v>
      </c>
    </row>
    <row r="8" spans="2:6" x14ac:dyDescent="0.2">
      <c r="B8" s="3">
        <v>2019</v>
      </c>
      <c r="C8" s="4">
        <v>6.6044229999999995E-2</v>
      </c>
      <c r="D8" s="4">
        <v>6.6044199999999997E-2</v>
      </c>
    </row>
    <row r="9" spans="2:6" x14ac:dyDescent="0.2">
      <c r="B9" s="3">
        <v>2020</v>
      </c>
      <c r="C9" s="4">
        <v>6.7361470000000007E-2</v>
      </c>
      <c r="D9" s="4">
        <v>6.7361500000000005E-2</v>
      </c>
    </row>
    <row r="10" spans="2:6" x14ac:dyDescent="0.2">
      <c r="B10" s="3">
        <v>2021</v>
      </c>
      <c r="C10" s="4">
        <v>7.7324379999999998E-2</v>
      </c>
      <c r="D10" s="4">
        <v>7.7324400000000001E-2</v>
      </c>
    </row>
    <row r="11" spans="2:6" x14ac:dyDescent="0.2">
      <c r="B11" s="3">
        <v>2022</v>
      </c>
      <c r="C11" s="4">
        <v>7.5817880000000004E-2</v>
      </c>
      <c r="D11" s="4">
        <v>7.5817899999999994E-2</v>
      </c>
    </row>
    <row r="13" spans="2:6" x14ac:dyDescent="0.2">
      <c r="B13" s="5" t="s">
        <v>4</v>
      </c>
      <c r="C13" s="6">
        <f>C11-C4</f>
        <v>2.1252690000000005E-2</v>
      </c>
      <c r="D13" s="6">
        <f>D11-D4</f>
        <v>2.1252699999999992E-2</v>
      </c>
    </row>
    <row r="15" spans="2:6" x14ac:dyDescent="0.2">
      <c r="C15" s="12">
        <f>C11-C4</f>
        <v>2.1252690000000005E-2</v>
      </c>
      <c r="D15" s="12">
        <f>D11-D4</f>
        <v>2.1252699999999992E-2</v>
      </c>
    </row>
    <row r="17" spans="3:4" outlineLevel="1" x14ac:dyDescent="0.2">
      <c r="C17" s="2">
        <f t="shared" ref="C17:D24" si="0">C4*$F$4</f>
        <v>5.4565190000000001</v>
      </c>
      <c r="D17" s="2">
        <f t="shared" si="0"/>
        <v>5.4565200000000003</v>
      </c>
    </row>
    <row r="18" spans="3:4" outlineLevel="1" x14ac:dyDescent="0.2">
      <c r="C18" s="2">
        <f t="shared" si="0"/>
        <v>6.0522629999999999</v>
      </c>
      <c r="D18" s="2">
        <f t="shared" si="0"/>
        <v>6.0522600000000004</v>
      </c>
    </row>
    <row r="19" spans="3:4" outlineLevel="1" x14ac:dyDescent="0.2">
      <c r="C19" s="2">
        <f t="shared" si="0"/>
        <v>7.3229340000000001</v>
      </c>
      <c r="D19" s="2">
        <f t="shared" si="0"/>
        <v>7.3229299999999995</v>
      </c>
    </row>
    <row r="20" spans="3:4" outlineLevel="1" x14ac:dyDescent="0.2">
      <c r="C20" s="2">
        <f t="shared" si="0"/>
        <v>7.3650989999999998</v>
      </c>
      <c r="D20" s="2">
        <f t="shared" si="0"/>
        <v>7.3650999999999991</v>
      </c>
    </row>
    <row r="21" spans="3:4" outlineLevel="1" x14ac:dyDescent="0.2">
      <c r="C21" s="2">
        <f t="shared" si="0"/>
        <v>6.6044229999999997</v>
      </c>
      <c r="D21" s="2">
        <f t="shared" si="0"/>
        <v>6.6044199999999993</v>
      </c>
    </row>
    <row r="22" spans="3:4" outlineLevel="1" x14ac:dyDescent="0.2">
      <c r="C22" s="2">
        <f t="shared" si="0"/>
        <v>6.7361470000000008</v>
      </c>
      <c r="D22" s="2">
        <f t="shared" si="0"/>
        <v>6.7361500000000003</v>
      </c>
    </row>
    <row r="23" spans="3:4" outlineLevel="1" x14ac:dyDescent="0.2">
      <c r="C23" s="2">
        <f t="shared" si="0"/>
        <v>7.7324380000000001</v>
      </c>
      <c r="D23" s="2">
        <f t="shared" si="0"/>
        <v>7.7324400000000004</v>
      </c>
    </row>
    <row r="24" spans="3:4" outlineLevel="1" x14ac:dyDescent="0.2">
      <c r="C24" s="2">
        <f t="shared" si="0"/>
        <v>7.5817880000000004</v>
      </c>
      <c r="D24" s="2">
        <f t="shared" si="0"/>
        <v>7.5817899999999998</v>
      </c>
    </row>
    <row r="26" spans="3:4" x14ac:dyDescent="0.2">
      <c r="C26" s="11"/>
    </row>
    <row r="46" spans="9:11" x14ac:dyDescent="0.2">
      <c r="I46" s="13"/>
    </row>
    <row r="47" spans="9:11" x14ac:dyDescent="0.2">
      <c r="K47" s="10"/>
    </row>
    <row r="50" spans="7:11" x14ac:dyDescent="0.2">
      <c r="K50" s="10"/>
    </row>
    <row r="52" spans="7:11" x14ac:dyDescent="0.2">
      <c r="G52" s="10"/>
    </row>
    <row r="53" spans="7:11" x14ac:dyDescent="0.2">
      <c r="G53" s="10"/>
    </row>
    <row r="54" spans="7:11" x14ac:dyDescent="0.2">
      <c r="G54" s="10"/>
    </row>
    <row r="55" spans="7:11" x14ac:dyDescent="0.2">
      <c r="G55" s="10"/>
    </row>
    <row r="56" spans="7:11" x14ac:dyDescent="0.2">
      <c r="G56" s="10"/>
    </row>
    <row r="57" spans="7:11" x14ac:dyDescent="0.2">
      <c r="G57" s="10"/>
    </row>
    <row r="58" spans="7:11" x14ac:dyDescent="0.2">
      <c r="G58" s="10"/>
    </row>
    <row r="59" spans="7:11" x14ac:dyDescent="0.2">
      <c r="G59" s="10"/>
    </row>
  </sheetData>
  <mergeCells count="1">
    <mergeCell ref="B2:D2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093B-ED1C-BD44-A517-E7B9F1D923B7}">
  <sheetPr>
    <tabColor rgb="FFFFFF00"/>
  </sheetPr>
  <dimension ref="B2:N59"/>
  <sheetViews>
    <sheetView workbookViewId="0">
      <selection activeCell="C4" sqref="C4:C11"/>
    </sheetView>
  </sheetViews>
  <sheetFormatPr baseColWidth="10" defaultRowHeight="16" outlineLevelRow="1" outlineLevelCol="1" x14ac:dyDescent="0.2"/>
  <cols>
    <col min="1" max="1" width="2.6640625" style="2" customWidth="1"/>
    <col min="2" max="2" width="10.83203125" style="2"/>
    <col min="3" max="4" width="13.83203125" style="2" customWidth="1"/>
    <col min="5" max="5" width="10.83203125" style="2"/>
    <col min="6" max="6" width="0" style="2" hidden="1" customWidth="1" outlineLevel="1"/>
    <col min="7" max="7" width="16.6640625" style="2" bestFit="1" customWidth="1" collapsed="1"/>
    <col min="8" max="8" width="20.83203125" style="2" bestFit="1" customWidth="1"/>
    <col min="9" max="9" width="18.83203125" style="2" customWidth="1"/>
    <col min="10" max="10" width="10.83203125" style="2"/>
    <col min="11" max="11" width="17.6640625" style="2" bestFit="1" customWidth="1"/>
    <col min="12" max="13" width="10.83203125" style="2"/>
    <col min="14" max="14" width="13" style="2" bestFit="1" customWidth="1"/>
    <col min="15" max="16384" width="10.83203125" style="2"/>
  </cols>
  <sheetData>
    <row r="2" spans="2:6" x14ac:dyDescent="0.2">
      <c r="B2" s="58" t="s">
        <v>6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3.510013E-2</v>
      </c>
      <c r="D4" s="4">
        <v>3.3827000000000003E-2</v>
      </c>
      <c r="F4" s="2">
        <v>100</v>
      </c>
    </row>
    <row r="5" spans="2:6" x14ac:dyDescent="0.2">
      <c r="B5" s="3">
        <v>2016</v>
      </c>
      <c r="C5" s="4">
        <v>3.2214279999999998E-2</v>
      </c>
      <c r="D5" s="4">
        <v>3.0856600000000001E-2</v>
      </c>
    </row>
    <row r="6" spans="2:6" x14ac:dyDescent="0.2">
      <c r="B6" s="3">
        <v>2017</v>
      </c>
      <c r="C6" s="4">
        <v>3.3148110000000001E-2</v>
      </c>
      <c r="D6" s="4">
        <v>3.1972199999999999E-2</v>
      </c>
    </row>
    <row r="7" spans="2:6" x14ac:dyDescent="0.2">
      <c r="B7" s="3">
        <v>2018</v>
      </c>
      <c r="C7" s="4">
        <v>3.4884569999999997E-2</v>
      </c>
      <c r="D7" s="4">
        <v>3.3602199999999999E-2</v>
      </c>
    </row>
    <row r="8" spans="2:6" x14ac:dyDescent="0.2">
      <c r="B8" s="3">
        <v>2019</v>
      </c>
      <c r="C8" s="4">
        <v>3.567385E-2</v>
      </c>
      <c r="D8" s="4">
        <v>3.46618E-2</v>
      </c>
    </row>
    <row r="9" spans="2:6" x14ac:dyDescent="0.2">
      <c r="B9" s="3">
        <v>2020</v>
      </c>
      <c r="C9" s="4">
        <v>3.6953760000000002E-2</v>
      </c>
      <c r="D9" s="4">
        <v>3.6054099999999999E-2</v>
      </c>
    </row>
    <row r="10" spans="2:6" x14ac:dyDescent="0.2">
      <c r="B10" s="3">
        <v>2021</v>
      </c>
      <c r="C10" s="4">
        <v>4.4906359999999999E-2</v>
      </c>
      <c r="D10" s="4">
        <v>4.31536E-2</v>
      </c>
    </row>
    <row r="11" spans="2:6" x14ac:dyDescent="0.2">
      <c r="B11" s="3">
        <v>2022</v>
      </c>
      <c r="C11" s="4">
        <v>4.6501929999999997E-2</v>
      </c>
      <c r="D11" s="4">
        <v>4.41357E-2</v>
      </c>
    </row>
    <row r="13" spans="2:6" x14ac:dyDescent="0.2">
      <c r="B13" s="5" t="s">
        <v>4</v>
      </c>
      <c r="C13" s="15">
        <f>C11-C4</f>
        <v>1.1401799999999997E-2</v>
      </c>
      <c r="D13" s="6">
        <f>D11-D4</f>
        <v>1.0308699999999997E-2</v>
      </c>
    </row>
    <row r="15" spans="2:6" x14ac:dyDescent="0.2">
      <c r="C15" s="12">
        <f>C11-C4</f>
        <v>1.1401799999999997E-2</v>
      </c>
      <c r="D15" s="12">
        <f>D11-D4</f>
        <v>1.0308699999999997E-2</v>
      </c>
    </row>
    <row r="17" spans="3:4" outlineLevel="1" x14ac:dyDescent="0.2">
      <c r="C17" s="2">
        <f t="shared" ref="C17:D24" si="0">C4*$F$4</f>
        <v>3.5100129999999998</v>
      </c>
      <c r="D17" s="2">
        <f t="shared" si="0"/>
        <v>3.3827000000000003</v>
      </c>
    </row>
    <row r="18" spans="3:4" outlineLevel="1" x14ac:dyDescent="0.2">
      <c r="C18" s="2">
        <f t="shared" si="0"/>
        <v>3.221428</v>
      </c>
      <c r="D18" s="2">
        <f t="shared" si="0"/>
        <v>3.0856600000000003</v>
      </c>
    </row>
    <row r="19" spans="3:4" outlineLevel="1" x14ac:dyDescent="0.2">
      <c r="C19" s="2">
        <f t="shared" si="0"/>
        <v>3.3148110000000002</v>
      </c>
      <c r="D19" s="2">
        <f t="shared" si="0"/>
        <v>3.1972199999999997</v>
      </c>
    </row>
    <row r="20" spans="3:4" outlineLevel="1" x14ac:dyDescent="0.2">
      <c r="C20" s="2">
        <f t="shared" si="0"/>
        <v>3.4884569999999995</v>
      </c>
      <c r="D20" s="2">
        <f t="shared" si="0"/>
        <v>3.36022</v>
      </c>
    </row>
    <row r="21" spans="3:4" outlineLevel="1" x14ac:dyDescent="0.2">
      <c r="C21" s="2">
        <f t="shared" si="0"/>
        <v>3.5673849999999998</v>
      </c>
      <c r="D21" s="2">
        <f t="shared" si="0"/>
        <v>3.46618</v>
      </c>
    </row>
    <row r="22" spans="3:4" outlineLevel="1" x14ac:dyDescent="0.2">
      <c r="C22" s="2">
        <f t="shared" si="0"/>
        <v>3.6953760000000004</v>
      </c>
      <c r="D22" s="2">
        <f t="shared" si="0"/>
        <v>3.60541</v>
      </c>
    </row>
    <row r="23" spans="3:4" outlineLevel="1" x14ac:dyDescent="0.2">
      <c r="C23" s="2">
        <f t="shared" si="0"/>
        <v>4.4906360000000003</v>
      </c>
      <c r="D23" s="2">
        <f t="shared" si="0"/>
        <v>4.3153600000000001</v>
      </c>
    </row>
    <row r="24" spans="3:4" outlineLevel="1" x14ac:dyDescent="0.2">
      <c r="C24" s="2">
        <f t="shared" si="0"/>
        <v>4.6501929999999998</v>
      </c>
      <c r="D24" s="2">
        <f t="shared" si="0"/>
        <v>4.41357</v>
      </c>
    </row>
    <row r="26" spans="3:4" x14ac:dyDescent="0.2">
      <c r="C26" s="11"/>
    </row>
    <row r="36" spans="4:14" x14ac:dyDescent="0.2">
      <c r="H36" s="16"/>
      <c r="I36" s="16"/>
    </row>
    <row r="37" spans="4:14" x14ac:dyDescent="0.2">
      <c r="H37" s="16"/>
      <c r="I37" s="16"/>
    </row>
    <row r="38" spans="4:14" x14ac:dyDescent="0.2">
      <c r="H38" s="16"/>
      <c r="I38" s="16"/>
    </row>
    <row r="39" spans="4:14" x14ac:dyDescent="0.2">
      <c r="H39" s="10"/>
      <c r="I39" s="10"/>
    </row>
    <row r="40" spans="4:14" x14ac:dyDescent="0.2">
      <c r="D40" s="10"/>
      <c r="H40" s="10"/>
      <c r="I40" s="10"/>
    </row>
    <row r="41" spans="4:14" x14ac:dyDescent="0.2">
      <c r="D41" s="10"/>
      <c r="H41" s="10"/>
      <c r="I41" s="10"/>
    </row>
    <row r="42" spans="4:14" x14ac:dyDescent="0.2">
      <c r="D42" s="10"/>
      <c r="H42" s="10"/>
      <c r="I42" s="10"/>
      <c r="N42" s="10"/>
    </row>
    <row r="43" spans="4:14" x14ac:dyDescent="0.2">
      <c r="D43" s="10"/>
      <c r="H43" s="10"/>
      <c r="I43" s="10"/>
      <c r="N43" s="10"/>
    </row>
    <row r="44" spans="4:14" x14ac:dyDescent="0.2">
      <c r="D44" s="10"/>
      <c r="H44" s="10"/>
      <c r="I44" s="10"/>
      <c r="N44" s="10"/>
    </row>
    <row r="45" spans="4:14" x14ac:dyDescent="0.2">
      <c r="D45" s="10"/>
      <c r="G45" s="13"/>
      <c r="H45" s="10"/>
      <c r="I45" s="10"/>
      <c r="N45" s="10"/>
    </row>
    <row r="46" spans="4:14" x14ac:dyDescent="0.2">
      <c r="D46" s="10"/>
      <c r="H46" s="18"/>
      <c r="I46" s="19"/>
      <c r="N46" s="10"/>
    </row>
    <row r="47" spans="4:14" x14ac:dyDescent="0.2">
      <c r="D47" s="10"/>
      <c r="K47" s="10"/>
      <c r="N47" s="10"/>
    </row>
    <row r="48" spans="4:14" x14ac:dyDescent="0.2">
      <c r="H48" s="17"/>
      <c r="I48" s="17"/>
      <c r="L48" s="13"/>
      <c r="N48" s="10"/>
    </row>
    <row r="49" spans="7:14" x14ac:dyDescent="0.2">
      <c r="N49" s="10"/>
    </row>
    <row r="50" spans="7:14" x14ac:dyDescent="0.2">
      <c r="K50" s="10"/>
    </row>
    <row r="52" spans="7:14" x14ac:dyDescent="0.2">
      <c r="G52" s="10"/>
      <c r="H52" s="10"/>
    </row>
    <row r="53" spans="7:14" x14ac:dyDescent="0.2">
      <c r="G53" s="10"/>
    </row>
    <row r="54" spans="7:14" x14ac:dyDescent="0.2">
      <c r="G54" s="10"/>
    </row>
    <row r="55" spans="7:14" x14ac:dyDescent="0.2">
      <c r="G55" s="10"/>
    </row>
    <row r="56" spans="7:14" x14ac:dyDescent="0.2">
      <c r="G56" s="10"/>
    </row>
    <row r="57" spans="7:14" x14ac:dyDescent="0.2">
      <c r="G57" s="10"/>
    </row>
    <row r="58" spans="7:14" x14ac:dyDescent="0.2">
      <c r="G58" s="10"/>
    </row>
    <row r="59" spans="7:14" x14ac:dyDescent="0.2">
      <c r="G59" s="10"/>
    </row>
  </sheetData>
  <mergeCells count="1">
    <mergeCell ref="B2:D2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D0CE-E4B2-2044-94AB-CE1A9C16C83E}">
  <sheetPr>
    <tabColor rgb="FFFFFF00"/>
  </sheetPr>
  <dimension ref="B1:O42"/>
  <sheetViews>
    <sheetView topLeftCell="M15" workbookViewId="0">
      <selection activeCell="AD36" sqref="AD36"/>
    </sheetView>
  </sheetViews>
  <sheetFormatPr baseColWidth="10" defaultRowHeight="16" outlineLevelRow="1" outlineLevelCol="1" x14ac:dyDescent="0.2"/>
  <cols>
    <col min="1" max="1" width="2.6640625" style="2" customWidth="1"/>
    <col min="2" max="2" width="13.1640625" style="2" customWidth="1"/>
    <col min="3" max="4" width="13.83203125" style="2" customWidth="1"/>
    <col min="5" max="5" width="3.1640625" style="2" customWidth="1"/>
    <col min="6" max="8" width="13.83203125" style="2" customWidth="1"/>
    <col min="9" max="9" width="2.33203125" style="2" customWidth="1"/>
    <col min="10" max="12" width="13.83203125" style="2" customWidth="1"/>
    <col min="13" max="13" width="2.5" style="2" customWidth="1"/>
    <col min="14" max="14" width="0" style="2" hidden="1" customWidth="1" outlineLevel="1"/>
    <col min="15" max="15" width="10.83203125" style="2" collapsed="1"/>
    <col min="16" max="16384" width="10.83203125" style="2"/>
  </cols>
  <sheetData>
    <row r="1" spans="2:14" ht="10" customHeight="1" x14ac:dyDescent="0.2"/>
    <row r="2" spans="2:14" x14ac:dyDescent="0.2">
      <c r="B2" s="58" t="s">
        <v>5</v>
      </c>
      <c r="C2" s="58"/>
      <c r="D2" s="58"/>
      <c r="E2" s="9"/>
      <c r="F2" s="58" t="s">
        <v>0</v>
      </c>
      <c r="G2" s="58"/>
      <c r="H2" s="58"/>
      <c r="I2" s="9"/>
      <c r="J2" s="58" t="s">
        <v>6</v>
      </c>
      <c r="K2" s="58"/>
      <c r="L2" s="58"/>
      <c r="M2" s="9"/>
    </row>
    <row r="3" spans="2:14" x14ac:dyDescent="0.2">
      <c r="B3" s="1" t="s">
        <v>1</v>
      </c>
      <c r="C3" s="1" t="s">
        <v>2</v>
      </c>
      <c r="D3" s="1" t="s">
        <v>3</v>
      </c>
      <c r="E3" s="9"/>
      <c r="F3" s="1" t="s">
        <v>1</v>
      </c>
      <c r="G3" s="1" t="s">
        <v>2</v>
      </c>
      <c r="H3" s="1" t="s">
        <v>3</v>
      </c>
      <c r="I3" s="9"/>
      <c r="J3" s="1" t="s">
        <v>1</v>
      </c>
      <c r="K3" s="1" t="s">
        <v>2</v>
      </c>
      <c r="L3" s="1" t="s">
        <v>3</v>
      </c>
      <c r="M3" s="9"/>
    </row>
    <row r="4" spans="2:14" x14ac:dyDescent="0.2">
      <c r="B4" s="3">
        <v>2015</v>
      </c>
      <c r="C4" s="4">
        <v>7.3513060000000005E-2</v>
      </c>
      <c r="D4" s="4">
        <v>7.4760900000000005E-2</v>
      </c>
      <c r="E4" s="8"/>
      <c r="F4" s="3">
        <v>2015</v>
      </c>
      <c r="G4" s="4">
        <v>7.5266999999999999E-4</v>
      </c>
      <c r="H4" s="4">
        <v>4.7550000000000001E-4</v>
      </c>
      <c r="I4" s="8"/>
      <c r="J4" s="3">
        <v>2015</v>
      </c>
      <c r="K4" s="4">
        <v>7.2942419999999994E-2</v>
      </c>
      <c r="L4" s="4">
        <v>7.4293899999999996E-2</v>
      </c>
      <c r="M4" s="8"/>
      <c r="N4" s="2">
        <v>100</v>
      </c>
    </row>
    <row r="5" spans="2:14" x14ac:dyDescent="0.2">
      <c r="B5" s="3">
        <v>2016</v>
      </c>
      <c r="C5" s="4">
        <v>7.7999440000000003E-2</v>
      </c>
      <c r="D5" s="4">
        <v>8.08749E-2</v>
      </c>
      <c r="E5" s="8"/>
      <c r="F5" s="3">
        <v>2016</v>
      </c>
      <c r="G5" s="4">
        <v>8.6058E-4</v>
      </c>
      <c r="H5" s="4">
        <v>5.1550000000000001E-4</v>
      </c>
      <c r="I5" s="8"/>
      <c r="J5" s="3">
        <v>2016</v>
      </c>
      <c r="K5" s="4">
        <v>7.7364269999999999E-2</v>
      </c>
      <c r="L5" s="4">
        <v>8.0367800000000003E-2</v>
      </c>
      <c r="M5" s="8"/>
    </row>
    <row r="6" spans="2:14" x14ac:dyDescent="0.2">
      <c r="B6" s="3">
        <v>2017</v>
      </c>
      <c r="C6" s="4">
        <v>7.6939789999999994E-2</v>
      </c>
      <c r="D6" s="4">
        <v>7.9861299999999996E-2</v>
      </c>
      <c r="E6" s="8"/>
      <c r="F6" s="3">
        <v>2017</v>
      </c>
      <c r="G6" s="4">
        <v>6.6529999999999996E-4</v>
      </c>
      <c r="H6" s="4">
        <v>3.7940000000000001E-4</v>
      </c>
      <c r="I6" s="8"/>
      <c r="J6" s="3">
        <v>2017</v>
      </c>
      <c r="K6" s="4">
        <v>7.6436459999999998E-2</v>
      </c>
      <c r="L6" s="4">
        <v>7.9483799999999993E-2</v>
      </c>
      <c r="M6" s="8"/>
    </row>
    <row r="7" spans="2:14" x14ac:dyDescent="0.2">
      <c r="B7" s="3">
        <v>2018</v>
      </c>
      <c r="C7" s="4">
        <v>9.0684970000000004E-2</v>
      </c>
      <c r="D7" s="4">
        <v>9.12274E-2</v>
      </c>
      <c r="E7" s="8"/>
      <c r="F7" s="3">
        <v>2018</v>
      </c>
      <c r="G7" s="4">
        <v>5.7821999999999995E-4</v>
      </c>
      <c r="H7" s="4">
        <v>2.6840000000000002E-4</v>
      </c>
      <c r="I7" s="8"/>
      <c r="J7" s="3">
        <v>2018</v>
      </c>
      <c r="K7" s="4">
        <v>9.0234579999999995E-2</v>
      </c>
      <c r="L7" s="4">
        <v>9.09634E-2</v>
      </c>
      <c r="M7" s="8"/>
    </row>
    <row r="8" spans="2:14" x14ac:dyDescent="0.2">
      <c r="B8" s="3">
        <v>2019</v>
      </c>
      <c r="C8" s="4">
        <v>0.10882997</v>
      </c>
      <c r="D8" s="4">
        <v>0.1094022</v>
      </c>
      <c r="E8" s="8"/>
      <c r="F8" s="3">
        <v>2019</v>
      </c>
      <c r="G8" s="4">
        <v>7.1960000000000004E-4</v>
      </c>
      <c r="H8" s="4">
        <v>3.2479999999999998E-4</v>
      </c>
      <c r="I8" s="8"/>
      <c r="J8" s="3">
        <v>2019</v>
      </c>
      <c r="K8" s="4">
        <v>0.10828119</v>
      </c>
      <c r="L8" s="4">
        <v>0.10905049999999999</v>
      </c>
      <c r="M8" s="8"/>
    </row>
    <row r="9" spans="2:14" x14ac:dyDescent="0.2">
      <c r="B9" s="3">
        <v>2020</v>
      </c>
      <c r="C9" s="4">
        <v>0.11139381</v>
      </c>
      <c r="D9" s="4">
        <v>0.1110172</v>
      </c>
      <c r="E9" s="8"/>
      <c r="F9" s="3">
        <v>2020</v>
      </c>
      <c r="G9" s="4">
        <v>7.5445000000000004E-4</v>
      </c>
      <c r="H9" s="4">
        <v>3.3040000000000001E-4</v>
      </c>
      <c r="I9" s="8"/>
      <c r="J9" s="3">
        <v>2020</v>
      </c>
      <c r="K9" s="4">
        <v>0.11080108</v>
      </c>
      <c r="L9" s="4">
        <v>0.1106385</v>
      </c>
      <c r="M9" s="8"/>
    </row>
    <row r="10" spans="2:14" x14ac:dyDescent="0.2">
      <c r="B10" s="3">
        <v>2021</v>
      </c>
      <c r="C10" s="4">
        <v>9.9253400000000006E-2</v>
      </c>
      <c r="D10" s="4">
        <v>0.1018419</v>
      </c>
      <c r="E10" s="8"/>
      <c r="F10" s="3">
        <v>2021</v>
      </c>
      <c r="G10" s="4">
        <v>6.8548000000000003E-4</v>
      </c>
      <c r="H10" s="4">
        <v>2.9369999999999998E-4</v>
      </c>
      <c r="I10" s="8"/>
      <c r="J10" s="3">
        <v>2021</v>
      </c>
      <c r="K10" s="4">
        <v>9.8723290000000005E-2</v>
      </c>
      <c r="L10" s="4">
        <v>0.1015202</v>
      </c>
      <c r="M10" s="8"/>
    </row>
    <row r="11" spans="2:14" x14ac:dyDescent="0.2">
      <c r="B11" s="3">
        <v>2022</v>
      </c>
      <c r="C11" s="4">
        <v>9.6844630000000001E-2</v>
      </c>
      <c r="D11" s="4">
        <v>9.9148600000000003E-2</v>
      </c>
      <c r="E11" s="8"/>
      <c r="F11" s="3">
        <v>2022</v>
      </c>
      <c r="G11" s="4">
        <v>6.7832000000000005E-4</v>
      </c>
      <c r="H11" s="4">
        <v>2.8669999999999998E-4</v>
      </c>
      <c r="I11" s="8"/>
      <c r="J11" s="3">
        <v>2022</v>
      </c>
      <c r="K11" s="4">
        <v>9.6327200000000002E-2</v>
      </c>
      <c r="L11" s="4">
        <v>9.8843299999999995E-2</v>
      </c>
      <c r="M11" s="8"/>
    </row>
    <row r="13" spans="2:14" x14ac:dyDescent="0.2">
      <c r="B13" s="5" t="s">
        <v>4</v>
      </c>
      <c r="C13" s="6">
        <f>C11-C4</f>
        <v>2.3331569999999996E-2</v>
      </c>
      <c r="D13" s="6">
        <f>D11-D4</f>
        <v>2.4387699999999998E-2</v>
      </c>
      <c r="E13" s="7"/>
      <c r="F13" s="5" t="s">
        <v>4</v>
      </c>
      <c r="G13" s="6">
        <f>G11-G4</f>
        <v>-7.4349999999999937E-5</v>
      </c>
      <c r="H13" s="6">
        <f>H11-H4</f>
        <v>-1.8880000000000004E-4</v>
      </c>
      <c r="I13" s="7"/>
      <c r="J13" s="5" t="s">
        <v>4</v>
      </c>
      <c r="K13" s="6">
        <f>K11-K4</f>
        <v>2.3384780000000008E-2</v>
      </c>
      <c r="L13" s="6">
        <f>L11-L4</f>
        <v>2.4549399999999999E-2</v>
      </c>
      <c r="M13" s="7"/>
    </row>
    <row r="17" spans="3:12" outlineLevel="1" x14ac:dyDescent="0.2">
      <c r="C17" s="2">
        <f t="shared" ref="C17:D24" si="0">C4*$N$4</f>
        <v>7.3513060000000001</v>
      </c>
      <c r="D17" s="2">
        <f t="shared" si="0"/>
        <v>7.4760900000000001</v>
      </c>
      <c r="G17" s="2">
        <f t="shared" ref="G17:H24" si="1">G4*$N$4</f>
        <v>7.5267000000000001E-2</v>
      </c>
      <c r="H17" s="2">
        <f t="shared" si="1"/>
        <v>4.7550000000000002E-2</v>
      </c>
      <c r="K17" s="2">
        <f t="shared" ref="K17:L24" si="2">K4*$N$4</f>
        <v>7.2942419999999997</v>
      </c>
      <c r="L17" s="2">
        <f t="shared" si="2"/>
        <v>7.4293899999999997</v>
      </c>
    </row>
    <row r="18" spans="3:12" outlineLevel="1" x14ac:dyDescent="0.2">
      <c r="C18" s="2">
        <f t="shared" si="0"/>
        <v>7.799944</v>
      </c>
      <c r="D18" s="2">
        <f t="shared" si="0"/>
        <v>8.0874900000000007</v>
      </c>
      <c r="G18" s="2">
        <f t="shared" si="1"/>
        <v>8.6057999999999996E-2</v>
      </c>
      <c r="H18" s="2">
        <f t="shared" si="1"/>
        <v>5.1549999999999999E-2</v>
      </c>
      <c r="K18" s="2">
        <f t="shared" si="2"/>
        <v>7.7364269999999999</v>
      </c>
      <c r="L18" s="2">
        <f t="shared" si="2"/>
        <v>8.0367800000000003</v>
      </c>
    </row>
    <row r="19" spans="3:12" outlineLevel="1" x14ac:dyDescent="0.2">
      <c r="C19" s="2">
        <f t="shared" si="0"/>
        <v>7.6939789999999997</v>
      </c>
      <c r="D19" s="2">
        <f t="shared" si="0"/>
        <v>7.9861299999999993</v>
      </c>
      <c r="G19" s="2">
        <f t="shared" si="1"/>
        <v>6.6529999999999992E-2</v>
      </c>
      <c r="H19" s="2">
        <f t="shared" si="1"/>
        <v>3.7940000000000002E-2</v>
      </c>
      <c r="K19" s="2">
        <f t="shared" si="2"/>
        <v>7.6436459999999995</v>
      </c>
      <c r="L19" s="2">
        <f t="shared" si="2"/>
        <v>7.9483799999999993</v>
      </c>
    </row>
    <row r="20" spans="3:12" outlineLevel="1" x14ac:dyDescent="0.2">
      <c r="C20" s="2">
        <f t="shared" si="0"/>
        <v>9.0684970000000007</v>
      </c>
      <c r="D20" s="2">
        <f t="shared" si="0"/>
        <v>9.1227400000000003</v>
      </c>
      <c r="G20" s="2">
        <f t="shared" si="1"/>
        <v>5.7821999999999998E-2</v>
      </c>
      <c r="H20" s="2">
        <f t="shared" si="1"/>
        <v>2.6840000000000003E-2</v>
      </c>
      <c r="K20" s="2">
        <f t="shared" si="2"/>
        <v>9.0234579999999998</v>
      </c>
      <c r="L20" s="2">
        <f t="shared" si="2"/>
        <v>9.0963399999999996</v>
      </c>
    </row>
    <row r="21" spans="3:12" outlineLevel="1" x14ac:dyDescent="0.2">
      <c r="C21" s="2">
        <f t="shared" si="0"/>
        <v>10.882997</v>
      </c>
      <c r="D21" s="2">
        <f t="shared" si="0"/>
        <v>10.94022</v>
      </c>
      <c r="G21" s="2">
        <f t="shared" si="1"/>
        <v>7.196000000000001E-2</v>
      </c>
      <c r="H21" s="2">
        <f t="shared" si="1"/>
        <v>3.2479999999999995E-2</v>
      </c>
      <c r="K21" s="2">
        <f t="shared" si="2"/>
        <v>10.828118999999999</v>
      </c>
      <c r="L21" s="2">
        <f t="shared" si="2"/>
        <v>10.905049999999999</v>
      </c>
    </row>
    <row r="22" spans="3:12" outlineLevel="1" x14ac:dyDescent="0.2">
      <c r="C22" s="2">
        <f t="shared" si="0"/>
        <v>11.139381</v>
      </c>
      <c r="D22" s="2">
        <f t="shared" si="0"/>
        <v>11.10172</v>
      </c>
      <c r="G22" s="2">
        <f t="shared" si="1"/>
        <v>7.5444999999999998E-2</v>
      </c>
      <c r="H22" s="2">
        <f t="shared" si="1"/>
        <v>3.304E-2</v>
      </c>
      <c r="K22" s="2">
        <f t="shared" si="2"/>
        <v>11.080107999999999</v>
      </c>
      <c r="L22" s="2">
        <f t="shared" si="2"/>
        <v>11.06385</v>
      </c>
    </row>
    <row r="23" spans="3:12" outlineLevel="1" x14ac:dyDescent="0.2">
      <c r="C23" s="2">
        <f t="shared" si="0"/>
        <v>9.9253400000000003</v>
      </c>
      <c r="D23" s="2">
        <f t="shared" si="0"/>
        <v>10.184189999999999</v>
      </c>
      <c r="G23" s="2">
        <f t="shared" si="1"/>
        <v>6.8547999999999998E-2</v>
      </c>
      <c r="H23" s="2">
        <f t="shared" si="1"/>
        <v>2.9369999999999997E-2</v>
      </c>
      <c r="K23" s="2">
        <f t="shared" si="2"/>
        <v>9.8723290000000006</v>
      </c>
      <c r="L23" s="2">
        <f t="shared" si="2"/>
        <v>10.15202</v>
      </c>
    </row>
    <row r="24" spans="3:12" outlineLevel="1" x14ac:dyDescent="0.2">
      <c r="C24" s="2">
        <f t="shared" si="0"/>
        <v>9.6844630000000009</v>
      </c>
      <c r="D24" s="2">
        <f t="shared" si="0"/>
        <v>9.9148600000000009</v>
      </c>
      <c r="G24" s="2">
        <f t="shared" si="1"/>
        <v>6.7832000000000003E-2</v>
      </c>
      <c r="H24" s="2">
        <f t="shared" si="1"/>
        <v>2.8669999999999998E-2</v>
      </c>
      <c r="K24" s="2">
        <f t="shared" si="2"/>
        <v>9.6327200000000008</v>
      </c>
      <c r="L24" s="2">
        <f t="shared" si="2"/>
        <v>9.8843300000000003</v>
      </c>
    </row>
    <row r="40" spans="8:8" x14ac:dyDescent="0.2">
      <c r="H40" s="13"/>
    </row>
    <row r="42" spans="8:8" x14ac:dyDescent="0.2">
      <c r="H42" s="13"/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EF08-35EE-9948-9B1F-91A61FF540F1}">
  <sheetPr>
    <tabColor rgb="FFFFFF00"/>
  </sheetPr>
  <dimension ref="B1:I43"/>
  <sheetViews>
    <sheetView workbookViewId="0">
      <selection activeCell="Q38" sqref="Q38"/>
    </sheetView>
  </sheetViews>
  <sheetFormatPr baseColWidth="10" defaultRowHeight="16" outlineLevelRow="1" outlineLevelCol="1" x14ac:dyDescent="0.2"/>
  <cols>
    <col min="1" max="1" width="2.6640625" style="2" customWidth="1"/>
    <col min="2" max="4" width="13.83203125" style="2" customWidth="1"/>
    <col min="5" max="5" width="2.5" style="2" customWidth="1"/>
    <col min="6" max="6" width="0" style="2" hidden="1" customWidth="1" outlineLevel="1"/>
    <col min="7" max="7" width="10.83203125" style="2" collapsed="1"/>
    <col min="8" max="16384" width="10.83203125" style="2"/>
  </cols>
  <sheetData>
    <row r="1" spans="2:6" ht="10" customHeight="1" x14ac:dyDescent="0.2"/>
    <row r="2" spans="2:6" x14ac:dyDescent="0.2">
      <c r="B2" s="58" t="s">
        <v>0</v>
      </c>
      <c r="C2" s="58"/>
      <c r="D2" s="58"/>
      <c r="E2" s="9"/>
    </row>
    <row r="3" spans="2:6" x14ac:dyDescent="0.2">
      <c r="B3" s="1" t="s">
        <v>1</v>
      </c>
      <c r="C3" s="1" t="s">
        <v>2</v>
      </c>
      <c r="D3" s="1" t="s">
        <v>3</v>
      </c>
      <c r="E3" s="9"/>
    </row>
    <row r="4" spans="2:6" x14ac:dyDescent="0.2">
      <c r="B4" s="3">
        <v>2015</v>
      </c>
      <c r="C4" s="4">
        <v>7.2838459999999994E-2</v>
      </c>
      <c r="D4" s="4">
        <v>8.0731899999999995E-2</v>
      </c>
      <c r="E4" s="8"/>
      <c r="F4" s="2">
        <v>100</v>
      </c>
    </row>
    <row r="5" spans="2:6" x14ac:dyDescent="0.2">
      <c r="B5" s="3">
        <v>2016</v>
      </c>
      <c r="C5" s="4">
        <v>7.1823520000000002E-2</v>
      </c>
      <c r="D5" s="4">
        <v>7.9652100000000003E-2</v>
      </c>
      <c r="E5" s="8"/>
    </row>
    <row r="6" spans="2:6" x14ac:dyDescent="0.2">
      <c r="B6" s="3">
        <v>2017</v>
      </c>
      <c r="C6" s="4">
        <v>0.13659242999999999</v>
      </c>
      <c r="D6" s="4">
        <v>0.14254790000000001</v>
      </c>
      <c r="E6" s="8"/>
    </row>
    <row r="7" spans="2:6" x14ac:dyDescent="0.2">
      <c r="B7" s="3">
        <v>2018</v>
      </c>
      <c r="C7" s="4">
        <v>0.12343083000000001</v>
      </c>
      <c r="D7" s="4">
        <v>0.13061919999999999</v>
      </c>
      <c r="E7" s="8"/>
    </row>
    <row r="8" spans="2:6" x14ac:dyDescent="0.2">
      <c r="B8" s="3">
        <v>2019</v>
      </c>
      <c r="C8" s="4">
        <v>0.13058971</v>
      </c>
      <c r="D8" s="4">
        <v>0.1373529</v>
      </c>
      <c r="E8" s="8"/>
    </row>
    <row r="9" spans="2:6" x14ac:dyDescent="0.2">
      <c r="B9" s="3">
        <v>2020</v>
      </c>
      <c r="C9" s="4">
        <v>0.12622493000000001</v>
      </c>
      <c r="D9" s="4">
        <v>0.13338990000000001</v>
      </c>
      <c r="E9" s="8"/>
    </row>
    <row r="10" spans="2:6" x14ac:dyDescent="0.2">
      <c r="B10" s="3">
        <v>2021</v>
      </c>
      <c r="C10" s="4">
        <v>0.12468728</v>
      </c>
      <c r="D10" s="4">
        <v>0.13268389999999999</v>
      </c>
      <c r="E10" s="8"/>
    </row>
    <row r="11" spans="2:6" x14ac:dyDescent="0.2">
      <c r="B11" s="3">
        <v>2022</v>
      </c>
      <c r="C11" s="4">
        <v>0.17063665</v>
      </c>
      <c r="D11" s="4">
        <v>0.1743614</v>
      </c>
      <c r="E11" s="8"/>
    </row>
    <row r="13" spans="2:6" x14ac:dyDescent="0.2">
      <c r="B13" s="5" t="s">
        <v>4</v>
      </c>
      <c r="C13" s="6">
        <f>C11-C4</f>
        <v>9.7798190000000007E-2</v>
      </c>
      <c r="D13" s="6">
        <f>D11-D4</f>
        <v>9.3629500000000004E-2</v>
      </c>
      <c r="E13" s="7"/>
    </row>
    <row r="17" spans="3:4" outlineLevel="1" x14ac:dyDescent="0.2">
      <c r="C17" s="2">
        <f t="shared" ref="C17:D24" si="0">C4*$F$4</f>
        <v>7.2838459999999996</v>
      </c>
      <c r="D17" s="2">
        <f t="shared" si="0"/>
        <v>8.0731900000000003</v>
      </c>
    </row>
    <row r="18" spans="3:4" outlineLevel="1" x14ac:dyDescent="0.2">
      <c r="C18" s="2">
        <f t="shared" si="0"/>
        <v>7.1823519999999998</v>
      </c>
      <c r="D18" s="2">
        <f t="shared" si="0"/>
        <v>7.9652100000000008</v>
      </c>
    </row>
    <row r="19" spans="3:4" outlineLevel="1" x14ac:dyDescent="0.2">
      <c r="C19" s="2">
        <f t="shared" si="0"/>
        <v>13.659242999999998</v>
      </c>
      <c r="D19" s="2">
        <f t="shared" si="0"/>
        <v>14.25479</v>
      </c>
    </row>
    <row r="20" spans="3:4" outlineLevel="1" x14ac:dyDescent="0.2">
      <c r="C20" s="2">
        <f t="shared" si="0"/>
        <v>12.343083</v>
      </c>
      <c r="D20" s="2">
        <f t="shared" si="0"/>
        <v>13.061919999999999</v>
      </c>
    </row>
    <row r="21" spans="3:4" outlineLevel="1" x14ac:dyDescent="0.2">
      <c r="C21" s="2">
        <f t="shared" si="0"/>
        <v>13.058971</v>
      </c>
      <c r="D21" s="2">
        <f t="shared" si="0"/>
        <v>13.735289999999999</v>
      </c>
    </row>
    <row r="22" spans="3:4" outlineLevel="1" x14ac:dyDescent="0.2">
      <c r="C22" s="2">
        <f t="shared" si="0"/>
        <v>12.622493000000002</v>
      </c>
      <c r="D22" s="2">
        <f t="shared" si="0"/>
        <v>13.338990000000001</v>
      </c>
    </row>
    <row r="23" spans="3:4" outlineLevel="1" x14ac:dyDescent="0.2">
      <c r="C23" s="2">
        <f t="shared" si="0"/>
        <v>12.468728</v>
      </c>
      <c r="D23" s="2">
        <f t="shared" si="0"/>
        <v>13.26839</v>
      </c>
    </row>
    <row r="24" spans="3:4" outlineLevel="1" x14ac:dyDescent="0.2">
      <c r="C24" s="2">
        <f t="shared" si="0"/>
        <v>17.063665</v>
      </c>
      <c r="D24" s="2">
        <f t="shared" si="0"/>
        <v>17.436140000000002</v>
      </c>
    </row>
    <row r="43" spans="9:9" x14ac:dyDescent="0.2">
      <c r="I43" s="13"/>
    </row>
  </sheetData>
  <mergeCells count="1">
    <mergeCell ref="B2:D2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B4934-82AC-4745-A5EE-0E926AAD529E}">
  <sheetPr>
    <tabColor rgb="FFFFFF00"/>
  </sheetPr>
  <dimension ref="B1:O24"/>
  <sheetViews>
    <sheetView topLeftCell="L1" workbookViewId="0">
      <selection activeCell="H38" sqref="H38"/>
    </sheetView>
  </sheetViews>
  <sheetFormatPr baseColWidth="10" defaultRowHeight="16" outlineLevelRow="1" outlineLevelCol="1" x14ac:dyDescent="0.2"/>
  <cols>
    <col min="1" max="1" width="2.6640625" style="2" customWidth="1"/>
    <col min="2" max="2" width="13.1640625" style="2" customWidth="1"/>
    <col min="3" max="4" width="13.83203125" style="2" customWidth="1"/>
    <col min="5" max="5" width="3.1640625" style="2" customWidth="1"/>
    <col min="6" max="8" width="13.83203125" style="2" customWidth="1"/>
    <col min="9" max="9" width="2.33203125" style="2" customWidth="1"/>
    <col min="10" max="12" width="13.83203125" style="2" customWidth="1"/>
    <col min="13" max="13" width="2.5" style="2" customWidth="1"/>
    <col min="14" max="14" width="0" style="2" hidden="1" customWidth="1" outlineLevel="1"/>
    <col min="15" max="15" width="10.83203125" style="2" collapsed="1"/>
    <col min="16" max="16384" width="10.83203125" style="2"/>
  </cols>
  <sheetData>
    <row r="1" spans="2:14" ht="10" customHeight="1" x14ac:dyDescent="0.2"/>
    <row r="2" spans="2:14" x14ac:dyDescent="0.2">
      <c r="B2" s="58" t="s">
        <v>5</v>
      </c>
      <c r="C2" s="58"/>
      <c r="D2" s="58"/>
      <c r="E2" s="9"/>
      <c r="F2" s="58" t="s">
        <v>0</v>
      </c>
      <c r="G2" s="58"/>
      <c r="H2" s="58"/>
      <c r="I2" s="9"/>
      <c r="J2" s="58" t="s">
        <v>6</v>
      </c>
      <c r="K2" s="58"/>
      <c r="L2" s="58"/>
      <c r="M2" s="9"/>
    </row>
    <row r="3" spans="2:14" x14ac:dyDescent="0.2">
      <c r="B3" s="1" t="s">
        <v>1</v>
      </c>
      <c r="C3" s="1" t="s">
        <v>2</v>
      </c>
      <c r="D3" s="1" t="s">
        <v>3</v>
      </c>
      <c r="E3" s="9"/>
      <c r="F3" s="1" t="s">
        <v>1</v>
      </c>
      <c r="G3" s="1" t="s">
        <v>2</v>
      </c>
      <c r="H3" s="1" t="s">
        <v>3</v>
      </c>
      <c r="I3" s="9"/>
      <c r="J3" s="1" t="s">
        <v>1</v>
      </c>
      <c r="K3" s="1" t="s">
        <v>2</v>
      </c>
      <c r="L3" s="1" t="s">
        <v>3</v>
      </c>
      <c r="M3" s="9"/>
    </row>
    <row r="4" spans="2:14" x14ac:dyDescent="0.2">
      <c r="B4" s="3">
        <v>2015</v>
      </c>
      <c r="C4" s="4">
        <v>0.14936118000000001</v>
      </c>
      <c r="D4" s="4">
        <v>0.15193799999999999</v>
      </c>
      <c r="E4" s="8"/>
      <c r="F4" s="3">
        <v>2015</v>
      </c>
      <c r="G4" s="4">
        <v>4.4560600000000004E-3</v>
      </c>
      <c r="H4" s="4">
        <v>4.5396000000000004E-3</v>
      </c>
      <c r="I4" s="8"/>
      <c r="J4" s="3">
        <v>2015</v>
      </c>
      <c r="K4" s="4">
        <v>0.14489874999999999</v>
      </c>
      <c r="L4" s="4">
        <v>0.14736450000000001</v>
      </c>
      <c r="M4" s="8"/>
      <c r="N4" s="2">
        <v>100</v>
      </c>
    </row>
    <row r="5" spans="2:14" x14ac:dyDescent="0.2">
      <c r="B5" s="3">
        <v>2016</v>
      </c>
      <c r="C5" s="4">
        <v>0.14242311999999999</v>
      </c>
      <c r="D5" s="4">
        <v>0.14466680000000001</v>
      </c>
      <c r="E5" s="8"/>
      <c r="F5" s="3">
        <v>2016</v>
      </c>
      <c r="G5" s="4">
        <v>4.5478100000000002E-3</v>
      </c>
      <c r="H5" s="4">
        <v>4.6195000000000003E-3</v>
      </c>
      <c r="I5" s="8"/>
      <c r="J5" s="3">
        <v>2016</v>
      </c>
      <c r="K5" s="4">
        <v>0.13787531</v>
      </c>
      <c r="L5" s="4">
        <v>0.14004739999999999</v>
      </c>
      <c r="M5" s="8"/>
    </row>
    <row r="6" spans="2:14" x14ac:dyDescent="0.2">
      <c r="B6" s="3">
        <v>2017</v>
      </c>
      <c r="C6" s="4">
        <v>0.13569374000000001</v>
      </c>
      <c r="D6" s="4">
        <v>0.13882639999999999</v>
      </c>
      <c r="E6" s="8"/>
      <c r="F6" s="3">
        <v>2017</v>
      </c>
      <c r="G6" s="4">
        <v>4.5303299999999999E-3</v>
      </c>
      <c r="H6" s="4">
        <v>4.6349E-3</v>
      </c>
      <c r="I6" s="8"/>
      <c r="J6" s="3">
        <v>2017</v>
      </c>
      <c r="K6" s="4">
        <v>0.13116342</v>
      </c>
      <c r="L6" s="4">
        <v>0.13419149999999999</v>
      </c>
      <c r="M6" s="8"/>
    </row>
    <row r="7" spans="2:14" x14ac:dyDescent="0.2">
      <c r="B7" s="3">
        <v>2018</v>
      </c>
      <c r="C7" s="4">
        <v>0.14240843</v>
      </c>
      <c r="D7" s="4">
        <v>0.1463218</v>
      </c>
      <c r="E7" s="8"/>
      <c r="F7" s="3">
        <v>2018</v>
      </c>
      <c r="G7" s="4">
        <v>4.5388399999999997E-3</v>
      </c>
      <c r="H7" s="4">
        <v>4.6718000000000003E-3</v>
      </c>
      <c r="I7" s="8"/>
      <c r="J7" s="3">
        <v>2018</v>
      </c>
      <c r="K7" s="4">
        <v>0.13786797000000001</v>
      </c>
      <c r="L7" s="4">
        <v>0.14164060000000001</v>
      </c>
      <c r="M7" s="8"/>
    </row>
    <row r="8" spans="2:14" x14ac:dyDescent="0.2">
      <c r="B8" s="3">
        <v>2019</v>
      </c>
      <c r="C8" s="4">
        <v>0.13914293</v>
      </c>
      <c r="D8" s="4">
        <v>0.14315439999999999</v>
      </c>
      <c r="E8" s="8"/>
      <c r="F8" s="3">
        <v>2019</v>
      </c>
      <c r="G8" s="4">
        <v>4.5191299999999997E-3</v>
      </c>
      <c r="H8" s="4">
        <v>4.6534999999999997E-3</v>
      </c>
      <c r="I8" s="8"/>
      <c r="J8" s="3">
        <v>2019</v>
      </c>
      <c r="K8" s="4">
        <v>0.13462245</v>
      </c>
      <c r="L8" s="4">
        <v>0.13849339999999999</v>
      </c>
      <c r="M8" s="8"/>
    </row>
    <row r="9" spans="2:14" x14ac:dyDescent="0.2">
      <c r="B9" s="3">
        <v>2020</v>
      </c>
      <c r="C9" s="4">
        <v>0.13802801000000001</v>
      </c>
      <c r="D9" s="4">
        <v>0.14274319999999999</v>
      </c>
      <c r="E9" s="8"/>
      <c r="F9" s="3">
        <v>2020</v>
      </c>
      <c r="G9" s="4">
        <v>4.7035000000000002E-3</v>
      </c>
      <c r="H9" s="4">
        <v>4.8580999999999997E-3</v>
      </c>
      <c r="I9" s="8"/>
      <c r="J9" s="3">
        <v>2020</v>
      </c>
      <c r="K9" s="4">
        <v>0.13332406999999999</v>
      </c>
      <c r="L9" s="4">
        <v>0.13788249999999999</v>
      </c>
      <c r="M9" s="8"/>
    </row>
    <row r="10" spans="2:14" x14ac:dyDescent="0.2">
      <c r="B10" s="3">
        <v>2021</v>
      </c>
      <c r="C10" s="4">
        <v>0.13163944</v>
      </c>
      <c r="D10" s="4">
        <v>0.1364186</v>
      </c>
      <c r="E10" s="8"/>
      <c r="F10" s="3">
        <v>2021</v>
      </c>
      <c r="G10" s="4">
        <v>4.4274199999999996E-3</v>
      </c>
      <c r="H10" s="4">
        <v>4.5862000000000003E-3</v>
      </c>
      <c r="I10" s="8"/>
      <c r="J10" s="3">
        <v>2021</v>
      </c>
      <c r="K10" s="4">
        <v>0.12721154000000001</v>
      </c>
      <c r="L10" s="4">
        <v>0.1318299</v>
      </c>
      <c r="M10" s="8"/>
    </row>
    <row r="11" spans="2:14" x14ac:dyDescent="0.2">
      <c r="B11" s="3">
        <v>2022</v>
      </c>
      <c r="C11" s="4">
        <v>0.12819894000000001</v>
      </c>
      <c r="D11" s="4">
        <v>0.1324079</v>
      </c>
      <c r="E11" s="8"/>
      <c r="F11" s="3">
        <v>2022</v>
      </c>
      <c r="G11" s="4">
        <v>4.42005E-3</v>
      </c>
      <c r="H11" s="4">
        <v>4.5561000000000004E-3</v>
      </c>
      <c r="I11" s="8"/>
      <c r="J11" s="3">
        <v>2022</v>
      </c>
      <c r="K11" s="4">
        <v>0.12377828</v>
      </c>
      <c r="L11" s="4">
        <v>0.12784860000000001</v>
      </c>
      <c r="M11" s="8"/>
    </row>
    <row r="13" spans="2:14" x14ac:dyDescent="0.2">
      <c r="B13" s="5" t="s">
        <v>4</v>
      </c>
      <c r="C13" s="6">
        <f>C11-C4</f>
        <v>-2.1162239999999999E-2</v>
      </c>
      <c r="D13" s="6">
        <f>D11-D4</f>
        <v>-1.9530099999999995E-2</v>
      </c>
      <c r="E13" s="7"/>
      <c r="F13" s="5" t="s">
        <v>4</v>
      </c>
      <c r="G13" s="6">
        <f>G11-G4</f>
        <v>-3.6010000000000382E-5</v>
      </c>
      <c r="H13" s="6">
        <f>H11-H4</f>
        <v>1.6500000000000022E-5</v>
      </c>
      <c r="I13" s="7"/>
      <c r="J13" s="5" t="s">
        <v>4</v>
      </c>
      <c r="K13" s="6">
        <f>K11-K4</f>
        <v>-2.1120469999999988E-2</v>
      </c>
      <c r="L13" s="6">
        <f>L11-L4</f>
        <v>-1.9515900000000003E-2</v>
      </c>
      <c r="M13" s="7"/>
    </row>
    <row r="17" spans="3:12" outlineLevel="1" x14ac:dyDescent="0.2">
      <c r="C17" s="2">
        <f t="shared" ref="C17:D24" si="0">C4*$N$4</f>
        <v>14.936118</v>
      </c>
      <c r="D17" s="2">
        <f t="shared" si="0"/>
        <v>15.1938</v>
      </c>
      <c r="G17" s="2">
        <f t="shared" ref="G17:H24" si="1">G4*$N$4</f>
        <v>0.44560600000000006</v>
      </c>
      <c r="H17" s="2">
        <f t="shared" si="1"/>
        <v>0.45396000000000003</v>
      </c>
      <c r="K17" s="2">
        <f t="shared" ref="K17:L24" si="2">K4*$N$4</f>
        <v>14.489875</v>
      </c>
      <c r="L17" s="2">
        <f t="shared" si="2"/>
        <v>14.736450000000001</v>
      </c>
    </row>
    <row r="18" spans="3:12" outlineLevel="1" x14ac:dyDescent="0.2">
      <c r="C18" s="2">
        <f t="shared" si="0"/>
        <v>14.242311999999998</v>
      </c>
      <c r="D18" s="2">
        <f t="shared" si="0"/>
        <v>14.466680000000002</v>
      </c>
      <c r="G18" s="2">
        <f t="shared" si="1"/>
        <v>0.45478100000000005</v>
      </c>
      <c r="H18" s="2">
        <f t="shared" si="1"/>
        <v>0.46195000000000003</v>
      </c>
      <c r="K18" s="2">
        <f t="shared" si="2"/>
        <v>13.787531</v>
      </c>
      <c r="L18" s="2">
        <f t="shared" si="2"/>
        <v>14.004739999999998</v>
      </c>
    </row>
    <row r="19" spans="3:12" outlineLevel="1" x14ac:dyDescent="0.2">
      <c r="C19" s="2">
        <f t="shared" si="0"/>
        <v>13.569374</v>
      </c>
      <c r="D19" s="2">
        <f t="shared" si="0"/>
        <v>13.882639999999999</v>
      </c>
      <c r="G19" s="2">
        <f t="shared" si="1"/>
        <v>0.45303300000000002</v>
      </c>
      <c r="H19" s="2">
        <f t="shared" si="1"/>
        <v>0.46349000000000001</v>
      </c>
      <c r="K19" s="2">
        <f t="shared" si="2"/>
        <v>13.116342</v>
      </c>
      <c r="L19" s="2">
        <f t="shared" si="2"/>
        <v>13.419149999999998</v>
      </c>
    </row>
    <row r="20" spans="3:12" outlineLevel="1" x14ac:dyDescent="0.2">
      <c r="C20" s="2">
        <f t="shared" si="0"/>
        <v>14.240843</v>
      </c>
      <c r="D20" s="2">
        <f t="shared" si="0"/>
        <v>14.63218</v>
      </c>
      <c r="G20" s="2">
        <f t="shared" si="1"/>
        <v>0.45388399999999995</v>
      </c>
      <c r="H20" s="2">
        <f t="shared" si="1"/>
        <v>0.46718000000000004</v>
      </c>
      <c r="K20" s="2">
        <f t="shared" si="2"/>
        <v>13.786797</v>
      </c>
      <c r="L20" s="2">
        <f t="shared" si="2"/>
        <v>14.164060000000001</v>
      </c>
    </row>
    <row r="21" spans="3:12" outlineLevel="1" x14ac:dyDescent="0.2">
      <c r="C21" s="2">
        <f t="shared" si="0"/>
        <v>13.914293000000001</v>
      </c>
      <c r="D21" s="2">
        <f t="shared" si="0"/>
        <v>14.315439999999999</v>
      </c>
      <c r="G21" s="2">
        <f t="shared" si="1"/>
        <v>0.45191299999999995</v>
      </c>
      <c r="H21" s="2">
        <f t="shared" si="1"/>
        <v>0.46534999999999999</v>
      </c>
      <c r="K21" s="2">
        <f t="shared" si="2"/>
        <v>13.462245000000001</v>
      </c>
      <c r="L21" s="2">
        <f t="shared" si="2"/>
        <v>13.849339999999998</v>
      </c>
    </row>
    <row r="22" spans="3:12" outlineLevel="1" x14ac:dyDescent="0.2">
      <c r="C22" s="2">
        <f t="shared" si="0"/>
        <v>13.802801000000001</v>
      </c>
      <c r="D22" s="2">
        <f t="shared" si="0"/>
        <v>14.274319999999999</v>
      </c>
      <c r="G22" s="2">
        <f t="shared" si="1"/>
        <v>0.47035000000000005</v>
      </c>
      <c r="H22" s="2">
        <f t="shared" si="1"/>
        <v>0.48580999999999996</v>
      </c>
      <c r="K22" s="2">
        <f t="shared" si="2"/>
        <v>13.332406999999998</v>
      </c>
      <c r="L22" s="2">
        <f t="shared" si="2"/>
        <v>13.78825</v>
      </c>
    </row>
    <row r="23" spans="3:12" outlineLevel="1" x14ac:dyDescent="0.2">
      <c r="C23" s="2">
        <f t="shared" si="0"/>
        <v>13.163943999999999</v>
      </c>
      <c r="D23" s="2">
        <f t="shared" si="0"/>
        <v>13.641859999999999</v>
      </c>
      <c r="G23" s="2">
        <f t="shared" si="1"/>
        <v>0.44274199999999997</v>
      </c>
      <c r="H23" s="2">
        <f t="shared" si="1"/>
        <v>0.45862000000000003</v>
      </c>
      <c r="K23" s="2">
        <f t="shared" si="2"/>
        <v>12.721154000000002</v>
      </c>
      <c r="L23" s="2">
        <f t="shared" si="2"/>
        <v>13.18299</v>
      </c>
    </row>
    <row r="24" spans="3:12" outlineLevel="1" x14ac:dyDescent="0.2">
      <c r="C24" s="2">
        <f t="shared" si="0"/>
        <v>12.819894000000001</v>
      </c>
      <c r="D24" s="2">
        <f t="shared" si="0"/>
        <v>13.240789999999999</v>
      </c>
      <c r="G24" s="2">
        <f t="shared" si="1"/>
        <v>0.44200499999999998</v>
      </c>
      <c r="H24" s="2">
        <f t="shared" si="1"/>
        <v>0.45561000000000007</v>
      </c>
      <c r="K24" s="2">
        <f t="shared" si="2"/>
        <v>12.377828000000001</v>
      </c>
      <c r="L24" s="2">
        <f t="shared" si="2"/>
        <v>12.78486</v>
      </c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96BD-207A-FF46-B53B-735349DCBD41}">
  <sheetPr>
    <tabColor rgb="FFFFFF00"/>
  </sheetPr>
  <dimension ref="B1:I43"/>
  <sheetViews>
    <sheetView workbookViewId="0">
      <selection activeCell="L36" sqref="L36:L37"/>
    </sheetView>
  </sheetViews>
  <sheetFormatPr baseColWidth="10" defaultRowHeight="16" outlineLevelRow="1" outlineLevelCol="1" x14ac:dyDescent="0.2"/>
  <cols>
    <col min="1" max="1" width="2.6640625" style="2" customWidth="1"/>
    <col min="2" max="4" width="13.83203125" style="2" customWidth="1"/>
    <col min="5" max="5" width="2.5" style="2" customWidth="1"/>
    <col min="6" max="6" width="0" style="2" hidden="1" customWidth="1" outlineLevel="1"/>
    <col min="7" max="7" width="10.83203125" style="2" collapsed="1"/>
    <col min="8" max="16384" width="10.83203125" style="2"/>
  </cols>
  <sheetData>
    <row r="1" spans="2:6" ht="10" customHeight="1" x14ac:dyDescent="0.2"/>
    <row r="2" spans="2:6" x14ac:dyDescent="0.2">
      <c r="B2" s="58" t="s">
        <v>6</v>
      </c>
      <c r="C2" s="58"/>
      <c r="D2" s="58"/>
      <c r="E2" s="9"/>
    </row>
    <row r="3" spans="2:6" x14ac:dyDescent="0.2">
      <c r="B3" s="1" t="s">
        <v>1</v>
      </c>
      <c r="C3" s="1" t="s">
        <v>2</v>
      </c>
      <c r="D3" s="1" t="s">
        <v>3</v>
      </c>
      <c r="E3" s="9"/>
    </row>
    <row r="4" spans="2:6" x14ac:dyDescent="0.2">
      <c r="B4" s="3">
        <v>2015</v>
      </c>
      <c r="C4" s="4">
        <v>9.5831349999999996E-2</v>
      </c>
      <c r="D4" s="4">
        <v>9.6363799999999999E-2</v>
      </c>
      <c r="E4" s="8"/>
      <c r="F4" s="2">
        <v>100</v>
      </c>
    </row>
    <row r="5" spans="2:6" x14ac:dyDescent="0.2">
      <c r="B5" s="3">
        <v>2016</v>
      </c>
      <c r="C5" s="4">
        <v>9.7202830000000004E-2</v>
      </c>
      <c r="D5" s="4">
        <v>9.7491499999999995E-2</v>
      </c>
      <c r="E5" s="8"/>
    </row>
    <row r="6" spans="2:6" x14ac:dyDescent="0.2">
      <c r="B6" s="3">
        <v>2017</v>
      </c>
      <c r="C6" s="4">
        <v>9.6622600000000003E-2</v>
      </c>
      <c r="D6" s="4">
        <v>9.6937700000000002E-2</v>
      </c>
      <c r="E6" s="8"/>
    </row>
    <row r="7" spans="2:6" x14ac:dyDescent="0.2">
      <c r="B7" s="3">
        <v>2018</v>
      </c>
      <c r="C7" s="4">
        <v>9.5257939999999999E-2</v>
      </c>
      <c r="D7" s="4">
        <v>9.5597199999999993E-2</v>
      </c>
      <c r="E7" s="8"/>
    </row>
    <row r="8" spans="2:6" x14ac:dyDescent="0.2">
      <c r="B8" s="3">
        <v>2019</v>
      </c>
      <c r="C8" s="4">
        <v>9.5541730000000005E-2</v>
      </c>
      <c r="D8" s="4">
        <v>9.59425E-2</v>
      </c>
      <c r="E8" s="8"/>
    </row>
    <row r="9" spans="2:6" x14ac:dyDescent="0.2">
      <c r="B9" s="3">
        <v>2020</v>
      </c>
      <c r="C9" s="4">
        <v>0.10506347000000001</v>
      </c>
      <c r="D9" s="4">
        <v>0.1053558</v>
      </c>
      <c r="E9" s="8"/>
    </row>
    <row r="10" spans="2:6" x14ac:dyDescent="0.2">
      <c r="B10" s="3">
        <v>2021</v>
      </c>
      <c r="C10" s="4">
        <v>0.10489166</v>
      </c>
      <c r="D10" s="4">
        <v>0.1052992</v>
      </c>
      <c r="E10" s="8"/>
    </row>
    <row r="11" spans="2:6" x14ac:dyDescent="0.2">
      <c r="B11" s="3">
        <v>2022</v>
      </c>
      <c r="C11" s="4">
        <v>0.10340078</v>
      </c>
      <c r="D11" s="4">
        <v>0.1037453</v>
      </c>
      <c r="E11" s="8"/>
    </row>
    <row r="13" spans="2:6" x14ac:dyDescent="0.2">
      <c r="B13" s="5" t="s">
        <v>4</v>
      </c>
      <c r="C13" s="6">
        <f>C11-C4</f>
        <v>7.569430000000002E-3</v>
      </c>
      <c r="D13" s="6">
        <f>D11-D4</f>
        <v>7.3814999999999992E-3</v>
      </c>
      <c r="E13" s="7"/>
    </row>
    <row r="17" spans="3:4" outlineLevel="1" x14ac:dyDescent="0.2">
      <c r="C17" s="2">
        <f t="shared" ref="C17:D24" si="0">C4*$F$4</f>
        <v>9.5831350000000004</v>
      </c>
      <c r="D17" s="2">
        <f t="shared" si="0"/>
        <v>9.6363799999999991</v>
      </c>
    </row>
    <row r="18" spans="3:4" outlineLevel="1" x14ac:dyDescent="0.2">
      <c r="C18" s="2">
        <f t="shared" si="0"/>
        <v>9.7202830000000002</v>
      </c>
      <c r="D18" s="2">
        <f t="shared" si="0"/>
        <v>9.7491500000000002</v>
      </c>
    </row>
    <row r="19" spans="3:4" outlineLevel="1" x14ac:dyDescent="0.2">
      <c r="C19" s="2">
        <f t="shared" si="0"/>
        <v>9.6622599999999998</v>
      </c>
      <c r="D19" s="2">
        <f t="shared" si="0"/>
        <v>9.6937700000000007</v>
      </c>
    </row>
    <row r="20" spans="3:4" outlineLevel="1" x14ac:dyDescent="0.2">
      <c r="C20" s="2">
        <f t="shared" si="0"/>
        <v>9.5257939999999994</v>
      </c>
      <c r="D20" s="2">
        <f t="shared" si="0"/>
        <v>9.5597199999999987</v>
      </c>
    </row>
    <row r="21" spans="3:4" outlineLevel="1" x14ac:dyDescent="0.2">
      <c r="C21" s="2">
        <f t="shared" si="0"/>
        <v>9.5541730000000005</v>
      </c>
      <c r="D21" s="2">
        <f t="shared" si="0"/>
        <v>9.5942500000000006</v>
      </c>
    </row>
    <row r="22" spans="3:4" outlineLevel="1" x14ac:dyDescent="0.2">
      <c r="C22" s="2">
        <f t="shared" si="0"/>
        <v>10.506347</v>
      </c>
      <c r="D22" s="2">
        <f t="shared" si="0"/>
        <v>10.53558</v>
      </c>
    </row>
    <row r="23" spans="3:4" outlineLevel="1" x14ac:dyDescent="0.2">
      <c r="C23" s="2">
        <f t="shared" si="0"/>
        <v>10.489165999999999</v>
      </c>
      <c r="D23" s="2">
        <f t="shared" si="0"/>
        <v>10.529919999999999</v>
      </c>
    </row>
    <row r="24" spans="3:4" outlineLevel="1" x14ac:dyDescent="0.2">
      <c r="C24" s="2">
        <f t="shared" si="0"/>
        <v>10.340078</v>
      </c>
      <c r="D24" s="2">
        <f t="shared" si="0"/>
        <v>10.37453</v>
      </c>
    </row>
    <row r="43" spans="9:9" x14ac:dyDescent="0.2">
      <c r="I43" s="13"/>
    </row>
  </sheetData>
  <mergeCells count="1">
    <mergeCell ref="B2:D2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1382-D315-914F-8827-BF85F215FC64}">
  <sheetPr>
    <tabColor rgb="FFFFFF00"/>
  </sheetPr>
  <dimension ref="B1:I43"/>
  <sheetViews>
    <sheetView workbookViewId="0">
      <selection activeCell="R36" sqref="R36"/>
    </sheetView>
  </sheetViews>
  <sheetFormatPr baseColWidth="10" defaultRowHeight="16" outlineLevelRow="1" outlineLevelCol="1" x14ac:dyDescent="0.2"/>
  <cols>
    <col min="1" max="1" width="2.6640625" style="2" customWidth="1"/>
    <col min="2" max="4" width="13.83203125" style="2" customWidth="1"/>
    <col min="5" max="5" width="2.5" style="2" customWidth="1"/>
    <col min="6" max="6" width="0" style="2" hidden="1" customWidth="1" outlineLevel="1"/>
    <col min="7" max="7" width="10.83203125" style="2" collapsed="1"/>
    <col min="8" max="16384" width="10.83203125" style="2"/>
  </cols>
  <sheetData>
    <row r="1" spans="2:6" ht="10" customHeight="1" x14ac:dyDescent="0.2"/>
    <row r="2" spans="2:6" x14ac:dyDescent="0.2">
      <c r="B2" s="58" t="s">
        <v>6</v>
      </c>
      <c r="C2" s="58"/>
      <c r="D2" s="58"/>
      <c r="E2" s="9"/>
    </row>
    <row r="3" spans="2:6" x14ac:dyDescent="0.2">
      <c r="B3" s="1" t="s">
        <v>1</v>
      </c>
      <c r="C3" s="1" t="s">
        <v>2</v>
      </c>
      <c r="D3" s="1" t="s">
        <v>3</v>
      </c>
      <c r="E3" s="9"/>
    </row>
    <row r="4" spans="2:6" x14ac:dyDescent="0.2">
      <c r="B4" s="3">
        <v>2015</v>
      </c>
      <c r="C4" s="4">
        <v>9.2637910000000004E-2</v>
      </c>
      <c r="D4" s="4">
        <v>7.2412099999999993E-2</v>
      </c>
      <c r="E4" s="8"/>
      <c r="F4" s="2">
        <v>100</v>
      </c>
    </row>
    <row r="5" spans="2:6" x14ac:dyDescent="0.2">
      <c r="B5" s="3">
        <v>2016</v>
      </c>
      <c r="C5" s="4">
        <v>8.566936E-2</v>
      </c>
      <c r="D5" s="4">
        <v>7.2976299999999994E-2</v>
      </c>
      <c r="E5" s="8"/>
    </row>
    <row r="6" spans="2:6" x14ac:dyDescent="0.2">
      <c r="B6" s="3">
        <v>2017</v>
      </c>
      <c r="C6" s="4">
        <v>8.7474839999999998E-2</v>
      </c>
      <c r="D6" s="4">
        <v>7.8404699999999994E-2</v>
      </c>
      <c r="E6" s="8"/>
    </row>
    <row r="7" spans="2:6" x14ac:dyDescent="0.2">
      <c r="B7" s="3">
        <v>2018</v>
      </c>
      <c r="C7" s="4">
        <v>9.895379E-2</v>
      </c>
      <c r="D7" s="4">
        <v>8.3030300000000001E-2</v>
      </c>
      <c r="E7" s="8"/>
    </row>
    <row r="8" spans="2:6" x14ac:dyDescent="0.2">
      <c r="B8" s="3">
        <v>2019</v>
      </c>
      <c r="C8" s="4">
        <v>0.11468644</v>
      </c>
      <c r="D8" s="4">
        <v>9.2531100000000005E-2</v>
      </c>
      <c r="E8" s="8"/>
    </row>
    <row r="9" spans="2:6" x14ac:dyDescent="0.2">
      <c r="B9" s="3">
        <v>2020</v>
      </c>
      <c r="C9" s="4">
        <v>0.11956499</v>
      </c>
      <c r="D9" s="4">
        <v>9.6729300000000004E-2</v>
      </c>
      <c r="E9" s="8"/>
    </row>
    <row r="10" spans="2:6" x14ac:dyDescent="0.2">
      <c r="B10" s="3">
        <v>2021</v>
      </c>
      <c r="C10" s="4">
        <v>0.13626912999999999</v>
      </c>
      <c r="D10" s="4">
        <v>0.10179240000000001</v>
      </c>
      <c r="E10" s="8"/>
    </row>
    <row r="11" spans="2:6" x14ac:dyDescent="0.2">
      <c r="B11" s="3">
        <v>2022</v>
      </c>
      <c r="C11" s="4">
        <v>0.14219724</v>
      </c>
      <c r="D11" s="4">
        <v>0.10766100000000001</v>
      </c>
      <c r="E11" s="8"/>
    </row>
    <row r="13" spans="2:6" x14ac:dyDescent="0.2">
      <c r="B13" s="5" t="s">
        <v>4</v>
      </c>
      <c r="C13" s="6">
        <f>C11-C4</f>
        <v>4.9559329999999999E-2</v>
      </c>
      <c r="D13" s="6">
        <f>D11-D4</f>
        <v>3.5248900000000014E-2</v>
      </c>
      <c r="E13" s="7"/>
    </row>
    <row r="17" spans="3:4" outlineLevel="1" x14ac:dyDescent="0.2">
      <c r="C17" s="2">
        <f t="shared" ref="C17:D24" si="0">C4*$F$4</f>
        <v>9.2637910000000012</v>
      </c>
      <c r="D17" s="2">
        <f t="shared" si="0"/>
        <v>7.2412099999999997</v>
      </c>
    </row>
    <row r="18" spans="3:4" outlineLevel="1" x14ac:dyDescent="0.2">
      <c r="C18" s="2">
        <f t="shared" si="0"/>
        <v>8.5669360000000001</v>
      </c>
      <c r="D18" s="2">
        <f t="shared" si="0"/>
        <v>7.2976299999999998</v>
      </c>
    </row>
    <row r="19" spans="3:4" outlineLevel="1" x14ac:dyDescent="0.2">
      <c r="C19" s="2">
        <f t="shared" si="0"/>
        <v>8.747484</v>
      </c>
      <c r="D19" s="2">
        <f t="shared" si="0"/>
        <v>7.8404699999999998</v>
      </c>
    </row>
    <row r="20" spans="3:4" outlineLevel="1" x14ac:dyDescent="0.2">
      <c r="C20" s="2">
        <f t="shared" si="0"/>
        <v>9.8953790000000001</v>
      </c>
      <c r="D20" s="2">
        <f t="shared" si="0"/>
        <v>8.3030299999999997</v>
      </c>
    </row>
    <row r="21" spans="3:4" outlineLevel="1" x14ac:dyDescent="0.2">
      <c r="C21" s="2">
        <f t="shared" si="0"/>
        <v>11.468643999999999</v>
      </c>
      <c r="D21" s="2">
        <f t="shared" si="0"/>
        <v>9.2531100000000013</v>
      </c>
    </row>
    <row r="22" spans="3:4" outlineLevel="1" x14ac:dyDescent="0.2">
      <c r="C22" s="2">
        <f t="shared" si="0"/>
        <v>11.956498999999999</v>
      </c>
      <c r="D22" s="2">
        <f t="shared" si="0"/>
        <v>9.6729300000000009</v>
      </c>
    </row>
    <row r="23" spans="3:4" outlineLevel="1" x14ac:dyDescent="0.2">
      <c r="C23" s="2">
        <f t="shared" si="0"/>
        <v>13.626912999999998</v>
      </c>
      <c r="D23" s="2">
        <f t="shared" si="0"/>
        <v>10.17924</v>
      </c>
    </row>
    <row r="24" spans="3:4" outlineLevel="1" x14ac:dyDescent="0.2">
      <c r="C24" s="2">
        <f t="shared" si="0"/>
        <v>14.219723999999999</v>
      </c>
      <c r="D24" s="2">
        <f t="shared" si="0"/>
        <v>10.766100000000002</v>
      </c>
    </row>
    <row r="43" spans="9:9" x14ac:dyDescent="0.2">
      <c r="I43" s="13"/>
    </row>
  </sheetData>
  <mergeCells count="1">
    <mergeCell ref="B2:D2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B0AD-894F-6F42-9A6A-96A4E4061CD7}">
  <sheetPr>
    <tabColor rgb="FFFFFF00"/>
  </sheetPr>
  <dimension ref="B1:I43"/>
  <sheetViews>
    <sheetView workbookViewId="0">
      <selection activeCell="T34" sqref="T34"/>
    </sheetView>
  </sheetViews>
  <sheetFormatPr baseColWidth="10" defaultRowHeight="16" outlineLevelRow="1" outlineLevelCol="1" x14ac:dyDescent="0.2"/>
  <cols>
    <col min="1" max="1" width="2.6640625" style="2" customWidth="1"/>
    <col min="2" max="4" width="13.83203125" style="2" customWidth="1"/>
    <col min="5" max="5" width="2.5" style="2" customWidth="1"/>
    <col min="6" max="6" width="0" style="2" hidden="1" customWidth="1" outlineLevel="1"/>
    <col min="7" max="7" width="10.83203125" style="2" collapsed="1"/>
    <col min="8" max="16384" width="10.83203125" style="2"/>
  </cols>
  <sheetData>
    <row r="1" spans="2:6" ht="10" customHeight="1" x14ac:dyDescent="0.2"/>
    <row r="2" spans="2:6" x14ac:dyDescent="0.2">
      <c r="B2" s="58" t="s">
        <v>6</v>
      </c>
      <c r="C2" s="58"/>
      <c r="D2" s="58"/>
      <c r="E2" s="9"/>
    </row>
    <row r="3" spans="2:6" x14ac:dyDescent="0.2">
      <c r="B3" s="1" t="s">
        <v>1</v>
      </c>
      <c r="C3" s="1" t="s">
        <v>2</v>
      </c>
      <c r="D3" s="1" t="s">
        <v>3</v>
      </c>
      <c r="E3" s="9"/>
    </row>
    <row r="4" spans="2:6" x14ac:dyDescent="0.2">
      <c r="B4" s="3">
        <v>2015</v>
      </c>
      <c r="C4" s="4">
        <v>5.3433179999999997E-2</v>
      </c>
      <c r="D4" s="4">
        <v>5.07798E-2</v>
      </c>
      <c r="E4" s="8"/>
      <c r="F4" s="2">
        <v>100</v>
      </c>
    </row>
    <row r="5" spans="2:6" x14ac:dyDescent="0.2">
      <c r="B5" s="3">
        <v>2016</v>
      </c>
      <c r="C5" s="4">
        <v>5.2685929999999999E-2</v>
      </c>
      <c r="D5" s="4">
        <v>4.9976699999999999E-2</v>
      </c>
      <c r="E5" s="8"/>
    </row>
    <row r="6" spans="2:6" x14ac:dyDescent="0.2">
      <c r="B6" s="3">
        <v>2017</v>
      </c>
      <c r="C6" s="4">
        <v>5.177963E-2</v>
      </c>
      <c r="D6" s="4">
        <v>4.8613099999999999E-2</v>
      </c>
      <c r="E6" s="8"/>
    </row>
    <row r="7" spans="2:6" x14ac:dyDescent="0.2">
      <c r="B7" s="3">
        <v>2018</v>
      </c>
      <c r="C7" s="4">
        <v>5.1124290000000003E-2</v>
      </c>
      <c r="D7" s="4">
        <v>4.7927499999999998E-2</v>
      </c>
      <c r="E7" s="8"/>
    </row>
    <row r="8" spans="2:6" x14ac:dyDescent="0.2">
      <c r="B8" s="3">
        <v>2019</v>
      </c>
      <c r="C8" s="4">
        <v>5.3732820000000001E-2</v>
      </c>
      <c r="D8" s="4">
        <v>4.8838399999999997E-2</v>
      </c>
      <c r="E8" s="8"/>
    </row>
    <row r="9" spans="2:6" x14ac:dyDescent="0.2">
      <c r="B9" s="3">
        <v>2020</v>
      </c>
      <c r="C9" s="4">
        <v>5.3945390000000003E-2</v>
      </c>
      <c r="D9" s="4">
        <v>4.8977399999999997E-2</v>
      </c>
      <c r="E9" s="8"/>
    </row>
    <row r="10" spans="2:6" x14ac:dyDescent="0.2">
      <c r="B10" s="3">
        <v>2021</v>
      </c>
      <c r="C10" s="4">
        <v>5.0422189999999999E-2</v>
      </c>
      <c r="D10" s="4">
        <v>4.6218200000000001E-2</v>
      </c>
      <c r="E10" s="8"/>
    </row>
    <row r="11" spans="2:6" x14ac:dyDescent="0.2">
      <c r="B11" s="3">
        <v>2022</v>
      </c>
      <c r="C11" s="4">
        <v>4.8874189999999998E-2</v>
      </c>
      <c r="D11" s="4">
        <v>4.5454799999999997E-2</v>
      </c>
      <c r="E11" s="8"/>
    </row>
    <row r="13" spans="2:6" x14ac:dyDescent="0.2">
      <c r="B13" s="5" t="s">
        <v>4</v>
      </c>
      <c r="C13" s="6">
        <f>C11-C4</f>
        <v>-4.5589899999999989E-3</v>
      </c>
      <c r="D13" s="6">
        <f>D11-D4</f>
        <v>-5.3250000000000033E-3</v>
      </c>
      <c r="E13" s="7"/>
    </row>
    <row r="17" spans="3:4" outlineLevel="1" x14ac:dyDescent="0.2">
      <c r="C17" s="2">
        <f t="shared" ref="C17:D24" si="0">C4*$F$4</f>
        <v>5.343318</v>
      </c>
      <c r="D17" s="2">
        <f t="shared" si="0"/>
        <v>5.0779800000000002</v>
      </c>
    </row>
    <row r="18" spans="3:4" outlineLevel="1" x14ac:dyDescent="0.2">
      <c r="C18" s="2">
        <f t="shared" si="0"/>
        <v>5.2685930000000001</v>
      </c>
      <c r="D18" s="2">
        <f t="shared" si="0"/>
        <v>4.9976700000000003</v>
      </c>
    </row>
    <row r="19" spans="3:4" outlineLevel="1" x14ac:dyDescent="0.2">
      <c r="C19" s="2">
        <f t="shared" si="0"/>
        <v>5.1779630000000001</v>
      </c>
      <c r="D19" s="2">
        <f t="shared" si="0"/>
        <v>4.8613099999999996</v>
      </c>
    </row>
    <row r="20" spans="3:4" outlineLevel="1" x14ac:dyDescent="0.2">
      <c r="C20" s="2">
        <f t="shared" si="0"/>
        <v>5.1124290000000006</v>
      </c>
      <c r="D20" s="2">
        <f t="shared" si="0"/>
        <v>4.7927499999999998</v>
      </c>
    </row>
    <row r="21" spans="3:4" outlineLevel="1" x14ac:dyDescent="0.2">
      <c r="C21" s="2">
        <f t="shared" si="0"/>
        <v>5.3732819999999997</v>
      </c>
      <c r="D21" s="2">
        <f t="shared" si="0"/>
        <v>4.8838399999999993</v>
      </c>
    </row>
    <row r="22" spans="3:4" outlineLevel="1" x14ac:dyDescent="0.2">
      <c r="C22" s="2">
        <f t="shared" si="0"/>
        <v>5.394539</v>
      </c>
      <c r="D22" s="2">
        <f t="shared" si="0"/>
        <v>4.8977399999999998</v>
      </c>
    </row>
    <row r="23" spans="3:4" outlineLevel="1" x14ac:dyDescent="0.2">
      <c r="C23" s="2">
        <f t="shared" si="0"/>
        <v>5.0422190000000002</v>
      </c>
      <c r="D23" s="2">
        <f t="shared" si="0"/>
        <v>4.6218200000000005</v>
      </c>
    </row>
    <row r="24" spans="3:4" outlineLevel="1" x14ac:dyDescent="0.2">
      <c r="C24" s="2">
        <f t="shared" si="0"/>
        <v>4.8874189999999995</v>
      </c>
      <c r="D24" s="2">
        <f t="shared" si="0"/>
        <v>4.5454799999999995</v>
      </c>
    </row>
    <row r="43" spans="9:9" x14ac:dyDescent="0.2">
      <c r="I43" s="13"/>
    </row>
  </sheetData>
  <mergeCells count="1">
    <mergeCell ref="B2:D2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4329-16C6-B447-B996-3BF250CC15E2}">
  <sheetPr>
    <tabColor rgb="FFFFFF00"/>
  </sheetPr>
  <dimension ref="B1:O41"/>
  <sheetViews>
    <sheetView topLeftCell="M14" workbookViewId="0">
      <selection activeCell="AF38" sqref="AF38"/>
    </sheetView>
  </sheetViews>
  <sheetFormatPr baseColWidth="10" defaultRowHeight="16" outlineLevelRow="1" outlineLevelCol="1" x14ac:dyDescent="0.2"/>
  <cols>
    <col min="1" max="1" width="2.6640625" style="2" customWidth="1"/>
    <col min="2" max="2" width="13.1640625" style="2" customWidth="1"/>
    <col min="3" max="4" width="13.83203125" style="2" customWidth="1"/>
    <col min="5" max="5" width="3.1640625" style="2" customWidth="1"/>
    <col min="6" max="8" width="13.83203125" style="2" customWidth="1"/>
    <col min="9" max="9" width="2.33203125" style="2" customWidth="1"/>
    <col min="10" max="12" width="13.83203125" style="2" customWidth="1"/>
    <col min="13" max="13" width="2.5" style="2" customWidth="1"/>
    <col min="14" max="14" width="0" style="2" hidden="1" customWidth="1" outlineLevel="1"/>
    <col min="15" max="15" width="10.83203125" style="2" collapsed="1"/>
    <col min="16" max="16384" width="10.83203125" style="2"/>
  </cols>
  <sheetData>
    <row r="1" spans="2:14" ht="10" customHeight="1" x14ac:dyDescent="0.2"/>
    <row r="2" spans="2:14" x14ac:dyDescent="0.2">
      <c r="B2" s="58" t="s">
        <v>5</v>
      </c>
      <c r="C2" s="58"/>
      <c r="D2" s="58"/>
      <c r="E2" s="9"/>
      <c r="F2" s="58" t="s">
        <v>0</v>
      </c>
      <c r="G2" s="58"/>
      <c r="H2" s="58"/>
      <c r="I2" s="9"/>
      <c r="J2" s="58" t="s">
        <v>6</v>
      </c>
      <c r="K2" s="58"/>
      <c r="L2" s="58"/>
      <c r="M2" s="9"/>
    </row>
    <row r="3" spans="2:14" x14ac:dyDescent="0.2">
      <c r="B3" s="1" t="s">
        <v>1</v>
      </c>
      <c r="C3" s="1" t="s">
        <v>2</v>
      </c>
      <c r="D3" s="1" t="s">
        <v>3</v>
      </c>
      <c r="E3" s="9"/>
      <c r="F3" s="1" t="s">
        <v>1</v>
      </c>
      <c r="G3" s="1" t="s">
        <v>2</v>
      </c>
      <c r="H3" s="1" t="s">
        <v>3</v>
      </c>
      <c r="I3" s="9"/>
      <c r="J3" s="1" t="s">
        <v>1</v>
      </c>
      <c r="K3" s="1" t="s">
        <v>2</v>
      </c>
      <c r="L3" s="1" t="s">
        <v>3</v>
      </c>
      <c r="M3" s="9"/>
    </row>
    <row r="4" spans="2:14" x14ac:dyDescent="0.2">
      <c r="B4" s="3">
        <v>2015</v>
      </c>
      <c r="C4" s="4">
        <v>7.7306269999999996E-2</v>
      </c>
      <c r="D4" s="4">
        <v>8.0346399999999998E-2</v>
      </c>
      <c r="E4" s="8"/>
      <c r="F4" s="3">
        <v>2015</v>
      </c>
      <c r="G4" s="4"/>
      <c r="H4" s="4"/>
      <c r="I4" s="8"/>
      <c r="J4" s="3">
        <v>2015</v>
      </c>
      <c r="K4" s="4">
        <v>7.7220070000000002E-2</v>
      </c>
      <c r="L4" s="4">
        <v>7.9167199999999993E-2</v>
      </c>
      <c r="M4" s="8"/>
      <c r="N4" s="2">
        <v>100</v>
      </c>
    </row>
    <row r="5" spans="2:14" x14ac:dyDescent="0.2">
      <c r="B5" s="3">
        <v>2016</v>
      </c>
      <c r="C5" s="4">
        <v>7.1882989999999994E-2</v>
      </c>
      <c r="D5" s="4">
        <v>7.53992E-2</v>
      </c>
      <c r="E5" s="8"/>
      <c r="F5" s="3">
        <v>2016</v>
      </c>
      <c r="G5" s="4"/>
      <c r="H5" s="4"/>
      <c r="I5" s="8"/>
      <c r="J5" s="3">
        <v>2016</v>
      </c>
      <c r="K5" s="4">
        <v>7.1799100000000005E-2</v>
      </c>
      <c r="L5" s="4">
        <v>7.4286400000000002E-2</v>
      </c>
      <c r="M5" s="8"/>
    </row>
    <row r="6" spans="2:14" x14ac:dyDescent="0.2">
      <c r="B6" s="3">
        <v>2017</v>
      </c>
      <c r="C6" s="4">
        <v>7.3195620000000003E-2</v>
      </c>
      <c r="D6" s="4">
        <v>7.6632099999999995E-2</v>
      </c>
      <c r="E6" s="8"/>
      <c r="F6" s="3">
        <v>2017</v>
      </c>
      <c r="G6" s="4"/>
      <c r="H6" s="4"/>
      <c r="I6" s="8"/>
      <c r="J6" s="3">
        <v>2017</v>
      </c>
      <c r="K6" s="4">
        <v>7.3111809999999999E-2</v>
      </c>
      <c r="L6" s="4">
        <v>7.5556700000000004E-2</v>
      </c>
      <c r="M6" s="8"/>
    </row>
    <row r="7" spans="2:14" x14ac:dyDescent="0.2">
      <c r="B7" s="3">
        <v>2018</v>
      </c>
      <c r="C7" s="4">
        <v>7.9943349999999996E-2</v>
      </c>
      <c r="D7" s="4">
        <v>8.3384600000000003E-2</v>
      </c>
      <c r="E7" s="8"/>
      <c r="F7" s="3">
        <v>2018</v>
      </c>
      <c r="G7" s="4"/>
      <c r="H7" s="4"/>
      <c r="I7" s="8"/>
      <c r="J7" s="3">
        <v>2018</v>
      </c>
      <c r="K7" s="4">
        <v>7.9859540000000007E-2</v>
      </c>
      <c r="L7" s="4">
        <v>8.2340499999999997E-2</v>
      </c>
      <c r="M7" s="8"/>
    </row>
    <row r="8" spans="2:14" x14ac:dyDescent="0.2">
      <c r="B8" s="3">
        <v>2019</v>
      </c>
      <c r="C8" s="4">
        <v>7.64209E-2</v>
      </c>
      <c r="D8" s="4">
        <v>8.0309800000000001E-2</v>
      </c>
      <c r="E8" s="8"/>
      <c r="F8" s="3">
        <v>2019</v>
      </c>
      <c r="G8" s="4"/>
      <c r="H8" s="4"/>
      <c r="I8" s="8"/>
      <c r="J8" s="3">
        <v>2019</v>
      </c>
      <c r="K8" s="4">
        <v>7.6337150000000006E-2</v>
      </c>
      <c r="L8" s="4">
        <v>7.9292799999999997E-2</v>
      </c>
      <c r="M8" s="8"/>
    </row>
    <row r="9" spans="2:14" x14ac:dyDescent="0.2">
      <c r="B9" s="3">
        <v>2020</v>
      </c>
      <c r="C9" s="4">
        <v>7.7155210000000002E-2</v>
      </c>
      <c r="D9" s="4">
        <v>8.1093399999999996E-2</v>
      </c>
      <c r="E9" s="8"/>
      <c r="F9" s="3">
        <v>2020</v>
      </c>
      <c r="G9" s="4"/>
      <c r="H9" s="4"/>
      <c r="I9" s="8"/>
      <c r="J9" s="3">
        <v>2020</v>
      </c>
      <c r="K9" s="4">
        <v>7.7071500000000001E-2</v>
      </c>
      <c r="L9" s="4">
        <v>8.0099000000000004E-2</v>
      </c>
      <c r="M9" s="8"/>
    </row>
    <row r="10" spans="2:14" x14ac:dyDescent="0.2">
      <c r="B10" s="3">
        <v>2021</v>
      </c>
      <c r="C10" s="4">
        <v>8.0985310000000005E-2</v>
      </c>
      <c r="D10" s="4">
        <v>8.6163600000000007E-2</v>
      </c>
      <c r="E10" s="8"/>
      <c r="F10" s="3">
        <v>2021</v>
      </c>
      <c r="G10" s="4">
        <v>3.4171399999999999E-3</v>
      </c>
      <c r="H10" s="4">
        <v>3.9908000000000001E-3</v>
      </c>
      <c r="I10" s="8"/>
      <c r="J10" s="3">
        <v>2021</v>
      </c>
      <c r="K10" s="4">
        <v>7.7532190000000001E-2</v>
      </c>
      <c r="L10" s="4">
        <v>8.1318000000000001E-2</v>
      </c>
      <c r="M10" s="8"/>
    </row>
    <row r="11" spans="2:14" x14ac:dyDescent="0.2">
      <c r="B11" s="3">
        <v>2022</v>
      </c>
      <c r="C11" s="4">
        <v>9.8887600000000006E-2</v>
      </c>
      <c r="D11" s="4">
        <v>9.9567100000000006E-2</v>
      </c>
      <c r="E11" s="8"/>
      <c r="F11" s="3">
        <v>2022</v>
      </c>
      <c r="G11" s="4">
        <v>2.2852819999999999E-2</v>
      </c>
      <c r="H11" s="4">
        <v>2.3341199999999999E-2</v>
      </c>
      <c r="I11" s="8"/>
      <c r="J11" s="3">
        <v>2022</v>
      </c>
      <c r="K11" s="4">
        <v>7.6916869999999998E-2</v>
      </c>
      <c r="L11" s="4">
        <v>7.8873100000000002E-2</v>
      </c>
      <c r="M11" s="8"/>
    </row>
    <row r="13" spans="2:14" x14ac:dyDescent="0.2">
      <c r="B13" s="5" t="s">
        <v>4</v>
      </c>
      <c r="C13" s="6">
        <f>C11-C4</f>
        <v>2.158133000000001E-2</v>
      </c>
      <c r="D13" s="6">
        <f>D11-D4</f>
        <v>1.9220700000000007E-2</v>
      </c>
      <c r="E13" s="7"/>
      <c r="F13" s="5" t="s">
        <v>4</v>
      </c>
      <c r="G13" s="6">
        <f>G11-G4</f>
        <v>2.2852819999999999E-2</v>
      </c>
      <c r="H13" s="6">
        <f>H11-H4</f>
        <v>2.3341199999999999E-2</v>
      </c>
      <c r="I13" s="7"/>
      <c r="J13" s="5" t="s">
        <v>4</v>
      </c>
      <c r="K13" s="6">
        <f>K11-K4</f>
        <v>-3.0320000000000347E-4</v>
      </c>
      <c r="L13" s="6">
        <f>L11-L4</f>
        <v>-2.9409999999999159E-4</v>
      </c>
      <c r="M13" s="7"/>
    </row>
    <row r="17" spans="3:12" outlineLevel="1" x14ac:dyDescent="0.2">
      <c r="C17" s="2">
        <f t="shared" ref="C17:D24" si="0">C4*$N$4</f>
        <v>7.7306269999999992</v>
      </c>
      <c r="D17" s="2">
        <f t="shared" si="0"/>
        <v>8.0346399999999996</v>
      </c>
      <c r="G17" s="2">
        <f t="shared" ref="G17:H24" si="1">G4*$N$4</f>
        <v>0</v>
      </c>
      <c r="H17" s="2">
        <f t="shared" si="1"/>
        <v>0</v>
      </c>
      <c r="K17" s="2">
        <f t="shared" ref="K17:L24" si="2">K4*$N$4</f>
        <v>7.7220070000000005</v>
      </c>
      <c r="L17" s="2">
        <f t="shared" si="2"/>
        <v>7.9167199999999998</v>
      </c>
    </row>
    <row r="18" spans="3:12" outlineLevel="1" x14ac:dyDescent="0.2">
      <c r="C18" s="2">
        <f t="shared" si="0"/>
        <v>7.1882989999999998</v>
      </c>
      <c r="D18" s="2">
        <f t="shared" si="0"/>
        <v>7.5399200000000004</v>
      </c>
      <c r="G18" s="2">
        <f t="shared" si="1"/>
        <v>0</v>
      </c>
      <c r="H18" s="2">
        <f t="shared" si="1"/>
        <v>0</v>
      </c>
      <c r="K18" s="2">
        <f t="shared" si="2"/>
        <v>7.1799100000000005</v>
      </c>
      <c r="L18" s="2">
        <f t="shared" si="2"/>
        <v>7.4286400000000006</v>
      </c>
    </row>
    <row r="19" spans="3:12" outlineLevel="1" x14ac:dyDescent="0.2">
      <c r="C19" s="2">
        <f t="shared" si="0"/>
        <v>7.3195620000000003</v>
      </c>
      <c r="D19" s="2">
        <f t="shared" si="0"/>
        <v>7.6632099999999994</v>
      </c>
      <c r="G19" s="2">
        <f t="shared" si="1"/>
        <v>0</v>
      </c>
      <c r="H19" s="2">
        <f t="shared" si="1"/>
        <v>0</v>
      </c>
      <c r="K19" s="2">
        <f t="shared" si="2"/>
        <v>7.3111809999999995</v>
      </c>
      <c r="L19" s="2">
        <f t="shared" si="2"/>
        <v>7.5556700000000001</v>
      </c>
    </row>
    <row r="20" spans="3:12" outlineLevel="1" x14ac:dyDescent="0.2">
      <c r="C20" s="2">
        <f t="shared" si="0"/>
        <v>7.9943349999999995</v>
      </c>
      <c r="D20" s="2">
        <f t="shared" si="0"/>
        <v>8.3384599999999995</v>
      </c>
      <c r="G20" s="2">
        <f t="shared" si="1"/>
        <v>0</v>
      </c>
      <c r="H20" s="2">
        <f t="shared" si="1"/>
        <v>0</v>
      </c>
      <c r="K20" s="2">
        <f t="shared" si="2"/>
        <v>7.9859540000000004</v>
      </c>
      <c r="L20" s="2">
        <f t="shared" si="2"/>
        <v>8.2340499999999999</v>
      </c>
    </row>
    <row r="21" spans="3:12" outlineLevel="1" x14ac:dyDescent="0.2">
      <c r="C21" s="2">
        <f t="shared" si="0"/>
        <v>7.6420899999999996</v>
      </c>
      <c r="D21" s="2">
        <f t="shared" si="0"/>
        <v>8.0309799999999996</v>
      </c>
      <c r="G21" s="2">
        <f t="shared" si="1"/>
        <v>0</v>
      </c>
      <c r="H21" s="2">
        <f t="shared" si="1"/>
        <v>0</v>
      </c>
      <c r="K21" s="2">
        <f t="shared" si="2"/>
        <v>7.6337150000000005</v>
      </c>
      <c r="L21" s="2">
        <f t="shared" si="2"/>
        <v>7.9292799999999994</v>
      </c>
    </row>
    <row r="22" spans="3:12" outlineLevel="1" x14ac:dyDescent="0.2">
      <c r="C22" s="2">
        <f t="shared" si="0"/>
        <v>7.7155209999999999</v>
      </c>
      <c r="D22" s="2">
        <f t="shared" si="0"/>
        <v>8.1093399999999995</v>
      </c>
      <c r="G22" s="2">
        <f t="shared" si="1"/>
        <v>0</v>
      </c>
      <c r="H22" s="2">
        <f t="shared" si="1"/>
        <v>0</v>
      </c>
      <c r="K22" s="2">
        <f t="shared" si="2"/>
        <v>7.7071500000000004</v>
      </c>
      <c r="L22" s="2">
        <f t="shared" si="2"/>
        <v>8.0099</v>
      </c>
    </row>
    <row r="23" spans="3:12" outlineLevel="1" x14ac:dyDescent="0.2">
      <c r="C23" s="2">
        <f t="shared" si="0"/>
        <v>8.0985310000000013</v>
      </c>
      <c r="D23" s="2">
        <f t="shared" si="0"/>
        <v>8.6163600000000002</v>
      </c>
      <c r="G23" s="2">
        <f t="shared" si="1"/>
        <v>0.34171400000000002</v>
      </c>
      <c r="H23" s="2">
        <f t="shared" si="1"/>
        <v>0.39907999999999999</v>
      </c>
      <c r="K23" s="2">
        <f t="shared" si="2"/>
        <v>7.7532189999999996</v>
      </c>
      <c r="L23" s="2">
        <f t="shared" si="2"/>
        <v>8.1318000000000001</v>
      </c>
    </row>
    <row r="24" spans="3:12" outlineLevel="1" x14ac:dyDescent="0.2">
      <c r="C24" s="2">
        <f t="shared" si="0"/>
        <v>9.8887600000000013</v>
      </c>
      <c r="D24" s="2">
        <f t="shared" si="0"/>
        <v>9.9567100000000011</v>
      </c>
      <c r="G24" s="2">
        <f t="shared" si="1"/>
        <v>2.285282</v>
      </c>
      <c r="H24" s="2">
        <f t="shared" si="1"/>
        <v>2.33412</v>
      </c>
      <c r="K24" s="2">
        <f t="shared" si="2"/>
        <v>7.6916869999999999</v>
      </c>
      <c r="L24" s="2">
        <f t="shared" si="2"/>
        <v>7.8873100000000003</v>
      </c>
    </row>
    <row r="41" spans="11:11" x14ac:dyDescent="0.2">
      <c r="K41" s="13"/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C5179-4736-F040-91E9-7BF977B528FA}">
  <sheetPr>
    <tabColor rgb="FFFFFF00"/>
  </sheetPr>
  <dimension ref="B1:O24"/>
  <sheetViews>
    <sheetView topLeftCell="M13" workbookViewId="0">
      <selection activeCell="AD45" sqref="AD45"/>
    </sheetView>
  </sheetViews>
  <sheetFormatPr baseColWidth="10" defaultRowHeight="16" outlineLevelRow="1" outlineLevelCol="1" x14ac:dyDescent="0.2"/>
  <cols>
    <col min="1" max="1" width="2.6640625" style="2" customWidth="1"/>
    <col min="2" max="2" width="13.1640625" style="2" customWidth="1"/>
    <col min="3" max="4" width="13.83203125" style="2" customWidth="1"/>
    <col min="5" max="5" width="3.1640625" style="2" customWidth="1"/>
    <col min="6" max="8" width="13.83203125" style="2" customWidth="1"/>
    <col min="9" max="9" width="2.33203125" style="2" customWidth="1"/>
    <col min="10" max="12" width="13.83203125" style="2" customWidth="1"/>
    <col min="13" max="13" width="2.5" style="2" customWidth="1"/>
    <col min="14" max="14" width="0" style="2" hidden="1" customWidth="1" outlineLevel="1"/>
    <col min="15" max="15" width="10.83203125" style="2" collapsed="1"/>
    <col min="16" max="16384" width="10.83203125" style="2"/>
  </cols>
  <sheetData>
    <row r="1" spans="2:14" ht="10" customHeight="1" x14ac:dyDescent="0.2"/>
    <row r="2" spans="2:14" x14ac:dyDescent="0.2">
      <c r="B2" s="58" t="s">
        <v>5</v>
      </c>
      <c r="C2" s="58"/>
      <c r="D2" s="58"/>
      <c r="E2" s="9"/>
      <c r="F2" s="58" t="s">
        <v>0</v>
      </c>
      <c r="G2" s="58"/>
      <c r="H2" s="58"/>
      <c r="I2" s="9"/>
      <c r="J2" s="58" t="s">
        <v>6</v>
      </c>
      <c r="K2" s="58"/>
      <c r="L2" s="58"/>
      <c r="M2" s="9"/>
    </row>
    <row r="3" spans="2:14" x14ac:dyDescent="0.2">
      <c r="B3" s="1" t="s">
        <v>1</v>
      </c>
      <c r="C3" s="1" t="s">
        <v>2</v>
      </c>
      <c r="D3" s="1" t="s">
        <v>3</v>
      </c>
      <c r="E3" s="9"/>
      <c r="F3" s="1" t="s">
        <v>1</v>
      </c>
      <c r="G3" s="1" t="s">
        <v>2</v>
      </c>
      <c r="H3" s="1" t="s">
        <v>3</v>
      </c>
      <c r="I3" s="9"/>
      <c r="J3" s="1" t="s">
        <v>1</v>
      </c>
      <c r="K3" s="1" t="s">
        <v>2</v>
      </c>
      <c r="L3" s="1" t="s">
        <v>3</v>
      </c>
      <c r="M3" s="9"/>
    </row>
    <row r="4" spans="2:14" x14ac:dyDescent="0.2">
      <c r="B4" s="3">
        <v>2015</v>
      </c>
      <c r="C4" s="4">
        <v>0.15795814</v>
      </c>
      <c r="D4" s="4">
        <v>0.1693066</v>
      </c>
      <c r="E4" s="8"/>
      <c r="F4" s="3">
        <v>2015</v>
      </c>
      <c r="G4" s="4">
        <v>0.14835408</v>
      </c>
      <c r="H4" s="4">
        <v>0.1590125</v>
      </c>
      <c r="I4" s="8"/>
      <c r="J4" s="3">
        <v>2015</v>
      </c>
      <c r="K4" s="4">
        <v>3.9444500000000004E-3</v>
      </c>
      <c r="L4" s="4">
        <v>1.02941E-2</v>
      </c>
      <c r="M4" s="8"/>
      <c r="N4" s="2">
        <v>100</v>
      </c>
    </row>
    <row r="5" spans="2:14" x14ac:dyDescent="0.2">
      <c r="B5" s="3">
        <v>2016</v>
      </c>
      <c r="C5" s="4">
        <v>0.13969860000000001</v>
      </c>
      <c r="D5" s="4">
        <v>0.1513958</v>
      </c>
      <c r="E5" s="8"/>
      <c r="F5" s="3">
        <v>2016</v>
      </c>
      <c r="G5" s="4">
        <v>0.12957646</v>
      </c>
      <c r="H5" s="4">
        <v>0.1404261</v>
      </c>
      <c r="I5" s="8"/>
      <c r="J5" s="3">
        <v>2016</v>
      </c>
      <c r="K5" s="4">
        <v>4.24363E-3</v>
      </c>
      <c r="L5" s="4">
        <v>1.0923499999999999E-2</v>
      </c>
      <c r="M5" s="8"/>
    </row>
    <row r="6" spans="2:14" x14ac:dyDescent="0.2">
      <c r="B6" s="3">
        <v>2017</v>
      </c>
      <c r="C6" s="4">
        <v>0.14456394</v>
      </c>
      <c r="D6" s="4">
        <v>0.15945309999999999</v>
      </c>
      <c r="E6" s="8"/>
      <c r="F6" s="3">
        <v>2017</v>
      </c>
      <c r="G6" s="4">
        <v>0.13510753</v>
      </c>
      <c r="H6" s="4">
        <v>0.14907980000000001</v>
      </c>
      <c r="I6" s="8"/>
      <c r="J6" s="3">
        <v>2017</v>
      </c>
      <c r="K6" s="4">
        <v>4.2012500000000001E-3</v>
      </c>
      <c r="L6" s="4">
        <v>1.04326E-2</v>
      </c>
      <c r="M6" s="8"/>
    </row>
    <row r="7" spans="2:14" x14ac:dyDescent="0.2">
      <c r="B7" s="3">
        <v>2018</v>
      </c>
      <c r="C7" s="4">
        <v>0.15826567</v>
      </c>
      <c r="D7" s="4">
        <v>0.17241709999999999</v>
      </c>
      <c r="E7" s="8"/>
      <c r="F7" s="3">
        <v>2018</v>
      </c>
      <c r="G7" s="4">
        <v>0.14907253000000001</v>
      </c>
      <c r="H7" s="4">
        <v>0.16237670000000001</v>
      </c>
      <c r="I7" s="8"/>
      <c r="J7" s="3">
        <v>2018</v>
      </c>
      <c r="K7" s="4">
        <v>4.4567299999999999E-3</v>
      </c>
      <c r="L7" s="4">
        <v>1.0100700000000001E-2</v>
      </c>
      <c r="M7" s="8"/>
    </row>
    <row r="8" spans="2:14" x14ac:dyDescent="0.2">
      <c r="B8" s="3">
        <v>2019</v>
      </c>
      <c r="C8" s="4">
        <v>0.15746397000000001</v>
      </c>
      <c r="D8" s="4">
        <v>0.16622129999999999</v>
      </c>
      <c r="E8" s="8"/>
      <c r="F8" s="3">
        <v>2019</v>
      </c>
      <c r="G8" s="4">
        <v>0.14793634</v>
      </c>
      <c r="H8" s="4">
        <v>0.15616379999999999</v>
      </c>
      <c r="I8" s="8"/>
      <c r="J8" s="3">
        <v>2019</v>
      </c>
      <c r="K8" s="4">
        <v>4.3683100000000002E-3</v>
      </c>
      <c r="L8" s="4">
        <v>1.00575E-2</v>
      </c>
      <c r="M8" s="8"/>
    </row>
    <row r="9" spans="2:14" x14ac:dyDescent="0.2">
      <c r="B9" s="3">
        <v>2020</v>
      </c>
      <c r="C9" s="4">
        <v>0.13711872999999999</v>
      </c>
      <c r="D9" s="4">
        <v>0.1548986</v>
      </c>
      <c r="E9" s="8"/>
      <c r="F9" s="3">
        <v>2020</v>
      </c>
      <c r="G9" s="4">
        <v>0.1289564</v>
      </c>
      <c r="H9" s="4">
        <v>0.1456672</v>
      </c>
      <c r="I9" s="8"/>
      <c r="J9" s="3">
        <v>2020</v>
      </c>
      <c r="K9" s="4">
        <v>4.5308800000000002E-3</v>
      </c>
      <c r="L9" s="4">
        <v>9.2881000000000005E-3</v>
      </c>
      <c r="M9" s="8"/>
    </row>
    <row r="10" spans="2:14" x14ac:dyDescent="0.2">
      <c r="B10" s="3">
        <v>2021</v>
      </c>
      <c r="C10" s="4">
        <v>0.12693766000000001</v>
      </c>
      <c r="D10" s="4">
        <v>0.13855629999999999</v>
      </c>
      <c r="E10" s="8"/>
      <c r="F10" s="3">
        <v>2021</v>
      </c>
      <c r="G10" s="4">
        <v>0.11845550000000001</v>
      </c>
      <c r="H10" s="4">
        <v>0.12936300000000001</v>
      </c>
      <c r="I10" s="8"/>
      <c r="J10" s="3">
        <v>2021</v>
      </c>
      <c r="K10" s="4">
        <v>3.8222999999999998E-3</v>
      </c>
      <c r="L10" s="4">
        <v>9.2484999999999998E-3</v>
      </c>
      <c r="M10" s="8"/>
    </row>
    <row r="11" spans="2:14" x14ac:dyDescent="0.2">
      <c r="B11" s="3">
        <v>2022</v>
      </c>
      <c r="C11" s="4">
        <v>0.15573416000000001</v>
      </c>
      <c r="D11" s="4">
        <v>0.1572287</v>
      </c>
      <c r="E11" s="8"/>
      <c r="F11" s="3">
        <v>2022</v>
      </c>
      <c r="G11" s="4">
        <v>0.14593250999999999</v>
      </c>
      <c r="H11" s="4">
        <v>0.1473314</v>
      </c>
      <c r="I11" s="8"/>
      <c r="J11" s="3">
        <v>2022</v>
      </c>
      <c r="K11" s="4">
        <v>3.78284E-3</v>
      </c>
      <c r="L11" s="4">
        <v>9.8974000000000006E-3</v>
      </c>
      <c r="M11" s="8"/>
    </row>
    <row r="13" spans="2:14" x14ac:dyDescent="0.2">
      <c r="B13" s="5" t="s">
        <v>4</v>
      </c>
      <c r="C13" s="6">
        <f>C11-C4</f>
        <v>-2.2239799999999865E-3</v>
      </c>
      <c r="D13" s="6">
        <f>D11-D4</f>
        <v>-1.2077900000000003E-2</v>
      </c>
      <c r="E13" s="7"/>
      <c r="F13" s="5" t="s">
        <v>4</v>
      </c>
      <c r="G13" s="6">
        <f>G11-G4</f>
        <v>-2.4215700000000118E-3</v>
      </c>
      <c r="H13" s="6">
        <f>H11-H4</f>
        <v>-1.16811E-2</v>
      </c>
      <c r="I13" s="7"/>
      <c r="J13" s="5" t="s">
        <v>4</v>
      </c>
      <c r="K13" s="6">
        <f>K11-K4</f>
        <v>-1.616100000000004E-4</v>
      </c>
      <c r="L13" s="6">
        <f>L11-L4</f>
        <v>-3.9669999999999983E-4</v>
      </c>
      <c r="M13" s="7"/>
    </row>
    <row r="17" spans="3:12" outlineLevel="1" x14ac:dyDescent="0.2">
      <c r="C17" s="2">
        <f t="shared" ref="C17:D24" si="0">C4*$N$4</f>
        <v>15.795814</v>
      </c>
      <c r="D17" s="2">
        <f t="shared" si="0"/>
        <v>16.93066</v>
      </c>
      <c r="G17" s="2">
        <f t="shared" ref="G17:H24" si="1">G4*$N$4</f>
        <v>14.835407999999999</v>
      </c>
      <c r="H17" s="2">
        <f t="shared" si="1"/>
        <v>15.901250000000001</v>
      </c>
      <c r="K17" s="2">
        <f t="shared" ref="K17:L24" si="2">K4*$N$4</f>
        <v>0.39444500000000005</v>
      </c>
      <c r="L17" s="2">
        <f t="shared" si="2"/>
        <v>1.0294099999999999</v>
      </c>
    </row>
    <row r="18" spans="3:12" outlineLevel="1" x14ac:dyDescent="0.2">
      <c r="C18" s="2">
        <f t="shared" si="0"/>
        <v>13.969860000000001</v>
      </c>
      <c r="D18" s="2">
        <f t="shared" si="0"/>
        <v>15.13958</v>
      </c>
      <c r="G18" s="2">
        <f t="shared" si="1"/>
        <v>12.957646</v>
      </c>
      <c r="H18" s="2">
        <f t="shared" si="1"/>
        <v>14.04261</v>
      </c>
      <c r="K18" s="2">
        <f t="shared" si="2"/>
        <v>0.42436299999999999</v>
      </c>
      <c r="L18" s="2">
        <f t="shared" si="2"/>
        <v>1.0923499999999999</v>
      </c>
    </row>
    <row r="19" spans="3:12" outlineLevel="1" x14ac:dyDescent="0.2">
      <c r="C19" s="2">
        <f t="shared" si="0"/>
        <v>14.456394</v>
      </c>
      <c r="D19" s="2">
        <f t="shared" si="0"/>
        <v>15.945309999999999</v>
      </c>
      <c r="G19" s="2">
        <f t="shared" si="1"/>
        <v>13.510753000000001</v>
      </c>
      <c r="H19" s="2">
        <f t="shared" si="1"/>
        <v>14.907980000000002</v>
      </c>
      <c r="K19" s="2">
        <f t="shared" si="2"/>
        <v>0.42012500000000003</v>
      </c>
      <c r="L19" s="2">
        <f t="shared" si="2"/>
        <v>1.0432600000000001</v>
      </c>
    </row>
    <row r="20" spans="3:12" outlineLevel="1" x14ac:dyDescent="0.2">
      <c r="C20" s="2">
        <f t="shared" si="0"/>
        <v>15.826566999999999</v>
      </c>
      <c r="D20" s="2">
        <f t="shared" si="0"/>
        <v>17.241709999999998</v>
      </c>
      <c r="G20" s="2">
        <f t="shared" si="1"/>
        <v>14.907253000000001</v>
      </c>
      <c r="H20" s="2">
        <f t="shared" si="1"/>
        <v>16.237670000000001</v>
      </c>
      <c r="K20" s="2">
        <f t="shared" si="2"/>
        <v>0.44567299999999999</v>
      </c>
      <c r="L20" s="2">
        <f t="shared" si="2"/>
        <v>1.01007</v>
      </c>
    </row>
    <row r="21" spans="3:12" outlineLevel="1" x14ac:dyDescent="0.2">
      <c r="C21" s="2">
        <f t="shared" si="0"/>
        <v>15.746397000000002</v>
      </c>
      <c r="D21" s="2">
        <f t="shared" si="0"/>
        <v>16.622129999999999</v>
      </c>
      <c r="G21" s="2">
        <f t="shared" si="1"/>
        <v>14.793634000000001</v>
      </c>
      <c r="H21" s="2">
        <f t="shared" si="1"/>
        <v>15.616379999999999</v>
      </c>
      <c r="K21" s="2">
        <f t="shared" si="2"/>
        <v>0.43683100000000002</v>
      </c>
      <c r="L21" s="2">
        <f t="shared" si="2"/>
        <v>1.0057500000000001</v>
      </c>
    </row>
    <row r="22" spans="3:12" outlineLevel="1" x14ac:dyDescent="0.2">
      <c r="C22" s="2">
        <f t="shared" si="0"/>
        <v>13.711872999999999</v>
      </c>
      <c r="D22" s="2">
        <f t="shared" si="0"/>
        <v>15.48986</v>
      </c>
      <c r="G22" s="2">
        <f t="shared" si="1"/>
        <v>12.89564</v>
      </c>
      <c r="H22" s="2">
        <f t="shared" si="1"/>
        <v>14.56672</v>
      </c>
      <c r="K22" s="2">
        <f t="shared" si="2"/>
        <v>0.45308799999999999</v>
      </c>
      <c r="L22" s="2">
        <f t="shared" si="2"/>
        <v>0.92881000000000002</v>
      </c>
    </row>
    <row r="23" spans="3:12" outlineLevel="1" x14ac:dyDescent="0.2">
      <c r="C23" s="2">
        <f t="shared" si="0"/>
        <v>12.693766</v>
      </c>
      <c r="D23" s="2">
        <f t="shared" si="0"/>
        <v>13.85563</v>
      </c>
      <c r="G23" s="2">
        <f t="shared" si="1"/>
        <v>11.845550000000001</v>
      </c>
      <c r="H23" s="2">
        <f t="shared" si="1"/>
        <v>12.936300000000001</v>
      </c>
      <c r="K23" s="2">
        <f t="shared" si="2"/>
        <v>0.38222999999999996</v>
      </c>
      <c r="L23" s="2">
        <f t="shared" si="2"/>
        <v>0.92484999999999995</v>
      </c>
    </row>
    <row r="24" spans="3:12" outlineLevel="1" x14ac:dyDescent="0.2">
      <c r="C24" s="2">
        <f t="shared" si="0"/>
        <v>15.573416000000002</v>
      </c>
      <c r="D24" s="2">
        <f t="shared" si="0"/>
        <v>15.72287</v>
      </c>
      <c r="G24" s="2">
        <f t="shared" si="1"/>
        <v>14.593250999999999</v>
      </c>
      <c r="H24" s="2">
        <f t="shared" si="1"/>
        <v>14.733140000000001</v>
      </c>
      <c r="K24" s="2">
        <f t="shared" si="2"/>
        <v>0.37828400000000001</v>
      </c>
      <c r="L24" s="2">
        <f t="shared" si="2"/>
        <v>0.98974000000000006</v>
      </c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EFD82-B451-EF4F-AE0A-2D2D10ED002D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CC94-C215-BF49-B8D5-FBF90994BD33}">
  <sheetPr>
    <tabColor rgb="FFFFFF00"/>
  </sheetPr>
  <dimension ref="B2:K59"/>
  <sheetViews>
    <sheetView workbookViewId="0">
      <selection activeCell="C4" sqref="C4:C11"/>
    </sheetView>
  </sheetViews>
  <sheetFormatPr baseColWidth="10" defaultRowHeight="16" outlineLevelRow="1" outlineLevelCol="1" x14ac:dyDescent="0.2"/>
  <cols>
    <col min="1" max="1" width="2.6640625" style="2" customWidth="1"/>
    <col min="2" max="2" width="10.83203125" style="2"/>
    <col min="3" max="4" width="13.83203125" style="2" customWidth="1"/>
    <col min="5" max="5" width="10.83203125" style="2"/>
    <col min="6" max="6" width="0" style="2" hidden="1" customWidth="1" outlineLevel="1"/>
    <col min="7" max="7" width="16.6640625" style="2" bestFit="1" customWidth="1" collapsed="1"/>
    <col min="8" max="10" width="10.83203125" style="2"/>
    <col min="11" max="11" width="17.6640625" style="2" bestFit="1" customWidth="1"/>
    <col min="12" max="16384" width="10.83203125" style="2"/>
  </cols>
  <sheetData>
    <row r="2" spans="2:6" x14ac:dyDescent="0.2">
      <c r="B2" s="58" t="s">
        <v>6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5.5914140000000001E-2</v>
      </c>
      <c r="D4" s="4">
        <v>6.4860299999999996E-2</v>
      </c>
      <c r="F4" s="2">
        <v>100</v>
      </c>
    </row>
    <row r="5" spans="2:6" x14ac:dyDescent="0.2">
      <c r="B5" s="3">
        <v>2016</v>
      </c>
      <c r="C5" s="4">
        <v>5.5830850000000001E-2</v>
      </c>
      <c r="D5" s="4">
        <v>6.4589800000000003E-2</v>
      </c>
    </row>
    <row r="6" spans="2:6" x14ac:dyDescent="0.2">
      <c r="B6" s="3">
        <v>2017</v>
      </c>
      <c r="C6" s="4">
        <v>5.5864879999999999E-2</v>
      </c>
      <c r="D6" s="4">
        <v>6.4582600000000004E-2</v>
      </c>
    </row>
    <row r="7" spans="2:6" x14ac:dyDescent="0.2">
      <c r="B7" s="3">
        <v>2018</v>
      </c>
      <c r="C7" s="4">
        <v>5.6337600000000002E-2</v>
      </c>
      <c r="D7" s="4">
        <v>6.4913899999999997E-2</v>
      </c>
    </row>
    <row r="8" spans="2:6" x14ac:dyDescent="0.2">
      <c r="B8" s="3">
        <v>2019</v>
      </c>
      <c r="C8" s="4">
        <v>5.898991E-2</v>
      </c>
      <c r="D8" s="4">
        <v>6.7064100000000001E-2</v>
      </c>
    </row>
    <row r="9" spans="2:6" x14ac:dyDescent="0.2">
      <c r="B9" s="3">
        <v>2020</v>
      </c>
      <c r="C9" s="4">
        <v>5.9774529999999999E-2</v>
      </c>
      <c r="D9" s="4">
        <v>6.9618299999999994E-2</v>
      </c>
    </row>
    <row r="10" spans="2:6" x14ac:dyDescent="0.2">
      <c r="B10" s="3">
        <v>2021</v>
      </c>
      <c r="C10" s="4">
        <v>6.1355170000000001E-2</v>
      </c>
      <c r="D10" s="4">
        <v>7.06928E-2</v>
      </c>
    </row>
    <row r="11" spans="2:6" x14ac:dyDescent="0.2">
      <c r="B11" s="3">
        <v>2022</v>
      </c>
      <c r="C11" s="4">
        <v>6.3826560000000004E-2</v>
      </c>
      <c r="D11" s="4">
        <v>7.1028999999999995E-2</v>
      </c>
    </row>
    <row r="13" spans="2:6" x14ac:dyDescent="0.2">
      <c r="B13" s="5" t="s">
        <v>4</v>
      </c>
      <c r="C13" s="6">
        <f>C11-C4</f>
        <v>7.9124200000000033E-3</v>
      </c>
      <c r="D13" s="6">
        <f>D11-D4</f>
        <v>6.1686999999999992E-3</v>
      </c>
    </row>
    <row r="15" spans="2:6" x14ac:dyDescent="0.2">
      <c r="C15" s="12">
        <f>C11-C4</f>
        <v>7.9124200000000033E-3</v>
      </c>
      <c r="D15" s="12">
        <f>D11-D4</f>
        <v>6.1686999999999992E-3</v>
      </c>
    </row>
    <row r="17" spans="3:4" outlineLevel="1" x14ac:dyDescent="0.2">
      <c r="C17" s="2">
        <f t="shared" ref="C17:D24" si="0">C4*$F$4</f>
        <v>5.5914140000000003</v>
      </c>
      <c r="D17" s="2">
        <f t="shared" si="0"/>
        <v>6.4860299999999995</v>
      </c>
    </row>
    <row r="18" spans="3:4" outlineLevel="1" x14ac:dyDescent="0.2">
      <c r="C18" s="2">
        <f t="shared" si="0"/>
        <v>5.5830850000000005</v>
      </c>
      <c r="D18" s="2">
        <f t="shared" si="0"/>
        <v>6.4589800000000004</v>
      </c>
    </row>
    <row r="19" spans="3:4" outlineLevel="1" x14ac:dyDescent="0.2">
      <c r="C19" s="2">
        <f t="shared" si="0"/>
        <v>5.5864880000000001</v>
      </c>
      <c r="D19" s="2">
        <f t="shared" si="0"/>
        <v>6.4582600000000001</v>
      </c>
    </row>
    <row r="20" spans="3:4" outlineLevel="1" x14ac:dyDescent="0.2">
      <c r="C20" s="2">
        <f t="shared" si="0"/>
        <v>5.6337600000000005</v>
      </c>
      <c r="D20" s="2">
        <f t="shared" si="0"/>
        <v>6.49139</v>
      </c>
    </row>
    <row r="21" spans="3:4" outlineLevel="1" x14ac:dyDescent="0.2">
      <c r="C21" s="2">
        <f t="shared" si="0"/>
        <v>5.8989909999999997</v>
      </c>
      <c r="D21" s="2">
        <f t="shared" si="0"/>
        <v>6.70641</v>
      </c>
    </row>
    <row r="22" spans="3:4" outlineLevel="1" x14ac:dyDescent="0.2">
      <c r="C22" s="2">
        <f t="shared" si="0"/>
        <v>5.9774529999999997</v>
      </c>
      <c r="D22" s="2">
        <f t="shared" si="0"/>
        <v>6.9618299999999991</v>
      </c>
    </row>
    <row r="23" spans="3:4" outlineLevel="1" x14ac:dyDescent="0.2">
      <c r="C23" s="2">
        <f t="shared" si="0"/>
        <v>6.1355170000000001</v>
      </c>
      <c r="D23" s="2">
        <f t="shared" si="0"/>
        <v>7.06928</v>
      </c>
    </row>
    <row r="24" spans="3:4" outlineLevel="1" x14ac:dyDescent="0.2">
      <c r="C24" s="2">
        <f t="shared" si="0"/>
        <v>6.3826560000000008</v>
      </c>
      <c r="D24" s="2">
        <f t="shared" si="0"/>
        <v>7.1028999999999991</v>
      </c>
    </row>
    <row r="26" spans="3:4" x14ac:dyDescent="0.2">
      <c r="C26" s="11"/>
    </row>
    <row r="47" spans="11:11" x14ac:dyDescent="0.2">
      <c r="K47" s="10"/>
    </row>
    <row r="50" spans="7:11" x14ac:dyDescent="0.2">
      <c r="K50" s="10"/>
    </row>
    <row r="51" spans="7:11" x14ac:dyDescent="0.2">
      <c r="I51" s="13"/>
    </row>
    <row r="52" spans="7:11" x14ac:dyDescent="0.2">
      <c r="G52" s="10"/>
    </row>
    <row r="53" spans="7:11" x14ac:dyDescent="0.2">
      <c r="G53" s="10"/>
    </row>
    <row r="54" spans="7:11" x14ac:dyDescent="0.2">
      <c r="G54" s="10"/>
    </row>
    <row r="55" spans="7:11" x14ac:dyDescent="0.2">
      <c r="G55" s="10"/>
    </row>
    <row r="56" spans="7:11" x14ac:dyDescent="0.2">
      <c r="G56" s="10"/>
    </row>
    <row r="57" spans="7:11" x14ac:dyDescent="0.2">
      <c r="G57" s="10"/>
    </row>
    <row r="58" spans="7:11" x14ac:dyDescent="0.2">
      <c r="G58" s="10"/>
    </row>
    <row r="59" spans="7:11" x14ac:dyDescent="0.2">
      <c r="G59" s="10"/>
    </row>
  </sheetData>
  <mergeCells count="1">
    <mergeCell ref="B2:D2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447F-11EF-FE46-BFEB-C9AC30246EE2}">
  <sheetPr>
    <tabColor rgb="FFFFFF00"/>
  </sheetPr>
  <dimension ref="B2:K59"/>
  <sheetViews>
    <sheetView workbookViewId="0">
      <selection activeCell="C4" sqref="C4:C11"/>
    </sheetView>
  </sheetViews>
  <sheetFormatPr baseColWidth="10" defaultRowHeight="16" outlineLevelRow="1" outlineLevelCol="1" x14ac:dyDescent="0.2"/>
  <cols>
    <col min="1" max="1" width="2.6640625" style="2" customWidth="1"/>
    <col min="2" max="2" width="10.83203125" style="2"/>
    <col min="3" max="4" width="13.83203125" style="2" customWidth="1"/>
    <col min="5" max="5" width="10.83203125" style="2"/>
    <col min="6" max="6" width="0" style="2" hidden="1" customWidth="1" outlineLevel="1"/>
    <col min="7" max="7" width="16.6640625" style="2" bestFit="1" customWidth="1" collapsed="1"/>
    <col min="8" max="10" width="10.83203125" style="2"/>
    <col min="11" max="11" width="17.6640625" style="2" bestFit="1" customWidth="1"/>
    <col min="12" max="16384" width="10.83203125" style="2"/>
  </cols>
  <sheetData>
    <row r="2" spans="2:6" x14ac:dyDescent="0.2">
      <c r="B2" s="58" t="s">
        <v>6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7.0091780000000006E-2</v>
      </c>
      <c r="D4" s="4">
        <v>7.4946700000000005E-2</v>
      </c>
      <c r="F4" s="2">
        <v>100</v>
      </c>
    </row>
    <row r="5" spans="2:6" x14ac:dyDescent="0.2">
      <c r="B5" s="3">
        <v>2016</v>
      </c>
      <c r="C5" s="4">
        <v>7.2428999999999993E-2</v>
      </c>
      <c r="D5" s="4">
        <v>7.7358899999999994E-2</v>
      </c>
    </row>
    <row r="6" spans="2:6" x14ac:dyDescent="0.2">
      <c r="B6" s="3">
        <v>2017</v>
      </c>
      <c r="C6" s="4">
        <v>7.180483E-2</v>
      </c>
      <c r="D6" s="4">
        <v>7.6229900000000003E-2</v>
      </c>
    </row>
    <row r="7" spans="2:6" x14ac:dyDescent="0.2">
      <c r="B7" s="3">
        <v>2018</v>
      </c>
      <c r="C7" s="4">
        <v>7.3342069999999995E-2</v>
      </c>
      <c r="D7" s="4">
        <v>7.7525200000000002E-2</v>
      </c>
    </row>
    <row r="8" spans="2:6" x14ac:dyDescent="0.2">
      <c r="B8" s="3">
        <v>2019</v>
      </c>
      <c r="C8" s="4">
        <v>7.1677939999999996E-2</v>
      </c>
      <c r="D8" s="4">
        <v>7.68065E-2</v>
      </c>
    </row>
    <row r="9" spans="2:6" x14ac:dyDescent="0.2">
      <c r="B9" s="3">
        <v>2020</v>
      </c>
      <c r="C9" s="4">
        <v>7.5573890000000005E-2</v>
      </c>
      <c r="D9" s="4">
        <v>7.8801200000000002E-2</v>
      </c>
    </row>
    <row r="10" spans="2:6" x14ac:dyDescent="0.2">
      <c r="B10" s="3">
        <v>2021</v>
      </c>
      <c r="C10" s="4">
        <v>7.4738780000000005E-2</v>
      </c>
      <c r="D10" s="4">
        <v>7.80362E-2</v>
      </c>
    </row>
    <row r="11" spans="2:6" x14ac:dyDescent="0.2">
      <c r="B11" s="3">
        <v>2022</v>
      </c>
      <c r="C11" s="4">
        <v>7.7200260000000007E-2</v>
      </c>
      <c r="D11" s="4">
        <v>7.9305299999999995E-2</v>
      </c>
    </row>
    <row r="13" spans="2:6" x14ac:dyDescent="0.2">
      <c r="B13" s="5" t="s">
        <v>4</v>
      </c>
      <c r="C13" s="6">
        <f>C11-C4</f>
        <v>7.1084800000000004E-3</v>
      </c>
      <c r="D13" s="6">
        <f>D11-D4</f>
        <v>4.3585999999999903E-3</v>
      </c>
    </row>
    <row r="15" spans="2:6" x14ac:dyDescent="0.2">
      <c r="C15" s="12">
        <f>C11-C4</f>
        <v>7.1084800000000004E-3</v>
      </c>
      <c r="D15" s="12">
        <f>D11-D4</f>
        <v>4.3585999999999903E-3</v>
      </c>
    </row>
    <row r="17" spans="3:4" outlineLevel="1" x14ac:dyDescent="0.2">
      <c r="C17" s="2">
        <f t="shared" ref="C17:D24" si="0">C4*$F$4</f>
        <v>7.0091780000000004</v>
      </c>
      <c r="D17" s="2">
        <f t="shared" si="0"/>
        <v>7.4946700000000002</v>
      </c>
    </row>
    <row r="18" spans="3:4" outlineLevel="1" x14ac:dyDescent="0.2">
      <c r="C18" s="2">
        <f t="shared" si="0"/>
        <v>7.2428999999999997</v>
      </c>
      <c r="D18" s="2">
        <f t="shared" si="0"/>
        <v>7.7358899999999995</v>
      </c>
    </row>
    <row r="19" spans="3:4" outlineLevel="1" x14ac:dyDescent="0.2">
      <c r="C19" s="2">
        <f t="shared" si="0"/>
        <v>7.1804829999999997</v>
      </c>
      <c r="D19" s="2">
        <f t="shared" si="0"/>
        <v>7.6229900000000006</v>
      </c>
    </row>
    <row r="20" spans="3:4" outlineLevel="1" x14ac:dyDescent="0.2">
      <c r="C20" s="2">
        <f t="shared" si="0"/>
        <v>7.3342069999999993</v>
      </c>
      <c r="D20" s="2">
        <f t="shared" si="0"/>
        <v>7.7525200000000005</v>
      </c>
    </row>
    <row r="21" spans="3:4" outlineLevel="1" x14ac:dyDescent="0.2">
      <c r="C21" s="2">
        <f t="shared" si="0"/>
        <v>7.1677939999999998</v>
      </c>
      <c r="D21" s="2">
        <f t="shared" si="0"/>
        <v>7.68065</v>
      </c>
    </row>
    <row r="22" spans="3:4" outlineLevel="1" x14ac:dyDescent="0.2">
      <c r="C22" s="2">
        <f t="shared" si="0"/>
        <v>7.5573890000000006</v>
      </c>
      <c r="D22" s="2">
        <f t="shared" si="0"/>
        <v>7.8801199999999998</v>
      </c>
    </row>
    <row r="23" spans="3:4" outlineLevel="1" x14ac:dyDescent="0.2">
      <c r="C23" s="2">
        <f t="shared" si="0"/>
        <v>7.4738780000000009</v>
      </c>
      <c r="D23" s="2">
        <f t="shared" si="0"/>
        <v>7.8036200000000004</v>
      </c>
    </row>
    <row r="24" spans="3:4" outlineLevel="1" x14ac:dyDescent="0.2">
      <c r="C24" s="2">
        <f t="shared" si="0"/>
        <v>7.7200260000000007</v>
      </c>
      <c r="D24" s="2">
        <f t="shared" si="0"/>
        <v>7.9305299999999992</v>
      </c>
    </row>
    <row r="26" spans="3:4" x14ac:dyDescent="0.2">
      <c r="C26" s="11"/>
    </row>
    <row r="47" spans="11:11" x14ac:dyDescent="0.2">
      <c r="K47" s="10"/>
    </row>
    <row r="50" spans="7:11" x14ac:dyDescent="0.2">
      <c r="K50" s="10"/>
    </row>
    <row r="52" spans="7:11" x14ac:dyDescent="0.2">
      <c r="G52" s="10"/>
    </row>
    <row r="53" spans="7:11" x14ac:dyDescent="0.2">
      <c r="G53" s="10"/>
    </row>
    <row r="54" spans="7:11" x14ac:dyDescent="0.2">
      <c r="G54" s="10"/>
    </row>
    <row r="55" spans="7:11" x14ac:dyDescent="0.2">
      <c r="G55" s="10"/>
    </row>
    <row r="56" spans="7:11" x14ac:dyDescent="0.2">
      <c r="G56" s="10"/>
    </row>
    <row r="57" spans="7:11" x14ac:dyDescent="0.2">
      <c r="G57" s="10"/>
    </row>
    <row r="58" spans="7:11" x14ac:dyDescent="0.2">
      <c r="G58" s="10"/>
    </row>
    <row r="59" spans="7:11" x14ac:dyDescent="0.2">
      <c r="G59" s="10"/>
    </row>
  </sheetData>
  <mergeCells count="1">
    <mergeCell ref="B2:D2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36E0-390C-1846-8A1D-668F8DFFFB22}">
  <sheetPr>
    <tabColor rgb="FFFFFF00"/>
  </sheetPr>
  <dimension ref="B2:K59"/>
  <sheetViews>
    <sheetView workbookViewId="0">
      <selection activeCell="C4" sqref="C4:C11"/>
    </sheetView>
  </sheetViews>
  <sheetFormatPr baseColWidth="10" defaultRowHeight="16" outlineLevelRow="1" outlineLevelCol="1" x14ac:dyDescent="0.2"/>
  <cols>
    <col min="1" max="1" width="2.6640625" style="2" customWidth="1"/>
    <col min="2" max="2" width="10.83203125" style="2"/>
    <col min="3" max="4" width="13.83203125" style="2" customWidth="1"/>
    <col min="5" max="5" width="10.83203125" style="2"/>
    <col min="6" max="6" width="0" style="2" hidden="1" customWidth="1" outlineLevel="1"/>
    <col min="7" max="7" width="16.6640625" style="2" bestFit="1" customWidth="1" collapsed="1"/>
    <col min="8" max="10" width="10.83203125" style="2"/>
    <col min="11" max="11" width="17.6640625" style="2" bestFit="1" customWidth="1"/>
    <col min="12" max="16384" width="10.83203125" style="2"/>
  </cols>
  <sheetData>
    <row r="2" spans="2:6" x14ac:dyDescent="0.2">
      <c r="B2" s="58" t="s">
        <v>6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5.1963139999999998E-2</v>
      </c>
      <c r="D4" s="4">
        <v>5.2020799999999999E-2</v>
      </c>
      <c r="F4" s="2">
        <v>100</v>
      </c>
    </row>
    <row r="5" spans="2:6" x14ac:dyDescent="0.2">
      <c r="B5" s="3">
        <v>2016</v>
      </c>
      <c r="C5" s="4">
        <v>5.229143E-2</v>
      </c>
      <c r="D5" s="4">
        <v>5.2390800000000001E-2</v>
      </c>
    </row>
    <row r="6" spans="2:6" x14ac:dyDescent="0.2">
      <c r="B6" s="3">
        <v>2017</v>
      </c>
      <c r="C6" s="4">
        <v>5.1469849999999998E-2</v>
      </c>
      <c r="D6" s="4">
        <v>5.1874499999999997E-2</v>
      </c>
    </row>
    <row r="7" spans="2:6" x14ac:dyDescent="0.2">
      <c r="B7" s="3">
        <v>2018</v>
      </c>
      <c r="C7" s="4">
        <v>5.1463509999999997E-2</v>
      </c>
      <c r="D7" s="4">
        <v>5.28152E-2</v>
      </c>
    </row>
    <row r="8" spans="2:6" x14ac:dyDescent="0.2">
      <c r="B8" s="3">
        <v>2019</v>
      </c>
      <c r="C8" s="4">
        <v>5.1486410000000003E-2</v>
      </c>
      <c r="D8" s="4">
        <v>5.1779800000000001E-2</v>
      </c>
    </row>
    <row r="9" spans="2:6" x14ac:dyDescent="0.2">
      <c r="B9" s="3">
        <v>2020</v>
      </c>
      <c r="C9" s="4">
        <v>5.3686379999999999E-2</v>
      </c>
      <c r="D9" s="4">
        <v>5.3762699999999997E-2</v>
      </c>
    </row>
    <row r="10" spans="2:6" x14ac:dyDescent="0.2">
      <c r="B10" s="3">
        <v>2021</v>
      </c>
      <c r="C10" s="4">
        <v>5.244559E-2</v>
      </c>
      <c r="D10" s="4">
        <v>5.2879799999999998E-2</v>
      </c>
    </row>
    <row r="11" spans="2:6" x14ac:dyDescent="0.2">
      <c r="B11" s="3">
        <v>2022</v>
      </c>
      <c r="C11" s="4">
        <v>5.7364529999999997E-2</v>
      </c>
      <c r="D11" s="4">
        <v>5.4380100000000001E-2</v>
      </c>
    </row>
    <row r="13" spans="2:6" x14ac:dyDescent="0.2">
      <c r="B13" s="5" t="s">
        <v>4</v>
      </c>
      <c r="C13" s="6">
        <f>C11-C4</f>
        <v>5.401389999999999E-3</v>
      </c>
      <c r="D13" s="6">
        <f>D11-D4</f>
        <v>2.3593000000000017E-3</v>
      </c>
    </row>
    <row r="15" spans="2:6" x14ac:dyDescent="0.2">
      <c r="C15" s="12">
        <f>C11-C4</f>
        <v>5.401389999999999E-3</v>
      </c>
      <c r="D15" s="12">
        <f>D11-D4</f>
        <v>2.3593000000000017E-3</v>
      </c>
    </row>
    <row r="17" spans="3:4" outlineLevel="1" x14ac:dyDescent="0.2">
      <c r="C17" s="2">
        <f t="shared" ref="C17:D24" si="0">C4*$F$4</f>
        <v>5.1963140000000001</v>
      </c>
      <c r="D17" s="2">
        <f t="shared" si="0"/>
        <v>5.2020799999999996</v>
      </c>
    </row>
    <row r="18" spans="3:4" outlineLevel="1" x14ac:dyDescent="0.2">
      <c r="C18" s="2">
        <f t="shared" si="0"/>
        <v>5.2291429999999997</v>
      </c>
      <c r="D18" s="2">
        <f t="shared" si="0"/>
        <v>5.2390800000000004</v>
      </c>
    </row>
    <row r="19" spans="3:4" outlineLevel="1" x14ac:dyDescent="0.2">
      <c r="C19" s="2">
        <f t="shared" si="0"/>
        <v>5.1469849999999999</v>
      </c>
      <c r="D19" s="2">
        <f t="shared" si="0"/>
        <v>5.1874500000000001</v>
      </c>
    </row>
    <row r="20" spans="3:4" outlineLevel="1" x14ac:dyDescent="0.2">
      <c r="C20" s="2">
        <f t="shared" si="0"/>
        <v>5.1463510000000001</v>
      </c>
      <c r="D20" s="2">
        <f t="shared" si="0"/>
        <v>5.2815199999999995</v>
      </c>
    </row>
    <row r="21" spans="3:4" outlineLevel="1" x14ac:dyDescent="0.2">
      <c r="C21" s="2">
        <f t="shared" si="0"/>
        <v>5.1486410000000005</v>
      </c>
      <c r="D21" s="2">
        <f t="shared" si="0"/>
        <v>5.1779799999999998</v>
      </c>
    </row>
    <row r="22" spans="3:4" outlineLevel="1" x14ac:dyDescent="0.2">
      <c r="C22" s="2">
        <f t="shared" si="0"/>
        <v>5.3686379999999998</v>
      </c>
      <c r="D22" s="2">
        <f t="shared" si="0"/>
        <v>5.3762699999999999</v>
      </c>
    </row>
    <row r="23" spans="3:4" outlineLevel="1" x14ac:dyDescent="0.2">
      <c r="C23" s="2">
        <f t="shared" si="0"/>
        <v>5.2445589999999997</v>
      </c>
      <c r="D23" s="2">
        <f t="shared" si="0"/>
        <v>5.2879800000000001</v>
      </c>
    </row>
    <row r="24" spans="3:4" outlineLevel="1" x14ac:dyDescent="0.2">
      <c r="C24" s="2">
        <f t="shared" si="0"/>
        <v>5.736453</v>
      </c>
      <c r="D24" s="2">
        <f t="shared" si="0"/>
        <v>5.4380100000000002</v>
      </c>
    </row>
    <row r="26" spans="3:4" x14ac:dyDescent="0.2">
      <c r="C26" s="11"/>
    </row>
    <row r="46" spans="9:11" x14ac:dyDescent="0.2">
      <c r="I46" s="13"/>
    </row>
    <row r="47" spans="9:11" x14ac:dyDescent="0.2">
      <c r="K47" s="10"/>
    </row>
    <row r="50" spans="7:11" x14ac:dyDescent="0.2">
      <c r="K50" s="10"/>
    </row>
    <row r="52" spans="7:11" x14ac:dyDescent="0.2">
      <c r="G52" s="10"/>
    </row>
    <row r="53" spans="7:11" x14ac:dyDescent="0.2">
      <c r="G53" s="10"/>
    </row>
    <row r="54" spans="7:11" x14ac:dyDescent="0.2">
      <c r="G54" s="10"/>
    </row>
    <row r="55" spans="7:11" x14ac:dyDescent="0.2">
      <c r="G55" s="10"/>
    </row>
    <row r="56" spans="7:11" x14ac:dyDescent="0.2">
      <c r="G56" s="10"/>
    </row>
    <row r="57" spans="7:11" x14ac:dyDescent="0.2">
      <c r="G57" s="10"/>
    </row>
    <row r="58" spans="7:11" x14ac:dyDescent="0.2">
      <c r="G58" s="10"/>
    </row>
    <row r="59" spans="7:11" x14ac:dyDescent="0.2">
      <c r="G59" s="10"/>
    </row>
  </sheetData>
  <mergeCells count="1">
    <mergeCell ref="B2:D2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B487-1299-3C43-8732-1F50C4989F1F}">
  <sheetPr>
    <tabColor rgb="FFFFFF00"/>
  </sheetPr>
  <dimension ref="B1:O45"/>
  <sheetViews>
    <sheetView topLeftCell="O1" workbookViewId="0">
      <selection activeCell="AB34" sqref="AB34"/>
    </sheetView>
  </sheetViews>
  <sheetFormatPr baseColWidth="10" defaultRowHeight="16" outlineLevelRow="1" outlineLevelCol="1" x14ac:dyDescent="0.2"/>
  <cols>
    <col min="1" max="1" width="2.6640625" style="2" customWidth="1"/>
    <col min="2" max="2" width="13.1640625" style="2" customWidth="1"/>
    <col min="3" max="4" width="13.83203125" style="2" customWidth="1"/>
    <col min="5" max="5" width="3.1640625" style="2" customWidth="1"/>
    <col min="6" max="8" width="13.83203125" style="2" customWidth="1"/>
    <col min="9" max="9" width="2.33203125" style="2" customWidth="1"/>
    <col min="10" max="12" width="13.83203125" style="2" customWidth="1"/>
    <col min="13" max="13" width="2.5" style="2" customWidth="1"/>
    <col min="14" max="14" width="0" style="2" hidden="1" customWidth="1" outlineLevel="1"/>
    <col min="15" max="15" width="10.83203125" style="2" collapsed="1"/>
    <col min="16" max="16384" width="10.83203125" style="2"/>
  </cols>
  <sheetData>
    <row r="1" spans="2:14" ht="10" customHeight="1" x14ac:dyDescent="0.2"/>
    <row r="2" spans="2:14" x14ac:dyDescent="0.2">
      <c r="B2" s="58" t="s">
        <v>5</v>
      </c>
      <c r="C2" s="58"/>
      <c r="D2" s="58"/>
      <c r="E2" s="9"/>
      <c r="F2" s="58" t="s">
        <v>0</v>
      </c>
      <c r="G2" s="58"/>
      <c r="H2" s="58"/>
      <c r="I2" s="9"/>
      <c r="J2" s="58" t="s">
        <v>6</v>
      </c>
      <c r="K2" s="58"/>
      <c r="L2" s="58"/>
      <c r="M2" s="9"/>
    </row>
    <row r="3" spans="2:14" x14ac:dyDescent="0.2">
      <c r="B3" s="1" t="s">
        <v>1</v>
      </c>
      <c r="C3" s="1" t="s">
        <v>2</v>
      </c>
      <c r="D3" s="1" t="s">
        <v>3</v>
      </c>
      <c r="E3" s="9"/>
      <c r="F3" s="1" t="s">
        <v>1</v>
      </c>
      <c r="G3" s="1" t="s">
        <v>2</v>
      </c>
      <c r="H3" s="1" t="s">
        <v>3</v>
      </c>
      <c r="I3" s="9"/>
      <c r="J3" s="1" t="s">
        <v>1</v>
      </c>
      <c r="K3" s="1" t="s">
        <v>2</v>
      </c>
      <c r="L3" s="1" t="s">
        <v>3</v>
      </c>
      <c r="M3" s="9"/>
    </row>
    <row r="4" spans="2:14" x14ac:dyDescent="0.2">
      <c r="B4" s="3">
        <v>2015</v>
      </c>
      <c r="C4" s="4">
        <v>3.9071349999999998E-2</v>
      </c>
      <c r="D4" s="4">
        <v>5.6153599999999998E-2</v>
      </c>
      <c r="E4" s="8"/>
      <c r="F4" s="3">
        <v>2015</v>
      </c>
      <c r="G4" s="4">
        <v>2.1668929999999999E-2</v>
      </c>
      <c r="H4" s="4">
        <v>2.3875799999999999E-2</v>
      </c>
      <c r="I4" s="8"/>
      <c r="J4" s="3">
        <v>2015</v>
      </c>
      <c r="K4" s="4">
        <v>1.7404679999999999E-2</v>
      </c>
      <c r="L4" s="4">
        <v>1.9369399999999998E-2</v>
      </c>
      <c r="M4" s="8"/>
      <c r="N4" s="2">
        <v>100</v>
      </c>
    </row>
    <row r="5" spans="2:14" x14ac:dyDescent="0.2">
      <c r="B5" s="3">
        <v>2016</v>
      </c>
      <c r="C5" s="4">
        <v>3.8736890000000003E-2</v>
      </c>
      <c r="D5" s="4">
        <v>5.7260900000000003E-2</v>
      </c>
      <c r="E5" s="8"/>
      <c r="F5" s="3">
        <v>2016</v>
      </c>
      <c r="G5" s="4">
        <v>2.112E-2</v>
      </c>
      <c r="H5" s="4">
        <v>2.3512700000000001E-2</v>
      </c>
      <c r="I5" s="8"/>
      <c r="J5" s="3">
        <v>2016</v>
      </c>
      <c r="K5" s="4">
        <v>1.7618740000000001E-2</v>
      </c>
      <c r="L5" s="4">
        <v>1.9739900000000001E-2</v>
      </c>
      <c r="M5" s="8"/>
    </row>
    <row r="6" spans="2:14" x14ac:dyDescent="0.2">
      <c r="B6" s="3">
        <v>2017</v>
      </c>
      <c r="C6" s="4">
        <v>3.79438E-2</v>
      </c>
      <c r="D6" s="4">
        <v>5.7226100000000002E-2</v>
      </c>
      <c r="E6" s="8"/>
      <c r="F6" s="3">
        <v>2017</v>
      </c>
      <c r="G6" s="4">
        <v>2.0463060000000002E-2</v>
      </c>
      <c r="H6" s="4">
        <v>2.2924799999999999E-2</v>
      </c>
      <c r="I6" s="8"/>
      <c r="J6" s="3">
        <v>2017</v>
      </c>
      <c r="K6" s="4">
        <v>1.7483430000000001E-2</v>
      </c>
      <c r="L6" s="4">
        <v>1.96946E-2</v>
      </c>
      <c r="M6" s="8"/>
    </row>
    <row r="7" spans="2:14" x14ac:dyDescent="0.2">
      <c r="B7" s="3">
        <v>2018</v>
      </c>
      <c r="C7" s="4">
        <v>3.7079250000000001E-2</v>
      </c>
      <c r="D7" s="4">
        <v>5.876E-2</v>
      </c>
      <c r="E7" s="8"/>
      <c r="F7" s="3">
        <v>2018</v>
      </c>
      <c r="G7" s="4">
        <v>1.9598190000000001E-2</v>
      </c>
      <c r="H7" s="4">
        <v>2.21505E-2</v>
      </c>
      <c r="I7" s="8"/>
      <c r="J7" s="3">
        <v>2018</v>
      </c>
      <c r="K7" s="4">
        <v>1.7484909999999999E-2</v>
      </c>
      <c r="L7" s="4">
        <v>1.9780699999999998E-2</v>
      </c>
      <c r="M7" s="8"/>
    </row>
    <row r="8" spans="2:14" x14ac:dyDescent="0.2">
      <c r="B8" s="3">
        <v>2019</v>
      </c>
      <c r="C8" s="4">
        <v>3.7259029999999999E-2</v>
      </c>
      <c r="D8" s="4">
        <v>5.8298299999999997E-2</v>
      </c>
      <c r="E8" s="8"/>
      <c r="F8" s="3">
        <v>2019</v>
      </c>
      <c r="G8" s="4">
        <v>1.9529419999999999E-2</v>
      </c>
      <c r="H8" s="4">
        <v>2.2039199999999998E-2</v>
      </c>
      <c r="I8" s="8"/>
      <c r="J8" s="3">
        <v>2019</v>
      </c>
      <c r="K8" s="4">
        <v>1.7734429999999999E-2</v>
      </c>
      <c r="L8" s="4">
        <v>1.9990500000000001E-2</v>
      </c>
      <c r="M8" s="8"/>
    </row>
    <row r="9" spans="2:14" x14ac:dyDescent="0.2">
      <c r="B9" s="3">
        <v>2020</v>
      </c>
      <c r="C9" s="4">
        <v>4.1849270000000001E-2</v>
      </c>
      <c r="D9" s="4">
        <v>5.8324300000000003E-2</v>
      </c>
      <c r="E9" s="8"/>
      <c r="F9" s="3">
        <v>2020</v>
      </c>
      <c r="G9" s="4">
        <v>2.231762E-2</v>
      </c>
      <c r="H9" s="4">
        <v>2.4411800000000001E-2</v>
      </c>
      <c r="I9" s="8"/>
      <c r="J9" s="3">
        <v>2020</v>
      </c>
      <c r="K9" s="4">
        <v>1.9542770000000001E-2</v>
      </c>
      <c r="L9" s="4">
        <v>2.14611E-2</v>
      </c>
      <c r="M9" s="8"/>
    </row>
    <row r="10" spans="2:14" x14ac:dyDescent="0.2">
      <c r="B10" s="3">
        <v>2021</v>
      </c>
      <c r="C10" s="4">
        <v>4.1933529999999997E-2</v>
      </c>
      <c r="D10" s="4">
        <v>5.7665800000000003E-2</v>
      </c>
      <c r="E10" s="8"/>
      <c r="F10" s="3">
        <v>2021</v>
      </c>
      <c r="G10" s="4">
        <v>2.193378E-2</v>
      </c>
      <c r="H10" s="4">
        <v>2.4105000000000001E-2</v>
      </c>
      <c r="I10" s="8"/>
      <c r="J10" s="3">
        <v>2021</v>
      </c>
      <c r="K10" s="4">
        <v>2.00181E-2</v>
      </c>
      <c r="L10" s="4">
        <v>2.19332E-2</v>
      </c>
      <c r="M10" s="8"/>
    </row>
    <row r="11" spans="2:14" x14ac:dyDescent="0.2">
      <c r="B11" s="3">
        <v>2022</v>
      </c>
      <c r="C11" s="4">
        <v>4.3273039999999999E-2</v>
      </c>
      <c r="D11" s="4">
        <v>5.6520399999999998E-2</v>
      </c>
      <c r="E11" s="8"/>
      <c r="F11" s="3">
        <v>2022</v>
      </c>
      <c r="G11" s="4">
        <v>2.108086E-2</v>
      </c>
      <c r="H11" s="4">
        <v>2.3013100000000002E-2</v>
      </c>
      <c r="I11" s="8"/>
      <c r="J11" s="3">
        <v>2022</v>
      </c>
      <c r="K11" s="4">
        <v>2.220687E-2</v>
      </c>
      <c r="L11" s="4">
        <v>2.3538E-2</v>
      </c>
      <c r="M11" s="8"/>
    </row>
    <row r="13" spans="2:14" x14ac:dyDescent="0.2">
      <c r="B13" s="5" t="s">
        <v>4</v>
      </c>
      <c r="C13" s="6">
        <f>C11-C4</f>
        <v>4.201690000000001E-3</v>
      </c>
      <c r="D13" s="6">
        <f>D11-D4</f>
        <v>3.6680000000000046E-4</v>
      </c>
      <c r="E13" s="7"/>
      <c r="F13" s="5" t="s">
        <v>4</v>
      </c>
      <c r="G13" s="6">
        <f>G11-G4</f>
        <v>-5.8806999999999957E-4</v>
      </c>
      <c r="H13" s="6">
        <f>H11-H4</f>
        <v>-8.626999999999975E-4</v>
      </c>
      <c r="I13" s="7"/>
      <c r="J13" s="5" t="s">
        <v>4</v>
      </c>
      <c r="K13" s="6">
        <f>K11-K4</f>
        <v>4.8021900000000013E-3</v>
      </c>
      <c r="L13" s="6">
        <f>L11-L4</f>
        <v>4.1686000000000015E-3</v>
      </c>
      <c r="M13" s="7"/>
    </row>
    <row r="17" spans="3:15" outlineLevel="1" x14ac:dyDescent="0.2">
      <c r="C17" s="2">
        <f t="shared" ref="C17:D24" si="0">C4*$N$4</f>
        <v>3.9071349999999998</v>
      </c>
      <c r="D17" s="2">
        <f t="shared" si="0"/>
        <v>5.6153599999999999</v>
      </c>
      <c r="G17" s="2">
        <f t="shared" ref="G17:H24" si="1">G4*$N$4</f>
        <v>2.166893</v>
      </c>
      <c r="H17" s="2">
        <f t="shared" si="1"/>
        <v>2.3875799999999998</v>
      </c>
      <c r="K17" s="2">
        <f t="shared" ref="K17:L24" si="2">K4*$N$4</f>
        <v>1.7404679999999999</v>
      </c>
      <c r="L17" s="2">
        <f t="shared" si="2"/>
        <v>1.9369399999999999</v>
      </c>
    </row>
    <row r="18" spans="3:15" outlineLevel="1" x14ac:dyDescent="0.2">
      <c r="C18" s="2">
        <f t="shared" si="0"/>
        <v>3.8736890000000002</v>
      </c>
      <c r="D18" s="2">
        <f t="shared" si="0"/>
        <v>5.7260900000000001</v>
      </c>
      <c r="G18" s="2">
        <f t="shared" si="1"/>
        <v>2.1120000000000001</v>
      </c>
      <c r="H18" s="2">
        <f t="shared" si="1"/>
        <v>2.35127</v>
      </c>
      <c r="K18" s="2">
        <f t="shared" si="2"/>
        <v>1.7618740000000002</v>
      </c>
      <c r="L18" s="2">
        <f t="shared" si="2"/>
        <v>1.9739900000000001</v>
      </c>
    </row>
    <row r="19" spans="3:15" outlineLevel="1" x14ac:dyDescent="0.2">
      <c r="C19" s="2">
        <f t="shared" si="0"/>
        <v>3.7943799999999999</v>
      </c>
      <c r="D19" s="2">
        <f t="shared" si="0"/>
        <v>5.7226100000000004</v>
      </c>
      <c r="G19" s="2">
        <f t="shared" si="1"/>
        <v>2.046306</v>
      </c>
      <c r="H19" s="2">
        <f t="shared" si="1"/>
        <v>2.2924799999999999</v>
      </c>
      <c r="K19" s="2">
        <f t="shared" si="2"/>
        <v>1.7483430000000002</v>
      </c>
      <c r="L19" s="2">
        <f t="shared" si="2"/>
        <v>1.96946</v>
      </c>
    </row>
    <row r="20" spans="3:15" outlineLevel="1" x14ac:dyDescent="0.2">
      <c r="C20" s="2">
        <f t="shared" si="0"/>
        <v>3.7079249999999999</v>
      </c>
      <c r="D20" s="2">
        <f t="shared" si="0"/>
        <v>5.8760000000000003</v>
      </c>
      <c r="G20" s="2">
        <f t="shared" si="1"/>
        <v>1.9598190000000002</v>
      </c>
      <c r="H20" s="2">
        <f t="shared" si="1"/>
        <v>2.2150500000000002</v>
      </c>
      <c r="K20" s="2">
        <f t="shared" si="2"/>
        <v>1.748491</v>
      </c>
      <c r="L20" s="2">
        <f t="shared" si="2"/>
        <v>1.9780699999999998</v>
      </c>
    </row>
    <row r="21" spans="3:15" outlineLevel="1" x14ac:dyDescent="0.2">
      <c r="C21" s="2">
        <f t="shared" si="0"/>
        <v>3.7259029999999997</v>
      </c>
      <c r="D21" s="2">
        <f t="shared" si="0"/>
        <v>5.8298299999999994</v>
      </c>
      <c r="G21" s="2">
        <f t="shared" si="1"/>
        <v>1.952942</v>
      </c>
      <c r="H21" s="2">
        <f t="shared" si="1"/>
        <v>2.2039199999999997</v>
      </c>
      <c r="K21" s="2">
        <f t="shared" si="2"/>
        <v>1.7734429999999999</v>
      </c>
      <c r="L21" s="2">
        <f t="shared" si="2"/>
        <v>1.9990500000000002</v>
      </c>
    </row>
    <row r="22" spans="3:15" outlineLevel="1" x14ac:dyDescent="0.2">
      <c r="C22" s="2">
        <f t="shared" si="0"/>
        <v>4.1849270000000001</v>
      </c>
      <c r="D22" s="2">
        <f t="shared" si="0"/>
        <v>5.8324300000000004</v>
      </c>
      <c r="G22" s="2">
        <f t="shared" si="1"/>
        <v>2.2317619999999998</v>
      </c>
      <c r="H22" s="2">
        <f t="shared" si="1"/>
        <v>2.4411800000000001</v>
      </c>
      <c r="K22" s="2">
        <f t="shared" si="2"/>
        <v>1.954277</v>
      </c>
      <c r="L22" s="2">
        <f t="shared" si="2"/>
        <v>2.1461100000000002</v>
      </c>
    </row>
    <row r="23" spans="3:15" outlineLevel="1" x14ac:dyDescent="0.2">
      <c r="C23" s="2">
        <f t="shared" si="0"/>
        <v>4.1933530000000001</v>
      </c>
      <c r="D23" s="2">
        <f t="shared" si="0"/>
        <v>5.7665800000000003</v>
      </c>
      <c r="G23" s="2">
        <f t="shared" si="1"/>
        <v>2.193378</v>
      </c>
      <c r="H23" s="2">
        <f t="shared" si="1"/>
        <v>2.4105000000000003</v>
      </c>
      <c r="K23" s="2">
        <f t="shared" si="2"/>
        <v>2.0018099999999999</v>
      </c>
      <c r="L23" s="2">
        <f t="shared" si="2"/>
        <v>2.1933199999999999</v>
      </c>
    </row>
    <row r="24" spans="3:15" outlineLevel="1" x14ac:dyDescent="0.2">
      <c r="C24" s="2">
        <f t="shared" si="0"/>
        <v>4.3273039999999998</v>
      </c>
      <c r="D24" s="2">
        <f t="shared" si="0"/>
        <v>5.6520399999999995</v>
      </c>
      <c r="G24" s="2">
        <f t="shared" si="1"/>
        <v>2.1080860000000001</v>
      </c>
      <c r="H24" s="2">
        <f t="shared" si="1"/>
        <v>2.30131</v>
      </c>
      <c r="K24" s="2">
        <f t="shared" si="2"/>
        <v>2.2206869999999999</v>
      </c>
      <c r="L24" s="2">
        <f t="shared" si="2"/>
        <v>2.3538000000000001</v>
      </c>
    </row>
    <row r="29" spans="3:15" x14ac:dyDescent="0.2">
      <c r="H29" s="20"/>
    </row>
    <row r="30" spans="3:15" x14ac:dyDescent="0.2">
      <c r="H30" s="20"/>
      <c r="I30" s="13"/>
    </row>
    <row r="31" spans="3:15" x14ac:dyDescent="0.2">
      <c r="H31" s="20"/>
      <c r="I31" s="13"/>
    </row>
    <row r="32" spans="3:15" x14ac:dyDescent="0.2">
      <c r="H32" s="20"/>
      <c r="I32" s="13"/>
      <c r="L32" s="13"/>
      <c r="O32" s="13"/>
    </row>
    <row r="33" spans="7:15" x14ac:dyDescent="0.2">
      <c r="H33" s="20"/>
      <c r="I33" s="13"/>
      <c r="L33" s="13"/>
      <c r="O33" s="13"/>
    </row>
    <row r="34" spans="7:15" x14ac:dyDescent="0.2">
      <c r="I34" s="13"/>
      <c r="L34" s="13"/>
      <c r="O34" s="13"/>
    </row>
    <row r="35" spans="7:15" x14ac:dyDescent="0.2">
      <c r="I35" s="13"/>
      <c r="L35" s="13"/>
      <c r="O35" s="13"/>
    </row>
    <row r="36" spans="7:15" x14ac:dyDescent="0.2">
      <c r="I36" s="13"/>
      <c r="L36" s="13"/>
      <c r="O36" s="13"/>
    </row>
    <row r="37" spans="7:15" x14ac:dyDescent="0.2">
      <c r="I37" s="13"/>
      <c r="K37" s="13"/>
      <c r="L37" s="13"/>
      <c r="O37" s="13"/>
    </row>
    <row r="38" spans="7:15" x14ac:dyDescent="0.2">
      <c r="I38" s="13"/>
      <c r="K38" s="13"/>
      <c r="L38" s="13"/>
      <c r="O38" s="13"/>
    </row>
    <row r="39" spans="7:15" x14ac:dyDescent="0.2">
      <c r="G39" s="13"/>
      <c r="I39" s="13"/>
      <c r="K39" s="13"/>
      <c r="L39" s="13"/>
      <c r="O39" s="13"/>
    </row>
    <row r="40" spans="7:15" x14ac:dyDescent="0.2">
      <c r="I40" s="13"/>
      <c r="L40" s="13"/>
    </row>
    <row r="41" spans="7:15" x14ac:dyDescent="0.2">
      <c r="K41" s="13"/>
      <c r="L41" s="13"/>
      <c r="O41" s="13"/>
    </row>
    <row r="42" spans="7:15" x14ac:dyDescent="0.2">
      <c r="I42" s="13"/>
      <c r="L42" s="13"/>
    </row>
    <row r="43" spans="7:15" x14ac:dyDescent="0.2">
      <c r="H43" s="13"/>
    </row>
    <row r="45" spans="7:15" x14ac:dyDescent="0.2">
      <c r="G45" s="2" t="s">
        <v>9</v>
      </c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CB53-F68F-A044-9B8C-C2F26431A2AC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76CDA-71E0-9D4C-831B-6508A48F1390}">
  <sheetPr>
    <tabColor rgb="FFFFFF00"/>
  </sheetPr>
  <dimension ref="B1:R29"/>
  <sheetViews>
    <sheetView topLeftCell="P1" zoomScale="101" workbookViewId="0">
      <selection activeCell="H29" sqref="H29"/>
    </sheetView>
  </sheetViews>
  <sheetFormatPr baseColWidth="10" defaultRowHeight="16" outlineLevelRow="1" outlineLevelCol="1" x14ac:dyDescent="0.2"/>
  <cols>
    <col min="1" max="1" width="2.6640625" style="2" customWidth="1"/>
    <col min="2" max="2" width="13.1640625" style="2" customWidth="1"/>
    <col min="3" max="4" width="13.83203125" style="2" customWidth="1"/>
    <col min="5" max="5" width="3.1640625" style="2" customWidth="1"/>
    <col min="6" max="8" width="13.83203125" style="2" customWidth="1"/>
    <col min="9" max="9" width="2.33203125" style="2" customWidth="1"/>
    <col min="10" max="12" width="13.83203125" style="2" customWidth="1"/>
    <col min="13" max="13" width="2.5" style="2" customWidth="1"/>
    <col min="14" max="14" width="0" style="2" hidden="1" customWidth="1" outlineLevel="1"/>
    <col min="15" max="15" width="10.83203125" style="2" collapsed="1"/>
    <col min="16" max="16384" width="10.83203125" style="2"/>
  </cols>
  <sheetData>
    <row r="1" spans="2:18" ht="10" customHeight="1" x14ac:dyDescent="0.2"/>
    <row r="2" spans="2:18" x14ac:dyDescent="0.2">
      <c r="B2" s="58" t="s">
        <v>5</v>
      </c>
      <c r="C2" s="58"/>
      <c r="D2" s="58"/>
      <c r="E2" s="9"/>
      <c r="F2" s="58" t="s">
        <v>0</v>
      </c>
      <c r="G2" s="58"/>
      <c r="H2" s="58"/>
      <c r="I2" s="9"/>
      <c r="J2" s="58" t="s">
        <v>6</v>
      </c>
      <c r="K2" s="58"/>
      <c r="L2" s="58"/>
      <c r="M2" s="9"/>
    </row>
    <row r="3" spans="2:18" x14ac:dyDescent="0.2">
      <c r="B3" s="1" t="s">
        <v>1</v>
      </c>
      <c r="C3" s="1" t="s">
        <v>2</v>
      </c>
      <c r="D3" s="1" t="s">
        <v>3</v>
      </c>
      <c r="E3" s="9"/>
      <c r="F3" s="1" t="s">
        <v>1</v>
      </c>
      <c r="G3" s="1" t="s">
        <v>2</v>
      </c>
      <c r="H3" s="1" t="s">
        <v>3</v>
      </c>
      <c r="I3" s="9"/>
      <c r="J3" s="1" t="s">
        <v>1</v>
      </c>
      <c r="K3" s="1" t="s">
        <v>2</v>
      </c>
      <c r="L3" s="1" t="s">
        <v>3</v>
      </c>
      <c r="M3" s="9"/>
    </row>
    <row r="4" spans="2:18" x14ac:dyDescent="0.2">
      <c r="B4" s="3">
        <v>2015</v>
      </c>
      <c r="C4" s="4">
        <v>0.40205084000000002</v>
      </c>
      <c r="D4" s="4">
        <v>0.2984079</v>
      </c>
      <c r="E4" s="8"/>
      <c r="F4" s="3">
        <v>2015</v>
      </c>
      <c r="G4" s="4">
        <v>0.38744040000000002</v>
      </c>
      <c r="H4" s="4">
        <v>0.27123520000000001</v>
      </c>
      <c r="I4" s="8"/>
      <c r="J4" s="3">
        <v>2015</v>
      </c>
      <c r="K4" s="4">
        <v>1.237218E-2</v>
      </c>
      <c r="L4" s="4">
        <v>1.6647200000000001E-2</v>
      </c>
      <c r="M4" s="8"/>
      <c r="N4" s="2">
        <v>100</v>
      </c>
    </row>
    <row r="5" spans="2:18" x14ac:dyDescent="0.2">
      <c r="B5" s="3">
        <v>2016</v>
      </c>
      <c r="C5" s="4">
        <v>4.8449819999999998E-2</v>
      </c>
      <c r="D5" s="4">
        <v>6.3855599999999998E-2</v>
      </c>
      <c r="E5" s="8"/>
      <c r="F5" s="3">
        <v>2016</v>
      </c>
      <c r="G5" s="4">
        <v>3.5135380000000001E-2</v>
      </c>
      <c r="H5" s="4">
        <v>4.6299600000000003E-2</v>
      </c>
      <c r="I5" s="8"/>
      <c r="J5" s="3">
        <v>2016</v>
      </c>
      <c r="K5" s="4">
        <v>1.3316700000000001E-2</v>
      </c>
      <c r="L5" s="4">
        <v>1.7555999999999999E-2</v>
      </c>
      <c r="M5" s="8"/>
    </row>
    <row r="6" spans="2:18" x14ac:dyDescent="0.2">
      <c r="B6" s="3">
        <v>2017</v>
      </c>
      <c r="C6" s="4">
        <v>5.8940960000000001E-2</v>
      </c>
      <c r="D6" s="4">
        <v>7.77196E-2</v>
      </c>
      <c r="E6" s="8"/>
      <c r="F6" s="3">
        <v>2017</v>
      </c>
      <c r="G6" s="4">
        <v>4.458438E-2</v>
      </c>
      <c r="H6" s="4">
        <v>5.8786400000000003E-2</v>
      </c>
      <c r="I6" s="8"/>
      <c r="J6" s="3">
        <v>2017</v>
      </c>
      <c r="K6" s="4">
        <v>1.4325330000000001E-2</v>
      </c>
      <c r="L6" s="4">
        <v>1.8398999999999999E-2</v>
      </c>
      <c r="M6" s="8"/>
    </row>
    <row r="7" spans="2:18" x14ac:dyDescent="0.2">
      <c r="B7" s="3">
        <v>2018</v>
      </c>
      <c r="C7" s="4">
        <v>6.1456629999999998E-2</v>
      </c>
      <c r="D7" s="4">
        <v>7.7886800000000006E-2</v>
      </c>
      <c r="E7" s="8"/>
      <c r="F7" s="3">
        <v>2018</v>
      </c>
      <c r="G7" s="4">
        <v>4.501728E-2</v>
      </c>
      <c r="H7" s="4">
        <v>5.7052400000000003E-2</v>
      </c>
      <c r="I7" s="8"/>
      <c r="J7" s="3">
        <v>2018</v>
      </c>
      <c r="K7" s="4">
        <v>1.6371980000000001E-2</v>
      </c>
      <c r="L7" s="4">
        <v>1.9760900000000001E-2</v>
      </c>
      <c r="M7" s="8"/>
    </row>
    <row r="8" spans="2:18" x14ac:dyDescent="0.2">
      <c r="B8" s="3">
        <v>2019</v>
      </c>
      <c r="C8" s="4">
        <v>5.4868449999999999E-2</v>
      </c>
      <c r="D8" s="4">
        <v>8.23406E-2</v>
      </c>
      <c r="E8" s="8"/>
      <c r="F8" s="3">
        <v>2019</v>
      </c>
      <c r="G8" s="4">
        <v>4.2567430000000003E-2</v>
      </c>
      <c r="H8" s="4">
        <v>6.3880699999999999E-2</v>
      </c>
      <c r="I8" s="8"/>
      <c r="J8" s="3">
        <v>2019</v>
      </c>
      <c r="K8" s="4">
        <v>1.2255139999999999E-2</v>
      </c>
      <c r="L8" s="4">
        <v>1.77059E-2</v>
      </c>
      <c r="M8" s="8"/>
    </row>
    <row r="9" spans="2:18" x14ac:dyDescent="0.2">
      <c r="B9" s="3">
        <v>2020</v>
      </c>
      <c r="C9" s="4">
        <v>6.5282930000000003E-2</v>
      </c>
      <c r="D9" s="4">
        <v>8.7272100000000005E-2</v>
      </c>
      <c r="E9" s="8"/>
      <c r="F9" s="3">
        <v>2020</v>
      </c>
      <c r="G9" s="4">
        <v>5.2506610000000002E-2</v>
      </c>
      <c r="H9" s="4">
        <v>7.0194199999999998E-2</v>
      </c>
      <c r="I9" s="8"/>
      <c r="J9" s="3">
        <v>2020</v>
      </c>
      <c r="K9" s="4">
        <v>1.2777230000000001E-2</v>
      </c>
      <c r="L9" s="4">
        <v>1.70779E-2</v>
      </c>
      <c r="M9" s="8"/>
    </row>
    <row r="10" spans="2:18" x14ac:dyDescent="0.2">
      <c r="B10" s="3">
        <v>2021</v>
      </c>
      <c r="C10" s="4">
        <v>5.9826799999999999E-2</v>
      </c>
      <c r="D10" s="4">
        <v>7.7657000000000004E-2</v>
      </c>
      <c r="E10" s="8"/>
      <c r="F10" s="3">
        <v>2021</v>
      </c>
      <c r="G10" s="4">
        <v>4.9086320000000003E-2</v>
      </c>
      <c r="H10" s="4">
        <v>6.3715499999999994E-2</v>
      </c>
      <c r="I10" s="8"/>
      <c r="J10" s="3">
        <v>2021</v>
      </c>
      <c r="K10" s="4">
        <v>1.074048E-2</v>
      </c>
      <c r="L10" s="4">
        <v>1.3941500000000001E-2</v>
      </c>
      <c r="M10" s="8"/>
    </row>
    <row r="11" spans="2:18" x14ac:dyDescent="0.2">
      <c r="B11" s="3">
        <v>2022</v>
      </c>
      <c r="C11" s="4">
        <v>5.9577119999999997E-2</v>
      </c>
      <c r="D11" s="4">
        <v>8.0537999999999998E-2</v>
      </c>
      <c r="E11" s="8"/>
      <c r="F11" s="3">
        <v>2022</v>
      </c>
      <c r="G11" s="4">
        <v>4.8968320000000003E-2</v>
      </c>
      <c r="H11" s="4">
        <v>6.6196699999999997E-2</v>
      </c>
      <c r="I11" s="8"/>
      <c r="J11" s="3">
        <v>2022</v>
      </c>
      <c r="K11" s="4">
        <v>1.06088E-2</v>
      </c>
      <c r="L11" s="4">
        <v>1.43413E-2</v>
      </c>
      <c r="M11" s="8"/>
    </row>
    <row r="12" spans="2:18" x14ac:dyDescent="0.2">
      <c r="P12"/>
      <c r="Q12"/>
      <c r="R12"/>
    </row>
    <row r="13" spans="2:18" x14ac:dyDescent="0.2">
      <c r="B13" s="5" t="s">
        <v>4</v>
      </c>
      <c r="C13" s="6">
        <f>C11-C5</f>
        <v>1.11273E-2</v>
      </c>
      <c r="D13" s="6">
        <f>D11-D5</f>
        <v>1.66824E-2</v>
      </c>
      <c r="E13" s="7"/>
      <c r="F13" s="5" t="s">
        <v>4</v>
      </c>
      <c r="G13" s="6">
        <f>G11-G5</f>
        <v>1.3832940000000002E-2</v>
      </c>
      <c r="H13" s="6">
        <f>H11-H5</f>
        <v>1.9897099999999994E-2</v>
      </c>
      <c r="I13" s="7"/>
      <c r="J13" s="5" t="s">
        <v>4</v>
      </c>
      <c r="K13" s="6">
        <f>K11-K5</f>
        <v>-2.7079000000000009E-3</v>
      </c>
      <c r="L13" s="6">
        <f>L11-L5</f>
        <v>-3.2146999999999992E-3</v>
      </c>
      <c r="M13" s="7"/>
    </row>
    <row r="14" spans="2:18" x14ac:dyDescent="0.2">
      <c r="P14"/>
      <c r="Q14"/>
      <c r="R14"/>
    </row>
    <row r="15" spans="2:18" x14ac:dyDescent="0.2">
      <c r="P15"/>
      <c r="Q15"/>
      <c r="R15"/>
    </row>
    <row r="16" spans="2:18" x14ac:dyDescent="0.2">
      <c r="P16"/>
      <c r="Q16"/>
      <c r="R16"/>
    </row>
    <row r="17" spans="3:18" outlineLevel="1" x14ac:dyDescent="0.2">
      <c r="C17" s="2">
        <f t="shared" ref="C17:D24" si="0">C4*$N$4</f>
        <v>40.205083999999999</v>
      </c>
      <c r="D17" s="2">
        <f t="shared" si="0"/>
        <v>29.840790000000002</v>
      </c>
      <c r="G17" s="2">
        <f t="shared" ref="G17:H24" si="1">G4*$N$4</f>
        <v>38.744039999999998</v>
      </c>
      <c r="H17" s="2">
        <f t="shared" si="1"/>
        <v>27.123519999999999</v>
      </c>
      <c r="K17" s="2">
        <f t="shared" ref="K17:L24" si="2">K4*$N$4</f>
        <v>1.2372179999999999</v>
      </c>
      <c r="L17" s="2">
        <f t="shared" si="2"/>
        <v>1.66472</v>
      </c>
    </row>
    <row r="18" spans="3:18" outlineLevel="1" x14ac:dyDescent="0.2">
      <c r="C18" s="2">
        <f t="shared" si="0"/>
        <v>4.8449819999999999</v>
      </c>
      <c r="D18" s="2">
        <f t="shared" si="0"/>
        <v>6.3855599999999999</v>
      </c>
      <c r="G18" s="2">
        <f t="shared" si="1"/>
        <v>3.513538</v>
      </c>
      <c r="H18" s="2">
        <f t="shared" si="1"/>
        <v>4.6299600000000005</v>
      </c>
      <c r="K18" s="2">
        <f t="shared" si="2"/>
        <v>1.3316700000000001</v>
      </c>
      <c r="L18" s="2">
        <f t="shared" si="2"/>
        <v>1.7555999999999998</v>
      </c>
    </row>
    <row r="19" spans="3:18" outlineLevel="1" x14ac:dyDescent="0.2">
      <c r="C19" s="2">
        <f t="shared" si="0"/>
        <v>5.8940960000000002</v>
      </c>
      <c r="D19" s="2">
        <f t="shared" si="0"/>
        <v>7.77196</v>
      </c>
      <c r="G19" s="2">
        <f t="shared" si="1"/>
        <v>4.4584380000000001</v>
      </c>
      <c r="H19" s="2">
        <f t="shared" si="1"/>
        <v>5.8786399999999999</v>
      </c>
      <c r="K19" s="2">
        <f t="shared" si="2"/>
        <v>1.4325330000000001</v>
      </c>
      <c r="L19" s="2">
        <f t="shared" si="2"/>
        <v>1.8398999999999999</v>
      </c>
    </row>
    <row r="20" spans="3:18" outlineLevel="1" x14ac:dyDescent="0.2">
      <c r="C20" s="2">
        <f t="shared" si="0"/>
        <v>6.1456629999999999</v>
      </c>
      <c r="D20" s="2">
        <f t="shared" si="0"/>
        <v>7.7886800000000003</v>
      </c>
      <c r="G20" s="2">
        <f t="shared" si="1"/>
        <v>4.501728</v>
      </c>
      <c r="H20" s="2">
        <f t="shared" si="1"/>
        <v>5.7052399999999999</v>
      </c>
      <c r="K20" s="2">
        <f t="shared" si="2"/>
        <v>1.6371980000000002</v>
      </c>
      <c r="L20" s="2">
        <f t="shared" si="2"/>
        <v>1.9760900000000001</v>
      </c>
    </row>
    <row r="21" spans="3:18" outlineLevel="1" x14ac:dyDescent="0.2">
      <c r="C21" s="2">
        <f t="shared" si="0"/>
        <v>5.4868449999999998</v>
      </c>
      <c r="D21" s="2">
        <f t="shared" si="0"/>
        <v>8.2340599999999995</v>
      </c>
      <c r="G21" s="2">
        <f t="shared" si="1"/>
        <v>4.2567430000000002</v>
      </c>
      <c r="H21" s="2">
        <f t="shared" si="1"/>
        <v>6.3880699999999999</v>
      </c>
      <c r="K21" s="2">
        <f t="shared" si="2"/>
        <v>1.225514</v>
      </c>
      <c r="L21" s="2">
        <f t="shared" si="2"/>
        <v>1.7705900000000001</v>
      </c>
    </row>
    <row r="22" spans="3:18" outlineLevel="1" x14ac:dyDescent="0.2">
      <c r="C22" s="2">
        <f t="shared" si="0"/>
        <v>6.5282930000000006</v>
      </c>
      <c r="D22" s="2">
        <f t="shared" si="0"/>
        <v>8.7272100000000012</v>
      </c>
      <c r="G22" s="2">
        <f t="shared" si="1"/>
        <v>5.250661</v>
      </c>
      <c r="H22" s="2">
        <f t="shared" si="1"/>
        <v>7.0194200000000002</v>
      </c>
      <c r="K22" s="2">
        <f t="shared" si="2"/>
        <v>1.2777229999999999</v>
      </c>
      <c r="L22" s="2">
        <f t="shared" si="2"/>
        <v>1.7077899999999999</v>
      </c>
    </row>
    <row r="23" spans="3:18" outlineLevel="1" x14ac:dyDescent="0.2">
      <c r="C23" s="2">
        <f t="shared" si="0"/>
        <v>5.9826800000000002</v>
      </c>
      <c r="D23" s="2">
        <f t="shared" si="0"/>
        <v>7.7657000000000007</v>
      </c>
      <c r="G23" s="2">
        <f t="shared" si="1"/>
        <v>4.9086319999999999</v>
      </c>
      <c r="H23" s="2">
        <f t="shared" si="1"/>
        <v>6.3715499999999992</v>
      </c>
      <c r="K23" s="2">
        <f t="shared" si="2"/>
        <v>1.0740480000000001</v>
      </c>
      <c r="L23" s="2">
        <f t="shared" si="2"/>
        <v>1.39415</v>
      </c>
    </row>
    <row r="24" spans="3:18" outlineLevel="1" x14ac:dyDescent="0.2">
      <c r="C24" s="2">
        <f t="shared" si="0"/>
        <v>5.9577119999999999</v>
      </c>
      <c r="D24" s="2">
        <f t="shared" si="0"/>
        <v>8.053799999999999</v>
      </c>
      <c r="G24" s="2">
        <f t="shared" si="1"/>
        <v>4.8968319999999999</v>
      </c>
      <c r="H24" s="2">
        <f t="shared" si="1"/>
        <v>6.6196699999999993</v>
      </c>
      <c r="K24" s="2">
        <f t="shared" si="2"/>
        <v>1.06088</v>
      </c>
      <c r="L24" s="2">
        <f t="shared" si="2"/>
        <v>1.4341299999999999</v>
      </c>
    </row>
    <row r="25" spans="3:18" x14ac:dyDescent="0.2">
      <c r="P25"/>
      <c r="Q25"/>
      <c r="R25"/>
    </row>
    <row r="29" spans="3:18" x14ac:dyDescent="0.2">
      <c r="N29" s="2" t="s">
        <v>8</v>
      </c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AD5B-D1C5-9E42-8415-3A6AE7C4133F}">
  <sheetPr>
    <tabColor rgb="FFFFFF00"/>
  </sheetPr>
  <dimension ref="B1:O58"/>
  <sheetViews>
    <sheetView topLeftCell="M1" workbookViewId="0">
      <selection activeCell="K31" sqref="K31"/>
    </sheetView>
  </sheetViews>
  <sheetFormatPr baseColWidth="10" defaultRowHeight="16" outlineLevelRow="1" outlineLevelCol="1" x14ac:dyDescent="0.2"/>
  <cols>
    <col min="1" max="1" width="2.6640625" style="2" customWidth="1"/>
    <col min="2" max="2" width="13.1640625" style="2" customWidth="1"/>
    <col min="3" max="4" width="13.83203125" style="2" customWidth="1"/>
    <col min="5" max="5" width="3.1640625" style="2" customWidth="1"/>
    <col min="6" max="8" width="13.83203125" style="2" customWidth="1"/>
    <col min="9" max="9" width="2.33203125" style="2" customWidth="1"/>
    <col min="10" max="12" width="13.83203125" style="2" customWidth="1"/>
    <col min="13" max="13" width="2.5" style="2" customWidth="1"/>
    <col min="14" max="14" width="10.83203125" style="2" hidden="1" customWidth="1" outlineLevel="1"/>
    <col min="15" max="15" width="10.83203125" style="2" collapsed="1"/>
    <col min="16" max="16384" width="10.83203125" style="2"/>
  </cols>
  <sheetData>
    <row r="1" spans="2:14" ht="10" customHeight="1" x14ac:dyDescent="0.2"/>
    <row r="2" spans="2:14" x14ac:dyDescent="0.2">
      <c r="B2" s="58" t="s">
        <v>5</v>
      </c>
      <c r="C2" s="58"/>
      <c r="D2" s="58"/>
      <c r="E2" s="9"/>
      <c r="F2" s="58" t="s">
        <v>0</v>
      </c>
      <c r="G2" s="58"/>
      <c r="H2" s="58"/>
      <c r="I2" s="9"/>
      <c r="J2" s="58" t="s">
        <v>6</v>
      </c>
      <c r="K2" s="58"/>
      <c r="L2" s="58"/>
      <c r="M2" s="9"/>
    </row>
    <row r="3" spans="2:14" x14ac:dyDescent="0.2">
      <c r="B3" s="1" t="s">
        <v>1</v>
      </c>
      <c r="C3" s="1" t="s">
        <v>2</v>
      </c>
      <c r="D3" s="1" t="s">
        <v>3</v>
      </c>
      <c r="E3" s="9"/>
      <c r="F3" s="1" t="s">
        <v>1</v>
      </c>
      <c r="G3" s="1" t="s">
        <v>2</v>
      </c>
      <c r="H3" s="1" t="s">
        <v>3</v>
      </c>
      <c r="I3" s="9"/>
      <c r="J3" s="1" t="s">
        <v>1</v>
      </c>
      <c r="K3" s="1" t="s">
        <v>2</v>
      </c>
      <c r="L3" s="1" t="s">
        <v>3</v>
      </c>
      <c r="M3" s="9"/>
    </row>
    <row r="4" spans="2:14" x14ac:dyDescent="0.2">
      <c r="B4" s="3">
        <v>2015</v>
      </c>
      <c r="C4" s="4">
        <v>7.3016139999999993E-2</v>
      </c>
      <c r="D4" s="4">
        <v>7.9734299999999994E-2</v>
      </c>
      <c r="E4" s="8"/>
      <c r="F4" s="3">
        <v>2015</v>
      </c>
      <c r="G4" s="4">
        <v>2.526664E-2</v>
      </c>
      <c r="H4" s="4">
        <v>2.7581000000000001E-2</v>
      </c>
      <c r="I4" s="8"/>
      <c r="J4" s="3">
        <v>2015</v>
      </c>
      <c r="K4" s="4">
        <v>4.774991E-2</v>
      </c>
      <c r="L4" s="4">
        <v>5.2111699999999997E-2</v>
      </c>
      <c r="M4" s="8"/>
      <c r="N4" s="2">
        <v>100</v>
      </c>
    </row>
    <row r="5" spans="2:14" x14ac:dyDescent="0.2">
      <c r="B5" s="3">
        <v>2016</v>
      </c>
      <c r="C5" s="4">
        <v>8.6443130000000007E-2</v>
      </c>
      <c r="D5" s="4">
        <v>9.40748E-2</v>
      </c>
      <c r="E5" s="8"/>
      <c r="F5" s="3">
        <v>2016</v>
      </c>
      <c r="G5" s="4">
        <v>3.1331749999999998E-2</v>
      </c>
      <c r="H5" s="4">
        <v>3.40313E-2</v>
      </c>
      <c r="I5" s="8"/>
      <c r="J5" s="3">
        <v>2016</v>
      </c>
      <c r="K5" s="4">
        <v>5.5106910000000002E-2</v>
      </c>
      <c r="L5" s="4">
        <v>5.9958699999999997E-2</v>
      </c>
      <c r="M5" s="8"/>
    </row>
    <row r="6" spans="2:14" x14ac:dyDescent="0.2">
      <c r="B6" s="3">
        <v>2017</v>
      </c>
      <c r="C6" s="4">
        <v>0.10050756</v>
      </c>
      <c r="D6" s="4">
        <v>0.10940030000000001</v>
      </c>
      <c r="E6" s="8"/>
      <c r="F6" s="3">
        <v>2017</v>
      </c>
      <c r="G6" s="4">
        <v>3.7301939999999999E-2</v>
      </c>
      <c r="H6" s="4">
        <v>4.0386100000000001E-2</v>
      </c>
      <c r="I6" s="8"/>
      <c r="J6" s="3">
        <v>2017</v>
      </c>
      <c r="K6" s="4">
        <v>6.3190209999999997E-2</v>
      </c>
      <c r="L6" s="4">
        <v>6.8844000000000002E-2</v>
      </c>
      <c r="M6" s="8"/>
    </row>
    <row r="7" spans="2:14" x14ac:dyDescent="0.2">
      <c r="B7" s="3">
        <v>2018</v>
      </c>
      <c r="C7" s="4">
        <v>0.11147623</v>
      </c>
      <c r="D7" s="4">
        <v>0.1201947</v>
      </c>
      <c r="E7" s="8"/>
      <c r="F7" s="3">
        <v>2018</v>
      </c>
      <c r="G7" s="4">
        <v>4.0547769999999997E-2</v>
      </c>
      <c r="H7" s="4">
        <v>4.3550899999999997E-2</v>
      </c>
      <c r="I7" s="8"/>
      <c r="J7" s="3">
        <v>2018</v>
      </c>
      <c r="K7" s="4">
        <v>7.0911950000000001E-2</v>
      </c>
      <c r="L7" s="4">
        <v>7.6472700000000005E-2</v>
      </c>
      <c r="M7" s="8"/>
    </row>
    <row r="8" spans="2:14" x14ac:dyDescent="0.2">
      <c r="B8" s="3">
        <v>2019</v>
      </c>
      <c r="C8" s="4">
        <v>0.13507791999999999</v>
      </c>
      <c r="D8" s="4">
        <v>0.12971170000000001</v>
      </c>
      <c r="E8" s="8"/>
      <c r="F8" s="3">
        <v>2019</v>
      </c>
      <c r="G8" s="4">
        <v>4.7671579999999998E-2</v>
      </c>
      <c r="H8" s="4">
        <v>4.5685000000000003E-2</v>
      </c>
      <c r="I8" s="8"/>
      <c r="J8" s="3">
        <v>2019</v>
      </c>
      <c r="K8" s="4">
        <v>8.739102E-2</v>
      </c>
      <c r="L8" s="4">
        <v>8.3828600000000003E-2</v>
      </c>
      <c r="M8" s="8"/>
    </row>
    <row r="9" spans="2:14" x14ac:dyDescent="0.2">
      <c r="B9" s="3">
        <v>2020</v>
      </c>
      <c r="C9" s="4">
        <v>0.15150137</v>
      </c>
      <c r="D9" s="4">
        <v>0.14430200000000001</v>
      </c>
      <c r="E9" s="8"/>
      <c r="F9" s="3">
        <v>2020</v>
      </c>
      <c r="G9" s="4">
        <v>5.1545939999999998E-2</v>
      </c>
      <c r="H9" s="4">
        <v>4.9189799999999999E-2</v>
      </c>
      <c r="I9" s="8"/>
      <c r="J9" s="3">
        <v>2020</v>
      </c>
      <c r="K9" s="4">
        <v>9.9927740000000001E-2</v>
      </c>
      <c r="L9" s="4">
        <v>9.4775700000000004E-2</v>
      </c>
      <c r="M9" s="8"/>
    </row>
    <row r="10" spans="2:14" x14ac:dyDescent="0.2">
      <c r="B10" s="3">
        <v>2021</v>
      </c>
      <c r="C10" s="4">
        <v>0.14963146999999999</v>
      </c>
      <c r="D10" s="4">
        <v>0.1456028</v>
      </c>
      <c r="E10" s="8"/>
      <c r="F10" s="3">
        <v>2021</v>
      </c>
      <c r="G10" s="4">
        <v>5.010916E-2</v>
      </c>
      <c r="H10" s="4">
        <v>4.8958599999999998E-2</v>
      </c>
      <c r="I10" s="8"/>
      <c r="J10" s="3">
        <v>2021</v>
      </c>
      <c r="K10" s="4">
        <v>9.9494739999999998E-2</v>
      </c>
      <c r="L10" s="4">
        <v>9.6321400000000001E-2</v>
      </c>
      <c r="M10" s="8"/>
    </row>
    <row r="11" spans="2:14" x14ac:dyDescent="0.2">
      <c r="B11" s="3">
        <v>2022</v>
      </c>
      <c r="C11" s="4">
        <v>0.14222987000000001</v>
      </c>
      <c r="D11" s="4">
        <v>0.14273179999999999</v>
      </c>
      <c r="E11" s="8"/>
      <c r="F11" s="3">
        <v>2022</v>
      </c>
      <c r="G11" s="4">
        <v>4.748637E-2</v>
      </c>
      <c r="H11" s="4">
        <v>4.78757E-2</v>
      </c>
      <c r="I11" s="8"/>
      <c r="J11" s="3">
        <v>2022</v>
      </c>
      <c r="K11" s="4">
        <v>9.4711480000000001E-2</v>
      </c>
      <c r="L11" s="4">
        <v>9.4512299999999994E-2</v>
      </c>
      <c r="M11" s="8"/>
    </row>
    <row r="13" spans="2:14" x14ac:dyDescent="0.2">
      <c r="B13" s="5" t="s">
        <v>4</v>
      </c>
      <c r="C13" s="6">
        <f>C11-C4</f>
        <v>6.9213730000000015E-2</v>
      </c>
      <c r="D13" s="6">
        <f>D11-D4</f>
        <v>6.2997499999999998E-2</v>
      </c>
      <c r="E13" s="7"/>
      <c r="F13" s="5" t="s">
        <v>4</v>
      </c>
      <c r="G13" s="6">
        <f>G11-G4</f>
        <v>2.221973E-2</v>
      </c>
      <c r="H13" s="6">
        <f>H11-H4</f>
        <v>2.0294699999999999E-2</v>
      </c>
      <c r="I13" s="7"/>
      <c r="J13" s="5" t="s">
        <v>4</v>
      </c>
      <c r="K13" s="6">
        <f>K11-K4</f>
        <v>4.6961570000000001E-2</v>
      </c>
      <c r="L13" s="6">
        <f>L11-L4</f>
        <v>4.2400599999999997E-2</v>
      </c>
      <c r="M13" s="7"/>
    </row>
    <row r="17" spans="3:12" outlineLevel="1" x14ac:dyDescent="0.2">
      <c r="C17" s="2">
        <f t="shared" ref="C17:D24" si="0">C4*$N$4</f>
        <v>7.3016139999999989</v>
      </c>
      <c r="D17" s="2">
        <f t="shared" si="0"/>
        <v>7.9734299999999996</v>
      </c>
      <c r="G17" s="2">
        <f t="shared" ref="G17:H24" si="1">G4*$N$4</f>
        <v>2.5266639999999998</v>
      </c>
      <c r="H17" s="2">
        <f t="shared" si="1"/>
        <v>2.7581000000000002</v>
      </c>
      <c r="K17" s="2">
        <f t="shared" ref="K17:L24" si="2">K4*$N$4</f>
        <v>4.774991</v>
      </c>
      <c r="L17" s="2">
        <f t="shared" si="2"/>
        <v>5.2111700000000001</v>
      </c>
    </row>
    <row r="18" spans="3:12" outlineLevel="1" x14ac:dyDescent="0.2">
      <c r="C18" s="2">
        <f t="shared" si="0"/>
        <v>8.6443130000000004</v>
      </c>
      <c r="D18" s="2">
        <f t="shared" si="0"/>
        <v>9.4074799999999996</v>
      </c>
      <c r="G18" s="2">
        <f t="shared" si="1"/>
        <v>3.133175</v>
      </c>
      <c r="H18" s="2">
        <f t="shared" si="1"/>
        <v>3.40313</v>
      </c>
      <c r="K18" s="2">
        <f t="shared" si="2"/>
        <v>5.5106910000000005</v>
      </c>
      <c r="L18" s="2">
        <f t="shared" si="2"/>
        <v>5.99587</v>
      </c>
    </row>
    <row r="19" spans="3:12" outlineLevel="1" x14ac:dyDescent="0.2">
      <c r="C19" s="2">
        <f t="shared" si="0"/>
        <v>10.050756</v>
      </c>
      <c r="D19" s="2">
        <f t="shared" si="0"/>
        <v>10.94003</v>
      </c>
      <c r="G19" s="2">
        <f t="shared" si="1"/>
        <v>3.730194</v>
      </c>
      <c r="H19" s="2">
        <f t="shared" si="1"/>
        <v>4.0386100000000003</v>
      </c>
      <c r="K19" s="2">
        <f t="shared" si="2"/>
        <v>6.3190209999999993</v>
      </c>
      <c r="L19" s="2">
        <f t="shared" si="2"/>
        <v>6.8844000000000003</v>
      </c>
    </row>
    <row r="20" spans="3:12" outlineLevel="1" x14ac:dyDescent="0.2">
      <c r="C20" s="2">
        <f t="shared" si="0"/>
        <v>11.147622999999999</v>
      </c>
      <c r="D20" s="2">
        <f t="shared" si="0"/>
        <v>12.01947</v>
      </c>
      <c r="G20" s="2">
        <f t="shared" si="1"/>
        <v>4.0547769999999996</v>
      </c>
      <c r="H20" s="2">
        <f t="shared" si="1"/>
        <v>4.3550899999999997</v>
      </c>
      <c r="K20" s="2">
        <f t="shared" si="2"/>
        <v>7.0911949999999999</v>
      </c>
      <c r="L20" s="2">
        <f t="shared" si="2"/>
        <v>7.6472700000000007</v>
      </c>
    </row>
    <row r="21" spans="3:12" outlineLevel="1" x14ac:dyDescent="0.2">
      <c r="C21" s="2">
        <f t="shared" si="0"/>
        <v>13.507791999999998</v>
      </c>
      <c r="D21" s="2">
        <f t="shared" si="0"/>
        <v>12.971170000000001</v>
      </c>
      <c r="G21" s="2">
        <f t="shared" si="1"/>
        <v>4.7671580000000002</v>
      </c>
      <c r="H21" s="2">
        <f t="shared" si="1"/>
        <v>4.5685000000000002</v>
      </c>
      <c r="K21" s="2">
        <f t="shared" si="2"/>
        <v>8.7391020000000008</v>
      </c>
      <c r="L21" s="2">
        <f t="shared" si="2"/>
        <v>8.3828600000000009</v>
      </c>
    </row>
    <row r="22" spans="3:12" outlineLevel="1" x14ac:dyDescent="0.2">
      <c r="C22" s="2">
        <f t="shared" si="0"/>
        <v>15.150136999999999</v>
      </c>
      <c r="D22" s="2">
        <f t="shared" si="0"/>
        <v>14.430200000000001</v>
      </c>
      <c r="G22" s="2">
        <f t="shared" si="1"/>
        <v>5.1545939999999995</v>
      </c>
      <c r="H22" s="2">
        <f t="shared" si="1"/>
        <v>4.9189799999999995</v>
      </c>
      <c r="K22" s="2">
        <f t="shared" si="2"/>
        <v>9.9927740000000007</v>
      </c>
      <c r="L22" s="2">
        <f t="shared" si="2"/>
        <v>9.4775700000000001</v>
      </c>
    </row>
    <row r="23" spans="3:12" outlineLevel="1" x14ac:dyDescent="0.2">
      <c r="C23" s="2">
        <f t="shared" si="0"/>
        <v>14.963146999999999</v>
      </c>
      <c r="D23" s="2">
        <f t="shared" si="0"/>
        <v>14.560280000000001</v>
      </c>
      <c r="G23" s="2">
        <f t="shared" si="1"/>
        <v>5.0109159999999999</v>
      </c>
      <c r="H23" s="2">
        <f t="shared" si="1"/>
        <v>4.8958599999999999</v>
      </c>
      <c r="K23" s="2">
        <f t="shared" si="2"/>
        <v>9.9494740000000004</v>
      </c>
      <c r="L23" s="2">
        <f t="shared" si="2"/>
        <v>9.6321399999999997</v>
      </c>
    </row>
    <row r="24" spans="3:12" outlineLevel="1" x14ac:dyDescent="0.2">
      <c r="C24" s="2">
        <f t="shared" si="0"/>
        <v>14.222987000000002</v>
      </c>
      <c r="D24" s="2">
        <f t="shared" si="0"/>
        <v>14.27318</v>
      </c>
      <c r="G24" s="2">
        <f t="shared" si="1"/>
        <v>4.7486370000000004</v>
      </c>
      <c r="H24" s="2">
        <f t="shared" si="1"/>
        <v>4.7875699999999997</v>
      </c>
      <c r="K24" s="2">
        <f t="shared" si="2"/>
        <v>9.4711479999999995</v>
      </c>
      <c r="L24" s="2">
        <f t="shared" si="2"/>
        <v>9.4512299999999989</v>
      </c>
    </row>
    <row r="37" spans="7:11" x14ac:dyDescent="0.2">
      <c r="K37" s="13"/>
    </row>
    <row r="38" spans="7:11" x14ac:dyDescent="0.2">
      <c r="K38" s="13"/>
    </row>
    <row r="39" spans="7:11" x14ac:dyDescent="0.2">
      <c r="K39" s="13"/>
    </row>
    <row r="40" spans="7:11" x14ac:dyDescent="0.2">
      <c r="K40" s="13"/>
    </row>
    <row r="42" spans="7:11" x14ac:dyDescent="0.2">
      <c r="K42" s="13"/>
    </row>
    <row r="43" spans="7:11" x14ac:dyDescent="0.2">
      <c r="G43" s="13"/>
    </row>
    <row r="58" spans="7:7" x14ac:dyDescent="0.2">
      <c r="G58" s="13"/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84A8-55E7-AF47-9D27-C2A3F166DC88}">
  <sheetPr>
    <tabColor rgb="FFFFFF00"/>
  </sheetPr>
  <dimension ref="B1:O58"/>
  <sheetViews>
    <sheetView topLeftCell="O1" workbookViewId="0">
      <selection activeCell="L30" sqref="L30"/>
    </sheetView>
  </sheetViews>
  <sheetFormatPr baseColWidth="10" defaultRowHeight="16" outlineLevelRow="1" outlineLevelCol="1" x14ac:dyDescent="0.2"/>
  <cols>
    <col min="1" max="1" width="2.6640625" style="2" customWidth="1"/>
    <col min="2" max="2" width="13.1640625" style="2" customWidth="1"/>
    <col min="3" max="4" width="13.83203125" style="2" customWidth="1"/>
    <col min="5" max="5" width="3.1640625" style="2" customWidth="1"/>
    <col min="6" max="8" width="13.83203125" style="2" customWidth="1"/>
    <col min="9" max="9" width="2.33203125" style="2" customWidth="1"/>
    <col min="10" max="12" width="13.83203125" style="2" customWidth="1"/>
    <col min="13" max="13" width="2.5" style="2" customWidth="1"/>
    <col min="14" max="14" width="10.83203125" style="2" hidden="1" customWidth="1" outlineLevel="1"/>
    <col min="15" max="15" width="10.83203125" style="2" collapsed="1"/>
    <col min="16" max="16384" width="10.83203125" style="2"/>
  </cols>
  <sheetData>
    <row r="1" spans="2:14" ht="10" customHeight="1" x14ac:dyDescent="0.2"/>
    <row r="2" spans="2:14" x14ac:dyDescent="0.2">
      <c r="B2" s="58" t="s">
        <v>5</v>
      </c>
      <c r="C2" s="58"/>
      <c r="D2" s="58"/>
      <c r="E2" s="9"/>
      <c r="F2" s="58" t="s">
        <v>0</v>
      </c>
      <c r="G2" s="58"/>
      <c r="H2" s="58"/>
      <c r="I2" s="9"/>
      <c r="J2" s="58" t="s">
        <v>6</v>
      </c>
      <c r="K2" s="58"/>
      <c r="L2" s="58"/>
      <c r="M2" s="9"/>
    </row>
    <row r="3" spans="2:14" x14ac:dyDescent="0.2">
      <c r="B3" s="1" t="s">
        <v>1</v>
      </c>
      <c r="C3" s="1" t="s">
        <v>2</v>
      </c>
      <c r="D3" s="1" t="s">
        <v>3</v>
      </c>
      <c r="E3" s="9"/>
      <c r="F3" s="1" t="s">
        <v>1</v>
      </c>
      <c r="G3" s="1" t="s">
        <v>2</v>
      </c>
      <c r="H3" s="1" t="s">
        <v>3</v>
      </c>
      <c r="I3" s="9"/>
      <c r="J3" s="1" t="s">
        <v>1</v>
      </c>
      <c r="K3" s="1" t="s">
        <v>2</v>
      </c>
      <c r="L3" s="1" t="s">
        <v>3</v>
      </c>
      <c r="M3" s="9"/>
    </row>
    <row r="4" spans="2:14" x14ac:dyDescent="0.2">
      <c r="B4" s="3">
        <v>2015</v>
      </c>
      <c r="C4" s="4">
        <v>0.13907363</v>
      </c>
      <c r="D4" s="4">
        <v>0.13907363</v>
      </c>
      <c r="E4" s="8"/>
      <c r="F4" s="3">
        <v>2015</v>
      </c>
      <c r="G4" s="4">
        <v>3.2842089999999997E-2</v>
      </c>
      <c r="H4" s="4">
        <v>3.2842089999999997E-2</v>
      </c>
      <c r="I4" s="8"/>
      <c r="J4" s="3">
        <v>2015</v>
      </c>
      <c r="K4" s="4">
        <v>0.10623153</v>
      </c>
      <c r="L4" s="4">
        <v>0.10623153</v>
      </c>
      <c r="M4" s="8"/>
      <c r="N4" s="2">
        <v>100</v>
      </c>
    </row>
    <row r="5" spans="2:14" x14ac:dyDescent="0.2">
      <c r="B5" s="3">
        <v>2016</v>
      </c>
      <c r="C5" s="4">
        <v>0.13751469999999999</v>
      </c>
      <c r="D5" s="4">
        <v>0.13751469999999999</v>
      </c>
      <c r="E5" s="8"/>
      <c r="F5" s="3">
        <v>2016</v>
      </c>
      <c r="G5" s="4">
        <v>3.2599549999999998E-2</v>
      </c>
      <c r="H5" s="4">
        <v>3.2599549999999998E-2</v>
      </c>
      <c r="I5" s="8"/>
      <c r="J5" s="3">
        <v>2016</v>
      </c>
      <c r="K5" s="4">
        <v>0.10491514</v>
      </c>
      <c r="L5" s="4">
        <v>0.10491514</v>
      </c>
      <c r="M5" s="8"/>
    </row>
    <row r="6" spans="2:14" x14ac:dyDescent="0.2">
      <c r="B6" s="3">
        <v>2017</v>
      </c>
      <c r="C6" s="4">
        <v>0.13751416999999999</v>
      </c>
      <c r="D6" s="4">
        <v>0.13751416999999999</v>
      </c>
      <c r="E6" s="8"/>
      <c r="F6" s="3">
        <v>2017</v>
      </c>
      <c r="G6" s="4">
        <v>3.3257299999999997E-2</v>
      </c>
      <c r="H6" s="4">
        <v>3.3257299999999997E-2</v>
      </c>
      <c r="I6" s="8"/>
      <c r="J6" s="3">
        <v>2017</v>
      </c>
      <c r="K6" s="4">
        <v>0.10425688</v>
      </c>
      <c r="L6" s="4">
        <v>0.10425688</v>
      </c>
      <c r="M6" s="8"/>
    </row>
    <row r="7" spans="2:14" x14ac:dyDescent="0.2">
      <c r="B7" s="3">
        <v>2018</v>
      </c>
      <c r="C7" s="4">
        <v>0.13908909</v>
      </c>
      <c r="D7" s="4">
        <v>0.13908909</v>
      </c>
      <c r="E7" s="8"/>
      <c r="F7" s="3">
        <v>2018</v>
      </c>
      <c r="G7" s="4">
        <v>3.238949E-2</v>
      </c>
      <c r="H7" s="4">
        <v>3.238949E-2</v>
      </c>
      <c r="I7" s="8"/>
      <c r="J7" s="3">
        <v>2018</v>
      </c>
      <c r="K7" s="4">
        <v>0.10669960000000001</v>
      </c>
      <c r="L7" s="4">
        <v>0.10669960000000001</v>
      </c>
      <c r="M7" s="8"/>
    </row>
    <row r="8" spans="2:14" x14ac:dyDescent="0.2">
      <c r="B8" s="3">
        <v>2019</v>
      </c>
      <c r="C8" s="4">
        <v>0.14160058</v>
      </c>
      <c r="D8" s="4">
        <v>0.14160058</v>
      </c>
      <c r="E8" s="8"/>
      <c r="F8" s="3">
        <v>2019</v>
      </c>
      <c r="G8" s="4">
        <v>3.2127099999999999E-2</v>
      </c>
      <c r="H8" s="4">
        <v>3.2127099999999999E-2</v>
      </c>
      <c r="I8" s="8"/>
      <c r="J8" s="3">
        <v>2019</v>
      </c>
      <c r="K8" s="4">
        <v>0.10947348</v>
      </c>
      <c r="L8" s="4">
        <v>0.10947348</v>
      </c>
      <c r="M8" s="8"/>
    </row>
    <row r="9" spans="2:14" x14ac:dyDescent="0.2">
      <c r="B9" s="3">
        <v>2020</v>
      </c>
      <c r="C9" s="4">
        <v>0.15994869</v>
      </c>
      <c r="D9" s="4">
        <v>0.15994869</v>
      </c>
      <c r="E9" s="8"/>
      <c r="F9" s="3">
        <v>2020</v>
      </c>
      <c r="G9" s="4">
        <v>3.2868389999999997E-2</v>
      </c>
      <c r="H9" s="4">
        <v>3.2868389999999997E-2</v>
      </c>
      <c r="I9" s="8"/>
      <c r="J9" s="3">
        <v>2020</v>
      </c>
      <c r="K9" s="4">
        <v>0.12708031</v>
      </c>
      <c r="L9" s="4">
        <v>0.12708031</v>
      </c>
      <c r="M9" s="8"/>
    </row>
    <row r="10" spans="2:14" x14ac:dyDescent="0.2">
      <c r="B10" s="3">
        <v>2021</v>
      </c>
      <c r="C10" s="4">
        <v>0.18786592999999999</v>
      </c>
      <c r="D10" s="4">
        <v>0.18786592999999999</v>
      </c>
      <c r="E10" s="8"/>
      <c r="F10" s="3">
        <v>2021</v>
      </c>
      <c r="G10" s="4">
        <v>3.558484E-2</v>
      </c>
      <c r="H10" s="4">
        <v>3.558484E-2</v>
      </c>
      <c r="I10" s="8"/>
      <c r="J10" s="3">
        <v>2021</v>
      </c>
      <c r="K10" s="4">
        <v>0.15228109000000001</v>
      </c>
      <c r="L10" s="4">
        <v>0.15228109000000001</v>
      </c>
      <c r="M10" s="8"/>
    </row>
    <row r="11" spans="2:14" x14ac:dyDescent="0.2">
      <c r="B11" s="3">
        <v>2022</v>
      </c>
      <c r="C11" s="4">
        <v>0.17649654000000001</v>
      </c>
      <c r="D11" s="4">
        <v>0.17649654000000001</v>
      </c>
      <c r="E11" s="8"/>
      <c r="F11" s="3">
        <v>2022</v>
      </c>
      <c r="G11" s="4">
        <v>3.363273E-2</v>
      </c>
      <c r="H11" s="4">
        <v>3.363273E-2</v>
      </c>
      <c r="I11" s="8"/>
      <c r="J11" s="3">
        <v>2022</v>
      </c>
      <c r="K11" s="4">
        <v>0.14286381000000001</v>
      </c>
      <c r="L11" s="4">
        <v>0.14286381000000001</v>
      </c>
      <c r="M11" s="8"/>
    </row>
    <row r="13" spans="2:14" x14ac:dyDescent="0.2">
      <c r="B13" s="5" t="s">
        <v>4</v>
      </c>
      <c r="C13" s="6">
        <f>C11-C4</f>
        <v>3.7422910000000004E-2</v>
      </c>
      <c r="D13" s="6">
        <f>D11-D4</f>
        <v>3.7422910000000004E-2</v>
      </c>
      <c r="E13" s="7"/>
      <c r="F13" s="5" t="s">
        <v>4</v>
      </c>
      <c r="G13" s="6">
        <f>G11-G4</f>
        <v>7.9064000000000217E-4</v>
      </c>
      <c r="H13" s="6">
        <f>H11-H4</f>
        <v>7.9064000000000217E-4</v>
      </c>
      <c r="I13" s="7"/>
      <c r="J13" s="5" t="s">
        <v>4</v>
      </c>
      <c r="K13" s="6">
        <f>K11-K4</f>
        <v>3.6632280000000003E-2</v>
      </c>
      <c r="L13" s="6">
        <f>L11-L4</f>
        <v>3.6632280000000003E-2</v>
      </c>
      <c r="M13" s="7"/>
    </row>
    <row r="17" spans="3:12" outlineLevel="1" x14ac:dyDescent="0.2">
      <c r="C17" s="2">
        <f t="shared" ref="C17:D24" si="0">C4*$N$4</f>
        <v>13.907363</v>
      </c>
      <c r="D17" s="2">
        <f t="shared" si="0"/>
        <v>13.907363</v>
      </c>
      <c r="G17" s="2">
        <f t="shared" ref="G17:H24" si="1">G4*$N$4</f>
        <v>3.2842089999999997</v>
      </c>
      <c r="H17" s="2">
        <f t="shared" si="1"/>
        <v>3.2842089999999997</v>
      </c>
      <c r="K17" s="2">
        <f t="shared" ref="K17:L24" si="2">K4*$N$4</f>
        <v>10.623153</v>
      </c>
      <c r="L17" s="2">
        <f t="shared" si="2"/>
        <v>10.623153</v>
      </c>
    </row>
    <row r="18" spans="3:12" outlineLevel="1" x14ac:dyDescent="0.2">
      <c r="C18" s="2">
        <f t="shared" si="0"/>
        <v>13.751469999999999</v>
      </c>
      <c r="D18" s="2">
        <f t="shared" si="0"/>
        <v>13.751469999999999</v>
      </c>
      <c r="G18" s="2">
        <f t="shared" si="1"/>
        <v>3.2599549999999997</v>
      </c>
      <c r="H18" s="2">
        <f t="shared" si="1"/>
        <v>3.2599549999999997</v>
      </c>
      <c r="K18" s="2">
        <f t="shared" si="2"/>
        <v>10.491514</v>
      </c>
      <c r="L18" s="2">
        <f t="shared" si="2"/>
        <v>10.491514</v>
      </c>
    </row>
    <row r="19" spans="3:12" outlineLevel="1" x14ac:dyDescent="0.2">
      <c r="C19" s="2">
        <f t="shared" si="0"/>
        <v>13.751417</v>
      </c>
      <c r="D19" s="2">
        <f t="shared" si="0"/>
        <v>13.751417</v>
      </c>
      <c r="G19" s="2">
        <f t="shared" si="1"/>
        <v>3.3257299999999996</v>
      </c>
      <c r="H19" s="2">
        <f t="shared" si="1"/>
        <v>3.3257299999999996</v>
      </c>
      <c r="K19" s="2">
        <f t="shared" si="2"/>
        <v>10.425687999999999</v>
      </c>
      <c r="L19" s="2">
        <f t="shared" si="2"/>
        <v>10.425687999999999</v>
      </c>
    </row>
    <row r="20" spans="3:12" outlineLevel="1" x14ac:dyDescent="0.2">
      <c r="C20" s="2">
        <f t="shared" si="0"/>
        <v>13.908909</v>
      </c>
      <c r="D20" s="2">
        <f t="shared" si="0"/>
        <v>13.908909</v>
      </c>
      <c r="G20" s="2">
        <f t="shared" si="1"/>
        <v>3.2389489999999999</v>
      </c>
      <c r="H20" s="2">
        <f t="shared" si="1"/>
        <v>3.2389489999999999</v>
      </c>
      <c r="K20" s="2">
        <f t="shared" si="2"/>
        <v>10.66996</v>
      </c>
      <c r="L20" s="2">
        <f t="shared" si="2"/>
        <v>10.66996</v>
      </c>
    </row>
    <row r="21" spans="3:12" outlineLevel="1" x14ac:dyDescent="0.2">
      <c r="C21" s="2">
        <f t="shared" si="0"/>
        <v>14.160058000000001</v>
      </c>
      <c r="D21" s="2">
        <f t="shared" si="0"/>
        <v>14.160058000000001</v>
      </c>
      <c r="G21" s="2">
        <f t="shared" si="1"/>
        <v>3.21271</v>
      </c>
      <c r="H21" s="2">
        <f t="shared" si="1"/>
        <v>3.21271</v>
      </c>
      <c r="K21" s="2">
        <f t="shared" si="2"/>
        <v>10.947348</v>
      </c>
      <c r="L21" s="2">
        <f t="shared" si="2"/>
        <v>10.947348</v>
      </c>
    </row>
    <row r="22" spans="3:12" outlineLevel="1" x14ac:dyDescent="0.2">
      <c r="C22" s="2">
        <f t="shared" si="0"/>
        <v>15.994869000000001</v>
      </c>
      <c r="D22" s="2">
        <f t="shared" si="0"/>
        <v>15.994869000000001</v>
      </c>
      <c r="G22" s="2">
        <f t="shared" si="1"/>
        <v>3.2868389999999996</v>
      </c>
      <c r="H22" s="2">
        <f t="shared" si="1"/>
        <v>3.2868389999999996</v>
      </c>
      <c r="K22" s="2">
        <f t="shared" si="2"/>
        <v>12.708031</v>
      </c>
      <c r="L22" s="2">
        <f t="shared" si="2"/>
        <v>12.708031</v>
      </c>
    </row>
    <row r="23" spans="3:12" outlineLevel="1" x14ac:dyDescent="0.2">
      <c r="C23" s="2">
        <f t="shared" si="0"/>
        <v>18.786593</v>
      </c>
      <c r="D23" s="2">
        <f t="shared" si="0"/>
        <v>18.786593</v>
      </c>
      <c r="G23" s="2">
        <f t="shared" si="1"/>
        <v>3.558484</v>
      </c>
      <c r="H23" s="2">
        <f t="shared" si="1"/>
        <v>3.558484</v>
      </c>
      <c r="K23" s="2">
        <f t="shared" si="2"/>
        <v>15.228109</v>
      </c>
      <c r="L23" s="2">
        <f t="shared" si="2"/>
        <v>15.228109</v>
      </c>
    </row>
    <row r="24" spans="3:12" outlineLevel="1" x14ac:dyDescent="0.2">
      <c r="C24" s="2">
        <f t="shared" si="0"/>
        <v>17.649654000000002</v>
      </c>
      <c r="D24" s="2">
        <f t="shared" si="0"/>
        <v>17.649654000000002</v>
      </c>
      <c r="G24" s="2">
        <f t="shared" si="1"/>
        <v>3.363273</v>
      </c>
      <c r="H24" s="2">
        <f t="shared" si="1"/>
        <v>3.363273</v>
      </c>
      <c r="K24" s="2">
        <f t="shared" si="2"/>
        <v>14.286381</v>
      </c>
      <c r="L24" s="2">
        <f t="shared" si="2"/>
        <v>14.286381</v>
      </c>
    </row>
    <row r="37" spans="7:11" x14ac:dyDescent="0.2">
      <c r="K37" s="13"/>
    </row>
    <row r="38" spans="7:11" x14ac:dyDescent="0.2">
      <c r="K38" s="13"/>
    </row>
    <row r="39" spans="7:11" x14ac:dyDescent="0.2">
      <c r="K39" s="13"/>
    </row>
    <row r="40" spans="7:11" x14ac:dyDescent="0.2">
      <c r="K40" s="13"/>
    </row>
    <row r="42" spans="7:11" x14ac:dyDescent="0.2">
      <c r="K42" s="13"/>
    </row>
    <row r="43" spans="7:11" x14ac:dyDescent="0.2">
      <c r="G43" s="13"/>
    </row>
    <row r="58" spans="7:7" x14ac:dyDescent="0.2">
      <c r="G58" s="13"/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9DBA-8AF7-1B49-92BE-5F00090FDB05}">
  <sheetPr>
    <tabColor rgb="FFFFFF00"/>
  </sheetPr>
  <dimension ref="B2:K59"/>
  <sheetViews>
    <sheetView workbookViewId="0">
      <selection activeCell="I37" sqref="I37"/>
    </sheetView>
  </sheetViews>
  <sheetFormatPr baseColWidth="10" defaultRowHeight="16" outlineLevelRow="1" outlineLevelCol="1" x14ac:dyDescent="0.2"/>
  <cols>
    <col min="1" max="1" width="2.6640625" style="2" customWidth="1"/>
    <col min="2" max="2" width="10.83203125" style="2"/>
    <col min="3" max="4" width="13.83203125" style="2" customWidth="1"/>
    <col min="5" max="5" width="10.83203125" style="2"/>
    <col min="6" max="6" width="0" style="2" hidden="1" customWidth="1" outlineLevel="1"/>
    <col min="7" max="7" width="16.6640625" style="2" bestFit="1" customWidth="1" collapsed="1"/>
    <col min="8" max="10" width="10.83203125" style="2"/>
    <col min="11" max="11" width="17.6640625" style="2" bestFit="1" customWidth="1"/>
    <col min="12" max="16384" width="10.83203125" style="2"/>
  </cols>
  <sheetData>
    <row r="2" spans="2:6" x14ac:dyDescent="0.2">
      <c r="B2" s="58" t="s">
        <v>6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0.1036024</v>
      </c>
      <c r="D4" s="4">
        <v>6.28861E-2</v>
      </c>
      <c r="F4" s="2">
        <v>100</v>
      </c>
    </row>
    <row r="5" spans="2:6" x14ac:dyDescent="0.2">
      <c r="B5" s="3">
        <v>2016</v>
      </c>
      <c r="C5" s="4">
        <v>0.10418355</v>
      </c>
      <c r="D5" s="4">
        <v>6.2741900000000003E-2</v>
      </c>
    </row>
    <row r="6" spans="2:6" x14ac:dyDescent="0.2">
      <c r="B6" s="3">
        <v>2017</v>
      </c>
      <c r="C6" s="4">
        <v>0.10648942</v>
      </c>
      <c r="D6" s="4">
        <v>6.2162000000000002E-2</v>
      </c>
    </row>
    <row r="7" spans="2:6" x14ac:dyDescent="0.2">
      <c r="B7" s="3">
        <v>2018</v>
      </c>
      <c r="C7" s="4">
        <v>0.11291994</v>
      </c>
      <c r="D7" s="4">
        <v>6.21735E-2</v>
      </c>
    </row>
    <row r="8" spans="2:6" x14ac:dyDescent="0.2">
      <c r="B8" s="3">
        <v>2019</v>
      </c>
      <c r="C8" s="4">
        <v>0.1155205</v>
      </c>
      <c r="D8" s="4">
        <v>6.2438599999999997E-2</v>
      </c>
    </row>
    <row r="9" spans="2:6" x14ac:dyDescent="0.2">
      <c r="B9" s="3">
        <v>2020</v>
      </c>
      <c r="C9" s="4">
        <v>0.12699345000000001</v>
      </c>
      <c r="D9" s="4">
        <v>6.6739000000000007E-2</v>
      </c>
    </row>
    <row r="10" spans="2:6" x14ac:dyDescent="0.2">
      <c r="B10" s="3">
        <v>2021</v>
      </c>
      <c r="C10" s="4">
        <v>0.12734222000000001</v>
      </c>
      <c r="D10" s="4">
        <v>6.6110500000000003E-2</v>
      </c>
    </row>
    <row r="11" spans="2:6" x14ac:dyDescent="0.2">
      <c r="B11" s="3">
        <v>2022</v>
      </c>
      <c r="C11" s="4">
        <v>0.13162201000000001</v>
      </c>
      <c r="D11" s="4">
        <v>6.49758E-2</v>
      </c>
    </row>
    <row r="13" spans="2:6" x14ac:dyDescent="0.2">
      <c r="B13" s="5" t="s">
        <v>4</v>
      </c>
      <c r="C13" s="6">
        <f>C11-C4</f>
        <v>2.8019610000000014E-2</v>
      </c>
      <c r="D13" s="6">
        <f>D11-D4</f>
        <v>2.0896999999999999E-3</v>
      </c>
    </row>
    <row r="15" spans="2:6" x14ac:dyDescent="0.2">
      <c r="C15" s="12">
        <f>C11-C4</f>
        <v>2.8019610000000014E-2</v>
      </c>
      <c r="D15" s="12">
        <f>D11-D4</f>
        <v>2.0896999999999999E-3</v>
      </c>
    </row>
    <row r="17" spans="3:4" outlineLevel="1" x14ac:dyDescent="0.2">
      <c r="C17" s="2">
        <f t="shared" ref="C17:D24" si="0">C4*$F$4</f>
        <v>10.360239999999999</v>
      </c>
      <c r="D17" s="2">
        <f t="shared" si="0"/>
        <v>6.2886100000000003</v>
      </c>
    </row>
    <row r="18" spans="3:4" outlineLevel="1" x14ac:dyDescent="0.2">
      <c r="C18" s="2">
        <f t="shared" si="0"/>
        <v>10.418355</v>
      </c>
      <c r="D18" s="2">
        <f t="shared" si="0"/>
        <v>6.2741899999999999</v>
      </c>
    </row>
    <row r="19" spans="3:4" outlineLevel="1" x14ac:dyDescent="0.2">
      <c r="C19" s="2">
        <f t="shared" si="0"/>
        <v>10.648942</v>
      </c>
      <c r="D19" s="2">
        <f t="shared" si="0"/>
        <v>6.2162000000000006</v>
      </c>
    </row>
    <row r="20" spans="3:4" outlineLevel="1" x14ac:dyDescent="0.2">
      <c r="C20" s="2">
        <f t="shared" si="0"/>
        <v>11.291993999999999</v>
      </c>
      <c r="D20" s="2">
        <f t="shared" si="0"/>
        <v>6.2173499999999997</v>
      </c>
    </row>
    <row r="21" spans="3:4" outlineLevel="1" x14ac:dyDescent="0.2">
      <c r="C21" s="2">
        <f t="shared" si="0"/>
        <v>11.552049999999999</v>
      </c>
      <c r="D21" s="2">
        <f t="shared" si="0"/>
        <v>6.2438599999999997</v>
      </c>
    </row>
    <row r="22" spans="3:4" outlineLevel="1" x14ac:dyDescent="0.2">
      <c r="C22" s="2">
        <f t="shared" si="0"/>
        <v>12.699345000000001</v>
      </c>
      <c r="D22" s="2">
        <f t="shared" si="0"/>
        <v>6.6739000000000006</v>
      </c>
    </row>
    <row r="23" spans="3:4" outlineLevel="1" x14ac:dyDescent="0.2">
      <c r="C23" s="2">
        <f t="shared" si="0"/>
        <v>12.734222000000001</v>
      </c>
      <c r="D23" s="2">
        <f t="shared" si="0"/>
        <v>6.6110500000000005</v>
      </c>
    </row>
    <row r="24" spans="3:4" outlineLevel="1" x14ac:dyDescent="0.2">
      <c r="C24" s="2">
        <f t="shared" si="0"/>
        <v>13.162201000000001</v>
      </c>
      <c r="D24" s="2">
        <f t="shared" si="0"/>
        <v>6.4975800000000001</v>
      </c>
    </row>
    <row r="26" spans="3:4" x14ac:dyDescent="0.2">
      <c r="C26" s="11"/>
    </row>
    <row r="47" spans="11:11" x14ac:dyDescent="0.2">
      <c r="K47" s="10"/>
    </row>
    <row r="50" spans="7:11" x14ac:dyDescent="0.2">
      <c r="K50" s="10"/>
    </row>
    <row r="51" spans="7:11" x14ac:dyDescent="0.2">
      <c r="I51" s="13"/>
    </row>
    <row r="52" spans="7:11" x14ac:dyDescent="0.2">
      <c r="G52" s="10"/>
    </row>
    <row r="53" spans="7:11" x14ac:dyDescent="0.2">
      <c r="G53" s="10"/>
    </row>
    <row r="54" spans="7:11" x14ac:dyDescent="0.2">
      <c r="G54" s="10"/>
    </row>
    <row r="55" spans="7:11" x14ac:dyDescent="0.2">
      <c r="G55" s="10"/>
    </row>
    <row r="56" spans="7:11" x14ac:dyDescent="0.2">
      <c r="G56" s="10"/>
    </row>
    <row r="57" spans="7:11" x14ac:dyDescent="0.2">
      <c r="G57" s="10"/>
    </row>
    <row r="58" spans="7:11" x14ac:dyDescent="0.2">
      <c r="G58" s="10"/>
    </row>
    <row r="59" spans="7:11" x14ac:dyDescent="0.2">
      <c r="G59" s="10"/>
    </row>
  </sheetData>
  <mergeCells count="1">
    <mergeCell ref="B2:D2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07D40-0D41-964D-A4DB-670B65118755}">
  <sheetPr>
    <tabColor rgb="FFFFFF00"/>
  </sheetPr>
  <dimension ref="B1:O58"/>
  <sheetViews>
    <sheetView topLeftCell="O1" workbookViewId="0">
      <selection activeCell="O1" sqref="A1:XFD1048576"/>
    </sheetView>
  </sheetViews>
  <sheetFormatPr baseColWidth="10" defaultRowHeight="16" outlineLevelRow="1" outlineLevelCol="1" x14ac:dyDescent="0.2"/>
  <cols>
    <col min="1" max="1" width="2.6640625" style="2" customWidth="1"/>
    <col min="2" max="2" width="13.1640625" style="2" customWidth="1"/>
    <col min="3" max="4" width="13.83203125" style="2" customWidth="1"/>
    <col min="5" max="5" width="3.1640625" style="2" customWidth="1"/>
    <col min="6" max="8" width="13.83203125" style="2" customWidth="1"/>
    <col min="9" max="9" width="2.33203125" style="2" customWidth="1"/>
    <col min="10" max="12" width="13.83203125" style="2" customWidth="1"/>
    <col min="13" max="13" width="2.5" style="2" customWidth="1"/>
    <col min="14" max="14" width="10.83203125" style="2" hidden="1" customWidth="1" outlineLevel="1"/>
    <col min="15" max="15" width="10.83203125" style="2" collapsed="1"/>
    <col min="16" max="16384" width="10.83203125" style="2"/>
  </cols>
  <sheetData>
    <row r="1" spans="2:14" ht="10" customHeight="1" x14ac:dyDescent="0.2"/>
    <row r="2" spans="2:14" x14ac:dyDescent="0.2">
      <c r="B2" s="58" t="s">
        <v>5</v>
      </c>
      <c r="C2" s="58"/>
      <c r="D2" s="58"/>
      <c r="E2" s="9"/>
      <c r="F2" s="58" t="s">
        <v>0</v>
      </c>
      <c r="G2" s="58"/>
      <c r="H2" s="58"/>
      <c r="I2" s="9"/>
      <c r="J2" s="58" t="s">
        <v>6</v>
      </c>
      <c r="K2" s="58"/>
      <c r="L2" s="58"/>
      <c r="M2" s="9"/>
    </row>
    <row r="3" spans="2:14" x14ac:dyDescent="0.2">
      <c r="B3" s="1" t="s">
        <v>1</v>
      </c>
      <c r="C3" s="1" t="s">
        <v>2</v>
      </c>
      <c r="D3" s="1" t="s">
        <v>3</v>
      </c>
      <c r="E3" s="9"/>
      <c r="F3" s="1" t="s">
        <v>1</v>
      </c>
      <c r="G3" s="1" t="s">
        <v>2</v>
      </c>
      <c r="H3" s="1" t="s">
        <v>3</v>
      </c>
      <c r="I3" s="9"/>
      <c r="J3" s="1" t="s">
        <v>1</v>
      </c>
      <c r="K3" s="1" t="s">
        <v>2</v>
      </c>
      <c r="L3" s="1" t="s">
        <v>3</v>
      </c>
      <c r="M3" s="9"/>
    </row>
    <row r="4" spans="2:14" x14ac:dyDescent="0.2">
      <c r="B4" s="3">
        <v>2015</v>
      </c>
      <c r="C4" s="4">
        <v>8.2009429999999994E-2</v>
      </c>
      <c r="D4" s="4">
        <v>8.6482799999999999E-2</v>
      </c>
      <c r="E4" s="8"/>
      <c r="F4" s="3">
        <v>2015</v>
      </c>
      <c r="G4" s="4">
        <v>3.3727060000000003E-2</v>
      </c>
      <c r="H4" s="4">
        <v>3.4576099999999999E-2</v>
      </c>
      <c r="I4" s="8"/>
      <c r="J4" s="3">
        <v>2015</v>
      </c>
      <c r="K4" s="4">
        <v>4.8316459999999999E-2</v>
      </c>
      <c r="L4" s="4">
        <v>5.20732E-2</v>
      </c>
      <c r="M4" s="8"/>
      <c r="N4" s="2">
        <v>100</v>
      </c>
    </row>
    <row r="5" spans="2:14" x14ac:dyDescent="0.2">
      <c r="B5" s="3">
        <v>2016</v>
      </c>
      <c r="C5" s="4">
        <v>8.0277249999999994E-2</v>
      </c>
      <c r="D5" s="4">
        <v>8.6585300000000004E-2</v>
      </c>
      <c r="E5" s="8"/>
      <c r="F5" s="3">
        <v>2016</v>
      </c>
      <c r="G5" s="4">
        <v>3.2003570000000002E-2</v>
      </c>
      <c r="H5" s="4">
        <v>3.4039199999999999E-2</v>
      </c>
      <c r="I5" s="8"/>
      <c r="J5" s="3">
        <v>2016</v>
      </c>
      <c r="K5" s="4">
        <v>4.8263790000000001E-2</v>
      </c>
      <c r="L5" s="4">
        <v>5.2657599999999999E-2</v>
      </c>
      <c r="M5" s="8"/>
    </row>
    <row r="6" spans="2:14" x14ac:dyDescent="0.2">
      <c r="B6" s="3">
        <v>2017</v>
      </c>
      <c r="C6" s="4">
        <v>0.12252771</v>
      </c>
      <c r="D6" s="4">
        <v>8.8292099999999998E-2</v>
      </c>
      <c r="E6" s="8"/>
      <c r="F6" s="3">
        <v>2017</v>
      </c>
      <c r="G6" s="4">
        <v>4.7585269999999999E-2</v>
      </c>
      <c r="H6" s="4">
        <v>3.4246100000000002E-2</v>
      </c>
      <c r="I6" s="8"/>
      <c r="J6" s="3">
        <v>2017</v>
      </c>
      <c r="K6" s="4">
        <v>7.4915969999999998E-2</v>
      </c>
      <c r="L6" s="4">
        <v>5.4286300000000003E-2</v>
      </c>
      <c r="M6" s="8"/>
    </row>
    <row r="7" spans="2:14" x14ac:dyDescent="0.2">
      <c r="B7" s="3">
        <v>2018</v>
      </c>
      <c r="C7" s="4">
        <v>8.1257979999999994E-2</v>
      </c>
      <c r="D7" s="4">
        <v>8.7876499999999996E-2</v>
      </c>
      <c r="E7" s="8"/>
      <c r="F7" s="3">
        <v>2018</v>
      </c>
      <c r="G7" s="4">
        <v>3.1655330000000002E-2</v>
      </c>
      <c r="H7" s="4">
        <v>3.3768600000000003E-2</v>
      </c>
      <c r="I7" s="8"/>
      <c r="J7" s="3">
        <v>2018</v>
      </c>
      <c r="K7" s="4">
        <v>4.9601350000000002E-2</v>
      </c>
      <c r="L7" s="4">
        <v>5.4342599999999998E-2</v>
      </c>
      <c r="M7" s="8"/>
    </row>
    <row r="8" spans="2:14" x14ac:dyDescent="0.2">
      <c r="B8" s="3">
        <v>2019</v>
      </c>
      <c r="C8" s="4">
        <v>8.0346490000000007E-2</v>
      </c>
      <c r="D8" s="4">
        <v>8.7415400000000004E-2</v>
      </c>
      <c r="E8" s="8"/>
      <c r="F8" s="3">
        <v>2019</v>
      </c>
      <c r="G8" s="4">
        <v>3.0427119999999998E-2</v>
      </c>
      <c r="H8" s="4">
        <v>3.3126799999999998E-2</v>
      </c>
      <c r="I8" s="8"/>
      <c r="J8" s="3">
        <v>2019</v>
      </c>
      <c r="K8" s="4">
        <v>4.9919289999999998E-2</v>
      </c>
      <c r="L8" s="4">
        <v>5.4516799999999997E-2</v>
      </c>
      <c r="M8" s="8"/>
    </row>
    <row r="9" spans="2:14" x14ac:dyDescent="0.2">
      <c r="B9" s="3">
        <v>2020</v>
      </c>
      <c r="C9" s="4">
        <v>8.2235210000000003E-2</v>
      </c>
      <c r="D9" s="4">
        <v>8.8355400000000001E-2</v>
      </c>
      <c r="E9" s="8"/>
      <c r="F9" s="3">
        <v>2020</v>
      </c>
      <c r="G9" s="4">
        <v>3.0440200000000001E-2</v>
      </c>
      <c r="H9" s="4">
        <v>3.3062099999999997E-2</v>
      </c>
      <c r="I9" s="8"/>
      <c r="J9" s="3">
        <v>2020</v>
      </c>
      <c r="K9" s="4">
        <v>5.1783910000000002E-2</v>
      </c>
      <c r="L9" s="4">
        <v>5.5519399999999997E-2</v>
      </c>
      <c r="M9" s="8"/>
    </row>
    <row r="10" spans="2:14" x14ac:dyDescent="0.2">
      <c r="B10" s="3">
        <v>2021</v>
      </c>
      <c r="C10" s="4">
        <v>7.9869570000000001E-2</v>
      </c>
      <c r="D10" s="4">
        <v>8.6791199999999999E-2</v>
      </c>
      <c r="E10" s="8"/>
      <c r="F10" s="3">
        <v>2021</v>
      </c>
      <c r="G10" s="4">
        <v>2.8965589999999999E-2</v>
      </c>
      <c r="H10" s="4">
        <v>3.1883399999999999E-2</v>
      </c>
      <c r="I10" s="8"/>
      <c r="J10" s="3">
        <v>2021</v>
      </c>
      <c r="K10" s="4">
        <v>5.0918480000000002E-2</v>
      </c>
      <c r="L10" s="4">
        <v>5.5122499999999998E-2</v>
      </c>
      <c r="M10" s="8"/>
    </row>
    <row r="11" spans="2:14" x14ac:dyDescent="0.2">
      <c r="B11" s="3">
        <v>2022</v>
      </c>
      <c r="C11" s="4">
        <v>7.8177479999999994E-2</v>
      </c>
      <c r="D11" s="4">
        <v>8.6607600000000007E-2</v>
      </c>
      <c r="E11" s="8"/>
      <c r="F11" s="3">
        <v>2022</v>
      </c>
      <c r="G11" s="4">
        <v>2.7694509999999999E-2</v>
      </c>
      <c r="H11" s="4">
        <v>3.1414600000000001E-2</v>
      </c>
      <c r="I11" s="8"/>
      <c r="J11" s="3">
        <v>2022</v>
      </c>
      <c r="K11" s="4">
        <v>5.0515669999999999E-2</v>
      </c>
      <c r="L11" s="4">
        <v>5.5469499999999998E-2</v>
      </c>
      <c r="M11" s="8"/>
    </row>
    <row r="13" spans="2:14" x14ac:dyDescent="0.2">
      <c r="B13" s="5" t="s">
        <v>4</v>
      </c>
      <c r="C13" s="6">
        <f>C11-C4</f>
        <v>-3.8319500000000006E-3</v>
      </c>
      <c r="D13" s="6">
        <f>D11-D4</f>
        <v>1.2480000000000824E-4</v>
      </c>
      <c r="E13" s="7"/>
      <c r="F13" s="5" t="s">
        <v>4</v>
      </c>
      <c r="G13" s="6">
        <f>G11-G4</f>
        <v>-6.0325500000000046E-3</v>
      </c>
      <c r="H13" s="6">
        <f>H11-H4</f>
        <v>-3.1614999999999976E-3</v>
      </c>
      <c r="I13" s="7"/>
      <c r="J13" s="5" t="s">
        <v>4</v>
      </c>
      <c r="K13" s="6">
        <f>K11-K4</f>
        <v>2.1992100000000001E-3</v>
      </c>
      <c r="L13" s="6">
        <f>L11-L4</f>
        <v>3.3962999999999979E-3</v>
      </c>
      <c r="M13" s="7"/>
    </row>
    <row r="17" spans="3:12" outlineLevel="1" x14ac:dyDescent="0.2">
      <c r="C17" s="2">
        <f t="shared" ref="C17:D24" si="0">C4*$N$4</f>
        <v>8.2009429999999988</v>
      </c>
      <c r="D17" s="2">
        <f t="shared" si="0"/>
        <v>8.6482799999999997</v>
      </c>
      <c r="G17" s="2">
        <f t="shared" ref="G17:H24" si="1">G4*$N$4</f>
        <v>3.3727060000000004</v>
      </c>
      <c r="H17" s="2">
        <f t="shared" si="1"/>
        <v>3.4576099999999999</v>
      </c>
      <c r="K17" s="2">
        <f t="shared" ref="K17:L24" si="2">K4*$N$4</f>
        <v>4.8316460000000001</v>
      </c>
      <c r="L17" s="2">
        <f t="shared" si="2"/>
        <v>5.2073200000000002</v>
      </c>
    </row>
    <row r="18" spans="3:12" outlineLevel="1" x14ac:dyDescent="0.2">
      <c r="C18" s="2">
        <f t="shared" si="0"/>
        <v>8.0277250000000002</v>
      </c>
      <c r="D18" s="2">
        <f t="shared" si="0"/>
        <v>8.6585300000000007</v>
      </c>
      <c r="G18" s="2">
        <f t="shared" si="1"/>
        <v>3.2003570000000003</v>
      </c>
      <c r="H18" s="2">
        <f t="shared" si="1"/>
        <v>3.4039199999999998</v>
      </c>
      <c r="K18" s="2">
        <f t="shared" si="2"/>
        <v>4.8263790000000002</v>
      </c>
      <c r="L18" s="2">
        <f t="shared" si="2"/>
        <v>5.2657600000000002</v>
      </c>
    </row>
    <row r="19" spans="3:12" outlineLevel="1" x14ac:dyDescent="0.2">
      <c r="C19" s="2">
        <f t="shared" si="0"/>
        <v>12.252770999999999</v>
      </c>
      <c r="D19" s="2">
        <f t="shared" si="0"/>
        <v>8.8292099999999998</v>
      </c>
      <c r="G19" s="2">
        <f t="shared" si="1"/>
        <v>4.758527</v>
      </c>
      <c r="H19" s="2">
        <f t="shared" si="1"/>
        <v>3.4246100000000004</v>
      </c>
      <c r="K19" s="2">
        <f t="shared" si="2"/>
        <v>7.4915969999999996</v>
      </c>
      <c r="L19" s="2">
        <f t="shared" si="2"/>
        <v>5.4286300000000001</v>
      </c>
    </row>
    <row r="20" spans="3:12" outlineLevel="1" x14ac:dyDescent="0.2">
      <c r="C20" s="2">
        <f t="shared" si="0"/>
        <v>8.1257979999999996</v>
      </c>
      <c r="D20" s="2">
        <f t="shared" si="0"/>
        <v>8.7876499999999993</v>
      </c>
      <c r="G20" s="2">
        <f t="shared" si="1"/>
        <v>3.1655330000000004</v>
      </c>
      <c r="H20" s="2">
        <f t="shared" si="1"/>
        <v>3.3768600000000002</v>
      </c>
      <c r="K20" s="2">
        <f t="shared" si="2"/>
        <v>4.9601350000000002</v>
      </c>
      <c r="L20" s="2">
        <f t="shared" si="2"/>
        <v>5.4342600000000001</v>
      </c>
    </row>
    <row r="21" spans="3:12" outlineLevel="1" x14ac:dyDescent="0.2">
      <c r="C21" s="2">
        <f t="shared" si="0"/>
        <v>8.0346489999999999</v>
      </c>
      <c r="D21" s="2">
        <f t="shared" si="0"/>
        <v>8.7415400000000005</v>
      </c>
      <c r="G21" s="2">
        <f t="shared" si="1"/>
        <v>3.0427119999999999</v>
      </c>
      <c r="H21" s="2">
        <f t="shared" si="1"/>
        <v>3.3126799999999998</v>
      </c>
      <c r="K21" s="2">
        <f t="shared" si="2"/>
        <v>4.9919289999999998</v>
      </c>
      <c r="L21" s="2">
        <f t="shared" si="2"/>
        <v>5.4516799999999996</v>
      </c>
    </row>
    <row r="22" spans="3:12" outlineLevel="1" x14ac:dyDescent="0.2">
      <c r="C22" s="2">
        <f t="shared" si="0"/>
        <v>8.2235209999999999</v>
      </c>
      <c r="D22" s="2">
        <f t="shared" si="0"/>
        <v>8.8355399999999999</v>
      </c>
      <c r="G22" s="2">
        <f t="shared" si="1"/>
        <v>3.0440200000000002</v>
      </c>
      <c r="H22" s="2">
        <f t="shared" si="1"/>
        <v>3.3062099999999996</v>
      </c>
      <c r="K22" s="2">
        <f t="shared" si="2"/>
        <v>5.1783910000000004</v>
      </c>
      <c r="L22" s="2">
        <f t="shared" si="2"/>
        <v>5.5519400000000001</v>
      </c>
    </row>
    <row r="23" spans="3:12" outlineLevel="1" x14ac:dyDescent="0.2">
      <c r="C23" s="2">
        <f t="shared" si="0"/>
        <v>7.9869570000000003</v>
      </c>
      <c r="D23" s="2">
        <f t="shared" si="0"/>
        <v>8.6791199999999993</v>
      </c>
      <c r="G23" s="2">
        <f t="shared" si="1"/>
        <v>2.8965589999999999</v>
      </c>
      <c r="H23" s="2">
        <f t="shared" si="1"/>
        <v>3.1883399999999997</v>
      </c>
      <c r="K23" s="2">
        <f t="shared" si="2"/>
        <v>5.0918480000000006</v>
      </c>
      <c r="L23" s="2">
        <f t="shared" si="2"/>
        <v>5.5122499999999999</v>
      </c>
    </row>
    <row r="24" spans="3:12" outlineLevel="1" x14ac:dyDescent="0.2">
      <c r="C24" s="2">
        <f t="shared" si="0"/>
        <v>7.817747999999999</v>
      </c>
      <c r="D24" s="2">
        <f t="shared" si="0"/>
        <v>8.6607599999999998</v>
      </c>
      <c r="G24" s="2">
        <f t="shared" si="1"/>
        <v>2.7694509999999997</v>
      </c>
      <c r="H24" s="2">
        <f t="shared" si="1"/>
        <v>3.1414599999999999</v>
      </c>
      <c r="K24" s="2">
        <f t="shared" si="2"/>
        <v>5.0515669999999995</v>
      </c>
      <c r="L24" s="2">
        <f t="shared" si="2"/>
        <v>5.5469499999999998</v>
      </c>
    </row>
    <row r="37" spans="7:11" x14ac:dyDescent="0.2">
      <c r="K37" s="13"/>
    </row>
    <row r="38" spans="7:11" x14ac:dyDescent="0.2">
      <c r="K38" s="13"/>
    </row>
    <row r="39" spans="7:11" x14ac:dyDescent="0.2">
      <c r="K39" s="13"/>
    </row>
    <row r="40" spans="7:11" x14ac:dyDescent="0.2">
      <c r="K40" s="13"/>
    </row>
    <row r="41" spans="7:11" x14ac:dyDescent="0.2">
      <c r="H41" s="13"/>
      <c r="K41" s="13"/>
    </row>
    <row r="42" spans="7:11" x14ac:dyDescent="0.2">
      <c r="K42" s="13"/>
    </row>
    <row r="43" spans="7:11" x14ac:dyDescent="0.2">
      <c r="G43" s="13"/>
    </row>
    <row r="58" spans="7:7" x14ac:dyDescent="0.2">
      <c r="G58" s="13"/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5452-BF50-6A49-9D70-AE46B6DD6178}">
  <sheetPr>
    <tabColor rgb="FFFFFF00"/>
  </sheetPr>
  <dimension ref="B1:O58"/>
  <sheetViews>
    <sheetView workbookViewId="0">
      <selection activeCell="K31" sqref="K31"/>
    </sheetView>
  </sheetViews>
  <sheetFormatPr baseColWidth="10" defaultRowHeight="16" outlineLevelRow="1" outlineLevelCol="1" x14ac:dyDescent="0.2"/>
  <cols>
    <col min="1" max="1" width="2.6640625" style="2" customWidth="1"/>
    <col min="2" max="2" width="13.1640625" style="2" customWidth="1"/>
    <col min="3" max="4" width="13.83203125" style="2" customWidth="1"/>
    <col min="5" max="5" width="3.1640625" style="2" customWidth="1"/>
    <col min="6" max="8" width="13.83203125" style="2" customWidth="1"/>
    <col min="9" max="9" width="2.33203125" style="2" customWidth="1"/>
    <col min="10" max="12" width="13.83203125" style="2" customWidth="1"/>
    <col min="13" max="13" width="2.5" style="2" customWidth="1"/>
    <col min="14" max="14" width="10.83203125" style="2" hidden="1" customWidth="1" outlineLevel="1"/>
    <col min="15" max="15" width="10.83203125" style="2" collapsed="1"/>
    <col min="16" max="16384" width="10.83203125" style="2"/>
  </cols>
  <sheetData>
    <row r="1" spans="2:14" ht="10" customHeight="1" x14ac:dyDescent="0.2"/>
    <row r="2" spans="2:14" x14ac:dyDescent="0.2">
      <c r="B2" s="58" t="s">
        <v>5</v>
      </c>
      <c r="C2" s="58"/>
      <c r="D2" s="58"/>
      <c r="E2" s="9"/>
      <c r="F2" s="58" t="s">
        <v>0</v>
      </c>
      <c r="G2" s="58"/>
      <c r="H2" s="58"/>
      <c r="I2" s="9"/>
      <c r="J2" s="58" t="s">
        <v>6</v>
      </c>
      <c r="K2" s="58"/>
      <c r="L2" s="58"/>
      <c r="M2" s="9"/>
    </row>
    <row r="3" spans="2:14" x14ac:dyDescent="0.2">
      <c r="B3" s="1" t="s">
        <v>1</v>
      </c>
      <c r="C3" s="1" t="s">
        <v>2</v>
      </c>
      <c r="D3" s="1" t="s">
        <v>3</v>
      </c>
      <c r="E3" s="9"/>
      <c r="F3" s="1" t="s">
        <v>1</v>
      </c>
      <c r="G3" s="1" t="s">
        <v>2</v>
      </c>
      <c r="H3" s="1" t="s">
        <v>3</v>
      </c>
      <c r="I3" s="9"/>
      <c r="J3" s="1" t="s">
        <v>1</v>
      </c>
      <c r="K3" s="1" t="s">
        <v>2</v>
      </c>
      <c r="L3" s="1" t="s">
        <v>3</v>
      </c>
      <c r="M3" s="9"/>
    </row>
    <row r="4" spans="2:14" x14ac:dyDescent="0.2">
      <c r="B4" s="3">
        <v>2015</v>
      </c>
      <c r="C4" s="4">
        <v>0.15405295999999999</v>
      </c>
      <c r="D4" s="4">
        <v>0.159164</v>
      </c>
      <c r="E4" s="8"/>
      <c r="F4" s="3">
        <v>2015</v>
      </c>
      <c r="G4" s="4">
        <v>2.4815670000000001E-2</v>
      </c>
      <c r="H4" s="4">
        <v>2.5638999999999999E-2</v>
      </c>
      <c r="I4" s="8"/>
      <c r="J4" s="3">
        <v>2015</v>
      </c>
      <c r="K4" s="4">
        <v>0.12923729</v>
      </c>
      <c r="L4" s="4">
        <v>0.133525</v>
      </c>
      <c r="M4" s="8"/>
      <c r="N4" s="2">
        <v>100</v>
      </c>
    </row>
    <row r="5" spans="2:14" x14ac:dyDescent="0.2">
      <c r="B5" s="3">
        <v>2016</v>
      </c>
      <c r="C5" s="4">
        <v>0.16508893999999999</v>
      </c>
      <c r="D5" s="4">
        <v>0.15730040000000001</v>
      </c>
      <c r="E5" s="8"/>
      <c r="F5" s="3">
        <v>2016</v>
      </c>
      <c r="G5" s="4">
        <v>2.6413789999999999E-2</v>
      </c>
      <c r="H5" s="4">
        <v>2.5282900000000001E-2</v>
      </c>
      <c r="I5" s="8"/>
      <c r="J5" s="3">
        <v>2016</v>
      </c>
      <c r="K5" s="4">
        <v>0.13867515999999999</v>
      </c>
      <c r="L5" s="4">
        <v>0.13201750000000001</v>
      </c>
      <c r="M5" s="8"/>
    </row>
    <row r="6" spans="2:14" x14ac:dyDescent="0.2">
      <c r="B6" s="3">
        <v>2017</v>
      </c>
      <c r="C6" s="4">
        <v>8.4214590000000006E-2</v>
      </c>
      <c r="D6" s="4">
        <v>8.4985900000000003E-2</v>
      </c>
      <c r="E6" s="8"/>
      <c r="F6" s="3">
        <v>2017</v>
      </c>
      <c r="G6" s="4">
        <v>1.3885700000000001E-2</v>
      </c>
      <c r="H6" s="4">
        <v>1.40211E-2</v>
      </c>
      <c r="I6" s="8"/>
      <c r="J6" s="3">
        <v>2017</v>
      </c>
      <c r="K6" s="4">
        <v>7.0331260000000007E-2</v>
      </c>
      <c r="L6" s="4">
        <v>7.0964899999999997E-2</v>
      </c>
      <c r="M6" s="8"/>
    </row>
    <row r="7" spans="2:14" x14ac:dyDescent="0.2">
      <c r="B7" s="3">
        <v>2018</v>
      </c>
      <c r="C7" s="4">
        <v>8.3929799999999999E-2</v>
      </c>
      <c r="D7" s="4">
        <v>8.5959599999999997E-2</v>
      </c>
      <c r="E7" s="8"/>
      <c r="F7" s="3">
        <v>2018</v>
      </c>
      <c r="G7" s="4">
        <v>1.3620500000000001E-2</v>
      </c>
      <c r="H7" s="4">
        <v>1.39474E-2</v>
      </c>
      <c r="I7" s="8"/>
      <c r="J7" s="3">
        <v>2018</v>
      </c>
      <c r="K7" s="4">
        <v>7.0311769999999996E-2</v>
      </c>
      <c r="L7" s="4">
        <v>7.2012300000000001E-2</v>
      </c>
      <c r="M7" s="8"/>
    </row>
    <row r="8" spans="2:14" x14ac:dyDescent="0.2">
      <c r="B8" s="3">
        <v>2019</v>
      </c>
      <c r="C8" s="4">
        <v>8.1765889999999994E-2</v>
      </c>
      <c r="D8" s="4">
        <v>8.6158899999999997E-2</v>
      </c>
      <c r="E8" s="8"/>
      <c r="F8" s="3">
        <v>2019</v>
      </c>
      <c r="G8" s="4">
        <v>1.3422440000000001E-2</v>
      </c>
      <c r="H8" s="4">
        <v>1.4143599999999999E-2</v>
      </c>
      <c r="I8" s="8"/>
      <c r="J8" s="3">
        <v>2019</v>
      </c>
      <c r="K8" s="4">
        <v>6.834345E-2</v>
      </c>
      <c r="L8" s="4">
        <v>7.2015300000000004E-2</v>
      </c>
      <c r="M8" s="8"/>
    </row>
    <row r="9" spans="2:14" x14ac:dyDescent="0.2">
      <c r="B9" s="3">
        <v>2020</v>
      </c>
      <c r="C9" s="4">
        <v>8.8084700000000002E-2</v>
      </c>
      <c r="D9" s="4">
        <v>8.9258000000000004E-2</v>
      </c>
      <c r="E9" s="8"/>
      <c r="F9" s="3">
        <v>2020</v>
      </c>
      <c r="G9" s="4">
        <v>1.459595E-2</v>
      </c>
      <c r="H9" s="4">
        <v>1.47904E-2</v>
      </c>
      <c r="I9" s="8"/>
      <c r="J9" s="3">
        <v>2020</v>
      </c>
      <c r="K9" s="4">
        <v>7.3488750000000005E-2</v>
      </c>
      <c r="L9" s="4">
        <v>7.4467599999999995E-2</v>
      </c>
      <c r="M9" s="8"/>
    </row>
    <row r="10" spans="2:14" x14ac:dyDescent="0.2">
      <c r="B10" s="3">
        <v>2021</v>
      </c>
      <c r="C10" s="4">
        <v>8.6967359999999994E-2</v>
      </c>
      <c r="D10" s="4">
        <v>8.8675699999999996E-2</v>
      </c>
      <c r="E10" s="8"/>
      <c r="F10" s="3">
        <v>2021</v>
      </c>
      <c r="G10" s="4">
        <v>1.4259640000000001E-2</v>
      </c>
      <c r="H10" s="4">
        <v>1.45398E-2</v>
      </c>
      <c r="I10" s="8"/>
      <c r="J10" s="3">
        <v>2021</v>
      </c>
      <c r="K10" s="4">
        <v>7.2707709999999995E-2</v>
      </c>
      <c r="L10" s="4">
        <v>7.4135999999999994E-2</v>
      </c>
      <c r="M10" s="8"/>
    </row>
    <row r="11" spans="2:14" x14ac:dyDescent="0.2">
      <c r="B11" s="3">
        <v>2022</v>
      </c>
      <c r="C11" s="4">
        <v>8.2393869999999994E-2</v>
      </c>
      <c r="D11" s="4">
        <v>8.6574399999999996E-2</v>
      </c>
      <c r="E11" s="8"/>
      <c r="F11" s="3">
        <v>2022</v>
      </c>
      <c r="G11" s="4">
        <v>1.2702679999999999E-2</v>
      </c>
      <c r="H11" s="4">
        <v>1.33472E-2</v>
      </c>
      <c r="I11" s="8"/>
      <c r="J11" s="3">
        <v>2022</v>
      </c>
      <c r="K11" s="4">
        <v>6.9691180000000005E-2</v>
      </c>
      <c r="L11" s="4">
        <v>7.3227200000000006E-2</v>
      </c>
      <c r="M11" s="8"/>
    </row>
    <row r="13" spans="2:14" x14ac:dyDescent="0.2">
      <c r="B13" s="5" t="s">
        <v>4</v>
      </c>
      <c r="C13" s="6">
        <f>C11-C4</f>
        <v>-7.1659089999999995E-2</v>
      </c>
      <c r="D13" s="6">
        <f>D11-D4</f>
        <v>-7.2589600000000004E-2</v>
      </c>
      <c r="E13" s="7"/>
      <c r="F13" s="5" t="s">
        <v>4</v>
      </c>
      <c r="G13" s="6">
        <f>G11-G4</f>
        <v>-1.2112990000000002E-2</v>
      </c>
      <c r="H13" s="6">
        <f>H11-H4</f>
        <v>-1.2291799999999999E-2</v>
      </c>
      <c r="I13" s="7"/>
      <c r="J13" s="5" t="s">
        <v>4</v>
      </c>
      <c r="K13" s="6">
        <f>K11-K4</f>
        <v>-5.9546109999999999E-2</v>
      </c>
      <c r="L13" s="6">
        <f>L11-L4</f>
        <v>-6.0297799999999999E-2</v>
      </c>
      <c r="M13" s="7"/>
    </row>
    <row r="17" spans="3:12" outlineLevel="1" x14ac:dyDescent="0.2">
      <c r="C17" s="2">
        <f t="shared" ref="C17:D24" si="0">C4*$N$4</f>
        <v>15.405295999999998</v>
      </c>
      <c r="D17" s="2">
        <f t="shared" si="0"/>
        <v>15.916399999999999</v>
      </c>
      <c r="G17" s="2">
        <f t="shared" ref="G17:H24" si="1">G4*$N$4</f>
        <v>2.4815670000000001</v>
      </c>
      <c r="H17" s="2">
        <f t="shared" si="1"/>
        <v>2.5638999999999998</v>
      </c>
      <c r="K17" s="2">
        <f t="shared" ref="K17:L24" si="2">K4*$N$4</f>
        <v>12.923729</v>
      </c>
      <c r="L17" s="2">
        <f t="shared" si="2"/>
        <v>13.352500000000001</v>
      </c>
    </row>
    <row r="18" spans="3:12" outlineLevel="1" x14ac:dyDescent="0.2">
      <c r="C18" s="2">
        <f t="shared" si="0"/>
        <v>16.508893999999998</v>
      </c>
      <c r="D18" s="2">
        <f t="shared" si="0"/>
        <v>15.730040000000001</v>
      </c>
      <c r="G18" s="2">
        <f t="shared" si="1"/>
        <v>2.6413790000000001</v>
      </c>
      <c r="H18" s="2">
        <f t="shared" si="1"/>
        <v>2.5282900000000001</v>
      </c>
      <c r="K18" s="2">
        <f t="shared" si="2"/>
        <v>13.867515999999998</v>
      </c>
      <c r="L18" s="2">
        <f t="shared" si="2"/>
        <v>13.201750000000001</v>
      </c>
    </row>
    <row r="19" spans="3:12" outlineLevel="1" x14ac:dyDescent="0.2">
      <c r="C19" s="2">
        <f t="shared" si="0"/>
        <v>8.4214590000000005</v>
      </c>
      <c r="D19" s="2">
        <f t="shared" si="0"/>
        <v>8.4985900000000001</v>
      </c>
      <c r="G19" s="2">
        <f t="shared" si="1"/>
        <v>1.3885700000000001</v>
      </c>
      <c r="H19" s="2">
        <f t="shared" si="1"/>
        <v>1.40211</v>
      </c>
      <c r="K19" s="2">
        <f t="shared" si="2"/>
        <v>7.0331260000000011</v>
      </c>
      <c r="L19" s="2">
        <f t="shared" si="2"/>
        <v>7.0964899999999993</v>
      </c>
    </row>
    <row r="20" spans="3:12" outlineLevel="1" x14ac:dyDescent="0.2">
      <c r="C20" s="2">
        <f t="shared" si="0"/>
        <v>8.3929799999999997</v>
      </c>
      <c r="D20" s="2">
        <f t="shared" si="0"/>
        <v>8.5959599999999998</v>
      </c>
      <c r="G20" s="2">
        <f t="shared" si="1"/>
        <v>1.36205</v>
      </c>
      <c r="H20" s="2">
        <f t="shared" si="1"/>
        <v>1.3947400000000001</v>
      </c>
      <c r="K20" s="2">
        <f t="shared" si="2"/>
        <v>7.0311769999999996</v>
      </c>
      <c r="L20" s="2">
        <f t="shared" si="2"/>
        <v>7.2012299999999998</v>
      </c>
    </row>
    <row r="21" spans="3:12" outlineLevel="1" x14ac:dyDescent="0.2">
      <c r="C21" s="2">
        <f t="shared" si="0"/>
        <v>8.1765889999999999</v>
      </c>
      <c r="D21" s="2">
        <f t="shared" si="0"/>
        <v>8.6158900000000003</v>
      </c>
      <c r="G21" s="2">
        <f t="shared" si="1"/>
        <v>1.342244</v>
      </c>
      <c r="H21" s="2">
        <f t="shared" si="1"/>
        <v>1.4143599999999998</v>
      </c>
      <c r="K21" s="2">
        <f t="shared" si="2"/>
        <v>6.8343449999999999</v>
      </c>
      <c r="L21" s="2">
        <f t="shared" si="2"/>
        <v>7.20153</v>
      </c>
    </row>
    <row r="22" spans="3:12" outlineLevel="1" x14ac:dyDescent="0.2">
      <c r="C22" s="2">
        <f t="shared" si="0"/>
        <v>8.8084699999999998</v>
      </c>
      <c r="D22" s="2">
        <f t="shared" si="0"/>
        <v>8.9258000000000006</v>
      </c>
      <c r="G22" s="2">
        <f t="shared" si="1"/>
        <v>1.459595</v>
      </c>
      <c r="H22" s="2">
        <f t="shared" si="1"/>
        <v>1.4790400000000001</v>
      </c>
      <c r="K22" s="2">
        <f t="shared" si="2"/>
        <v>7.3488750000000005</v>
      </c>
      <c r="L22" s="2">
        <f t="shared" si="2"/>
        <v>7.4467599999999994</v>
      </c>
    </row>
    <row r="23" spans="3:12" outlineLevel="1" x14ac:dyDescent="0.2">
      <c r="C23" s="2">
        <f t="shared" si="0"/>
        <v>8.6967359999999996</v>
      </c>
      <c r="D23" s="2">
        <f t="shared" si="0"/>
        <v>8.8675699999999988</v>
      </c>
      <c r="G23" s="2">
        <f t="shared" si="1"/>
        <v>1.425964</v>
      </c>
      <c r="H23" s="2">
        <f t="shared" si="1"/>
        <v>1.4539800000000001</v>
      </c>
      <c r="K23" s="2">
        <f t="shared" si="2"/>
        <v>7.2707709999999999</v>
      </c>
      <c r="L23" s="2">
        <f t="shared" si="2"/>
        <v>7.4135999999999997</v>
      </c>
    </row>
    <row r="24" spans="3:12" outlineLevel="1" x14ac:dyDescent="0.2">
      <c r="C24" s="2">
        <f t="shared" si="0"/>
        <v>8.2393869999999989</v>
      </c>
      <c r="D24" s="2">
        <f t="shared" si="0"/>
        <v>8.6574399999999994</v>
      </c>
      <c r="G24" s="2">
        <f t="shared" si="1"/>
        <v>1.270268</v>
      </c>
      <c r="H24" s="2">
        <f t="shared" si="1"/>
        <v>1.3347199999999999</v>
      </c>
      <c r="K24" s="2">
        <f t="shared" si="2"/>
        <v>6.9691180000000008</v>
      </c>
      <c r="L24" s="2">
        <f t="shared" si="2"/>
        <v>7.3227200000000003</v>
      </c>
    </row>
    <row r="37" spans="7:11" x14ac:dyDescent="0.2">
      <c r="K37" s="13"/>
    </row>
    <row r="38" spans="7:11" x14ac:dyDescent="0.2">
      <c r="K38" s="13"/>
    </row>
    <row r="39" spans="7:11" x14ac:dyDescent="0.2">
      <c r="K39" s="13"/>
    </row>
    <row r="40" spans="7:11" x14ac:dyDescent="0.2">
      <c r="K40" s="13"/>
    </row>
    <row r="41" spans="7:11" x14ac:dyDescent="0.2">
      <c r="H41" s="13"/>
      <c r="K41" s="13"/>
    </row>
    <row r="42" spans="7:11" x14ac:dyDescent="0.2">
      <c r="K42" s="13"/>
    </row>
    <row r="43" spans="7:11" x14ac:dyDescent="0.2">
      <c r="G43" s="13"/>
    </row>
    <row r="58" spans="7:7" x14ac:dyDescent="0.2">
      <c r="G58" s="13"/>
    </row>
  </sheetData>
  <mergeCells count="3">
    <mergeCell ref="B2:D2"/>
    <mergeCell ref="F2:H2"/>
    <mergeCell ref="J2:L2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2B56E-BF69-B943-BE3A-E805503708B7}">
  <sheetPr>
    <tabColor rgb="FFFFFF00"/>
  </sheetPr>
  <dimension ref="B2:K59"/>
  <sheetViews>
    <sheetView workbookViewId="0">
      <selection sqref="A1:XFD1048576"/>
    </sheetView>
  </sheetViews>
  <sheetFormatPr baseColWidth="10" defaultRowHeight="16" outlineLevelRow="1" outlineLevelCol="1" x14ac:dyDescent="0.2"/>
  <cols>
    <col min="1" max="1" width="2.6640625" style="2" customWidth="1"/>
    <col min="2" max="2" width="10.83203125" style="2"/>
    <col min="3" max="4" width="13.83203125" style="2" customWidth="1"/>
    <col min="5" max="5" width="10.83203125" style="2"/>
    <col min="6" max="6" width="0" style="2" hidden="1" customWidth="1" outlineLevel="1"/>
    <col min="7" max="7" width="16.6640625" style="2" bestFit="1" customWidth="1" collapsed="1"/>
    <col min="8" max="10" width="10.83203125" style="2"/>
    <col min="11" max="11" width="17.6640625" style="2" bestFit="1" customWidth="1"/>
    <col min="12" max="16384" width="10.83203125" style="2"/>
  </cols>
  <sheetData>
    <row r="2" spans="2:6" x14ac:dyDescent="0.2">
      <c r="B2" s="58" t="s">
        <v>6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6.9921590000000006E-2</v>
      </c>
      <c r="D4" s="4">
        <v>6.0297799999999999E-2</v>
      </c>
      <c r="F4" s="2">
        <v>100</v>
      </c>
    </row>
    <row r="5" spans="2:6" x14ac:dyDescent="0.2">
      <c r="B5" s="3">
        <v>2016</v>
      </c>
      <c r="C5" s="4">
        <v>5.5452899999999999E-2</v>
      </c>
      <c r="D5" s="4">
        <v>5.1614500000000001E-2</v>
      </c>
    </row>
    <row r="6" spans="2:6" x14ac:dyDescent="0.2">
      <c r="B6" s="3">
        <v>2017</v>
      </c>
      <c r="C6" s="4">
        <v>5.3446229999999997E-2</v>
      </c>
      <c r="D6" s="4">
        <v>5.3220900000000002E-2</v>
      </c>
    </row>
    <row r="7" spans="2:6" x14ac:dyDescent="0.2">
      <c r="B7" s="3">
        <v>2018</v>
      </c>
      <c r="C7" s="4">
        <v>6.7317509999999997E-2</v>
      </c>
      <c r="D7" s="4">
        <v>7.0497299999999999E-2</v>
      </c>
    </row>
    <row r="8" spans="2:6" x14ac:dyDescent="0.2">
      <c r="B8" s="3">
        <v>2019</v>
      </c>
      <c r="C8" s="4">
        <v>7.5847709999999999E-2</v>
      </c>
      <c r="D8" s="4">
        <v>7.6951500000000006E-2</v>
      </c>
    </row>
    <row r="9" spans="2:6" x14ac:dyDescent="0.2">
      <c r="B9" s="3">
        <v>2020</v>
      </c>
      <c r="C9" s="4">
        <v>9.3526830000000005E-2</v>
      </c>
      <c r="D9" s="4">
        <v>9.4410099999999997E-2</v>
      </c>
    </row>
    <row r="10" spans="2:6" x14ac:dyDescent="0.2">
      <c r="B10" s="3">
        <v>2021</v>
      </c>
      <c r="C10" s="4">
        <v>8.0378060000000001E-2</v>
      </c>
      <c r="D10" s="4">
        <v>8.3842200000000006E-2</v>
      </c>
    </row>
    <row r="11" spans="2:6" x14ac:dyDescent="0.2">
      <c r="B11" s="3">
        <v>2022</v>
      </c>
      <c r="C11" s="4">
        <v>0.13171815000000001</v>
      </c>
      <c r="D11" s="4">
        <v>0.1206547</v>
      </c>
    </row>
    <row r="13" spans="2:6" x14ac:dyDescent="0.2">
      <c r="B13" s="5" t="s">
        <v>4</v>
      </c>
      <c r="C13" s="6">
        <f>C11-C4</f>
        <v>6.179656E-2</v>
      </c>
      <c r="D13" s="6">
        <f>D11-D4</f>
        <v>6.0356900000000005E-2</v>
      </c>
    </row>
    <row r="15" spans="2:6" x14ac:dyDescent="0.2">
      <c r="C15" s="12">
        <f>C11-C4</f>
        <v>6.179656E-2</v>
      </c>
      <c r="D15" s="12">
        <f>D11-D4</f>
        <v>6.0356900000000005E-2</v>
      </c>
    </row>
    <row r="17" spans="3:4" outlineLevel="1" x14ac:dyDescent="0.2">
      <c r="C17" s="2">
        <f t="shared" ref="C17:D24" si="0">C4*$F$4</f>
        <v>6.9921590000000009</v>
      </c>
      <c r="D17" s="2">
        <f t="shared" si="0"/>
        <v>6.0297799999999997</v>
      </c>
    </row>
    <row r="18" spans="3:4" outlineLevel="1" x14ac:dyDescent="0.2">
      <c r="C18" s="2">
        <f t="shared" si="0"/>
        <v>5.5452899999999996</v>
      </c>
      <c r="D18" s="2">
        <f t="shared" si="0"/>
        <v>5.1614500000000003</v>
      </c>
    </row>
    <row r="19" spans="3:4" outlineLevel="1" x14ac:dyDescent="0.2">
      <c r="C19" s="2">
        <f t="shared" si="0"/>
        <v>5.3446229999999995</v>
      </c>
      <c r="D19" s="2">
        <f t="shared" si="0"/>
        <v>5.3220900000000002</v>
      </c>
    </row>
    <row r="20" spans="3:4" outlineLevel="1" x14ac:dyDescent="0.2">
      <c r="C20" s="2">
        <f t="shared" si="0"/>
        <v>6.731751</v>
      </c>
      <c r="D20" s="2">
        <f t="shared" si="0"/>
        <v>7.0497300000000003</v>
      </c>
    </row>
    <row r="21" spans="3:4" outlineLevel="1" x14ac:dyDescent="0.2">
      <c r="C21" s="2">
        <f t="shared" si="0"/>
        <v>7.5847709999999999</v>
      </c>
      <c r="D21" s="2">
        <f t="shared" si="0"/>
        <v>7.6951500000000008</v>
      </c>
    </row>
    <row r="22" spans="3:4" outlineLevel="1" x14ac:dyDescent="0.2">
      <c r="C22" s="2">
        <f t="shared" si="0"/>
        <v>9.3526830000000007</v>
      </c>
      <c r="D22" s="2">
        <f t="shared" si="0"/>
        <v>9.4410100000000003</v>
      </c>
    </row>
    <row r="23" spans="3:4" outlineLevel="1" x14ac:dyDescent="0.2">
      <c r="C23" s="2">
        <f t="shared" si="0"/>
        <v>8.0378059999999998</v>
      </c>
      <c r="D23" s="2">
        <f t="shared" si="0"/>
        <v>8.3842200000000009</v>
      </c>
    </row>
    <row r="24" spans="3:4" outlineLevel="1" x14ac:dyDescent="0.2">
      <c r="C24" s="2">
        <f t="shared" si="0"/>
        <v>13.171815</v>
      </c>
      <c r="D24" s="2">
        <f t="shared" si="0"/>
        <v>12.065470000000001</v>
      </c>
    </row>
    <row r="26" spans="3:4" x14ac:dyDescent="0.2">
      <c r="C26" s="11"/>
    </row>
    <row r="47" spans="11:11" x14ac:dyDescent="0.2">
      <c r="K47" s="10"/>
    </row>
    <row r="50" spans="7:11" x14ac:dyDescent="0.2">
      <c r="K50" s="10"/>
    </row>
    <row r="51" spans="7:11" x14ac:dyDescent="0.2">
      <c r="I51" s="13"/>
    </row>
    <row r="52" spans="7:11" x14ac:dyDescent="0.2">
      <c r="G52" s="10"/>
    </row>
    <row r="53" spans="7:11" x14ac:dyDescent="0.2">
      <c r="G53" s="10"/>
    </row>
    <row r="54" spans="7:11" x14ac:dyDescent="0.2">
      <c r="G54" s="10"/>
    </row>
    <row r="55" spans="7:11" x14ac:dyDescent="0.2">
      <c r="G55" s="10"/>
    </row>
    <row r="56" spans="7:11" x14ac:dyDescent="0.2">
      <c r="G56" s="10"/>
    </row>
    <row r="57" spans="7:11" x14ac:dyDescent="0.2">
      <c r="G57" s="10"/>
    </row>
    <row r="58" spans="7:11" x14ac:dyDescent="0.2">
      <c r="G58" s="10"/>
    </row>
    <row r="59" spans="7:11" x14ac:dyDescent="0.2">
      <c r="G59" s="10"/>
    </row>
  </sheetData>
  <mergeCells count="1">
    <mergeCell ref="B2:D2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3CB7-0884-5E4B-BA33-34D0FB50DC68}">
  <sheetPr>
    <tabColor rgb="FFFFFF00"/>
  </sheetPr>
  <dimension ref="B2:K59"/>
  <sheetViews>
    <sheetView workbookViewId="0">
      <selection activeCell="B21" sqref="B21"/>
    </sheetView>
  </sheetViews>
  <sheetFormatPr baseColWidth="10" defaultRowHeight="16" outlineLevelRow="1" outlineLevelCol="1" x14ac:dyDescent="0.2"/>
  <cols>
    <col min="1" max="1" width="2.6640625" style="2" customWidth="1"/>
    <col min="2" max="2" width="10.83203125" style="2"/>
    <col min="3" max="4" width="13.83203125" style="2" customWidth="1"/>
    <col min="5" max="5" width="10.83203125" style="2"/>
    <col min="6" max="6" width="0" style="2" hidden="1" customWidth="1" outlineLevel="1"/>
    <col min="7" max="7" width="16.6640625" style="2" bestFit="1" customWidth="1" collapsed="1"/>
    <col min="8" max="10" width="10.83203125" style="2"/>
    <col min="11" max="11" width="17.6640625" style="2" bestFit="1" customWidth="1"/>
    <col min="12" max="16384" width="10.83203125" style="2"/>
  </cols>
  <sheetData>
    <row r="2" spans="2:6" x14ac:dyDescent="0.2">
      <c r="B2" s="58" t="s">
        <v>6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0.20128515</v>
      </c>
      <c r="D4" s="4">
        <v>0.116037</v>
      </c>
      <c r="F4" s="2">
        <v>100</v>
      </c>
    </row>
    <row r="5" spans="2:6" x14ac:dyDescent="0.2">
      <c r="B5" s="3">
        <v>2016</v>
      </c>
      <c r="C5" s="4">
        <v>0.19408928</v>
      </c>
      <c r="D5" s="4">
        <v>0.1114656</v>
      </c>
    </row>
    <row r="6" spans="2:6" x14ac:dyDescent="0.2">
      <c r="B6" s="3">
        <v>2017</v>
      </c>
      <c r="C6" s="4">
        <v>0.19209029</v>
      </c>
      <c r="D6" s="4">
        <v>0.1113434</v>
      </c>
    </row>
    <row r="7" spans="2:6" x14ac:dyDescent="0.2">
      <c r="B7" s="3">
        <v>2018</v>
      </c>
      <c r="C7" s="4">
        <v>0.19608254999999999</v>
      </c>
      <c r="D7" s="4">
        <v>0.1096377</v>
      </c>
    </row>
    <row r="8" spans="2:6" x14ac:dyDescent="0.2">
      <c r="B8" s="3">
        <v>2019</v>
      </c>
      <c r="C8" s="4">
        <v>0.19640133000000001</v>
      </c>
      <c r="D8" s="4">
        <v>0.1101075</v>
      </c>
    </row>
    <row r="9" spans="2:6" x14ac:dyDescent="0.2">
      <c r="B9" s="3">
        <v>2020</v>
      </c>
      <c r="C9" s="4">
        <v>0.19748984</v>
      </c>
      <c r="D9" s="4">
        <v>0.1110843</v>
      </c>
    </row>
    <row r="10" spans="2:6" x14ac:dyDescent="0.2">
      <c r="B10" s="3">
        <v>2021</v>
      </c>
      <c r="C10" s="4">
        <v>0.20310373000000001</v>
      </c>
      <c r="D10" s="4">
        <v>0.1107255</v>
      </c>
    </row>
    <row r="11" spans="2:6" x14ac:dyDescent="0.2">
      <c r="B11" s="3">
        <v>2022</v>
      </c>
      <c r="C11" s="4">
        <v>0.18541372</v>
      </c>
      <c r="D11" s="4">
        <v>0.109651</v>
      </c>
    </row>
    <row r="13" spans="2:6" x14ac:dyDescent="0.2">
      <c r="B13" s="5" t="s">
        <v>4</v>
      </c>
      <c r="C13" s="6">
        <f>C11-C4</f>
        <v>-1.5871429999999992E-2</v>
      </c>
      <c r="D13" s="6">
        <f>D11-D4</f>
        <v>-6.3860000000000028E-3</v>
      </c>
    </row>
    <row r="15" spans="2:6" x14ac:dyDescent="0.2">
      <c r="C15" s="12">
        <f>C11-C4</f>
        <v>-1.5871429999999992E-2</v>
      </c>
      <c r="D15" s="12">
        <f>D11-D4</f>
        <v>-6.3860000000000028E-3</v>
      </c>
    </row>
    <row r="17" spans="3:4" outlineLevel="1" x14ac:dyDescent="0.2">
      <c r="C17" s="2">
        <f t="shared" ref="C17:D24" si="0">C4*$F$4</f>
        <v>20.128515</v>
      </c>
      <c r="D17" s="2">
        <f t="shared" si="0"/>
        <v>11.6037</v>
      </c>
    </row>
    <row r="18" spans="3:4" outlineLevel="1" x14ac:dyDescent="0.2">
      <c r="C18" s="2">
        <f t="shared" si="0"/>
        <v>19.408928</v>
      </c>
      <c r="D18" s="2">
        <f t="shared" si="0"/>
        <v>11.146559999999999</v>
      </c>
    </row>
    <row r="19" spans="3:4" outlineLevel="1" x14ac:dyDescent="0.2">
      <c r="C19" s="2">
        <f t="shared" si="0"/>
        <v>19.209029000000001</v>
      </c>
      <c r="D19" s="2">
        <f t="shared" si="0"/>
        <v>11.13434</v>
      </c>
    </row>
    <row r="20" spans="3:4" outlineLevel="1" x14ac:dyDescent="0.2">
      <c r="C20" s="2">
        <f t="shared" si="0"/>
        <v>19.608255</v>
      </c>
      <c r="D20" s="2">
        <f t="shared" si="0"/>
        <v>10.96377</v>
      </c>
    </row>
    <row r="21" spans="3:4" outlineLevel="1" x14ac:dyDescent="0.2">
      <c r="C21" s="2">
        <f t="shared" si="0"/>
        <v>19.640133000000002</v>
      </c>
      <c r="D21" s="2">
        <f t="shared" si="0"/>
        <v>11.01075</v>
      </c>
    </row>
    <row r="22" spans="3:4" outlineLevel="1" x14ac:dyDescent="0.2">
      <c r="C22" s="2">
        <f t="shared" si="0"/>
        <v>19.748984</v>
      </c>
      <c r="D22" s="2">
        <f t="shared" si="0"/>
        <v>11.10843</v>
      </c>
    </row>
    <row r="23" spans="3:4" outlineLevel="1" x14ac:dyDescent="0.2">
      <c r="C23" s="2">
        <f t="shared" si="0"/>
        <v>20.310373000000002</v>
      </c>
      <c r="D23" s="2">
        <f t="shared" si="0"/>
        <v>11.07255</v>
      </c>
    </row>
    <row r="24" spans="3:4" outlineLevel="1" x14ac:dyDescent="0.2">
      <c r="C24" s="2">
        <f t="shared" si="0"/>
        <v>18.541371999999999</v>
      </c>
      <c r="D24" s="2">
        <f t="shared" si="0"/>
        <v>10.9651</v>
      </c>
    </row>
    <row r="26" spans="3:4" x14ac:dyDescent="0.2">
      <c r="C26" s="11"/>
    </row>
    <row r="47" spans="11:11" x14ac:dyDescent="0.2">
      <c r="K47" s="10"/>
    </row>
    <row r="50" spans="7:11" x14ac:dyDescent="0.2">
      <c r="K50" s="10"/>
    </row>
    <row r="51" spans="7:11" x14ac:dyDescent="0.2">
      <c r="I51" s="13"/>
    </row>
    <row r="52" spans="7:11" x14ac:dyDescent="0.2">
      <c r="G52" s="10"/>
    </row>
    <row r="53" spans="7:11" x14ac:dyDescent="0.2">
      <c r="G53" s="10"/>
    </row>
    <row r="54" spans="7:11" x14ac:dyDescent="0.2">
      <c r="G54" s="10"/>
    </row>
    <row r="55" spans="7:11" x14ac:dyDescent="0.2">
      <c r="G55" s="10"/>
    </row>
    <row r="56" spans="7:11" x14ac:dyDescent="0.2">
      <c r="G56" s="10"/>
    </row>
    <row r="57" spans="7:11" x14ac:dyDescent="0.2">
      <c r="G57" s="10"/>
    </row>
    <row r="58" spans="7:11" x14ac:dyDescent="0.2">
      <c r="G58" s="10"/>
    </row>
    <row r="59" spans="7:11" x14ac:dyDescent="0.2">
      <c r="G59" s="10"/>
    </row>
  </sheetData>
  <mergeCells count="1">
    <mergeCell ref="B2:D2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064A-650B-394C-829E-D97530DDFCCF}">
  <sheetPr>
    <tabColor rgb="FFFFFF00"/>
  </sheetPr>
  <dimension ref="B2:K59"/>
  <sheetViews>
    <sheetView workbookViewId="0">
      <selection activeCell="C27" sqref="C27"/>
    </sheetView>
  </sheetViews>
  <sheetFormatPr baseColWidth="10" defaultRowHeight="16" outlineLevelRow="1" outlineLevelCol="1" x14ac:dyDescent="0.2"/>
  <cols>
    <col min="1" max="1" width="2.6640625" style="2" customWidth="1"/>
    <col min="2" max="2" width="10.83203125" style="2"/>
    <col min="3" max="4" width="13.83203125" style="2" customWidth="1"/>
    <col min="5" max="5" width="10.83203125" style="2"/>
    <col min="6" max="6" width="0" style="2" hidden="1" customWidth="1" outlineLevel="1"/>
    <col min="7" max="7" width="16.6640625" style="2" bestFit="1" customWidth="1" collapsed="1"/>
    <col min="8" max="10" width="10.83203125" style="2"/>
    <col min="11" max="11" width="17.6640625" style="2" bestFit="1" customWidth="1"/>
    <col min="12" max="16384" width="10.83203125" style="2"/>
  </cols>
  <sheetData>
    <row r="2" spans="2:6" x14ac:dyDescent="0.2">
      <c r="B2" s="58" t="s">
        <v>6</v>
      </c>
      <c r="C2" s="58"/>
      <c r="D2" s="58"/>
    </row>
    <row r="3" spans="2:6" x14ac:dyDescent="0.2">
      <c r="B3" s="1" t="s">
        <v>1</v>
      </c>
      <c r="C3" s="1" t="s">
        <v>2</v>
      </c>
      <c r="D3" s="1" t="s">
        <v>3</v>
      </c>
    </row>
    <row r="4" spans="2:6" x14ac:dyDescent="0.2">
      <c r="B4" s="3">
        <v>2015</v>
      </c>
      <c r="C4" s="4">
        <v>8.7626640000000006E-2</v>
      </c>
      <c r="D4" s="4">
        <v>9.1365399999999999E-2</v>
      </c>
      <c r="F4" s="2">
        <v>100</v>
      </c>
    </row>
    <row r="5" spans="2:6" x14ac:dyDescent="0.2">
      <c r="B5" s="3">
        <v>2016</v>
      </c>
      <c r="C5" s="4">
        <v>8.8531780000000004E-2</v>
      </c>
      <c r="D5" s="4">
        <v>9.1859999999999997E-2</v>
      </c>
    </row>
    <row r="6" spans="2:6" x14ac:dyDescent="0.2">
      <c r="B6" s="3">
        <v>2017</v>
      </c>
      <c r="C6" s="4">
        <v>8.6753330000000003E-2</v>
      </c>
      <c r="D6" s="4">
        <v>8.9868400000000001E-2</v>
      </c>
    </row>
    <row r="7" spans="2:6" x14ac:dyDescent="0.2">
      <c r="B7" s="3">
        <v>2018</v>
      </c>
      <c r="C7" s="4">
        <v>8.8284470000000004E-2</v>
      </c>
      <c r="D7" s="4">
        <v>9.0778200000000003E-2</v>
      </c>
    </row>
    <row r="8" spans="2:6" x14ac:dyDescent="0.2">
      <c r="B8" s="3">
        <v>2019</v>
      </c>
      <c r="C8" s="4">
        <v>9.2259460000000001E-2</v>
      </c>
      <c r="D8" s="4">
        <v>9.4869700000000001E-2</v>
      </c>
    </row>
    <row r="9" spans="2:6" x14ac:dyDescent="0.2">
      <c r="B9" s="3">
        <v>2020</v>
      </c>
      <c r="C9" s="4">
        <v>9.3934260000000006E-2</v>
      </c>
      <c r="D9" s="4">
        <v>9.64613E-2</v>
      </c>
    </row>
    <row r="10" spans="2:6" x14ac:dyDescent="0.2">
      <c r="B10" s="3">
        <v>2021</v>
      </c>
      <c r="C10" s="4">
        <v>9.3402680000000002E-2</v>
      </c>
      <c r="D10" s="4">
        <v>9.4982300000000006E-2</v>
      </c>
    </row>
    <row r="11" spans="2:6" x14ac:dyDescent="0.2">
      <c r="B11" s="3">
        <v>2022</v>
      </c>
      <c r="C11" s="4">
        <v>9.3455720000000006E-2</v>
      </c>
      <c r="D11" s="4">
        <v>9.6459100000000006E-2</v>
      </c>
    </row>
    <row r="13" spans="2:6" x14ac:dyDescent="0.2">
      <c r="B13" s="5" t="s">
        <v>4</v>
      </c>
      <c r="C13" s="6">
        <f>C11-C4</f>
        <v>5.8290800000000004E-3</v>
      </c>
      <c r="D13" s="6">
        <f>D11-D4</f>
        <v>5.0937000000000066E-3</v>
      </c>
    </row>
    <row r="15" spans="2:6" x14ac:dyDescent="0.2">
      <c r="C15" s="12">
        <f>C11-C4</f>
        <v>5.8290800000000004E-3</v>
      </c>
      <c r="D15" s="12">
        <f>D11-D4</f>
        <v>5.0937000000000066E-3</v>
      </c>
    </row>
    <row r="17" spans="3:4" outlineLevel="1" x14ac:dyDescent="0.2">
      <c r="C17" s="2">
        <f t="shared" ref="C17:D24" si="0">C4*$F$4</f>
        <v>8.7626640000000009</v>
      </c>
      <c r="D17" s="2">
        <f t="shared" si="0"/>
        <v>9.1365400000000001</v>
      </c>
    </row>
    <row r="18" spans="3:4" outlineLevel="1" x14ac:dyDescent="0.2">
      <c r="C18" s="2">
        <f t="shared" si="0"/>
        <v>8.8531779999999998</v>
      </c>
      <c r="D18" s="2">
        <f t="shared" si="0"/>
        <v>9.1859999999999999</v>
      </c>
    </row>
    <row r="19" spans="3:4" outlineLevel="1" x14ac:dyDescent="0.2">
      <c r="C19" s="2">
        <f t="shared" si="0"/>
        <v>8.6753330000000002</v>
      </c>
      <c r="D19" s="2">
        <f t="shared" si="0"/>
        <v>8.9868400000000008</v>
      </c>
    </row>
    <row r="20" spans="3:4" outlineLevel="1" x14ac:dyDescent="0.2">
      <c r="C20" s="2">
        <f t="shared" si="0"/>
        <v>8.8284470000000006</v>
      </c>
      <c r="D20" s="2">
        <f t="shared" si="0"/>
        <v>9.0778200000000009</v>
      </c>
    </row>
    <row r="21" spans="3:4" outlineLevel="1" x14ac:dyDescent="0.2">
      <c r="C21" s="2">
        <f t="shared" si="0"/>
        <v>9.2259460000000004</v>
      </c>
      <c r="D21" s="2">
        <f t="shared" si="0"/>
        <v>9.4869699999999995</v>
      </c>
    </row>
    <row r="22" spans="3:4" outlineLevel="1" x14ac:dyDescent="0.2">
      <c r="C22" s="2">
        <f t="shared" si="0"/>
        <v>9.3934259999999998</v>
      </c>
      <c r="D22" s="2">
        <f t="shared" si="0"/>
        <v>9.6461299999999994</v>
      </c>
    </row>
    <row r="23" spans="3:4" outlineLevel="1" x14ac:dyDescent="0.2">
      <c r="C23" s="2">
        <f t="shared" si="0"/>
        <v>9.340268</v>
      </c>
      <c r="D23" s="2">
        <f t="shared" si="0"/>
        <v>9.4982300000000013</v>
      </c>
    </row>
    <row r="24" spans="3:4" outlineLevel="1" x14ac:dyDescent="0.2">
      <c r="C24" s="2">
        <f t="shared" si="0"/>
        <v>9.3455720000000007</v>
      </c>
      <c r="D24" s="2">
        <f t="shared" si="0"/>
        <v>9.6459100000000007</v>
      </c>
    </row>
    <row r="26" spans="3:4" x14ac:dyDescent="0.2">
      <c r="C26" s="11"/>
    </row>
    <row r="46" spans="9:11" x14ac:dyDescent="0.2">
      <c r="I46" s="13"/>
    </row>
    <row r="47" spans="9:11" x14ac:dyDescent="0.2">
      <c r="K47" s="10"/>
    </row>
    <row r="50" spans="7:11" x14ac:dyDescent="0.2">
      <c r="K50" s="10"/>
    </row>
    <row r="52" spans="7:11" x14ac:dyDescent="0.2">
      <c r="G52" s="10"/>
    </row>
    <row r="53" spans="7:11" x14ac:dyDescent="0.2">
      <c r="G53" s="10"/>
    </row>
    <row r="54" spans="7:11" x14ac:dyDescent="0.2">
      <c r="G54" s="10"/>
    </row>
    <row r="55" spans="7:11" x14ac:dyDescent="0.2">
      <c r="G55" s="10"/>
    </row>
    <row r="56" spans="7:11" x14ac:dyDescent="0.2">
      <c r="G56" s="10"/>
    </row>
    <row r="57" spans="7:11" x14ac:dyDescent="0.2">
      <c r="G57" s="10"/>
    </row>
    <row r="58" spans="7:11" x14ac:dyDescent="0.2">
      <c r="G58" s="10"/>
    </row>
    <row r="59" spans="7:11" x14ac:dyDescent="0.2">
      <c r="G59" s="10"/>
    </row>
  </sheetData>
  <mergeCells count="1">
    <mergeCell ref="B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Project Coverage --&gt;</vt:lpstr>
      <vt:lpstr>District Coverage by State</vt:lpstr>
      <vt:lpstr>Contribution Sum by State --&gt;</vt:lpstr>
      <vt:lpstr>Summary</vt:lpstr>
      <vt:lpstr>Teachers' Union Strength</vt:lpstr>
      <vt:lpstr>Employment Type</vt:lpstr>
      <vt:lpstr>State-by-State Results --&gt;</vt:lpstr>
      <vt:lpstr>Northeast --&gt;</vt:lpstr>
      <vt:lpstr>Connecticut</vt:lpstr>
      <vt:lpstr>Delaware</vt:lpstr>
      <vt:lpstr>Maine</vt:lpstr>
      <vt:lpstr>Maryland</vt:lpstr>
      <vt:lpstr>Massachusetts</vt:lpstr>
      <vt:lpstr>New Hampshire</vt:lpstr>
      <vt:lpstr>New Jersey</vt:lpstr>
      <vt:lpstr>New York</vt:lpstr>
      <vt:lpstr>Rhode Island</vt:lpstr>
      <vt:lpstr>Vermont</vt:lpstr>
      <vt:lpstr>Midwest --&gt;</vt:lpstr>
      <vt:lpstr>Illinois</vt:lpstr>
      <vt:lpstr>Indiana</vt:lpstr>
      <vt:lpstr>Iowa</vt:lpstr>
      <vt:lpstr>Kansas</vt:lpstr>
      <vt:lpstr>Michigan</vt:lpstr>
      <vt:lpstr>Minnesota</vt:lpstr>
      <vt:lpstr>Missouri</vt:lpstr>
      <vt:lpstr>Nebraska</vt:lpstr>
      <vt:lpstr>North Dakota</vt:lpstr>
      <vt:lpstr>Ohio</vt:lpstr>
      <vt:lpstr>South Dakota</vt:lpstr>
      <vt:lpstr>Wisconsin</vt:lpstr>
      <vt:lpstr>Southeast --&gt;</vt:lpstr>
      <vt:lpstr>Alabama</vt:lpstr>
      <vt:lpstr>Arkansas</vt:lpstr>
      <vt:lpstr>DC</vt:lpstr>
      <vt:lpstr>Florida</vt:lpstr>
      <vt:lpstr>Georgia</vt:lpstr>
      <vt:lpstr>Kentucky</vt:lpstr>
      <vt:lpstr>Louisiana</vt:lpstr>
      <vt:lpstr>Mississippi</vt:lpstr>
      <vt:lpstr>North Carolina</vt:lpstr>
      <vt:lpstr>Tennessee</vt:lpstr>
      <vt:lpstr>Virginia</vt:lpstr>
      <vt:lpstr>West Virginia</vt:lpstr>
      <vt:lpstr>Southwest --&gt;</vt:lpstr>
      <vt:lpstr>Arizona</vt:lpstr>
      <vt:lpstr>New Mexico</vt:lpstr>
      <vt:lpstr>Oklahoma</vt:lpstr>
      <vt:lpstr>Texas</vt:lpstr>
      <vt:lpstr>West --&gt;</vt:lpstr>
      <vt:lpstr>Alaska</vt:lpstr>
      <vt:lpstr>California</vt:lpstr>
      <vt:lpstr>Hawaii</vt:lpstr>
      <vt:lpstr>Idaho</vt:lpstr>
      <vt:lpstr>Montana</vt:lpstr>
      <vt:lpstr>Nevada</vt:lpstr>
      <vt:lpstr>Oregon</vt:lpstr>
      <vt:lpstr>Utah</vt:lpstr>
      <vt:lpstr>Wyoming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2025-01-15T22:55:57Z</dcterms:created>
  <dcterms:modified xsi:type="dcterms:W3CDTF">2025-03-20T02:22:47Z</dcterms:modified>
</cp:coreProperties>
</file>