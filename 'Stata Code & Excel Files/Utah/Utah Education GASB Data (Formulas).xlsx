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'Utah/"/>
    </mc:Choice>
  </mc:AlternateContent>
  <xr:revisionPtr revIDLastSave="0" documentId="8_{7A0DE4C6-7AE0-844A-A421-AF008638A9C7}" xr6:coauthVersionLast="47" xr6:coauthVersionMax="47" xr10:uidLastSave="{00000000-0000-0000-0000-000000000000}"/>
  <bookViews>
    <workbookView xWindow="8480" yWindow="980" windowWidth="17220" windowHeight="18640" xr2:uid="{00000000-000D-0000-FFFF-FFFF00000000}"/>
  </bookViews>
  <sheets>
    <sheet name="Data" sheetId="1" r:id="rId1"/>
    <sheet name="Sheet1" sheetId="3" r:id="rId2"/>
    <sheet name="Check" sheetId="2" r:id="rId3"/>
  </sheets>
  <definedNames>
    <definedName name="_xlnm._FilterDatabase" localSheetId="0" hidden="1">Data!$A$1:$P$3984</definedName>
    <definedName name="_xlnm._FilterDatabase" localSheetId="1" hidden="1">Sheet1!$A$1:$A$54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765" i="1"/>
  <c r="J1766" i="1"/>
  <c r="J1767" i="1"/>
  <c r="J1768" i="1"/>
  <c r="J1769" i="1"/>
  <c r="J1770" i="1"/>
  <c r="J1771" i="1"/>
  <c r="J1772" i="1"/>
  <c r="J1773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809" i="1"/>
  <c r="J1810" i="1"/>
  <c r="J1811" i="1"/>
  <c r="J1812" i="1"/>
  <c r="J1813" i="1"/>
  <c r="J1814" i="1"/>
  <c r="J1815" i="1"/>
  <c r="J1816" i="1"/>
  <c r="J1817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36" i="1"/>
  <c r="J1837" i="1"/>
  <c r="J1838" i="1"/>
  <c r="J1839" i="1"/>
  <c r="J1840" i="1"/>
  <c r="J1841" i="1"/>
  <c r="J1842" i="1"/>
  <c r="J1843" i="1"/>
  <c r="J1844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903" i="1"/>
  <c r="J1904" i="1"/>
  <c r="J1905" i="1"/>
  <c r="J1906" i="1"/>
  <c r="J1907" i="1"/>
  <c r="J1908" i="1"/>
  <c r="J1909" i="1"/>
  <c r="J1910" i="1"/>
  <c r="J1911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40" i="1"/>
  <c r="J1941" i="1"/>
  <c r="J1942" i="1"/>
  <c r="J1943" i="1"/>
  <c r="J1944" i="1"/>
  <c r="J1945" i="1"/>
  <c r="J1946" i="1"/>
  <c r="J1947" i="1"/>
  <c r="J1948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2041" i="1"/>
  <c r="J2042" i="1"/>
  <c r="J2043" i="1"/>
  <c r="J2044" i="1"/>
  <c r="J2045" i="1"/>
  <c r="J2046" i="1"/>
  <c r="J2047" i="1"/>
  <c r="J2048" i="1"/>
  <c r="J2049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50" i="1"/>
  <c r="J2051" i="1"/>
  <c r="J2052" i="1"/>
  <c r="J2053" i="1"/>
  <c r="J2054" i="1"/>
  <c r="J2055" i="1"/>
  <c r="J2056" i="1"/>
  <c r="J2057" i="1"/>
  <c r="J2058" i="1"/>
  <c r="J2068" i="1"/>
  <c r="J2069" i="1"/>
  <c r="J2070" i="1"/>
  <c r="J2071" i="1"/>
  <c r="J2072" i="1"/>
  <c r="J2073" i="1"/>
  <c r="J2074" i="1"/>
  <c r="J2075" i="1"/>
  <c r="J2076" i="1"/>
  <c r="J2059" i="1"/>
  <c r="J2060" i="1"/>
  <c r="J2061" i="1"/>
  <c r="J2062" i="1"/>
  <c r="J2063" i="1"/>
  <c r="J2064" i="1"/>
  <c r="J2065" i="1"/>
  <c r="J2066" i="1"/>
  <c r="J2067" i="1"/>
  <c r="J2093" i="1"/>
  <c r="J2094" i="1"/>
  <c r="J2095" i="1"/>
  <c r="J2096" i="1"/>
  <c r="J2097" i="1"/>
  <c r="J2098" i="1"/>
  <c r="J2099" i="1"/>
  <c r="J2100" i="1"/>
  <c r="J2101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161" i="1"/>
  <c r="J2162" i="1"/>
  <c r="J2163" i="1"/>
  <c r="J2164" i="1"/>
  <c r="J2165" i="1"/>
  <c r="J2166" i="1"/>
  <c r="J2167" i="1"/>
  <c r="J2168" i="1"/>
  <c r="J2169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206" i="1"/>
  <c r="J2207" i="1"/>
  <c r="J2208" i="1"/>
  <c r="J2209" i="1"/>
  <c r="J2210" i="1"/>
  <c r="J2211" i="1"/>
  <c r="J2212" i="1"/>
  <c r="J2213" i="1"/>
  <c r="J2214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301" i="1"/>
  <c r="J2302" i="1"/>
  <c r="J2303" i="1"/>
  <c r="J2304" i="1"/>
  <c r="J2305" i="1"/>
  <c r="J2306" i="1"/>
  <c r="J2307" i="1"/>
  <c r="J2308" i="1"/>
  <c r="J2309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19" i="1"/>
  <c r="J2320" i="1"/>
  <c r="J2321" i="1"/>
  <c r="J2322" i="1"/>
  <c r="J2323" i="1"/>
  <c r="J2324" i="1"/>
  <c r="J2325" i="1"/>
  <c r="J2326" i="1"/>
  <c r="J2327" i="1"/>
  <c r="J2310" i="1"/>
  <c r="J2311" i="1"/>
  <c r="J2312" i="1"/>
  <c r="J2313" i="1"/>
  <c r="J2314" i="1"/>
  <c r="J2315" i="1"/>
  <c r="J2316" i="1"/>
  <c r="J2317" i="1"/>
  <c r="J2318" i="1"/>
  <c r="J2410" i="1"/>
  <c r="J2411" i="1"/>
  <c r="J2412" i="1"/>
  <c r="J2413" i="1"/>
  <c r="J2414" i="1"/>
  <c r="J2415" i="1"/>
  <c r="J2416" i="1"/>
  <c r="J2417" i="1"/>
  <c r="J2418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60" i="1"/>
  <c r="J2461" i="1"/>
  <c r="J2462" i="1"/>
  <c r="J2463" i="1"/>
  <c r="J2464" i="1"/>
  <c r="J2465" i="1"/>
  <c r="J2466" i="1"/>
  <c r="J2467" i="1"/>
  <c r="J246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87" i="1"/>
  <c r="J2488" i="1"/>
  <c r="J2489" i="1"/>
  <c r="J2490" i="1"/>
  <c r="J2491" i="1"/>
  <c r="J2492" i="1"/>
  <c r="J2493" i="1"/>
  <c r="J2494" i="1"/>
  <c r="J2495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543" i="1"/>
  <c r="J2544" i="1"/>
  <c r="J2545" i="1"/>
  <c r="J2546" i="1"/>
  <c r="J2547" i="1"/>
  <c r="J2548" i="1"/>
  <c r="J2549" i="1"/>
  <c r="J2550" i="1"/>
  <c r="J2551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691" i="1"/>
  <c r="J2692" i="1"/>
  <c r="J2693" i="1"/>
  <c r="J2694" i="1"/>
  <c r="J2695" i="1"/>
  <c r="J2696" i="1"/>
  <c r="J2697" i="1"/>
  <c r="J2698" i="1"/>
  <c r="J2699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700" i="1"/>
  <c r="J2701" i="1"/>
  <c r="J2702" i="1"/>
  <c r="J2703" i="1"/>
  <c r="J2704" i="1"/>
  <c r="J2705" i="1"/>
  <c r="J2706" i="1"/>
  <c r="J2707" i="1"/>
  <c r="J2708" i="1"/>
  <c r="J2837" i="1"/>
  <c r="J2838" i="1"/>
  <c r="J2839" i="1"/>
  <c r="J2840" i="1"/>
  <c r="J2841" i="1"/>
  <c r="J2842" i="1"/>
  <c r="J2843" i="1"/>
  <c r="J2844" i="1"/>
  <c r="J2845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46" i="1"/>
  <c r="J2847" i="1"/>
  <c r="J2848" i="1"/>
  <c r="J2849" i="1"/>
  <c r="J2850" i="1"/>
  <c r="J2851" i="1"/>
  <c r="J2852" i="1"/>
  <c r="J2853" i="1"/>
  <c r="J2854" i="1"/>
  <c r="J2958" i="1"/>
  <c r="J2959" i="1"/>
  <c r="J2960" i="1"/>
  <c r="J2961" i="1"/>
  <c r="J2962" i="1"/>
  <c r="J2963" i="1"/>
  <c r="J2964" i="1"/>
  <c r="J2965" i="1"/>
  <c r="J2966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94" i="1"/>
  <c r="J2995" i="1"/>
  <c r="J2996" i="1"/>
  <c r="J2997" i="1"/>
  <c r="J2998" i="1"/>
  <c r="J2999" i="1"/>
  <c r="J3000" i="1"/>
  <c r="J3001" i="1"/>
  <c r="J3002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3176" i="1"/>
  <c r="J3177" i="1"/>
  <c r="J3178" i="1"/>
  <c r="J3179" i="1"/>
  <c r="J3180" i="1"/>
  <c r="J3181" i="1"/>
  <c r="J3182" i="1"/>
  <c r="J3183" i="1"/>
  <c r="J3184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246" i="1"/>
  <c r="J3247" i="1"/>
  <c r="J3248" i="1"/>
  <c r="J3258" i="1"/>
  <c r="J3259" i="1"/>
  <c r="J3260" i="1"/>
  <c r="J3261" i="1"/>
  <c r="J3262" i="1"/>
  <c r="J3263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516" i="1"/>
  <c r="J3517" i="1"/>
  <c r="J3518" i="1"/>
  <c r="J3249" i="1"/>
  <c r="J3250" i="1"/>
  <c r="J3251" i="1"/>
  <c r="J3252" i="1"/>
  <c r="J3253" i="1"/>
  <c r="J3254" i="1"/>
  <c r="J3255" i="1"/>
  <c r="J3256" i="1"/>
  <c r="J3257" i="1"/>
  <c r="J3520" i="1"/>
  <c r="J3557" i="1"/>
  <c r="J3558" i="1"/>
  <c r="J3559" i="1"/>
  <c r="J3560" i="1"/>
  <c r="J3561" i="1"/>
  <c r="J3562" i="1"/>
  <c r="J3563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64" i="1"/>
  <c r="J3565" i="1"/>
  <c r="J3580" i="1"/>
  <c r="J3581" i="1"/>
  <c r="J3582" i="1"/>
  <c r="J3583" i="1"/>
  <c r="J3584" i="1"/>
  <c r="J3585" i="1"/>
  <c r="J3586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87" i="1"/>
  <c r="J3588" i="1"/>
  <c r="J3622" i="1"/>
  <c r="J3623" i="1"/>
  <c r="J3624" i="1"/>
  <c r="J3625" i="1"/>
  <c r="J3626" i="1"/>
  <c r="J3627" i="1"/>
  <c r="J3628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629" i="1"/>
  <c r="J3630" i="1"/>
  <c r="J3777" i="1"/>
  <c r="J3778" i="1"/>
  <c r="J3779" i="1"/>
  <c r="J3780" i="1"/>
  <c r="J3781" i="1"/>
  <c r="J3782" i="1"/>
  <c r="J3783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784" i="1"/>
  <c r="J3785" i="1"/>
  <c r="J3834" i="1"/>
  <c r="J3835" i="1"/>
  <c r="J3836" i="1"/>
  <c r="J3837" i="1"/>
  <c r="J3838" i="1"/>
  <c r="J3839" i="1"/>
  <c r="J3904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1651" i="1"/>
  <c r="J1652" i="1"/>
  <c r="J1653" i="1"/>
  <c r="J1654" i="1"/>
  <c r="J1655" i="1"/>
  <c r="J1656" i="1"/>
  <c r="J1657" i="1"/>
  <c r="J1658" i="1"/>
  <c r="J1659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264" i="1"/>
  <c r="J3265" i="1"/>
  <c r="J3512" i="1"/>
  <c r="J3513" i="1"/>
  <c r="J3514" i="1"/>
  <c r="J3515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519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2" i="1"/>
  <c r="H22" i="2"/>
  <c r="H15" i="2"/>
  <c r="H16" i="2"/>
  <c r="H17" i="2"/>
  <c r="H18" i="2"/>
  <c r="H19" i="2"/>
  <c r="H20" i="2"/>
  <c r="H21" i="2"/>
  <c r="H14" i="2"/>
  <c r="O4" i="2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3" i="2"/>
  <c r="P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3" i="2"/>
  <c r="J3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P4" i="2"/>
</calcChain>
</file>

<file path=xl/sharedStrings.xml><?xml version="1.0" encoding="utf-8"?>
<sst xmlns="http://schemas.openxmlformats.org/spreadsheetml/2006/main" count="39918" uniqueCount="1683">
  <si>
    <t>employer_code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</si>
  <si>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</si>
  <si>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</si>
  <si>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</si>
  <si>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</si>
  <si>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</si>
  <si>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</si>
  <si>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</si>
  <si>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</si>
  <si>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</si>
  <si>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</si>
  <si>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</si>
  <si>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</si>
  <si>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</si>
  <si>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</si>
  <si>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</si>
  <si>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</si>
  <si>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</si>
  <si>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</si>
  <si>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</si>
  <si>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</si>
  <si>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</si>
  <si>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</si>
  <si>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</si>
  <si>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</si>
  <si>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</si>
  <si>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</si>
  <si>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</si>
  <si>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</si>
  <si>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</si>
  <si>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</si>
  <si>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</si>
  <si>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</si>
  <si>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</si>
  <si>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</si>
  <si>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</si>
  <si>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</si>
  <si>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</si>
  <si>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</si>
  <si>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</si>
  <si>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</si>
  <si>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</si>
  <si>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</si>
  <si>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</si>
  <si>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</si>
  <si>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</si>
  <si>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</si>
  <si>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</si>
  <si>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</si>
  <si>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</si>
  <si>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</si>
  <si>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</si>
  <si>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</si>
  <si>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</si>
  <si>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</si>
  <si>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</si>
  <si>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</si>
  <si>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</si>
  <si>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</si>
  <si>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</si>
  <si>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</si>
  <si>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</si>
  <si>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</si>
  <si>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</si>
  <si>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</si>
  <si>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</si>
  <si>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</si>
  <si>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</si>
  <si>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</si>
  <si>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</si>
  <si>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</si>
  <si>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</si>
  <si>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</si>
  <si>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</si>
  <si>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</si>
  <si>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</si>
  <si>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</si>
  <si>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</si>
  <si>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</si>
  <si>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</si>
  <si>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</si>
  <si>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</si>
  <si>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</si>
  <si>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</si>
  <si>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</si>
  <si>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</si>
  <si>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</si>
  <si>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</si>
  <si>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</si>
  <si>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</si>
  <si>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</si>
  <si>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</si>
  <si>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</si>
  <si>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</si>
  <si>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</si>
  <si>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</si>
  <si>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</si>
  <si>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</si>
  <si>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</si>
  <si>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</si>
  <si>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</si>
  <si>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</si>
  <si>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</si>
  <si>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</si>
  <si>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</si>
  <si>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</si>
  <si>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</si>
  <si>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</si>
  <si>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</si>
  <si>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</si>
  <si>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</si>
  <si>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</si>
  <si>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</si>
  <si>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</si>
  <si>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</si>
  <si>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</si>
  <si>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</si>
  <si>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</si>
  <si>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</si>
  <si>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</si>
  <si>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</si>
  <si>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</si>
  <si>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</si>
  <si>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</si>
  <si>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</si>
  <si>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</si>
  <si>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</si>
  <si>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</si>
  <si>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</si>
  <si>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</si>
  <si>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</si>
  <si>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</si>
  <si>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</si>
  <si>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</si>
  <si>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</si>
  <si>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</si>
  <si>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</si>
  <si>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</si>
  <si>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</si>
  <si>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</si>
  <si>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</si>
  <si>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</si>
  <si>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</si>
  <si>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</si>
  <si>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</si>
  <si>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</si>
  <si>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</si>
  <si>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</si>
  <si>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</si>
  <si>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</si>
  <si>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</si>
  <si>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</si>
  <si>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</si>
  <si>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</si>
  <si>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</si>
  <si>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</si>
  <si>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</si>
  <si>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</si>
  <si>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</si>
  <si>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</si>
  <si>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</si>
  <si>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</si>
  <si>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</si>
  <si>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</si>
  <si>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</si>
  <si>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</si>
  <si>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</si>
  <si>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</si>
  <si>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</si>
  <si>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</si>
  <si>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</si>
  <si>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</si>
  <si>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</si>
  <si>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</si>
  <si>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</si>
  <si>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</si>
  <si>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</si>
  <si>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</si>
  <si>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</si>
  <si>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</si>
  <si>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</si>
  <si>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</si>
  <si>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</si>
  <si>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</si>
  <si>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</si>
  <si>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</si>
  <si>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</si>
  <si>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</si>
  <si>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</si>
  <si>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</si>
  <si>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</si>
  <si>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</si>
  <si>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</si>
  <si>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</si>
  <si>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</si>
  <si>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</si>
  <si>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</si>
  <si>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</si>
  <si>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</si>
  <si>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</si>
  <si>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</si>
  <si>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</si>
  <si>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</si>
  <si>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</si>
  <si>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</si>
  <si>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</si>
  <si>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</si>
  <si>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</si>
  <si>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</si>
  <si>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</si>
  <si>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</si>
  <si>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</si>
  <si>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</si>
  <si>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</si>
  <si>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</si>
  <si>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</si>
  <si>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</si>
  <si>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</si>
  <si>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</si>
  <si>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</si>
  <si>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</si>
  <si>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</si>
  <si>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</si>
  <si>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</si>
  <si>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</si>
  <si>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</si>
  <si>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</si>
  <si>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</si>
  <si>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</si>
  <si>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</si>
  <si>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</si>
  <si>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</si>
  <si>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</si>
  <si>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</si>
  <si>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</si>
  <si>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</si>
  <si>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</si>
  <si>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</si>
  <si>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</si>
  <si>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</si>
  <si>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</si>
  <si>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</si>
  <si>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</si>
  <si>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</si>
  <si>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</si>
  <si>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</si>
  <si>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</si>
  <si>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</si>
  <si>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</si>
  <si>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</si>
  <si>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</si>
  <si>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</si>
  <si>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</si>
  <si>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</si>
  <si>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</si>
  <si>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</si>
  <si>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</si>
  <si>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</si>
  <si>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</si>
  <si>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</si>
  <si>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</si>
  <si>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</si>
  <si>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</si>
  <si>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</si>
  <si>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</si>
  <si>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</si>
  <si>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</si>
  <si>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</si>
  <si>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</si>
  <si>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</si>
  <si>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</si>
  <si>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</si>
  <si>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</si>
  <si>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</si>
  <si>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</si>
  <si>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</si>
  <si>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</si>
  <si>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</si>
  <si>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</si>
  <si>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</si>
  <si>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</si>
  <si>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</si>
  <si>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</si>
  <si>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</si>
  <si>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</si>
  <si>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</si>
  <si>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</si>
  <si>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</si>
  <si>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</si>
  <si>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</si>
  <si>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</si>
  <si>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</si>
  <si>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</si>
  <si>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</si>
  <si>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</si>
  <si>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</si>
  <si>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</si>
  <si>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</si>
  <si>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</si>
  <si>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</si>
  <si>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</si>
  <si>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</si>
  <si>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</si>
  <si>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</si>
  <si>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</si>
  <si>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</si>
  <si>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</si>
  <si>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</si>
  <si>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</si>
  <si>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</si>
  <si>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</si>
  <si>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</si>
  <si>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</si>
  <si>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</si>
  <si>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</si>
  <si>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</si>
  <si>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</si>
  <si>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</si>
  <si>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</si>
  <si>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</si>
  <si>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</si>
  <si>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</si>
  <si>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</si>
  <si>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</si>
  <si>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</si>
  <si>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</si>
  <si>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</si>
  <si>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</si>
  <si>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</si>
  <si>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</si>
  <si>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</si>
  <si>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</si>
  <si>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</si>
  <si>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</si>
  <si>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</si>
  <si>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</si>
  <si>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</si>
  <si>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</si>
  <si>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</si>
  <si>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</si>
  <si>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</si>
  <si>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</si>
  <si>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</si>
  <si>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</si>
  <si>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</si>
  <si>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</si>
  <si>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</si>
  <si>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</si>
  <si>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</si>
  <si>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</si>
  <si>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</si>
  <si>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</si>
  <si>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</si>
  <si>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</si>
  <si>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</si>
  <si>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</si>
  <si>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</si>
  <si>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</si>
  <si>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</si>
  <si>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</si>
  <si>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</si>
  <si>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</si>
  <si>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</si>
  <si>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</si>
  <si>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</si>
  <si>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</si>
  <si>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</si>
  <si>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</si>
  <si>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</si>
  <si>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</si>
  <si>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</si>
  <si>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</si>
  <si>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</si>
  <si>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</si>
  <si>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</si>
  <si>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</si>
  <si>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</si>
  <si>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</si>
  <si>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</si>
  <si>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</si>
  <si>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</si>
  <si>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</si>
  <si>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</si>
  <si>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</si>
  <si>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</si>
  <si>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</si>
  <si>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</si>
  <si>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</si>
  <si>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</si>
  <si>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</si>
  <si>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</si>
  <si>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</si>
  <si>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</si>
  <si>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</si>
  <si>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</si>
  <si>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</si>
  <si>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</si>
  <si>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</si>
  <si>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</si>
  <si>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</si>
  <si>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</si>
  <si>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</si>
  <si>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</si>
  <si>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</si>
  <si>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</si>
  <si>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</si>
  <si>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</si>
  <si>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</si>
  <si>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</si>
  <si>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</si>
  <si>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</si>
  <si>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</si>
  <si>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</si>
  <si>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</si>
  <si>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</si>
  <si>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</si>
  <si>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</si>
  <si>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</si>
  <si>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</si>
  <si>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</si>
  <si>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</si>
  <si>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</si>
  <si>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</si>
  <si>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</si>
  <si>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</si>
  <si>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</si>
  <si>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</si>
  <si>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</si>
  <si>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</si>
  <si>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</si>
  <si>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</si>
  <si>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</si>
  <si>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</si>
  <si>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</si>
  <si>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</si>
  <si>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</si>
  <si>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</si>
  <si>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</si>
  <si>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</si>
  <si>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</si>
  <si>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</si>
  <si>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</si>
  <si>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</si>
  <si>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</si>
  <si>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</si>
  <si>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</si>
  <si>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</si>
  <si>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</si>
  <si>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</si>
  <si>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</si>
  <si>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</si>
  <si>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</si>
  <si>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</si>
  <si>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1000</t>
  </si>
  <si>
    <t>1001</t>
  </si>
  <si>
    <t>1002</t>
  </si>
  <si>
    <t>1003</t>
  </si>
  <si>
    <t>1008</t>
  </si>
  <si>
    <t>1009</t>
  </si>
  <si>
    <t>1010</t>
  </si>
  <si>
    <t>1012</t>
  </si>
  <si>
    <t>1014</t>
  </si>
  <si>
    <t>1015</t>
  </si>
  <si>
    <t>1016</t>
  </si>
  <si>
    <t>1018</t>
  </si>
  <si>
    <t>1019</t>
  </si>
  <si>
    <t>1020</t>
  </si>
  <si>
    <t>1021</t>
  </si>
  <si>
    <t>1022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</si>
  <si>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</si>
  <si>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</si>
  <si>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</si>
  <si>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</si>
  <si>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</si>
  <si>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</si>
  <si>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</si>
  <si>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</si>
  <si>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</si>
  <si>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</si>
  <si>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</si>
  <si>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</si>
  <si>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</si>
  <si>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</si>
  <si>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</si>
  <si>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</si>
  <si>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</si>
  <si>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</si>
  <si>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</si>
  <si>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</si>
  <si>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</si>
  <si>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2000</t>
  </si>
  <si>
    <t>2001</t>
  </si>
  <si>
    <t>2002</t>
  </si>
  <si>
    <t>2003</t>
  </si>
  <si>
    <t>2004</t>
  </si>
  <si>
    <t>3001</t>
  </si>
  <si>
    <t>4000</t>
  </si>
  <si>
    <t>standardized_employer_name</t>
  </si>
  <si>
    <t>4 CORNERS COMM BEHAVIOR HEALTH</t>
  </si>
  <si>
    <t>ACTIVE RE ENTRY INC</t>
  </si>
  <si>
    <t>ALPINE CITY</t>
  </si>
  <si>
    <t>ALPINE SCHOOL DISTRICT</t>
  </si>
  <si>
    <t>ALPINE UNISERV</t>
  </si>
  <si>
    <t>AMERICAN FORK CITY</t>
  </si>
  <si>
    <t>AMERICAN LEADERSHIP ACADEMY</t>
  </si>
  <si>
    <t>AMES CHARTER SCHOOL</t>
  </si>
  <si>
    <t>ASH CREEK SS DISTRICT</t>
  </si>
  <si>
    <t>ASHLEY VALLEY IMPROV DIST</t>
  </si>
  <si>
    <t>BALLARD CITY</t>
  </si>
  <si>
    <t>BEAR LAKE SSD</t>
  </si>
  <si>
    <t>BEAR RIVER ASSN OF GOVTS</t>
  </si>
  <si>
    <t>BEAR RIVER HEALTH DEPT</t>
  </si>
  <si>
    <t>BEAR RIVER MENTAL HEALTH</t>
  </si>
  <si>
    <t>BEAR RIVER WATER DISTRICT</t>
  </si>
  <si>
    <t>BEAVER CITY</t>
  </si>
  <si>
    <t>BEAVER COUNTY</t>
  </si>
  <si>
    <t>BEAVER HOUSING AUTHORITY</t>
  </si>
  <si>
    <t>BEAVER SCHOOL DISTRICT</t>
  </si>
  <si>
    <t>BEAVER VALLEY HOSPITAL</t>
  </si>
  <si>
    <t>BENCHLAND WATER COMPANY</t>
  </si>
  <si>
    <t>BIG COTTONWOOD CANYON IMP DIST</t>
  </si>
  <si>
    <t>BIG WATER MUNICIPAL CORP</t>
  </si>
  <si>
    <t>BLANDING CITY</t>
  </si>
  <si>
    <t>BLUFFDALE CITY</t>
  </si>
  <si>
    <t>BONA VISTA WATER IMPROVE</t>
  </si>
  <si>
    <t>BOUNTIFUL IRRIGATION DISTRICT</t>
  </si>
  <si>
    <t>BOX ELDER CO MOSQ DIST</t>
  </si>
  <si>
    <t>BOX ELDER COUNTY</t>
  </si>
  <si>
    <t>BOX ELDER SCHOOL DISTRICT</t>
  </si>
  <si>
    <t>BRIDGERLAND TECHNICAL COLLEGE</t>
  </si>
  <si>
    <t>BRIGHAM CITY</t>
  </si>
  <si>
    <t>BRYCE CANYON CITY</t>
  </si>
  <si>
    <t>CACHE COUNTY</t>
  </si>
  <si>
    <t>CACHE COUNTY SCHOOL DISTRICT</t>
  </si>
  <si>
    <t>CANYONS SCHOOL DISTRICT</t>
  </si>
  <si>
    <t>CARBON COUNTY</t>
  </si>
  <si>
    <t>CARBON SCHOOL DISTRICT</t>
  </si>
  <si>
    <t>CASTLE DALE CITY</t>
  </si>
  <si>
    <t>CASTLE VALLEY SSD</t>
  </si>
  <si>
    <t>CEDAR CITY</t>
  </si>
  <si>
    <t>CEDAR CITY HOUSING AUTH</t>
  </si>
  <si>
    <t>CEDAR MTN FIRE PROTECTION DIST</t>
  </si>
  <si>
    <t>CENTERVILLE CITY</t>
  </si>
  <si>
    <t>CENTRAL DAVIS SEWER DIST</t>
  </si>
  <si>
    <t>CENTRAL IRON CO WATER CONSERV</t>
  </si>
  <si>
    <t>CENTRAL UT PUBLIC HEALTH</t>
  </si>
  <si>
    <t>CENTRAL UTAH 911</t>
  </si>
  <si>
    <t>CENTRAL UTAH COUNSELING CENTER</t>
  </si>
  <si>
    <t>CENTRAL UTAH WATER DIST</t>
  </si>
  <si>
    <t>CENTRAL VALLEY TOWN</t>
  </si>
  <si>
    <t>CENTRAL WASATCH COMMISSION</t>
  </si>
  <si>
    <t>CENTRAL WEBER SEWER DIST</t>
  </si>
  <si>
    <t>CITY OF AURORA</t>
  </si>
  <si>
    <t>CITY OF BOUNTIFUL</t>
  </si>
  <si>
    <t>CITY OF CEDAR HILLS</t>
  </si>
  <si>
    <t>CITY OF DRAPER</t>
  </si>
  <si>
    <t>CITY OF DUCHESNE</t>
  </si>
  <si>
    <t>CITY OF ENTERPRISE</t>
  </si>
  <si>
    <t>CITY OF GREEN RIVER</t>
  </si>
  <si>
    <t>CITY OF HARRISVILLE</t>
  </si>
  <si>
    <t>CITY OF HELPER</t>
  </si>
  <si>
    <t>CITY OF HOLLADAY</t>
  </si>
  <si>
    <t>CITY OF KANAB</t>
  </si>
  <si>
    <t>CITY OF MILFORD</t>
  </si>
  <si>
    <t>CITY OF MOAB</t>
  </si>
  <si>
    <t>CITY OF MONTICELLO</t>
  </si>
  <si>
    <t>CITY OF NAPLES</t>
  </si>
  <si>
    <t>CITY OF NORTH SALT LAKE</t>
  </si>
  <si>
    <t>CITY OF OREM</t>
  </si>
  <si>
    <t>CITY OF RIVERTON</t>
  </si>
  <si>
    <t>CITY OF SANTA CLARA</t>
  </si>
  <si>
    <t>CITY OF SARATOGA SPRINGS</t>
  </si>
  <si>
    <t>CITY OF SOUTH JORDAN</t>
  </si>
  <si>
    <t>CITY OF SOUTH SALT LAKE</t>
  </si>
  <si>
    <t>CITY OF ST GEORGE</t>
  </si>
  <si>
    <t>CITY OF TAYLORSVILLE</t>
  </si>
  <si>
    <t>CITY OF UINTAH</t>
  </si>
  <si>
    <t>CITY OF WASHINGTON TERRACE</t>
  </si>
  <si>
    <t>CITY OF WENDOVER</t>
  </si>
  <si>
    <t>CITY OF WEST HAVEN</t>
  </si>
  <si>
    <t>CITY OF WEST JORDAN</t>
  </si>
  <si>
    <t>CITY OF WOODLAND HILLS</t>
  </si>
  <si>
    <t>CLEARFIELD CITY</t>
  </si>
  <si>
    <t>CLEVELAND TOWN</t>
  </si>
  <si>
    <t>CLINTON CITY</t>
  </si>
  <si>
    <t>COALVILLE CITY</t>
  </si>
  <si>
    <t>COLOR COUNTRY UNISERV</t>
  </si>
  <si>
    <t>COTTONWOOD HEIGHTS CITY</t>
  </si>
  <si>
    <t>COTTONWOOD HEIGHTS P&amp;R SRV</t>
  </si>
  <si>
    <t>COTTONWOOD IMP DISTRICT</t>
  </si>
  <si>
    <t>COUNCIL ON AGING GOLDEN AGE SS</t>
  </si>
  <si>
    <t>DAGGETT COUNTY</t>
  </si>
  <si>
    <t>DAGGETT SCHOOL DISTRICT</t>
  </si>
  <si>
    <t>DAVIS &amp; WEBER COUNTY CANAL CO</t>
  </si>
  <si>
    <t>DAVIS BEHAVIORAL HEALTH INC</t>
  </si>
  <si>
    <t>DAVIS CO HOUSING AUTHORITY</t>
  </si>
  <si>
    <t>DAVIS CO MOSQUITO ABATE</t>
  </si>
  <si>
    <t>DAVIS COUNTY</t>
  </si>
  <si>
    <t>DAVIS SCHOOL DISTRICT</t>
  </si>
  <si>
    <t>DAVIS TECHNICAL COLLEGE</t>
  </si>
  <si>
    <t>DAVIS UNISERV</t>
  </si>
  <si>
    <t>DDI VANTAGE</t>
  </si>
  <si>
    <t>DELTA CITY</t>
  </si>
  <si>
    <t>DIXIE TECHNICAL COLLEGE</t>
  </si>
  <si>
    <t>DUCHESNE CO WATER CONSERV DIST</t>
  </si>
  <si>
    <t>DUCHESNE COUNTY</t>
  </si>
  <si>
    <t>DUCHESNE SCHOOL DISTRICT</t>
  </si>
  <si>
    <t>E DUCHESNE CUL WATER IMP DIST</t>
  </si>
  <si>
    <t>EAGLE MOUNTAIN CITY</t>
  </si>
  <si>
    <t>EAST CARBON CITY</t>
  </si>
  <si>
    <t>EAST HOLLYWOOD HIGH SCHOOL</t>
  </si>
  <si>
    <t>EDUCATORS MUTUAL INSURANCE</t>
  </si>
  <si>
    <t>ELK RIDGE CITY</t>
  </si>
  <si>
    <t>ELWOOD TOWN</t>
  </si>
  <si>
    <t>EMERY CO CARE &amp; REHAB CTR</t>
  </si>
  <si>
    <t>EMERY COUNTY</t>
  </si>
  <si>
    <t>EMERY COUNTY RECREATION SSD</t>
  </si>
  <si>
    <t>EMERY SCHOOL DISTRICT</t>
  </si>
  <si>
    <t>EMERY TOWN</t>
  </si>
  <si>
    <t>EMERY WATER CONSERV DIST</t>
  </si>
  <si>
    <t>ENOCH CITY</t>
  </si>
  <si>
    <t>EPHRAIM CITY</t>
  </si>
  <si>
    <t>ESCALANTE CITY</t>
  </si>
  <si>
    <t>ESPERANZA ELEMENTARY SCHOOL</t>
  </si>
  <si>
    <t>EUREKA CITY CORPORATION</t>
  </si>
  <si>
    <t>FAIRVIEW CITY</t>
  </si>
  <si>
    <t>FARMINGTON CITY</t>
  </si>
  <si>
    <t>FARR WEST CITY</t>
  </si>
  <si>
    <t>FAST FORWARD CHARTER HS</t>
  </si>
  <si>
    <t>FERRON CITY</t>
  </si>
  <si>
    <t>FILLMORE CITY</t>
  </si>
  <si>
    <t>FIVE-COUNTY ASSN OF GOVTS</t>
  </si>
  <si>
    <t>FOUNTAIN GREEN CITY</t>
  </si>
  <si>
    <t>FOX HOLLOW GOLF COURSE</t>
  </si>
  <si>
    <t>FRANCIS CITY</t>
  </si>
  <si>
    <t>FRUIT HEIGHTS CITY</t>
  </si>
  <si>
    <t>GARFIELD COUNTY</t>
  </si>
  <si>
    <t>GARFIELD SCHOOL DISTRICT</t>
  </si>
  <si>
    <t>GARLAND CITY</t>
  </si>
  <si>
    <t>GLEN CANYON SSD OF BIG WATER</t>
  </si>
  <si>
    <t>GRAND COUNTY</t>
  </si>
  <si>
    <t>GRAND COUNTY EMS SSD</t>
  </si>
  <si>
    <t>GRAND SCHOOL DISTRICT</t>
  </si>
  <si>
    <t>GRAND WATER/SEWER SERVICE</t>
  </si>
  <si>
    <t>GRANGER-HUNTER IMP DIST</t>
  </si>
  <si>
    <t>GRANITE SCHOOL DISTRICT</t>
  </si>
  <si>
    <t>GRANITE UNISERV</t>
  </si>
  <si>
    <t>GRANTSVILLE CITY</t>
  </si>
  <si>
    <t>GREATER SALT LAKE MUNICIPAL SD</t>
  </si>
  <si>
    <t>GUNNISON CITY</t>
  </si>
  <si>
    <t>GUNNISON VALLEY HOSPITAL</t>
  </si>
  <si>
    <t>HEBER CITY</t>
  </si>
  <si>
    <t>HEBER LIGHT &amp; POWER</t>
  </si>
  <si>
    <t>HEBER VALLEY HISTORIC RAILROAD</t>
  </si>
  <si>
    <t>HERRIMAN CITY</t>
  </si>
  <si>
    <t>HIGH DESERT UNISERV</t>
  </si>
  <si>
    <t>HIGH SCHOOL ACTIVITIES ASSN</t>
  </si>
  <si>
    <t>HIGH VALLEY TRANSIT DISTRICT</t>
  </si>
  <si>
    <t>HIGHLAND CITY</t>
  </si>
  <si>
    <t>HINCKLEY TOWN</t>
  </si>
  <si>
    <t>HONEYVILLE CITY</t>
  </si>
  <si>
    <t>HOOPER CITY</t>
  </si>
  <si>
    <t>HOOPER WATER IMPROV DIST</t>
  </si>
  <si>
    <t>HOUSING AUTH OF CARBON CO</t>
  </si>
  <si>
    <t>HOUSING AUTHORITY OF SLC</t>
  </si>
  <si>
    <t>HOUSING AUTHORITY OGDEN CITY</t>
  </si>
  <si>
    <t>HOUSING CONNECT</t>
  </si>
  <si>
    <t>HUNTINGTON CITY</t>
  </si>
  <si>
    <t>HURRICANE CITY</t>
  </si>
  <si>
    <t>HURRICANE VALLEY FIRE SSD</t>
  </si>
  <si>
    <t>HYDE PARK CITY</t>
  </si>
  <si>
    <t>HYRUM CITY</t>
  </si>
  <si>
    <t>INTECH COLLEGIATE HIGH SCHOOL</t>
  </si>
  <si>
    <t>IRON COUNTY</t>
  </si>
  <si>
    <t>IRON SCHOOL DISTRICT</t>
  </si>
  <si>
    <t>ITINERIS HIGH SCHOOL</t>
  </si>
  <si>
    <t>IVINS CITY</t>
  </si>
  <si>
    <t>JORDAN RIVER COMMISSION</t>
  </si>
  <si>
    <t>JORDAN SCHOOL DISTRICT</t>
  </si>
  <si>
    <t>JORDAN UNISERV</t>
  </si>
  <si>
    <t>JORDAN VALLEY WATER CONSERV</t>
  </si>
  <si>
    <t>JORDANELLE SSD</t>
  </si>
  <si>
    <t>JUAB COUNTY</t>
  </si>
  <si>
    <t>JUAB SCHOOL DISTRICT</t>
  </si>
  <si>
    <t>JUAB SPECIAL SERVICE FIRE DIST</t>
  </si>
  <si>
    <t>KAMAS CITY</t>
  </si>
  <si>
    <t>KANE COUNTY</t>
  </si>
  <si>
    <t>KANE COUNTY WATER CONSERV DIST</t>
  </si>
  <si>
    <t>KANE SCHOOL DISTRICT</t>
  </si>
  <si>
    <t>KANOSH TOWN CORPORATION</t>
  </si>
  <si>
    <t>KAYSVILLE CITY</t>
  </si>
  <si>
    <t>KEARNS IMPROVEMENT DIST</t>
  </si>
  <si>
    <t>LAVERKIN CITY</t>
  </si>
  <si>
    <t>LAYTON CITY</t>
  </si>
  <si>
    <t>LEHI CITY</t>
  </si>
  <si>
    <t>LEWISTON CITY</t>
  </si>
  <si>
    <t>LINDON CITY</t>
  </si>
  <si>
    <t>LOGAN CITY</t>
  </si>
  <si>
    <t>LOGAN SCHOOL DISTRICT</t>
  </si>
  <si>
    <t>LONE PEAK PS DISTRICT</t>
  </si>
  <si>
    <t>MAESER WATER IMPROVE DIST</t>
  </si>
  <si>
    <t>MANTI CITY</t>
  </si>
  <si>
    <t>MAPLETON CITY</t>
  </si>
  <si>
    <t>MARRIOTT-SLATERVILLE CITY</t>
  </si>
  <si>
    <t>MAYFIELD TOWN</t>
  </si>
  <si>
    <t>METRO WATER DIST SLC/SANDY</t>
  </si>
  <si>
    <t>MIDVALE CITY</t>
  </si>
  <si>
    <t>MIDVALLEY IMPROVEMENT DISTRICT</t>
  </si>
  <si>
    <t>MIDWAY CITY</t>
  </si>
  <si>
    <t>MILITARY INSTALLATION DEVEL</t>
  </si>
  <si>
    <t>MILLARD CO CARE &amp; REHAB INC</t>
  </si>
  <si>
    <t>MILLARD COUNTY</t>
  </si>
  <si>
    <t>MILLARD SCHOOL DISTRICT</t>
  </si>
  <si>
    <t>MILLCREEK CITY</t>
  </si>
  <si>
    <t>MINERSVILLE TOWN</t>
  </si>
  <si>
    <t>MOAB MOSQUITO ABATEMENT DISTRI </t>
  </si>
  <si>
    <t>MONA CITY</t>
  </si>
  <si>
    <t>MONROE CITY</t>
  </si>
  <si>
    <t>MONTICELLO ACADEMY</t>
  </si>
  <si>
    <t>MORGAN CITY CORPORATION</t>
  </si>
  <si>
    <t>MORGAN COUNTY</t>
  </si>
  <si>
    <t>MORGAN SCHOOL DISTRICT</t>
  </si>
  <si>
    <t>MORONI CITY</t>
  </si>
  <si>
    <t>MOUNT PLEASANT CITY</t>
  </si>
  <si>
    <t>MOUNTAIN REGIONAL WATER SSD</t>
  </si>
  <si>
    <t>MOUNTAINLAND ASSN OF GOVT</t>
  </si>
  <si>
    <t>MOUNTAINLAND TECHNICAL COLLEGE</t>
  </si>
  <si>
    <t>MT OLYMPUS IMPROVEMENT DIST</t>
  </si>
  <si>
    <t>MURRAY CITY</t>
  </si>
  <si>
    <t>MURRAY SCHOOL DISTRICT</t>
  </si>
  <si>
    <t>MYTON CITY</t>
  </si>
  <si>
    <t>N TOOELE FIRE PROTECTION SD</t>
  </si>
  <si>
    <t>N UT ENVIRONMENTAL RSRC AGCY</t>
  </si>
  <si>
    <t>NEBO CREDIT UNION</t>
  </si>
  <si>
    <t>NEBO SCHOOL DISTRICT</t>
  </si>
  <si>
    <t>NEPHI CITY</t>
  </si>
  <si>
    <t>NIBLEY CITY CORPORATION</t>
  </si>
  <si>
    <t>NOAH WEBSTER ACADEMY INC</t>
  </si>
  <si>
    <t>NORTH DAVIS CO SEWER DIST</t>
  </si>
  <si>
    <t>NORTH DAVIS FIRE DISTRICT</t>
  </si>
  <si>
    <t>NORTH EMERY WATER USERS SSD</t>
  </si>
  <si>
    <t>NORTH FORK SSD</t>
  </si>
  <si>
    <t>NORTH LOGAN CITY</t>
  </si>
  <si>
    <t>NORTH OGDEN CITY</t>
  </si>
  <si>
    <t>NORTH PARK POLICE AGENCY</t>
  </si>
  <si>
    <t>NORTH POINTE SOLID WASTE</t>
  </si>
  <si>
    <t>NORTH SANPETE SCHOOL DISTRICT</t>
  </si>
  <si>
    <t>NORTH SUMMIT SCHOOL DISTRICT</t>
  </si>
  <si>
    <t>NORTHEASTERN COUNSELING CTR</t>
  </si>
  <si>
    <t>NUAMES CHARTER SCHOOL</t>
  </si>
  <si>
    <t>OAKLEY CITY</t>
  </si>
  <si>
    <t>OGDEN CITY CORP</t>
  </si>
  <si>
    <t>OGDEN SCHOOL DISTRICT</t>
  </si>
  <si>
    <t>OGDEN-WEBER TECH COLLEGE</t>
  </si>
  <si>
    <t>OQUIRRH REC AND PARKS DISTRICT</t>
  </si>
  <si>
    <t>ORANGEVILLE CITY</t>
  </si>
  <si>
    <t>ORDERVILLE TOWN</t>
  </si>
  <si>
    <t>PANGUITCH CITY CORPORATION</t>
  </si>
  <si>
    <t>PARK CITY</t>
  </si>
  <si>
    <t>PARK CITY FIRE SERVICE</t>
  </si>
  <si>
    <t>PARK CITY SCHOOL DISTRICT</t>
  </si>
  <si>
    <t>PAROWAN CITY</t>
  </si>
  <si>
    <t>PAYSON CITY</t>
  </si>
  <si>
    <t>PERRY CITY</t>
  </si>
  <si>
    <t>PIUTE COUNTY</t>
  </si>
  <si>
    <t>PIUTE SCHOOL DISTRICT</t>
  </si>
  <si>
    <t>PLAIN CITY</t>
  </si>
  <si>
    <t>PLEASANT GROVE CITY</t>
  </si>
  <si>
    <t>PLEASANT VIEW CITY</t>
  </si>
  <si>
    <t>POWDER MOUNTAIN WATER &amp; SEWER</t>
  </si>
  <si>
    <t>PRICE CITY</t>
  </si>
  <si>
    <t>PRICE RIVER WATER IMPROVE</t>
  </si>
  <si>
    <t>PROVIDENCE CITY</t>
  </si>
  <si>
    <t>PROVO CITY CORP</t>
  </si>
  <si>
    <t>PROVO HOUSING AUTHORITY</t>
  </si>
  <si>
    <t>PROVO RIVER WATER USERS</t>
  </si>
  <si>
    <t>PROVO SCHOOL DISTRICT</t>
  </si>
  <si>
    <t>RICH COUNTY</t>
  </si>
  <si>
    <t>RICH SCHOOL DISTRICT</t>
  </si>
  <si>
    <t>RICHFIELD CITY</t>
  </si>
  <si>
    <t>RICHMOND CITY</t>
  </si>
  <si>
    <t>RIVERDALE CITY</t>
  </si>
  <si>
    <t>ROOSEVELT CITY</t>
  </si>
  <si>
    <t>ROOSEVELT CITY HOUSING</t>
  </si>
  <si>
    <t>ROY CITY</t>
  </si>
  <si>
    <t>S UTAH VALLEY ELECTRIC SVC DST</t>
  </si>
  <si>
    <t>S UTAH VALLEY SOLID WASTE</t>
  </si>
  <si>
    <t>SALEM CITY</t>
  </si>
  <si>
    <t>SALINA CITY</t>
  </si>
  <si>
    <t>SALT LAKE ARTS ACADEMY</t>
  </si>
  <si>
    <t>SALT LAKE CITY CORP</t>
  </si>
  <si>
    <t>SALT LAKE CITY PUBLIC LIBRARY</t>
  </si>
  <si>
    <t>SALT LAKE CO SERV AREA 3</t>
  </si>
  <si>
    <t>SALT LAKE COMMUNITY COLLEGE</t>
  </si>
  <si>
    <t>SALT LAKE COUNTY</t>
  </si>
  <si>
    <t>SALT LAKE SCHOOL DISTRICT</t>
  </si>
  <si>
    <t>SAN JUAN COUNTY</t>
  </si>
  <si>
    <t>SAN JUAN MENTAL HEALTH</t>
  </si>
  <si>
    <t>SAN JUAN SCHOOL DISTRICT</t>
  </si>
  <si>
    <t>SAN RAFAEL SPECIAL SERV DIST</t>
  </si>
  <si>
    <t>SANDY CITY</t>
  </si>
  <si>
    <t>SANDY SUBURBAN IMP DIST</t>
  </si>
  <si>
    <t>SANPETE COUNTY</t>
  </si>
  <si>
    <t>SANTAQUIN CITY</t>
  </si>
  <si>
    <t>SEVIER COUNTY</t>
  </si>
  <si>
    <t>SEVIER SCHOOL DISTRICT</t>
  </si>
  <si>
    <t>SIX COUNTY ASSOC OF GOVTS</t>
  </si>
  <si>
    <t>SLC MOSQUITO ABATEMENT</t>
  </si>
  <si>
    <t>SMITHFIELD CITY CORP</t>
  </si>
  <si>
    <t>SNOW COLLEGE</t>
  </si>
  <si>
    <t>SNYDERVILLE BASIN SRD</t>
  </si>
  <si>
    <t>SNYDERVILLE BASIN W R D</t>
  </si>
  <si>
    <t>SO DAVIS METRO FIRE AGENCY</t>
  </si>
  <si>
    <t>SO DAVIS RECREATION CENTER</t>
  </si>
  <si>
    <t>SO SL VALLEY MOSQ ABATE</t>
  </si>
  <si>
    <t>SO UTAH VALLEY ANIMAL SVCS SSD</t>
  </si>
  <si>
    <t>SO UTAH VALLEY POWER SYSTEMS</t>
  </si>
  <si>
    <t>SOLDIER HOLLOW CHARTER SCHOOL</t>
  </si>
  <si>
    <t>SOLID WASTE SSD #1</t>
  </si>
  <si>
    <t>SOUTH DAVIS SEWER DIST</t>
  </si>
  <si>
    <t>SOUTH DAVIS WATER DIST</t>
  </si>
  <si>
    <t>SOUTH OGDEN CITY</t>
  </si>
  <si>
    <t>SOUTH OGDEN CONSERV DIST</t>
  </si>
  <si>
    <t>SOUTH SANPETE SCHOOL DISTRICT</t>
  </si>
  <si>
    <t>SOUTH SUMMIT SCHOOL DISTRICT</t>
  </si>
  <si>
    <t>SOUTH VALLEY SEWER DISTRICT</t>
  </si>
  <si>
    <t>SOUTH VALLEY WATER RECLAMATION</t>
  </si>
  <si>
    <t>SOUTH WEBER CITY</t>
  </si>
  <si>
    <t>SOUTHEASTERN UTAH AOG</t>
  </si>
  <si>
    <t>SOUTHEASTERN UTAH HEALTH</t>
  </si>
  <si>
    <t>SOUTHERN UTAH UNIVERSITY</t>
  </si>
  <si>
    <t>SOUTHWEST EDUC DEVELOPMENT CTR</t>
  </si>
  <si>
    <t>SOUTHWEST TECHNICAL COLLEGE</t>
  </si>
  <si>
    <t>SPANISH FORK CITY</t>
  </si>
  <si>
    <t>SPRING CITY</t>
  </si>
  <si>
    <t>SPRINGVILLE CITY</t>
  </si>
  <si>
    <t>ST GEORGE HOUSING AUTH</t>
  </si>
  <si>
    <t>STANSBURY PARK IMPROV DIST</t>
  </si>
  <si>
    <t>STANSBURY SERVICE AGENCY</t>
  </si>
  <si>
    <t>STATE OF UTAH</t>
  </si>
  <si>
    <t>STOCKTON TOWN</t>
  </si>
  <si>
    <t>SUCCESS ACADEMY</t>
  </si>
  <si>
    <t>SUMMIT ACADEMY HIGH SCHOOL</t>
  </si>
  <si>
    <t>SUMMIT ACADEMY INC</t>
  </si>
  <si>
    <t>SUMMIT COUNTY</t>
  </si>
  <si>
    <t>SUMMIT COUNTY SERVICE AREA 3</t>
  </si>
  <si>
    <t>SUNSET CITY</t>
  </si>
  <si>
    <t>SW BEHAVIORAL HEALTH CENTER</t>
  </si>
  <si>
    <t>SW MOSQUITO ABATEMENT/CONTROL</t>
  </si>
  <si>
    <t>SW UT PUBLIC HEALTH DEPT</t>
  </si>
  <si>
    <t>SYRACUSE CITY CORP</t>
  </si>
  <si>
    <t>TAYLOR WEST WEBER WTR IMP DIST</t>
  </si>
  <si>
    <t>TAYLORSVILLE-BENNION IMP</t>
  </si>
  <si>
    <t>TIMBERLAKES WATER SSD</t>
  </si>
  <si>
    <t>TIMPANOGOS SSD</t>
  </si>
  <si>
    <t>TINTIC SCHOOL DISTRICT</t>
  </si>
  <si>
    <t>TOOELE CITY</t>
  </si>
  <si>
    <t>TOOELE COUNTY</t>
  </si>
  <si>
    <t>TOOELE COUNTY HOUSING</t>
  </si>
  <si>
    <t>TOOELE SCHOOL DISTRICT</t>
  </si>
  <si>
    <t>TOOELE TECHNICAL COLLEGE</t>
  </si>
  <si>
    <t>TOQUERVILLE CITY</t>
  </si>
  <si>
    <t>TORREY TOWN</t>
  </si>
  <si>
    <t>TOWN OF ALTA</t>
  </si>
  <si>
    <t>TOWN OF APPLE VALLEY</t>
  </si>
  <si>
    <t>TOWN OF BRIAN HEAD</t>
  </si>
  <si>
    <t>TOWN OF DANIEL</t>
  </si>
  <si>
    <t>TOWN OF GARDEN CITY</t>
  </si>
  <si>
    <t>TOWN OF GOSHEN</t>
  </si>
  <si>
    <t>TOWN OF HIDEOUT</t>
  </si>
  <si>
    <t>TOWN OF MANILA</t>
  </si>
  <si>
    <t>TOWN OF MANTUA</t>
  </si>
  <si>
    <t>TOWN OF PARAGONAH</t>
  </si>
  <si>
    <t>TOWN OF SPRINGDALE</t>
  </si>
  <si>
    <t>TRANS-JORDAN CITIES</t>
  </si>
  <si>
    <t>TREMONTON CITY</t>
  </si>
  <si>
    <t>TRICOUNTY HEALTH DEPT</t>
  </si>
  <si>
    <t>TROPIC TOWN</t>
  </si>
  <si>
    <t>UINTAH ANIMAL CONTROL/SHELTER</t>
  </si>
  <si>
    <t>UINTAH BASIN ASSN OF GOVT</t>
  </si>
  <si>
    <t>UINTAH BASIN TECHNICAL COLLEGE</t>
  </si>
  <si>
    <t>UINTAH CO CARE CENTER SSD</t>
  </si>
  <si>
    <t>UINTAH COUNTY</t>
  </si>
  <si>
    <t>UINTAH SCHOOL DISTRICT</t>
  </si>
  <si>
    <t>UINTAH SPECIAL SERVICE DIST #1</t>
  </si>
  <si>
    <t>UINTAH WATER CONSERV DIST</t>
  </si>
  <si>
    <t>UNIFIED FIRE AUTHORITY</t>
  </si>
  <si>
    <t>UNIFIED POLICE DEPARTMENT</t>
  </si>
  <si>
    <t>UNIVERSITY OF UTAH</t>
  </si>
  <si>
    <t>UNIVERSITY OF UTAH HOSPITAL</t>
  </si>
  <si>
    <t>UPPER COUNTRY WATER DIST</t>
  </si>
  <si>
    <t>USU SPACE DYNAMICS LAB</t>
  </si>
  <si>
    <t>UT MUNICIPAL POWER AGENCY</t>
  </si>
  <si>
    <t>UTAH ARTS ACADEMY</t>
  </si>
  <si>
    <t>UTAH ASSOCIATION OF COUNTIES</t>
  </si>
  <si>
    <t>UTAH CO ACADEMY OF SCIENCES</t>
  </si>
  <si>
    <t>UTAH CO HOUSING AUTHORITY</t>
  </si>
  <si>
    <t>UTAH COMMUNICATIONS AUTHORITY</t>
  </si>
  <si>
    <t>UTAH COUNTIES INDEMNITY POOL</t>
  </si>
  <si>
    <t>UTAH COUNTY</t>
  </si>
  <si>
    <t>UTAH EDUCATION ASSOCIATION</t>
  </si>
  <si>
    <t>UTAH HOUSING CORPORATION</t>
  </si>
  <si>
    <t>UTAH LAKE AUTHORITY</t>
  </si>
  <si>
    <t>UTAH LEAGUE CITIES/TOWNS</t>
  </si>
  <si>
    <t>UTAH LOCAL GOVERNMENTS TRUST</t>
  </si>
  <si>
    <t>UTAH RETIREMENT SYSTEMS</t>
  </si>
  <si>
    <t>UTAH SAFETY COUNCIL</t>
  </si>
  <si>
    <t>UTAH SCHOOL BOARD ASSOCIATION</t>
  </si>
  <si>
    <t>UTAH SCHOOL BOARD RISK MGMT</t>
  </si>
  <si>
    <t>UTAH SCHOOL EMPLOYEES ASSN</t>
  </si>
  <si>
    <t>UTAH STATE FAIR CORP</t>
  </si>
  <si>
    <t>UTAH STATE UNIVERSITY</t>
  </si>
  <si>
    <t>UTAH TECH UNIVERSITY</t>
  </si>
  <si>
    <t>UTAH VALLEY UNIVERSITY</t>
  </si>
  <si>
    <t>UTAH ZOOLOGICAL SOCIETY</t>
  </si>
  <si>
    <t>UTOPIA</t>
  </si>
  <si>
    <t>VALLEY EMERGENCY COMM CTR</t>
  </si>
  <si>
    <t>VERNAL CITY</t>
  </si>
  <si>
    <t>VINEYARD TOWN</t>
  </si>
  <si>
    <t>WASATCH BEHAVIORAL HEALTH</t>
  </si>
  <si>
    <t>WASATCH COUNTY</t>
  </si>
  <si>
    <t>WASATCH COUNTY FIRE DISTRICT</t>
  </si>
  <si>
    <t>WASATCH FRONT REGIONAL COUNCIL</t>
  </si>
  <si>
    <t>WASATCH FRONT WASTE/RECYCLING</t>
  </si>
  <si>
    <t>WASATCH INTEGRATED WASTE MGMT</t>
  </si>
  <si>
    <t>WASATCH SCHOOL DISTRICT</t>
  </si>
  <si>
    <t>WASHINGTON CITY</t>
  </si>
  <si>
    <t>WASHINGTON CO SOLID WASTE</t>
  </si>
  <si>
    <t>WASHINGTON CO WAT CON DIST</t>
  </si>
  <si>
    <t>WASHINGTON COUNTY</t>
  </si>
  <si>
    <t>WASHINGTON SCHOOL DISTRICT</t>
  </si>
  <si>
    <t>WASTE MANAGEMENT SERV DIST #5</t>
  </si>
  <si>
    <t>WAYNE COUNTY</t>
  </si>
  <si>
    <t>WAYNE SCHOOL DISTRICT</t>
  </si>
  <si>
    <t>WEBER AREA DISPATCH 911</t>
  </si>
  <si>
    <t>WEBER BASIN WATER CONSERV</t>
  </si>
  <si>
    <t>WEBER CO MOSQUITO ABATE</t>
  </si>
  <si>
    <t>WEBER COUNTY CORP</t>
  </si>
  <si>
    <t>WEBER COUNTY SCHOOL DISTRICT</t>
  </si>
  <si>
    <t>WEBER HUMAN SERVICES</t>
  </si>
  <si>
    <t>WEBER STATE UNIVERSITY</t>
  </si>
  <si>
    <t>WELLINGTON CITY</t>
  </si>
  <si>
    <t>WELLSVILLE CITY CORP</t>
  </si>
  <si>
    <t>WEST BOUNTIFUL CITY</t>
  </si>
  <si>
    <t>WEST KANE COUNTY SSD #1</t>
  </si>
  <si>
    <t>WEST POINT CITY</t>
  </si>
  <si>
    <t>WEST VALLEY CITY</t>
  </si>
  <si>
    <t>WHITE CITY WATER IMP DIST</t>
  </si>
  <si>
    <t>WILLARD CITY CORP</t>
  </si>
  <si>
    <t>WOODS CROSS CITY</t>
  </si>
  <si>
    <t>WORKERS' COMPENSATION FUND</t>
  </si>
  <si>
    <t>Aurora City</t>
  </si>
  <si>
    <t>BIG PLAINS WATER &amp; SEWER SSD </t>
  </si>
  <si>
    <t>CANYONLANDS CARE CENTER </t>
  </si>
  <si>
    <t>CENTERFIELD CITY (alt)</t>
  </si>
  <si>
    <t>GRAND CO CEMETERY MTCE DIST </t>
  </si>
  <si>
    <t>Housing Auth of Sl County</t>
  </si>
  <si>
    <t>LIBERTY ACADEMY CHARTER </t>
  </si>
  <si>
    <t>MENDON CITY </t>
  </si>
  <si>
    <t>MILLVILLE CITY </t>
  </si>
  <si>
    <t>MOUNTAIN GREEN SEWER IMP DIST </t>
  </si>
  <si>
    <t>Mountainland Association of Governments</t>
  </si>
  <si>
    <t>No Emery Water Users Special Service District</t>
  </si>
  <si>
    <t>NORTH VIEW FIRE DISTRICT</t>
  </si>
  <si>
    <t>OGDEN WEBER/NEA/UEA UNISERV</t>
  </si>
  <si>
    <t>RECREATION &amp; HABILITATION SRVS </t>
  </si>
  <si>
    <t>Southeastern Utah Association of Governments</t>
  </si>
  <si>
    <t>TOWN OF RANDOLPH </t>
  </si>
  <si>
    <t>Tuacahn High School</t>
  </si>
  <si>
    <t>Uintah Basin Association of Governments</t>
  </si>
  <si>
    <t>UINTAH BASIN ASST COUNCIL</t>
  </si>
  <si>
    <t>Uintah City </t>
  </si>
  <si>
    <t>UINTAH FIRE SUPPRESSION SSD </t>
  </si>
  <si>
    <t>UINTAH HIGHLANDS IMPROV DIST </t>
  </si>
  <si>
    <t>UINTAH RECREATION DISTRICT </t>
  </si>
  <si>
    <t>UINTAH TRANSPORTATION SSD </t>
  </si>
  <si>
    <t>Uintah Water Conserv District</t>
  </si>
  <si>
    <t>UT PUBLIC EMPLOYEES ASSN </t>
  </si>
  <si>
    <t>UT School Board Risk Mgmt</t>
  </si>
  <si>
    <t>Utah County Academy of Sciences</t>
  </si>
  <si>
    <t>Utah County Housing Authority</t>
  </si>
  <si>
    <t>UTAH DAIRY COMMISSION </t>
  </si>
  <si>
    <t>Utah Valley Dispatch SSD</t>
  </si>
  <si>
    <t>VALLEY MENTAL HEALTH </t>
  </si>
  <si>
    <t>Vintah Fire Suppression SSD</t>
  </si>
  <si>
    <t>Wasatch Mental Health SSD</t>
  </si>
  <si>
    <t>WEBER FIRE DISTRICT </t>
  </si>
  <si>
    <t>TRIDELL-LAPOINT WATER</t>
  </si>
  <si>
    <t>CARBON COUNTY REC/TRANS SSD</t>
  </si>
  <si>
    <t>SIX-CO ECONOMIC DEVELOP</t>
  </si>
  <si>
    <t>SUMMIT MOSQUITO ABATEMENT DIST</t>
  </si>
  <si>
    <t>SUNNYSIDE CITY </t>
  </si>
  <si>
    <t>WASATCH UNISERV</t>
  </si>
  <si>
    <t>WOODLAND PEAKS UNISERV</t>
  </si>
  <si>
    <t>MOAB VALLEY FIRE PROTECTION</t>
  </si>
  <si>
    <t>employer_name_tier2</t>
  </si>
  <si>
    <t>4 Corners Comm Behavior Health</t>
  </si>
  <si>
    <t>4 Corners Community Behavior Health</t>
  </si>
  <si>
    <t>Active Re Entry Inc</t>
  </si>
  <si>
    <t>Alpine City</t>
  </si>
  <si>
    <t>Alpine School District</t>
  </si>
  <si>
    <t>Alpine Uniserv</t>
  </si>
  <si>
    <t>Alpine Uniserv </t>
  </si>
  <si>
    <t>American Fork City</t>
  </si>
  <si>
    <t>American Leadership Academy</t>
  </si>
  <si>
    <t>Ames Charter School</t>
  </si>
  <si>
    <t>AMES Charter School</t>
  </si>
  <si>
    <t>Ash Creek Special Service District</t>
  </si>
  <si>
    <t>Ash Creek SS District</t>
  </si>
  <si>
    <t>Ashley Valley Improvement District</t>
  </si>
  <si>
    <t>Ashley Valley Improv Dist</t>
  </si>
  <si>
    <t>Ashley Valley Improv District</t>
  </si>
  <si>
    <t>Ballard Town</t>
  </si>
  <si>
    <t>Ballard City</t>
  </si>
  <si>
    <t>Bear Lake SSD</t>
  </si>
  <si>
    <t>BEAR LAKE SSD </t>
  </si>
  <si>
    <t>Bear River Association of Governments</t>
  </si>
  <si>
    <t>Bear River Assn of Govts</t>
  </si>
  <si>
    <t>Bear River Health Department</t>
  </si>
  <si>
    <t>Bear River Health Dept</t>
  </si>
  <si>
    <t>Bear River Mental Health</t>
  </si>
  <si>
    <t>Bear River Water District</t>
  </si>
  <si>
    <t>Beaver City</t>
  </si>
  <si>
    <t>Beaver County</t>
  </si>
  <si>
    <t>Beaver Housing Authority</t>
  </si>
  <si>
    <t>Beaver School District</t>
  </si>
  <si>
    <t>Beaver Valley Hospital</t>
  </si>
  <si>
    <t>Benchland Water Company</t>
  </si>
  <si>
    <t>Big Cottonwood Canyon Imp District</t>
  </si>
  <si>
    <t>Big Cottonwood Canyon Imp Dist</t>
  </si>
  <si>
    <t>Blanding City</t>
  </si>
  <si>
    <t>Bluffdale City</t>
  </si>
  <si>
    <t>Bona Vista Water Improvement</t>
  </si>
  <si>
    <t>Bona Vista Water Improve</t>
  </si>
  <si>
    <t>Bountiful Irrigation District</t>
  </si>
  <si>
    <t>Box Elder County Mosquito District</t>
  </si>
  <si>
    <t>Box Elder Co Mosquito District</t>
  </si>
  <si>
    <t>Box Elder Co Mosq Dist</t>
  </si>
  <si>
    <t>Box Elder Co Mosq District</t>
  </si>
  <si>
    <t>Box Elder County</t>
  </si>
  <si>
    <t>Box Elder School District</t>
  </si>
  <si>
    <t>Bridgerland Applied Technology Center</t>
  </si>
  <si>
    <t>Bridgerland Technical College</t>
  </si>
  <si>
    <t>Brigham City</t>
  </si>
  <si>
    <t>Cache County</t>
  </si>
  <si>
    <t>Cache School District</t>
  </si>
  <si>
    <t>Cache County School District</t>
  </si>
  <si>
    <t>Canyons School District</t>
  </si>
  <si>
    <t>Carbon County</t>
  </si>
  <si>
    <t>Carbon School District</t>
  </si>
  <si>
    <t>CARBON SCHOOL DISCTRICT</t>
  </si>
  <si>
    <t>Castle Dale City</t>
  </si>
  <si>
    <t>Castle Valley Special Service District</t>
  </si>
  <si>
    <t>Castle Valley SSD</t>
  </si>
  <si>
    <t>Cedar City</t>
  </si>
  <si>
    <t>Cedar City Housing Authority</t>
  </si>
  <si>
    <t>Cedar City Housing Auth</t>
  </si>
  <si>
    <t>Cedar Mtn Fire Protection Dist</t>
  </si>
  <si>
    <t>Cedar Mtn Fire Protection District</t>
  </si>
  <si>
    <t>Centerville City</t>
  </si>
  <si>
    <t>Central Davis Sewer District</t>
  </si>
  <si>
    <t>Central Davis Sewer Dist</t>
  </si>
  <si>
    <t>Central Iron County Water Conservancy</t>
  </si>
  <si>
    <t>Central Iron Co Water Conservancy</t>
  </si>
  <si>
    <t>Central Iron Co Water Conserv</t>
  </si>
  <si>
    <t>Central UT Public Health</t>
  </si>
  <si>
    <t>Central Ut Public Health</t>
  </si>
  <si>
    <t>Central Utah 911</t>
  </si>
  <si>
    <t>Central Utah Counseling Center</t>
  </si>
  <si>
    <t>Central Utah Water District</t>
  </si>
  <si>
    <t>Central Utah Water Dist</t>
  </si>
  <si>
    <t>Central Valley Town</t>
  </si>
  <si>
    <t>Central Wasatch Commission</t>
  </si>
  <si>
    <t>Central Weber Sewer District</t>
  </si>
  <si>
    <t>Central Weber Sewer Dist</t>
  </si>
  <si>
    <t>City of Aurora</t>
  </si>
  <si>
    <t>City of Bountiful</t>
  </si>
  <si>
    <t>City of Cedar Hills</t>
  </si>
  <si>
    <t>City of Draper</t>
  </si>
  <si>
    <t>City of Duchesne</t>
  </si>
  <si>
    <t>City of Enterprise</t>
  </si>
  <si>
    <t>Enterprise City</t>
  </si>
  <si>
    <t>Enterprise City </t>
  </si>
  <si>
    <t>City of Green River</t>
  </si>
  <si>
    <t>City of Harrisville</t>
  </si>
  <si>
    <t>City of Helper</t>
  </si>
  <si>
    <t>City of Holladay</t>
  </si>
  <si>
    <t>City of Kanab</t>
  </si>
  <si>
    <t>City of Milford</t>
  </si>
  <si>
    <t>City of Moab</t>
  </si>
  <si>
    <t>City of Monticello</t>
  </si>
  <si>
    <t>City of Naples</t>
  </si>
  <si>
    <t>City of North Salt Lake</t>
  </si>
  <si>
    <t>City of Orem</t>
  </si>
  <si>
    <t>City of Riverton</t>
  </si>
  <si>
    <t>City of Santa Clara</t>
  </si>
  <si>
    <t>City of Saratoga Springs</t>
  </si>
  <si>
    <t>City of South Jordan</t>
  </si>
  <si>
    <t>City of South Salt Lake</t>
  </si>
  <si>
    <t>City of St George</t>
  </si>
  <si>
    <t>City of Taylorsville</t>
  </si>
  <si>
    <t>City of Uintah</t>
  </si>
  <si>
    <t>City of Washington Terrace</t>
  </si>
  <si>
    <t>City of Wendover</t>
  </si>
  <si>
    <t>City of West Haven</t>
  </si>
  <si>
    <t>City of West Jordan</t>
  </si>
  <si>
    <t>City of Woodland Hills</t>
  </si>
  <si>
    <t>Clearfield City</t>
  </si>
  <si>
    <t>Cleveland Town</t>
  </si>
  <si>
    <t>Clinton City</t>
  </si>
  <si>
    <t>Coalville City</t>
  </si>
  <si>
    <t>Color Country Uniserv</t>
  </si>
  <si>
    <t>Cottonwood Heights City</t>
  </si>
  <si>
    <t>Cottonwood Heights Parks &amp; Recreation Service</t>
  </si>
  <si>
    <t>Cottonwood Heights P&amp;R Srv</t>
  </si>
  <si>
    <t>Cottonwood Imp District</t>
  </si>
  <si>
    <t>Cottonwood Improvement District</t>
  </si>
  <si>
    <t>Council On Aging – Golden Age Special Service District</t>
  </si>
  <si>
    <t>Council On Aging Golden Age SS</t>
  </si>
  <si>
    <t>Daggett County</t>
  </si>
  <si>
    <t>Daggett School District</t>
  </si>
  <si>
    <t>Davis &amp; Weber Counties Canal Company</t>
  </si>
  <si>
    <t>Davis &amp; Weber County Canal Co</t>
  </si>
  <si>
    <t>Davis Behavioral Health Inc</t>
  </si>
  <si>
    <t>Davis County Housing Authority</t>
  </si>
  <si>
    <t>Davis Co Housing Authority</t>
  </si>
  <si>
    <t>Davis County Mosquito Abatement</t>
  </si>
  <si>
    <t>Davis Co Mosquito Abate</t>
  </si>
  <si>
    <t>Davis County</t>
  </si>
  <si>
    <t>Davis School District</t>
  </si>
  <si>
    <t>Davis Applied Technology College</t>
  </si>
  <si>
    <t>Davis Technical College</t>
  </si>
  <si>
    <t/>
  </si>
  <si>
    <t>DDI Vantage</t>
  </si>
  <si>
    <t>Ddi Vantage</t>
  </si>
  <si>
    <t>Delta City</t>
  </si>
  <si>
    <t>Dixie Applied Tech College</t>
  </si>
  <si>
    <t>Dixie Technical College</t>
  </si>
  <si>
    <t>Duchesne Co Water Conserv Dist</t>
  </si>
  <si>
    <t>Duchesne Co Water Conserv District</t>
  </si>
  <si>
    <t>Duchesne County</t>
  </si>
  <si>
    <t>Duchesne School District</t>
  </si>
  <si>
    <t>Eagle Mountain City</t>
  </si>
  <si>
    <t>East Carbon City</t>
  </si>
  <si>
    <t>East Hollywood High School</t>
  </si>
  <si>
    <t>Educators Mutual Insurance</t>
  </si>
  <si>
    <t>Elk Ridge City</t>
  </si>
  <si>
    <t>Elwood Town</t>
  </si>
  <si>
    <t>Emery County Care &amp; Rehabilitation Center</t>
  </si>
  <si>
    <t>Emery Co Care &amp; Rehab Center</t>
  </si>
  <si>
    <t>Emery Co Care &amp; Rehab Ctr</t>
  </si>
  <si>
    <t>Emery County</t>
  </si>
  <si>
    <t>Emery County Recreation Special Service District</t>
  </si>
  <si>
    <t>Emery County Recreation SSD</t>
  </si>
  <si>
    <t>Emery School District</t>
  </si>
  <si>
    <t>Emery Town</t>
  </si>
  <si>
    <t>Emery Water Conservancy District</t>
  </si>
  <si>
    <t>Emery Water Conserv Dist</t>
  </si>
  <si>
    <t>Emery Water Conserv District</t>
  </si>
  <si>
    <t>Enoch City</t>
  </si>
  <si>
    <t>Ephraim City</t>
  </si>
  <si>
    <t>Eureka City Corporation</t>
  </si>
  <si>
    <t>Fairview City</t>
  </si>
  <si>
    <t>Farmington City</t>
  </si>
  <si>
    <t>Farr West City</t>
  </si>
  <si>
    <t>Fast Forward Charter High School</t>
  </si>
  <si>
    <t>Fast Forward Charter HS</t>
  </si>
  <si>
    <t>Ferron City</t>
  </si>
  <si>
    <t>Fillmore City</t>
  </si>
  <si>
    <t>Five-County Association of Governments</t>
  </si>
  <si>
    <t>Five-County Assn of Govts</t>
  </si>
  <si>
    <t>Fox Hollow Golf Course</t>
  </si>
  <si>
    <t>Francis City</t>
  </si>
  <si>
    <t>Fruit Heights City</t>
  </si>
  <si>
    <t>Garfield County</t>
  </si>
  <si>
    <t>Garfield School District</t>
  </si>
  <si>
    <t>Garland City</t>
  </si>
  <si>
    <t>Grand County</t>
  </si>
  <si>
    <t>Grand County EMS SSD</t>
  </si>
  <si>
    <t>Grand School District</t>
  </si>
  <si>
    <t>Grand Water/Sewer Service</t>
  </si>
  <si>
    <t>Granger-Hunter Improvement District</t>
  </si>
  <si>
    <t>Granger-Hunter Imp Dist</t>
  </si>
  <si>
    <t>Granger-Hunter Imp District</t>
  </si>
  <si>
    <t>Granite School District</t>
  </si>
  <si>
    <t>Granite Uniserv</t>
  </si>
  <si>
    <t>Grantsville City</t>
  </si>
  <si>
    <t>Greater Salt Lake Municipal Sd</t>
  </si>
  <si>
    <t>Greater Salt Lake Municipal SD</t>
  </si>
  <si>
    <t>Gunnison City</t>
  </si>
  <si>
    <t>Gunnison Valley Hospital</t>
  </si>
  <si>
    <t>Heber City</t>
  </si>
  <si>
    <t>Heber Light &amp; Power</t>
  </si>
  <si>
    <t>Heber Valley Historic Railroad</t>
  </si>
  <si>
    <t>Herriman City</t>
  </si>
  <si>
    <t>High Desert Uniserv</t>
  </si>
  <si>
    <t>High School Activities Assn</t>
  </si>
  <si>
    <t>Highland City</t>
  </si>
  <si>
    <t>Hinckley Town</t>
  </si>
  <si>
    <t>Hooper City</t>
  </si>
  <si>
    <t>Hooper Water Improvement District</t>
  </si>
  <si>
    <t>Hooper Water Improv District</t>
  </si>
  <si>
    <t>Hooper Water Improv Dist</t>
  </si>
  <si>
    <t>Housing Auth of Carbon Co</t>
  </si>
  <si>
    <t>Housing Authority of SLC</t>
  </si>
  <si>
    <t>Housing Authority Ogden City</t>
  </si>
  <si>
    <t>Housing Connect</t>
  </si>
  <si>
    <t>Huntington City</t>
  </si>
  <si>
    <t>Huntington City </t>
  </si>
  <si>
    <t>HUNTINGTON CITY </t>
  </si>
  <si>
    <t>Hurricane City</t>
  </si>
  <si>
    <t>Hurricane Valley Fire Special Service District</t>
  </si>
  <si>
    <t>Hurricane Valley Fire SSD</t>
  </si>
  <si>
    <t>Hyde Park City</t>
  </si>
  <si>
    <t>Hyrum City</t>
  </si>
  <si>
    <t>Intech Collegiate High School</t>
  </si>
  <si>
    <t>Iron County</t>
  </si>
  <si>
    <t>Iron School District</t>
  </si>
  <si>
    <t>Itineris High School</t>
  </si>
  <si>
    <t>ITINERIS High School</t>
  </si>
  <si>
    <t>Ivins City</t>
  </si>
  <si>
    <t>Jordan River Commission</t>
  </si>
  <si>
    <t>Jordan School District</t>
  </si>
  <si>
    <t>Jordan Uniserv</t>
  </si>
  <si>
    <t>Jordan Valley Water Conservancy</t>
  </si>
  <si>
    <t>Jordan Valley Water Conserv</t>
  </si>
  <si>
    <t>Jordanelle Special Service District</t>
  </si>
  <si>
    <t>Jordanelle SSD</t>
  </si>
  <si>
    <t>Juab County</t>
  </si>
  <si>
    <t>Juab School District</t>
  </si>
  <si>
    <t>Juab Special Service Fire Dist</t>
  </si>
  <si>
    <t>Kamas City</t>
  </si>
  <si>
    <t>Kane County</t>
  </si>
  <si>
    <t>Kane County Water Conservancy District</t>
  </si>
  <si>
    <t>Kane County Water Conserv Dist</t>
  </si>
  <si>
    <t>Kane County Water Conserv District</t>
  </si>
  <si>
    <t>Kane School District</t>
  </si>
  <si>
    <t>Kaysville City</t>
  </si>
  <si>
    <t>Kearns Improvement District</t>
  </si>
  <si>
    <t>Kearns Improvement Dist</t>
  </si>
  <si>
    <t>Laverkin City</t>
  </si>
  <si>
    <t>Layton City</t>
  </si>
  <si>
    <t>Lehi City</t>
  </si>
  <si>
    <t>Lewiston City</t>
  </si>
  <si>
    <t>Lindon City</t>
  </si>
  <si>
    <t>Logan City</t>
  </si>
  <si>
    <t>Logan School District</t>
  </si>
  <si>
    <t>Lone Peak PS District</t>
  </si>
  <si>
    <t>Maeser Water Improvement District</t>
  </si>
  <si>
    <t>Maeser Water District</t>
  </si>
  <si>
    <t>Maeser Water District </t>
  </si>
  <si>
    <t>Maeser Water Improve Dist</t>
  </si>
  <si>
    <t>MAESER WATER IMPROVE DIST </t>
  </si>
  <si>
    <t>Manti City</t>
  </si>
  <si>
    <t>Mapleton City</t>
  </si>
  <si>
    <t>Marriott-Slaterville City</t>
  </si>
  <si>
    <t>Mayfield Town</t>
  </si>
  <si>
    <t>Metro Water District SLC/Sandy</t>
  </si>
  <si>
    <t>Metro Water Dist Slc/Sandy</t>
  </si>
  <si>
    <t>Metro Water Dist SLC/Sandy</t>
  </si>
  <si>
    <t>Midvale City</t>
  </si>
  <si>
    <t>Midvalley Improvement District</t>
  </si>
  <si>
    <t>Midway City</t>
  </si>
  <si>
    <t>Military Installation Devel</t>
  </si>
  <si>
    <t>Millard County Care &amp; Rehabilitation Inc</t>
  </si>
  <si>
    <t>Millard Co Care &amp; Rehab Inc</t>
  </si>
  <si>
    <t>Millard County</t>
  </si>
  <si>
    <t>Millard School District</t>
  </si>
  <si>
    <t>Millcreek City</t>
  </si>
  <si>
    <t>Minersville Town</t>
  </si>
  <si>
    <t>Moab Mosquito Abatement District</t>
  </si>
  <si>
    <t>Moab Mosquito Abatement Distri</t>
  </si>
  <si>
    <t>MOAB MOSQUITO ABATEMENT DISTRI</t>
  </si>
  <si>
    <t>Mona City</t>
  </si>
  <si>
    <t>Monroe City</t>
  </si>
  <si>
    <t>Monticello Academy</t>
  </si>
  <si>
    <t>Morgan City Corporation</t>
  </si>
  <si>
    <t>Morgan County</t>
  </si>
  <si>
    <t>Morgan School District</t>
  </si>
  <si>
    <t>Moroni City</t>
  </si>
  <si>
    <t>Mount Pleasant City</t>
  </si>
  <si>
    <t>Mountain Regional Water Special Service District</t>
  </si>
  <si>
    <t>Mountain Regional Water SSD</t>
  </si>
  <si>
    <t>Mountainland Assn of Govt</t>
  </si>
  <si>
    <t>Mt Olympus Improvement District</t>
  </si>
  <si>
    <t>Mt Olympus Improvement Dist</t>
  </si>
  <si>
    <t>Murray City</t>
  </si>
  <si>
    <t>Murray School District</t>
  </si>
  <si>
    <t>Myton City</t>
  </si>
  <si>
    <t>N Tooele Co Fire Protection SD</t>
  </si>
  <si>
    <t>N TOOELE CO FIRE PROTECTION SD</t>
  </si>
  <si>
    <t>N TOOELE FIRE PROTECTION SD </t>
  </si>
  <si>
    <t>N Ut Environmental Rsrc Agcy</t>
  </si>
  <si>
    <t>N UT Environmental Rsrc Agcy</t>
  </si>
  <si>
    <t>Nebo Credit Union</t>
  </si>
  <si>
    <t>Nebo School District</t>
  </si>
  <si>
    <t>Nephi City</t>
  </si>
  <si>
    <t>Nibley City Corporation</t>
  </si>
  <si>
    <t>Noah Webster Academy Inc</t>
  </si>
  <si>
    <t>North Davis County Sewer District</t>
  </si>
  <si>
    <t>North Davis Co Sewer District</t>
  </si>
  <si>
    <t>North Davis Co Sewer Dist</t>
  </si>
  <si>
    <t>North Davis Fire District</t>
  </si>
  <si>
    <t>North Emery Water Users Special Service District</t>
  </si>
  <si>
    <t>North Emery Water Users SSD</t>
  </si>
  <si>
    <t>North Fork Special Service District</t>
  </si>
  <si>
    <t>North Fork SSD</t>
  </si>
  <si>
    <t>North Fork SS District</t>
  </si>
  <si>
    <t>North Logan City</t>
  </si>
  <si>
    <t>North Ogden City</t>
  </si>
  <si>
    <t>North Park Police Agency</t>
  </si>
  <si>
    <t>North Pointe Solid Waste</t>
  </si>
  <si>
    <t>North Sanpete School District</t>
  </si>
  <si>
    <t>North Sanpete School Dist</t>
  </si>
  <si>
    <t>North Summit School District</t>
  </si>
  <si>
    <t>Ne Counseling Center</t>
  </si>
  <si>
    <t>Northeastern Counseling Ctr</t>
  </si>
  <si>
    <t>Nuames Charter School</t>
  </si>
  <si>
    <t>NUAMES Charter School</t>
  </si>
  <si>
    <t>Oakley City</t>
  </si>
  <si>
    <t>Ogden City Corp</t>
  </si>
  <si>
    <t>Ogden School District</t>
  </si>
  <si>
    <t>Ogden-Weber Applied Technology Center</t>
  </si>
  <si>
    <t>Ogden-Weber Technology College</t>
  </si>
  <si>
    <t>Ogden-Weber Tech College</t>
  </si>
  <si>
    <t>Oquirrh Recreation and Parks District</t>
  </si>
  <si>
    <t>Oquirrh Rec And Parks District</t>
  </si>
  <si>
    <t>Oquirrh Rec and Parks District</t>
  </si>
  <si>
    <t>Orangeville City</t>
  </si>
  <si>
    <t>Orderville Town</t>
  </si>
  <si>
    <t>Panguitch City Corporation</t>
  </si>
  <si>
    <t>Park City</t>
  </si>
  <si>
    <t>Park City Fire Service</t>
  </si>
  <si>
    <t>Park City School District</t>
  </si>
  <si>
    <t>Parowan City</t>
  </si>
  <si>
    <t>Payson City</t>
  </si>
  <si>
    <t>Perry City</t>
  </si>
  <si>
    <t>Piute County</t>
  </si>
  <si>
    <t>Piute School District</t>
  </si>
  <si>
    <t>Plain City</t>
  </si>
  <si>
    <t>Pleasant Grove City</t>
  </si>
  <si>
    <t>Pleasant View City</t>
  </si>
  <si>
    <t>Powder Mountain Water &amp; Sewer</t>
  </si>
  <si>
    <t>Price City</t>
  </si>
  <si>
    <t>Price River Water Improvement</t>
  </si>
  <si>
    <t>Price River Water Improve</t>
  </si>
  <si>
    <t>Providence City</t>
  </si>
  <si>
    <t>Provo City Corp</t>
  </si>
  <si>
    <t>Provo Housing Authority</t>
  </si>
  <si>
    <t>Provo River Water Users</t>
  </si>
  <si>
    <t>Provo School District</t>
  </si>
  <si>
    <t>Rich County</t>
  </si>
  <si>
    <t>Rich School District</t>
  </si>
  <si>
    <t>Richfield City</t>
  </si>
  <si>
    <t>Richmond City</t>
  </si>
  <si>
    <t>Riverdale City</t>
  </si>
  <si>
    <t>Roosevelt City</t>
  </si>
  <si>
    <t>Roy City</t>
  </si>
  <si>
    <t>S Utah Valley Electric Services District</t>
  </si>
  <si>
    <t>S Utah Valley Electric Service District</t>
  </si>
  <si>
    <t>S Utah Valley Electric Svc Dst</t>
  </si>
  <si>
    <t>S Utah Valley Solid Waste</t>
  </si>
  <si>
    <t>Salem City</t>
  </si>
  <si>
    <t>Salina City</t>
  </si>
  <si>
    <t>Salt Lake Arts Academy</t>
  </si>
  <si>
    <t>Salt Lake City Corp</t>
  </si>
  <si>
    <t>Salt Lake City Public Library</t>
  </si>
  <si>
    <t>Salt Lake Co Serv Area 3</t>
  </si>
  <si>
    <t>Salt Lake Community College</t>
  </si>
  <si>
    <t>Salt Lake County</t>
  </si>
  <si>
    <t>Salt Lake School District</t>
  </si>
  <si>
    <t>San Juan County</t>
  </si>
  <si>
    <t>San Juan Mental Health</t>
  </si>
  <si>
    <t>San Juan School District</t>
  </si>
  <si>
    <t>Sandy City</t>
  </si>
  <si>
    <t>Sandy Suburban Improvement District</t>
  </si>
  <si>
    <t>Sandy Suburban Imp Dist</t>
  </si>
  <si>
    <t>Sandy Suburban Imp District</t>
  </si>
  <si>
    <t>Sanpete County</t>
  </si>
  <si>
    <t>Santaquin City</t>
  </si>
  <si>
    <t>Sevier County</t>
  </si>
  <si>
    <t>Sevier School District</t>
  </si>
  <si>
    <t>Six-County Association of Governments</t>
  </si>
  <si>
    <t>Six-County Assoc of Govt</t>
  </si>
  <si>
    <t>SIX-COUNTY ASSOC OF GOVT</t>
  </si>
  <si>
    <t>SLC Mosquito Abatement</t>
  </si>
  <si>
    <t>Slc Mosquito Abatement</t>
  </si>
  <si>
    <t>Smithfield City Corp</t>
  </si>
  <si>
    <t>Snow College</t>
  </si>
  <si>
    <t>Snyder Basin Special Recreation District</t>
  </si>
  <si>
    <t>Snyder Basin Special Rec Dist</t>
  </si>
  <si>
    <t>Snyder Basin Special Rec District</t>
  </si>
  <si>
    <t>SNYDER BASIN SPECIAL REC DIST</t>
  </si>
  <si>
    <t>Snyderville Basin Water Reclamation District</t>
  </si>
  <si>
    <t>Snyderville Basin W R D</t>
  </si>
  <si>
    <t>So Davis Metro Fire Agency</t>
  </si>
  <si>
    <t>So Davis Recreation Center</t>
  </si>
  <si>
    <t>So Salt Lake Valley Mosquito Abatement</t>
  </si>
  <si>
    <t>So Sl Valley Mosquito Abatement</t>
  </si>
  <si>
    <t>So Sl Valley Mosq Abate</t>
  </si>
  <si>
    <t>So SL Valley Mosq Abate</t>
  </si>
  <si>
    <t>So Utah Valley Animal Svcs SSD</t>
  </si>
  <si>
    <t>Soldier Hollow Charter School</t>
  </si>
  <si>
    <t>Solid Waste Special Service District #1</t>
  </si>
  <si>
    <t>Solid Waste SSD #1</t>
  </si>
  <si>
    <t>South Davis Sewer District</t>
  </si>
  <si>
    <t>South Davis Sewer Dist</t>
  </si>
  <si>
    <t>South Davis Water Dist</t>
  </si>
  <si>
    <t>South Davis Water District</t>
  </si>
  <si>
    <t>South Ogden City</t>
  </si>
  <si>
    <t>South Ogden Conservancy District</t>
  </si>
  <si>
    <t>South Ogden Conserv Dist</t>
  </si>
  <si>
    <t>South Ogden Conserv District</t>
  </si>
  <si>
    <t>South Sanpete School District</t>
  </si>
  <si>
    <t>South Sanpete School Dist</t>
  </si>
  <si>
    <t>South Summit School District</t>
  </si>
  <si>
    <t>South Valley Sewer District</t>
  </si>
  <si>
    <t>South Valley Water Reclamation</t>
  </si>
  <si>
    <t>South Weber City</t>
  </si>
  <si>
    <t>Southeastern Utah AOG</t>
  </si>
  <si>
    <t>Southeastern Utah Aog</t>
  </si>
  <si>
    <t>Southeastern Utah AoG</t>
  </si>
  <si>
    <t>Southeastern Utah Health</t>
  </si>
  <si>
    <t>Southern Utah University</t>
  </si>
  <si>
    <t>Southwest Education Development Center</t>
  </si>
  <si>
    <t>Southwest Educ Development Center</t>
  </si>
  <si>
    <t>Southwest Educ Development Ctr</t>
  </si>
  <si>
    <t>Southwest Applied Technology</t>
  </si>
  <si>
    <t>Southwest Technical College</t>
  </si>
  <si>
    <t>Spanish Fork City</t>
  </si>
  <si>
    <t>Spring City</t>
  </si>
  <si>
    <t>Springville City</t>
  </si>
  <si>
    <t>St George Housing Authority</t>
  </si>
  <si>
    <t>St George Housing Auth</t>
  </si>
  <si>
    <t>Stansbury Park Improvement District</t>
  </si>
  <si>
    <t>Stansbury Park Improv District</t>
  </si>
  <si>
    <t>Stansbury Park Improv Dist</t>
  </si>
  <si>
    <t>Stansbury Service Agency</t>
  </si>
  <si>
    <t>State of Utah</t>
  </si>
  <si>
    <t>Success Academy</t>
  </si>
  <si>
    <t>Summit Academy High School</t>
  </si>
  <si>
    <t>Summit Academy Inc</t>
  </si>
  <si>
    <t>Summit County</t>
  </si>
  <si>
    <t>Summit County Service Area 3</t>
  </si>
  <si>
    <t>Sunset City</t>
  </si>
  <si>
    <t>Sw Behavioral Health Center</t>
  </si>
  <si>
    <t>SW Behavioral Health Center</t>
  </si>
  <si>
    <t>Sw Mosquito Abatement/Control</t>
  </si>
  <si>
    <t>SW Mosquito Abatement/Control</t>
  </si>
  <si>
    <t>SW UT Public Health Department</t>
  </si>
  <si>
    <t>Sw Ut Public Health Dept</t>
  </si>
  <si>
    <t>Sw UT Public Health Dept</t>
  </si>
  <si>
    <t>Syracuse City Corp</t>
  </si>
  <si>
    <t>Taylor West Weber Water Improvement District</t>
  </si>
  <si>
    <t>Taylor West Weber Wtr Imp Dist</t>
  </si>
  <si>
    <t>Taylor West Weber Wtr Imp District</t>
  </si>
  <si>
    <t>Taylorsville-Bennion Improvement</t>
  </si>
  <si>
    <t>Taylorsville-Bennion Imp</t>
  </si>
  <si>
    <t>Timber Lakes Water Special Service District</t>
  </si>
  <si>
    <t>Timberlakes Water SSD</t>
  </si>
  <si>
    <t>Timpanogos Special Service District</t>
  </si>
  <si>
    <t>Timpanogos SSD</t>
  </si>
  <si>
    <t>Tintic School District</t>
  </si>
  <si>
    <t>Tooele City</t>
  </si>
  <si>
    <t>Tooele County</t>
  </si>
  <si>
    <t>Tooele County Housing</t>
  </si>
  <si>
    <t>Tooele School District</t>
  </si>
  <si>
    <t>Tooele Applied Technology College</t>
  </si>
  <si>
    <t>Tooele Technical College</t>
  </si>
  <si>
    <t>Toquerville City</t>
  </si>
  <si>
    <t>Torrey Town</t>
  </si>
  <si>
    <t>Town of Alta</t>
  </si>
  <si>
    <t>Town of Apple Valley</t>
  </si>
  <si>
    <t>Town of Brian Head</t>
  </si>
  <si>
    <t>Town of Garden City</t>
  </si>
  <si>
    <t>Town of Goshen</t>
  </si>
  <si>
    <t>Town of Manila</t>
  </si>
  <si>
    <t>Town of Mantua</t>
  </si>
  <si>
    <t>Mantua City</t>
  </si>
  <si>
    <t>Mantua City </t>
  </si>
  <si>
    <t>Town of Paragonah</t>
  </si>
  <si>
    <t>Town of Springdale</t>
  </si>
  <si>
    <t>Trans-Jordan Cities</t>
  </si>
  <si>
    <t>Tremonton City</t>
  </si>
  <si>
    <t>Uintah Animal Control/Shelter</t>
  </si>
  <si>
    <t>Uintah Basin Assn of Govt</t>
  </si>
  <si>
    <t>Uintah Basin Applied Technology Center</t>
  </si>
  <si>
    <t>Uintah Basin Technical College</t>
  </si>
  <si>
    <t>Uintah County Care Center Special Service District</t>
  </si>
  <si>
    <t>Uintah Co Care Center Special Service District</t>
  </si>
  <si>
    <t>Uintah Co Care Center SSD</t>
  </si>
  <si>
    <t>Uintah County</t>
  </si>
  <si>
    <t>Uintah School District</t>
  </si>
  <si>
    <t>Uintah Water Conserv Dist</t>
  </si>
  <si>
    <t>Unified Fire Authority</t>
  </si>
  <si>
    <t>Unified Police Department</t>
  </si>
  <si>
    <t>University of Utah</t>
  </si>
  <si>
    <t>University of Utah Hospital</t>
  </si>
  <si>
    <t>Space Dynamics Lab / USU</t>
  </si>
  <si>
    <t>USU Space Dynamics Lab</t>
  </si>
  <si>
    <t>UT Municipal Power Agency</t>
  </si>
  <si>
    <t>Ut Municipal Power Agency</t>
  </si>
  <si>
    <t>Utah Association of Counties</t>
  </si>
  <si>
    <t>Utah Assn of Counties</t>
  </si>
  <si>
    <t>Utah Co Academy of Sciences</t>
  </si>
  <si>
    <t>Utah Co Housing Authority</t>
  </si>
  <si>
    <t>Utah Communications Authority</t>
  </si>
  <si>
    <t>Utah Counties Indemnity Pool</t>
  </si>
  <si>
    <t>Utah County</t>
  </si>
  <si>
    <t>Utah Education Association</t>
  </si>
  <si>
    <t>Utah Housing Corporation</t>
  </si>
  <si>
    <t>Utah Lake Commission</t>
  </si>
  <si>
    <t>UTAH LAKE COMMISSION</t>
  </si>
  <si>
    <t>Utah League Cities/Towns</t>
  </si>
  <si>
    <t>Utah Local Governments Trust</t>
  </si>
  <si>
    <t>Utah Retirement Systems</t>
  </si>
  <si>
    <t>Utah Safety Council</t>
  </si>
  <si>
    <t>Utah School Boards Association</t>
  </si>
  <si>
    <t>Utah School Employees Association</t>
  </si>
  <si>
    <t>Utah School Employees Assn</t>
  </si>
  <si>
    <t>Utah State Fair Corp</t>
  </si>
  <si>
    <t>Utah State University</t>
  </si>
  <si>
    <t>Dixie State University</t>
  </si>
  <si>
    <t>Utah Valley University</t>
  </si>
  <si>
    <t>Utah Zoological Society</t>
  </si>
  <si>
    <t>Utopia</t>
  </si>
  <si>
    <t>Valley Emergency Communication Center</t>
  </si>
  <si>
    <t>Valley Emergency Communications Center</t>
  </si>
  <si>
    <t>Valley Emergency Comm Ctr</t>
  </si>
  <si>
    <t>Vernal City</t>
  </si>
  <si>
    <t>Vineyard Town</t>
  </si>
  <si>
    <t>Wasatch Behavioral Health</t>
  </si>
  <si>
    <t>Wasatch County</t>
  </si>
  <si>
    <t>Wasatch County Fire District</t>
  </si>
  <si>
    <t>Wasatch Front Regional Council</t>
  </si>
  <si>
    <t>Wasatch Front Waste/Recycling</t>
  </si>
  <si>
    <t>Wasatch Integrated Waste Management</t>
  </si>
  <si>
    <t>Wasatch Integrated Waste Mgmt</t>
  </si>
  <si>
    <t>Wasatch School District</t>
  </si>
  <si>
    <t>Washington City</t>
  </si>
  <si>
    <t>Washington County Solid Waste</t>
  </si>
  <si>
    <t>Washington Co Solid Waste</t>
  </si>
  <si>
    <t>Washington County Water Conservancy District</t>
  </si>
  <si>
    <t>Washington Co Water Conservancy District</t>
  </si>
  <si>
    <t>Washington Co Wat Con Dist</t>
  </si>
  <si>
    <t>Washington Co Wat Con District</t>
  </si>
  <si>
    <t>Washington County</t>
  </si>
  <si>
    <t>Washington School District</t>
  </si>
  <si>
    <t>Waste Management Serv District #5</t>
  </si>
  <si>
    <t>Waste Management Serv Dist #5</t>
  </si>
  <si>
    <t>Wayne County</t>
  </si>
  <si>
    <t>Wayne School District</t>
  </si>
  <si>
    <t>Weber Area Dispatch 911</t>
  </si>
  <si>
    <t>Weber Basin Water Conservancy</t>
  </si>
  <si>
    <t>Weber Basin Water Conserv</t>
  </si>
  <si>
    <t>Weber Co Mosquito Abate</t>
  </si>
  <si>
    <t>Weber County Corp</t>
  </si>
  <si>
    <t>Weber County School District</t>
  </si>
  <si>
    <t>Weber Human Services</t>
  </si>
  <si>
    <t>Weber State University</t>
  </si>
  <si>
    <t>Wellington City</t>
  </si>
  <si>
    <t>Wellsville City Corp</t>
  </si>
  <si>
    <t>West Bountiful City</t>
  </si>
  <si>
    <t>W Kane County Special Service District # 1</t>
  </si>
  <si>
    <t>West Kane County Special Service District #1</t>
  </si>
  <si>
    <t>West Kane County SSD #1</t>
  </si>
  <si>
    <t>West Point City</t>
  </si>
  <si>
    <t>West Valley City</t>
  </si>
  <si>
    <t>White City Water Improvement District</t>
  </si>
  <si>
    <t>White City Water Imp Dist</t>
  </si>
  <si>
    <t>White City Water Imp District</t>
  </si>
  <si>
    <t>Willard City Corp</t>
  </si>
  <si>
    <t>Woods Cross City</t>
  </si>
  <si>
    <t>Workers Compensation Fund</t>
  </si>
  <si>
    <t>Workers’ Compensation Fund</t>
  </si>
  <si>
    <t>WORKERS’ COMPENATION FUND</t>
  </si>
  <si>
    <t>Aurora City </t>
  </si>
  <si>
    <t>Big Plains Water &amp; Sewer Spec Service Dist</t>
  </si>
  <si>
    <t>Big Plains Water &amp; Sewer SSD</t>
  </si>
  <si>
    <t>BIG PLAINS WATER &amp; SEWER SSD</t>
  </si>
  <si>
    <t>Canyonlands Health Care</t>
  </si>
  <si>
    <t>Canyonlands Care Center</t>
  </si>
  <si>
    <t>CANYONLANDS CARE CENTER</t>
  </si>
  <si>
    <t>Centerfield City (alt)</t>
  </si>
  <si>
    <t>Grand County Cemetery Maintenance District</t>
  </si>
  <si>
    <t>Grand Co Cemetery Maintenance District</t>
  </si>
  <si>
    <t>Grand Co Cemetery Mtce Dist</t>
  </si>
  <si>
    <t>Grand Co Cemetery Mtce District</t>
  </si>
  <si>
    <t>GRAND CO CEMETERY MTCE DIST</t>
  </si>
  <si>
    <t>Housing Authority of Salt Lake County</t>
  </si>
  <si>
    <t>Housing Authority of SL County</t>
  </si>
  <si>
    <t>Liberty Academy Charter</t>
  </si>
  <si>
    <t>Liberty Academy Charter School</t>
  </si>
  <si>
    <t>LIBERTY ACADEMY CHARTER</t>
  </si>
  <si>
    <t>Mendon City</t>
  </si>
  <si>
    <t>Millville City</t>
  </si>
  <si>
    <t>MILLVILLE CITY</t>
  </si>
  <si>
    <t>Mountain Green Sewer Imp District</t>
  </si>
  <si>
    <t>Mountain Green Sewer Imp Dist</t>
  </si>
  <si>
    <t>MOUNTAIN GREEN SEWER IMP DIST</t>
  </si>
  <si>
    <t>North View Fire District</t>
  </si>
  <si>
    <t>NORTH VIEW FIRE DISTRICT </t>
  </si>
  <si>
    <t>Ogden Weber/NEA/UEA Uniserv</t>
  </si>
  <si>
    <t>Ogden Weber/NEA/UEA Uniserv Recreation and Habilitation Services</t>
  </si>
  <si>
    <t>OGDEN WEBER/NEA/UEA UNISERV </t>
  </si>
  <si>
    <t>Recreation &amp; Habilitation Services</t>
  </si>
  <si>
    <t>Recreation and Habilitation Services</t>
  </si>
  <si>
    <t>Recreation &amp; Habilitation Srvs</t>
  </si>
  <si>
    <t>RECREATION &amp; HABILITATION SRVS</t>
  </si>
  <si>
    <t>TOWN OF RANDOLPH</t>
  </si>
  <si>
    <t>Uintah Basin Asst Council</t>
  </si>
  <si>
    <t>Uintah Fire Suppression SSD</t>
  </si>
  <si>
    <t>UINTAH FIRE SUPPRESSION SSD</t>
  </si>
  <si>
    <t>Uintah Highlands Improv District</t>
  </si>
  <si>
    <t>Uintah Highlands Improv Dist</t>
  </si>
  <si>
    <t>UINTAH HIGHLANDS IMPROV DIST</t>
  </si>
  <si>
    <t>Uintah Recreation District</t>
  </si>
  <si>
    <t>UINTAH RECREATION DISTRICT</t>
  </si>
  <si>
    <t>Uintah Transportation Special Service District</t>
  </si>
  <si>
    <t>Uintah Transportation SSD</t>
  </si>
  <si>
    <t>UINTAH TRANSPORTATION SSD</t>
  </si>
  <si>
    <t>Uintah Water Conservancy District</t>
  </si>
  <si>
    <t>UT Public Employees Association</t>
  </si>
  <si>
    <t>Ut Public Employees Assn</t>
  </si>
  <si>
    <t>UT Public Employees Assn</t>
  </si>
  <si>
    <t>UT PUBLIC EMPLOYEES ASSN</t>
  </si>
  <si>
    <t>UT School Board Risk Management</t>
  </si>
  <si>
    <t>Utah Dairy Council</t>
  </si>
  <si>
    <t xml:space="preserve">Utah Dairy Commission </t>
  </si>
  <si>
    <t>Utah Dairy Commission</t>
  </si>
  <si>
    <t>UTAH DAIRY COMMISSION</t>
  </si>
  <si>
    <t>Utah Valley Dispatch Special Service District</t>
  </si>
  <si>
    <t>Valley Mental Health</t>
  </si>
  <si>
    <t>Valley Mental Health </t>
  </si>
  <si>
    <t>VALLEY MENTAL HEALTH</t>
  </si>
  <si>
    <t>Wasatch Mental Health Special Service District</t>
  </si>
  <si>
    <t>Weber Fire District</t>
  </si>
  <si>
    <t>WEBER FIRE DISTRICT</t>
  </si>
  <si>
    <t>Tridell-Lapoint Water</t>
  </si>
  <si>
    <t>employer_name_noncon</t>
  </si>
  <si>
    <t>Davis Uniserv</t>
  </si>
  <si>
    <t>Dixie Applied Technology College</t>
  </si>
  <si>
    <t>High School Activities Association</t>
  </si>
  <si>
    <t>Mountainland ATC</t>
  </si>
  <si>
    <t>Mountainland Applied Technology College</t>
  </si>
  <si>
    <t>Mountainland Technical College</t>
  </si>
  <si>
    <t>Valley Emergency Comm Center</t>
  </si>
  <si>
    <t>Ogden Weber/Nea/Uea Uniserv</t>
  </si>
  <si>
    <t>Wasatch Uniserv</t>
  </si>
  <si>
    <t>Woodland Peaks Uniserv</t>
  </si>
  <si>
    <t>Southwest Educational Development Center</t>
  </si>
  <si>
    <t>employer_name_con</t>
  </si>
  <si>
    <t>Carbon School District </t>
  </si>
  <si>
    <t>Kane School District </t>
  </si>
  <si>
    <t>WEBER COUNTY SCHOOL DISTRICT </t>
  </si>
  <si>
    <t>employer_contributions_tier2</t>
  </si>
  <si>
    <t>employer_contributions_noncon</t>
  </si>
  <si>
    <t>employer_contributions_con</t>
  </si>
  <si>
    <t>_merge1</t>
  </si>
  <si>
    <t>Master only (1)</t>
  </si>
  <si>
    <t>Matched (3)</t>
  </si>
  <si>
    <t>Using only (2)</t>
  </si>
  <si>
    <t>_merge2</t>
  </si>
  <si>
    <t>Noncontributory</t>
  </si>
  <si>
    <t>Contributory</t>
  </si>
  <si>
    <t>Tier 2</t>
  </si>
  <si>
    <t>Year</t>
  </si>
  <si>
    <t>Reported</t>
  </si>
  <si>
    <t>Total from Formula</t>
  </si>
  <si>
    <t>Difference</t>
  </si>
  <si>
    <t>Notes</t>
  </si>
  <si>
    <t xml:space="preserve"> Reported</t>
  </si>
  <si>
    <t xml:space="preserve"> Total from Formula</t>
  </si>
  <si>
    <t xml:space="preserve"> Difference</t>
  </si>
  <si>
    <t>total_contributions</t>
  </si>
  <si>
    <t>district_name</t>
  </si>
  <si>
    <t>LEAID_match</t>
  </si>
  <si>
    <t>State</t>
  </si>
  <si>
    <t>Utah</t>
  </si>
  <si>
    <t>UT</t>
  </si>
  <si>
    <t>state_abv</t>
  </si>
  <si>
    <t>plan</t>
  </si>
  <si>
    <t>Public Employees Contributory Retirement System &amp; Non-Contributory Retirement System &amp; Tier 2 Public Employees Contributory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</si>
</sst>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1" xfId="0" applyNumberFormat="1" applyBorder="1"/>
    <xf numFmtId="0" fontId="2" fillId="0" borderId="0" xfId="0" applyFont="1"/>
    <xf numFmtId="164" fontId="2" fillId="0" borderId="0" xfId="1" applyNumberFormat="1" applyFont="1"/>
    <xf numFmtId="164" fontId="0" fillId="0" borderId="1" xfId="1" applyNumberFormat="1" applyFont="1" applyBorder="1"/>
    <xf numFmtId="164" fontId="0" fillId="0" borderId="0" xfId="1" applyNumberFormat="1" applyFont="1"/>
    <xf numFmtId="0" fontId="3" fillId="0" borderId="0" xfId="0" applyFont="1"/>
    <xf numFmtId="165" fontId="0" fillId="0" borderId="0" xfId="2" applyNumberFormat="1" applyFont="1"/>
    <xf numFmtId="165" fontId="0" fillId="0" borderId="0" xfId="0" applyNumberFormat="1"/>
    <xf numFmtId="0" fontId="3" fillId="0" borderId="0" xfId="0" applyFont="1" applyAlignment="1">
      <alignment horizontal="center"/>
    </xf>
    <xf numFmtId="0" fontId="1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84"/>
  <sheetViews>
    <sheetView tabSelected="1" workbookViewId="0">
      <selection activeCell="F25" sqref="F25"/>
    </sheetView>
  </sheetViews>
  <sheetFormatPr baseColWidth="10" defaultColWidth="8.83203125" defaultRowHeight="15" x14ac:dyDescent="0.2"/>
  <cols>
    <col min="1" max="1" width="7.1640625" bestFit="1" customWidth="1"/>
    <col min="2" max="2" width="13.33203125" bestFit="1" customWidth="1"/>
    <col min="3" max="5" width="13.33203125" customWidth="1"/>
    <col min="6" max="6" width="37.33203125" bestFit="1" customWidth="1"/>
    <col min="7" max="7" width="25" style="5" bestFit="1" customWidth="1"/>
    <col min="8" max="8" width="27.1640625" style="5" bestFit="1" customWidth="1"/>
    <col min="9" max="9" width="24" style="5" bestFit="1" customWidth="1"/>
    <col min="10" max="10" width="24" style="5" customWidth="1"/>
    <col min="11" max="12" width="12.33203125" bestFit="1" customWidth="1"/>
    <col min="13" max="13" width="53.5" bestFit="1" customWidth="1"/>
    <col min="14" max="14" width="35" bestFit="1" customWidth="1"/>
    <col min="15" max="15" width="32.6640625" bestFit="1" customWidth="1"/>
    <col min="16" max="16" width="17.33203125" customWidth="1"/>
  </cols>
  <sheetData>
    <row r="1" spans="1:16" s="2" customFormat="1" x14ac:dyDescent="0.2">
      <c r="A1" s="2" t="s">
        <v>1666</v>
      </c>
      <c r="B1" s="2" t="s">
        <v>0</v>
      </c>
      <c r="C1" s="2" t="s">
        <v>1677</v>
      </c>
      <c r="D1" s="2" t="s">
        <v>1680</v>
      </c>
      <c r="E1" s="2" t="s">
        <v>1681</v>
      </c>
      <c r="F1" s="2" t="s">
        <v>497</v>
      </c>
      <c r="G1" s="3" t="s">
        <v>1655</v>
      </c>
      <c r="H1" s="3" t="s">
        <v>1656</v>
      </c>
      <c r="I1" s="3" t="s">
        <v>1657</v>
      </c>
      <c r="J1" s="3" t="s">
        <v>1674</v>
      </c>
      <c r="K1" s="2" t="s">
        <v>1658</v>
      </c>
      <c r="L1" s="2" t="s">
        <v>1662</v>
      </c>
      <c r="M1" s="2" t="s">
        <v>995</v>
      </c>
      <c r="N1" s="2" t="s">
        <v>1639</v>
      </c>
      <c r="O1" s="2" t="s">
        <v>1651</v>
      </c>
      <c r="P1" s="2" t="s">
        <v>1676</v>
      </c>
    </row>
    <row r="2" spans="1:16" x14ac:dyDescent="0.2">
      <c r="A2" s="1">
        <v>2015</v>
      </c>
      <c r="B2" t="s">
        <v>1</v>
      </c>
      <c r="C2" s="10" t="s">
        <v>1678</v>
      </c>
      <c r="D2" s="10" t="s">
        <v>1679</v>
      </c>
      <c r="E2" s="10" t="s">
        <v>1682</v>
      </c>
      <c r="F2" t="s">
        <v>498</v>
      </c>
      <c r="G2" s="4">
        <v>45591</v>
      </c>
      <c r="H2" s="4"/>
      <c r="I2" s="4"/>
      <c r="J2" s="4">
        <f>SUM(G2:I2)</f>
        <v>45591</v>
      </c>
      <c r="K2" t="s">
        <v>1659</v>
      </c>
      <c r="L2" t="s">
        <v>1659</v>
      </c>
      <c r="M2" t="s">
        <v>996</v>
      </c>
      <c r="N2" t="s">
        <v>1132</v>
      </c>
      <c r="O2" t="s">
        <v>1132</v>
      </c>
      <c r="P2" t="str">
        <f>IFERROR(VLOOKUP(F2,Sheet1!$A$2:$B$54,2,FALSE),"")</f>
        <v/>
      </c>
    </row>
    <row r="3" spans="1:16" x14ac:dyDescent="0.2">
      <c r="A3" s="1">
        <v>2016</v>
      </c>
      <c r="B3" t="s">
        <v>1</v>
      </c>
      <c r="C3" s="10" t="s">
        <v>1678</v>
      </c>
      <c r="D3" s="10" t="s">
        <v>1679</v>
      </c>
      <c r="E3" s="10" t="s">
        <v>1682</v>
      </c>
      <c r="F3" t="s">
        <v>498</v>
      </c>
      <c r="G3" s="4">
        <v>63033</v>
      </c>
      <c r="H3" s="4"/>
      <c r="I3" s="4"/>
      <c r="J3" s="4">
        <f t="shared" ref="J3:J66" si="0">SUM(G3:I3)</f>
        <v>63033</v>
      </c>
      <c r="K3" t="s">
        <v>1659</v>
      </c>
      <c r="L3" t="s">
        <v>1659</v>
      </c>
      <c r="M3" t="s">
        <v>997</v>
      </c>
      <c r="N3" t="s">
        <v>1132</v>
      </c>
      <c r="O3" t="s">
        <v>1132</v>
      </c>
      <c r="P3" t="str">
        <f>IFERROR(VLOOKUP(F3,Sheet1!$A$2:$B$54,2,FALSE),"")</f>
        <v/>
      </c>
    </row>
    <row r="4" spans="1:16" x14ac:dyDescent="0.2">
      <c r="A4" s="1">
        <v>2017</v>
      </c>
      <c r="B4" t="s">
        <v>1</v>
      </c>
      <c r="C4" s="10" t="s">
        <v>1678</v>
      </c>
      <c r="D4" s="10" t="s">
        <v>1679</v>
      </c>
      <c r="E4" s="10" t="s">
        <v>1682</v>
      </c>
      <c r="F4" t="s">
        <v>498</v>
      </c>
      <c r="G4" s="4">
        <v>82576</v>
      </c>
      <c r="H4" s="4"/>
      <c r="I4" s="4"/>
      <c r="J4" s="4">
        <f t="shared" si="0"/>
        <v>82576</v>
      </c>
      <c r="K4" t="s">
        <v>1659</v>
      </c>
      <c r="L4" t="s">
        <v>1659</v>
      </c>
      <c r="M4" t="s">
        <v>996</v>
      </c>
      <c r="N4" t="s">
        <v>1132</v>
      </c>
      <c r="O4" t="s">
        <v>1132</v>
      </c>
      <c r="P4" t="str">
        <f>IFERROR(VLOOKUP(F4,Sheet1!$A$2:$B$54,2,FALSE),"")</f>
        <v/>
      </c>
    </row>
    <row r="5" spans="1:16" x14ac:dyDescent="0.2">
      <c r="A5" s="1">
        <v>2018</v>
      </c>
      <c r="B5" t="s">
        <v>1</v>
      </c>
      <c r="C5" s="10" t="s">
        <v>1678</v>
      </c>
      <c r="D5" s="10" t="s">
        <v>1679</v>
      </c>
      <c r="E5" s="10" t="s">
        <v>1682</v>
      </c>
      <c r="F5" t="s">
        <v>498</v>
      </c>
      <c r="G5" s="4">
        <v>101227</v>
      </c>
      <c r="H5" s="4"/>
      <c r="I5" s="4"/>
      <c r="J5" s="4">
        <f t="shared" si="0"/>
        <v>101227</v>
      </c>
      <c r="K5" t="s">
        <v>1659</v>
      </c>
      <c r="L5" t="s">
        <v>1659</v>
      </c>
      <c r="M5" t="s">
        <v>996</v>
      </c>
      <c r="N5" t="s">
        <v>1132</v>
      </c>
      <c r="O5" t="s">
        <v>1132</v>
      </c>
      <c r="P5" t="str">
        <f>IFERROR(VLOOKUP(F5,Sheet1!$A$2:$B$54,2,FALSE),"")</f>
        <v/>
      </c>
    </row>
    <row r="6" spans="1:16" x14ac:dyDescent="0.2">
      <c r="A6" s="1">
        <v>2019</v>
      </c>
      <c r="B6" t="s">
        <v>1</v>
      </c>
      <c r="C6" s="10" t="s">
        <v>1678</v>
      </c>
      <c r="D6" s="10" t="s">
        <v>1679</v>
      </c>
      <c r="E6" s="10" t="s">
        <v>1682</v>
      </c>
      <c r="F6" t="s">
        <v>498</v>
      </c>
      <c r="G6" s="4">
        <v>136196</v>
      </c>
      <c r="H6" s="4"/>
      <c r="I6" s="4"/>
      <c r="J6" s="4">
        <f t="shared" si="0"/>
        <v>136196</v>
      </c>
      <c r="K6" t="s">
        <v>1659</v>
      </c>
      <c r="L6" t="s">
        <v>1659</v>
      </c>
      <c r="M6" t="s">
        <v>996</v>
      </c>
      <c r="N6" t="s">
        <v>1132</v>
      </c>
      <c r="O6" t="s">
        <v>1132</v>
      </c>
      <c r="P6" t="str">
        <f>IFERROR(VLOOKUP(F6,Sheet1!$A$2:$B$54,2,FALSE),"")</f>
        <v/>
      </c>
    </row>
    <row r="7" spans="1:16" x14ac:dyDescent="0.2">
      <c r="A7" s="1">
        <v>2020</v>
      </c>
      <c r="B7" t="s">
        <v>1</v>
      </c>
      <c r="C7" s="10" t="s">
        <v>1678</v>
      </c>
      <c r="D7" s="10" t="s">
        <v>1679</v>
      </c>
      <c r="E7" s="10" t="s">
        <v>1682</v>
      </c>
      <c r="F7" t="s">
        <v>498</v>
      </c>
      <c r="G7" s="4">
        <v>165021</v>
      </c>
      <c r="H7" s="4"/>
      <c r="I7" s="4"/>
      <c r="J7" s="4">
        <f t="shared" si="0"/>
        <v>165021</v>
      </c>
      <c r="K7" t="s">
        <v>1659</v>
      </c>
      <c r="L7" t="s">
        <v>1659</v>
      </c>
      <c r="M7" t="s">
        <v>996</v>
      </c>
      <c r="N7" t="s">
        <v>1132</v>
      </c>
      <c r="O7" t="s">
        <v>1132</v>
      </c>
      <c r="P7" t="str">
        <f>IFERROR(VLOOKUP(F7,Sheet1!$A$2:$B$54,2,FALSE),"")</f>
        <v/>
      </c>
    </row>
    <row r="8" spans="1:16" x14ac:dyDescent="0.2">
      <c r="A8" s="1">
        <v>2021</v>
      </c>
      <c r="B8" t="s">
        <v>1</v>
      </c>
      <c r="C8" s="10" t="s">
        <v>1678</v>
      </c>
      <c r="D8" s="10" t="s">
        <v>1679</v>
      </c>
      <c r="E8" s="10" t="s">
        <v>1682</v>
      </c>
      <c r="F8" t="s">
        <v>498</v>
      </c>
      <c r="G8" s="4">
        <v>204180</v>
      </c>
      <c r="H8" s="4"/>
      <c r="I8" s="4"/>
      <c r="J8" s="4">
        <f t="shared" si="0"/>
        <v>204180</v>
      </c>
      <c r="K8" t="s">
        <v>1659</v>
      </c>
      <c r="L8" t="s">
        <v>1659</v>
      </c>
      <c r="M8" t="s">
        <v>498</v>
      </c>
      <c r="N8" t="s">
        <v>1132</v>
      </c>
      <c r="O8" t="s">
        <v>1132</v>
      </c>
      <c r="P8" t="str">
        <f>IFERROR(VLOOKUP(F8,Sheet1!$A$2:$B$54,2,FALSE),"")</f>
        <v/>
      </c>
    </row>
    <row r="9" spans="1:16" x14ac:dyDescent="0.2">
      <c r="A9" s="1">
        <v>2022</v>
      </c>
      <c r="B9" t="s">
        <v>1</v>
      </c>
      <c r="C9" s="10" t="s">
        <v>1678</v>
      </c>
      <c r="D9" s="10" t="s">
        <v>1679</v>
      </c>
      <c r="E9" s="10" t="s">
        <v>1682</v>
      </c>
      <c r="F9" t="s">
        <v>498</v>
      </c>
      <c r="G9" s="4">
        <v>287279</v>
      </c>
      <c r="H9" s="4"/>
      <c r="I9" s="4"/>
      <c r="J9" s="4">
        <f t="shared" si="0"/>
        <v>287279</v>
      </c>
      <c r="K9" t="s">
        <v>1659</v>
      </c>
      <c r="L9" t="s">
        <v>1659</v>
      </c>
      <c r="M9" t="s">
        <v>498</v>
      </c>
      <c r="N9" t="s">
        <v>1132</v>
      </c>
      <c r="O9" t="s">
        <v>1132</v>
      </c>
      <c r="P9" t="str">
        <f>IFERROR(VLOOKUP(F9,Sheet1!$A$2:$B$54,2,FALSE),"")</f>
        <v/>
      </c>
    </row>
    <row r="10" spans="1:16" x14ac:dyDescent="0.2">
      <c r="A10" s="1">
        <v>2023</v>
      </c>
      <c r="B10" t="s">
        <v>1</v>
      </c>
      <c r="C10" s="10" t="s">
        <v>1678</v>
      </c>
      <c r="D10" s="10" t="s">
        <v>1679</v>
      </c>
      <c r="E10" s="10" t="s">
        <v>1682</v>
      </c>
      <c r="F10" t="s">
        <v>498</v>
      </c>
      <c r="G10" s="4">
        <v>332425</v>
      </c>
      <c r="H10" s="4"/>
      <c r="I10" s="4"/>
      <c r="J10" s="4">
        <f t="shared" si="0"/>
        <v>332425</v>
      </c>
      <c r="K10" t="s">
        <v>1659</v>
      </c>
      <c r="L10" t="s">
        <v>1659</v>
      </c>
      <c r="M10" t="s">
        <v>498</v>
      </c>
      <c r="N10" t="s">
        <v>1132</v>
      </c>
      <c r="O10" t="s">
        <v>1132</v>
      </c>
      <c r="P10" t="str">
        <f>IFERROR(VLOOKUP(F10,Sheet1!$A$2:$B$54,2,FALSE),"")</f>
        <v/>
      </c>
    </row>
    <row r="11" spans="1:16" x14ac:dyDescent="0.2">
      <c r="A11" s="1">
        <v>2015</v>
      </c>
      <c r="B11" t="s">
        <v>2</v>
      </c>
      <c r="C11" s="10" t="s">
        <v>1678</v>
      </c>
      <c r="D11" s="10" t="s">
        <v>1679</v>
      </c>
      <c r="E11" s="10" t="s">
        <v>1682</v>
      </c>
      <c r="F11" t="s">
        <v>499</v>
      </c>
      <c r="G11" s="4">
        <v>0</v>
      </c>
      <c r="H11" s="4">
        <v>68584</v>
      </c>
      <c r="I11" s="4"/>
      <c r="J11" s="4">
        <f t="shared" si="0"/>
        <v>68584</v>
      </c>
      <c r="K11" t="s">
        <v>1660</v>
      </c>
      <c r="L11" t="s">
        <v>1659</v>
      </c>
      <c r="M11" t="s">
        <v>998</v>
      </c>
      <c r="N11" t="s">
        <v>998</v>
      </c>
      <c r="O11" t="s">
        <v>1132</v>
      </c>
      <c r="P11" t="str">
        <f>IFERROR(VLOOKUP(F11,Sheet1!$A$2:$B$54,2,FALSE),"")</f>
        <v/>
      </c>
    </row>
    <row r="12" spans="1:16" x14ac:dyDescent="0.2">
      <c r="A12" s="1">
        <v>2016</v>
      </c>
      <c r="B12" t="s">
        <v>2</v>
      </c>
      <c r="C12" s="10" t="s">
        <v>1678</v>
      </c>
      <c r="D12" s="10" t="s">
        <v>1679</v>
      </c>
      <c r="E12" s="10" t="s">
        <v>1682</v>
      </c>
      <c r="F12" t="s">
        <v>499</v>
      </c>
      <c r="G12" s="4">
        <v>1262</v>
      </c>
      <c r="H12" s="4">
        <v>67677</v>
      </c>
      <c r="I12" s="4"/>
      <c r="J12" s="4">
        <f t="shared" si="0"/>
        <v>68939</v>
      </c>
      <c r="K12" t="s">
        <v>1660</v>
      </c>
      <c r="L12" t="s">
        <v>1659</v>
      </c>
      <c r="M12" t="s">
        <v>998</v>
      </c>
      <c r="N12" t="s">
        <v>998</v>
      </c>
      <c r="O12" t="s">
        <v>1132</v>
      </c>
      <c r="P12" t="str">
        <f>IFERROR(VLOOKUP(F12,Sheet1!$A$2:$B$54,2,FALSE),"")</f>
        <v/>
      </c>
    </row>
    <row r="13" spans="1:16" x14ac:dyDescent="0.2">
      <c r="A13" s="1">
        <v>2017</v>
      </c>
      <c r="B13" t="s">
        <v>2</v>
      </c>
      <c r="C13" s="10" t="s">
        <v>1678</v>
      </c>
      <c r="D13" s="10" t="s">
        <v>1679</v>
      </c>
      <c r="E13" s="10" t="s">
        <v>1682</v>
      </c>
      <c r="F13" t="s">
        <v>499</v>
      </c>
      <c r="G13" s="4">
        <v>1757</v>
      </c>
      <c r="H13" s="4">
        <v>68763</v>
      </c>
      <c r="I13" s="4"/>
      <c r="J13" s="4">
        <f t="shared" si="0"/>
        <v>70520</v>
      </c>
      <c r="K13" t="s">
        <v>1660</v>
      </c>
      <c r="L13" t="s">
        <v>1659</v>
      </c>
      <c r="M13" t="s">
        <v>998</v>
      </c>
      <c r="N13" t="s">
        <v>998</v>
      </c>
      <c r="O13" t="s">
        <v>1132</v>
      </c>
      <c r="P13" t="str">
        <f>IFERROR(VLOOKUP(F13,Sheet1!$A$2:$B$54,2,FALSE),"")</f>
        <v/>
      </c>
    </row>
    <row r="14" spans="1:16" x14ac:dyDescent="0.2">
      <c r="A14" s="1">
        <v>2018</v>
      </c>
      <c r="B14" t="s">
        <v>2</v>
      </c>
      <c r="C14" s="10" t="s">
        <v>1678</v>
      </c>
      <c r="D14" s="10" t="s">
        <v>1679</v>
      </c>
      <c r="E14" s="10" t="s">
        <v>1682</v>
      </c>
      <c r="F14" t="s">
        <v>499</v>
      </c>
      <c r="G14" s="4">
        <v>1114</v>
      </c>
      <c r="H14" s="4">
        <v>76000</v>
      </c>
      <c r="I14" s="4"/>
      <c r="J14" s="4">
        <f t="shared" si="0"/>
        <v>77114</v>
      </c>
      <c r="K14" t="s">
        <v>1660</v>
      </c>
      <c r="L14" t="s">
        <v>1659</v>
      </c>
      <c r="M14" t="s">
        <v>998</v>
      </c>
      <c r="N14" t="s">
        <v>998</v>
      </c>
      <c r="O14" t="s">
        <v>1132</v>
      </c>
      <c r="P14" t="str">
        <f>IFERROR(VLOOKUP(F14,Sheet1!$A$2:$B$54,2,FALSE),"")</f>
        <v/>
      </c>
    </row>
    <row r="15" spans="1:16" x14ac:dyDescent="0.2">
      <c r="A15" s="1">
        <v>2019</v>
      </c>
      <c r="B15" t="s">
        <v>2</v>
      </c>
      <c r="C15" s="10" t="s">
        <v>1678</v>
      </c>
      <c r="D15" s="10" t="s">
        <v>1679</v>
      </c>
      <c r="E15" s="10" t="s">
        <v>1682</v>
      </c>
      <c r="F15" t="s">
        <v>499</v>
      </c>
      <c r="G15" s="4">
        <v>3160</v>
      </c>
      <c r="H15" s="4">
        <v>70695</v>
      </c>
      <c r="I15" s="4"/>
      <c r="J15" s="4">
        <f t="shared" si="0"/>
        <v>73855</v>
      </c>
      <c r="K15" t="s">
        <v>1660</v>
      </c>
      <c r="L15" t="s">
        <v>1659</v>
      </c>
      <c r="M15" t="s">
        <v>998</v>
      </c>
      <c r="N15" t="s">
        <v>998</v>
      </c>
      <c r="O15" t="s">
        <v>1132</v>
      </c>
      <c r="P15" t="str">
        <f>IFERROR(VLOOKUP(F15,Sheet1!$A$2:$B$54,2,FALSE),"")</f>
        <v/>
      </c>
    </row>
    <row r="16" spans="1:16" x14ac:dyDescent="0.2">
      <c r="A16" s="1">
        <v>2020</v>
      </c>
      <c r="B16" t="s">
        <v>2</v>
      </c>
      <c r="C16" s="10" t="s">
        <v>1678</v>
      </c>
      <c r="D16" s="10" t="s">
        <v>1679</v>
      </c>
      <c r="E16" s="10" t="s">
        <v>1682</v>
      </c>
      <c r="F16" t="s">
        <v>499</v>
      </c>
      <c r="G16" s="4">
        <v>10558</v>
      </c>
      <c r="H16" s="4">
        <v>85052</v>
      </c>
      <c r="I16" s="4"/>
      <c r="J16" s="4">
        <f t="shared" si="0"/>
        <v>95610</v>
      </c>
      <c r="K16" t="s">
        <v>1660</v>
      </c>
      <c r="L16" t="s">
        <v>1659</v>
      </c>
      <c r="M16" t="s">
        <v>998</v>
      </c>
      <c r="N16" t="s">
        <v>998</v>
      </c>
      <c r="O16" t="s">
        <v>1132</v>
      </c>
      <c r="P16" t="str">
        <f>IFERROR(VLOOKUP(F16,Sheet1!$A$2:$B$54,2,FALSE),"")</f>
        <v/>
      </c>
    </row>
    <row r="17" spans="1:16" x14ac:dyDescent="0.2">
      <c r="A17" s="1">
        <v>2021</v>
      </c>
      <c r="B17" t="s">
        <v>2</v>
      </c>
      <c r="C17" s="10" t="s">
        <v>1678</v>
      </c>
      <c r="D17" s="10" t="s">
        <v>1679</v>
      </c>
      <c r="E17" s="10" t="s">
        <v>1682</v>
      </c>
      <c r="F17" t="s">
        <v>499</v>
      </c>
      <c r="G17" s="4">
        <v>6993</v>
      </c>
      <c r="H17" s="4">
        <v>74751</v>
      </c>
      <c r="I17" s="4"/>
      <c r="J17" s="4">
        <f t="shared" si="0"/>
        <v>81744</v>
      </c>
      <c r="K17" t="s">
        <v>1660</v>
      </c>
      <c r="L17" t="s">
        <v>1659</v>
      </c>
      <c r="M17" t="s">
        <v>499</v>
      </c>
      <c r="N17" t="s">
        <v>499</v>
      </c>
      <c r="O17" t="s">
        <v>1132</v>
      </c>
      <c r="P17" t="str">
        <f>IFERROR(VLOOKUP(F17,Sheet1!$A$2:$B$54,2,FALSE),"")</f>
        <v/>
      </c>
    </row>
    <row r="18" spans="1:16" x14ac:dyDescent="0.2">
      <c r="A18" s="1">
        <v>2022</v>
      </c>
      <c r="B18" t="s">
        <v>2</v>
      </c>
      <c r="C18" s="10" t="s">
        <v>1678</v>
      </c>
      <c r="D18" s="10" t="s">
        <v>1679</v>
      </c>
      <c r="E18" s="10" t="s">
        <v>1682</v>
      </c>
      <c r="F18" t="s">
        <v>499</v>
      </c>
      <c r="G18" s="4">
        <v>6755</v>
      </c>
      <c r="H18" s="4">
        <v>76869</v>
      </c>
      <c r="I18" s="4"/>
      <c r="J18" s="4">
        <f t="shared" si="0"/>
        <v>83624</v>
      </c>
      <c r="K18" t="s">
        <v>1660</v>
      </c>
      <c r="L18" t="s">
        <v>1659</v>
      </c>
      <c r="M18" t="s">
        <v>499</v>
      </c>
      <c r="N18" t="s">
        <v>499</v>
      </c>
      <c r="O18" t="s">
        <v>1132</v>
      </c>
      <c r="P18" t="str">
        <f>IFERROR(VLOOKUP(F18,Sheet1!$A$2:$B$54,2,FALSE),"")</f>
        <v/>
      </c>
    </row>
    <row r="19" spans="1:16" x14ac:dyDescent="0.2">
      <c r="A19" s="1">
        <v>2023</v>
      </c>
      <c r="B19" t="s">
        <v>2</v>
      </c>
      <c r="C19" s="10" t="s">
        <v>1678</v>
      </c>
      <c r="D19" s="10" t="s">
        <v>1679</v>
      </c>
      <c r="E19" s="10" t="s">
        <v>1682</v>
      </c>
      <c r="F19" t="s">
        <v>499</v>
      </c>
      <c r="G19" s="4">
        <v>6356</v>
      </c>
      <c r="H19" s="4">
        <v>85192</v>
      </c>
      <c r="I19" s="4"/>
      <c r="J19" s="4">
        <f t="shared" si="0"/>
        <v>91548</v>
      </c>
      <c r="K19" t="s">
        <v>1660</v>
      </c>
      <c r="L19" t="s">
        <v>1659</v>
      </c>
      <c r="M19" t="s">
        <v>499</v>
      </c>
      <c r="N19" t="s">
        <v>499</v>
      </c>
      <c r="O19" t="s">
        <v>1132</v>
      </c>
      <c r="P19" t="str">
        <f>IFERROR(VLOOKUP(F19,Sheet1!$A$2:$B$54,2,FALSE),"")</f>
        <v/>
      </c>
    </row>
    <row r="20" spans="1:16" x14ac:dyDescent="0.2">
      <c r="A20" s="1">
        <v>2015</v>
      </c>
      <c r="B20" t="s">
        <v>3</v>
      </c>
      <c r="C20" s="10" t="s">
        <v>1678</v>
      </c>
      <c r="D20" s="10" t="s">
        <v>1679</v>
      </c>
      <c r="E20" s="10" t="s">
        <v>1682</v>
      </c>
      <c r="F20" t="s">
        <v>500</v>
      </c>
      <c r="G20" s="4">
        <v>9435</v>
      </c>
      <c r="H20" s="4"/>
      <c r="I20" s="4"/>
      <c r="J20" s="4">
        <f t="shared" si="0"/>
        <v>9435</v>
      </c>
      <c r="K20" t="s">
        <v>1659</v>
      </c>
      <c r="L20" t="s">
        <v>1659</v>
      </c>
      <c r="M20" t="s">
        <v>999</v>
      </c>
      <c r="N20" t="s">
        <v>1132</v>
      </c>
      <c r="O20" t="s">
        <v>1132</v>
      </c>
      <c r="P20" t="str">
        <f>IFERROR(VLOOKUP(F20,Sheet1!$A$2:$B$54,2,FALSE),"")</f>
        <v/>
      </c>
    </row>
    <row r="21" spans="1:16" x14ac:dyDescent="0.2">
      <c r="A21" s="1">
        <v>2016</v>
      </c>
      <c r="B21" t="s">
        <v>3</v>
      </c>
      <c r="C21" s="10" t="s">
        <v>1678</v>
      </c>
      <c r="D21" s="10" t="s">
        <v>1679</v>
      </c>
      <c r="E21" s="10" t="s">
        <v>1682</v>
      </c>
      <c r="F21" t="s">
        <v>500</v>
      </c>
      <c r="G21" s="4">
        <v>11480</v>
      </c>
      <c r="H21" s="4"/>
      <c r="I21" s="4"/>
      <c r="J21" s="4">
        <f t="shared" si="0"/>
        <v>11480</v>
      </c>
      <c r="K21" t="s">
        <v>1659</v>
      </c>
      <c r="L21" t="s">
        <v>1659</v>
      </c>
      <c r="M21" t="s">
        <v>999</v>
      </c>
      <c r="N21" t="s">
        <v>1132</v>
      </c>
      <c r="O21" t="s">
        <v>1132</v>
      </c>
      <c r="P21" t="str">
        <f>IFERROR(VLOOKUP(F21,Sheet1!$A$2:$B$54,2,FALSE),"")</f>
        <v/>
      </c>
    </row>
    <row r="22" spans="1:16" x14ac:dyDescent="0.2">
      <c r="A22" s="1">
        <v>2017</v>
      </c>
      <c r="B22" t="s">
        <v>3</v>
      </c>
      <c r="C22" s="10" t="s">
        <v>1678</v>
      </c>
      <c r="D22" s="10" t="s">
        <v>1679</v>
      </c>
      <c r="E22" s="10" t="s">
        <v>1682</v>
      </c>
      <c r="F22" t="s">
        <v>500</v>
      </c>
      <c r="G22" s="4">
        <v>17813</v>
      </c>
      <c r="H22" s="4"/>
      <c r="I22" s="4"/>
      <c r="J22" s="4">
        <f t="shared" si="0"/>
        <v>17813</v>
      </c>
      <c r="K22" t="s">
        <v>1659</v>
      </c>
      <c r="L22" t="s">
        <v>1659</v>
      </c>
      <c r="M22" t="s">
        <v>999</v>
      </c>
      <c r="N22" t="s">
        <v>1132</v>
      </c>
      <c r="O22" t="s">
        <v>1132</v>
      </c>
      <c r="P22" t="str">
        <f>IFERROR(VLOOKUP(F22,Sheet1!$A$2:$B$54,2,FALSE),"")</f>
        <v/>
      </c>
    </row>
    <row r="23" spans="1:16" x14ac:dyDescent="0.2">
      <c r="A23" s="1">
        <v>2018</v>
      </c>
      <c r="B23" t="s">
        <v>3</v>
      </c>
      <c r="C23" s="10" t="s">
        <v>1678</v>
      </c>
      <c r="D23" s="10" t="s">
        <v>1679</v>
      </c>
      <c r="E23" s="10" t="s">
        <v>1682</v>
      </c>
      <c r="F23" t="s">
        <v>500</v>
      </c>
      <c r="G23" s="4">
        <v>19831</v>
      </c>
      <c r="H23" s="4"/>
      <c r="I23" s="4"/>
      <c r="J23" s="4">
        <f t="shared" si="0"/>
        <v>19831</v>
      </c>
      <c r="K23" t="s">
        <v>1659</v>
      </c>
      <c r="L23" t="s">
        <v>1659</v>
      </c>
      <c r="M23" t="s">
        <v>999</v>
      </c>
      <c r="N23" t="s">
        <v>1132</v>
      </c>
      <c r="O23" t="s">
        <v>1132</v>
      </c>
      <c r="P23" t="str">
        <f>IFERROR(VLOOKUP(F23,Sheet1!$A$2:$B$54,2,FALSE),"")</f>
        <v/>
      </c>
    </row>
    <row r="24" spans="1:16" x14ac:dyDescent="0.2">
      <c r="A24" s="1">
        <v>2019</v>
      </c>
      <c r="B24" t="s">
        <v>3</v>
      </c>
      <c r="C24" s="10" t="s">
        <v>1678</v>
      </c>
      <c r="D24" s="10" t="s">
        <v>1679</v>
      </c>
      <c r="E24" s="10" t="s">
        <v>1682</v>
      </c>
      <c r="F24" t="s">
        <v>500</v>
      </c>
      <c r="G24" s="4">
        <v>24810</v>
      </c>
      <c r="H24" s="4"/>
      <c r="I24" s="4"/>
      <c r="J24" s="4">
        <f t="shared" si="0"/>
        <v>24810</v>
      </c>
      <c r="K24" t="s">
        <v>1659</v>
      </c>
      <c r="L24" t="s">
        <v>1659</v>
      </c>
      <c r="M24" t="s">
        <v>999</v>
      </c>
      <c r="N24" t="s">
        <v>1132</v>
      </c>
      <c r="O24" t="s">
        <v>1132</v>
      </c>
      <c r="P24" t="str">
        <f>IFERROR(VLOOKUP(F24,Sheet1!$A$2:$B$54,2,FALSE),"")</f>
        <v/>
      </c>
    </row>
    <row r="25" spans="1:16" x14ac:dyDescent="0.2">
      <c r="A25" s="1">
        <v>2020</v>
      </c>
      <c r="B25" t="s">
        <v>3</v>
      </c>
      <c r="C25" s="10" t="s">
        <v>1678</v>
      </c>
      <c r="D25" s="10" t="s">
        <v>1679</v>
      </c>
      <c r="E25" s="10" t="s">
        <v>1682</v>
      </c>
      <c r="F25" t="s">
        <v>500</v>
      </c>
      <c r="G25" s="4">
        <v>26242</v>
      </c>
      <c r="H25" s="4"/>
      <c r="I25" s="4"/>
      <c r="J25" s="4">
        <f t="shared" si="0"/>
        <v>26242</v>
      </c>
      <c r="K25" t="s">
        <v>1659</v>
      </c>
      <c r="L25" t="s">
        <v>1659</v>
      </c>
      <c r="M25" t="s">
        <v>999</v>
      </c>
      <c r="N25" t="s">
        <v>1132</v>
      </c>
      <c r="O25" t="s">
        <v>1132</v>
      </c>
      <c r="P25" t="str">
        <f>IFERROR(VLOOKUP(F25,Sheet1!$A$2:$B$54,2,FALSE),"")</f>
        <v/>
      </c>
    </row>
    <row r="26" spans="1:16" x14ac:dyDescent="0.2">
      <c r="A26" s="1">
        <v>2021</v>
      </c>
      <c r="B26" t="s">
        <v>3</v>
      </c>
      <c r="C26" s="10" t="s">
        <v>1678</v>
      </c>
      <c r="D26" s="10" t="s">
        <v>1679</v>
      </c>
      <c r="E26" s="10" t="s">
        <v>1682</v>
      </c>
      <c r="F26" t="s">
        <v>500</v>
      </c>
      <c r="G26" s="4">
        <v>30395</v>
      </c>
      <c r="H26" s="4"/>
      <c r="I26" s="4"/>
      <c r="J26" s="4">
        <f t="shared" si="0"/>
        <v>30395</v>
      </c>
      <c r="K26" t="s">
        <v>1659</v>
      </c>
      <c r="L26" t="s">
        <v>1659</v>
      </c>
      <c r="M26" t="s">
        <v>500</v>
      </c>
      <c r="N26" t="s">
        <v>1132</v>
      </c>
      <c r="O26" t="s">
        <v>1132</v>
      </c>
      <c r="P26" t="str">
        <f>IFERROR(VLOOKUP(F26,Sheet1!$A$2:$B$54,2,FALSE),"")</f>
        <v/>
      </c>
    </row>
    <row r="27" spans="1:16" x14ac:dyDescent="0.2">
      <c r="A27" s="1">
        <v>2022</v>
      </c>
      <c r="B27" t="s">
        <v>3</v>
      </c>
      <c r="C27" s="10" t="s">
        <v>1678</v>
      </c>
      <c r="D27" s="10" t="s">
        <v>1679</v>
      </c>
      <c r="E27" s="10" t="s">
        <v>1682</v>
      </c>
      <c r="F27" t="s">
        <v>500</v>
      </c>
      <c r="G27" s="4">
        <v>34622</v>
      </c>
      <c r="H27" s="4"/>
      <c r="I27" s="4"/>
      <c r="J27" s="4">
        <f t="shared" si="0"/>
        <v>34622</v>
      </c>
      <c r="K27" t="s">
        <v>1659</v>
      </c>
      <c r="L27" t="s">
        <v>1659</v>
      </c>
      <c r="M27" t="s">
        <v>500</v>
      </c>
      <c r="N27" t="s">
        <v>1132</v>
      </c>
      <c r="O27" t="s">
        <v>1132</v>
      </c>
      <c r="P27" t="str">
        <f>IFERROR(VLOOKUP(F27,Sheet1!$A$2:$B$54,2,FALSE),"")</f>
        <v/>
      </c>
    </row>
    <row r="28" spans="1:16" x14ac:dyDescent="0.2">
      <c r="A28" s="1">
        <v>2023</v>
      </c>
      <c r="B28" t="s">
        <v>3</v>
      </c>
      <c r="C28" s="10" t="s">
        <v>1678</v>
      </c>
      <c r="D28" s="10" t="s">
        <v>1679</v>
      </c>
      <c r="E28" s="10" t="s">
        <v>1682</v>
      </c>
      <c r="F28" t="s">
        <v>500</v>
      </c>
      <c r="G28" s="4">
        <v>42931</v>
      </c>
      <c r="H28" s="4"/>
      <c r="I28" s="4"/>
      <c r="J28" s="4">
        <f t="shared" si="0"/>
        <v>42931</v>
      </c>
      <c r="K28" t="s">
        <v>1659</v>
      </c>
      <c r="L28" t="s">
        <v>1659</v>
      </c>
      <c r="M28" t="s">
        <v>500</v>
      </c>
      <c r="N28" t="s">
        <v>1132</v>
      </c>
      <c r="O28" t="s">
        <v>1132</v>
      </c>
      <c r="P28" t="str">
        <f>IFERROR(VLOOKUP(F28,Sheet1!$A$2:$B$54,2,FALSE),"")</f>
        <v/>
      </c>
    </row>
    <row r="29" spans="1:16" x14ac:dyDescent="0.2">
      <c r="A29" s="1">
        <v>2015</v>
      </c>
      <c r="B29" t="s">
        <v>4</v>
      </c>
      <c r="C29" s="10" t="s">
        <v>1678</v>
      </c>
      <c r="D29" s="10" t="s">
        <v>1679</v>
      </c>
      <c r="E29" s="10" t="s">
        <v>1682</v>
      </c>
      <c r="F29" t="s">
        <v>501</v>
      </c>
      <c r="G29" s="4">
        <v>3021679</v>
      </c>
      <c r="H29" s="4">
        <v>45090758</v>
      </c>
      <c r="I29" s="4">
        <v>213001</v>
      </c>
      <c r="J29" s="4">
        <f>SUM(G29:I29)</f>
        <v>48325438</v>
      </c>
      <c r="K29" t="s">
        <v>1660</v>
      </c>
      <c r="L29" t="s">
        <v>1660</v>
      </c>
      <c r="M29" t="s">
        <v>1000</v>
      </c>
      <c r="N29" t="s">
        <v>1000</v>
      </c>
      <c r="O29" t="s">
        <v>1000</v>
      </c>
      <c r="P29">
        <f>IFERROR(VLOOKUP(F29,Sheet1!$A$2:$B$54,2,FALSE),"")</f>
        <v>4900030</v>
      </c>
    </row>
    <row r="30" spans="1:16" x14ac:dyDescent="0.2">
      <c r="A30" s="1">
        <v>2016</v>
      </c>
      <c r="B30" t="s">
        <v>4</v>
      </c>
      <c r="C30" s="10" t="s">
        <v>1678</v>
      </c>
      <c r="D30" s="10" t="s">
        <v>1679</v>
      </c>
      <c r="E30" s="10" t="s">
        <v>1682</v>
      </c>
      <c r="F30" t="s">
        <v>501</v>
      </c>
      <c r="G30" s="4">
        <v>3768441</v>
      </c>
      <c r="H30" s="4">
        <v>47060547</v>
      </c>
      <c r="I30" s="4">
        <v>177633</v>
      </c>
      <c r="J30" s="4">
        <f>SUM(G30:I30)</f>
        <v>51006621</v>
      </c>
      <c r="K30" t="s">
        <v>1660</v>
      </c>
      <c r="L30" t="s">
        <v>1660</v>
      </c>
      <c r="M30" t="s">
        <v>1000</v>
      </c>
      <c r="N30" t="s">
        <v>1000</v>
      </c>
      <c r="O30" t="s">
        <v>1000</v>
      </c>
      <c r="P30">
        <f>IFERROR(VLOOKUP(F30,Sheet1!$A$2:$B$54,2,FALSE),"")</f>
        <v>4900030</v>
      </c>
    </row>
    <row r="31" spans="1:16" x14ac:dyDescent="0.2">
      <c r="A31" s="1">
        <v>2017</v>
      </c>
      <c r="B31" t="s">
        <v>4</v>
      </c>
      <c r="C31" s="10" t="s">
        <v>1678</v>
      </c>
      <c r="D31" s="10" t="s">
        <v>1679</v>
      </c>
      <c r="E31" s="10" t="s">
        <v>1682</v>
      </c>
      <c r="F31" t="s">
        <v>501</v>
      </c>
      <c r="G31" s="4">
        <v>4592044</v>
      </c>
      <c r="H31" s="4">
        <v>48766784</v>
      </c>
      <c r="I31" s="4">
        <v>150886</v>
      </c>
      <c r="J31" s="4">
        <f>SUM(G31:I31)</f>
        <v>53509714</v>
      </c>
      <c r="K31" t="s">
        <v>1660</v>
      </c>
      <c r="L31" t="s">
        <v>1660</v>
      </c>
      <c r="M31" t="s">
        <v>1000</v>
      </c>
      <c r="N31" t="s">
        <v>1000</v>
      </c>
      <c r="O31" t="s">
        <v>1000</v>
      </c>
      <c r="P31">
        <f>IFERROR(VLOOKUP(F31,Sheet1!$A$2:$B$54,2,FALSE),"")</f>
        <v>4900030</v>
      </c>
    </row>
    <row r="32" spans="1:16" x14ac:dyDescent="0.2">
      <c r="A32" s="1">
        <v>2018</v>
      </c>
      <c r="B32" t="s">
        <v>4</v>
      </c>
      <c r="C32" s="10" t="s">
        <v>1678</v>
      </c>
      <c r="D32" s="10" t="s">
        <v>1679</v>
      </c>
      <c r="E32" s="10" t="s">
        <v>1682</v>
      </c>
      <c r="F32" t="s">
        <v>501</v>
      </c>
      <c r="G32" s="4">
        <v>5685454</v>
      </c>
      <c r="H32" s="4">
        <v>50640824</v>
      </c>
      <c r="I32" s="4">
        <v>117064</v>
      </c>
      <c r="J32" s="4">
        <f>SUM(G32:I32)</f>
        <v>56443342</v>
      </c>
      <c r="K32" t="s">
        <v>1660</v>
      </c>
      <c r="L32" t="s">
        <v>1660</v>
      </c>
      <c r="M32" t="s">
        <v>1000</v>
      </c>
      <c r="N32" t="s">
        <v>1000</v>
      </c>
      <c r="O32" t="s">
        <v>1000</v>
      </c>
      <c r="P32">
        <f>IFERROR(VLOOKUP(F32,Sheet1!$A$2:$B$54,2,FALSE),"")</f>
        <v>4900030</v>
      </c>
    </row>
    <row r="33" spans="1:16" x14ac:dyDescent="0.2">
      <c r="A33" s="1">
        <v>2019</v>
      </c>
      <c r="B33" t="s">
        <v>4</v>
      </c>
      <c r="C33" s="10" t="s">
        <v>1678</v>
      </c>
      <c r="D33" s="10" t="s">
        <v>1679</v>
      </c>
      <c r="E33" s="10" t="s">
        <v>1682</v>
      </c>
      <c r="F33" t="s">
        <v>501</v>
      </c>
      <c r="G33" s="4">
        <v>7129418</v>
      </c>
      <c r="H33" s="4">
        <v>53982408</v>
      </c>
      <c r="I33" s="4">
        <v>109839</v>
      </c>
      <c r="J33" s="4">
        <f>SUM(G33:I33)</f>
        <v>61221665</v>
      </c>
      <c r="K33" t="s">
        <v>1660</v>
      </c>
      <c r="L33" t="s">
        <v>1660</v>
      </c>
      <c r="M33" t="s">
        <v>1000</v>
      </c>
      <c r="N33" t="s">
        <v>1000</v>
      </c>
      <c r="O33" t="s">
        <v>1000</v>
      </c>
      <c r="P33">
        <f>IFERROR(VLOOKUP(F33,Sheet1!$A$2:$B$54,2,FALSE),"")</f>
        <v>4900030</v>
      </c>
    </row>
    <row r="34" spans="1:16" x14ac:dyDescent="0.2">
      <c r="A34" s="1">
        <v>2020</v>
      </c>
      <c r="B34" t="s">
        <v>4</v>
      </c>
      <c r="C34" s="10" t="s">
        <v>1678</v>
      </c>
      <c r="D34" s="10" t="s">
        <v>1679</v>
      </c>
      <c r="E34" s="10" t="s">
        <v>1682</v>
      </c>
      <c r="F34" t="s">
        <v>501</v>
      </c>
      <c r="G34" s="4">
        <v>8418551</v>
      </c>
      <c r="H34" s="4">
        <v>57172626</v>
      </c>
      <c r="I34" s="4">
        <v>99317</v>
      </c>
      <c r="J34" s="4">
        <f>SUM(G34:I34)</f>
        <v>65690494</v>
      </c>
      <c r="K34" t="s">
        <v>1660</v>
      </c>
      <c r="L34" t="s">
        <v>1660</v>
      </c>
      <c r="M34" t="s">
        <v>1000</v>
      </c>
      <c r="N34" t="s">
        <v>1000</v>
      </c>
      <c r="O34" t="s">
        <v>1000</v>
      </c>
      <c r="P34">
        <f>IFERROR(VLOOKUP(F34,Sheet1!$A$2:$B$54,2,FALSE),"")</f>
        <v>4900030</v>
      </c>
    </row>
    <row r="35" spans="1:16" x14ac:dyDescent="0.2">
      <c r="A35" s="1">
        <v>2021</v>
      </c>
      <c r="B35" t="s">
        <v>4</v>
      </c>
      <c r="C35" s="10" t="s">
        <v>1678</v>
      </c>
      <c r="D35" s="10" t="s">
        <v>1679</v>
      </c>
      <c r="E35" s="10" t="s">
        <v>1682</v>
      </c>
      <c r="F35" t="s">
        <v>501</v>
      </c>
      <c r="G35" s="4">
        <v>10175615</v>
      </c>
      <c r="H35" s="4">
        <v>61600619</v>
      </c>
      <c r="I35" s="4">
        <v>84846</v>
      </c>
      <c r="J35" s="4">
        <f>SUM(G35:I35)</f>
        <v>71861080</v>
      </c>
      <c r="K35" t="s">
        <v>1660</v>
      </c>
      <c r="L35" t="s">
        <v>1660</v>
      </c>
      <c r="M35" t="s">
        <v>501</v>
      </c>
      <c r="N35" t="s">
        <v>501</v>
      </c>
      <c r="O35" t="s">
        <v>501</v>
      </c>
      <c r="P35">
        <f>IFERROR(VLOOKUP(F35,Sheet1!$A$2:$B$54,2,FALSE),"")</f>
        <v>4900030</v>
      </c>
    </row>
    <row r="36" spans="1:16" x14ac:dyDescent="0.2">
      <c r="A36" s="1">
        <v>2022</v>
      </c>
      <c r="B36" t="s">
        <v>4</v>
      </c>
      <c r="C36" s="10" t="s">
        <v>1678</v>
      </c>
      <c r="D36" s="10" t="s">
        <v>1679</v>
      </c>
      <c r="E36" s="10" t="s">
        <v>1682</v>
      </c>
      <c r="F36" t="s">
        <v>501</v>
      </c>
      <c r="G36" s="4">
        <v>12534346</v>
      </c>
      <c r="H36" s="4">
        <v>65773348</v>
      </c>
      <c r="I36" s="4">
        <v>54354</v>
      </c>
      <c r="J36" s="4">
        <f>SUM(G36:I36)</f>
        <v>78362048</v>
      </c>
      <c r="K36" t="s">
        <v>1660</v>
      </c>
      <c r="L36" t="s">
        <v>1660</v>
      </c>
      <c r="M36" t="s">
        <v>501</v>
      </c>
      <c r="N36" t="s">
        <v>501</v>
      </c>
      <c r="O36" t="s">
        <v>501</v>
      </c>
      <c r="P36">
        <f>IFERROR(VLOOKUP(F36,Sheet1!$A$2:$B$54,2,FALSE),"")</f>
        <v>4900030</v>
      </c>
    </row>
    <row r="37" spans="1:16" x14ac:dyDescent="0.2">
      <c r="A37" s="1">
        <v>2023</v>
      </c>
      <c r="B37" t="s">
        <v>4</v>
      </c>
      <c r="C37" s="10" t="s">
        <v>1678</v>
      </c>
      <c r="D37" s="10" t="s">
        <v>1679</v>
      </c>
      <c r="E37" s="10" t="s">
        <v>1682</v>
      </c>
      <c r="F37" t="s">
        <v>501</v>
      </c>
      <c r="G37" s="4">
        <v>15556618</v>
      </c>
      <c r="H37" s="4">
        <v>72071075</v>
      </c>
      <c r="I37" s="4">
        <v>37508</v>
      </c>
      <c r="J37" s="4">
        <f>SUM(G37:I37)</f>
        <v>87665201</v>
      </c>
      <c r="K37" t="s">
        <v>1660</v>
      </c>
      <c r="L37" t="s">
        <v>1660</v>
      </c>
      <c r="M37" t="s">
        <v>501</v>
      </c>
      <c r="N37" t="s">
        <v>501</v>
      </c>
      <c r="O37" t="s">
        <v>501</v>
      </c>
      <c r="P37">
        <f>IFERROR(VLOOKUP(F37,Sheet1!$A$2:$B$54,2,FALSE),"")</f>
        <v>4900030</v>
      </c>
    </row>
    <row r="38" spans="1:16" x14ac:dyDescent="0.2">
      <c r="A38" s="1">
        <v>2015</v>
      </c>
      <c r="B38" t="s">
        <v>5</v>
      </c>
      <c r="C38" s="10" t="s">
        <v>1678</v>
      </c>
      <c r="D38" s="10" t="s">
        <v>1679</v>
      </c>
      <c r="E38" s="10" t="s">
        <v>1682</v>
      </c>
      <c r="F38" t="s">
        <v>502</v>
      </c>
      <c r="G38" s="4">
        <v>2785</v>
      </c>
      <c r="H38" s="4">
        <v>20372</v>
      </c>
      <c r="I38" s="4"/>
      <c r="J38" s="4">
        <f>SUM(G38:I38)</f>
        <v>23157</v>
      </c>
      <c r="K38" t="s">
        <v>1660</v>
      </c>
      <c r="L38" t="s">
        <v>1659</v>
      </c>
      <c r="M38" t="s">
        <v>1001</v>
      </c>
      <c r="N38" t="s">
        <v>1001</v>
      </c>
      <c r="O38" t="s">
        <v>1132</v>
      </c>
      <c r="P38" t="str">
        <f>IFERROR(VLOOKUP(F38,Sheet1!$A$2:$B$54,2,FALSE),"")</f>
        <v/>
      </c>
    </row>
    <row r="39" spans="1:16" x14ac:dyDescent="0.2">
      <c r="A39" s="1">
        <v>2016</v>
      </c>
      <c r="B39" t="s">
        <v>5</v>
      </c>
      <c r="C39" s="10" t="s">
        <v>1678</v>
      </c>
      <c r="D39" s="10" t="s">
        <v>1679</v>
      </c>
      <c r="E39" s="10" t="s">
        <v>1682</v>
      </c>
      <c r="F39" t="s">
        <v>502</v>
      </c>
      <c r="G39" s="4">
        <v>0</v>
      </c>
      <c r="H39" s="4">
        <v>19785</v>
      </c>
      <c r="I39" s="4"/>
      <c r="J39" s="4">
        <f>SUM(G39:I39)</f>
        <v>19785</v>
      </c>
      <c r="K39" t="s">
        <v>1660</v>
      </c>
      <c r="L39" t="s">
        <v>1659</v>
      </c>
      <c r="M39" t="s">
        <v>1001</v>
      </c>
      <c r="N39" t="s">
        <v>1001</v>
      </c>
      <c r="O39" t="s">
        <v>1132</v>
      </c>
      <c r="P39" t="str">
        <f>IFERROR(VLOOKUP(F39,Sheet1!$A$2:$B$54,2,FALSE),"")</f>
        <v/>
      </c>
    </row>
    <row r="40" spans="1:16" x14ac:dyDescent="0.2">
      <c r="A40" s="1">
        <v>2017</v>
      </c>
      <c r="B40" t="s">
        <v>5</v>
      </c>
      <c r="C40" s="10" t="s">
        <v>1678</v>
      </c>
      <c r="D40" s="10" t="s">
        <v>1679</v>
      </c>
      <c r="E40" s="10" t="s">
        <v>1682</v>
      </c>
      <c r="F40" t="s">
        <v>502</v>
      </c>
      <c r="G40" s="4">
        <v>0</v>
      </c>
      <c r="H40" s="4">
        <v>17987</v>
      </c>
      <c r="I40" s="4"/>
      <c r="J40" s="4">
        <f>SUM(G40:I40)</f>
        <v>17987</v>
      </c>
      <c r="K40" t="s">
        <v>1660</v>
      </c>
      <c r="L40" t="s">
        <v>1659</v>
      </c>
      <c r="M40" t="s">
        <v>1002</v>
      </c>
      <c r="N40" t="s">
        <v>1001</v>
      </c>
      <c r="O40" t="s">
        <v>1132</v>
      </c>
      <c r="P40" t="str">
        <f>IFERROR(VLOOKUP(F40,Sheet1!$A$2:$B$54,2,FALSE),"")</f>
        <v/>
      </c>
    </row>
    <row r="41" spans="1:16" x14ac:dyDescent="0.2">
      <c r="A41" s="1">
        <v>2018</v>
      </c>
      <c r="B41" t="s">
        <v>5</v>
      </c>
      <c r="C41" s="10" t="s">
        <v>1678</v>
      </c>
      <c r="D41" s="10" t="s">
        <v>1679</v>
      </c>
      <c r="E41" s="10" t="s">
        <v>1682</v>
      </c>
      <c r="F41" t="s">
        <v>502</v>
      </c>
      <c r="G41" s="4">
        <v>0</v>
      </c>
      <c r="H41" s="4">
        <v>22709</v>
      </c>
      <c r="I41" s="4"/>
      <c r="J41" s="4">
        <f>SUM(G41:I41)</f>
        <v>22709</v>
      </c>
      <c r="K41" t="s">
        <v>1660</v>
      </c>
      <c r="L41" t="s">
        <v>1659</v>
      </c>
      <c r="M41" t="s">
        <v>1001</v>
      </c>
      <c r="N41" t="s">
        <v>1001</v>
      </c>
      <c r="O41" t="s">
        <v>1132</v>
      </c>
      <c r="P41" t="str">
        <f>IFERROR(VLOOKUP(F41,Sheet1!$A$2:$B$54,2,FALSE),"")</f>
        <v/>
      </c>
    </row>
    <row r="42" spans="1:16" x14ac:dyDescent="0.2">
      <c r="A42" s="1">
        <v>2019</v>
      </c>
      <c r="B42" t="s">
        <v>5</v>
      </c>
      <c r="C42" s="10" t="s">
        <v>1678</v>
      </c>
      <c r="D42" s="10" t="s">
        <v>1679</v>
      </c>
      <c r="E42" s="10" t="s">
        <v>1682</v>
      </c>
      <c r="F42" t="s">
        <v>502</v>
      </c>
      <c r="G42" s="4">
        <v>0</v>
      </c>
      <c r="H42" s="4">
        <v>24742</v>
      </c>
      <c r="I42" s="4"/>
      <c r="J42" s="4">
        <f>SUM(G42:I42)</f>
        <v>24742</v>
      </c>
      <c r="K42" t="s">
        <v>1660</v>
      </c>
      <c r="L42" t="s">
        <v>1659</v>
      </c>
      <c r="M42" t="s">
        <v>1002</v>
      </c>
      <c r="N42" t="s">
        <v>1001</v>
      </c>
      <c r="O42" t="s">
        <v>1132</v>
      </c>
      <c r="P42" t="str">
        <f>IFERROR(VLOOKUP(F42,Sheet1!$A$2:$B$54,2,FALSE),"")</f>
        <v/>
      </c>
    </row>
    <row r="43" spans="1:16" x14ac:dyDescent="0.2">
      <c r="A43" s="1">
        <v>2020</v>
      </c>
      <c r="B43" t="s">
        <v>5</v>
      </c>
      <c r="C43" s="10" t="s">
        <v>1678</v>
      </c>
      <c r="D43" s="10" t="s">
        <v>1679</v>
      </c>
      <c r="E43" s="10" t="s">
        <v>1682</v>
      </c>
      <c r="F43" t="s">
        <v>502</v>
      </c>
      <c r="G43" s="4">
        <v>0</v>
      </c>
      <c r="H43" s="4">
        <v>27381</v>
      </c>
      <c r="I43" s="4"/>
      <c r="J43" s="4">
        <f>SUM(G43:I43)</f>
        <v>27381</v>
      </c>
      <c r="K43" t="s">
        <v>1660</v>
      </c>
      <c r="L43" t="s">
        <v>1659</v>
      </c>
      <c r="M43" t="s">
        <v>1002</v>
      </c>
      <c r="N43" t="s">
        <v>1001</v>
      </c>
      <c r="O43" t="s">
        <v>1132</v>
      </c>
      <c r="P43" t="str">
        <f>IFERROR(VLOOKUP(F43,Sheet1!$A$2:$B$54,2,FALSE),"")</f>
        <v/>
      </c>
    </row>
    <row r="44" spans="1:16" x14ac:dyDescent="0.2">
      <c r="A44" s="1">
        <v>2021</v>
      </c>
      <c r="B44" t="s">
        <v>5</v>
      </c>
      <c r="C44" s="10" t="s">
        <v>1678</v>
      </c>
      <c r="D44" s="10" t="s">
        <v>1679</v>
      </c>
      <c r="E44" s="10" t="s">
        <v>1682</v>
      </c>
      <c r="F44" t="s">
        <v>502</v>
      </c>
      <c r="G44" s="4">
        <v>0</v>
      </c>
      <c r="H44" s="4">
        <v>30106</v>
      </c>
      <c r="I44" s="4"/>
      <c r="J44" s="4">
        <f>SUM(G44:I44)</f>
        <v>30106</v>
      </c>
      <c r="K44" t="s">
        <v>1660</v>
      </c>
      <c r="L44" t="s">
        <v>1659</v>
      </c>
      <c r="M44" t="s">
        <v>502</v>
      </c>
      <c r="N44" t="s">
        <v>502</v>
      </c>
      <c r="O44" t="s">
        <v>1132</v>
      </c>
      <c r="P44" t="str">
        <f>IFERROR(VLOOKUP(F44,Sheet1!$A$2:$B$54,2,FALSE),"")</f>
        <v/>
      </c>
    </row>
    <row r="45" spans="1:16" x14ac:dyDescent="0.2">
      <c r="A45" s="1">
        <v>2022</v>
      </c>
      <c r="B45" t="s">
        <v>5</v>
      </c>
      <c r="C45" s="10" t="s">
        <v>1678</v>
      </c>
      <c r="D45" s="10" t="s">
        <v>1679</v>
      </c>
      <c r="E45" s="10" t="s">
        <v>1682</v>
      </c>
      <c r="F45" t="s">
        <v>502</v>
      </c>
      <c r="G45" s="4">
        <v>7187</v>
      </c>
      <c r="H45" s="4">
        <v>44528</v>
      </c>
      <c r="I45" s="4"/>
      <c r="J45" s="4">
        <f>SUM(G45:I45)</f>
        <v>51715</v>
      </c>
      <c r="K45" t="s">
        <v>1660</v>
      </c>
      <c r="L45" t="s">
        <v>1659</v>
      </c>
      <c r="M45" t="s">
        <v>502</v>
      </c>
      <c r="N45" t="s">
        <v>502</v>
      </c>
      <c r="O45" t="s">
        <v>1132</v>
      </c>
      <c r="P45" t="str">
        <f>IFERROR(VLOOKUP(F45,Sheet1!$A$2:$B$54,2,FALSE),"")</f>
        <v/>
      </c>
    </row>
    <row r="46" spans="1:16" x14ac:dyDescent="0.2">
      <c r="A46" s="1">
        <v>2023</v>
      </c>
      <c r="B46" t="s">
        <v>5</v>
      </c>
      <c r="C46" s="10" t="s">
        <v>1678</v>
      </c>
      <c r="D46" s="10" t="s">
        <v>1679</v>
      </c>
      <c r="E46" s="10" t="s">
        <v>1682</v>
      </c>
      <c r="F46" t="s">
        <v>502</v>
      </c>
      <c r="G46" s="4">
        <v>7896</v>
      </c>
      <c r="H46" s="4">
        <v>49211</v>
      </c>
      <c r="I46" s="4"/>
      <c r="J46" s="4">
        <f>SUM(G46:I46)</f>
        <v>57107</v>
      </c>
      <c r="K46" t="s">
        <v>1660</v>
      </c>
      <c r="L46" t="s">
        <v>1659</v>
      </c>
      <c r="M46" t="s">
        <v>502</v>
      </c>
      <c r="N46" t="s">
        <v>502</v>
      </c>
      <c r="O46" t="s">
        <v>1132</v>
      </c>
      <c r="P46" t="str">
        <f>IFERROR(VLOOKUP(F46,Sheet1!$A$2:$B$54,2,FALSE),"")</f>
        <v/>
      </c>
    </row>
    <row r="47" spans="1:16" x14ac:dyDescent="0.2">
      <c r="A47" s="1">
        <v>2015</v>
      </c>
      <c r="B47" t="s">
        <v>6</v>
      </c>
      <c r="C47" s="10" t="s">
        <v>1678</v>
      </c>
      <c r="D47" s="10" t="s">
        <v>1679</v>
      </c>
      <c r="E47" s="10" t="s">
        <v>1682</v>
      </c>
      <c r="F47" t="s">
        <v>503</v>
      </c>
      <c r="G47" s="4">
        <v>49007</v>
      </c>
      <c r="H47" s="4"/>
      <c r="I47" s="4"/>
      <c r="J47" s="4">
        <f>SUM(G47:I47)</f>
        <v>49007</v>
      </c>
      <c r="K47" t="s">
        <v>1659</v>
      </c>
      <c r="L47" t="s">
        <v>1659</v>
      </c>
      <c r="M47" t="s">
        <v>1003</v>
      </c>
      <c r="N47" t="s">
        <v>1132</v>
      </c>
      <c r="O47" t="s">
        <v>1132</v>
      </c>
      <c r="P47" t="str">
        <f>IFERROR(VLOOKUP(F47,Sheet1!$A$2:$B$54,2,FALSE),"")</f>
        <v/>
      </c>
    </row>
    <row r="48" spans="1:16" x14ac:dyDescent="0.2">
      <c r="A48" s="1">
        <v>2016</v>
      </c>
      <c r="B48" t="s">
        <v>6</v>
      </c>
      <c r="C48" s="10" t="s">
        <v>1678</v>
      </c>
      <c r="D48" s="10" t="s">
        <v>1679</v>
      </c>
      <c r="E48" s="10" t="s">
        <v>1682</v>
      </c>
      <c r="F48" t="s">
        <v>503</v>
      </c>
      <c r="G48" s="4">
        <v>67068</v>
      </c>
      <c r="H48" s="4"/>
      <c r="I48" s="4"/>
      <c r="J48" s="4">
        <f>SUM(G48:I48)</f>
        <v>67068</v>
      </c>
      <c r="K48" t="s">
        <v>1659</v>
      </c>
      <c r="L48" t="s">
        <v>1659</v>
      </c>
      <c r="M48" t="s">
        <v>1003</v>
      </c>
      <c r="N48" t="s">
        <v>1132</v>
      </c>
      <c r="O48" t="s">
        <v>1132</v>
      </c>
      <c r="P48" t="str">
        <f>IFERROR(VLOOKUP(F48,Sheet1!$A$2:$B$54,2,FALSE),"")</f>
        <v/>
      </c>
    </row>
    <row r="49" spans="1:16" x14ac:dyDescent="0.2">
      <c r="A49" s="1">
        <v>2017</v>
      </c>
      <c r="B49" t="s">
        <v>6</v>
      </c>
      <c r="C49" s="10" t="s">
        <v>1678</v>
      </c>
      <c r="D49" s="10" t="s">
        <v>1679</v>
      </c>
      <c r="E49" s="10" t="s">
        <v>1682</v>
      </c>
      <c r="F49" t="s">
        <v>503</v>
      </c>
      <c r="G49" s="4">
        <v>77924</v>
      </c>
      <c r="H49" s="4"/>
      <c r="I49" s="4"/>
      <c r="J49" s="4">
        <f>SUM(G49:I49)</f>
        <v>77924</v>
      </c>
      <c r="K49" t="s">
        <v>1659</v>
      </c>
      <c r="L49" t="s">
        <v>1659</v>
      </c>
      <c r="M49" t="s">
        <v>1003</v>
      </c>
      <c r="N49" t="s">
        <v>1132</v>
      </c>
      <c r="O49" t="s">
        <v>1132</v>
      </c>
      <c r="P49" t="str">
        <f>IFERROR(VLOOKUP(F49,Sheet1!$A$2:$B$54,2,FALSE),"")</f>
        <v/>
      </c>
    </row>
    <row r="50" spans="1:16" x14ac:dyDescent="0.2">
      <c r="A50" s="1">
        <v>2018</v>
      </c>
      <c r="B50" t="s">
        <v>6</v>
      </c>
      <c r="C50" s="10" t="s">
        <v>1678</v>
      </c>
      <c r="D50" s="10" t="s">
        <v>1679</v>
      </c>
      <c r="E50" s="10" t="s">
        <v>1682</v>
      </c>
      <c r="F50" t="s">
        <v>503</v>
      </c>
      <c r="G50" s="4">
        <v>76287</v>
      </c>
      <c r="H50" s="4"/>
      <c r="I50" s="4"/>
      <c r="J50" s="4">
        <f>SUM(G50:I50)</f>
        <v>76287</v>
      </c>
      <c r="K50" t="s">
        <v>1659</v>
      </c>
      <c r="L50" t="s">
        <v>1659</v>
      </c>
      <c r="M50" t="s">
        <v>1003</v>
      </c>
      <c r="N50" t="s">
        <v>1132</v>
      </c>
      <c r="O50" t="s">
        <v>1132</v>
      </c>
      <c r="P50" t="str">
        <f>IFERROR(VLOOKUP(F50,Sheet1!$A$2:$B$54,2,FALSE),"")</f>
        <v/>
      </c>
    </row>
    <row r="51" spans="1:16" x14ac:dyDescent="0.2">
      <c r="A51" s="1">
        <v>2019</v>
      </c>
      <c r="B51" t="s">
        <v>6</v>
      </c>
      <c r="C51" s="10" t="s">
        <v>1678</v>
      </c>
      <c r="D51" s="10" t="s">
        <v>1679</v>
      </c>
      <c r="E51" s="10" t="s">
        <v>1682</v>
      </c>
      <c r="F51" t="s">
        <v>503</v>
      </c>
      <c r="G51" s="4">
        <v>93347</v>
      </c>
      <c r="H51" s="4"/>
      <c r="I51" s="4"/>
      <c r="J51" s="4">
        <f>SUM(G51:I51)</f>
        <v>93347</v>
      </c>
      <c r="K51" t="s">
        <v>1659</v>
      </c>
      <c r="L51" t="s">
        <v>1659</v>
      </c>
      <c r="M51" t="s">
        <v>1003</v>
      </c>
      <c r="N51" t="s">
        <v>1132</v>
      </c>
      <c r="O51" t="s">
        <v>1132</v>
      </c>
      <c r="P51" t="str">
        <f>IFERROR(VLOOKUP(F51,Sheet1!$A$2:$B$54,2,FALSE),"")</f>
        <v/>
      </c>
    </row>
    <row r="52" spans="1:16" x14ac:dyDescent="0.2">
      <c r="A52" s="1">
        <v>2020</v>
      </c>
      <c r="B52" t="s">
        <v>6</v>
      </c>
      <c r="C52" s="10" t="s">
        <v>1678</v>
      </c>
      <c r="D52" s="10" t="s">
        <v>1679</v>
      </c>
      <c r="E52" s="10" t="s">
        <v>1682</v>
      </c>
      <c r="F52" t="s">
        <v>503</v>
      </c>
      <c r="G52" s="4">
        <v>103869</v>
      </c>
      <c r="H52" s="4"/>
      <c r="I52" s="4"/>
      <c r="J52" s="4">
        <f>SUM(G52:I52)</f>
        <v>103869</v>
      </c>
      <c r="K52" t="s">
        <v>1659</v>
      </c>
      <c r="L52" t="s">
        <v>1659</v>
      </c>
      <c r="M52" t="s">
        <v>1003</v>
      </c>
      <c r="N52" t="s">
        <v>1132</v>
      </c>
      <c r="O52" t="s">
        <v>1132</v>
      </c>
      <c r="P52" t="str">
        <f>IFERROR(VLOOKUP(F52,Sheet1!$A$2:$B$54,2,FALSE),"")</f>
        <v/>
      </c>
    </row>
    <row r="53" spans="1:16" x14ac:dyDescent="0.2">
      <c r="A53" s="1">
        <v>2021</v>
      </c>
      <c r="B53" t="s">
        <v>6</v>
      </c>
      <c r="C53" s="10" t="s">
        <v>1678</v>
      </c>
      <c r="D53" s="10" t="s">
        <v>1679</v>
      </c>
      <c r="E53" s="10" t="s">
        <v>1682</v>
      </c>
      <c r="F53" t="s">
        <v>503</v>
      </c>
      <c r="G53" s="4">
        <v>130669</v>
      </c>
      <c r="H53" s="4"/>
      <c r="I53" s="4"/>
      <c r="J53" s="4">
        <f>SUM(G53:I53)</f>
        <v>130669</v>
      </c>
      <c r="K53" t="s">
        <v>1659</v>
      </c>
      <c r="L53" t="s">
        <v>1659</v>
      </c>
      <c r="M53" t="s">
        <v>503</v>
      </c>
      <c r="N53" t="s">
        <v>1132</v>
      </c>
      <c r="O53" t="s">
        <v>1132</v>
      </c>
      <c r="P53" t="str">
        <f>IFERROR(VLOOKUP(F53,Sheet1!$A$2:$B$54,2,FALSE),"")</f>
        <v/>
      </c>
    </row>
    <row r="54" spans="1:16" x14ac:dyDescent="0.2">
      <c r="A54" s="1">
        <v>2022</v>
      </c>
      <c r="B54" t="s">
        <v>6</v>
      </c>
      <c r="C54" s="10" t="s">
        <v>1678</v>
      </c>
      <c r="D54" s="10" t="s">
        <v>1679</v>
      </c>
      <c r="E54" s="10" t="s">
        <v>1682</v>
      </c>
      <c r="F54" t="s">
        <v>503</v>
      </c>
      <c r="G54" s="4">
        <v>169283</v>
      </c>
      <c r="H54" s="4"/>
      <c r="I54" s="4"/>
      <c r="J54" s="4">
        <f>SUM(G54:I54)</f>
        <v>169283</v>
      </c>
      <c r="K54" t="s">
        <v>1659</v>
      </c>
      <c r="L54" t="s">
        <v>1659</v>
      </c>
      <c r="M54" t="s">
        <v>503</v>
      </c>
      <c r="N54" t="s">
        <v>1132</v>
      </c>
      <c r="O54" t="s">
        <v>1132</v>
      </c>
      <c r="P54" t="str">
        <f>IFERROR(VLOOKUP(F54,Sheet1!$A$2:$B$54,2,FALSE),"")</f>
        <v/>
      </c>
    </row>
    <row r="55" spans="1:16" x14ac:dyDescent="0.2">
      <c r="A55" s="1">
        <v>2023</v>
      </c>
      <c r="B55" t="s">
        <v>6</v>
      </c>
      <c r="C55" s="10" t="s">
        <v>1678</v>
      </c>
      <c r="D55" s="10" t="s">
        <v>1679</v>
      </c>
      <c r="E55" s="10" t="s">
        <v>1682</v>
      </c>
      <c r="F55" t="s">
        <v>503</v>
      </c>
      <c r="G55" s="4">
        <v>244538</v>
      </c>
      <c r="H55" s="4"/>
      <c r="I55" s="4"/>
      <c r="J55" s="4">
        <f>SUM(G55:I55)</f>
        <v>244538</v>
      </c>
      <c r="K55" t="s">
        <v>1659</v>
      </c>
      <c r="L55" t="s">
        <v>1659</v>
      </c>
      <c r="M55" t="s">
        <v>503</v>
      </c>
      <c r="N55" t="s">
        <v>1132</v>
      </c>
      <c r="O55" t="s">
        <v>1132</v>
      </c>
      <c r="P55" t="str">
        <f>IFERROR(VLOOKUP(F55,Sheet1!$A$2:$B$54,2,FALSE),"")</f>
        <v/>
      </c>
    </row>
    <row r="56" spans="1:16" x14ac:dyDescent="0.2">
      <c r="A56" s="1">
        <v>2015</v>
      </c>
      <c r="B56" t="s">
        <v>7</v>
      </c>
      <c r="C56" s="10" t="s">
        <v>1678</v>
      </c>
      <c r="D56" s="10" t="s">
        <v>1679</v>
      </c>
      <c r="E56" s="10" t="s">
        <v>1682</v>
      </c>
      <c r="F56" t="s">
        <v>504</v>
      </c>
      <c r="G56" s="4">
        <v>89553</v>
      </c>
      <c r="H56" s="4">
        <v>865137</v>
      </c>
      <c r="I56" s="4"/>
      <c r="J56" s="4">
        <f>SUM(G56:I56)</f>
        <v>954690</v>
      </c>
      <c r="K56" t="s">
        <v>1660</v>
      </c>
      <c r="L56" t="s">
        <v>1659</v>
      </c>
      <c r="M56" t="s">
        <v>1004</v>
      </c>
      <c r="N56" t="s">
        <v>1004</v>
      </c>
      <c r="O56" t="s">
        <v>1132</v>
      </c>
      <c r="P56">
        <f>IFERROR(VLOOKUP(F56,Sheet1!$A$2:$B$54,2,FALSE),"")</f>
        <v>4900030</v>
      </c>
    </row>
    <row r="57" spans="1:16" x14ac:dyDescent="0.2">
      <c r="A57" s="1">
        <v>2016</v>
      </c>
      <c r="B57" t="s">
        <v>7</v>
      </c>
      <c r="C57" s="10" t="s">
        <v>1678</v>
      </c>
      <c r="D57" s="10" t="s">
        <v>1679</v>
      </c>
      <c r="E57" s="10" t="s">
        <v>1682</v>
      </c>
      <c r="F57" t="s">
        <v>504</v>
      </c>
      <c r="G57" s="4">
        <v>110512</v>
      </c>
      <c r="H57" s="4">
        <v>852839</v>
      </c>
      <c r="I57" s="4"/>
      <c r="J57" s="4">
        <f>SUM(G57:I57)</f>
        <v>963351</v>
      </c>
      <c r="K57" t="s">
        <v>1660</v>
      </c>
      <c r="L57" t="s">
        <v>1659</v>
      </c>
      <c r="M57" t="s">
        <v>1004</v>
      </c>
      <c r="N57" t="s">
        <v>1004</v>
      </c>
      <c r="O57" t="s">
        <v>1132</v>
      </c>
      <c r="P57">
        <f>IFERROR(VLOOKUP(F57,Sheet1!$A$2:$B$54,2,FALSE),"")</f>
        <v>4900030</v>
      </c>
    </row>
    <row r="58" spans="1:16" x14ac:dyDescent="0.2">
      <c r="A58" s="1">
        <v>2017</v>
      </c>
      <c r="B58" t="s">
        <v>7</v>
      </c>
      <c r="C58" s="10" t="s">
        <v>1678</v>
      </c>
      <c r="D58" s="10" t="s">
        <v>1679</v>
      </c>
      <c r="E58" s="10" t="s">
        <v>1682</v>
      </c>
      <c r="F58" t="s">
        <v>504</v>
      </c>
      <c r="G58" s="4">
        <v>142470</v>
      </c>
      <c r="H58" s="4">
        <v>913172</v>
      </c>
      <c r="I58" s="4"/>
      <c r="J58" s="4">
        <f>SUM(G58:I58)</f>
        <v>1055642</v>
      </c>
      <c r="K58" t="s">
        <v>1660</v>
      </c>
      <c r="L58" t="s">
        <v>1659</v>
      </c>
      <c r="M58" t="s">
        <v>1004</v>
      </c>
      <c r="N58" t="s">
        <v>1004</v>
      </c>
      <c r="O58" t="s">
        <v>1132</v>
      </c>
      <c r="P58">
        <f>IFERROR(VLOOKUP(F58,Sheet1!$A$2:$B$54,2,FALSE),"")</f>
        <v>4900030</v>
      </c>
    </row>
    <row r="59" spans="1:16" x14ac:dyDescent="0.2">
      <c r="A59" s="1">
        <v>2018</v>
      </c>
      <c r="B59" t="s">
        <v>7</v>
      </c>
      <c r="C59" s="10" t="s">
        <v>1678</v>
      </c>
      <c r="D59" s="10" t="s">
        <v>1679</v>
      </c>
      <c r="E59" s="10" t="s">
        <v>1682</v>
      </c>
      <c r="F59" t="s">
        <v>504</v>
      </c>
      <c r="G59" s="4">
        <v>154146</v>
      </c>
      <c r="H59" s="4">
        <v>883682</v>
      </c>
      <c r="I59" s="4"/>
      <c r="J59" s="4">
        <f>SUM(G59:I59)</f>
        <v>1037828</v>
      </c>
      <c r="K59" t="s">
        <v>1660</v>
      </c>
      <c r="L59" t="s">
        <v>1659</v>
      </c>
      <c r="M59" t="s">
        <v>1004</v>
      </c>
      <c r="N59" t="s">
        <v>1004</v>
      </c>
      <c r="O59" t="s">
        <v>1132</v>
      </c>
      <c r="P59">
        <f>IFERROR(VLOOKUP(F59,Sheet1!$A$2:$B$54,2,FALSE),"")</f>
        <v>4900030</v>
      </c>
    </row>
    <row r="60" spans="1:16" x14ac:dyDescent="0.2">
      <c r="A60" s="1">
        <v>2019</v>
      </c>
      <c r="B60" t="s">
        <v>7</v>
      </c>
      <c r="C60" s="10" t="s">
        <v>1678</v>
      </c>
      <c r="D60" s="10" t="s">
        <v>1679</v>
      </c>
      <c r="E60" s="10" t="s">
        <v>1682</v>
      </c>
      <c r="F60" t="s">
        <v>504</v>
      </c>
      <c r="G60" s="4">
        <v>176017</v>
      </c>
      <c r="H60" s="4">
        <v>907008</v>
      </c>
      <c r="I60" s="4"/>
      <c r="J60" s="4">
        <f>SUM(G60:I60)</f>
        <v>1083025</v>
      </c>
      <c r="K60" t="s">
        <v>1660</v>
      </c>
      <c r="L60" t="s">
        <v>1659</v>
      </c>
      <c r="M60" t="s">
        <v>1004</v>
      </c>
      <c r="N60" t="s">
        <v>1004</v>
      </c>
      <c r="O60" t="s">
        <v>1132</v>
      </c>
      <c r="P60">
        <f>IFERROR(VLOOKUP(F60,Sheet1!$A$2:$B$54,2,FALSE),"")</f>
        <v>4900030</v>
      </c>
    </row>
    <row r="61" spans="1:16" x14ac:dyDescent="0.2">
      <c r="A61" s="1">
        <v>2020</v>
      </c>
      <c r="B61" t="s">
        <v>7</v>
      </c>
      <c r="C61" s="10" t="s">
        <v>1678</v>
      </c>
      <c r="D61" s="10" t="s">
        <v>1679</v>
      </c>
      <c r="E61" s="10" t="s">
        <v>1682</v>
      </c>
      <c r="F61" t="s">
        <v>504</v>
      </c>
      <c r="G61" s="4">
        <v>216477</v>
      </c>
      <c r="H61" s="4">
        <v>980438</v>
      </c>
      <c r="I61" s="4"/>
      <c r="J61" s="4">
        <f>SUM(G61:I61)</f>
        <v>1196915</v>
      </c>
      <c r="K61" t="s">
        <v>1660</v>
      </c>
      <c r="L61" t="s">
        <v>1659</v>
      </c>
      <c r="M61" t="s">
        <v>1004</v>
      </c>
      <c r="N61" t="s">
        <v>1004</v>
      </c>
      <c r="O61" t="s">
        <v>1132</v>
      </c>
      <c r="P61">
        <f>IFERROR(VLOOKUP(F61,Sheet1!$A$2:$B$54,2,FALSE),"")</f>
        <v>4900030</v>
      </c>
    </row>
    <row r="62" spans="1:16" x14ac:dyDescent="0.2">
      <c r="A62" s="1">
        <v>2021</v>
      </c>
      <c r="B62" t="s">
        <v>7</v>
      </c>
      <c r="C62" s="10" t="s">
        <v>1678</v>
      </c>
      <c r="D62" s="10" t="s">
        <v>1679</v>
      </c>
      <c r="E62" s="10" t="s">
        <v>1682</v>
      </c>
      <c r="F62" t="s">
        <v>504</v>
      </c>
      <c r="G62" s="4">
        <v>272893</v>
      </c>
      <c r="H62" s="4">
        <v>1022861</v>
      </c>
      <c r="I62" s="4"/>
      <c r="J62" s="4">
        <f>SUM(G62:I62)</f>
        <v>1295754</v>
      </c>
      <c r="K62" t="s">
        <v>1660</v>
      </c>
      <c r="L62" t="s">
        <v>1659</v>
      </c>
      <c r="M62" t="s">
        <v>504</v>
      </c>
      <c r="N62" t="s">
        <v>504</v>
      </c>
      <c r="O62" t="s">
        <v>1132</v>
      </c>
      <c r="P62">
        <f>IFERROR(VLOOKUP(F62,Sheet1!$A$2:$B$54,2,FALSE),"")</f>
        <v>4900030</v>
      </c>
    </row>
    <row r="63" spans="1:16" x14ac:dyDescent="0.2">
      <c r="A63" s="1">
        <v>2022</v>
      </c>
      <c r="B63" t="s">
        <v>7</v>
      </c>
      <c r="C63" s="10" t="s">
        <v>1678</v>
      </c>
      <c r="D63" s="10" t="s">
        <v>1679</v>
      </c>
      <c r="E63" s="10" t="s">
        <v>1682</v>
      </c>
      <c r="F63" t="s">
        <v>504</v>
      </c>
      <c r="G63" s="4">
        <v>295661</v>
      </c>
      <c r="H63" s="4">
        <v>930045</v>
      </c>
      <c r="I63" s="4"/>
      <c r="J63" s="4">
        <f>SUM(G63:I63)</f>
        <v>1225706</v>
      </c>
      <c r="K63" t="s">
        <v>1660</v>
      </c>
      <c r="L63" t="s">
        <v>1659</v>
      </c>
      <c r="M63" t="s">
        <v>504</v>
      </c>
      <c r="N63" t="s">
        <v>504</v>
      </c>
      <c r="O63" t="s">
        <v>1132</v>
      </c>
      <c r="P63">
        <f>IFERROR(VLOOKUP(F63,Sheet1!$A$2:$B$54,2,FALSE),"")</f>
        <v>4900030</v>
      </c>
    </row>
    <row r="64" spans="1:16" x14ac:dyDescent="0.2">
      <c r="A64" s="1">
        <v>2023</v>
      </c>
      <c r="B64" t="s">
        <v>7</v>
      </c>
      <c r="C64" s="10" t="s">
        <v>1678</v>
      </c>
      <c r="D64" s="10" t="s">
        <v>1679</v>
      </c>
      <c r="E64" s="10" t="s">
        <v>1682</v>
      </c>
      <c r="F64" t="s">
        <v>504</v>
      </c>
      <c r="G64" s="4">
        <v>365681</v>
      </c>
      <c r="H64" s="4">
        <v>1020226</v>
      </c>
      <c r="I64" s="4"/>
      <c r="J64" s="4">
        <f>SUM(G64:I64)</f>
        <v>1385907</v>
      </c>
      <c r="K64" t="s">
        <v>1660</v>
      </c>
      <c r="L64" t="s">
        <v>1659</v>
      </c>
      <c r="M64" t="s">
        <v>504</v>
      </c>
      <c r="N64" t="s">
        <v>504</v>
      </c>
      <c r="O64" t="s">
        <v>1132</v>
      </c>
      <c r="P64">
        <f>IFERROR(VLOOKUP(F64,Sheet1!$A$2:$B$54,2,FALSE),"")</f>
        <v>4900030</v>
      </c>
    </row>
    <row r="65" spans="1:16" x14ac:dyDescent="0.2">
      <c r="A65" s="1">
        <v>2015</v>
      </c>
      <c r="B65" t="s">
        <v>8</v>
      </c>
      <c r="C65" s="10" t="s">
        <v>1678</v>
      </c>
      <c r="D65" s="10" t="s">
        <v>1679</v>
      </c>
      <c r="E65" s="10" t="s">
        <v>1682</v>
      </c>
      <c r="F65" t="s">
        <v>505</v>
      </c>
      <c r="G65" s="4">
        <v>5097</v>
      </c>
      <c r="H65" s="4">
        <v>325054</v>
      </c>
      <c r="I65" s="4"/>
      <c r="J65" s="4">
        <f>SUM(G65:I65)</f>
        <v>330151</v>
      </c>
      <c r="K65" t="s">
        <v>1660</v>
      </c>
      <c r="L65" t="s">
        <v>1659</v>
      </c>
      <c r="M65" t="s">
        <v>1005</v>
      </c>
      <c r="N65" t="s">
        <v>1005</v>
      </c>
      <c r="O65" t="s">
        <v>1132</v>
      </c>
      <c r="P65">
        <f>IFERROR(VLOOKUP(F65,Sheet1!$A$2:$B$54,2,FALSE),"")</f>
        <v>4900017</v>
      </c>
    </row>
    <row r="66" spans="1:16" x14ac:dyDescent="0.2">
      <c r="A66" s="1">
        <v>2016</v>
      </c>
      <c r="B66" t="s">
        <v>8</v>
      </c>
      <c r="C66" s="10" t="s">
        <v>1678</v>
      </c>
      <c r="D66" s="10" t="s">
        <v>1679</v>
      </c>
      <c r="E66" s="10" t="s">
        <v>1682</v>
      </c>
      <c r="F66" t="s">
        <v>505</v>
      </c>
      <c r="G66" s="4">
        <v>6265</v>
      </c>
      <c r="H66" s="4">
        <v>344475</v>
      </c>
      <c r="I66" s="4"/>
      <c r="J66" s="4">
        <f>SUM(G66:I66)</f>
        <v>350740</v>
      </c>
      <c r="K66" t="s">
        <v>1660</v>
      </c>
      <c r="L66" t="s">
        <v>1659</v>
      </c>
      <c r="M66" t="s">
        <v>1005</v>
      </c>
      <c r="N66" t="s">
        <v>1005</v>
      </c>
      <c r="O66" t="s">
        <v>1132</v>
      </c>
      <c r="P66">
        <f>IFERROR(VLOOKUP(F66,Sheet1!$A$2:$B$54,2,FALSE),"")</f>
        <v>4900017</v>
      </c>
    </row>
    <row r="67" spans="1:16" x14ac:dyDescent="0.2">
      <c r="A67" s="1">
        <v>2017</v>
      </c>
      <c r="B67" t="s">
        <v>8</v>
      </c>
      <c r="C67" s="10" t="s">
        <v>1678</v>
      </c>
      <c r="D67" s="10" t="s">
        <v>1679</v>
      </c>
      <c r="E67" s="10" t="s">
        <v>1682</v>
      </c>
      <c r="F67" t="s">
        <v>505</v>
      </c>
      <c r="G67" s="4">
        <v>4801</v>
      </c>
      <c r="H67" s="4">
        <v>366210</v>
      </c>
      <c r="I67" s="4"/>
      <c r="J67" s="4">
        <f>SUM(G67:I67)</f>
        <v>371011</v>
      </c>
      <c r="K67" t="s">
        <v>1660</v>
      </c>
      <c r="L67" t="s">
        <v>1659</v>
      </c>
      <c r="M67" t="s">
        <v>1006</v>
      </c>
      <c r="N67" t="s">
        <v>1006</v>
      </c>
      <c r="O67" t="s">
        <v>1132</v>
      </c>
      <c r="P67">
        <f>IFERROR(VLOOKUP(F67,Sheet1!$A$2:$B$54,2,FALSE),"")</f>
        <v>4900017</v>
      </c>
    </row>
    <row r="68" spans="1:16" x14ac:dyDescent="0.2">
      <c r="A68" s="1">
        <v>2018</v>
      </c>
      <c r="B68" t="s">
        <v>8</v>
      </c>
      <c r="C68" s="10" t="s">
        <v>1678</v>
      </c>
      <c r="D68" s="10" t="s">
        <v>1679</v>
      </c>
      <c r="E68" s="10" t="s">
        <v>1682</v>
      </c>
      <c r="F68" t="s">
        <v>505</v>
      </c>
      <c r="G68" s="4">
        <v>8690</v>
      </c>
      <c r="H68" s="4">
        <v>385746</v>
      </c>
      <c r="I68" s="4"/>
      <c r="J68" s="4">
        <f>SUM(G68:I68)</f>
        <v>394436</v>
      </c>
      <c r="K68" t="s">
        <v>1660</v>
      </c>
      <c r="L68" t="s">
        <v>1659</v>
      </c>
      <c r="M68" t="s">
        <v>1006</v>
      </c>
      <c r="N68" t="s">
        <v>1006</v>
      </c>
      <c r="O68" t="s">
        <v>1132</v>
      </c>
      <c r="P68">
        <f>IFERROR(VLOOKUP(F68,Sheet1!$A$2:$B$54,2,FALSE),"")</f>
        <v>4900017</v>
      </c>
    </row>
    <row r="69" spans="1:16" x14ac:dyDescent="0.2">
      <c r="A69" s="1">
        <v>2019</v>
      </c>
      <c r="B69" t="s">
        <v>8</v>
      </c>
      <c r="C69" s="10" t="s">
        <v>1678</v>
      </c>
      <c r="D69" s="10" t="s">
        <v>1679</v>
      </c>
      <c r="E69" s="10" t="s">
        <v>1682</v>
      </c>
      <c r="F69" t="s">
        <v>505</v>
      </c>
      <c r="G69" s="4">
        <v>16632</v>
      </c>
      <c r="H69" s="4">
        <v>384210</v>
      </c>
      <c r="I69" s="4"/>
      <c r="J69" s="4">
        <f>SUM(G69:I69)</f>
        <v>400842</v>
      </c>
      <c r="K69" t="s">
        <v>1660</v>
      </c>
      <c r="L69" t="s">
        <v>1659</v>
      </c>
      <c r="M69" t="s">
        <v>1006</v>
      </c>
      <c r="N69" t="s">
        <v>1006</v>
      </c>
      <c r="O69" t="s">
        <v>1132</v>
      </c>
      <c r="P69">
        <f>IFERROR(VLOOKUP(F69,Sheet1!$A$2:$B$54,2,FALSE),"")</f>
        <v>4900017</v>
      </c>
    </row>
    <row r="70" spans="1:16" x14ac:dyDescent="0.2">
      <c r="A70" s="1">
        <v>2020</v>
      </c>
      <c r="B70" t="s">
        <v>8</v>
      </c>
      <c r="C70" s="10" t="s">
        <v>1678</v>
      </c>
      <c r="D70" s="10" t="s">
        <v>1679</v>
      </c>
      <c r="E70" s="10" t="s">
        <v>1682</v>
      </c>
      <c r="F70" t="s">
        <v>505</v>
      </c>
      <c r="G70" s="4">
        <v>26104</v>
      </c>
      <c r="H70" s="4">
        <v>395027</v>
      </c>
      <c r="I70" s="4"/>
      <c r="J70" s="4">
        <f>SUM(G70:I70)</f>
        <v>421131</v>
      </c>
      <c r="K70" t="s">
        <v>1660</v>
      </c>
      <c r="L70" t="s">
        <v>1659</v>
      </c>
      <c r="M70" t="s">
        <v>1005</v>
      </c>
      <c r="N70" t="s">
        <v>1005</v>
      </c>
      <c r="O70" t="s">
        <v>1132</v>
      </c>
      <c r="P70">
        <f>IFERROR(VLOOKUP(F70,Sheet1!$A$2:$B$54,2,FALSE),"")</f>
        <v>4900017</v>
      </c>
    </row>
    <row r="71" spans="1:16" x14ac:dyDescent="0.2">
      <c r="A71" s="1">
        <v>2021</v>
      </c>
      <c r="B71" t="s">
        <v>8</v>
      </c>
      <c r="C71" s="10" t="s">
        <v>1678</v>
      </c>
      <c r="D71" s="10" t="s">
        <v>1679</v>
      </c>
      <c r="E71" s="10" t="s">
        <v>1682</v>
      </c>
      <c r="F71" t="s">
        <v>505</v>
      </c>
      <c r="G71" s="4">
        <v>40727</v>
      </c>
      <c r="H71" s="4">
        <v>407265</v>
      </c>
      <c r="I71" s="4"/>
      <c r="J71" s="4">
        <f>SUM(G71:I71)</f>
        <v>447992</v>
      </c>
      <c r="K71" t="s">
        <v>1660</v>
      </c>
      <c r="L71" t="s">
        <v>1659</v>
      </c>
      <c r="M71" t="s">
        <v>505</v>
      </c>
      <c r="N71" t="s">
        <v>505</v>
      </c>
      <c r="O71" t="s">
        <v>1132</v>
      </c>
      <c r="P71">
        <f>IFERROR(VLOOKUP(F71,Sheet1!$A$2:$B$54,2,FALSE),"")</f>
        <v>4900017</v>
      </c>
    </row>
    <row r="72" spans="1:16" x14ac:dyDescent="0.2">
      <c r="A72" s="1">
        <v>2022</v>
      </c>
      <c r="B72" t="s">
        <v>8</v>
      </c>
      <c r="C72" s="10" t="s">
        <v>1678</v>
      </c>
      <c r="D72" s="10" t="s">
        <v>1679</v>
      </c>
      <c r="E72" s="10" t="s">
        <v>1682</v>
      </c>
      <c r="F72" t="s">
        <v>505</v>
      </c>
      <c r="G72" s="4">
        <v>50021</v>
      </c>
      <c r="H72" s="4">
        <v>400693</v>
      </c>
      <c r="I72" s="4"/>
      <c r="J72" s="4">
        <f>SUM(G72:I72)</f>
        <v>450714</v>
      </c>
      <c r="K72" t="s">
        <v>1660</v>
      </c>
      <c r="L72" t="s">
        <v>1659</v>
      </c>
      <c r="M72" t="s">
        <v>505</v>
      </c>
      <c r="N72" t="s">
        <v>505</v>
      </c>
      <c r="O72" t="s">
        <v>1132</v>
      </c>
      <c r="P72">
        <f>IFERROR(VLOOKUP(F72,Sheet1!$A$2:$B$54,2,FALSE),"")</f>
        <v>4900017</v>
      </c>
    </row>
    <row r="73" spans="1:16" x14ac:dyDescent="0.2">
      <c r="A73" s="1">
        <v>2023</v>
      </c>
      <c r="B73" t="s">
        <v>8</v>
      </c>
      <c r="C73" s="10" t="s">
        <v>1678</v>
      </c>
      <c r="D73" s="10" t="s">
        <v>1679</v>
      </c>
      <c r="E73" s="10" t="s">
        <v>1682</v>
      </c>
      <c r="F73" t="s">
        <v>505</v>
      </c>
      <c r="G73" s="4">
        <v>59390</v>
      </c>
      <c r="H73" s="4">
        <v>433050</v>
      </c>
      <c r="I73" s="4"/>
      <c r="J73" s="4">
        <f>SUM(G73:I73)</f>
        <v>492440</v>
      </c>
      <c r="K73" t="s">
        <v>1660</v>
      </c>
      <c r="L73" t="s">
        <v>1659</v>
      </c>
      <c r="M73" t="s">
        <v>505</v>
      </c>
      <c r="N73" t="s">
        <v>505</v>
      </c>
      <c r="O73" t="s">
        <v>1132</v>
      </c>
      <c r="P73">
        <f>IFERROR(VLOOKUP(F73,Sheet1!$A$2:$B$54,2,FALSE),"")</f>
        <v>4900017</v>
      </c>
    </row>
    <row r="74" spans="1:16" x14ac:dyDescent="0.2">
      <c r="A74" s="1">
        <v>2016</v>
      </c>
      <c r="B74" t="s">
        <v>9</v>
      </c>
      <c r="C74" s="10" t="s">
        <v>1678</v>
      </c>
      <c r="D74" s="10" t="s">
        <v>1679</v>
      </c>
      <c r="E74" s="10" t="s">
        <v>1682</v>
      </c>
      <c r="F74" t="s">
        <v>506</v>
      </c>
      <c r="G74" s="4">
        <v>1264</v>
      </c>
      <c r="H74" s="4"/>
      <c r="I74" s="4"/>
      <c r="J74" s="4">
        <f>SUM(G74:I74)</f>
        <v>1264</v>
      </c>
      <c r="K74" t="s">
        <v>1659</v>
      </c>
      <c r="L74" t="s">
        <v>1659</v>
      </c>
      <c r="M74" t="s">
        <v>1007</v>
      </c>
      <c r="N74" t="s">
        <v>1132</v>
      </c>
      <c r="O74" t="s">
        <v>1132</v>
      </c>
      <c r="P74" t="str">
        <f>IFERROR(VLOOKUP(F74,Sheet1!$A$2:$B$54,2,FALSE),"")</f>
        <v/>
      </c>
    </row>
    <row r="75" spans="1:16" x14ac:dyDescent="0.2">
      <c r="A75" s="1">
        <v>2017</v>
      </c>
      <c r="B75" t="s">
        <v>9</v>
      </c>
      <c r="C75" s="10" t="s">
        <v>1678</v>
      </c>
      <c r="D75" s="10" t="s">
        <v>1679</v>
      </c>
      <c r="E75" s="10" t="s">
        <v>1682</v>
      </c>
      <c r="F75" t="s">
        <v>506</v>
      </c>
      <c r="G75" s="4">
        <v>2991</v>
      </c>
      <c r="H75" s="4"/>
      <c r="I75" s="4"/>
      <c r="J75" s="4">
        <f>SUM(G75:I75)</f>
        <v>2991</v>
      </c>
      <c r="K75" t="s">
        <v>1659</v>
      </c>
      <c r="L75" t="s">
        <v>1659</v>
      </c>
      <c r="M75" t="s">
        <v>1008</v>
      </c>
      <c r="N75" t="s">
        <v>1132</v>
      </c>
      <c r="O75" t="s">
        <v>1132</v>
      </c>
      <c r="P75" t="str">
        <f>IFERROR(VLOOKUP(F75,Sheet1!$A$2:$B$54,2,FALSE),"")</f>
        <v/>
      </c>
    </row>
    <row r="76" spans="1:16" x14ac:dyDescent="0.2">
      <c r="A76" s="1">
        <v>2018</v>
      </c>
      <c r="B76" t="s">
        <v>9</v>
      </c>
      <c r="C76" s="10" t="s">
        <v>1678</v>
      </c>
      <c r="D76" s="10" t="s">
        <v>1679</v>
      </c>
      <c r="E76" s="10" t="s">
        <v>1682</v>
      </c>
      <c r="F76" t="s">
        <v>506</v>
      </c>
      <c r="G76" s="4">
        <v>8969</v>
      </c>
      <c r="H76" s="4"/>
      <c r="I76" s="4"/>
      <c r="J76" s="4">
        <f>SUM(G76:I76)</f>
        <v>8969</v>
      </c>
      <c r="K76" t="s">
        <v>1659</v>
      </c>
      <c r="L76" t="s">
        <v>1659</v>
      </c>
      <c r="M76" t="s">
        <v>1008</v>
      </c>
      <c r="N76" t="s">
        <v>1132</v>
      </c>
      <c r="O76" t="s">
        <v>1132</v>
      </c>
      <c r="P76" t="str">
        <f>IFERROR(VLOOKUP(F76,Sheet1!$A$2:$B$54,2,FALSE),"")</f>
        <v/>
      </c>
    </row>
    <row r="77" spans="1:16" x14ac:dyDescent="0.2">
      <c r="A77" s="1">
        <v>2019</v>
      </c>
      <c r="B77" t="s">
        <v>9</v>
      </c>
      <c r="C77" s="10" t="s">
        <v>1678</v>
      </c>
      <c r="D77" s="10" t="s">
        <v>1679</v>
      </c>
      <c r="E77" s="10" t="s">
        <v>1682</v>
      </c>
      <c r="F77" t="s">
        <v>506</v>
      </c>
      <c r="G77" s="4">
        <v>10645</v>
      </c>
      <c r="H77" s="4"/>
      <c r="I77" s="4"/>
      <c r="J77" s="4">
        <f>SUM(G77:I77)</f>
        <v>10645</v>
      </c>
      <c r="K77" t="s">
        <v>1659</v>
      </c>
      <c r="L77" t="s">
        <v>1659</v>
      </c>
      <c r="M77" t="s">
        <v>1008</v>
      </c>
      <c r="N77" t="s">
        <v>1132</v>
      </c>
      <c r="O77" t="s">
        <v>1132</v>
      </c>
      <c r="P77" t="str">
        <f>IFERROR(VLOOKUP(F77,Sheet1!$A$2:$B$54,2,FALSE),"")</f>
        <v/>
      </c>
    </row>
    <row r="78" spans="1:16" x14ac:dyDescent="0.2">
      <c r="A78" s="1">
        <v>2020</v>
      </c>
      <c r="B78" t="s">
        <v>9</v>
      </c>
      <c r="C78" s="10" t="s">
        <v>1678</v>
      </c>
      <c r="D78" s="10" t="s">
        <v>1679</v>
      </c>
      <c r="E78" s="10" t="s">
        <v>1682</v>
      </c>
      <c r="F78" t="s">
        <v>506</v>
      </c>
      <c r="G78" s="4">
        <v>17500</v>
      </c>
      <c r="H78" s="4"/>
      <c r="I78" s="4"/>
      <c r="J78" s="4">
        <f>SUM(G78:I78)</f>
        <v>17500</v>
      </c>
      <c r="K78" t="s">
        <v>1659</v>
      </c>
      <c r="L78" t="s">
        <v>1659</v>
      </c>
      <c r="M78" t="s">
        <v>1008</v>
      </c>
      <c r="N78" t="s">
        <v>1132</v>
      </c>
      <c r="O78" t="s">
        <v>1132</v>
      </c>
      <c r="P78" t="str">
        <f>IFERROR(VLOOKUP(F78,Sheet1!$A$2:$B$54,2,FALSE),"")</f>
        <v/>
      </c>
    </row>
    <row r="79" spans="1:16" x14ac:dyDescent="0.2">
      <c r="A79" s="1">
        <v>2021</v>
      </c>
      <c r="B79" t="s">
        <v>9</v>
      </c>
      <c r="C79" s="10" t="s">
        <v>1678</v>
      </c>
      <c r="D79" s="10" t="s">
        <v>1679</v>
      </c>
      <c r="E79" s="10" t="s">
        <v>1682</v>
      </c>
      <c r="F79" t="s">
        <v>506</v>
      </c>
      <c r="G79" s="4">
        <v>25682</v>
      </c>
      <c r="H79" s="4"/>
      <c r="I79" s="4"/>
      <c r="J79" s="4">
        <f>SUM(G79:I79)</f>
        <v>25682</v>
      </c>
      <c r="K79" t="s">
        <v>1659</v>
      </c>
      <c r="L79" t="s">
        <v>1659</v>
      </c>
      <c r="M79" t="s">
        <v>506</v>
      </c>
      <c r="N79" t="s">
        <v>1132</v>
      </c>
      <c r="O79" t="s">
        <v>1132</v>
      </c>
      <c r="P79" t="str">
        <f>IFERROR(VLOOKUP(F79,Sheet1!$A$2:$B$54,2,FALSE),"")</f>
        <v/>
      </c>
    </row>
    <row r="80" spans="1:16" x14ac:dyDescent="0.2">
      <c r="A80" s="1">
        <v>2022</v>
      </c>
      <c r="B80" t="s">
        <v>9</v>
      </c>
      <c r="C80" s="10" t="s">
        <v>1678</v>
      </c>
      <c r="D80" s="10" t="s">
        <v>1679</v>
      </c>
      <c r="E80" s="10" t="s">
        <v>1682</v>
      </c>
      <c r="F80" t="s">
        <v>506</v>
      </c>
      <c r="G80" s="4">
        <v>43030</v>
      </c>
      <c r="H80" s="4"/>
      <c r="I80" s="4"/>
      <c r="J80" s="4">
        <f>SUM(G80:I80)</f>
        <v>43030</v>
      </c>
      <c r="K80" t="s">
        <v>1659</v>
      </c>
      <c r="L80" t="s">
        <v>1659</v>
      </c>
      <c r="M80" t="s">
        <v>506</v>
      </c>
      <c r="N80" t="s">
        <v>1132</v>
      </c>
      <c r="O80" t="s">
        <v>1132</v>
      </c>
      <c r="P80" t="str">
        <f>IFERROR(VLOOKUP(F80,Sheet1!$A$2:$B$54,2,FALSE),"")</f>
        <v/>
      </c>
    </row>
    <row r="81" spans="1:16" x14ac:dyDescent="0.2">
      <c r="A81" s="1">
        <v>2023</v>
      </c>
      <c r="B81" t="s">
        <v>9</v>
      </c>
      <c r="C81" s="10" t="s">
        <v>1678</v>
      </c>
      <c r="D81" s="10" t="s">
        <v>1679</v>
      </c>
      <c r="E81" s="10" t="s">
        <v>1682</v>
      </c>
      <c r="F81" t="s">
        <v>506</v>
      </c>
      <c r="G81" s="4">
        <v>54982</v>
      </c>
      <c r="H81" s="4"/>
      <c r="I81" s="4"/>
      <c r="J81" s="4">
        <f>SUM(G81:I81)</f>
        <v>54982</v>
      </c>
      <c r="K81" t="s">
        <v>1659</v>
      </c>
      <c r="L81" t="s">
        <v>1659</v>
      </c>
      <c r="M81" t="s">
        <v>506</v>
      </c>
      <c r="N81" t="s">
        <v>1132</v>
      </c>
      <c r="O81" t="s">
        <v>1132</v>
      </c>
      <c r="P81" t="str">
        <f>IFERROR(VLOOKUP(F81,Sheet1!$A$2:$B$54,2,FALSE),"")</f>
        <v/>
      </c>
    </row>
    <row r="82" spans="1:16" x14ac:dyDescent="0.2">
      <c r="A82" s="1">
        <v>2015</v>
      </c>
      <c r="B82" t="s">
        <v>10</v>
      </c>
      <c r="C82" s="10" t="s">
        <v>1678</v>
      </c>
      <c r="D82" s="10" t="s">
        <v>1679</v>
      </c>
      <c r="E82" s="10" t="s">
        <v>1682</v>
      </c>
      <c r="F82" t="s">
        <v>507</v>
      </c>
      <c r="G82" s="4">
        <v>8397</v>
      </c>
      <c r="H82" s="4"/>
      <c r="I82" s="4"/>
      <c r="J82" s="4">
        <f>SUM(G82:I82)</f>
        <v>8397</v>
      </c>
      <c r="K82" t="s">
        <v>1659</v>
      </c>
      <c r="L82" t="s">
        <v>1659</v>
      </c>
      <c r="M82" t="s">
        <v>1009</v>
      </c>
      <c r="N82" t="s">
        <v>1132</v>
      </c>
      <c r="O82" t="s">
        <v>1132</v>
      </c>
      <c r="P82" t="str">
        <f>IFERROR(VLOOKUP(F82,Sheet1!$A$2:$B$54,2,FALSE),"")</f>
        <v/>
      </c>
    </row>
    <row r="83" spans="1:16" x14ac:dyDescent="0.2">
      <c r="A83" s="1">
        <v>2016</v>
      </c>
      <c r="B83" t="s">
        <v>10</v>
      </c>
      <c r="C83" s="10" t="s">
        <v>1678</v>
      </c>
      <c r="D83" s="10" t="s">
        <v>1679</v>
      </c>
      <c r="E83" s="10" t="s">
        <v>1682</v>
      </c>
      <c r="F83" t="s">
        <v>507</v>
      </c>
      <c r="G83" s="4">
        <v>8709</v>
      </c>
      <c r="H83" s="4"/>
      <c r="I83" s="4"/>
      <c r="J83" s="4">
        <f>SUM(G83:I83)</f>
        <v>8709</v>
      </c>
      <c r="K83" t="s">
        <v>1659</v>
      </c>
      <c r="L83" t="s">
        <v>1659</v>
      </c>
      <c r="M83" t="s">
        <v>1009</v>
      </c>
      <c r="N83" t="s">
        <v>1132</v>
      </c>
      <c r="O83" t="s">
        <v>1132</v>
      </c>
      <c r="P83" t="str">
        <f>IFERROR(VLOOKUP(F83,Sheet1!$A$2:$B$54,2,FALSE),"")</f>
        <v/>
      </c>
    </row>
    <row r="84" spans="1:16" x14ac:dyDescent="0.2">
      <c r="A84" s="1">
        <v>2017</v>
      </c>
      <c r="B84" t="s">
        <v>10</v>
      </c>
      <c r="C84" s="10" t="s">
        <v>1678</v>
      </c>
      <c r="D84" s="10" t="s">
        <v>1679</v>
      </c>
      <c r="E84" s="10" t="s">
        <v>1682</v>
      </c>
      <c r="F84" t="s">
        <v>507</v>
      </c>
      <c r="G84" s="4">
        <v>10437</v>
      </c>
      <c r="H84" s="4"/>
      <c r="I84" s="4"/>
      <c r="J84" s="4">
        <f>SUM(G84:I84)</f>
        <v>10437</v>
      </c>
      <c r="K84" t="s">
        <v>1659</v>
      </c>
      <c r="L84" t="s">
        <v>1659</v>
      </c>
      <c r="M84" t="s">
        <v>1010</v>
      </c>
      <c r="N84" t="s">
        <v>1132</v>
      </c>
      <c r="O84" t="s">
        <v>1132</v>
      </c>
      <c r="P84" t="str">
        <f>IFERROR(VLOOKUP(F84,Sheet1!$A$2:$B$54,2,FALSE),"")</f>
        <v/>
      </c>
    </row>
    <row r="85" spans="1:16" x14ac:dyDescent="0.2">
      <c r="A85" s="1">
        <v>2018</v>
      </c>
      <c r="B85" t="s">
        <v>10</v>
      </c>
      <c r="C85" s="10" t="s">
        <v>1678</v>
      </c>
      <c r="D85" s="10" t="s">
        <v>1679</v>
      </c>
      <c r="E85" s="10" t="s">
        <v>1682</v>
      </c>
      <c r="F85" t="s">
        <v>507</v>
      </c>
      <c r="G85" s="4">
        <v>16516</v>
      </c>
      <c r="H85" s="4"/>
      <c r="I85" s="4"/>
      <c r="J85" s="4">
        <f>SUM(G85:I85)</f>
        <v>16516</v>
      </c>
      <c r="K85" t="s">
        <v>1659</v>
      </c>
      <c r="L85" t="s">
        <v>1659</v>
      </c>
      <c r="M85" t="s">
        <v>1010</v>
      </c>
      <c r="N85" t="s">
        <v>1132</v>
      </c>
      <c r="O85" t="s">
        <v>1132</v>
      </c>
      <c r="P85" t="str">
        <f>IFERROR(VLOOKUP(F85,Sheet1!$A$2:$B$54,2,FALSE),"")</f>
        <v/>
      </c>
    </row>
    <row r="86" spans="1:16" x14ac:dyDescent="0.2">
      <c r="A86" s="1">
        <v>2019</v>
      </c>
      <c r="B86" t="s">
        <v>10</v>
      </c>
      <c r="C86" s="10" t="s">
        <v>1678</v>
      </c>
      <c r="D86" s="10" t="s">
        <v>1679</v>
      </c>
      <c r="E86" s="10" t="s">
        <v>1682</v>
      </c>
      <c r="F86" t="s">
        <v>507</v>
      </c>
      <c r="G86" s="4">
        <v>23343</v>
      </c>
      <c r="H86" s="4"/>
      <c r="I86" s="4"/>
      <c r="J86" s="4">
        <f>SUM(G86:I86)</f>
        <v>23343</v>
      </c>
      <c r="K86" t="s">
        <v>1659</v>
      </c>
      <c r="L86" t="s">
        <v>1659</v>
      </c>
      <c r="M86" t="s">
        <v>1011</v>
      </c>
      <c r="N86" t="s">
        <v>1132</v>
      </c>
      <c r="O86" t="s">
        <v>1132</v>
      </c>
      <c r="P86" t="str">
        <f>IFERROR(VLOOKUP(F86,Sheet1!$A$2:$B$54,2,FALSE),"")</f>
        <v/>
      </c>
    </row>
    <row r="87" spans="1:16" x14ac:dyDescent="0.2">
      <c r="A87" s="1">
        <v>2020</v>
      </c>
      <c r="B87" t="s">
        <v>10</v>
      </c>
      <c r="C87" s="10" t="s">
        <v>1678</v>
      </c>
      <c r="D87" s="10" t="s">
        <v>1679</v>
      </c>
      <c r="E87" s="10" t="s">
        <v>1682</v>
      </c>
      <c r="F87" t="s">
        <v>507</v>
      </c>
      <c r="G87" s="4">
        <v>21795</v>
      </c>
      <c r="H87" s="4"/>
      <c r="I87" s="4"/>
      <c r="J87" s="4">
        <f>SUM(G87:I87)</f>
        <v>21795</v>
      </c>
      <c r="K87" t="s">
        <v>1659</v>
      </c>
      <c r="L87" t="s">
        <v>1659</v>
      </c>
      <c r="M87" t="s">
        <v>1010</v>
      </c>
      <c r="N87" t="s">
        <v>1132</v>
      </c>
      <c r="O87" t="s">
        <v>1132</v>
      </c>
      <c r="P87" t="str">
        <f>IFERROR(VLOOKUP(F87,Sheet1!$A$2:$B$54,2,FALSE),"")</f>
        <v/>
      </c>
    </row>
    <row r="88" spans="1:16" x14ac:dyDescent="0.2">
      <c r="A88" s="1">
        <v>2021</v>
      </c>
      <c r="B88" t="s">
        <v>10</v>
      </c>
      <c r="C88" s="10" t="s">
        <v>1678</v>
      </c>
      <c r="D88" s="10" t="s">
        <v>1679</v>
      </c>
      <c r="E88" s="10" t="s">
        <v>1682</v>
      </c>
      <c r="F88" t="s">
        <v>507</v>
      </c>
      <c r="G88" s="4">
        <v>20824</v>
      </c>
      <c r="H88" s="4"/>
      <c r="I88" s="4"/>
      <c r="J88" s="4">
        <f>SUM(G88:I88)</f>
        <v>20824</v>
      </c>
      <c r="K88" t="s">
        <v>1659</v>
      </c>
      <c r="L88" t="s">
        <v>1659</v>
      </c>
      <c r="M88" t="s">
        <v>507</v>
      </c>
      <c r="N88" t="s">
        <v>1132</v>
      </c>
      <c r="O88" t="s">
        <v>1132</v>
      </c>
      <c r="P88" t="str">
        <f>IFERROR(VLOOKUP(F88,Sheet1!$A$2:$B$54,2,FALSE),"")</f>
        <v/>
      </c>
    </row>
    <row r="89" spans="1:16" x14ac:dyDescent="0.2">
      <c r="A89" s="1">
        <v>2022</v>
      </c>
      <c r="B89" t="s">
        <v>10</v>
      </c>
      <c r="C89" s="10" t="s">
        <v>1678</v>
      </c>
      <c r="D89" s="10" t="s">
        <v>1679</v>
      </c>
      <c r="E89" s="10" t="s">
        <v>1682</v>
      </c>
      <c r="F89" t="s">
        <v>507</v>
      </c>
      <c r="G89" s="4">
        <v>22140</v>
      </c>
      <c r="H89" s="4"/>
      <c r="I89" s="4"/>
      <c r="J89" s="4">
        <f>SUM(G89:I89)</f>
        <v>22140</v>
      </c>
      <c r="K89" t="s">
        <v>1659</v>
      </c>
      <c r="L89" t="s">
        <v>1659</v>
      </c>
      <c r="M89" t="s">
        <v>507</v>
      </c>
      <c r="N89" t="s">
        <v>1132</v>
      </c>
      <c r="O89" t="s">
        <v>1132</v>
      </c>
      <c r="P89" t="str">
        <f>IFERROR(VLOOKUP(F89,Sheet1!$A$2:$B$54,2,FALSE),"")</f>
        <v/>
      </c>
    </row>
    <row r="90" spans="1:16" x14ac:dyDescent="0.2">
      <c r="A90" s="1">
        <v>2023</v>
      </c>
      <c r="B90" t="s">
        <v>10</v>
      </c>
      <c r="C90" s="10" t="s">
        <v>1678</v>
      </c>
      <c r="D90" s="10" t="s">
        <v>1679</v>
      </c>
      <c r="E90" s="10" t="s">
        <v>1682</v>
      </c>
      <c r="F90" t="s">
        <v>507</v>
      </c>
      <c r="G90" s="4">
        <v>19112</v>
      </c>
      <c r="H90" s="4"/>
      <c r="I90" s="4"/>
      <c r="J90" s="4">
        <f>SUM(G90:I90)</f>
        <v>19112</v>
      </c>
      <c r="K90" t="s">
        <v>1659</v>
      </c>
      <c r="L90" t="s">
        <v>1659</v>
      </c>
      <c r="M90" t="s">
        <v>507</v>
      </c>
      <c r="N90" t="s">
        <v>1132</v>
      </c>
      <c r="O90" t="s">
        <v>1132</v>
      </c>
      <c r="P90" t="str">
        <f>IFERROR(VLOOKUP(F90,Sheet1!$A$2:$B$54,2,FALSE),"")</f>
        <v/>
      </c>
    </row>
    <row r="91" spans="1:16" x14ac:dyDescent="0.2">
      <c r="A91" s="1">
        <v>2015</v>
      </c>
      <c r="B91" t="s">
        <v>11</v>
      </c>
      <c r="C91" s="10" t="s">
        <v>1678</v>
      </c>
      <c r="D91" s="10" t="s">
        <v>1679</v>
      </c>
      <c r="E91" s="10" t="s">
        <v>1682</v>
      </c>
      <c r="F91" t="s">
        <v>508</v>
      </c>
      <c r="G91" s="4">
        <v>1579</v>
      </c>
      <c r="H91" s="4"/>
      <c r="I91" s="4"/>
      <c r="J91" s="4">
        <f>SUM(G91:I91)</f>
        <v>1579</v>
      </c>
      <c r="K91" t="s">
        <v>1659</v>
      </c>
      <c r="L91" t="s">
        <v>1659</v>
      </c>
      <c r="M91" t="s">
        <v>1012</v>
      </c>
      <c r="N91" t="s">
        <v>1132</v>
      </c>
      <c r="O91" t="s">
        <v>1132</v>
      </c>
      <c r="P91" t="str">
        <f>IFERROR(VLOOKUP(F91,Sheet1!$A$2:$B$54,2,FALSE),"")</f>
        <v/>
      </c>
    </row>
    <row r="92" spans="1:16" x14ac:dyDescent="0.2">
      <c r="A92" s="1">
        <v>2016</v>
      </c>
      <c r="B92" t="s">
        <v>11</v>
      </c>
      <c r="C92" s="10" t="s">
        <v>1678</v>
      </c>
      <c r="D92" s="10" t="s">
        <v>1679</v>
      </c>
      <c r="E92" s="10" t="s">
        <v>1682</v>
      </c>
      <c r="F92" t="s">
        <v>508</v>
      </c>
      <c r="G92" s="4">
        <v>1714</v>
      </c>
      <c r="H92" s="4"/>
      <c r="I92" s="4"/>
      <c r="J92" s="4">
        <f>SUM(G92:I92)</f>
        <v>1714</v>
      </c>
      <c r="K92" t="s">
        <v>1659</v>
      </c>
      <c r="L92" t="s">
        <v>1659</v>
      </c>
      <c r="M92" t="s">
        <v>1012</v>
      </c>
      <c r="N92" t="s">
        <v>1132</v>
      </c>
      <c r="O92" t="s">
        <v>1132</v>
      </c>
      <c r="P92" t="str">
        <f>IFERROR(VLOOKUP(F92,Sheet1!$A$2:$B$54,2,FALSE),"")</f>
        <v/>
      </c>
    </row>
    <row r="93" spans="1:16" x14ac:dyDescent="0.2">
      <c r="A93" s="1">
        <v>2017</v>
      </c>
      <c r="B93" t="s">
        <v>11</v>
      </c>
      <c r="C93" s="10" t="s">
        <v>1678</v>
      </c>
      <c r="D93" s="10" t="s">
        <v>1679</v>
      </c>
      <c r="E93" s="10" t="s">
        <v>1682</v>
      </c>
      <c r="F93" t="s">
        <v>508</v>
      </c>
      <c r="G93" s="4">
        <v>1791</v>
      </c>
      <c r="H93" s="4"/>
      <c r="I93" s="4"/>
      <c r="J93" s="4">
        <f>SUM(G93:I93)</f>
        <v>1791</v>
      </c>
      <c r="K93" t="s">
        <v>1659</v>
      </c>
      <c r="L93" t="s">
        <v>1659</v>
      </c>
      <c r="M93" t="s">
        <v>1012</v>
      </c>
      <c r="N93" t="s">
        <v>1132</v>
      </c>
      <c r="O93" t="s">
        <v>1132</v>
      </c>
      <c r="P93" t="str">
        <f>IFERROR(VLOOKUP(F93,Sheet1!$A$2:$B$54,2,FALSE),"")</f>
        <v/>
      </c>
    </row>
    <row r="94" spans="1:16" x14ac:dyDescent="0.2">
      <c r="A94" s="1">
        <v>2018</v>
      </c>
      <c r="B94" t="s">
        <v>11</v>
      </c>
      <c r="C94" s="10" t="s">
        <v>1678</v>
      </c>
      <c r="D94" s="10" t="s">
        <v>1679</v>
      </c>
      <c r="E94" s="10" t="s">
        <v>1682</v>
      </c>
      <c r="F94" t="s">
        <v>508</v>
      </c>
      <c r="G94" s="4">
        <v>1864</v>
      </c>
      <c r="H94" s="4"/>
      <c r="I94" s="4"/>
      <c r="J94" s="4">
        <f>SUM(G94:I94)</f>
        <v>1864</v>
      </c>
      <c r="K94" t="s">
        <v>1659</v>
      </c>
      <c r="L94" t="s">
        <v>1659</v>
      </c>
      <c r="M94" t="s">
        <v>1012</v>
      </c>
      <c r="N94" t="s">
        <v>1132</v>
      </c>
      <c r="O94" t="s">
        <v>1132</v>
      </c>
      <c r="P94" t="str">
        <f>IFERROR(VLOOKUP(F94,Sheet1!$A$2:$B$54,2,FALSE),"")</f>
        <v/>
      </c>
    </row>
    <row r="95" spans="1:16" x14ac:dyDescent="0.2">
      <c r="A95" s="1">
        <v>2019</v>
      </c>
      <c r="B95" t="s">
        <v>11</v>
      </c>
      <c r="C95" s="10" t="s">
        <v>1678</v>
      </c>
      <c r="D95" s="10" t="s">
        <v>1679</v>
      </c>
      <c r="E95" s="10" t="s">
        <v>1682</v>
      </c>
      <c r="F95" t="s">
        <v>508</v>
      </c>
      <c r="G95" s="4">
        <v>2102</v>
      </c>
      <c r="H95" s="4"/>
      <c r="I95" s="4"/>
      <c r="J95" s="4">
        <f>SUM(G95:I95)</f>
        <v>2102</v>
      </c>
      <c r="K95" t="s">
        <v>1659</v>
      </c>
      <c r="L95" t="s">
        <v>1659</v>
      </c>
      <c r="M95" t="s">
        <v>1013</v>
      </c>
      <c r="N95" t="s">
        <v>1132</v>
      </c>
      <c r="O95" t="s">
        <v>1132</v>
      </c>
      <c r="P95" t="str">
        <f>IFERROR(VLOOKUP(F95,Sheet1!$A$2:$B$54,2,FALSE),"")</f>
        <v/>
      </c>
    </row>
    <row r="96" spans="1:16" x14ac:dyDescent="0.2">
      <c r="A96" s="1">
        <v>2020</v>
      </c>
      <c r="B96" t="s">
        <v>11</v>
      </c>
      <c r="C96" s="10" t="s">
        <v>1678</v>
      </c>
      <c r="D96" s="10" t="s">
        <v>1679</v>
      </c>
      <c r="E96" s="10" t="s">
        <v>1682</v>
      </c>
      <c r="F96" t="s">
        <v>508</v>
      </c>
      <c r="G96" s="4">
        <v>2008</v>
      </c>
      <c r="H96" s="4"/>
      <c r="I96" s="4"/>
      <c r="J96" s="4">
        <f>SUM(G96:I96)</f>
        <v>2008</v>
      </c>
      <c r="K96" t="s">
        <v>1659</v>
      </c>
      <c r="L96" t="s">
        <v>1659</v>
      </c>
      <c r="M96" t="s">
        <v>1013</v>
      </c>
      <c r="N96" t="s">
        <v>1132</v>
      </c>
      <c r="O96" t="s">
        <v>1132</v>
      </c>
      <c r="P96" t="str">
        <f>IFERROR(VLOOKUP(F96,Sheet1!$A$2:$B$54,2,FALSE),"")</f>
        <v/>
      </c>
    </row>
    <row r="97" spans="1:16" x14ac:dyDescent="0.2">
      <c r="A97" s="1">
        <v>2021</v>
      </c>
      <c r="B97" t="s">
        <v>11</v>
      </c>
      <c r="C97" s="10" t="s">
        <v>1678</v>
      </c>
      <c r="D97" s="10" t="s">
        <v>1679</v>
      </c>
      <c r="E97" s="10" t="s">
        <v>1682</v>
      </c>
      <c r="F97" t="s">
        <v>508</v>
      </c>
      <c r="G97" s="4">
        <v>2069</v>
      </c>
      <c r="H97" s="4"/>
      <c r="I97" s="4"/>
      <c r="J97" s="4">
        <f>SUM(G97:I97)</f>
        <v>2069</v>
      </c>
      <c r="K97" t="s">
        <v>1659</v>
      </c>
      <c r="L97" t="s">
        <v>1659</v>
      </c>
      <c r="M97" t="s">
        <v>508</v>
      </c>
      <c r="N97" t="s">
        <v>1132</v>
      </c>
      <c r="O97" t="s">
        <v>1132</v>
      </c>
      <c r="P97" t="str">
        <f>IFERROR(VLOOKUP(F97,Sheet1!$A$2:$B$54,2,FALSE),"")</f>
        <v/>
      </c>
    </row>
    <row r="98" spans="1:16" x14ac:dyDescent="0.2">
      <c r="A98" s="1">
        <v>2022</v>
      </c>
      <c r="B98" t="s">
        <v>11</v>
      </c>
      <c r="C98" s="10" t="s">
        <v>1678</v>
      </c>
      <c r="D98" s="10" t="s">
        <v>1679</v>
      </c>
      <c r="E98" s="10" t="s">
        <v>1682</v>
      </c>
      <c r="F98" t="s">
        <v>508</v>
      </c>
      <c r="G98" s="4">
        <v>2299</v>
      </c>
      <c r="H98" s="4"/>
      <c r="I98" s="4"/>
      <c r="J98" s="4">
        <f>SUM(G98:I98)</f>
        <v>2299</v>
      </c>
      <c r="K98" t="s">
        <v>1659</v>
      </c>
      <c r="L98" t="s">
        <v>1659</v>
      </c>
      <c r="M98" t="s">
        <v>508</v>
      </c>
      <c r="N98" t="s">
        <v>1132</v>
      </c>
      <c r="O98" t="s">
        <v>1132</v>
      </c>
      <c r="P98" t="str">
        <f>IFERROR(VLOOKUP(F98,Sheet1!$A$2:$B$54,2,FALSE),"")</f>
        <v/>
      </c>
    </row>
    <row r="99" spans="1:16" x14ac:dyDescent="0.2">
      <c r="A99" s="1">
        <v>2023</v>
      </c>
      <c r="B99" t="s">
        <v>11</v>
      </c>
      <c r="C99" s="10" t="s">
        <v>1678</v>
      </c>
      <c r="D99" s="10" t="s">
        <v>1679</v>
      </c>
      <c r="E99" s="10" t="s">
        <v>1682</v>
      </c>
      <c r="F99" t="s">
        <v>508</v>
      </c>
      <c r="G99" s="4">
        <v>2687</v>
      </c>
      <c r="H99" s="4"/>
      <c r="I99" s="4"/>
      <c r="J99" s="4">
        <f>SUM(G99:I99)</f>
        <v>2687</v>
      </c>
      <c r="K99" t="s">
        <v>1659</v>
      </c>
      <c r="L99" t="s">
        <v>1659</v>
      </c>
      <c r="M99" t="s">
        <v>508</v>
      </c>
      <c r="N99" t="s">
        <v>1132</v>
      </c>
      <c r="O99" t="s">
        <v>1132</v>
      </c>
      <c r="P99" t="str">
        <f>IFERROR(VLOOKUP(F99,Sheet1!$A$2:$B$54,2,FALSE),"")</f>
        <v/>
      </c>
    </row>
    <row r="100" spans="1:16" x14ac:dyDescent="0.2">
      <c r="A100" s="1">
        <v>2019</v>
      </c>
      <c r="B100" t="s">
        <v>12</v>
      </c>
      <c r="C100" s="10" t="s">
        <v>1678</v>
      </c>
      <c r="D100" s="10" t="s">
        <v>1679</v>
      </c>
      <c r="E100" s="10" t="s">
        <v>1682</v>
      </c>
      <c r="F100" t="s">
        <v>509</v>
      </c>
      <c r="G100" s="4">
        <v>683</v>
      </c>
      <c r="H100" s="4"/>
      <c r="I100" s="4"/>
      <c r="J100" s="4">
        <f>SUM(G100:I100)</f>
        <v>683</v>
      </c>
      <c r="K100" t="s">
        <v>1659</v>
      </c>
      <c r="L100" t="s">
        <v>1659</v>
      </c>
      <c r="M100" t="s">
        <v>1014</v>
      </c>
      <c r="N100" t="s">
        <v>1132</v>
      </c>
      <c r="O100" t="s">
        <v>1132</v>
      </c>
      <c r="P100" t="str">
        <f>IFERROR(VLOOKUP(F100,Sheet1!$A$2:$B$54,2,FALSE),"")</f>
        <v/>
      </c>
    </row>
    <row r="101" spans="1:16" x14ac:dyDescent="0.2">
      <c r="A101" s="1">
        <v>2020</v>
      </c>
      <c r="B101" t="s">
        <v>12</v>
      </c>
      <c r="C101" s="10" t="s">
        <v>1678</v>
      </c>
      <c r="D101" s="10" t="s">
        <v>1679</v>
      </c>
      <c r="E101" s="10" t="s">
        <v>1682</v>
      </c>
      <c r="F101" t="s">
        <v>509</v>
      </c>
      <c r="G101" s="4">
        <v>3089</v>
      </c>
      <c r="H101" s="4"/>
      <c r="I101" s="4"/>
      <c r="J101" s="4">
        <f>SUM(G101:I101)</f>
        <v>3089</v>
      </c>
      <c r="K101" t="s">
        <v>1659</v>
      </c>
      <c r="L101" t="s">
        <v>1659</v>
      </c>
      <c r="M101" t="s">
        <v>1014</v>
      </c>
      <c r="N101" t="s">
        <v>1132</v>
      </c>
      <c r="O101" t="s">
        <v>1132</v>
      </c>
      <c r="P101" t="str">
        <f>IFERROR(VLOOKUP(F101,Sheet1!$A$2:$B$54,2,FALSE),"")</f>
        <v/>
      </c>
    </row>
    <row r="102" spans="1:16" x14ac:dyDescent="0.2">
      <c r="A102" s="1">
        <v>2021</v>
      </c>
      <c r="B102" t="s">
        <v>12</v>
      </c>
      <c r="C102" s="10" t="s">
        <v>1678</v>
      </c>
      <c r="D102" s="10" t="s">
        <v>1679</v>
      </c>
      <c r="E102" s="10" t="s">
        <v>1682</v>
      </c>
      <c r="F102" t="s">
        <v>509</v>
      </c>
      <c r="G102" s="4">
        <v>0</v>
      </c>
      <c r="H102" s="4"/>
      <c r="I102" s="4"/>
      <c r="J102" s="4">
        <f>SUM(G102:I102)</f>
        <v>0</v>
      </c>
      <c r="K102" t="s">
        <v>1659</v>
      </c>
      <c r="L102" t="s">
        <v>1659</v>
      </c>
      <c r="M102" t="s">
        <v>1015</v>
      </c>
      <c r="N102" t="s">
        <v>1132</v>
      </c>
      <c r="O102" t="s">
        <v>1132</v>
      </c>
      <c r="P102" t="str">
        <f>IFERROR(VLOOKUP(F102,Sheet1!$A$2:$B$54,2,FALSE),"")</f>
        <v/>
      </c>
    </row>
    <row r="103" spans="1:16" x14ac:dyDescent="0.2">
      <c r="A103" s="1">
        <v>2022</v>
      </c>
      <c r="B103" t="s">
        <v>12</v>
      </c>
      <c r="C103" s="10" t="s">
        <v>1678</v>
      </c>
      <c r="D103" s="10" t="s">
        <v>1679</v>
      </c>
      <c r="E103" s="10" t="s">
        <v>1682</v>
      </c>
      <c r="F103" t="s">
        <v>509</v>
      </c>
      <c r="G103" s="4">
        <v>4453</v>
      </c>
      <c r="H103" s="4"/>
      <c r="I103" s="4"/>
      <c r="J103" s="4">
        <f>SUM(G103:I103)</f>
        <v>4453</v>
      </c>
      <c r="K103" t="s">
        <v>1659</v>
      </c>
      <c r="L103" t="s">
        <v>1659</v>
      </c>
      <c r="M103" t="s">
        <v>509</v>
      </c>
      <c r="N103" t="s">
        <v>1132</v>
      </c>
      <c r="O103" t="s">
        <v>1132</v>
      </c>
      <c r="P103" t="str">
        <f>IFERROR(VLOOKUP(F103,Sheet1!$A$2:$B$54,2,FALSE),"")</f>
        <v/>
      </c>
    </row>
    <row r="104" spans="1:16" x14ac:dyDescent="0.2">
      <c r="A104" s="1">
        <v>2023</v>
      </c>
      <c r="B104" t="s">
        <v>12</v>
      </c>
      <c r="C104" s="10" t="s">
        <v>1678</v>
      </c>
      <c r="D104" s="10" t="s">
        <v>1679</v>
      </c>
      <c r="E104" s="10" t="s">
        <v>1682</v>
      </c>
      <c r="F104" t="s">
        <v>509</v>
      </c>
      <c r="G104" s="4">
        <v>2637</v>
      </c>
      <c r="H104" s="4"/>
      <c r="I104" s="4"/>
      <c r="J104" s="4">
        <f>SUM(G104:I104)</f>
        <v>2637</v>
      </c>
      <c r="K104" t="s">
        <v>1659</v>
      </c>
      <c r="L104" t="s">
        <v>1659</v>
      </c>
      <c r="M104" t="s">
        <v>509</v>
      </c>
      <c r="N104" t="s">
        <v>1132</v>
      </c>
      <c r="O104" t="s">
        <v>1132</v>
      </c>
      <c r="P104" t="str">
        <f>IFERROR(VLOOKUP(F104,Sheet1!$A$2:$B$54,2,FALSE),"")</f>
        <v/>
      </c>
    </row>
    <row r="105" spans="1:16" x14ac:dyDescent="0.2">
      <c r="A105" s="1">
        <v>2015</v>
      </c>
      <c r="B105" t="s">
        <v>13</v>
      </c>
      <c r="C105" s="10" t="s">
        <v>1678</v>
      </c>
      <c r="D105" s="10" t="s">
        <v>1679</v>
      </c>
      <c r="E105" s="10" t="s">
        <v>1682</v>
      </c>
      <c r="F105" t="s">
        <v>510</v>
      </c>
      <c r="G105" s="4">
        <v>13714</v>
      </c>
      <c r="H105" s="4"/>
      <c r="I105" s="4"/>
      <c r="J105" s="4">
        <f>SUM(G105:I105)</f>
        <v>13714</v>
      </c>
      <c r="K105" t="s">
        <v>1659</v>
      </c>
      <c r="L105" t="s">
        <v>1659</v>
      </c>
      <c r="M105" t="s">
        <v>1016</v>
      </c>
      <c r="N105" t="s">
        <v>1132</v>
      </c>
      <c r="O105" t="s">
        <v>1132</v>
      </c>
      <c r="P105" t="str">
        <f>IFERROR(VLOOKUP(F105,Sheet1!$A$2:$B$54,2,FALSE),"")</f>
        <v/>
      </c>
    </row>
    <row r="106" spans="1:16" x14ac:dyDescent="0.2">
      <c r="A106" s="1">
        <v>2016</v>
      </c>
      <c r="B106" t="s">
        <v>13</v>
      </c>
      <c r="C106" s="10" t="s">
        <v>1678</v>
      </c>
      <c r="D106" s="10" t="s">
        <v>1679</v>
      </c>
      <c r="E106" s="10" t="s">
        <v>1682</v>
      </c>
      <c r="F106" t="s">
        <v>510</v>
      </c>
      <c r="G106" s="4">
        <v>20528</v>
      </c>
      <c r="H106" s="4"/>
      <c r="I106" s="4"/>
      <c r="J106" s="4">
        <f>SUM(G106:I106)</f>
        <v>20528</v>
      </c>
      <c r="K106" t="s">
        <v>1659</v>
      </c>
      <c r="L106" t="s">
        <v>1659</v>
      </c>
      <c r="M106" t="s">
        <v>1016</v>
      </c>
      <c r="N106" t="s">
        <v>1132</v>
      </c>
      <c r="O106" t="s">
        <v>1132</v>
      </c>
      <c r="P106" t="str">
        <f>IFERROR(VLOOKUP(F106,Sheet1!$A$2:$B$54,2,FALSE),"")</f>
        <v/>
      </c>
    </row>
    <row r="107" spans="1:16" x14ac:dyDescent="0.2">
      <c r="A107" s="1">
        <v>2017</v>
      </c>
      <c r="B107" t="s">
        <v>13</v>
      </c>
      <c r="C107" s="10" t="s">
        <v>1678</v>
      </c>
      <c r="D107" s="10" t="s">
        <v>1679</v>
      </c>
      <c r="E107" s="10" t="s">
        <v>1682</v>
      </c>
      <c r="F107" t="s">
        <v>510</v>
      </c>
      <c r="G107" s="4">
        <v>24356</v>
      </c>
      <c r="H107" s="4"/>
      <c r="I107" s="4"/>
      <c r="J107" s="4">
        <f>SUM(G107:I107)</f>
        <v>24356</v>
      </c>
      <c r="K107" t="s">
        <v>1659</v>
      </c>
      <c r="L107" t="s">
        <v>1659</v>
      </c>
      <c r="M107" t="s">
        <v>1017</v>
      </c>
      <c r="N107" t="s">
        <v>1132</v>
      </c>
      <c r="O107" t="s">
        <v>1132</v>
      </c>
      <c r="P107" t="str">
        <f>IFERROR(VLOOKUP(F107,Sheet1!$A$2:$B$54,2,FALSE),"")</f>
        <v/>
      </c>
    </row>
    <row r="108" spans="1:16" x14ac:dyDescent="0.2">
      <c r="A108" s="1">
        <v>2018</v>
      </c>
      <c r="B108" t="s">
        <v>13</v>
      </c>
      <c r="C108" s="10" t="s">
        <v>1678</v>
      </c>
      <c r="D108" s="10" t="s">
        <v>1679</v>
      </c>
      <c r="E108" s="10" t="s">
        <v>1682</v>
      </c>
      <c r="F108" t="s">
        <v>510</v>
      </c>
      <c r="G108" s="4">
        <v>32475</v>
      </c>
      <c r="H108" s="4"/>
      <c r="I108" s="4"/>
      <c r="J108" s="4">
        <f>SUM(G108:I108)</f>
        <v>32475</v>
      </c>
      <c r="K108" t="s">
        <v>1659</v>
      </c>
      <c r="L108" t="s">
        <v>1659</v>
      </c>
      <c r="M108" t="s">
        <v>1017</v>
      </c>
      <c r="N108" t="s">
        <v>1132</v>
      </c>
      <c r="O108" t="s">
        <v>1132</v>
      </c>
      <c r="P108" t="str">
        <f>IFERROR(VLOOKUP(F108,Sheet1!$A$2:$B$54,2,FALSE),"")</f>
        <v/>
      </c>
    </row>
    <row r="109" spans="1:16" x14ac:dyDescent="0.2">
      <c r="A109" s="1">
        <v>2019</v>
      </c>
      <c r="B109" t="s">
        <v>13</v>
      </c>
      <c r="C109" s="10" t="s">
        <v>1678</v>
      </c>
      <c r="D109" s="10" t="s">
        <v>1679</v>
      </c>
      <c r="E109" s="10" t="s">
        <v>1682</v>
      </c>
      <c r="F109" t="s">
        <v>510</v>
      </c>
      <c r="G109" s="4">
        <v>42610</v>
      </c>
      <c r="H109" s="4"/>
      <c r="I109" s="4"/>
      <c r="J109" s="4">
        <f>SUM(G109:I109)</f>
        <v>42610</v>
      </c>
      <c r="K109" t="s">
        <v>1659</v>
      </c>
      <c r="L109" t="s">
        <v>1659</v>
      </c>
      <c r="M109" t="s">
        <v>1017</v>
      </c>
      <c r="N109" t="s">
        <v>1132</v>
      </c>
      <c r="O109" t="s">
        <v>1132</v>
      </c>
      <c r="P109" t="str">
        <f>IFERROR(VLOOKUP(F109,Sheet1!$A$2:$B$54,2,FALSE),"")</f>
        <v/>
      </c>
    </row>
    <row r="110" spans="1:16" x14ac:dyDescent="0.2">
      <c r="A110" s="1">
        <v>2020</v>
      </c>
      <c r="B110" t="s">
        <v>13</v>
      </c>
      <c r="C110" s="10" t="s">
        <v>1678</v>
      </c>
      <c r="D110" s="10" t="s">
        <v>1679</v>
      </c>
      <c r="E110" s="10" t="s">
        <v>1682</v>
      </c>
      <c r="F110" t="s">
        <v>510</v>
      </c>
      <c r="G110" s="4">
        <v>57526</v>
      </c>
      <c r="H110" s="4"/>
      <c r="I110" s="4"/>
      <c r="J110" s="4">
        <f>SUM(G110:I110)</f>
        <v>57526</v>
      </c>
      <c r="K110" t="s">
        <v>1659</v>
      </c>
      <c r="L110" t="s">
        <v>1659</v>
      </c>
      <c r="M110" t="s">
        <v>1017</v>
      </c>
      <c r="N110" t="s">
        <v>1132</v>
      </c>
      <c r="O110" t="s">
        <v>1132</v>
      </c>
      <c r="P110" t="str">
        <f>IFERROR(VLOOKUP(F110,Sheet1!$A$2:$B$54,2,FALSE),"")</f>
        <v/>
      </c>
    </row>
    <row r="111" spans="1:16" x14ac:dyDescent="0.2">
      <c r="A111" s="1">
        <v>2021</v>
      </c>
      <c r="B111" t="s">
        <v>13</v>
      </c>
      <c r="C111" s="10" t="s">
        <v>1678</v>
      </c>
      <c r="D111" s="10" t="s">
        <v>1679</v>
      </c>
      <c r="E111" s="10" t="s">
        <v>1682</v>
      </c>
      <c r="F111" t="s">
        <v>510</v>
      </c>
      <c r="G111" s="4">
        <v>70031</v>
      </c>
      <c r="H111" s="4"/>
      <c r="I111" s="4"/>
      <c r="J111" s="4">
        <f>SUM(G111:I111)</f>
        <v>70031</v>
      </c>
      <c r="K111" t="s">
        <v>1659</v>
      </c>
      <c r="L111" t="s">
        <v>1659</v>
      </c>
      <c r="M111" t="s">
        <v>510</v>
      </c>
      <c r="N111" t="s">
        <v>1132</v>
      </c>
      <c r="O111" t="s">
        <v>1132</v>
      </c>
      <c r="P111" t="str">
        <f>IFERROR(VLOOKUP(F111,Sheet1!$A$2:$B$54,2,FALSE),"")</f>
        <v/>
      </c>
    </row>
    <row r="112" spans="1:16" x14ac:dyDescent="0.2">
      <c r="A112" s="1">
        <v>2022</v>
      </c>
      <c r="B112" t="s">
        <v>13</v>
      </c>
      <c r="C112" s="10" t="s">
        <v>1678</v>
      </c>
      <c r="D112" s="10" t="s">
        <v>1679</v>
      </c>
      <c r="E112" s="10" t="s">
        <v>1682</v>
      </c>
      <c r="F112" t="s">
        <v>510</v>
      </c>
      <c r="G112" s="4">
        <v>66319</v>
      </c>
      <c r="H112" s="4"/>
      <c r="I112" s="4"/>
      <c r="J112" s="4">
        <f>SUM(G112:I112)</f>
        <v>66319</v>
      </c>
      <c r="K112" t="s">
        <v>1659</v>
      </c>
      <c r="L112" t="s">
        <v>1659</v>
      </c>
      <c r="M112" t="s">
        <v>510</v>
      </c>
      <c r="N112" t="s">
        <v>1132</v>
      </c>
      <c r="O112" t="s">
        <v>1132</v>
      </c>
      <c r="P112" t="str">
        <f>IFERROR(VLOOKUP(F112,Sheet1!$A$2:$B$54,2,FALSE),"")</f>
        <v/>
      </c>
    </row>
    <row r="113" spans="1:16" x14ac:dyDescent="0.2">
      <c r="A113" s="1">
        <v>2023</v>
      </c>
      <c r="B113" t="s">
        <v>13</v>
      </c>
      <c r="C113" s="10" t="s">
        <v>1678</v>
      </c>
      <c r="D113" s="10" t="s">
        <v>1679</v>
      </c>
      <c r="E113" s="10" t="s">
        <v>1682</v>
      </c>
      <c r="F113" t="s">
        <v>510</v>
      </c>
      <c r="G113" s="4">
        <v>82024</v>
      </c>
      <c r="H113" s="4"/>
      <c r="I113" s="4"/>
      <c r="J113" s="4">
        <f>SUM(G113:I113)</f>
        <v>82024</v>
      </c>
      <c r="K113" t="s">
        <v>1659</v>
      </c>
      <c r="L113" t="s">
        <v>1659</v>
      </c>
      <c r="M113" t="s">
        <v>510</v>
      </c>
      <c r="N113" t="s">
        <v>1132</v>
      </c>
      <c r="O113" t="s">
        <v>1132</v>
      </c>
      <c r="P113" t="str">
        <f>IFERROR(VLOOKUP(F113,Sheet1!$A$2:$B$54,2,FALSE),"")</f>
        <v/>
      </c>
    </row>
    <row r="114" spans="1:16" x14ac:dyDescent="0.2">
      <c r="A114" s="1">
        <v>2015</v>
      </c>
      <c r="B114" t="s">
        <v>14</v>
      </c>
      <c r="C114" s="10" t="s">
        <v>1678</v>
      </c>
      <c r="D114" s="10" t="s">
        <v>1679</v>
      </c>
      <c r="E114" s="10" t="s">
        <v>1682</v>
      </c>
      <c r="F114" t="s">
        <v>511</v>
      </c>
      <c r="G114" s="4">
        <v>77907</v>
      </c>
      <c r="H114" s="4"/>
      <c r="I114" s="4"/>
      <c r="J114" s="4">
        <f>SUM(G114:I114)</f>
        <v>77907</v>
      </c>
      <c r="K114" t="s">
        <v>1659</v>
      </c>
      <c r="L114" t="s">
        <v>1659</v>
      </c>
      <c r="M114" t="s">
        <v>1018</v>
      </c>
      <c r="N114" t="s">
        <v>1132</v>
      </c>
      <c r="O114" t="s">
        <v>1132</v>
      </c>
      <c r="P114" t="str">
        <f>IFERROR(VLOOKUP(F114,Sheet1!$A$2:$B$54,2,FALSE),"")</f>
        <v/>
      </c>
    </row>
    <row r="115" spans="1:16" x14ac:dyDescent="0.2">
      <c r="A115" s="1">
        <v>2016</v>
      </c>
      <c r="B115" t="s">
        <v>14</v>
      </c>
      <c r="C115" s="10" t="s">
        <v>1678</v>
      </c>
      <c r="D115" s="10" t="s">
        <v>1679</v>
      </c>
      <c r="E115" s="10" t="s">
        <v>1682</v>
      </c>
      <c r="F115" t="s">
        <v>511</v>
      </c>
      <c r="G115" s="4">
        <v>96666</v>
      </c>
      <c r="H115" s="4"/>
      <c r="I115" s="4"/>
      <c r="J115" s="4">
        <f>SUM(G115:I115)</f>
        <v>96666</v>
      </c>
      <c r="K115" t="s">
        <v>1659</v>
      </c>
      <c r="L115" t="s">
        <v>1659</v>
      </c>
      <c r="M115" t="s">
        <v>1018</v>
      </c>
      <c r="N115" t="s">
        <v>1132</v>
      </c>
      <c r="O115" t="s">
        <v>1132</v>
      </c>
      <c r="P115" t="str">
        <f>IFERROR(VLOOKUP(F115,Sheet1!$A$2:$B$54,2,FALSE),"")</f>
        <v/>
      </c>
    </row>
    <row r="116" spans="1:16" x14ac:dyDescent="0.2">
      <c r="A116" s="1">
        <v>2017</v>
      </c>
      <c r="B116" t="s">
        <v>14</v>
      </c>
      <c r="C116" s="10" t="s">
        <v>1678</v>
      </c>
      <c r="D116" s="10" t="s">
        <v>1679</v>
      </c>
      <c r="E116" s="10" t="s">
        <v>1682</v>
      </c>
      <c r="F116" t="s">
        <v>511</v>
      </c>
      <c r="G116" s="4">
        <v>106652</v>
      </c>
      <c r="H116" s="4"/>
      <c r="I116" s="4"/>
      <c r="J116" s="4">
        <f>SUM(G116:I116)</f>
        <v>106652</v>
      </c>
      <c r="K116" t="s">
        <v>1659</v>
      </c>
      <c r="L116" t="s">
        <v>1659</v>
      </c>
      <c r="M116" t="s">
        <v>1019</v>
      </c>
      <c r="N116" t="s">
        <v>1132</v>
      </c>
      <c r="O116" t="s">
        <v>1132</v>
      </c>
      <c r="P116" t="str">
        <f>IFERROR(VLOOKUP(F116,Sheet1!$A$2:$B$54,2,FALSE),"")</f>
        <v/>
      </c>
    </row>
    <row r="117" spans="1:16" x14ac:dyDescent="0.2">
      <c r="A117" s="1">
        <v>2018</v>
      </c>
      <c r="B117" t="s">
        <v>14</v>
      </c>
      <c r="C117" s="10" t="s">
        <v>1678</v>
      </c>
      <c r="D117" s="10" t="s">
        <v>1679</v>
      </c>
      <c r="E117" s="10" t="s">
        <v>1682</v>
      </c>
      <c r="F117" t="s">
        <v>511</v>
      </c>
      <c r="G117" s="4">
        <v>133752</v>
      </c>
      <c r="H117" s="4"/>
      <c r="I117" s="4"/>
      <c r="J117" s="4">
        <f>SUM(G117:I117)</f>
        <v>133752</v>
      </c>
      <c r="K117" t="s">
        <v>1659</v>
      </c>
      <c r="L117" t="s">
        <v>1659</v>
      </c>
      <c r="M117" t="s">
        <v>1019</v>
      </c>
      <c r="N117" t="s">
        <v>1132</v>
      </c>
      <c r="O117" t="s">
        <v>1132</v>
      </c>
      <c r="P117" t="str">
        <f>IFERROR(VLOOKUP(F117,Sheet1!$A$2:$B$54,2,FALSE),"")</f>
        <v/>
      </c>
    </row>
    <row r="118" spans="1:16" x14ac:dyDescent="0.2">
      <c r="A118" s="1">
        <v>2019</v>
      </c>
      <c r="B118" t="s">
        <v>14</v>
      </c>
      <c r="C118" s="10" t="s">
        <v>1678</v>
      </c>
      <c r="D118" s="10" t="s">
        <v>1679</v>
      </c>
      <c r="E118" s="10" t="s">
        <v>1682</v>
      </c>
      <c r="F118" t="s">
        <v>511</v>
      </c>
      <c r="G118" s="4">
        <v>155521</v>
      </c>
      <c r="H118" s="4"/>
      <c r="I118" s="4"/>
      <c r="J118" s="4">
        <f>SUM(G118:I118)</f>
        <v>155521</v>
      </c>
      <c r="K118" t="s">
        <v>1659</v>
      </c>
      <c r="L118" t="s">
        <v>1659</v>
      </c>
      <c r="M118" t="s">
        <v>1019</v>
      </c>
      <c r="N118" t="s">
        <v>1132</v>
      </c>
      <c r="O118" t="s">
        <v>1132</v>
      </c>
      <c r="P118" t="str">
        <f>IFERROR(VLOOKUP(F118,Sheet1!$A$2:$B$54,2,FALSE),"")</f>
        <v/>
      </c>
    </row>
    <row r="119" spans="1:16" x14ac:dyDescent="0.2">
      <c r="A119" s="1">
        <v>2020</v>
      </c>
      <c r="B119" t="s">
        <v>14</v>
      </c>
      <c r="C119" s="10" t="s">
        <v>1678</v>
      </c>
      <c r="D119" s="10" t="s">
        <v>1679</v>
      </c>
      <c r="E119" s="10" t="s">
        <v>1682</v>
      </c>
      <c r="F119" t="s">
        <v>511</v>
      </c>
      <c r="G119" s="4">
        <v>168540</v>
      </c>
      <c r="H119" s="4"/>
      <c r="I119" s="4"/>
      <c r="J119" s="4">
        <f>SUM(G119:I119)</f>
        <v>168540</v>
      </c>
      <c r="K119" t="s">
        <v>1659</v>
      </c>
      <c r="L119" t="s">
        <v>1659</v>
      </c>
      <c r="M119" t="s">
        <v>1019</v>
      </c>
      <c r="N119" t="s">
        <v>1132</v>
      </c>
      <c r="O119" t="s">
        <v>1132</v>
      </c>
      <c r="P119" t="str">
        <f>IFERROR(VLOOKUP(F119,Sheet1!$A$2:$B$54,2,FALSE),"")</f>
        <v/>
      </c>
    </row>
    <row r="120" spans="1:16" x14ac:dyDescent="0.2">
      <c r="A120" s="1">
        <v>2021</v>
      </c>
      <c r="B120" t="s">
        <v>14</v>
      </c>
      <c r="C120" s="10" t="s">
        <v>1678</v>
      </c>
      <c r="D120" s="10" t="s">
        <v>1679</v>
      </c>
      <c r="E120" s="10" t="s">
        <v>1682</v>
      </c>
      <c r="F120" t="s">
        <v>511</v>
      </c>
      <c r="G120" s="4">
        <v>241738</v>
      </c>
      <c r="H120" s="4"/>
      <c r="I120" s="4"/>
      <c r="J120" s="4">
        <f>SUM(G120:I120)</f>
        <v>241738</v>
      </c>
      <c r="K120" t="s">
        <v>1659</v>
      </c>
      <c r="L120" t="s">
        <v>1659</v>
      </c>
      <c r="M120" t="s">
        <v>511</v>
      </c>
      <c r="N120" t="s">
        <v>1132</v>
      </c>
      <c r="O120" t="s">
        <v>1132</v>
      </c>
      <c r="P120" t="str">
        <f>IFERROR(VLOOKUP(F120,Sheet1!$A$2:$B$54,2,FALSE),"")</f>
        <v/>
      </c>
    </row>
    <row r="121" spans="1:16" x14ac:dyDescent="0.2">
      <c r="A121" s="1">
        <v>2022</v>
      </c>
      <c r="B121" t="s">
        <v>14</v>
      </c>
      <c r="C121" s="10" t="s">
        <v>1678</v>
      </c>
      <c r="D121" s="10" t="s">
        <v>1679</v>
      </c>
      <c r="E121" s="10" t="s">
        <v>1682</v>
      </c>
      <c r="F121" t="s">
        <v>511</v>
      </c>
      <c r="G121" s="4">
        <v>276761</v>
      </c>
      <c r="H121" s="4"/>
      <c r="I121" s="4"/>
      <c r="J121" s="4">
        <f>SUM(G121:I121)</f>
        <v>276761</v>
      </c>
      <c r="K121" t="s">
        <v>1659</v>
      </c>
      <c r="L121" t="s">
        <v>1659</v>
      </c>
      <c r="M121" t="s">
        <v>511</v>
      </c>
      <c r="N121" t="s">
        <v>1132</v>
      </c>
      <c r="O121" t="s">
        <v>1132</v>
      </c>
      <c r="P121" t="str">
        <f>IFERROR(VLOOKUP(F121,Sheet1!$A$2:$B$54,2,FALSE),"")</f>
        <v/>
      </c>
    </row>
    <row r="122" spans="1:16" x14ac:dyDescent="0.2">
      <c r="A122" s="1">
        <v>2023</v>
      </c>
      <c r="B122" t="s">
        <v>14</v>
      </c>
      <c r="C122" s="10" t="s">
        <v>1678</v>
      </c>
      <c r="D122" s="10" t="s">
        <v>1679</v>
      </c>
      <c r="E122" s="10" t="s">
        <v>1682</v>
      </c>
      <c r="F122" t="s">
        <v>511</v>
      </c>
      <c r="G122" s="4">
        <v>221472</v>
      </c>
      <c r="H122" s="4"/>
      <c r="I122" s="4"/>
      <c r="J122" s="4">
        <f>SUM(G122:I122)</f>
        <v>221472</v>
      </c>
      <c r="K122" t="s">
        <v>1659</v>
      </c>
      <c r="L122" t="s">
        <v>1659</v>
      </c>
      <c r="M122" t="s">
        <v>511</v>
      </c>
      <c r="N122" t="s">
        <v>1132</v>
      </c>
      <c r="O122" t="s">
        <v>1132</v>
      </c>
      <c r="P122" t="str">
        <f>IFERROR(VLOOKUP(F122,Sheet1!$A$2:$B$54,2,FALSE),"")</f>
        <v/>
      </c>
    </row>
    <row r="123" spans="1:16" x14ac:dyDescent="0.2">
      <c r="A123" s="1">
        <v>2015</v>
      </c>
      <c r="B123" t="s">
        <v>15</v>
      </c>
      <c r="C123" s="10" t="s">
        <v>1678</v>
      </c>
      <c r="D123" s="10" t="s">
        <v>1679</v>
      </c>
      <c r="E123" s="10" t="s">
        <v>1682</v>
      </c>
      <c r="F123" t="s">
        <v>512</v>
      </c>
      <c r="G123" s="4">
        <v>69264</v>
      </c>
      <c r="H123" s="4"/>
      <c r="I123" s="4"/>
      <c r="J123" s="4">
        <f>SUM(G123:I123)</f>
        <v>69264</v>
      </c>
      <c r="K123" t="s">
        <v>1659</v>
      </c>
      <c r="L123" t="s">
        <v>1659</v>
      </c>
      <c r="M123" t="s">
        <v>1020</v>
      </c>
      <c r="N123" t="s">
        <v>1132</v>
      </c>
      <c r="O123" t="s">
        <v>1132</v>
      </c>
      <c r="P123" t="str">
        <f>IFERROR(VLOOKUP(F123,Sheet1!$A$2:$B$54,2,FALSE),"")</f>
        <v/>
      </c>
    </row>
    <row r="124" spans="1:16" x14ac:dyDescent="0.2">
      <c r="A124" s="1">
        <v>2016</v>
      </c>
      <c r="B124" t="s">
        <v>15</v>
      </c>
      <c r="C124" s="10" t="s">
        <v>1678</v>
      </c>
      <c r="D124" s="10" t="s">
        <v>1679</v>
      </c>
      <c r="E124" s="10" t="s">
        <v>1682</v>
      </c>
      <c r="F124" t="s">
        <v>512</v>
      </c>
      <c r="G124" s="4">
        <v>86448</v>
      </c>
      <c r="H124" s="4"/>
      <c r="I124" s="4"/>
      <c r="J124" s="4">
        <f>SUM(G124:I124)</f>
        <v>86448</v>
      </c>
      <c r="K124" t="s">
        <v>1659</v>
      </c>
      <c r="L124" t="s">
        <v>1659</v>
      </c>
      <c r="M124" t="s">
        <v>1020</v>
      </c>
      <c r="N124" t="s">
        <v>1132</v>
      </c>
      <c r="O124" t="s">
        <v>1132</v>
      </c>
      <c r="P124" t="str">
        <f>IFERROR(VLOOKUP(F124,Sheet1!$A$2:$B$54,2,FALSE),"")</f>
        <v/>
      </c>
    </row>
    <row r="125" spans="1:16" x14ac:dyDescent="0.2">
      <c r="A125" s="1">
        <v>2017</v>
      </c>
      <c r="B125" t="s">
        <v>15</v>
      </c>
      <c r="C125" s="10" t="s">
        <v>1678</v>
      </c>
      <c r="D125" s="10" t="s">
        <v>1679</v>
      </c>
      <c r="E125" s="10" t="s">
        <v>1682</v>
      </c>
      <c r="F125" t="s">
        <v>512</v>
      </c>
      <c r="G125" s="4">
        <v>90558</v>
      </c>
      <c r="H125" s="4"/>
      <c r="I125" s="4"/>
      <c r="J125" s="4">
        <f>SUM(G125:I125)</f>
        <v>90558</v>
      </c>
      <c r="K125" t="s">
        <v>1659</v>
      </c>
      <c r="L125" t="s">
        <v>1659</v>
      </c>
      <c r="M125" t="s">
        <v>1020</v>
      </c>
      <c r="N125" t="s">
        <v>1132</v>
      </c>
      <c r="O125" t="s">
        <v>1132</v>
      </c>
      <c r="P125" t="str">
        <f>IFERROR(VLOOKUP(F125,Sheet1!$A$2:$B$54,2,FALSE),"")</f>
        <v/>
      </c>
    </row>
    <row r="126" spans="1:16" x14ac:dyDescent="0.2">
      <c r="A126" s="1">
        <v>2018</v>
      </c>
      <c r="B126" t="s">
        <v>15</v>
      </c>
      <c r="C126" s="10" t="s">
        <v>1678</v>
      </c>
      <c r="D126" s="10" t="s">
        <v>1679</v>
      </c>
      <c r="E126" s="10" t="s">
        <v>1682</v>
      </c>
      <c r="F126" t="s">
        <v>512</v>
      </c>
      <c r="G126" s="4">
        <v>112747</v>
      </c>
      <c r="H126" s="4"/>
      <c r="I126" s="4"/>
      <c r="J126" s="4">
        <f>SUM(G126:I126)</f>
        <v>112747</v>
      </c>
      <c r="K126" t="s">
        <v>1659</v>
      </c>
      <c r="L126" t="s">
        <v>1659</v>
      </c>
      <c r="M126" t="s">
        <v>1020</v>
      </c>
      <c r="N126" t="s">
        <v>1132</v>
      </c>
      <c r="O126" t="s">
        <v>1132</v>
      </c>
      <c r="P126" t="str">
        <f>IFERROR(VLOOKUP(F126,Sheet1!$A$2:$B$54,2,FALSE),"")</f>
        <v/>
      </c>
    </row>
    <row r="127" spans="1:16" x14ac:dyDescent="0.2">
      <c r="A127" s="1">
        <v>2019</v>
      </c>
      <c r="B127" t="s">
        <v>15</v>
      </c>
      <c r="C127" s="10" t="s">
        <v>1678</v>
      </c>
      <c r="D127" s="10" t="s">
        <v>1679</v>
      </c>
      <c r="E127" s="10" t="s">
        <v>1682</v>
      </c>
      <c r="F127" t="s">
        <v>512</v>
      </c>
      <c r="G127" s="4">
        <v>152270</v>
      </c>
      <c r="H127" s="4"/>
      <c r="I127" s="4"/>
      <c r="J127" s="4">
        <f>SUM(G127:I127)</f>
        <v>152270</v>
      </c>
      <c r="K127" t="s">
        <v>1659</v>
      </c>
      <c r="L127" t="s">
        <v>1659</v>
      </c>
      <c r="M127" t="s">
        <v>1020</v>
      </c>
      <c r="N127" t="s">
        <v>1132</v>
      </c>
      <c r="O127" t="s">
        <v>1132</v>
      </c>
      <c r="P127" t="str">
        <f>IFERROR(VLOOKUP(F127,Sheet1!$A$2:$B$54,2,FALSE),"")</f>
        <v/>
      </c>
    </row>
    <row r="128" spans="1:16" x14ac:dyDescent="0.2">
      <c r="A128" s="1">
        <v>2020</v>
      </c>
      <c r="B128" t="s">
        <v>15</v>
      </c>
      <c r="C128" s="10" t="s">
        <v>1678</v>
      </c>
      <c r="D128" s="10" t="s">
        <v>1679</v>
      </c>
      <c r="E128" s="10" t="s">
        <v>1682</v>
      </c>
      <c r="F128" t="s">
        <v>512</v>
      </c>
      <c r="G128" s="4">
        <v>198298</v>
      </c>
      <c r="H128" s="4"/>
      <c r="I128" s="4"/>
      <c r="J128" s="4">
        <f>SUM(G128:I128)</f>
        <v>198298</v>
      </c>
      <c r="K128" t="s">
        <v>1659</v>
      </c>
      <c r="L128" t="s">
        <v>1659</v>
      </c>
      <c r="M128" t="s">
        <v>1020</v>
      </c>
      <c r="N128" t="s">
        <v>1132</v>
      </c>
      <c r="O128" t="s">
        <v>1132</v>
      </c>
      <c r="P128" t="str">
        <f>IFERROR(VLOOKUP(F128,Sheet1!$A$2:$B$54,2,FALSE),"")</f>
        <v/>
      </c>
    </row>
    <row r="129" spans="1:16" x14ac:dyDescent="0.2">
      <c r="A129" s="1">
        <v>2021</v>
      </c>
      <c r="B129" t="s">
        <v>15</v>
      </c>
      <c r="C129" s="10" t="s">
        <v>1678</v>
      </c>
      <c r="D129" s="10" t="s">
        <v>1679</v>
      </c>
      <c r="E129" s="10" t="s">
        <v>1682</v>
      </c>
      <c r="F129" t="s">
        <v>512</v>
      </c>
      <c r="G129" s="4">
        <v>265199</v>
      </c>
      <c r="H129" s="4"/>
      <c r="I129" s="4"/>
      <c r="J129" s="4">
        <f>SUM(G129:I129)</f>
        <v>265199</v>
      </c>
      <c r="K129" t="s">
        <v>1659</v>
      </c>
      <c r="L129" t="s">
        <v>1659</v>
      </c>
      <c r="M129" t="s">
        <v>512</v>
      </c>
      <c r="N129" t="s">
        <v>1132</v>
      </c>
      <c r="O129" t="s">
        <v>1132</v>
      </c>
      <c r="P129" t="str">
        <f>IFERROR(VLOOKUP(F129,Sheet1!$A$2:$B$54,2,FALSE),"")</f>
        <v/>
      </c>
    </row>
    <row r="130" spans="1:16" x14ac:dyDescent="0.2">
      <c r="A130" s="1">
        <v>2022</v>
      </c>
      <c r="B130" t="s">
        <v>15</v>
      </c>
      <c r="C130" s="10" t="s">
        <v>1678</v>
      </c>
      <c r="D130" s="10" t="s">
        <v>1679</v>
      </c>
      <c r="E130" s="10" t="s">
        <v>1682</v>
      </c>
      <c r="F130" t="s">
        <v>512</v>
      </c>
      <c r="G130" s="4">
        <v>342434</v>
      </c>
      <c r="H130" s="4"/>
      <c r="I130" s="4"/>
      <c r="J130" s="4">
        <f>SUM(G130:I130)</f>
        <v>342434</v>
      </c>
      <c r="K130" t="s">
        <v>1659</v>
      </c>
      <c r="L130" t="s">
        <v>1659</v>
      </c>
      <c r="M130" t="s">
        <v>512</v>
      </c>
      <c r="N130" t="s">
        <v>1132</v>
      </c>
      <c r="O130" t="s">
        <v>1132</v>
      </c>
      <c r="P130" t="str">
        <f>IFERROR(VLOOKUP(F130,Sheet1!$A$2:$B$54,2,FALSE),"")</f>
        <v/>
      </c>
    </row>
    <row r="131" spans="1:16" x14ac:dyDescent="0.2">
      <c r="A131" s="1">
        <v>2023</v>
      </c>
      <c r="B131" t="s">
        <v>15</v>
      </c>
      <c r="C131" s="10" t="s">
        <v>1678</v>
      </c>
      <c r="D131" s="10" t="s">
        <v>1679</v>
      </c>
      <c r="E131" s="10" t="s">
        <v>1682</v>
      </c>
      <c r="F131" t="s">
        <v>512</v>
      </c>
      <c r="G131" s="4">
        <v>371208</v>
      </c>
      <c r="H131" s="4"/>
      <c r="I131" s="4"/>
      <c r="J131" s="4">
        <f>SUM(G131:I131)</f>
        <v>371208</v>
      </c>
      <c r="K131" t="s">
        <v>1659</v>
      </c>
      <c r="L131" t="s">
        <v>1659</v>
      </c>
      <c r="M131" t="s">
        <v>512</v>
      </c>
      <c r="N131" t="s">
        <v>1132</v>
      </c>
      <c r="O131" t="s">
        <v>1132</v>
      </c>
      <c r="P131" t="str">
        <f>IFERROR(VLOOKUP(F131,Sheet1!$A$2:$B$54,2,FALSE),"")</f>
        <v/>
      </c>
    </row>
    <row r="132" spans="1:16" x14ac:dyDescent="0.2">
      <c r="A132" s="1">
        <v>2015</v>
      </c>
      <c r="B132" t="s">
        <v>16</v>
      </c>
      <c r="C132" s="10" t="s">
        <v>1678</v>
      </c>
      <c r="D132" s="10" t="s">
        <v>1679</v>
      </c>
      <c r="E132" s="10" t="s">
        <v>1682</v>
      </c>
      <c r="F132" t="s">
        <v>513</v>
      </c>
      <c r="G132" s="4">
        <v>5866</v>
      </c>
      <c r="H132" s="4"/>
      <c r="I132" s="4"/>
      <c r="J132" s="4">
        <f>SUM(G132:I132)</f>
        <v>5866</v>
      </c>
      <c r="K132" t="s">
        <v>1659</v>
      </c>
      <c r="L132" t="s">
        <v>1659</v>
      </c>
      <c r="M132" t="s">
        <v>1021</v>
      </c>
      <c r="N132" t="s">
        <v>1132</v>
      </c>
      <c r="O132" t="s">
        <v>1132</v>
      </c>
      <c r="P132" t="str">
        <f>IFERROR(VLOOKUP(F132,Sheet1!$A$2:$B$54,2,FALSE),"")</f>
        <v/>
      </c>
    </row>
    <row r="133" spans="1:16" x14ac:dyDescent="0.2">
      <c r="A133" s="1">
        <v>2016</v>
      </c>
      <c r="B133" t="s">
        <v>16</v>
      </c>
      <c r="C133" s="10" t="s">
        <v>1678</v>
      </c>
      <c r="D133" s="10" t="s">
        <v>1679</v>
      </c>
      <c r="E133" s="10" t="s">
        <v>1682</v>
      </c>
      <c r="F133" t="s">
        <v>513</v>
      </c>
      <c r="G133" s="4">
        <v>6453</v>
      </c>
      <c r="H133" s="4"/>
      <c r="I133" s="4"/>
      <c r="J133" s="4">
        <f>SUM(G133:I133)</f>
        <v>6453</v>
      </c>
      <c r="K133" t="s">
        <v>1659</v>
      </c>
      <c r="L133" t="s">
        <v>1659</v>
      </c>
      <c r="M133" t="s">
        <v>1021</v>
      </c>
      <c r="N133" t="s">
        <v>1132</v>
      </c>
      <c r="O133" t="s">
        <v>1132</v>
      </c>
      <c r="P133" t="str">
        <f>IFERROR(VLOOKUP(F133,Sheet1!$A$2:$B$54,2,FALSE),"")</f>
        <v/>
      </c>
    </row>
    <row r="134" spans="1:16" x14ac:dyDescent="0.2">
      <c r="A134" s="1">
        <v>2017</v>
      </c>
      <c r="B134" t="s">
        <v>16</v>
      </c>
      <c r="C134" s="10" t="s">
        <v>1678</v>
      </c>
      <c r="D134" s="10" t="s">
        <v>1679</v>
      </c>
      <c r="E134" s="10" t="s">
        <v>1682</v>
      </c>
      <c r="F134" t="s">
        <v>513</v>
      </c>
      <c r="G134" s="4">
        <v>7305</v>
      </c>
      <c r="H134" s="4"/>
      <c r="I134" s="4"/>
      <c r="J134" s="4">
        <f>SUM(G134:I134)</f>
        <v>7305</v>
      </c>
      <c r="K134" t="s">
        <v>1659</v>
      </c>
      <c r="L134" t="s">
        <v>1659</v>
      </c>
      <c r="M134" t="s">
        <v>1021</v>
      </c>
      <c r="N134" t="s">
        <v>1132</v>
      </c>
      <c r="O134" t="s">
        <v>1132</v>
      </c>
      <c r="P134" t="str">
        <f>IFERROR(VLOOKUP(F134,Sheet1!$A$2:$B$54,2,FALSE),"")</f>
        <v/>
      </c>
    </row>
    <row r="135" spans="1:16" x14ac:dyDescent="0.2">
      <c r="A135" s="1">
        <v>2018</v>
      </c>
      <c r="B135" t="s">
        <v>16</v>
      </c>
      <c r="C135" s="10" t="s">
        <v>1678</v>
      </c>
      <c r="D135" s="10" t="s">
        <v>1679</v>
      </c>
      <c r="E135" s="10" t="s">
        <v>1682</v>
      </c>
      <c r="F135" t="s">
        <v>513</v>
      </c>
      <c r="G135" s="4">
        <v>12596</v>
      </c>
      <c r="H135" s="4"/>
      <c r="I135" s="4"/>
      <c r="J135" s="4">
        <f>SUM(G135:I135)</f>
        <v>12596</v>
      </c>
      <c r="K135" t="s">
        <v>1659</v>
      </c>
      <c r="L135" t="s">
        <v>1659</v>
      </c>
      <c r="M135" t="s">
        <v>1021</v>
      </c>
      <c r="N135" t="s">
        <v>1132</v>
      </c>
      <c r="O135" t="s">
        <v>1132</v>
      </c>
      <c r="P135" t="str">
        <f>IFERROR(VLOOKUP(F135,Sheet1!$A$2:$B$54,2,FALSE),"")</f>
        <v/>
      </c>
    </row>
    <row r="136" spans="1:16" x14ac:dyDescent="0.2">
      <c r="A136" s="1">
        <v>2019</v>
      </c>
      <c r="B136" t="s">
        <v>16</v>
      </c>
      <c r="C136" s="10" t="s">
        <v>1678</v>
      </c>
      <c r="D136" s="10" t="s">
        <v>1679</v>
      </c>
      <c r="E136" s="10" t="s">
        <v>1682</v>
      </c>
      <c r="F136" t="s">
        <v>513</v>
      </c>
      <c r="G136" s="4">
        <v>20379</v>
      </c>
      <c r="H136" s="4"/>
      <c r="I136" s="4"/>
      <c r="J136" s="4">
        <f>SUM(G136:I136)</f>
        <v>20379</v>
      </c>
      <c r="K136" t="s">
        <v>1659</v>
      </c>
      <c r="L136" t="s">
        <v>1659</v>
      </c>
      <c r="M136" t="s">
        <v>1021</v>
      </c>
      <c r="N136" t="s">
        <v>1132</v>
      </c>
      <c r="O136" t="s">
        <v>1132</v>
      </c>
      <c r="P136" t="str">
        <f>IFERROR(VLOOKUP(F136,Sheet1!$A$2:$B$54,2,FALSE),"")</f>
        <v/>
      </c>
    </row>
    <row r="137" spans="1:16" x14ac:dyDescent="0.2">
      <c r="A137" s="1">
        <v>2020</v>
      </c>
      <c r="B137" t="s">
        <v>16</v>
      </c>
      <c r="C137" s="10" t="s">
        <v>1678</v>
      </c>
      <c r="D137" s="10" t="s">
        <v>1679</v>
      </c>
      <c r="E137" s="10" t="s">
        <v>1682</v>
      </c>
      <c r="F137" t="s">
        <v>513</v>
      </c>
      <c r="G137" s="4">
        <v>21823</v>
      </c>
      <c r="H137" s="4"/>
      <c r="I137" s="4"/>
      <c r="J137" s="4">
        <f>SUM(G137:I137)</f>
        <v>21823</v>
      </c>
      <c r="K137" t="s">
        <v>1659</v>
      </c>
      <c r="L137" t="s">
        <v>1659</v>
      </c>
      <c r="M137" t="s">
        <v>1021</v>
      </c>
      <c r="N137" t="s">
        <v>1132</v>
      </c>
      <c r="O137" t="s">
        <v>1132</v>
      </c>
      <c r="P137" t="str">
        <f>IFERROR(VLOOKUP(F137,Sheet1!$A$2:$B$54,2,FALSE),"")</f>
        <v/>
      </c>
    </row>
    <row r="138" spans="1:16" x14ac:dyDescent="0.2">
      <c r="A138" s="1">
        <v>2021</v>
      </c>
      <c r="B138" t="s">
        <v>16</v>
      </c>
      <c r="C138" s="10" t="s">
        <v>1678</v>
      </c>
      <c r="D138" s="10" t="s">
        <v>1679</v>
      </c>
      <c r="E138" s="10" t="s">
        <v>1682</v>
      </c>
      <c r="F138" t="s">
        <v>513</v>
      </c>
      <c r="G138" s="4">
        <v>22474</v>
      </c>
      <c r="H138" s="4"/>
      <c r="I138" s="4"/>
      <c r="J138" s="4">
        <f>SUM(G138:I138)</f>
        <v>22474</v>
      </c>
      <c r="K138" t="s">
        <v>1659</v>
      </c>
      <c r="L138" t="s">
        <v>1659</v>
      </c>
      <c r="M138" t="s">
        <v>513</v>
      </c>
      <c r="N138" t="s">
        <v>1132</v>
      </c>
      <c r="O138" t="s">
        <v>1132</v>
      </c>
      <c r="P138" t="str">
        <f>IFERROR(VLOOKUP(F138,Sheet1!$A$2:$B$54,2,FALSE),"")</f>
        <v/>
      </c>
    </row>
    <row r="139" spans="1:16" x14ac:dyDescent="0.2">
      <c r="A139" s="1">
        <v>2022</v>
      </c>
      <c r="B139" t="s">
        <v>16</v>
      </c>
      <c r="C139" s="10" t="s">
        <v>1678</v>
      </c>
      <c r="D139" s="10" t="s">
        <v>1679</v>
      </c>
      <c r="E139" s="10" t="s">
        <v>1682</v>
      </c>
      <c r="F139" t="s">
        <v>513</v>
      </c>
      <c r="G139" s="4">
        <v>26401</v>
      </c>
      <c r="H139" s="4"/>
      <c r="I139" s="4"/>
      <c r="J139" s="4">
        <f>SUM(G139:I139)</f>
        <v>26401</v>
      </c>
      <c r="K139" t="s">
        <v>1659</v>
      </c>
      <c r="L139" t="s">
        <v>1659</v>
      </c>
      <c r="M139" t="s">
        <v>513</v>
      </c>
      <c r="N139" t="s">
        <v>1132</v>
      </c>
      <c r="O139" t="s">
        <v>1132</v>
      </c>
      <c r="P139" t="str">
        <f>IFERROR(VLOOKUP(F139,Sheet1!$A$2:$B$54,2,FALSE),"")</f>
        <v/>
      </c>
    </row>
    <row r="140" spans="1:16" x14ac:dyDescent="0.2">
      <c r="A140" s="1">
        <v>2023</v>
      </c>
      <c r="B140" t="s">
        <v>16</v>
      </c>
      <c r="C140" s="10" t="s">
        <v>1678</v>
      </c>
      <c r="D140" s="10" t="s">
        <v>1679</v>
      </c>
      <c r="E140" s="10" t="s">
        <v>1682</v>
      </c>
      <c r="F140" t="s">
        <v>513</v>
      </c>
      <c r="G140" s="4">
        <v>20481</v>
      </c>
      <c r="H140" s="4"/>
      <c r="I140" s="4"/>
      <c r="J140" s="4">
        <f>SUM(G140:I140)</f>
        <v>20481</v>
      </c>
      <c r="K140" t="s">
        <v>1659</v>
      </c>
      <c r="L140" t="s">
        <v>1659</v>
      </c>
      <c r="M140" t="s">
        <v>513</v>
      </c>
      <c r="N140" t="s">
        <v>1132</v>
      </c>
      <c r="O140" t="s">
        <v>1132</v>
      </c>
      <c r="P140" t="str">
        <f>IFERROR(VLOOKUP(F140,Sheet1!$A$2:$B$54,2,FALSE),"")</f>
        <v/>
      </c>
    </row>
    <row r="141" spans="1:16" x14ac:dyDescent="0.2">
      <c r="A141" s="1">
        <v>2015</v>
      </c>
      <c r="B141" t="s">
        <v>17</v>
      </c>
      <c r="C141" s="10" t="s">
        <v>1678</v>
      </c>
      <c r="D141" s="10" t="s">
        <v>1679</v>
      </c>
      <c r="E141" s="10" t="s">
        <v>1682</v>
      </c>
      <c r="F141" t="s">
        <v>514</v>
      </c>
      <c r="G141" s="4">
        <v>14140</v>
      </c>
      <c r="H141" s="4"/>
      <c r="I141" s="4"/>
      <c r="J141" s="4">
        <f>SUM(G141:I141)</f>
        <v>14140</v>
      </c>
      <c r="K141" t="s">
        <v>1659</v>
      </c>
      <c r="L141" t="s">
        <v>1659</v>
      </c>
      <c r="M141" t="s">
        <v>1022</v>
      </c>
      <c r="N141" t="s">
        <v>1132</v>
      </c>
      <c r="O141" t="s">
        <v>1132</v>
      </c>
      <c r="P141" t="str">
        <f>IFERROR(VLOOKUP(F141,Sheet1!$A$2:$B$54,2,FALSE),"")</f>
        <v/>
      </c>
    </row>
    <row r="142" spans="1:16" x14ac:dyDescent="0.2">
      <c r="A142" s="1">
        <v>2016</v>
      </c>
      <c r="B142" t="s">
        <v>17</v>
      </c>
      <c r="C142" s="10" t="s">
        <v>1678</v>
      </c>
      <c r="D142" s="10" t="s">
        <v>1679</v>
      </c>
      <c r="E142" s="10" t="s">
        <v>1682</v>
      </c>
      <c r="F142" t="s">
        <v>514</v>
      </c>
      <c r="G142" s="4">
        <v>19832</v>
      </c>
      <c r="H142" s="4"/>
      <c r="I142" s="4"/>
      <c r="J142" s="4">
        <f>SUM(G142:I142)</f>
        <v>19832</v>
      </c>
      <c r="K142" t="s">
        <v>1659</v>
      </c>
      <c r="L142" t="s">
        <v>1659</v>
      </c>
      <c r="M142" t="s">
        <v>1022</v>
      </c>
      <c r="N142" t="s">
        <v>1132</v>
      </c>
      <c r="O142" t="s">
        <v>1132</v>
      </c>
      <c r="P142" t="str">
        <f>IFERROR(VLOOKUP(F142,Sheet1!$A$2:$B$54,2,FALSE),"")</f>
        <v/>
      </c>
    </row>
    <row r="143" spans="1:16" x14ac:dyDescent="0.2">
      <c r="A143" s="1">
        <v>2017</v>
      </c>
      <c r="B143" t="s">
        <v>17</v>
      </c>
      <c r="C143" s="10" t="s">
        <v>1678</v>
      </c>
      <c r="D143" s="10" t="s">
        <v>1679</v>
      </c>
      <c r="E143" s="10" t="s">
        <v>1682</v>
      </c>
      <c r="F143" t="s">
        <v>514</v>
      </c>
      <c r="G143" s="4">
        <v>24809</v>
      </c>
      <c r="H143" s="4"/>
      <c r="I143" s="4"/>
      <c r="J143" s="4">
        <f>SUM(G143:I143)</f>
        <v>24809</v>
      </c>
      <c r="K143" t="s">
        <v>1659</v>
      </c>
      <c r="L143" t="s">
        <v>1659</v>
      </c>
      <c r="M143" t="s">
        <v>1022</v>
      </c>
      <c r="N143" t="s">
        <v>1132</v>
      </c>
      <c r="O143" t="s">
        <v>1132</v>
      </c>
      <c r="P143" t="str">
        <f>IFERROR(VLOOKUP(F143,Sheet1!$A$2:$B$54,2,FALSE),"")</f>
        <v/>
      </c>
    </row>
    <row r="144" spans="1:16" x14ac:dyDescent="0.2">
      <c r="A144" s="1">
        <v>2018</v>
      </c>
      <c r="B144" t="s">
        <v>17</v>
      </c>
      <c r="C144" s="10" t="s">
        <v>1678</v>
      </c>
      <c r="D144" s="10" t="s">
        <v>1679</v>
      </c>
      <c r="E144" s="10" t="s">
        <v>1682</v>
      </c>
      <c r="F144" t="s">
        <v>514</v>
      </c>
      <c r="G144" s="4">
        <v>29548</v>
      </c>
      <c r="H144" s="4"/>
      <c r="I144" s="4"/>
      <c r="J144" s="4">
        <f>SUM(G144:I144)</f>
        <v>29548</v>
      </c>
      <c r="K144" t="s">
        <v>1659</v>
      </c>
      <c r="L144" t="s">
        <v>1659</v>
      </c>
      <c r="M144" t="s">
        <v>1022</v>
      </c>
      <c r="N144" t="s">
        <v>1132</v>
      </c>
      <c r="O144" t="s">
        <v>1132</v>
      </c>
      <c r="P144" t="str">
        <f>IFERROR(VLOOKUP(F144,Sheet1!$A$2:$B$54,2,FALSE),"")</f>
        <v/>
      </c>
    </row>
    <row r="145" spans="1:16" x14ac:dyDescent="0.2">
      <c r="A145" s="1">
        <v>2019</v>
      </c>
      <c r="B145" t="s">
        <v>17</v>
      </c>
      <c r="C145" s="10" t="s">
        <v>1678</v>
      </c>
      <c r="D145" s="10" t="s">
        <v>1679</v>
      </c>
      <c r="E145" s="10" t="s">
        <v>1682</v>
      </c>
      <c r="F145" t="s">
        <v>514</v>
      </c>
      <c r="G145" s="4">
        <v>31648</v>
      </c>
      <c r="H145" s="4"/>
      <c r="I145" s="4"/>
      <c r="J145" s="4">
        <f>SUM(G145:I145)</f>
        <v>31648</v>
      </c>
      <c r="K145" t="s">
        <v>1659</v>
      </c>
      <c r="L145" t="s">
        <v>1659</v>
      </c>
      <c r="M145" t="s">
        <v>1022</v>
      </c>
      <c r="N145" t="s">
        <v>1132</v>
      </c>
      <c r="O145" t="s">
        <v>1132</v>
      </c>
      <c r="P145" t="str">
        <f>IFERROR(VLOOKUP(F145,Sheet1!$A$2:$B$54,2,FALSE),"")</f>
        <v/>
      </c>
    </row>
    <row r="146" spans="1:16" x14ac:dyDescent="0.2">
      <c r="A146" s="1">
        <v>2020</v>
      </c>
      <c r="B146" t="s">
        <v>17</v>
      </c>
      <c r="C146" s="10" t="s">
        <v>1678</v>
      </c>
      <c r="D146" s="10" t="s">
        <v>1679</v>
      </c>
      <c r="E146" s="10" t="s">
        <v>1682</v>
      </c>
      <c r="F146" t="s">
        <v>514</v>
      </c>
      <c r="G146" s="4">
        <v>34420</v>
      </c>
      <c r="H146" s="4"/>
      <c r="I146" s="4"/>
      <c r="J146" s="4">
        <f>SUM(G146:I146)</f>
        <v>34420</v>
      </c>
      <c r="K146" t="s">
        <v>1659</v>
      </c>
      <c r="L146" t="s">
        <v>1659</v>
      </c>
      <c r="M146" t="s">
        <v>1022</v>
      </c>
      <c r="N146" t="s">
        <v>1132</v>
      </c>
      <c r="O146" t="s">
        <v>1132</v>
      </c>
      <c r="P146" t="str">
        <f>IFERROR(VLOOKUP(F146,Sheet1!$A$2:$B$54,2,FALSE),"")</f>
        <v/>
      </c>
    </row>
    <row r="147" spans="1:16" x14ac:dyDescent="0.2">
      <c r="A147" s="1">
        <v>2021</v>
      </c>
      <c r="B147" t="s">
        <v>17</v>
      </c>
      <c r="C147" s="10" t="s">
        <v>1678</v>
      </c>
      <c r="D147" s="10" t="s">
        <v>1679</v>
      </c>
      <c r="E147" s="10" t="s">
        <v>1682</v>
      </c>
      <c r="F147" t="s">
        <v>514</v>
      </c>
      <c r="G147" s="4">
        <v>49676</v>
      </c>
      <c r="H147" s="4"/>
      <c r="I147" s="4"/>
      <c r="J147" s="4">
        <f>SUM(G147:I147)</f>
        <v>49676</v>
      </c>
      <c r="K147" t="s">
        <v>1659</v>
      </c>
      <c r="L147" t="s">
        <v>1659</v>
      </c>
      <c r="M147" t="s">
        <v>514</v>
      </c>
      <c r="N147" t="s">
        <v>1132</v>
      </c>
      <c r="O147" t="s">
        <v>1132</v>
      </c>
      <c r="P147" t="str">
        <f>IFERROR(VLOOKUP(F147,Sheet1!$A$2:$B$54,2,FALSE),"")</f>
        <v/>
      </c>
    </row>
    <row r="148" spans="1:16" x14ac:dyDescent="0.2">
      <c r="A148" s="1">
        <v>2022</v>
      </c>
      <c r="B148" t="s">
        <v>17</v>
      </c>
      <c r="C148" s="10" t="s">
        <v>1678</v>
      </c>
      <c r="D148" s="10" t="s">
        <v>1679</v>
      </c>
      <c r="E148" s="10" t="s">
        <v>1682</v>
      </c>
      <c r="F148" t="s">
        <v>514</v>
      </c>
      <c r="G148" s="4">
        <v>64280</v>
      </c>
      <c r="H148" s="4"/>
      <c r="I148" s="4"/>
      <c r="J148" s="4">
        <f>SUM(G148:I148)</f>
        <v>64280</v>
      </c>
      <c r="K148" t="s">
        <v>1659</v>
      </c>
      <c r="L148" t="s">
        <v>1659</v>
      </c>
      <c r="M148" t="s">
        <v>514</v>
      </c>
      <c r="N148" t="s">
        <v>1132</v>
      </c>
      <c r="O148" t="s">
        <v>1132</v>
      </c>
      <c r="P148" t="str">
        <f>IFERROR(VLOOKUP(F148,Sheet1!$A$2:$B$54,2,FALSE),"")</f>
        <v/>
      </c>
    </row>
    <row r="149" spans="1:16" x14ac:dyDescent="0.2">
      <c r="A149" s="1">
        <v>2023</v>
      </c>
      <c r="B149" t="s">
        <v>17</v>
      </c>
      <c r="C149" s="10" t="s">
        <v>1678</v>
      </c>
      <c r="D149" s="10" t="s">
        <v>1679</v>
      </c>
      <c r="E149" s="10" t="s">
        <v>1682</v>
      </c>
      <c r="F149" t="s">
        <v>514</v>
      </c>
      <c r="G149" s="4">
        <v>71661</v>
      </c>
      <c r="H149" s="4"/>
      <c r="I149" s="4"/>
      <c r="J149" s="4">
        <f>SUM(G149:I149)</f>
        <v>71661</v>
      </c>
      <c r="K149" t="s">
        <v>1659</v>
      </c>
      <c r="L149" t="s">
        <v>1659</v>
      </c>
      <c r="M149" t="s">
        <v>514</v>
      </c>
      <c r="N149" t="s">
        <v>1132</v>
      </c>
      <c r="O149" t="s">
        <v>1132</v>
      </c>
      <c r="P149" t="str">
        <f>IFERROR(VLOOKUP(F149,Sheet1!$A$2:$B$54,2,FALSE),"")</f>
        <v/>
      </c>
    </row>
    <row r="150" spans="1:16" x14ac:dyDescent="0.2">
      <c r="A150" s="1">
        <v>2015</v>
      </c>
      <c r="B150" t="s">
        <v>18</v>
      </c>
      <c r="C150" s="10" t="s">
        <v>1678</v>
      </c>
      <c r="D150" s="10" t="s">
        <v>1679</v>
      </c>
      <c r="E150" s="10" t="s">
        <v>1682</v>
      </c>
      <c r="F150" t="s">
        <v>515</v>
      </c>
      <c r="G150" s="4">
        <v>33569</v>
      </c>
      <c r="H150" s="4"/>
      <c r="I150" s="4"/>
      <c r="J150" s="4">
        <f>SUM(G150:I150)</f>
        <v>33569</v>
      </c>
      <c r="K150" t="s">
        <v>1659</v>
      </c>
      <c r="L150" t="s">
        <v>1659</v>
      </c>
      <c r="M150" t="s">
        <v>1023</v>
      </c>
      <c r="N150" t="s">
        <v>1132</v>
      </c>
      <c r="O150" t="s">
        <v>1132</v>
      </c>
      <c r="P150" t="str">
        <f>IFERROR(VLOOKUP(F150,Sheet1!$A$2:$B$54,2,FALSE),"")</f>
        <v/>
      </c>
    </row>
    <row r="151" spans="1:16" x14ac:dyDescent="0.2">
      <c r="A151" s="1">
        <v>2016</v>
      </c>
      <c r="B151" t="s">
        <v>18</v>
      </c>
      <c r="C151" s="10" t="s">
        <v>1678</v>
      </c>
      <c r="D151" s="10" t="s">
        <v>1679</v>
      </c>
      <c r="E151" s="10" t="s">
        <v>1682</v>
      </c>
      <c r="F151" t="s">
        <v>515</v>
      </c>
      <c r="G151" s="4">
        <v>45221</v>
      </c>
      <c r="H151" s="4"/>
      <c r="I151" s="4"/>
      <c r="J151" s="4">
        <f>SUM(G151:I151)</f>
        <v>45221</v>
      </c>
      <c r="K151" t="s">
        <v>1659</v>
      </c>
      <c r="L151" t="s">
        <v>1659</v>
      </c>
      <c r="M151" t="s">
        <v>1023</v>
      </c>
      <c r="N151" t="s">
        <v>1132</v>
      </c>
      <c r="O151" t="s">
        <v>1132</v>
      </c>
      <c r="P151" t="str">
        <f>IFERROR(VLOOKUP(F151,Sheet1!$A$2:$B$54,2,FALSE),"")</f>
        <v/>
      </c>
    </row>
    <row r="152" spans="1:16" x14ac:dyDescent="0.2">
      <c r="A152" s="1">
        <v>2017</v>
      </c>
      <c r="B152" t="s">
        <v>18</v>
      </c>
      <c r="C152" s="10" t="s">
        <v>1678</v>
      </c>
      <c r="D152" s="10" t="s">
        <v>1679</v>
      </c>
      <c r="E152" s="10" t="s">
        <v>1682</v>
      </c>
      <c r="F152" t="s">
        <v>515</v>
      </c>
      <c r="G152" s="4">
        <v>55866</v>
      </c>
      <c r="H152" s="4"/>
      <c r="I152" s="4"/>
      <c r="J152" s="4">
        <f>SUM(G152:I152)</f>
        <v>55866</v>
      </c>
      <c r="K152" t="s">
        <v>1659</v>
      </c>
      <c r="L152" t="s">
        <v>1659</v>
      </c>
      <c r="M152" t="s">
        <v>1023</v>
      </c>
      <c r="N152" t="s">
        <v>1132</v>
      </c>
      <c r="O152" t="s">
        <v>1132</v>
      </c>
      <c r="P152" t="str">
        <f>IFERROR(VLOOKUP(F152,Sheet1!$A$2:$B$54,2,FALSE),"")</f>
        <v/>
      </c>
    </row>
    <row r="153" spans="1:16" x14ac:dyDescent="0.2">
      <c r="A153" s="1">
        <v>2018</v>
      </c>
      <c r="B153" t="s">
        <v>18</v>
      </c>
      <c r="C153" s="10" t="s">
        <v>1678</v>
      </c>
      <c r="D153" s="10" t="s">
        <v>1679</v>
      </c>
      <c r="E153" s="10" t="s">
        <v>1682</v>
      </c>
      <c r="F153" t="s">
        <v>515</v>
      </c>
      <c r="G153" s="4">
        <v>61095</v>
      </c>
      <c r="H153" s="4"/>
      <c r="I153" s="4"/>
      <c r="J153" s="4">
        <f>SUM(G153:I153)</f>
        <v>61095</v>
      </c>
      <c r="K153" t="s">
        <v>1659</v>
      </c>
      <c r="L153" t="s">
        <v>1659</v>
      </c>
      <c r="M153" t="s">
        <v>1023</v>
      </c>
      <c r="N153" t="s">
        <v>1132</v>
      </c>
      <c r="O153" t="s">
        <v>1132</v>
      </c>
      <c r="P153" t="str">
        <f>IFERROR(VLOOKUP(F153,Sheet1!$A$2:$B$54,2,FALSE),"")</f>
        <v/>
      </c>
    </row>
    <row r="154" spans="1:16" x14ac:dyDescent="0.2">
      <c r="A154" s="1">
        <v>2019</v>
      </c>
      <c r="B154" t="s">
        <v>18</v>
      </c>
      <c r="C154" s="10" t="s">
        <v>1678</v>
      </c>
      <c r="D154" s="10" t="s">
        <v>1679</v>
      </c>
      <c r="E154" s="10" t="s">
        <v>1682</v>
      </c>
      <c r="F154" t="s">
        <v>515</v>
      </c>
      <c r="G154" s="4">
        <v>84755</v>
      </c>
      <c r="H154" s="4"/>
      <c r="I154" s="4"/>
      <c r="J154" s="4">
        <f>SUM(G154:I154)</f>
        <v>84755</v>
      </c>
      <c r="K154" t="s">
        <v>1659</v>
      </c>
      <c r="L154" t="s">
        <v>1659</v>
      </c>
      <c r="M154" t="s">
        <v>1023</v>
      </c>
      <c r="N154" t="s">
        <v>1132</v>
      </c>
      <c r="O154" t="s">
        <v>1132</v>
      </c>
      <c r="P154" t="str">
        <f>IFERROR(VLOOKUP(F154,Sheet1!$A$2:$B$54,2,FALSE),"")</f>
        <v/>
      </c>
    </row>
    <row r="155" spans="1:16" x14ac:dyDescent="0.2">
      <c r="A155" s="1">
        <v>2020</v>
      </c>
      <c r="B155" t="s">
        <v>18</v>
      </c>
      <c r="C155" s="10" t="s">
        <v>1678</v>
      </c>
      <c r="D155" s="10" t="s">
        <v>1679</v>
      </c>
      <c r="E155" s="10" t="s">
        <v>1682</v>
      </c>
      <c r="F155" t="s">
        <v>515</v>
      </c>
      <c r="G155" s="4">
        <v>98792</v>
      </c>
      <c r="H155" s="4"/>
      <c r="I155" s="4"/>
      <c r="J155" s="4">
        <f>SUM(G155:I155)</f>
        <v>98792</v>
      </c>
      <c r="K155" t="s">
        <v>1659</v>
      </c>
      <c r="L155" t="s">
        <v>1659</v>
      </c>
      <c r="M155" t="s">
        <v>1023</v>
      </c>
      <c r="N155" t="s">
        <v>1132</v>
      </c>
      <c r="O155" t="s">
        <v>1132</v>
      </c>
      <c r="P155" t="str">
        <f>IFERROR(VLOOKUP(F155,Sheet1!$A$2:$B$54,2,FALSE),"")</f>
        <v/>
      </c>
    </row>
    <row r="156" spans="1:16" x14ac:dyDescent="0.2">
      <c r="A156" s="1">
        <v>2021</v>
      </c>
      <c r="B156" t="s">
        <v>18</v>
      </c>
      <c r="C156" s="10" t="s">
        <v>1678</v>
      </c>
      <c r="D156" s="10" t="s">
        <v>1679</v>
      </c>
      <c r="E156" s="10" t="s">
        <v>1682</v>
      </c>
      <c r="F156" t="s">
        <v>515</v>
      </c>
      <c r="G156" s="4">
        <v>112255</v>
      </c>
      <c r="H156" s="4"/>
      <c r="I156" s="4"/>
      <c r="J156" s="4">
        <f>SUM(G156:I156)</f>
        <v>112255</v>
      </c>
      <c r="K156" t="s">
        <v>1659</v>
      </c>
      <c r="L156" t="s">
        <v>1659</v>
      </c>
      <c r="M156" t="s">
        <v>515</v>
      </c>
      <c r="N156" t="s">
        <v>1132</v>
      </c>
      <c r="O156" t="s">
        <v>1132</v>
      </c>
      <c r="P156" t="str">
        <f>IFERROR(VLOOKUP(F156,Sheet1!$A$2:$B$54,2,FALSE),"")</f>
        <v/>
      </c>
    </row>
    <row r="157" spans="1:16" x14ac:dyDescent="0.2">
      <c r="A157" s="1">
        <v>2022</v>
      </c>
      <c r="B157" t="s">
        <v>18</v>
      </c>
      <c r="C157" s="10" t="s">
        <v>1678</v>
      </c>
      <c r="D157" s="10" t="s">
        <v>1679</v>
      </c>
      <c r="E157" s="10" t="s">
        <v>1682</v>
      </c>
      <c r="F157" t="s">
        <v>515</v>
      </c>
      <c r="G157" s="4">
        <v>124387</v>
      </c>
      <c r="H157" s="4"/>
      <c r="I157" s="4"/>
      <c r="J157" s="4">
        <f>SUM(G157:I157)</f>
        <v>124387</v>
      </c>
      <c r="K157" t="s">
        <v>1659</v>
      </c>
      <c r="L157" t="s">
        <v>1659</v>
      </c>
      <c r="M157" t="s">
        <v>515</v>
      </c>
      <c r="N157" t="s">
        <v>1132</v>
      </c>
      <c r="O157" t="s">
        <v>1132</v>
      </c>
      <c r="P157" t="str">
        <f>IFERROR(VLOOKUP(F157,Sheet1!$A$2:$B$54,2,FALSE),"")</f>
        <v/>
      </c>
    </row>
    <row r="158" spans="1:16" x14ac:dyDescent="0.2">
      <c r="A158" s="1">
        <v>2023</v>
      </c>
      <c r="B158" t="s">
        <v>18</v>
      </c>
      <c r="C158" s="10" t="s">
        <v>1678</v>
      </c>
      <c r="D158" s="10" t="s">
        <v>1679</v>
      </c>
      <c r="E158" s="10" t="s">
        <v>1682</v>
      </c>
      <c r="F158" t="s">
        <v>515</v>
      </c>
      <c r="G158" s="4">
        <v>139704</v>
      </c>
      <c r="H158" s="4"/>
      <c r="I158" s="4"/>
      <c r="J158" s="4">
        <f>SUM(G158:I158)</f>
        <v>139704</v>
      </c>
      <c r="K158" t="s">
        <v>1659</v>
      </c>
      <c r="L158" t="s">
        <v>1659</v>
      </c>
      <c r="M158" t="s">
        <v>515</v>
      </c>
      <c r="N158" t="s">
        <v>1132</v>
      </c>
      <c r="O158" t="s">
        <v>1132</v>
      </c>
      <c r="P158" t="str">
        <f>IFERROR(VLOOKUP(F158,Sheet1!$A$2:$B$54,2,FALSE),"")</f>
        <v/>
      </c>
    </row>
    <row r="159" spans="1:16" x14ac:dyDescent="0.2">
      <c r="A159" s="1">
        <v>2020</v>
      </c>
      <c r="B159" t="s">
        <v>19</v>
      </c>
      <c r="C159" s="10" t="s">
        <v>1678</v>
      </c>
      <c r="D159" s="10" t="s">
        <v>1679</v>
      </c>
      <c r="E159" s="10" t="s">
        <v>1682</v>
      </c>
      <c r="F159" t="s">
        <v>516</v>
      </c>
      <c r="G159" s="4">
        <v>1310</v>
      </c>
      <c r="H159" s="4"/>
      <c r="I159" s="4"/>
      <c r="J159" s="4">
        <f>SUM(G159:I159)</f>
        <v>1310</v>
      </c>
      <c r="K159" t="s">
        <v>1659</v>
      </c>
      <c r="L159" t="s">
        <v>1659</v>
      </c>
      <c r="M159" t="s">
        <v>1024</v>
      </c>
      <c r="N159" t="s">
        <v>1132</v>
      </c>
      <c r="O159" t="s">
        <v>1132</v>
      </c>
      <c r="P159" t="str">
        <f>IFERROR(VLOOKUP(F159,Sheet1!$A$2:$B$54,2,FALSE),"")</f>
        <v/>
      </c>
    </row>
    <row r="160" spans="1:16" x14ac:dyDescent="0.2">
      <c r="A160" s="1">
        <v>2021</v>
      </c>
      <c r="B160" t="s">
        <v>19</v>
      </c>
      <c r="C160" s="10" t="s">
        <v>1678</v>
      </c>
      <c r="D160" s="10" t="s">
        <v>1679</v>
      </c>
      <c r="E160" s="10" t="s">
        <v>1682</v>
      </c>
      <c r="F160" t="s">
        <v>516</v>
      </c>
      <c r="G160" s="4">
        <v>3165</v>
      </c>
      <c r="H160" s="4"/>
      <c r="I160" s="4"/>
      <c r="J160" s="4">
        <f>SUM(G160:I160)</f>
        <v>3165</v>
      </c>
      <c r="K160" t="s">
        <v>1659</v>
      </c>
      <c r="L160" t="s">
        <v>1659</v>
      </c>
      <c r="M160" t="s">
        <v>516</v>
      </c>
      <c r="N160" t="s">
        <v>1132</v>
      </c>
      <c r="O160" t="s">
        <v>1132</v>
      </c>
      <c r="P160" t="str">
        <f>IFERROR(VLOOKUP(F160,Sheet1!$A$2:$B$54,2,FALSE),"")</f>
        <v/>
      </c>
    </row>
    <row r="161" spans="1:16" x14ac:dyDescent="0.2">
      <c r="A161" s="1">
        <v>2022</v>
      </c>
      <c r="B161" t="s">
        <v>19</v>
      </c>
      <c r="C161" s="10" t="s">
        <v>1678</v>
      </c>
      <c r="D161" s="10" t="s">
        <v>1679</v>
      </c>
      <c r="E161" s="10" t="s">
        <v>1682</v>
      </c>
      <c r="F161" t="s">
        <v>516</v>
      </c>
      <c r="G161" s="4">
        <v>9215</v>
      </c>
      <c r="H161" s="4"/>
      <c r="I161" s="4"/>
      <c r="J161" s="4">
        <f>SUM(G161:I161)</f>
        <v>9215</v>
      </c>
      <c r="K161" t="s">
        <v>1659</v>
      </c>
      <c r="L161" t="s">
        <v>1659</v>
      </c>
      <c r="M161" t="s">
        <v>516</v>
      </c>
      <c r="N161" t="s">
        <v>1132</v>
      </c>
      <c r="O161" t="s">
        <v>1132</v>
      </c>
      <c r="P161" t="str">
        <f>IFERROR(VLOOKUP(F161,Sheet1!$A$2:$B$54,2,FALSE),"")</f>
        <v/>
      </c>
    </row>
    <row r="162" spans="1:16" x14ac:dyDescent="0.2">
      <c r="A162" s="1">
        <v>2023</v>
      </c>
      <c r="B162" t="s">
        <v>19</v>
      </c>
      <c r="C162" s="10" t="s">
        <v>1678</v>
      </c>
      <c r="D162" s="10" t="s">
        <v>1679</v>
      </c>
      <c r="E162" s="10" t="s">
        <v>1682</v>
      </c>
      <c r="F162" t="s">
        <v>516</v>
      </c>
      <c r="G162" s="4">
        <v>12172</v>
      </c>
      <c r="H162" s="4"/>
      <c r="I162" s="4"/>
      <c r="J162" s="4">
        <f>SUM(G162:I162)</f>
        <v>12172</v>
      </c>
      <c r="K162" t="s">
        <v>1659</v>
      </c>
      <c r="L162" t="s">
        <v>1659</v>
      </c>
      <c r="M162" t="s">
        <v>516</v>
      </c>
      <c r="N162" t="s">
        <v>1132</v>
      </c>
      <c r="O162" t="s">
        <v>1132</v>
      </c>
      <c r="P162" t="str">
        <f>IFERROR(VLOOKUP(F162,Sheet1!$A$2:$B$54,2,FALSE),"")</f>
        <v/>
      </c>
    </row>
    <row r="163" spans="1:16" x14ac:dyDescent="0.2">
      <c r="A163" s="1">
        <v>2015</v>
      </c>
      <c r="B163" t="s">
        <v>20</v>
      </c>
      <c r="C163" s="10" t="s">
        <v>1678</v>
      </c>
      <c r="D163" s="10" t="s">
        <v>1679</v>
      </c>
      <c r="E163" s="10" t="s">
        <v>1682</v>
      </c>
      <c r="F163" t="s">
        <v>517</v>
      </c>
      <c r="G163" s="4">
        <v>37308</v>
      </c>
      <c r="H163" s="4">
        <v>1250028</v>
      </c>
      <c r="I163" s="4"/>
      <c r="J163" s="4">
        <f>SUM(G163:I163)</f>
        <v>1287336</v>
      </c>
      <c r="K163" t="s">
        <v>1660</v>
      </c>
      <c r="L163" t="s">
        <v>1659</v>
      </c>
      <c r="M163" t="s">
        <v>1025</v>
      </c>
      <c r="N163" t="s">
        <v>1025</v>
      </c>
      <c r="O163" t="s">
        <v>1132</v>
      </c>
      <c r="P163">
        <f>IFERROR(VLOOKUP(F163,Sheet1!$A$2:$B$54,2,FALSE),"")</f>
        <v>4900060</v>
      </c>
    </row>
    <row r="164" spans="1:16" x14ac:dyDescent="0.2">
      <c r="A164" s="1">
        <v>2016</v>
      </c>
      <c r="B164" t="s">
        <v>20</v>
      </c>
      <c r="C164" s="10" t="s">
        <v>1678</v>
      </c>
      <c r="D164" s="10" t="s">
        <v>1679</v>
      </c>
      <c r="E164" s="10" t="s">
        <v>1682</v>
      </c>
      <c r="F164" t="s">
        <v>517</v>
      </c>
      <c r="G164" s="4">
        <v>63747</v>
      </c>
      <c r="H164" s="4">
        <v>1272442</v>
      </c>
      <c r="I164" s="4"/>
      <c r="J164" s="4">
        <f>SUM(G164:I164)</f>
        <v>1336189</v>
      </c>
      <c r="K164" t="s">
        <v>1660</v>
      </c>
      <c r="L164" t="s">
        <v>1659</v>
      </c>
      <c r="M164" t="s">
        <v>1025</v>
      </c>
      <c r="N164" t="s">
        <v>1025</v>
      </c>
      <c r="O164" t="s">
        <v>1132</v>
      </c>
      <c r="P164">
        <f>IFERROR(VLOOKUP(F164,Sheet1!$A$2:$B$54,2,FALSE),"")</f>
        <v>4900060</v>
      </c>
    </row>
    <row r="165" spans="1:16" x14ac:dyDescent="0.2">
      <c r="A165" s="1">
        <v>2017</v>
      </c>
      <c r="B165" t="s">
        <v>20</v>
      </c>
      <c r="C165" s="10" t="s">
        <v>1678</v>
      </c>
      <c r="D165" s="10" t="s">
        <v>1679</v>
      </c>
      <c r="E165" s="10" t="s">
        <v>1682</v>
      </c>
      <c r="F165" t="s">
        <v>517</v>
      </c>
      <c r="G165" s="4">
        <v>75937</v>
      </c>
      <c r="H165" s="4">
        <v>1262661</v>
      </c>
      <c r="I165" s="4"/>
      <c r="J165" s="4">
        <f>SUM(G165:I165)</f>
        <v>1338598</v>
      </c>
      <c r="K165" t="s">
        <v>1660</v>
      </c>
      <c r="L165" t="s">
        <v>1659</v>
      </c>
      <c r="M165" t="s">
        <v>1025</v>
      </c>
      <c r="N165" t="s">
        <v>1025</v>
      </c>
      <c r="O165" t="s">
        <v>1132</v>
      </c>
      <c r="P165">
        <f>IFERROR(VLOOKUP(F165,Sheet1!$A$2:$B$54,2,FALSE),"")</f>
        <v>4900060</v>
      </c>
    </row>
    <row r="166" spans="1:16" x14ac:dyDescent="0.2">
      <c r="A166" s="1">
        <v>2018</v>
      </c>
      <c r="B166" t="s">
        <v>20</v>
      </c>
      <c r="C166" s="10" t="s">
        <v>1678</v>
      </c>
      <c r="D166" s="10" t="s">
        <v>1679</v>
      </c>
      <c r="E166" s="10" t="s">
        <v>1682</v>
      </c>
      <c r="F166" t="s">
        <v>517</v>
      </c>
      <c r="G166" s="4">
        <v>101110</v>
      </c>
      <c r="H166" s="4">
        <v>1306406</v>
      </c>
      <c r="I166" s="4"/>
      <c r="J166" s="4">
        <f>SUM(G166:I166)</f>
        <v>1407516</v>
      </c>
      <c r="K166" t="s">
        <v>1660</v>
      </c>
      <c r="L166" t="s">
        <v>1659</v>
      </c>
      <c r="M166" t="s">
        <v>1025</v>
      </c>
      <c r="N166" t="s">
        <v>1025</v>
      </c>
      <c r="O166" t="s">
        <v>1132</v>
      </c>
      <c r="P166">
        <f>IFERROR(VLOOKUP(F166,Sheet1!$A$2:$B$54,2,FALSE),"")</f>
        <v>4900060</v>
      </c>
    </row>
    <row r="167" spans="1:16" x14ac:dyDescent="0.2">
      <c r="A167" s="1">
        <v>2019</v>
      </c>
      <c r="B167" t="s">
        <v>20</v>
      </c>
      <c r="C167" s="10" t="s">
        <v>1678</v>
      </c>
      <c r="D167" s="10" t="s">
        <v>1679</v>
      </c>
      <c r="E167" s="10" t="s">
        <v>1682</v>
      </c>
      <c r="F167" t="s">
        <v>517</v>
      </c>
      <c r="G167" s="4">
        <v>125281</v>
      </c>
      <c r="H167" s="4">
        <v>1379993</v>
      </c>
      <c r="I167" s="4"/>
      <c r="J167" s="4">
        <f>SUM(G167:I167)</f>
        <v>1505274</v>
      </c>
      <c r="K167" t="s">
        <v>1660</v>
      </c>
      <c r="L167" t="s">
        <v>1659</v>
      </c>
      <c r="M167" t="s">
        <v>1025</v>
      </c>
      <c r="N167" t="s">
        <v>1025</v>
      </c>
      <c r="O167" t="s">
        <v>1132</v>
      </c>
      <c r="P167">
        <f>IFERROR(VLOOKUP(F167,Sheet1!$A$2:$B$54,2,FALSE),"")</f>
        <v>4900060</v>
      </c>
    </row>
    <row r="168" spans="1:16" x14ac:dyDescent="0.2">
      <c r="A168" s="1">
        <v>2020</v>
      </c>
      <c r="B168" t="s">
        <v>20</v>
      </c>
      <c r="C168" s="10" t="s">
        <v>1678</v>
      </c>
      <c r="D168" s="10" t="s">
        <v>1679</v>
      </c>
      <c r="E168" s="10" t="s">
        <v>1682</v>
      </c>
      <c r="F168" t="s">
        <v>517</v>
      </c>
      <c r="G168" s="4">
        <v>157416</v>
      </c>
      <c r="H168" s="4">
        <v>1453942</v>
      </c>
      <c r="I168" s="4"/>
      <c r="J168" s="4">
        <f>SUM(G168:I168)</f>
        <v>1611358</v>
      </c>
      <c r="K168" t="s">
        <v>1660</v>
      </c>
      <c r="L168" t="s">
        <v>1659</v>
      </c>
      <c r="M168" t="s">
        <v>1025</v>
      </c>
      <c r="N168" t="s">
        <v>1025</v>
      </c>
      <c r="O168" t="s">
        <v>1132</v>
      </c>
      <c r="P168">
        <f>IFERROR(VLOOKUP(F168,Sheet1!$A$2:$B$54,2,FALSE),"")</f>
        <v>4900060</v>
      </c>
    </row>
    <row r="169" spans="1:16" x14ac:dyDescent="0.2">
      <c r="A169" s="1">
        <v>2021</v>
      </c>
      <c r="B169" t="s">
        <v>20</v>
      </c>
      <c r="C169" s="10" t="s">
        <v>1678</v>
      </c>
      <c r="D169" s="10" t="s">
        <v>1679</v>
      </c>
      <c r="E169" s="10" t="s">
        <v>1682</v>
      </c>
      <c r="F169" t="s">
        <v>517</v>
      </c>
      <c r="G169" s="4">
        <v>197498</v>
      </c>
      <c r="H169" s="4">
        <v>1453882</v>
      </c>
      <c r="I169" s="4"/>
      <c r="J169" s="4">
        <f>SUM(G169:I169)</f>
        <v>1651380</v>
      </c>
      <c r="K169" t="s">
        <v>1660</v>
      </c>
      <c r="L169" t="s">
        <v>1659</v>
      </c>
      <c r="M169" t="s">
        <v>517</v>
      </c>
      <c r="N169" t="s">
        <v>517</v>
      </c>
      <c r="O169" t="s">
        <v>1132</v>
      </c>
      <c r="P169">
        <f>IFERROR(VLOOKUP(F169,Sheet1!$A$2:$B$54,2,FALSE),"")</f>
        <v>4900060</v>
      </c>
    </row>
    <row r="170" spans="1:16" x14ac:dyDescent="0.2">
      <c r="A170" s="1">
        <v>2022</v>
      </c>
      <c r="B170" t="s">
        <v>20</v>
      </c>
      <c r="C170" s="10" t="s">
        <v>1678</v>
      </c>
      <c r="D170" s="10" t="s">
        <v>1679</v>
      </c>
      <c r="E170" s="10" t="s">
        <v>1682</v>
      </c>
      <c r="F170" t="s">
        <v>517</v>
      </c>
      <c r="G170" s="4">
        <v>240649</v>
      </c>
      <c r="H170" s="4">
        <v>1510541</v>
      </c>
      <c r="I170" s="4"/>
      <c r="J170" s="4">
        <f>SUM(G170:I170)</f>
        <v>1751190</v>
      </c>
      <c r="K170" t="s">
        <v>1660</v>
      </c>
      <c r="L170" t="s">
        <v>1659</v>
      </c>
      <c r="M170" t="s">
        <v>517</v>
      </c>
      <c r="N170" t="s">
        <v>517</v>
      </c>
      <c r="O170" t="s">
        <v>1132</v>
      </c>
      <c r="P170">
        <f>IFERROR(VLOOKUP(F170,Sheet1!$A$2:$B$54,2,FALSE),"")</f>
        <v>4900060</v>
      </c>
    </row>
    <row r="171" spans="1:16" x14ac:dyDescent="0.2">
      <c r="A171" s="1">
        <v>2023</v>
      </c>
      <c r="B171" t="s">
        <v>20</v>
      </c>
      <c r="C171" s="10" t="s">
        <v>1678</v>
      </c>
      <c r="D171" s="10" t="s">
        <v>1679</v>
      </c>
      <c r="E171" s="10" t="s">
        <v>1682</v>
      </c>
      <c r="F171" t="s">
        <v>517</v>
      </c>
      <c r="G171" s="4">
        <v>283481</v>
      </c>
      <c r="H171" s="4">
        <v>1596285</v>
      </c>
      <c r="I171" s="4"/>
      <c r="J171" s="4">
        <f>SUM(G171:I171)</f>
        <v>1879766</v>
      </c>
      <c r="K171" t="s">
        <v>1660</v>
      </c>
      <c r="L171" t="s">
        <v>1659</v>
      </c>
      <c r="M171" t="s">
        <v>517</v>
      </c>
      <c r="N171" t="s">
        <v>517</v>
      </c>
      <c r="O171" t="s">
        <v>1132</v>
      </c>
      <c r="P171">
        <f>IFERROR(VLOOKUP(F171,Sheet1!$A$2:$B$54,2,FALSE),"")</f>
        <v>4900060</v>
      </c>
    </row>
    <row r="172" spans="1:16" x14ac:dyDescent="0.2">
      <c r="A172" s="1">
        <v>2015</v>
      </c>
      <c r="B172" t="s">
        <v>21</v>
      </c>
      <c r="C172" s="10" t="s">
        <v>1678</v>
      </c>
      <c r="D172" s="10" t="s">
        <v>1679</v>
      </c>
      <c r="E172" s="10" t="s">
        <v>1682</v>
      </c>
      <c r="F172" t="s">
        <v>518</v>
      </c>
      <c r="G172" s="4">
        <v>30558</v>
      </c>
      <c r="H172" s="4"/>
      <c r="I172" s="4"/>
      <c r="J172" s="4">
        <f>SUM(G172:I172)</f>
        <v>30558</v>
      </c>
      <c r="K172" t="s">
        <v>1659</v>
      </c>
      <c r="L172" t="s">
        <v>1659</v>
      </c>
      <c r="M172" t="s">
        <v>1026</v>
      </c>
      <c r="N172" t="s">
        <v>1132</v>
      </c>
      <c r="O172" t="s">
        <v>1132</v>
      </c>
      <c r="P172" t="str">
        <f>IFERROR(VLOOKUP(F172,Sheet1!$A$2:$B$54,2,FALSE),"")</f>
        <v/>
      </c>
    </row>
    <row r="173" spans="1:16" x14ac:dyDescent="0.2">
      <c r="A173" s="1">
        <v>2016</v>
      </c>
      <c r="B173" t="s">
        <v>21</v>
      </c>
      <c r="C173" s="10" t="s">
        <v>1678</v>
      </c>
      <c r="D173" s="10" t="s">
        <v>1679</v>
      </c>
      <c r="E173" s="10" t="s">
        <v>1682</v>
      </c>
      <c r="F173" t="s">
        <v>518</v>
      </c>
      <c r="G173" s="4">
        <v>50623</v>
      </c>
      <c r="H173" s="4"/>
      <c r="I173" s="4"/>
      <c r="J173" s="4">
        <f>SUM(G173:I173)</f>
        <v>50623</v>
      </c>
      <c r="K173" t="s">
        <v>1659</v>
      </c>
      <c r="L173" t="s">
        <v>1659</v>
      </c>
      <c r="M173" t="s">
        <v>1026</v>
      </c>
      <c r="N173" t="s">
        <v>1132</v>
      </c>
      <c r="O173" t="s">
        <v>1132</v>
      </c>
      <c r="P173" t="str">
        <f>IFERROR(VLOOKUP(F173,Sheet1!$A$2:$B$54,2,FALSE),"")</f>
        <v/>
      </c>
    </row>
    <row r="174" spans="1:16" x14ac:dyDescent="0.2">
      <c r="A174" s="1">
        <v>2017</v>
      </c>
      <c r="B174" t="s">
        <v>21</v>
      </c>
      <c r="C174" s="10" t="s">
        <v>1678</v>
      </c>
      <c r="D174" s="10" t="s">
        <v>1679</v>
      </c>
      <c r="E174" s="10" t="s">
        <v>1682</v>
      </c>
      <c r="F174" t="s">
        <v>518</v>
      </c>
      <c r="G174" s="4">
        <v>72438</v>
      </c>
      <c r="H174" s="4"/>
      <c r="I174" s="4"/>
      <c r="J174" s="4">
        <f>SUM(G174:I174)</f>
        <v>72438</v>
      </c>
      <c r="K174" t="s">
        <v>1659</v>
      </c>
      <c r="L174" t="s">
        <v>1659</v>
      </c>
      <c r="M174" t="s">
        <v>1026</v>
      </c>
      <c r="N174" t="s">
        <v>1132</v>
      </c>
      <c r="O174" t="s">
        <v>1132</v>
      </c>
      <c r="P174" t="str">
        <f>IFERROR(VLOOKUP(F174,Sheet1!$A$2:$B$54,2,FALSE),"")</f>
        <v/>
      </c>
    </row>
    <row r="175" spans="1:16" x14ac:dyDescent="0.2">
      <c r="A175" s="1">
        <v>2018</v>
      </c>
      <c r="B175" t="s">
        <v>21</v>
      </c>
      <c r="C175" s="10" t="s">
        <v>1678</v>
      </c>
      <c r="D175" s="10" t="s">
        <v>1679</v>
      </c>
      <c r="E175" s="10" t="s">
        <v>1682</v>
      </c>
      <c r="F175" t="s">
        <v>518</v>
      </c>
      <c r="G175" s="4">
        <v>93957</v>
      </c>
      <c r="H175" s="4"/>
      <c r="I175" s="4"/>
      <c r="J175" s="4">
        <f>SUM(G175:I175)</f>
        <v>93957</v>
      </c>
      <c r="K175" t="s">
        <v>1659</v>
      </c>
      <c r="L175" t="s">
        <v>1659</v>
      </c>
      <c r="M175" t="s">
        <v>1026</v>
      </c>
      <c r="N175" t="s">
        <v>1132</v>
      </c>
      <c r="O175" t="s">
        <v>1132</v>
      </c>
      <c r="P175" t="str">
        <f>IFERROR(VLOOKUP(F175,Sheet1!$A$2:$B$54,2,FALSE),"")</f>
        <v/>
      </c>
    </row>
    <row r="176" spans="1:16" x14ac:dyDescent="0.2">
      <c r="A176" s="1">
        <v>2019</v>
      </c>
      <c r="B176" t="s">
        <v>21</v>
      </c>
      <c r="C176" s="10" t="s">
        <v>1678</v>
      </c>
      <c r="D176" s="10" t="s">
        <v>1679</v>
      </c>
      <c r="E176" s="10" t="s">
        <v>1682</v>
      </c>
      <c r="F176" t="s">
        <v>518</v>
      </c>
      <c r="G176" s="4">
        <v>108765</v>
      </c>
      <c r="H176" s="4"/>
      <c r="I176" s="4"/>
      <c r="J176" s="4">
        <f>SUM(G176:I176)</f>
        <v>108765</v>
      </c>
      <c r="K176" t="s">
        <v>1659</v>
      </c>
      <c r="L176" t="s">
        <v>1659</v>
      </c>
      <c r="M176" t="s">
        <v>1026</v>
      </c>
      <c r="N176" t="s">
        <v>1132</v>
      </c>
      <c r="O176" t="s">
        <v>1132</v>
      </c>
      <c r="P176" t="str">
        <f>IFERROR(VLOOKUP(F176,Sheet1!$A$2:$B$54,2,FALSE),"")</f>
        <v/>
      </c>
    </row>
    <row r="177" spans="1:16" x14ac:dyDescent="0.2">
      <c r="A177" s="1">
        <v>2020</v>
      </c>
      <c r="B177" t="s">
        <v>21</v>
      </c>
      <c r="C177" s="10" t="s">
        <v>1678</v>
      </c>
      <c r="D177" s="10" t="s">
        <v>1679</v>
      </c>
      <c r="E177" s="10" t="s">
        <v>1682</v>
      </c>
      <c r="F177" t="s">
        <v>518</v>
      </c>
      <c r="G177" s="4">
        <v>118979</v>
      </c>
      <c r="H177" s="4"/>
      <c r="I177" s="4"/>
      <c r="J177" s="4">
        <f>SUM(G177:I177)</f>
        <v>118979</v>
      </c>
      <c r="K177" t="s">
        <v>1659</v>
      </c>
      <c r="L177" t="s">
        <v>1659</v>
      </c>
      <c r="M177" t="s">
        <v>1026</v>
      </c>
      <c r="N177" t="s">
        <v>1132</v>
      </c>
      <c r="O177" t="s">
        <v>1132</v>
      </c>
      <c r="P177" t="str">
        <f>IFERROR(VLOOKUP(F177,Sheet1!$A$2:$B$54,2,FALSE),"")</f>
        <v/>
      </c>
    </row>
    <row r="178" spans="1:16" x14ac:dyDescent="0.2">
      <c r="A178" s="1">
        <v>2021</v>
      </c>
      <c r="B178" t="s">
        <v>21</v>
      </c>
      <c r="C178" s="10" t="s">
        <v>1678</v>
      </c>
      <c r="D178" s="10" t="s">
        <v>1679</v>
      </c>
      <c r="E178" s="10" t="s">
        <v>1682</v>
      </c>
      <c r="F178" t="s">
        <v>518</v>
      </c>
      <c r="G178" s="4">
        <v>136850</v>
      </c>
      <c r="H178" s="4"/>
      <c r="I178" s="4"/>
      <c r="J178" s="4">
        <f>SUM(G178:I178)</f>
        <v>136850</v>
      </c>
      <c r="K178" t="s">
        <v>1659</v>
      </c>
      <c r="L178" t="s">
        <v>1659</v>
      </c>
      <c r="M178" t="s">
        <v>518</v>
      </c>
      <c r="N178" t="s">
        <v>1132</v>
      </c>
      <c r="O178" t="s">
        <v>1132</v>
      </c>
      <c r="P178" t="str">
        <f>IFERROR(VLOOKUP(F178,Sheet1!$A$2:$B$54,2,FALSE),"")</f>
        <v/>
      </c>
    </row>
    <row r="179" spans="1:16" x14ac:dyDescent="0.2">
      <c r="A179" s="1">
        <v>2022</v>
      </c>
      <c r="B179" t="s">
        <v>21</v>
      </c>
      <c r="C179" s="10" t="s">
        <v>1678</v>
      </c>
      <c r="D179" s="10" t="s">
        <v>1679</v>
      </c>
      <c r="E179" s="10" t="s">
        <v>1682</v>
      </c>
      <c r="F179" t="s">
        <v>518</v>
      </c>
      <c r="G179" s="4">
        <v>164713</v>
      </c>
      <c r="H179" s="4"/>
      <c r="I179" s="4"/>
      <c r="J179" s="4">
        <f>SUM(G179:I179)</f>
        <v>164713</v>
      </c>
      <c r="K179" t="s">
        <v>1659</v>
      </c>
      <c r="L179" t="s">
        <v>1659</v>
      </c>
      <c r="M179" t="s">
        <v>518</v>
      </c>
      <c r="N179" t="s">
        <v>1132</v>
      </c>
      <c r="O179" t="s">
        <v>1132</v>
      </c>
      <c r="P179" t="str">
        <f>IFERROR(VLOOKUP(F179,Sheet1!$A$2:$B$54,2,FALSE),"")</f>
        <v/>
      </c>
    </row>
    <row r="180" spans="1:16" x14ac:dyDescent="0.2">
      <c r="A180" s="1">
        <v>2023</v>
      </c>
      <c r="B180" t="s">
        <v>21</v>
      </c>
      <c r="C180" s="10" t="s">
        <v>1678</v>
      </c>
      <c r="D180" s="10" t="s">
        <v>1679</v>
      </c>
      <c r="E180" s="10" t="s">
        <v>1682</v>
      </c>
      <c r="F180" t="s">
        <v>518</v>
      </c>
      <c r="G180" s="4">
        <v>214457</v>
      </c>
      <c r="H180" s="4"/>
      <c r="I180" s="4"/>
      <c r="J180" s="4">
        <f>SUM(G180:I180)</f>
        <v>214457</v>
      </c>
      <c r="K180" t="s">
        <v>1659</v>
      </c>
      <c r="L180" t="s">
        <v>1659</v>
      </c>
      <c r="M180" t="s">
        <v>518</v>
      </c>
      <c r="N180" t="s">
        <v>1132</v>
      </c>
      <c r="O180" t="s">
        <v>1132</v>
      </c>
      <c r="P180" t="str">
        <f>IFERROR(VLOOKUP(F180,Sheet1!$A$2:$B$54,2,FALSE),"")</f>
        <v/>
      </c>
    </row>
    <row r="181" spans="1:16" x14ac:dyDescent="0.2">
      <c r="A181" s="1">
        <v>2015</v>
      </c>
      <c r="B181" t="s">
        <v>22</v>
      </c>
      <c r="C181" s="10" t="s">
        <v>1678</v>
      </c>
      <c r="D181" s="10" t="s">
        <v>1679</v>
      </c>
      <c r="E181" s="10" t="s">
        <v>1682</v>
      </c>
      <c r="F181" t="s">
        <v>519</v>
      </c>
      <c r="G181" s="4">
        <v>2526</v>
      </c>
      <c r="H181" s="4"/>
      <c r="I181" s="4"/>
      <c r="J181" s="4">
        <f>SUM(G181:I181)</f>
        <v>2526</v>
      </c>
      <c r="K181" t="s">
        <v>1659</v>
      </c>
      <c r="L181" t="s">
        <v>1659</v>
      </c>
      <c r="M181" t="s">
        <v>1027</v>
      </c>
      <c r="N181" t="s">
        <v>1132</v>
      </c>
      <c r="O181" t="s">
        <v>1132</v>
      </c>
      <c r="P181" t="str">
        <f>IFERROR(VLOOKUP(F181,Sheet1!$A$2:$B$54,2,FALSE),"")</f>
        <v/>
      </c>
    </row>
    <row r="182" spans="1:16" x14ac:dyDescent="0.2">
      <c r="A182" s="1">
        <v>2016</v>
      </c>
      <c r="B182" t="s">
        <v>22</v>
      </c>
      <c r="C182" s="10" t="s">
        <v>1678</v>
      </c>
      <c r="D182" s="10" t="s">
        <v>1679</v>
      </c>
      <c r="E182" s="10" t="s">
        <v>1682</v>
      </c>
      <c r="F182" t="s">
        <v>519</v>
      </c>
      <c r="G182" s="4">
        <v>3213</v>
      </c>
      <c r="H182" s="4"/>
      <c r="I182" s="4"/>
      <c r="J182" s="4">
        <f>SUM(G182:I182)</f>
        <v>3213</v>
      </c>
      <c r="K182" t="s">
        <v>1659</v>
      </c>
      <c r="L182" t="s">
        <v>1659</v>
      </c>
      <c r="M182" t="s">
        <v>1027</v>
      </c>
      <c r="N182" t="s">
        <v>1132</v>
      </c>
      <c r="O182" t="s">
        <v>1132</v>
      </c>
      <c r="P182" t="str">
        <f>IFERROR(VLOOKUP(F182,Sheet1!$A$2:$B$54,2,FALSE),"")</f>
        <v/>
      </c>
    </row>
    <row r="183" spans="1:16" x14ac:dyDescent="0.2">
      <c r="A183" s="1">
        <v>2017</v>
      </c>
      <c r="B183" t="s">
        <v>22</v>
      </c>
      <c r="C183" s="10" t="s">
        <v>1678</v>
      </c>
      <c r="D183" s="10" t="s">
        <v>1679</v>
      </c>
      <c r="E183" s="10" t="s">
        <v>1682</v>
      </c>
      <c r="F183" t="s">
        <v>519</v>
      </c>
      <c r="G183" s="4">
        <v>3357</v>
      </c>
      <c r="H183" s="4"/>
      <c r="I183" s="4"/>
      <c r="J183" s="4">
        <f>SUM(G183:I183)</f>
        <v>3357</v>
      </c>
      <c r="K183" t="s">
        <v>1659</v>
      </c>
      <c r="L183" t="s">
        <v>1659</v>
      </c>
      <c r="M183" t="s">
        <v>1027</v>
      </c>
      <c r="N183" t="s">
        <v>1132</v>
      </c>
      <c r="O183" t="s">
        <v>1132</v>
      </c>
      <c r="P183" t="str">
        <f>IFERROR(VLOOKUP(F183,Sheet1!$A$2:$B$54,2,FALSE),"")</f>
        <v/>
      </c>
    </row>
    <row r="184" spans="1:16" x14ac:dyDescent="0.2">
      <c r="A184" s="1">
        <v>2018</v>
      </c>
      <c r="B184" t="s">
        <v>22</v>
      </c>
      <c r="C184" s="10" t="s">
        <v>1678</v>
      </c>
      <c r="D184" s="10" t="s">
        <v>1679</v>
      </c>
      <c r="E184" s="10" t="s">
        <v>1682</v>
      </c>
      <c r="F184" t="s">
        <v>519</v>
      </c>
      <c r="G184" s="4">
        <v>6851</v>
      </c>
      <c r="H184" s="4"/>
      <c r="I184" s="4"/>
      <c r="J184" s="4">
        <f>SUM(G184:I184)</f>
        <v>6851</v>
      </c>
      <c r="K184" t="s">
        <v>1659</v>
      </c>
      <c r="L184" t="s">
        <v>1659</v>
      </c>
      <c r="M184" t="s">
        <v>1027</v>
      </c>
      <c r="N184" t="s">
        <v>1132</v>
      </c>
      <c r="O184" t="s">
        <v>1132</v>
      </c>
      <c r="P184" t="str">
        <f>IFERROR(VLOOKUP(F184,Sheet1!$A$2:$B$54,2,FALSE),"")</f>
        <v/>
      </c>
    </row>
    <row r="185" spans="1:16" x14ac:dyDescent="0.2">
      <c r="A185" s="1">
        <v>2019</v>
      </c>
      <c r="B185" t="s">
        <v>22</v>
      </c>
      <c r="C185" s="10" t="s">
        <v>1678</v>
      </c>
      <c r="D185" s="10" t="s">
        <v>1679</v>
      </c>
      <c r="E185" s="10" t="s">
        <v>1682</v>
      </c>
      <c r="F185" t="s">
        <v>519</v>
      </c>
      <c r="G185" s="4">
        <v>9984</v>
      </c>
      <c r="H185" s="4"/>
      <c r="I185" s="4"/>
      <c r="J185" s="4">
        <f>SUM(G185:I185)</f>
        <v>9984</v>
      </c>
      <c r="K185" t="s">
        <v>1659</v>
      </c>
      <c r="L185" t="s">
        <v>1659</v>
      </c>
      <c r="M185" t="s">
        <v>1027</v>
      </c>
      <c r="N185" t="s">
        <v>1132</v>
      </c>
      <c r="O185" t="s">
        <v>1132</v>
      </c>
      <c r="P185" t="str">
        <f>IFERROR(VLOOKUP(F185,Sheet1!$A$2:$B$54,2,FALSE),"")</f>
        <v/>
      </c>
    </row>
    <row r="186" spans="1:16" x14ac:dyDescent="0.2">
      <c r="A186" s="1">
        <v>2020</v>
      </c>
      <c r="B186" t="s">
        <v>22</v>
      </c>
      <c r="C186" s="10" t="s">
        <v>1678</v>
      </c>
      <c r="D186" s="10" t="s">
        <v>1679</v>
      </c>
      <c r="E186" s="10" t="s">
        <v>1682</v>
      </c>
      <c r="F186" t="s">
        <v>519</v>
      </c>
      <c r="G186" s="4">
        <v>12916</v>
      </c>
      <c r="H186" s="4"/>
      <c r="I186" s="4"/>
      <c r="J186" s="4">
        <f>SUM(G186:I186)</f>
        <v>12916</v>
      </c>
      <c r="K186" t="s">
        <v>1659</v>
      </c>
      <c r="L186" t="s">
        <v>1659</v>
      </c>
      <c r="M186" t="s">
        <v>1027</v>
      </c>
      <c r="N186" t="s">
        <v>1132</v>
      </c>
      <c r="O186" t="s">
        <v>1132</v>
      </c>
      <c r="P186" t="str">
        <f>IFERROR(VLOOKUP(F186,Sheet1!$A$2:$B$54,2,FALSE),"")</f>
        <v/>
      </c>
    </row>
    <row r="187" spans="1:16" x14ac:dyDescent="0.2">
      <c r="A187" s="1">
        <v>2021</v>
      </c>
      <c r="B187" t="s">
        <v>22</v>
      </c>
      <c r="C187" s="10" t="s">
        <v>1678</v>
      </c>
      <c r="D187" s="10" t="s">
        <v>1679</v>
      </c>
      <c r="E187" s="10" t="s">
        <v>1682</v>
      </c>
      <c r="F187" t="s">
        <v>519</v>
      </c>
      <c r="G187" s="4">
        <v>13281</v>
      </c>
      <c r="H187" s="4"/>
      <c r="I187" s="4"/>
      <c r="J187" s="4">
        <f>SUM(G187:I187)</f>
        <v>13281</v>
      </c>
      <c r="K187" t="s">
        <v>1659</v>
      </c>
      <c r="L187" t="s">
        <v>1659</v>
      </c>
      <c r="M187" t="s">
        <v>519</v>
      </c>
      <c r="N187" t="s">
        <v>1132</v>
      </c>
      <c r="O187" t="s">
        <v>1132</v>
      </c>
      <c r="P187" t="str">
        <f>IFERROR(VLOOKUP(F187,Sheet1!$A$2:$B$54,2,FALSE),"")</f>
        <v/>
      </c>
    </row>
    <row r="188" spans="1:16" x14ac:dyDescent="0.2">
      <c r="A188" s="1">
        <v>2022</v>
      </c>
      <c r="B188" t="s">
        <v>22</v>
      </c>
      <c r="C188" s="10" t="s">
        <v>1678</v>
      </c>
      <c r="D188" s="10" t="s">
        <v>1679</v>
      </c>
      <c r="E188" s="10" t="s">
        <v>1682</v>
      </c>
      <c r="F188" t="s">
        <v>519</v>
      </c>
      <c r="G188" s="4">
        <v>11052</v>
      </c>
      <c r="H188" s="4"/>
      <c r="I188" s="4"/>
      <c r="J188" s="4">
        <f>SUM(G188:I188)</f>
        <v>11052</v>
      </c>
      <c r="K188" t="s">
        <v>1659</v>
      </c>
      <c r="L188" t="s">
        <v>1659</v>
      </c>
      <c r="M188" t="s">
        <v>519</v>
      </c>
      <c r="N188" t="s">
        <v>1132</v>
      </c>
      <c r="O188" t="s">
        <v>1132</v>
      </c>
      <c r="P188" t="str">
        <f>IFERROR(VLOOKUP(F188,Sheet1!$A$2:$B$54,2,FALSE),"")</f>
        <v/>
      </c>
    </row>
    <row r="189" spans="1:16" x14ac:dyDescent="0.2">
      <c r="A189" s="1">
        <v>2023</v>
      </c>
      <c r="B189" t="s">
        <v>22</v>
      </c>
      <c r="C189" s="10" t="s">
        <v>1678</v>
      </c>
      <c r="D189" s="10" t="s">
        <v>1679</v>
      </c>
      <c r="E189" s="10" t="s">
        <v>1682</v>
      </c>
      <c r="F189" t="s">
        <v>519</v>
      </c>
      <c r="G189" s="4">
        <v>11178</v>
      </c>
      <c r="H189" s="4"/>
      <c r="I189" s="4"/>
      <c r="J189" s="4">
        <f>SUM(G189:I189)</f>
        <v>11178</v>
      </c>
      <c r="K189" t="s">
        <v>1659</v>
      </c>
      <c r="L189" t="s">
        <v>1659</v>
      </c>
      <c r="M189" t="s">
        <v>519</v>
      </c>
      <c r="N189" t="s">
        <v>1132</v>
      </c>
      <c r="O189" t="s">
        <v>1132</v>
      </c>
      <c r="P189" t="str">
        <f>IFERROR(VLOOKUP(F189,Sheet1!$A$2:$B$54,2,FALSE),"")</f>
        <v/>
      </c>
    </row>
    <row r="190" spans="1:16" x14ac:dyDescent="0.2">
      <c r="A190" s="1">
        <v>2019</v>
      </c>
      <c r="B190" t="s">
        <v>23</v>
      </c>
      <c r="C190" s="10" t="s">
        <v>1678</v>
      </c>
      <c r="D190" s="10" t="s">
        <v>1679</v>
      </c>
      <c r="E190" s="10" t="s">
        <v>1682</v>
      </c>
      <c r="F190" t="s">
        <v>520</v>
      </c>
      <c r="G190" s="4">
        <v>4641</v>
      </c>
      <c r="H190" s="4"/>
      <c r="I190" s="4"/>
      <c r="J190" s="4">
        <f>SUM(G190:I190)</f>
        <v>4641</v>
      </c>
      <c r="K190" t="s">
        <v>1659</v>
      </c>
      <c r="L190" t="s">
        <v>1659</v>
      </c>
      <c r="M190" t="s">
        <v>1028</v>
      </c>
      <c r="N190" t="s">
        <v>1132</v>
      </c>
      <c r="O190" t="s">
        <v>1132</v>
      </c>
      <c r="P190" t="str">
        <f>IFERROR(VLOOKUP(F190,Sheet1!$A$2:$B$54,2,FALSE),"")</f>
        <v/>
      </c>
    </row>
    <row r="191" spans="1:16" x14ac:dyDescent="0.2">
      <c r="A191" s="1">
        <v>2020</v>
      </c>
      <c r="B191" t="s">
        <v>23</v>
      </c>
      <c r="C191" s="10" t="s">
        <v>1678</v>
      </c>
      <c r="D191" s="10" t="s">
        <v>1679</v>
      </c>
      <c r="E191" s="10" t="s">
        <v>1682</v>
      </c>
      <c r="F191" t="s">
        <v>520</v>
      </c>
      <c r="G191" s="4">
        <v>5518</v>
      </c>
      <c r="H191" s="4"/>
      <c r="I191" s="4"/>
      <c r="J191" s="4">
        <f>SUM(G191:I191)</f>
        <v>5518</v>
      </c>
      <c r="K191" t="s">
        <v>1659</v>
      </c>
      <c r="L191" t="s">
        <v>1659</v>
      </c>
      <c r="M191" t="s">
        <v>1029</v>
      </c>
      <c r="N191" t="s">
        <v>1132</v>
      </c>
      <c r="O191" t="s">
        <v>1132</v>
      </c>
      <c r="P191" t="str">
        <f>IFERROR(VLOOKUP(F191,Sheet1!$A$2:$B$54,2,FALSE),"")</f>
        <v/>
      </c>
    </row>
    <row r="192" spans="1:16" x14ac:dyDescent="0.2">
      <c r="A192" s="1">
        <v>2021</v>
      </c>
      <c r="B192" t="s">
        <v>23</v>
      </c>
      <c r="C192" s="10" t="s">
        <v>1678</v>
      </c>
      <c r="D192" s="10" t="s">
        <v>1679</v>
      </c>
      <c r="E192" s="10" t="s">
        <v>1682</v>
      </c>
      <c r="F192" t="s">
        <v>520</v>
      </c>
      <c r="G192" s="4">
        <v>5875</v>
      </c>
      <c r="H192" s="4"/>
      <c r="I192" s="4"/>
      <c r="J192" s="4">
        <f>SUM(G192:I192)</f>
        <v>5875</v>
      </c>
      <c r="K192" t="s">
        <v>1659</v>
      </c>
      <c r="L192" t="s">
        <v>1659</v>
      </c>
      <c r="M192" t="s">
        <v>520</v>
      </c>
      <c r="N192" t="s">
        <v>1132</v>
      </c>
      <c r="O192" t="s">
        <v>1132</v>
      </c>
      <c r="P192" t="str">
        <f>IFERROR(VLOOKUP(F192,Sheet1!$A$2:$B$54,2,FALSE),"")</f>
        <v/>
      </c>
    </row>
    <row r="193" spans="1:16" x14ac:dyDescent="0.2">
      <c r="A193" s="1">
        <v>2022</v>
      </c>
      <c r="B193" t="s">
        <v>23</v>
      </c>
      <c r="C193" s="10" t="s">
        <v>1678</v>
      </c>
      <c r="D193" s="10" t="s">
        <v>1679</v>
      </c>
      <c r="E193" s="10" t="s">
        <v>1682</v>
      </c>
      <c r="F193" t="s">
        <v>520</v>
      </c>
      <c r="G193" s="4">
        <v>6098</v>
      </c>
      <c r="H193" s="4"/>
      <c r="I193" s="4"/>
      <c r="J193" s="4">
        <f>SUM(G193:I193)</f>
        <v>6098</v>
      </c>
      <c r="K193" t="s">
        <v>1659</v>
      </c>
      <c r="L193" t="s">
        <v>1659</v>
      </c>
      <c r="M193" t="s">
        <v>520</v>
      </c>
      <c r="N193" t="s">
        <v>1132</v>
      </c>
      <c r="O193" t="s">
        <v>1132</v>
      </c>
      <c r="P193" t="str">
        <f>IFERROR(VLOOKUP(F193,Sheet1!$A$2:$B$54,2,FALSE),"")</f>
        <v/>
      </c>
    </row>
    <row r="194" spans="1:16" x14ac:dyDescent="0.2">
      <c r="A194" s="1">
        <v>2023</v>
      </c>
      <c r="B194" t="s">
        <v>23</v>
      </c>
      <c r="C194" s="10" t="s">
        <v>1678</v>
      </c>
      <c r="D194" s="10" t="s">
        <v>1679</v>
      </c>
      <c r="E194" s="10" t="s">
        <v>1682</v>
      </c>
      <c r="F194" t="s">
        <v>520</v>
      </c>
      <c r="G194" s="4">
        <v>6985</v>
      </c>
      <c r="H194" s="4"/>
      <c r="I194" s="4"/>
      <c r="J194" s="4">
        <f>SUM(G194:I194)</f>
        <v>6985</v>
      </c>
      <c r="K194" t="s">
        <v>1659</v>
      </c>
      <c r="L194" t="s">
        <v>1659</v>
      </c>
      <c r="M194" t="s">
        <v>520</v>
      </c>
      <c r="N194" t="s">
        <v>1132</v>
      </c>
      <c r="O194" t="s">
        <v>1132</v>
      </c>
      <c r="P194" t="str">
        <f>IFERROR(VLOOKUP(F194,Sheet1!$A$2:$B$54,2,FALSE),"")</f>
        <v/>
      </c>
    </row>
    <row r="195" spans="1:16" x14ac:dyDescent="0.2">
      <c r="A195" s="1">
        <v>2023</v>
      </c>
      <c r="B195" t="s">
        <v>24</v>
      </c>
      <c r="C195" s="10" t="s">
        <v>1678</v>
      </c>
      <c r="D195" s="10" t="s">
        <v>1679</v>
      </c>
      <c r="E195" s="10" t="s">
        <v>1682</v>
      </c>
      <c r="F195" t="s">
        <v>521</v>
      </c>
      <c r="G195" s="4">
        <v>9745</v>
      </c>
      <c r="H195" s="4"/>
      <c r="I195" s="4"/>
      <c r="J195" s="4">
        <f>SUM(G195:I195)</f>
        <v>9745</v>
      </c>
      <c r="K195" t="s">
        <v>1659</v>
      </c>
      <c r="L195" t="s">
        <v>1659</v>
      </c>
      <c r="M195" t="s">
        <v>521</v>
      </c>
      <c r="N195" t="s">
        <v>1132</v>
      </c>
      <c r="O195" t="s">
        <v>1132</v>
      </c>
      <c r="P195" t="str">
        <f>IFERROR(VLOOKUP(F195,Sheet1!$A$2:$B$54,2,FALSE),"")</f>
        <v/>
      </c>
    </row>
    <row r="196" spans="1:16" x14ac:dyDescent="0.2">
      <c r="A196" s="1">
        <v>2015</v>
      </c>
      <c r="B196" t="s">
        <v>25</v>
      </c>
      <c r="C196" s="10" t="s">
        <v>1678</v>
      </c>
      <c r="D196" s="10" t="s">
        <v>1679</v>
      </c>
      <c r="E196" s="10" t="s">
        <v>1682</v>
      </c>
      <c r="F196" t="s">
        <v>522</v>
      </c>
      <c r="G196" s="4">
        <v>5733</v>
      </c>
      <c r="H196" s="4"/>
      <c r="I196" s="4"/>
      <c r="J196" s="4">
        <f>SUM(G196:I196)</f>
        <v>5733</v>
      </c>
      <c r="K196" t="s">
        <v>1659</v>
      </c>
      <c r="L196" t="s">
        <v>1659</v>
      </c>
      <c r="M196" t="s">
        <v>1030</v>
      </c>
      <c r="N196" t="s">
        <v>1132</v>
      </c>
      <c r="O196" t="s">
        <v>1132</v>
      </c>
      <c r="P196" t="str">
        <f>IFERROR(VLOOKUP(F196,Sheet1!$A$2:$B$54,2,FALSE),"")</f>
        <v/>
      </c>
    </row>
    <row r="197" spans="1:16" x14ac:dyDescent="0.2">
      <c r="A197" s="1">
        <v>2016</v>
      </c>
      <c r="B197" t="s">
        <v>25</v>
      </c>
      <c r="C197" s="10" t="s">
        <v>1678</v>
      </c>
      <c r="D197" s="10" t="s">
        <v>1679</v>
      </c>
      <c r="E197" s="10" t="s">
        <v>1682</v>
      </c>
      <c r="F197" t="s">
        <v>522</v>
      </c>
      <c r="G197" s="4">
        <v>8424</v>
      </c>
      <c r="H197" s="4"/>
      <c r="I197" s="4"/>
      <c r="J197" s="4">
        <f>SUM(G197:I197)</f>
        <v>8424</v>
      </c>
      <c r="K197" t="s">
        <v>1659</v>
      </c>
      <c r="L197" t="s">
        <v>1659</v>
      </c>
      <c r="M197" t="s">
        <v>1030</v>
      </c>
      <c r="N197" t="s">
        <v>1132</v>
      </c>
      <c r="O197" t="s">
        <v>1132</v>
      </c>
      <c r="P197" t="str">
        <f>IFERROR(VLOOKUP(F197,Sheet1!$A$2:$B$54,2,FALSE),"")</f>
        <v/>
      </c>
    </row>
    <row r="198" spans="1:16" x14ac:dyDescent="0.2">
      <c r="A198" s="1">
        <v>2017</v>
      </c>
      <c r="B198" t="s">
        <v>25</v>
      </c>
      <c r="C198" s="10" t="s">
        <v>1678</v>
      </c>
      <c r="D198" s="10" t="s">
        <v>1679</v>
      </c>
      <c r="E198" s="10" t="s">
        <v>1682</v>
      </c>
      <c r="F198" t="s">
        <v>522</v>
      </c>
      <c r="G198" s="4">
        <v>13699</v>
      </c>
      <c r="H198" s="4"/>
      <c r="I198" s="4"/>
      <c r="J198" s="4">
        <f>SUM(G198:I198)</f>
        <v>13699</v>
      </c>
      <c r="K198" t="s">
        <v>1659</v>
      </c>
      <c r="L198" t="s">
        <v>1659</v>
      </c>
      <c r="M198" t="s">
        <v>1030</v>
      </c>
      <c r="N198" t="s">
        <v>1132</v>
      </c>
      <c r="O198" t="s">
        <v>1132</v>
      </c>
      <c r="P198" t="str">
        <f>IFERROR(VLOOKUP(F198,Sheet1!$A$2:$B$54,2,FALSE),"")</f>
        <v/>
      </c>
    </row>
    <row r="199" spans="1:16" x14ac:dyDescent="0.2">
      <c r="A199" s="1">
        <v>2018</v>
      </c>
      <c r="B199" t="s">
        <v>25</v>
      </c>
      <c r="C199" s="10" t="s">
        <v>1678</v>
      </c>
      <c r="D199" s="10" t="s">
        <v>1679</v>
      </c>
      <c r="E199" s="10" t="s">
        <v>1682</v>
      </c>
      <c r="F199" t="s">
        <v>522</v>
      </c>
      <c r="G199" s="4">
        <v>19364</v>
      </c>
      <c r="H199" s="4"/>
      <c r="I199" s="4"/>
      <c r="J199" s="4">
        <f>SUM(G199:I199)</f>
        <v>19364</v>
      </c>
      <c r="K199" t="s">
        <v>1659</v>
      </c>
      <c r="L199" t="s">
        <v>1659</v>
      </c>
      <c r="M199" t="s">
        <v>1030</v>
      </c>
      <c r="N199" t="s">
        <v>1132</v>
      </c>
      <c r="O199" t="s">
        <v>1132</v>
      </c>
      <c r="P199" t="str">
        <f>IFERROR(VLOOKUP(F199,Sheet1!$A$2:$B$54,2,FALSE),"")</f>
        <v/>
      </c>
    </row>
    <row r="200" spans="1:16" x14ac:dyDescent="0.2">
      <c r="A200" s="1">
        <v>2019</v>
      </c>
      <c r="B200" t="s">
        <v>25</v>
      </c>
      <c r="C200" s="10" t="s">
        <v>1678</v>
      </c>
      <c r="D200" s="10" t="s">
        <v>1679</v>
      </c>
      <c r="E200" s="10" t="s">
        <v>1682</v>
      </c>
      <c r="F200" t="s">
        <v>522</v>
      </c>
      <c r="G200" s="4">
        <v>23829</v>
      </c>
      <c r="H200" s="4"/>
      <c r="I200" s="4"/>
      <c r="J200" s="4">
        <f>SUM(G200:I200)</f>
        <v>23829</v>
      </c>
      <c r="K200" t="s">
        <v>1659</v>
      </c>
      <c r="L200" t="s">
        <v>1659</v>
      </c>
      <c r="M200" t="s">
        <v>1030</v>
      </c>
      <c r="N200" t="s">
        <v>1132</v>
      </c>
      <c r="O200" t="s">
        <v>1132</v>
      </c>
      <c r="P200" t="str">
        <f>IFERROR(VLOOKUP(F200,Sheet1!$A$2:$B$54,2,FALSE),"")</f>
        <v/>
      </c>
    </row>
    <row r="201" spans="1:16" x14ac:dyDescent="0.2">
      <c r="A201" s="1">
        <v>2020</v>
      </c>
      <c r="B201" t="s">
        <v>25</v>
      </c>
      <c r="C201" s="10" t="s">
        <v>1678</v>
      </c>
      <c r="D201" s="10" t="s">
        <v>1679</v>
      </c>
      <c r="E201" s="10" t="s">
        <v>1682</v>
      </c>
      <c r="F201" t="s">
        <v>522</v>
      </c>
      <c r="G201" s="4">
        <v>25875</v>
      </c>
      <c r="H201" s="4"/>
      <c r="I201" s="4"/>
      <c r="J201" s="4">
        <f>SUM(G201:I201)</f>
        <v>25875</v>
      </c>
      <c r="K201" t="s">
        <v>1659</v>
      </c>
      <c r="L201" t="s">
        <v>1659</v>
      </c>
      <c r="M201" t="s">
        <v>1030</v>
      </c>
      <c r="N201" t="s">
        <v>1132</v>
      </c>
      <c r="O201" t="s">
        <v>1132</v>
      </c>
      <c r="P201" t="str">
        <f>IFERROR(VLOOKUP(F201,Sheet1!$A$2:$B$54,2,FALSE),"")</f>
        <v/>
      </c>
    </row>
    <row r="202" spans="1:16" x14ac:dyDescent="0.2">
      <c r="A202" s="1">
        <v>2021</v>
      </c>
      <c r="B202" t="s">
        <v>25</v>
      </c>
      <c r="C202" s="10" t="s">
        <v>1678</v>
      </c>
      <c r="D202" s="10" t="s">
        <v>1679</v>
      </c>
      <c r="E202" s="10" t="s">
        <v>1682</v>
      </c>
      <c r="F202" t="s">
        <v>522</v>
      </c>
      <c r="G202" s="4">
        <v>27582</v>
      </c>
      <c r="H202" s="4"/>
      <c r="I202" s="4"/>
      <c r="J202" s="4">
        <f>SUM(G202:I202)</f>
        <v>27582</v>
      </c>
      <c r="K202" t="s">
        <v>1659</v>
      </c>
      <c r="L202" t="s">
        <v>1659</v>
      </c>
      <c r="M202" t="s">
        <v>522</v>
      </c>
      <c r="N202" t="s">
        <v>1132</v>
      </c>
      <c r="O202" t="s">
        <v>1132</v>
      </c>
      <c r="P202" t="str">
        <f>IFERROR(VLOOKUP(F202,Sheet1!$A$2:$B$54,2,FALSE),"")</f>
        <v/>
      </c>
    </row>
    <row r="203" spans="1:16" x14ac:dyDescent="0.2">
      <c r="A203" s="1">
        <v>2022</v>
      </c>
      <c r="B203" t="s">
        <v>25</v>
      </c>
      <c r="C203" s="10" t="s">
        <v>1678</v>
      </c>
      <c r="D203" s="10" t="s">
        <v>1679</v>
      </c>
      <c r="E203" s="10" t="s">
        <v>1682</v>
      </c>
      <c r="F203" t="s">
        <v>522</v>
      </c>
      <c r="G203" s="4">
        <v>30147</v>
      </c>
      <c r="H203" s="4"/>
      <c r="I203" s="4"/>
      <c r="J203" s="4">
        <f>SUM(G203:I203)</f>
        <v>30147</v>
      </c>
      <c r="K203" t="s">
        <v>1659</v>
      </c>
      <c r="L203" t="s">
        <v>1659</v>
      </c>
      <c r="M203" t="s">
        <v>522</v>
      </c>
      <c r="N203" t="s">
        <v>1132</v>
      </c>
      <c r="O203" t="s">
        <v>1132</v>
      </c>
      <c r="P203" t="str">
        <f>IFERROR(VLOOKUP(F203,Sheet1!$A$2:$B$54,2,FALSE),"")</f>
        <v/>
      </c>
    </row>
    <row r="204" spans="1:16" x14ac:dyDescent="0.2">
      <c r="A204" s="1">
        <v>2023</v>
      </c>
      <c r="B204" t="s">
        <v>25</v>
      </c>
      <c r="C204" s="10" t="s">
        <v>1678</v>
      </c>
      <c r="D204" s="10" t="s">
        <v>1679</v>
      </c>
      <c r="E204" s="10" t="s">
        <v>1682</v>
      </c>
      <c r="F204" t="s">
        <v>522</v>
      </c>
      <c r="G204" s="4">
        <v>45098</v>
      </c>
      <c r="H204" s="4"/>
      <c r="I204" s="4"/>
      <c r="J204" s="4">
        <f>SUM(G204:I204)</f>
        <v>45098</v>
      </c>
      <c r="K204" t="s">
        <v>1659</v>
      </c>
      <c r="L204" t="s">
        <v>1659</v>
      </c>
      <c r="M204" t="s">
        <v>522</v>
      </c>
      <c r="N204" t="s">
        <v>1132</v>
      </c>
      <c r="O204" t="s">
        <v>1132</v>
      </c>
      <c r="P204" t="str">
        <f>IFERROR(VLOOKUP(F204,Sheet1!$A$2:$B$54,2,FALSE),"")</f>
        <v/>
      </c>
    </row>
    <row r="205" spans="1:16" x14ac:dyDescent="0.2">
      <c r="A205" s="1">
        <v>2015</v>
      </c>
      <c r="B205" t="s">
        <v>26</v>
      </c>
      <c r="C205" s="10" t="s">
        <v>1678</v>
      </c>
      <c r="D205" s="10" t="s">
        <v>1679</v>
      </c>
      <c r="E205" s="10" t="s">
        <v>1682</v>
      </c>
      <c r="F205" t="s">
        <v>523</v>
      </c>
      <c r="G205" s="4">
        <v>40025</v>
      </c>
      <c r="H205" s="4"/>
      <c r="I205" s="4"/>
      <c r="J205" s="4">
        <f>SUM(G205:I205)</f>
        <v>40025</v>
      </c>
      <c r="K205" t="s">
        <v>1659</v>
      </c>
      <c r="L205" t="s">
        <v>1659</v>
      </c>
      <c r="M205" t="s">
        <v>1031</v>
      </c>
      <c r="N205" t="s">
        <v>1132</v>
      </c>
      <c r="O205" t="s">
        <v>1132</v>
      </c>
      <c r="P205" t="str">
        <f>IFERROR(VLOOKUP(F205,Sheet1!$A$2:$B$54,2,FALSE),"")</f>
        <v/>
      </c>
    </row>
    <row r="206" spans="1:16" x14ac:dyDescent="0.2">
      <c r="A206" s="1">
        <v>2016</v>
      </c>
      <c r="B206" t="s">
        <v>26</v>
      </c>
      <c r="C206" s="10" t="s">
        <v>1678</v>
      </c>
      <c r="D206" s="10" t="s">
        <v>1679</v>
      </c>
      <c r="E206" s="10" t="s">
        <v>1682</v>
      </c>
      <c r="F206" t="s">
        <v>523</v>
      </c>
      <c r="G206" s="4">
        <v>49797</v>
      </c>
      <c r="H206" s="4"/>
      <c r="I206" s="4"/>
      <c r="J206" s="4">
        <f>SUM(G206:I206)</f>
        <v>49797</v>
      </c>
      <c r="K206" t="s">
        <v>1659</v>
      </c>
      <c r="L206" t="s">
        <v>1659</v>
      </c>
      <c r="M206" t="s">
        <v>1031</v>
      </c>
      <c r="N206" t="s">
        <v>1132</v>
      </c>
      <c r="O206" t="s">
        <v>1132</v>
      </c>
      <c r="P206" t="str">
        <f>IFERROR(VLOOKUP(F206,Sheet1!$A$2:$B$54,2,FALSE),"")</f>
        <v/>
      </c>
    </row>
    <row r="207" spans="1:16" x14ac:dyDescent="0.2">
      <c r="A207" s="1">
        <v>2017</v>
      </c>
      <c r="B207" t="s">
        <v>26</v>
      </c>
      <c r="C207" s="10" t="s">
        <v>1678</v>
      </c>
      <c r="D207" s="10" t="s">
        <v>1679</v>
      </c>
      <c r="E207" s="10" t="s">
        <v>1682</v>
      </c>
      <c r="F207" t="s">
        <v>523</v>
      </c>
      <c r="G207" s="4">
        <v>64498</v>
      </c>
      <c r="H207" s="4"/>
      <c r="I207" s="4"/>
      <c r="J207" s="4">
        <f>SUM(G207:I207)</f>
        <v>64498</v>
      </c>
      <c r="K207" t="s">
        <v>1659</v>
      </c>
      <c r="L207" t="s">
        <v>1659</v>
      </c>
      <c r="M207" t="s">
        <v>1031</v>
      </c>
      <c r="N207" t="s">
        <v>1132</v>
      </c>
      <c r="O207" t="s">
        <v>1132</v>
      </c>
      <c r="P207" t="str">
        <f>IFERROR(VLOOKUP(F207,Sheet1!$A$2:$B$54,2,FALSE),"")</f>
        <v/>
      </c>
    </row>
    <row r="208" spans="1:16" x14ac:dyDescent="0.2">
      <c r="A208" s="1">
        <v>2018</v>
      </c>
      <c r="B208" t="s">
        <v>26</v>
      </c>
      <c r="C208" s="10" t="s">
        <v>1678</v>
      </c>
      <c r="D208" s="10" t="s">
        <v>1679</v>
      </c>
      <c r="E208" s="10" t="s">
        <v>1682</v>
      </c>
      <c r="F208" t="s">
        <v>523</v>
      </c>
      <c r="G208" s="4">
        <v>85874</v>
      </c>
      <c r="H208" s="4"/>
      <c r="I208" s="4"/>
      <c r="J208" s="4">
        <f>SUM(G208:I208)</f>
        <v>85874</v>
      </c>
      <c r="K208" t="s">
        <v>1659</v>
      </c>
      <c r="L208" t="s">
        <v>1659</v>
      </c>
      <c r="M208" t="s">
        <v>1031</v>
      </c>
      <c r="N208" t="s">
        <v>1132</v>
      </c>
      <c r="O208" t="s">
        <v>1132</v>
      </c>
      <c r="P208" t="str">
        <f>IFERROR(VLOOKUP(F208,Sheet1!$A$2:$B$54,2,FALSE),"")</f>
        <v/>
      </c>
    </row>
    <row r="209" spans="1:16" x14ac:dyDescent="0.2">
      <c r="A209" s="1">
        <v>2019</v>
      </c>
      <c r="B209" t="s">
        <v>26</v>
      </c>
      <c r="C209" s="10" t="s">
        <v>1678</v>
      </c>
      <c r="D209" s="10" t="s">
        <v>1679</v>
      </c>
      <c r="E209" s="10" t="s">
        <v>1682</v>
      </c>
      <c r="F209" t="s">
        <v>523</v>
      </c>
      <c r="G209" s="4">
        <v>102314</v>
      </c>
      <c r="H209" s="4"/>
      <c r="I209" s="4"/>
      <c r="J209" s="4">
        <f>SUM(G209:I209)</f>
        <v>102314</v>
      </c>
      <c r="K209" t="s">
        <v>1659</v>
      </c>
      <c r="L209" t="s">
        <v>1659</v>
      </c>
      <c r="M209" t="s">
        <v>1031</v>
      </c>
      <c r="N209" t="s">
        <v>1132</v>
      </c>
      <c r="O209" t="s">
        <v>1132</v>
      </c>
      <c r="P209" t="str">
        <f>IFERROR(VLOOKUP(F209,Sheet1!$A$2:$B$54,2,FALSE),"")</f>
        <v/>
      </c>
    </row>
    <row r="210" spans="1:16" x14ac:dyDescent="0.2">
      <c r="A210" s="1">
        <v>2020</v>
      </c>
      <c r="B210" t="s">
        <v>26</v>
      </c>
      <c r="C210" s="10" t="s">
        <v>1678</v>
      </c>
      <c r="D210" s="10" t="s">
        <v>1679</v>
      </c>
      <c r="E210" s="10" t="s">
        <v>1682</v>
      </c>
      <c r="F210" t="s">
        <v>523</v>
      </c>
      <c r="G210" s="4">
        <v>102487</v>
      </c>
      <c r="H210" s="4"/>
      <c r="I210" s="4"/>
      <c r="J210" s="4">
        <f>SUM(G210:I210)</f>
        <v>102487</v>
      </c>
      <c r="K210" t="s">
        <v>1659</v>
      </c>
      <c r="L210" t="s">
        <v>1659</v>
      </c>
      <c r="M210" t="s">
        <v>1031</v>
      </c>
      <c r="N210" t="s">
        <v>1132</v>
      </c>
      <c r="O210" t="s">
        <v>1132</v>
      </c>
      <c r="P210" t="str">
        <f>IFERROR(VLOOKUP(F210,Sheet1!$A$2:$B$54,2,FALSE),"")</f>
        <v/>
      </c>
    </row>
    <row r="211" spans="1:16" x14ac:dyDescent="0.2">
      <c r="A211" s="1">
        <v>2021</v>
      </c>
      <c r="B211" t="s">
        <v>26</v>
      </c>
      <c r="C211" s="10" t="s">
        <v>1678</v>
      </c>
      <c r="D211" s="10" t="s">
        <v>1679</v>
      </c>
      <c r="E211" s="10" t="s">
        <v>1682</v>
      </c>
      <c r="F211" t="s">
        <v>523</v>
      </c>
      <c r="G211" s="4">
        <v>115409</v>
      </c>
      <c r="H211" s="4"/>
      <c r="I211" s="4"/>
      <c r="J211" s="4">
        <f>SUM(G211:I211)</f>
        <v>115409</v>
      </c>
      <c r="K211" t="s">
        <v>1659</v>
      </c>
      <c r="L211" t="s">
        <v>1659</v>
      </c>
      <c r="M211" t="s">
        <v>523</v>
      </c>
      <c r="N211" t="s">
        <v>1132</v>
      </c>
      <c r="O211" t="s">
        <v>1132</v>
      </c>
      <c r="P211" t="str">
        <f>IFERROR(VLOOKUP(F211,Sheet1!$A$2:$B$54,2,FALSE),"")</f>
        <v/>
      </c>
    </row>
    <row r="212" spans="1:16" x14ac:dyDescent="0.2">
      <c r="A212" s="1">
        <v>2022</v>
      </c>
      <c r="B212" t="s">
        <v>26</v>
      </c>
      <c r="C212" s="10" t="s">
        <v>1678</v>
      </c>
      <c r="D212" s="10" t="s">
        <v>1679</v>
      </c>
      <c r="E212" s="10" t="s">
        <v>1682</v>
      </c>
      <c r="F212" t="s">
        <v>523</v>
      </c>
      <c r="G212" s="4">
        <v>130508</v>
      </c>
      <c r="H212" s="4"/>
      <c r="I212" s="4"/>
      <c r="J212" s="4">
        <f>SUM(G212:I212)</f>
        <v>130508</v>
      </c>
      <c r="K212" t="s">
        <v>1659</v>
      </c>
      <c r="L212" t="s">
        <v>1659</v>
      </c>
      <c r="M212" t="s">
        <v>523</v>
      </c>
      <c r="N212" t="s">
        <v>1132</v>
      </c>
      <c r="O212" t="s">
        <v>1132</v>
      </c>
      <c r="P212" t="str">
        <f>IFERROR(VLOOKUP(F212,Sheet1!$A$2:$B$54,2,FALSE),"")</f>
        <v/>
      </c>
    </row>
    <row r="213" spans="1:16" x14ac:dyDescent="0.2">
      <c r="A213" s="1">
        <v>2023</v>
      </c>
      <c r="B213" t="s">
        <v>26</v>
      </c>
      <c r="C213" s="10" t="s">
        <v>1678</v>
      </c>
      <c r="D213" s="10" t="s">
        <v>1679</v>
      </c>
      <c r="E213" s="10" t="s">
        <v>1682</v>
      </c>
      <c r="F213" t="s">
        <v>523</v>
      </c>
      <c r="G213" s="4">
        <v>166248</v>
      </c>
      <c r="H213" s="4"/>
      <c r="I213" s="4"/>
      <c r="J213" s="4">
        <f>SUM(G213:I213)</f>
        <v>166248</v>
      </c>
      <c r="K213" t="s">
        <v>1659</v>
      </c>
      <c r="L213" t="s">
        <v>1659</v>
      </c>
      <c r="M213" t="s">
        <v>523</v>
      </c>
      <c r="N213" t="s">
        <v>1132</v>
      </c>
      <c r="O213" t="s">
        <v>1132</v>
      </c>
      <c r="P213" t="str">
        <f>IFERROR(VLOOKUP(F213,Sheet1!$A$2:$B$54,2,FALSE),"")</f>
        <v/>
      </c>
    </row>
    <row r="214" spans="1:16" x14ac:dyDescent="0.2">
      <c r="A214" s="1">
        <v>2015</v>
      </c>
      <c r="B214" t="s">
        <v>27</v>
      </c>
      <c r="C214" s="10" t="s">
        <v>1678</v>
      </c>
      <c r="D214" s="10" t="s">
        <v>1679</v>
      </c>
      <c r="E214" s="10" t="s">
        <v>1682</v>
      </c>
      <c r="F214" t="s">
        <v>524</v>
      </c>
      <c r="G214" s="4">
        <v>2973</v>
      </c>
      <c r="H214" s="4"/>
      <c r="I214" s="4"/>
      <c r="J214" s="4">
        <f>SUM(G214:I214)</f>
        <v>2973</v>
      </c>
      <c r="K214" t="s">
        <v>1659</v>
      </c>
      <c r="L214" t="s">
        <v>1659</v>
      </c>
      <c r="M214" t="s">
        <v>1032</v>
      </c>
      <c r="N214" t="s">
        <v>1132</v>
      </c>
      <c r="O214" t="s">
        <v>1132</v>
      </c>
      <c r="P214" t="str">
        <f>IFERROR(VLOOKUP(F214,Sheet1!$A$2:$B$54,2,FALSE),"")</f>
        <v/>
      </c>
    </row>
    <row r="215" spans="1:16" x14ac:dyDescent="0.2">
      <c r="A215" s="1">
        <v>2016</v>
      </c>
      <c r="B215" t="s">
        <v>27</v>
      </c>
      <c r="C215" s="10" t="s">
        <v>1678</v>
      </c>
      <c r="D215" s="10" t="s">
        <v>1679</v>
      </c>
      <c r="E215" s="10" t="s">
        <v>1682</v>
      </c>
      <c r="F215" t="s">
        <v>524</v>
      </c>
      <c r="G215" s="4">
        <v>3138</v>
      </c>
      <c r="H215" s="4"/>
      <c r="I215" s="4"/>
      <c r="J215" s="4">
        <f>SUM(G215:I215)</f>
        <v>3138</v>
      </c>
      <c r="K215" t="s">
        <v>1659</v>
      </c>
      <c r="L215" t="s">
        <v>1659</v>
      </c>
      <c r="M215" t="s">
        <v>1032</v>
      </c>
      <c r="N215" t="s">
        <v>1132</v>
      </c>
      <c r="O215" t="s">
        <v>1132</v>
      </c>
      <c r="P215" t="str">
        <f>IFERROR(VLOOKUP(F215,Sheet1!$A$2:$B$54,2,FALSE),"")</f>
        <v/>
      </c>
    </row>
    <row r="216" spans="1:16" x14ac:dyDescent="0.2">
      <c r="A216" s="1">
        <v>2017</v>
      </c>
      <c r="B216" t="s">
        <v>27</v>
      </c>
      <c r="C216" s="10" t="s">
        <v>1678</v>
      </c>
      <c r="D216" s="10" t="s">
        <v>1679</v>
      </c>
      <c r="E216" s="10" t="s">
        <v>1682</v>
      </c>
      <c r="F216" t="s">
        <v>524</v>
      </c>
      <c r="G216" s="4">
        <v>3300</v>
      </c>
      <c r="H216" s="4"/>
      <c r="I216" s="4"/>
      <c r="J216" s="4">
        <f>SUM(G216:I216)</f>
        <v>3300</v>
      </c>
      <c r="K216" t="s">
        <v>1659</v>
      </c>
      <c r="L216" t="s">
        <v>1659</v>
      </c>
      <c r="M216" t="s">
        <v>1033</v>
      </c>
      <c r="N216" t="s">
        <v>1132</v>
      </c>
      <c r="O216" t="s">
        <v>1132</v>
      </c>
      <c r="P216" t="str">
        <f>IFERROR(VLOOKUP(F216,Sheet1!$A$2:$B$54,2,FALSE),"")</f>
        <v/>
      </c>
    </row>
    <row r="217" spans="1:16" x14ac:dyDescent="0.2">
      <c r="A217" s="1">
        <v>2018</v>
      </c>
      <c r="B217" t="s">
        <v>27</v>
      </c>
      <c r="C217" s="10" t="s">
        <v>1678</v>
      </c>
      <c r="D217" s="10" t="s">
        <v>1679</v>
      </c>
      <c r="E217" s="10" t="s">
        <v>1682</v>
      </c>
      <c r="F217" t="s">
        <v>524</v>
      </c>
      <c r="G217" s="4">
        <v>5161</v>
      </c>
      <c r="H217" s="4"/>
      <c r="I217" s="4"/>
      <c r="J217" s="4">
        <f>SUM(G217:I217)</f>
        <v>5161</v>
      </c>
      <c r="K217" t="s">
        <v>1659</v>
      </c>
      <c r="L217" t="s">
        <v>1659</v>
      </c>
      <c r="M217" t="s">
        <v>1033</v>
      </c>
      <c r="N217" t="s">
        <v>1132</v>
      </c>
      <c r="O217" t="s">
        <v>1132</v>
      </c>
      <c r="P217" t="str">
        <f>IFERROR(VLOOKUP(F217,Sheet1!$A$2:$B$54,2,FALSE),"")</f>
        <v/>
      </c>
    </row>
    <row r="218" spans="1:16" x14ac:dyDescent="0.2">
      <c r="A218" s="1">
        <v>2019</v>
      </c>
      <c r="B218" t="s">
        <v>27</v>
      </c>
      <c r="C218" s="10" t="s">
        <v>1678</v>
      </c>
      <c r="D218" s="10" t="s">
        <v>1679</v>
      </c>
      <c r="E218" s="10" t="s">
        <v>1682</v>
      </c>
      <c r="F218" t="s">
        <v>524</v>
      </c>
      <c r="G218" s="4">
        <v>9938</v>
      </c>
      <c r="H218" s="4"/>
      <c r="I218" s="4"/>
      <c r="J218" s="4">
        <f>SUM(G218:I218)</f>
        <v>9938</v>
      </c>
      <c r="K218" t="s">
        <v>1659</v>
      </c>
      <c r="L218" t="s">
        <v>1659</v>
      </c>
      <c r="M218" t="s">
        <v>1033</v>
      </c>
      <c r="N218" t="s">
        <v>1132</v>
      </c>
      <c r="O218" t="s">
        <v>1132</v>
      </c>
      <c r="P218" t="str">
        <f>IFERROR(VLOOKUP(F218,Sheet1!$A$2:$B$54,2,FALSE),"")</f>
        <v/>
      </c>
    </row>
    <row r="219" spans="1:16" x14ac:dyDescent="0.2">
      <c r="A219" s="1">
        <v>2020</v>
      </c>
      <c r="B219" t="s">
        <v>27</v>
      </c>
      <c r="C219" s="10" t="s">
        <v>1678</v>
      </c>
      <c r="D219" s="10" t="s">
        <v>1679</v>
      </c>
      <c r="E219" s="10" t="s">
        <v>1682</v>
      </c>
      <c r="F219" t="s">
        <v>524</v>
      </c>
      <c r="G219" s="4">
        <v>11862</v>
      </c>
      <c r="H219" s="4"/>
      <c r="I219" s="4"/>
      <c r="J219" s="4">
        <f>SUM(G219:I219)</f>
        <v>11862</v>
      </c>
      <c r="K219" t="s">
        <v>1659</v>
      </c>
      <c r="L219" t="s">
        <v>1659</v>
      </c>
      <c r="M219" t="s">
        <v>1033</v>
      </c>
      <c r="N219" t="s">
        <v>1132</v>
      </c>
      <c r="O219" t="s">
        <v>1132</v>
      </c>
      <c r="P219" t="str">
        <f>IFERROR(VLOOKUP(F219,Sheet1!$A$2:$B$54,2,FALSE),"")</f>
        <v/>
      </c>
    </row>
    <row r="220" spans="1:16" x14ac:dyDescent="0.2">
      <c r="A220" s="1">
        <v>2021</v>
      </c>
      <c r="B220" t="s">
        <v>27</v>
      </c>
      <c r="C220" s="10" t="s">
        <v>1678</v>
      </c>
      <c r="D220" s="10" t="s">
        <v>1679</v>
      </c>
      <c r="E220" s="10" t="s">
        <v>1682</v>
      </c>
      <c r="F220" t="s">
        <v>524</v>
      </c>
      <c r="G220" s="4">
        <v>15497</v>
      </c>
      <c r="H220" s="4"/>
      <c r="I220" s="4"/>
      <c r="J220" s="4">
        <f>SUM(G220:I220)</f>
        <v>15497</v>
      </c>
      <c r="K220" t="s">
        <v>1659</v>
      </c>
      <c r="L220" t="s">
        <v>1659</v>
      </c>
      <c r="M220" t="s">
        <v>524</v>
      </c>
      <c r="N220" t="s">
        <v>1132</v>
      </c>
      <c r="O220" t="s">
        <v>1132</v>
      </c>
      <c r="P220" t="str">
        <f>IFERROR(VLOOKUP(F220,Sheet1!$A$2:$B$54,2,FALSE),"")</f>
        <v/>
      </c>
    </row>
    <row r="221" spans="1:16" x14ac:dyDescent="0.2">
      <c r="A221" s="1">
        <v>2022</v>
      </c>
      <c r="B221" t="s">
        <v>27</v>
      </c>
      <c r="C221" s="10" t="s">
        <v>1678</v>
      </c>
      <c r="D221" s="10" t="s">
        <v>1679</v>
      </c>
      <c r="E221" s="10" t="s">
        <v>1682</v>
      </c>
      <c r="F221" t="s">
        <v>524</v>
      </c>
      <c r="G221" s="4">
        <v>16243</v>
      </c>
      <c r="H221" s="4"/>
      <c r="I221" s="4"/>
      <c r="J221" s="4">
        <f>SUM(G221:I221)</f>
        <v>16243</v>
      </c>
      <c r="K221" t="s">
        <v>1659</v>
      </c>
      <c r="L221" t="s">
        <v>1659</v>
      </c>
      <c r="M221" t="s">
        <v>524</v>
      </c>
      <c r="N221" t="s">
        <v>1132</v>
      </c>
      <c r="O221" t="s">
        <v>1132</v>
      </c>
      <c r="P221" t="str">
        <f>IFERROR(VLOOKUP(F221,Sheet1!$A$2:$B$54,2,FALSE),"")</f>
        <v/>
      </c>
    </row>
    <row r="222" spans="1:16" x14ac:dyDescent="0.2">
      <c r="A222" s="1">
        <v>2023</v>
      </c>
      <c r="B222" t="s">
        <v>27</v>
      </c>
      <c r="C222" s="10" t="s">
        <v>1678</v>
      </c>
      <c r="D222" s="10" t="s">
        <v>1679</v>
      </c>
      <c r="E222" s="10" t="s">
        <v>1682</v>
      </c>
      <c r="F222" t="s">
        <v>524</v>
      </c>
      <c r="G222" s="4">
        <v>18064</v>
      </c>
      <c r="H222" s="4"/>
      <c r="I222" s="4"/>
      <c r="J222" s="4">
        <f>SUM(G222:I222)</f>
        <v>18064</v>
      </c>
      <c r="K222" t="s">
        <v>1659</v>
      </c>
      <c r="L222" t="s">
        <v>1659</v>
      </c>
      <c r="M222" t="s">
        <v>524</v>
      </c>
      <c r="N222" t="s">
        <v>1132</v>
      </c>
      <c r="O222" t="s">
        <v>1132</v>
      </c>
      <c r="P222" t="str">
        <f>IFERROR(VLOOKUP(F222,Sheet1!$A$2:$B$54,2,FALSE),"")</f>
        <v/>
      </c>
    </row>
    <row r="223" spans="1:16" x14ac:dyDescent="0.2">
      <c r="A223" s="1">
        <v>2015</v>
      </c>
      <c r="B223" t="s">
        <v>28</v>
      </c>
      <c r="C223" s="10" t="s">
        <v>1678</v>
      </c>
      <c r="D223" s="10" t="s">
        <v>1679</v>
      </c>
      <c r="E223" s="10" t="s">
        <v>1682</v>
      </c>
      <c r="F223" t="s">
        <v>525</v>
      </c>
      <c r="G223" s="4">
        <v>2731</v>
      </c>
      <c r="H223" s="4"/>
      <c r="I223" s="4"/>
      <c r="J223" s="4">
        <f>SUM(G223:I223)</f>
        <v>2731</v>
      </c>
      <c r="K223" t="s">
        <v>1659</v>
      </c>
      <c r="L223" t="s">
        <v>1659</v>
      </c>
      <c r="M223" t="s">
        <v>1034</v>
      </c>
      <c r="N223" t="s">
        <v>1132</v>
      </c>
      <c r="O223" t="s">
        <v>1132</v>
      </c>
      <c r="P223" t="str">
        <f>IFERROR(VLOOKUP(F223,Sheet1!$A$2:$B$54,2,FALSE),"")</f>
        <v/>
      </c>
    </row>
    <row r="224" spans="1:16" x14ac:dyDescent="0.2">
      <c r="A224" s="1">
        <v>2016</v>
      </c>
      <c r="B224" t="s">
        <v>28</v>
      </c>
      <c r="C224" s="10" t="s">
        <v>1678</v>
      </c>
      <c r="D224" s="10" t="s">
        <v>1679</v>
      </c>
      <c r="E224" s="10" t="s">
        <v>1682</v>
      </c>
      <c r="F224" t="s">
        <v>525</v>
      </c>
      <c r="G224" s="4">
        <v>3149</v>
      </c>
      <c r="H224" s="4"/>
      <c r="I224" s="4"/>
      <c r="J224" s="4">
        <f>SUM(G224:I224)</f>
        <v>3149</v>
      </c>
      <c r="K224" t="s">
        <v>1659</v>
      </c>
      <c r="L224" t="s">
        <v>1659</v>
      </c>
      <c r="M224" t="s">
        <v>1034</v>
      </c>
      <c r="N224" t="s">
        <v>1132</v>
      </c>
      <c r="O224" t="s">
        <v>1132</v>
      </c>
      <c r="P224" t="str">
        <f>IFERROR(VLOOKUP(F224,Sheet1!$A$2:$B$54,2,FALSE),"")</f>
        <v/>
      </c>
    </row>
    <row r="225" spans="1:16" x14ac:dyDescent="0.2">
      <c r="A225" s="1">
        <v>2017</v>
      </c>
      <c r="B225" t="s">
        <v>28</v>
      </c>
      <c r="C225" s="10" t="s">
        <v>1678</v>
      </c>
      <c r="D225" s="10" t="s">
        <v>1679</v>
      </c>
      <c r="E225" s="10" t="s">
        <v>1682</v>
      </c>
      <c r="F225" t="s">
        <v>525</v>
      </c>
      <c r="G225" s="4">
        <v>5020</v>
      </c>
      <c r="H225" s="4"/>
      <c r="I225" s="4"/>
      <c r="J225" s="4">
        <f>SUM(G225:I225)</f>
        <v>5020</v>
      </c>
      <c r="K225" t="s">
        <v>1659</v>
      </c>
      <c r="L225" t="s">
        <v>1659</v>
      </c>
      <c r="M225" t="s">
        <v>1034</v>
      </c>
      <c r="N225" t="s">
        <v>1132</v>
      </c>
      <c r="O225" t="s">
        <v>1132</v>
      </c>
      <c r="P225" t="str">
        <f>IFERROR(VLOOKUP(F225,Sheet1!$A$2:$B$54,2,FALSE),"")</f>
        <v/>
      </c>
    </row>
    <row r="226" spans="1:16" x14ac:dyDescent="0.2">
      <c r="A226" s="1">
        <v>2018</v>
      </c>
      <c r="B226" t="s">
        <v>28</v>
      </c>
      <c r="C226" s="10" t="s">
        <v>1678</v>
      </c>
      <c r="D226" s="10" t="s">
        <v>1679</v>
      </c>
      <c r="E226" s="10" t="s">
        <v>1682</v>
      </c>
      <c r="F226" t="s">
        <v>525</v>
      </c>
      <c r="G226" s="4">
        <v>6948</v>
      </c>
      <c r="H226" s="4"/>
      <c r="I226" s="4"/>
      <c r="J226" s="4">
        <f>SUM(G226:I226)</f>
        <v>6948</v>
      </c>
      <c r="K226" t="s">
        <v>1659</v>
      </c>
      <c r="L226" t="s">
        <v>1659</v>
      </c>
      <c r="M226" t="s">
        <v>1034</v>
      </c>
      <c r="N226" t="s">
        <v>1132</v>
      </c>
      <c r="O226" t="s">
        <v>1132</v>
      </c>
      <c r="P226" t="str">
        <f>IFERROR(VLOOKUP(F226,Sheet1!$A$2:$B$54,2,FALSE),"")</f>
        <v/>
      </c>
    </row>
    <row r="227" spans="1:16" x14ac:dyDescent="0.2">
      <c r="A227" s="1">
        <v>2019</v>
      </c>
      <c r="B227" t="s">
        <v>28</v>
      </c>
      <c r="C227" s="10" t="s">
        <v>1678</v>
      </c>
      <c r="D227" s="10" t="s">
        <v>1679</v>
      </c>
      <c r="E227" s="10" t="s">
        <v>1682</v>
      </c>
      <c r="F227" t="s">
        <v>525</v>
      </c>
      <c r="G227" s="4">
        <v>10259</v>
      </c>
      <c r="H227" s="4"/>
      <c r="I227" s="4"/>
      <c r="J227" s="4">
        <f>SUM(G227:I227)</f>
        <v>10259</v>
      </c>
      <c r="K227" t="s">
        <v>1659</v>
      </c>
      <c r="L227" t="s">
        <v>1659</v>
      </c>
      <c r="M227" t="s">
        <v>1034</v>
      </c>
      <c r="N227" t="s">
        <v>1132</v>
      </c>
      <c r="O227" t="s">
        <v>1132</v>
      </c>
      <c r="P227" t="str">
        <f>IFERROR(VLOOKUP(F227,Sheet1!$A$2:$B$54,2,FALSE),"")</f>
        <v/>
      </c>
    </row>
    <row r="228" spans="1:16" x14ac:dyDescent="0.2">
      <c r="A228" s="1">
        <v>2020</v>
      </c>
      <c r="B228" t="s">
        <v>28</v>
      </c>
      <c r="C228" s="10" t="s">
        <v>1678</v>
      </c>
      <c r="D228" s="10" t="s">
        <v>1679</v>
      </c>
      <c r="E228" s="10" t="s">
        <v>1682</v>
      </c>
      <c r="F228" t="s">
        <v>525</v>
      </c>
      <c r="G228" s="4">
        <v>12941</v>
      </c>
      <c r="H228" s="4"/>
      <c r="I228" s="4"/>
      <c r="J228" s="4">
        <f>SUM(G228:I228)</f>
        <v>12941</v>
      </c>
      <c r="K228" t="s">
        <v>1659</v>
      </c>
      <c r="L228" t="s">
        <v>1659</v>
      </c>
      <c r="M228" t="s">
        <v>1034</v>
      </c>
      <c r="N228" t="s">
        <v>1132</v>
      </c>
      <c r="O228" t="s">
        <v>1132</v>
      </c>
      <c r="P228" t="str">
        <f>IFERROR(VLOOKUP(F228,Sheet1!$A$2:$B$54,2,FALSE),"")</f>
        <v/>
      </c>
    </row>
    <row r="229" spans="1:16" x14ac:dyDescent="0.2">
      <c r="A229" s="1">
        <v>2021</v>
      </c>
      <c r="B229" t="s">
        <v>28</v>
      </c>
      <c r="C229" s="10" t="s">
        <v>1678</v>
      </c>
      <c r="D229" s="10" t="s">
        <v>1679</v>
      </c>
      <c r="E229" s="10" t="s">
        <v>1682</v>
      </c>
      <c r="F229" t="s">
        <v>525</v>
      </c>
      <c r="G229" s="4">
        <v>14031</v>
      </c>
      <c r="H229" s="4"/>
      <c r="I229" s="4"/>
      <c r="J229" s="4">
        <f>SUM(G229:I229)</f>
        <v>14031</v>
      </c>
      <c r="K229" t="s">
        <v>1659</v>
      </c>
      <c r="L229" t="s">
        <v>1659</v>
      </c>
      <c r="M229" t="s">
        <v>525</v>
      </c>
      <c r="N229" t="s">
        <v>1132</v>
      </c>
      <c r="O229" t="s">
        <v>1132</v>
      </c>
      <c r="P229" t="str">
        <f>IFERROR(VLOOKUP(F229,Sheet1!$A$2:$B$54,2,FALSE),"")</f>
        <v/>
      </c>
    </row>
    <row r="230" spans="1:16" x14ac:dyDescent="0.2">
      <c r="A230" s="1">
        <v>2022</v>
      </c>
      <c r="B230" t="s">
        <v>28</v>
      </c>
      <c r="C230" s="10" t="s">
        <v>1678</v>
      </c>
      <c r="D230" s="10" t="s">
        <v>1679</v>
      </c>
      <c r="E230" s="10" t="s">
        <v>1682</v>
      </c>
      <c r="F230" t="s">
        <v>525</v>
      </c>
      <c r="G230" s="4">
        <v>15900</v>
      </c>
      <c r="H230" s="4"/>
      <c r="I230" s="4"/>
      <c r="J230" s="4">
        <f>SUM(G230:I230)</f>
        <v>15900</v>
      </c>
      <c r="K230" t="s">
        <v>1659</v>
      </c>
      <c r="L230" t="s">
        <v>1659</v>
      </c>
      <c r="M230" t="s">
        <v>525</v>
      </c>
      <c r="N230" t="s">
        <v>1132</v>
      </c>
      <c r="O230" t="s">
        <v>1132</v>
      </c>
      <c r="P230" t="str">
        <f>IFERROR(VLOOKUP(F230,Sheet1!$A$2:$B$54,2,FALSE),"")</f>
        <v/>
      </c>
    </row>
    <row r="231" spans="1:16" x14ac:dyDescent="0.2">
      <c r="A231" s="1">
        <v>2023</v>
      </c>
      <c r="B231" t="s">
        <v>28</v>
      </c>
      <c r="C231" s="10" t="s">
        <v>1678</v>
      </c>
      <c r="D231" s="10" t="s">
        <v>1679</v>
      </c>
      <c r="E231" s="10" t="s">
        <v>1682</v>
      </c>
      <c r="F231" t="s">
        <v>525</v>
      </c>
      <c r="G231" s="4">
        <v>23491</v>
      </c>
      <c r="H231" s="4"/>
      <c r="I231" s="4"/>
      <c r="J231" s="4">
        <f>SUM(G231:I231)</f>
        <v>23491</v>
      </c>
      <c r="K231" t="s">
        <v>1659</v>
      </c>
      <c r="L231" t="s">
        <v>1659</v>
      </c>
      <c r="M231" t="s">
        <v>525</v>
      </c>
      <c r="N231" t="s">
        <v>1132</v>
      </c>
      <c r="O231" t="s">
        <v>1132</v>
      </c>
      <c r="P231" t="str">
        <f>IFERROR(VLOOKUP(F231,Sheet1!$A$2:$B$54,2,FALSE),"")</f>
        <v/>
      </c>
    </row>
    <row r="232" spans="1:16" x14ac:dyDescent="0.2">
      <c r="A232" s="1">
        <v>2015</v>
      </c>
      <c r="B232" t="s">
        <v>29</v>
      </c>
      <c r="C232" s="10" t="s">
        <v>1678</v>
      </c>
      <c r="D232" s="10" t="s">
        <v>1679</v>
      </c>
      <c r="E232" s="10" t="s">
        <v>1682</v>
      </c>
      <c r="F232" t="s">
        <v>526</v>
      </c>
      <c r="G232" s="4">
        <v>2437</v>
      </c>
      <c r="H232" s="4"/>
      <c r="I232" s="4"/>
      <c r="J232" s="4">
        <f>SUM(G232:I232)</f>
        <v>2437</v>
      </c>
      <c r="K232" t="s">
        <v>1659</v>
      </c>
      <c r="L232" t="s">
        <v>1659</v>
      </c>
      <c r="M232" t="s">
        <v>1035</v>
      </c>
      <c r="N232" t="s">
        <v>1132</v>
      </c>
      <c r="O232" t="s">
        <v>1132</v>
      </c>
      <c r="P232" t="str">
        <f>IFERROR(VLOOKUP(F232,Sheet1!$A$2:$B$54,2,FALSE),"")</f>
        <v/>
      </c>
    </row>
    <row r="233" spans="1:16" x14ac:dyDescent="0.2">
      <c r="A233" s="1">
        <v>2016</v>
      </c>
      <c r="B233" t="s">
        <v>29</v>
      </c>
      <c r="C233" s="10" t="s">
        <v>1678</v>
      </c>
      <c r="D233" s="10" t="s">
        <v>1679</v>
      </c>
      <c r="E233" s="10" t="s">
        <v>1682</v>
      </c>
      <c r="F233" t="s">
        <v>526</v>
      </c>
      <c r="G233" s="4">
        <v>3300</v>
      </c>
      <c r="H233" s="4"/>
      <c r="I233" s="4"/>
      <c r="J233" s="4">
        <f>SUM(G233:I233)</f>
        <v>3300</v>
      </c>
      <c r="K233" t="s">
        <v>1659</v>
      </c>
      <c r="L233" t="s">
        <v>1659</v>
      </c>
      <c r="M233" t="s">
        <v>1036</v>
      </c>
      <c r="N233" t="s">
        <v>1132</v>
      </c>
      <c r="O233" t="s">
        <v>1132</v>
      </c>
      <c r="P233" t="str">
        <f>IFERROR(VLOOKUP(F233,Sheet1!$A$2:$B$54,2,FALSE),"")</f>
        <v/>
      </c>
    </row>
    <row r="234" spans="1:16" x14ac:dyDescent="0.2">
      <c r="A234" s="1">
        <v>2017</v>
      </c>
      <c r="B234" t="s">
        <v>29</v>
      </c>
      <c r="C234" s="10" t="s">
        <v>1678</v>
      </c>
      <c r="D234" s="10" t="s">
        <v>1679</v>
      </c>
      <c r="E234" s="10" t="s">
        <v>1682</v>
      </c>
      <c r="F234" t="s">
        <v>526</v>
      </c>
      <c r="G234" s="4">
        <v>3421</v>
      </c>
      <c r="H234" s="4"/>
      <c r="I234" s="4"/>
      <c r="J234" s="4">
        <f>SUM(G234:I234)</f>
        <v>3421</v>
      </c>
      <c r="K234" t="s">
        <v>1659</v>
      </c>
      <c r="L234" t="s">
        <v>1659</v>
      </c>
      <c r="M234" t="s">
        <v>1037</v>
      </c>
      <c r="N234" t="s">
        <v>1132</v>
      </c>
      <c r="O234" t="s">
        <v>1132</v>
      </c>
      <c r="P234" t="str">
        <f>IFERROR(VLOOKUP(F234,Sheet1!$A$2:$B$54,2,FALSE),"")</f>
        <v/>
      </c>
    </row>
    <row r="235" spans="1:16" x14ac:dyDescent="0.2">
      <c r="A235" s="1">
        <v>2018</v>
      </c>
      <c r="B235" t="s">
        <v>29</v>
      </c>
      <c r="C235" s="10" t="s">
        <v>1678</v>
      </c>
      <c r="D235" s="10" t="s">
        <v>1679</v>
      </c>
      <c r="E235" s="10" t="s">
        <v>1682</v>
      </c>
      <c r="F235" t="s">
        <v>526</v>
      </c>
      <c r="G235" s="4">
        <v>4874</v>
      </c>
      <c r="H235" s="4"/>
      <c r="I235" s="4"/>
      <c r="J235" s="4">
        <f>SUM(G235:I235)</f>
        <v>4874</v>
      </c>
      <c r="K235" t="s">
        <v>1659</v>
      </c>
      <c r="L235" t="s">
        <v>1659</v>
      </c>
      <c r="M235" t="s">
        <v>1037</v>
      </c>
      <c r="N235" t="s">
        <v>1132</v>
      </c>
      <c r="O235" t="s">
        <v>1132</v>
      </c>
      <c r="P235" t="str">
        <f>IFERROR(VLOOKUP(F235,Sheet1!$A$2:$B$54,2,FALSE),"")</f>
        <v/>
      </c>
    </row>
    <row r="236" spans="1:16" x14ac:dyDescent="0.2">
      <c r="A236" s="1">
        <v>2019</v>
      </c>
      <c r="B236" t="s">
        <v>29</v>
      </c>
      <c r="C236" s="10" t="s">
        <v>1678</v>
      </c>
      <c r="D236" s="10" t="s">
        <v>1679</v>
      </c>
      <c r="E236" s="10" t="s">
        <v>1682</v>
      </c>
      <c r="F236" t="s">
        <v>526</v>
      </c>
      <c r="G236" s="4">
        <v>5197</v>
      </c>
      <c r="H236" s="4"/>
      <c r="I236" s="4"/>
      <c r="J236" s="4">
        <f>SUM(G236:I236)</f>
        <v>5197</v>
      </c>
      <c r="K236" t="s">
        <v>1659</v>
      </c>
      <c r="L236" t="s">
        <v>1659</v>
      </c>
      <c r="M236" t="s">
        <v>1038</v>
      </c>
      <c r="N236" t="s">
        <v>1132</v>
      </c>
      <c r="O236" t="s">
        <v>1132</v>
      </c>
      <c r="P236" t="str">
        <f>IFERROR(VLOOKUP(F236,Sheet1!$A$2:$B$54,2,FALSE),"")</f>
        <v/>
      </c>
    </row>
    <row r="237" spans="1:16" x14ac:dyDescent="0.2">
      <c r="A237" s="1">
        <v>2020</v>
      </c>
      <c r="B237" t="s">
        <v>29</v>
      </c>
      <c r="C237" s="10" t="s">
        <v>1678</v>
      </c>
      <c r="D237" s="10" t="s">
        <v>1679</v>
      </c>
      <c r="E237" s="10" t="s">
        <v>1682</v>
      </c>
      <c r="F237" t="s">
        <v>526</v>
      </c>
      <c r="G237" s="4">
        <v>5563</v>
      </c>
      <c r="H237" s="4"/>
      <c r="I237" s="4"/>
      <c r="J237" s="4">
        <f>SUM(G237:I237)</f>
        <v>5563</v>
      </c>
      <c r="K237" t="s">
        <v>1659</v>
      </c>
      <c r="L237" t="s">
        <v>1659</v>
      </c>
      <c r="M237" t="s">
        <v>1037</v>
      </c>
      <c r="N237" t="s">
        <v>1132</v>
      </c>
      <c r="O237" t="s">
        <v>1132</v>
      </c>
      <c r="P237" t="str">
        <f>IFERROR(VLOOKUP(F237,Sheet1!$A$2:$B$54,2,FALSE),"")</f>
        <v/>
      </c>
    </row>
    <row r="238" spans="1:16" x14ac:dyDescent="0.2">
      <c r="A238" s="1">
        <v>2021</v>
      </c>
      <c r="B238" t="s">
        <v>29</v>
      </c>
      <c r="C238" s="10" t="s">
        <v>1678</v>
      </c>
      <c r="D238" s="10" t="s">
        <v>1679</v>
      </c>
      <c r="E238" s="10" t="s">
        <v>1682</v>
      </c>
      <c r="F238" t="s">
        <v>526</v>
      </c>
      <c r="G238" s="4">
        <v>5893</v>
      </c>
      <c r="H238" s="4"/>
      <c r="I238" s="4"/>
      <c r="J238" s="4">
        <f>SUM(G238:I238)</f>
        <v>5893</v>
      </c>
      <c r="K238" t="s">
        <v>1659</v>
      </c>
      <c r="L238" t="s">
        <v>1659</v>
      </c>
      <c r="M238" t="s">
        <v>526</v>
      </c>
      <c r="N238" t="s">
        <v>1132</v>
      </c>
      <c r="O238" t="s">
        <v>1132</v>
      </c>
      <c r="P238" t="str">
        <f>IFERROR(VLOOKUP(F238,Sheet1!$A$2:$B$54,2,FALSE),"")</f>
        <v/>
      </c>
    </row>
    <row r="239" spans="1:16" x14ac:dyDescent="0.2">
      <c r="A239" s="1">
        <v>2022</v>
      </c>
      <c r="B239" t="s">
        <v>29</v>
      </c>
      <c r="C239" s="10" t="s">
        <v>1678</v>
      </c>
      <c r="D239" s="10" t="s">
        <v>1679</v>
      </c>
      <c r="E239" s="10" t="s">
        <v>1682</v>
      </c>
      <c r="F239" t="s">
        <v>526</v>
      </c>
      <c r="G239" s="4">
        <v>6652</v>
      </c>
      <c r="H239" s="4"/>
      <c r="I239" s="4"/>
      <c r="J239" s="4">
        <f>SUM(G239:I239)</f>
        <v>6652</v>
      </c>
      <c r="K239" t="s">
        <v>1659</v>
      </c>
      <c r="L239" t="s">
        <v>1659</v>
      </c>
      <c r="M239" t="s">
        <v>526</v>
      </c>
      <c r="N239" t="s">
        <v>1132</v>
      </c>
      <c r="O239" t="s">
        <v>1132</v>
      </c>
      <c r="P239" t="str">
        <f>IFERROR(VLOOKUP(F239,Sheet1!$A$2:$B$54,2,FALSE),"")</f>
        <v/>
      </c>
    </row>
    <row r="240" spans="1:16" x14ac:dyDescent="0.2">
      <c r="A240" s="1">
        <v>2023</v>
      </c>
      <c r="B240" t="s">
        <v>29</v>
      </c>
      <c r="C240" s="10" t="s">
        <v>1678</v>
      </c>
      <c r="D240" s="10" t="s">
        <v>1679</v>
      </c>
      <c r="E240" s="10" t="s">
        <v>1682</v>
      </c>
      <c r="F240" t="s">
        <v>526</v>
      </c>
      <c r="G240" s="4">
        <v>7276</v>
      </c>
      <c r="H240" s="4"/>
      <c r="I240" s="4"/>
      <c r="J240" s="4">
        <f>SUM(G240:I240)</f>
        <v>7276</v>
      </c>
      <c r="K240" t="s">
        <v>1659</v>
      </c>
      <c r="L240" t="s">
        <v>1659</v>
      </c>
      <c r="M240" t="s">
        <v>526</v>
      </c>
      <c r="N240" t="s">
        <v>1132</v>
      </c>
      <c r="O240" t="s">
        <v>1132</v>
      </c>
      <c r="P240" t="str">
        <f>IFERROR(VLOOKUP(F240,Sheet1!$A$2:$B$54,2,FALSE),"")</f>
        <v/>
      </c>
    </row>
    <row r="241" spans="1:16" x14ac:dyDescent="0.2">
      <c r="A241" s="1">
        <v>2015</v>
      </c>
      <c r="B241" t="s">
        <v>30</v>
      </c>
      <c r="C241" s="10" t="s">
        <v>1678</v>
      </c>
      <c r="D241" s="10" t="s">
        <v>1679</v>
      </c>
      <c r="E241" s="10" t="s">
        <v>1682</v>
      </c>
      <c r="F241" t="s">
        <v>527</v>
      </c>
      <c r="G241" s="4">
        <v>47286</v>
      </c>
      <c r="H241" s="4"/>
      <c r="I241" s="4"/>
      <c r="J241" s="4">
        <f>SUM(G241:I241)</f>
        <v>47286</v>
      </c>
      <c r="K241" t="s">
        <v>1659</v>
      </c>
      <c r="L241" t="s">
        <v>1659</v>
      </c>
      <c r="M241" t="s">
        <v>1039</v>
      </c>
      <c r="N241" t="s">
        <v>1132</v>
      </c>
      <c r="O241" t="s">
        <v>1132</v>
      </c>
      <c r="P241" t="str">
        <f>IFERROR(VLOOKUP(F241,Sheet1!$A$2:$B$54,2,FALSE),"")</f>
        <v/>
      </c>
    </row>
    <row r="242" spans="1:16" x14ac:dyDescent="0.2">
      <c r="A242" s="1">
        <v>2016</v>
      </c>
      <c r="B242" t="s">
        <v>30</v>
      </c>
      <c r="C242" s="10" t="s">
        <v>1678</v>
      </c>
      <c r="D242" s="10" t="s">
        <v>1679</v>
      </c>
      <c r="E242" s="10" t="s">
        <v>1682</v>
      </c>
      <c r="F242" t="s">
        <v>527</v>
      </c>
      <c r="G242" s="4">
        <v>54304</v>
      </c>
      <c r="H242" s="4"/>
      <c r="I242" s="4"/>
      <c r="J242" s="4">
        <f>SUM(G242:I242)</f>
        <v>54304</v>
      </c>
      <c r="K242" t="s">
        <v>1659</v>
      </c>
      <c r="L242" t="s">
        <v>1659</v>
      </c>
      <c r="M242" t="s">
        <v>1039</v>
      </c>
      <c r="N242" t="s">
        <v>1132</v>
      </c>
      <c r="O242" t="s">
        <v>1132</v>
      </c>
      <c r="P242" t="str">
        <f>IFERROR(VLOOKUP(F242,Sheet1!$A$2:$B$54,2,FALSE),"")</f>
        <v/>
      </c>
    </row>
    <row r="243" spans="1:16" x14ac:dyDescent="0.2">
      <c r="A243" s="1">
        <v>2017</v>
      </c>
      <c r="B243" t="s">
        <v>30</v>
      </c>
      <c r="C243" s="10" t="s">
        <v>1678</v>
      </c>
      <c r="D243" s="10" t="s">
        <v>1679</v>
      </c>
      <c r="E243" s="10" t="s">
        <v>1682</v>
      </c>
      <c r="F243" t="s">
        <v>527</v>
      </c>
      <c r="G243" s="4">
        <v>77118</v>
      </c>
      <c r="H243" s="4"/>
      <c r="I243" s="4"/>
      <c r="J243" s="4">
        <f>SUM(G243:I243)</f>
        <v>77118</v>
      </c>
      <c r="K243" t="s">
        <v>1659</v>
      </c>
      <c r="L243" t="s">
        <v>1659</v>
      </c>
      <c r="M243" t="s">
        <v>1039</v>
      </c>
      <c r="N243" t="s">
        <v>1132</v>
      </c>
      <c r="O243" t="s">
        <v>1132</v>
      </c>
      <c r="P243" t="str">
        <f>IFERROR(VLOOKUP(F243,Sheet1!$A$2:$B$54,2,FALSE),"")</f>
        <v/>
      </c>
    </row>
    <row r="244" spans="1:16" x14ac:dyDescent="0.2">
      <c r="A244" s="1">
        <v>2018</v>
      </c>
      <c r="B244" t="s">
        <v>30</v>
      </c>
      <c r="C244" s="10" t="s">
        <v>1678</v>
      </c>
      <c r="D244" s="10" t="s">
        <v>1679</v>
      </c>
      <c r="E244" s="10" t="s">
        <v>1682</v>
      </c>
      <c r="F244" t="s">
        <v>527</v>
      </c>
      <c r="G244" s="4">
        <v>94903</v>
      </c>
      <c r="H244" s="4"/>
      <c r="I244" s="4"/>
      <c r="J244" s="4">
        <f>SUM(G244:I244)</f>
        <v>94903</v>
      </c>
      <c r="K244" t="s">
        <v>1659</v>
      </c>
      <c r="L244" t="s">
        <v>1659</v>
      </c>
      <c r="M244" t="s">
        <v>1039</v>
      </c>
      <c r="N244" t="s">
        <v>1132</v>
      </c>
      <c r="O244" t="s">
        <v>1132</v>
      </c>
      <c r="P244" t="str">
        <f>IFERROR(VLOOKUP(F244,Sheet1!$A$2:$B$54,2,FALSE),"")</f>
        <v/>
      </c>
    </row>
    <row r="245" spans="1:16" x14ac:dyDescent="0.2">
      <c r="A245" s="1">
        <v>2019</v>
      </c>
      <c r="B245" t="s">
        <v>30</v>
      </c>
      <c r="C245" s="10" t="s">
        <v>1678</v>
      </c>
      <c r="D245" s="10" t="s">
        <v>1679</v>
      </c>
      <c r="E245" s="10" t="s">
        <v>1682</v>
      </c>
      <c r="F245" t="s">
        <v>527</v>
      </c>
      <c r="G245" s="4">
        <v>106036</v>
      </c>
      <c r="H245" s="4"/>
      <c r="I245" s="4"/>
      <c r="J245" s="4">
        <f>SUM(G245:I245)</f>
        <v>106036</v>
      </c>
      <c r="K245" t="s">
        <v>1659</v>
      </c>
      <c r="L245" t="s">
        <v>1659</v>
      </c>
      <c r="M245" t="s">
        <v>1039</v>
      </c>
      <c r="N245" t="s">
        <v>1132</v>
      </c>
      <c r="O245" t="s">
        <v>1132</v>
      </c>
      <c r="P245" t="str">
        <f>IFERROR(VLOOKUP(F245,Sheet1!$A$2:$B$54,2,FALSE),"")</f>
        <v/>
      </c>
    </row>
    <row r="246" spans="1:16" x14ac:dyDescent="0.2">
      <c r="A246" s="1">
        <v>2020</v>
      </c>
      <c r="B246" t="s">
        <v>30</v>
      </c>
      <c r="C246" s="10" t="s">
        <v>1678</v>
      </c>
      <c r="D246" s="10" t="s">
        <v>1679</v>
      </c>
      <c r="E246" s="10" t="s">
        <v>1682</v>
      </c>
      <c r="F246" t="s">
        <v>527</v>
      </c>
      <c r="G246" s="4">
        <v>148917</v>
      </c>
      <c r="H246" s="4"/>
      <c r="I246" s="4"/>
      <c r="J246" s="4">
        <f>SUM(G246:I246)</f>
        <v>148917</v>
      </c>
      <c r="K246" t="s">
        <v>1659</v>
      </c>
      <c r="L246" t="s">
        <v>1659</v>
      </c>
      <c r="M246" t="s">
        <v>1039</v>
      </c>
      <c r="N246" t="s">
        <v>1132</v>
      </c>
      <c r="O246" t="s">
        <v>1132</v>
      </c>
      <c r="P246" t="str">
        <f>IFERROR(VLOOKUP(F246,Sheet1!$A$2:$B$54,2,FALSE),"")</f>
        <v/>
      </c>
    </row>
    <row r="247" spans="1:16" x14ac:dyDescent="0.2">
      <c r="A247" s="1">
        <v>2021</v>
      </c>
      <c r="B247" t="s">
        <v>30</v>
      </c>
      <c r="C247" s="10" t="s">
        <v>1678</v>
      </c>
      <c r="D247" s="10" t="s">
        <v>1679</v>
      </c>
      <c r="E247" s="10" t="s">
        <v>1682</v>
      </c>
      <c r="F247" t="s">
        <v>527</v>
      </c>
      <c r="G247" s="4">
        <v>188318</v>
      </c>
      <c r="H247" s="4"/>
      <c r="I247" s="4"/>
      <c r="J247" s="4">
        <f>SUM(G247:I247)</f>
        <v>188318</v>
      </c>
      <c r="K247" t="s">
        <v>1659</v>
      </c>
      <c r="L247" t="s">
        <v>1659</v>
      </c>
      <c r="M247" t="s">
        <v>527</v>
      </c>
      <c r="N247" t="s">
        <v>1132</v>
      </c>
      <c r="O247" t="s">
        <v>1132</v>
      </c>
      <c r="P247" t="str">
        <f>IFERROR(VLOOKUP(F247,Sheet1!$A$2:$B$54,2,FALSE),"")</f>
        <v/>
      </c>
    </row>
    <row r="248" spans="1:16" x14ac:dyDescent="0.2">
      <c r="A248" s="1">
        <v>2022</v>
      </c>
      <c r="B248" t="s">
        <v>30</v>
      </c>
      <c r="C248" s="10" t="s">
        <v>1678</v>
      </c>
      <c r="D248" s="10" t="s">
        <v>1679</v>
      </c>
      <c r="E248" s="10" t="s">
        <v>1682</v>
      </c>
      <c r="F248" t="s">
        <v>527</v>
      </c>
      <c r="G248" s="4">
        <v>252427</v>
      </c>
      <c r="H248" s="4"/>
      <c r="I248" s="4"/>
      <c r="J248" s="4">
        <f>SUM(G248:I248)</f>
        <v>252427</v>
      </c>
      <c r="K248" t="s">
        <v>1659</v>
      </c>
      <c r="L248" t="s">
        <v>1659</v>
      </c>
      <c r="M248" t="s">
        <v>527</v>
      </c>
      <c r="N248" t="s">
        <v>1132</v>
      </c>
      <c r="O248" t="s">
        <v>1132</v>
      </c>
      <c r="P248" t="str">
        <f>IFERROR(VLOOKUP(F248,Sheet1!$A$2:$B$54,2,FALSE),"")</f>
        <v/>
      </c>
    </row>
    <row r="249" spans="1:16" x14ac:dyDescent="0.2">
      <c r="A249" s="1">
        <v>2023</v>
      </c>
      <c r="B249" t="s">
        <v>30</v>
      </c>
      <c r="C249" s="10" t="s">
        <v>1678</v>
      </c>
      <c r="D249" s="10" t="s">
        <v>1679</v>
      </c>
      <c r="E249" s="10" t="s">
        <v>1682</v>
      </c>
      <c r="F249" t="s">
        <v>527</v>
      </c>
      <c r="G249" s="4">
        <v>317429</v>
      </c>
      <c r="H249" s="4"/>
      <c r="I249" s="4"/>
      <c r="J249" s="4">
        <f>SUM(G249:I249)</f>
        <v>317429</v>
      </c>
      <c r="K249" t="s">
        <v>1659</v>
      </c>
      <c r="L249" t="s">
        <v>1659</v>
      </c>
      <c r="M249" t="s">
        <v>527</v>
      </c>
      <c r="N249" t="s">
        <v>1132</v>
      </c>
      <c r="O249" t="s">
        <v>1132</v>
      </c>
      <c r="P249" t="str">
        <f>IFERROR(VLOOKUP(F249,Sheet1!$A$2:$B$54,2,FALSE),"")</f>
        <v/>
      </c>
    </row>
    <row r="250" spans="1:16" x14ac:dyDescent="0.2">
      <c r="A250" s="1">
        <v>2015</v>
      </c>
      <c r="B250" t="s">
        <v>31</v>
      </c>
      <c r="C250" s="10" t="s">
        <v>1678</v>
      </c>
      <c r="D250" s="10" t="s">
        <v>1679</v>
      </c>
      <c r="E250" s="10" t="s">
        <v>1682</v>
      </c>
      <c r="F250" t="s">
        <v>528</v>
      </c>
      <c r="G250" s="4">
        <v>331211</v>
      </c>
      <c r="H250" s="4">
        <v>7902237</v>
      </c>
      <c r="I250" s="4">
        <v>38385</v>
      </c>
      <c r="J250" s="4">
        <f>SUM(G250:I250)</f>
        <v>8271833</v>
      </c>
      <c r="K250" t="s">
        <v>1660</v>
      </c>
      <c r="L250" t="s">
        <v>1660</v>
      </c>
      <c r="M250" t="s">
        <v>1040</v>
      </c>
      <c r="N250" t="s">
        <v>1040</v>
      </c>
      <c r="O250" t="s">
        <v>1040</v>
      </c>
      <c r="P250">
        <f>IFERROR(VLOOKUP(F250,Sheet1!$A$2:$B$54,2,FALSE),"")</f>
        <v>4900090</v>
      </c>
    </row>
    <row r="251" spans="1:16" x14ac:dyDescent="0.2">
      <c r="A251" s="1">
        <v>2016</v>
      </c>
      <c r="B251" t="s">
        <v>31</v>
      </c>
      <c r="C251" s="10" t="s">
        <v>1678</v>
      </c>
      <c r="D251" s="10" t="s">
        <v>1679</v>
      </c>
      <c r="E251" s="10" t="s">
        <v>1682</v>
      </c>
      <c r="F251" t="s">
        <v>528</v>
      </c>
      <c r="G251" s="4">
        <v>445275</v>
      </c>
      <c r="H251" s="4">
        <v>8208773</v>
      </c>
      <c r="I251" s="4">
        <v>15710</v>
      </c>
      <c r="J251" s="4">
        <f>SUM(G251:I251)</f>
        <v>8669758</v>
      </c>
      <c r="K251" t="s">
        <v>1660</v>
      </c>
      <c r="L251" t="s">
        <v>1660</v>
      </c>
      <c r="M251" t="s">
        <v>1040</v>
      </c>
      <c r="N251" t="s">
        <v>1040</v>
      </c>
      <c r="O251" t="s">
        <v>1040</v>
      </c>
      <c r="P251">
        <f>IFERROR(VLOOKUP(F251,Sheet1!$A$2:$B$54,2,FALSE),"")</f>
        <v>4900090</v>
      </c>
    </row>
    <row r="252" spans="1:16" x14ac:dyDescent="0.2">
      <c r="A252" s="1">
        <v>2017</v>
      </c>
      <c r="B252" t="s">
        <v>31</v>
      </c>
      <c r="C252" s="10" t="s">
        <v>1678</v>
      </c>
      <c r="D252" s="10" t="s">
        <v>1679</v>
      </c>
      <c r="E252" s="10" t="s">
        <v>1682</v>
      </c>
      <c r="F252" t="s">
        <v>528</v>
      </c>
      <c r="G252" s="4">
        <v>609751</v>
      </c>
      <c r="H252" s="4">
        <v>8518526</v>
      </c>
      <c r="I252" s="4">
        <v>14777</v>
      </c>
      <c r="J252" s="4">
        <f>SUM(G252:I252)</f>
        <v>9143054</v>
      </c>
      <c r="K252" t="s">
        <v>1660</v>
      </c>
      <c r="L252" t="s">
        <v>1660</v>
      </c>
      <c r="M252" t="s">
        <v>1040</v>
      </c>
      <c r="N252" t="s">
        <v>1040</v>
      </c>
      <c r="O252" t="s">
        <v>1040</v>
      </c>
      <c r="P252">
        <f>IFERROR(VLOOKUP(F252,Sheet1!$A$2:$B$54,2,FALSE),"")</f>
        <v>4900090</v>
      </c>
    </row>
    <row r="253" spans="1:16" x14ac:dyDescent="0.2">
      <c r="A253" s="1">
        <v>2018</v>
      </c>
      <c r="B253" t="s">
        <v>31</v>
      </c>
      <c r="C253" s="10" t="s">
        <v>1678</v>
      </c>
      <c r="D253" s="10" t="s">
        <v>1679</v>
      </c>
      <c r="E253" s="10" t="s">
        <v>1682</v>
      </c>
      <c r="F253" t="s">
        <v>528</v>
      </c>
      <c r="G253" s="4">
        <v>836451</v>
      </c>
      <c r="H253" s="4">
        <v>9122398</v>
      </c>
      <c r="I253" s="4">
        <v>16709</v>
      </c>
      <c r="J253" s="4">
        <f>SUM(G253:I253)</f>
        <v>9975558</v>
      </c>
      <c r="K253" t="s">
        <v>1660</v>
      </c>
      <c r="L253" t="s">
        <v>1660</v>
      </c>
      <c r="M253" t="s">
        <v>1040</v>
      </c>
      <c r="N253" t="s">
        <v>1040</v>
      </c>
      <c r="O253" t="s">
        <v>1040</v>
      </c>
      <c r="P253">
        <f>IFERROR(VLOOKUP(F253,Sheet1!$A$2:$B$54,2,FALSE),"")</f>
        <v>4900090</v>
      </c>
    </row>
    <row r="254" spans="1:16" x14ac:dyDescent="0.2">
      <c r="A254" s="1">
        <v>2019</v>
      </c>
      <c r="B254" t="s">
        <v>31</v>
      </c>
      <c r="C254" s="10" t="s">
        <v>1678</v>
      </c>
      <c r="D254" s="10" t="s">
        <v>1679</v>
      </c>
      <c r="E254" s="10" t="s">
        <v>1682</v>
      </c>
      <c r="F254" t="s">
        <v>528</v>
      </c>
      <c r="G254" s="4">
        <v>1095966</v>
      </c>
      <c r="H254" s="4">
        <v>9883459</v>
      </c>
      <c r="I254" s="4">
        <v>18837</v>
      </c>
      <c r="J254" s="4">
        <f>SUM(G254:I254)</f>
        <v>10998262</v>
      </c>
      <c r="K254" t="s">
        <v>1660</v>
      </c>
      <c r="L254" t="s">
        <v>1660</v>
      </c>
      <c r="M254" t="s">
        <v>1040</v>
      </c>
      <c r="N254" t="s">
        <v>1040</v>
      </c>
      <c r="O254" t="s">
        <v>1040</v>
      </c>
      <c r="P254">
        <f>IFERROR(VLOOKUP(F254,Sheet1!$A$2:$B$54,2,FALSE),"")</f>
        <v>4900090</v>
      </c>
    </row>
    <row r="255" spans="1:16" x14ac:dyDescent="0.2">
      <c r="A255" s="1">
        <v>2020</v>
      </c>
      <c r="B255" t="s">
        <v>31</v>
      </c>
      <c r="C255" s="10" t="s">
        <v>1678</v>
      </c>
      <c r="D255" s="10" t="s">
        <v>1679</v>
      </c>
      <c r="E255" s="10" t="s">
        <v>1682</v>
      </c>
      <c r="F255" t="s">
        <v>528</v>
      </c>
      <c r="G255" s="4">
        <v>1280301</v>
      </c>
      <c r="H255" s="4">
        <v>10384932</v>
      </c>
      <c r="I255" s="4">
        <v>19656</v>
      </c>
      <c r="J255" s="4">
        <f>SUM(G255:I255)</f>
        <v>11684889</v>
      </c>
      <c r="K255" t="s">
        <v>1660</v>
      </c>
      <c r="L255" t="s">
        <v>1660</v>
      </c>
      <c r="M255" t="s">
        <v>1040</v>
      </c>
      <c r="N255" t="s">
        <v>1040</v>
      </c>
      <c r="O255" t="s">
        <v>1040</v>
      </c>
      <c r="P255">
        <f>IFERROR(VLOOKUP(F255,Sheet1!$A$2:$B$54,2,FALSE),"")</f>
        <v>4900090</v>
      </c>
    </row>
    <row r="256" spans="1:16" x14ac:dyDescent="0.2">
      <c r="A256" s="1">
        <v>2021</v>
      </c>
      <c r="B256" t="s">
        <v>31</v>
      </c>
      <c r="C256" s="10" t="s">
        <v>1678</v>
      </c>
      <c r="D256" s="10" t="s">
        <v>1679</v>
      </c>
      <c r="E256" s="10" t="s">
        <v>1682</v>
      </c>
      <c r="F256" t="s">
        <v>528</v>
      </c>
      <c r="G256" s="4">
        <v>1594839</v>
      </c>
      <c r="H256" s="4">
        <v>10921851</v>
      </c>
      <c r="I256" s="4">
        <v>17393</v>
      </c>
      <c r="J256" s="4">
        <f>SUM(G256:I256)</f>
        <v>12534083</v>
      </c>
      <c r="K256" t="s">
        <v>1660</v>
      </c>
      <c r="L256" t="s">
        <v>1660</v>
      </c>
      <c r="M256" t="s">
        <v>528</v>
      </c>
      <c r="N256" t="s">
        <v>528</v>
      </c>
      <c r="O256" t="s">
        <v>528</v>
      </c>
      <c r="P256">
        <f>IFERROR(VLOOKUP(F256,Sheet1!$A$2:$B$54,2,FALSE),"")</f>
        <v>4900090</v>
      </c>
    </row>
    <row r="257" spans="1:16" x14ac:dyDescent="0.2">
      <c r="A257" s="1">
        <v>2022</v>
      </c>
      <c r="B257" t="s">
        <v>31</v>
      </c>
      <c r="C257" s="10" t="s">
        <v>1678</v>
      </c>
      <c r="D257" s="10" t="s">
        <v>1679</v>
      </c>
      <c r="E257" s="10" t="s">
        <v>1682</v>
      </c>
      <c r="F257" t="s">
        <v>528</v>
      </c>
      <c r="G257" s="4">
        <v>2022678</v>
      </c>
      <c r="H257" s="4">
        <v>11087382</v>
      </c>
      <c r="I257" s="4">
        <v>16109</v>
      </c>
      <c r="J257" s="4">
        <f>SUM(G257:I257)</f>
        <v>13126169</v>
      </c>
      <c r="K257" t="s">
        <v>1660</v>
      </c>
      <c r="L257" t="s">
        <v>1660</v>
      </c>
      <c r="M257" t="s">
        <v>528</v>
      </c>
      <c r="N257" t="s">
        <v>528</v>
      </c>
      <c r="O257" t="s">
        <v>528</v>
      </c>
      <c r="P257">
        <f>IFERROR(VLOOKUP(F257,Sheet1!$A$2:$B$54,2,FALSE),"")</f>
        <v>4900090</v>
      </c>
    </row>
    <row r="258" spans="1:16" x14ac:dyDescent="0.2">
      <c r="A258" s="1">
        <v>2023</v>
      </c>
      <c r="B258" t="s">
        <v>31</v>
      </c>
      <c r="C258" s="10" t="s">
        <v>1678</v>
      </c>
      <c r="D258" s="10" t="s">
        <v>1679</v>
      </c>
      <c r="E258" s="10" t="s">
        <v>1682</v>
      </c>
      <c r="F258" t="s">
        <v>528</v>
      </c>
      <c r="G258" s="4">
        <v>2551913</v>
      </c>
      <c r="H258" s="4">
        <v>12041858</v>
      </c>
      <c r="I258" s="4">
        <v>16858</v>
      </c>
      <c r="J258" s="4">
        <f>SUM(G258:I258)</f>
        <v>14610629</v>
      </c>
      <c r="K258" t="s">
        <v>1660</v>
      </c>
      <c r="L258" t="s">
        <v>1660</v>
      </c>
      <c r="M258" t="s">
        <v>528</v>
      </c>
      <c r="N258" t="s">
        <v>528</v>
      </c>
      <c r="O258" t="s">
        <v>528</v>
      </c>
      <c r="P258">
        <f>IFERROR(VLOOKUP(F258,Sheet1!$A$2:$B$54,2,FALSE),"")</f>
        <v>4900090</v>
      </c>
    </row>
    <row r="259" spans="1:16" x14ac:dyDescent="0.2">
      <c r="A259" s="1">
        <v>2015</v>
      </c>
      <c r="B259" t="s">
        <v>32</v>
      </c>
      <c r="C259" s="10" t="s">
        <v>1678</v>
      </c>
      <c r="D259" s="10" t="s">
        <v>1679</v>
      </c>
      <c r="E259" s="10" t="s">
        <v>1682</v>
      </c>
      <c r="F259" t="s">
        <v>529</v>
      </c>
      <c r="G259" s="4">
        <v>25856</v>
      </c>
      <c r="H259" s="4">
        <v>1064592</v>
      </c>
      <c r="I259" s="4"/>
      <c r="J259" s="4">
        <f>SUM(G259:I259)</f>
        <v>1090448</v>
      </c>
      <c r="K259" t="s">
        <v>1660</v>
      </c>
      <c r="L259" t="s">
        <v>1659</v>
      </c>
      <c r="M259" t="s">
        <v>1041</v>
      </c>
      <c r="N259" t="s">
        <v>1041</v>
      </c>
      <c r="O259" t="s">
        <v>1132</v>
      </c>
      <c r="P259" t="str">
        <f>IFERROR(VLOOKUP(F259,Sheet1!$A$2:$B$54,2,FALSE),"")</f>
        <v/>
      </c>
    </row>
    <row r="260" spans="1:16" x14ac:dyDescent="0.2">
      <c r="A260" s="1">
        <v>2016</v>
      </c>
      <c r="B260" t="s">
        <v>32</v>
      </c>
      <c r="C260" s="10" t="s">
        <v>1678</v>
      </c>
      <c r="D260" s="10" t="s">
        <v>1679</v>
      </c>
      <c r="E260" s="10" t="s">
        <v>1682</v>
      </c>
      <c r="F260" t="s">
        <v>529</v>
      </c>
      <c r="G260" s="4">
        <v>36867</v>
      </c>
      <c r="H260" s="4">
        <v>1088674</v>
      </c>
      <c r="I260" s="4"/>
      <c r="J260" s="4">
        <f>SUM(G260:I260)</f>
        <v>1125541</v>
      </c>
      <c r="K260" t="s">
        <v>1660</v>
      </c>
      <c r="L260" t="s">
        <v>1659</v>
      </c>
      <c r="M260" t="s">
        <v>1041</v>
      </c>
      <c r="N260" t="s">
        <v>1041</v>
      </c>
      <c r="O260" t="s">
        <v>1132</v>
      </c>
      <c r="P260" t="str">
        <f>IFERROR(VLOOKUP(F260,Sheet1!$A$2:$B$54,2,FALSE),"")</f>
        <v/>
      </c>
    </row>
    <row r="261" spans="1:16" x14ac:dyDescent="0.2">
      <c r="A261" s="1">
        <v>2017</v>
      </c>
      <c r="B261" t="s">
        <v>32</v>
      </c>
      <c r="C261" s="10" t="s">
        <v>1678</v>
      </c>
      <c r="D261" s="10" t="s">
        <v>1679</v>
      </c>
      <c r="E261" s="10" t="s">
        <v>1682</v>
      </c>
      <c r="F261" t="s">
        <v>529</v>
      </c>
      <c r="G261" s="4">
        <v>41676</v>
      </c>
      <c r="H261" s="4">
        <v>1059644</v>
      </c>
      <c r="I261" s="4"/>
      <c r="J261" s="4">
        <f>SUM(G261:I261)</f>
        <v>1101320</v>
      </c>
      <c r="K261" t="s">
        <v>1660</v>
      </c>
      <c r="L261" t="s">
        <v>1659</v>
      </c>
      <c r="M261" t="s">
        <v>1042</v>
      </c>
      <c r="N261" t="s">
        <v>1042</v>
      </c>
      <c r="O261" t="s">
        <v>1132</v>
      </c>
      <c r="P261" t="str">
        <f>IFERROR(VLOOKUP(F261,Sheet1!$A$2:$B$54,2,FALSE),"")</f>
        <v/>
      </c>
    </row>
    <row r="262" spans="1:16" x14ac:dyDescent="0.2">
      <c r="A262" s="1">
        <v>2018</v>
      </c>
      <c r="B262" t="s">
        <v>32</v>
      </c>
      <c r="C262" s="10" t="s">
        <v>1678</v>
      </c>
      <c r="D262" s="10" t="s">
        <v>1679</v>
      </c>
      <c r="E262" s="10" t="s">
        <v>1682</v>
      </c>
      <c r="F262" t="s">
        <v>529</v>
      </c>
      <c r="G262" s="4">
        <v>39716</v>
      </c>
      <c r="H262" s="4">
        <v>1060277</v>
      </c>
      <c r="I262" s="4"/>
      <c r="J262" s="4">
        <f>SUM(G262:I262)</f>
        <v>1099993</v>
      </c>
      <c r="K262" t="s">
        <v>1660</v>
      </c>
      <c r="L262" t="s">
        <v>1659</v>
      </c>
      <c r="M262" t="s">
        <v>1042</v>
      </c>
      <c r="N262" t="s">
        <v>1042</v>
      </c>
      <c r="O262" t="s">
        <v>1132</v>
      </c>
      <c r="P262" t="str">
        <f>IFERROR(VLOOKUP(F262,Sheet1!$A$2:$B$54,2,FALSE),"")</f>
        <v/>
      </c>
    </row>
    <row r="263" spans="1:16" x14ac:dyDescent="0.2">
      <c r="A263" s="1">
        <v>2019</v>
      </c>
      <c r="B263" t="s">
        <v>32</v>
      </c>
      <c r="C263" s="10" t="s">
        <v>1678</v>
      </c>
      <c r="D263" s="10" t="s">
        <v>1679</v>
      </c>
      <c r="E263" s="10" t="s">
        <v>1682</v>
      </c>
      <c r="F263" t="s">
        <v>529</v>
      </c>
      <c r="G263" s="4">
        <v>44471</v>
      </c>
      <c r="H263" s="4">
        <v>1039621</v>
      </c>
      <c r="I263" s="4"/>
      <c r="J263" s="4">
        <f>SUM(G263:I263)</f>
        <v>1084092</v>
      </c>
      <c r="K263" t="s">
        <v>1660</v>
      </c>
      <c r="L263" t="s">
        <v>1659</v>
      </c>
      <c r="M263" t="s">
        <v>1042</v>
      </c>
      <c r="N263" t="s">
        <v>1042</v>
      </c>
      <c r="O263" t="s">
        <v>1132</v>
      </c>
      <c r="P263" t="str">
        <f>IFERROR(VLOOKUP(F263,Sheet1!$A$2:$B$54,2,FALSE),"")</f>
        <v/>
      </c>
    </row>
    <row r="264" spans="1:16" x14ac:dyDescent="0.2">
      <c r="A264" s="1">
        <v>2020</v>
      </c>
      <c r="B264" t="s">
        <v>32</v>
      </c>
      <c r="C264" s="10" t="s">
        <v>1678</v>
      </c>
      <c r="D264" s="10" t="s">
        <v>1679</v>
      </c>
      <c r="E264" s="10" t="s">
        <v>1682</v>
      </c>
      <c r="F264" t="s">
        <v>529</v>
      </c>
      <c r="G264" s="4">
        <v>49600</v>
      </c>
      <c r="H264" s="4">
        <v>0</v>
      </c>
      <c r="I264" s="4"/>
      <c r="J264" s="4">
        <f>SUM(G264:I264)</f>
        <v>49600</v>
      </c>
      <c r="K264" t="s">
        <v>1660</v>
      </c>
      <c r="L264" t="s">
        <v>1659</v>
      </c>
      <c r="M264" t="s">
        <v>1042</v>
      </c>
      <c r="N264" t="s">
        <v>1042</v>
      </c>
      <c r="O264" t="s">
        <v>1132</v>
      </c>
      <c r="P264" t="str">
        <f>IFERROR(VLOOKUP(F264,Sheet1!$A$2:$B$54,2,FALSE),"")</f>
        <v/>
      </c>
    </row>
    <row r="265" spans="1:16" x14ac:dyDescent="0.2">
      <c r="A265" s="1">
        <v>2021</v>
      </c>
      <c r="B265" t="s">
        <v>32</v>
      </c>
      <c r="C265" s="10" t="s">
        <v>1678</v>
      </c>
      <c r="D265" s="10" t="s">
        <v>1679</v>
      </c>
      <c r="E265" s="10" t="s">
        <v>1682</v>
      </c>
      <c r="F265" t="s">
        <v>529</v>
      </c>
      <c r="G265" s="4">
        <v>54628</v>
      </c>
      <c r="H265" s="4"/>
      <c r="I265" s="4"/>
      <c r="J265" s="4">
        <f>SUM(G265:I265)</f>
        <v>54628</v>
      </c>
      <c r="K265" t="s">
        <v>1659</v>
      </c>
      <c r="L265" t="s">
        <v>1659</v>
      </c>
      <c r="M265" t="s">
        <v>529</v>
      </c>
      <c r="N265" t="s">
        <v>1132</v>
      </c>
      <c r="O265" t="s">
        <v>1132</v>
      </c>
      <c r="P265" t="str">
        <f>IFERROR(VLOOKUP(F265,Sheet1!$A$2:$B$54,2,FALSE),"")</f>
        <v/>
      </c>
    </row>
    <row r="266" spans="1:16" x14ac:dyDescent="0.2">
      <c r="A266" s="1">
        <v>2022</v>
      </c>
      <c r="B266" t="s">
        <v>32</v>
      </c>
      <c r="C266" s="10" t="s">
        <v>1678</v>
      </c>
      <c r="D266" s="10" t="s">
        <v>1679</v>
      </c>
      <c r="E266" s="10" t="s">
        <v>1682</v>
      </c>
      <c r="F266" t="s">
        <v>529</v>
      </c>
      <c r="G266" s="4">
        <v>59055</v>
      </c>
      <c r="H266" s="4">
        <v>0</v>
      </c>
      <c r="I266" s="4"/>
      <c r="J266" s="4">
        <f>SUM(G266:I266)</f>
        <v>59055</v>
      </c>
      <c r="K266" t="s">
        <v>1660</v>
      </c>
      <c r="L266" t="s">
        <v>1659</v>
      </c>
      <c r="M266" t="s">
        <v>529</v>
      </c>
      <c r="N266" t="s">
        <v>529</v>
      </c>
      <c r="O266" t="s">
        <v>1132</v>
      </c>
      <c r="P266" t="str">
        <f>IFERROR(VLOOKUP(F266,Sheet1!$A$2:$B$54,2,FALSE),"")</f>
        <v/>
      </c>
    </row>
    <row r="267" spans="1:16" x14ac:dyDescent="0.2">
      <c r="A267" s="1">
        <v>2023</v>
      </c>
      <c r="B267" t="s">
        <v>32</v>
      </c>
      <c r="C267" s="10" t="s">
        <v>1678</v>
      </c>
      <c r="D267" s="10" t="s">
        <v>1679</v>
      </c>
      <c r="E267" s="10" t="s">
        <v>1682</v>
      </c>
      <c r="F267" t="s">
        <v>529</v>
      </c>
      <c r="G267" s="4">
        <v>62930</v>
      </c>
      <c r="H267" s="4">
        <v>0</v>
      </c>
      <c r="I267" s="4"/>
      <c r="J267" s="4">
        <f>SUM(G267:I267)</f>
        <v>62930</v>
      </c>
      <c r="K267" t="s">
        <v>1660</v>
      </c>
      <c r="L267" t="s">
        <v>1659</v>
      </c>
      <c r="M267" t="s">
        <v>529</v>
      </c>
      <c r="N267" t="s">
        <v>529</v>
      </c>
      <c r="O267" t="s">
        <v>1132</v>
      </c>
      <c r="P267" t="str">
        <f>IFERROR(VLOOKUP(F267,Sheet1!$A$2:$B$54,2,FALSE),"")</f>
        <v/>
      </c>
    </row>
    <row r="268" spans="1:16" x14ac:dyDescent="0.2">
      <c r="A268" s="1">
        <v>2015</v>
      </c>
      <c r="B268" t="s">
        <v>33</v>
      </c>
      <c r="C268" s="10" t="s">
        <v>1678</v>
      </c>
      <c r="D268" s="10" t="s">
        <v>1679</v>
      </c>
      <c r="E268" s="10" t="s">
        <v>1682</v>
      </c>
      <c r="F268" t="s">
        <v>530</v>
      </c>
      <c r="G268" s="4">
        <v>43749</v>
      </c>
      <c r="H268" s="4"/>
      <c r="I268" s="4"/>
      <c r="J268" s="4">
        <f>SUM(G268:I268)</f>
        <v>43749</v>
      </c>
      <c r="K268" t="s">
        <v>1659</v>
      </c>
      <c r="L268" t="s">
        <v>1659</v>
      </c>
      <c r="M268" t="s">
        <v>1043</v>
      </c>
      <c r="N268" t="s">
        <v>1132</v>
      </c>
      <c r="O268" t="s">
        <v>1132</v>
      </c>
      <c r="P268" t="str">
        <f>IFERROR(VLOOKUP(F268,Sheet1!$A$2:$B$54,2,FALSE),"")</f>
        <v/>
      </c>
    </row>
    <row r="269" spans="1:16" x14ac:dyDescent="0.2">
      <c r="A269" s="1">
        <v>2016</v>
      </c>
      <c r="B269" t="s">
        <v>33</v>
      </c>
      <c r="C269" s="10" t="s">
        <v>1678</v>
      </c>
      <c r="D269" s="10" t="s">
        <v>1679</v>
      </c>
      <c r="E269" s="10" t="s">
        <v>1682</v>
      </c>
      <c r="F269" t="s">
        <v>530</v>
      </c>
      <c r="G269" s="4">
        <v>69743</v>
      </c>
      <c r="H269" s="4"/>
      <c r="I269" s="4"/>
      <c r="J269" s="4">
        <f>SUM(G269:I269)</f>
        <v>69743</v>
      </c>
      <c r="K269" t="s">
        <v>1659</v>
      </c>
      <c r="L269" t="s">
        <v>1659</v>
      </c>
      <c r="M269" t="s">
        <v>1043</v>
      </c>
      <c r="N269" t="s">
        <v>1132</v>
      </c>
      <c r="O269" t="s">
        <v>1132</v>
      </c>
      <c r="P269" t="str">
        <f>IFERROR(VLOOKUP(F269,Sheet1!$A$2:$B$54,2,FALSE),"")</f>
        <v/>
      </c>
    </row>
    <row r="270" spans="1:16" x14ac:dyDescent="0.2">
      <c r="A270" s="1">
        <v>2017</v>
      </c>
      <c r="B270" t="s">
        <v>33</v>
      </c>
      <c r="C270" s="10" t="s">
        <v>1678</v>
      </c>
      <c r="D270" s="10" t="s">
        <v>1679</v>
      </c>
      <c r="E270" s="10" t="s">
        <v>1682</v>
      </c>
      <c r="F270" t="s">
        <v>530</v>
      </c>
      <c r="G270" s="4">
        <v>86466</v>
      </c>
      <c r="H270" s="4"/>
      <c r="I270" s="4"/>
      <c r="J270" s="4">
        <f>SUM(G270:I270)</f>
        <v>86466</v>
      </c>
      <c r="K270" t="s">
        <v>1659</v>
      </c>
      <c r="L270" t="s">
        <v>1659</v>
      </c>
      <c r="M270" t="s">
        <v>1043</v>
      </c>
      <c r="N270" t="s">
        <v>1132</v>
      </c>
      <c r="O270" t="s">
        <v>1132</v>
      </c>
      <c r="P270" t="str">
        <f>IFERROR(VLOOKUP(F270,Sheet1!$A$2:$B$54,2,FALSE),"")</f>
        <v/>
      </c>
    </row>
    <row r="271" spans="1:16" x14ac:dyDescent="0.2">
      <c r="A271" s="1">
        <v>2018</v>
      </c>
      <c r="B271" t="s">
        <v>33</v>
      </c>
      <c r="C271" s="10" t="s">
        <v>1678</v>
      </c>
      <c r="D271" s="10" t="s">
        <v>1679</v>
      </c>
      <c r="E271" s="10" t="s">
        <v>1682</v>
      </c>
      <c r="F271" t="s">
        <v>530</v>
      </c>
      <c r="G271" s="4">
        <v>96012</v>
      </c>
      <c r="H271" s="4"/>
      <c r="I271" s="4"/>
      <c r="J271" s="4">
        <f>SUM(G271:I271)</f>
        <v>96012</v>
      </c>
      <c r="K271" t="s">
        <v>1659</v>
      </c>
      <c r="L271" t="s">
        <v>1659</v>
      </c>
      <c r="M271" t="s">
        <v>1043</v>
      </c>
      <c r="N271" t="s">
        <v>1132</v>
      </c>
      <c r="O271" t="s">
        <v>1132</v>
      </c>
      <c r="P271" t="str">
        <f>IFERROR(VLOOKUP(F271,Sheet1!$A$2:$B$54,2,FALSE),"")</f>
        <v/>
      </c>
    </row>
    <row r="272" spans="1:16" x14ac:dyDescent="0.2">
      <c r="A272" s="1">
        <v>2019</v>
      </c>
      <c r="B272" t="s">
        <v>33</v>
      </c>
      <c r="C272" s="10" t="s">
        <v>1678</v>
      </c>
      <c r="D272" s="10" t="s">
        <v>1679</v>
      </c>
      <c r="E272" s="10" t="s">
        <v>1682</v>
      </c>
      <c r="F272" t="s">
        <v>530</v>
      </c>
      <c r="G272" s="4">
        <v>140230</v>
      </c>
      <c r="H272" s="4"/>
      <c r="I272" s="4"/>
      <c r="J272" s="4">
        <f>SUM(G272:I272)</f>
        <v>140230</v>
      </c>
      <c r="K272" t="s">
        <v>1659</v>
      </c>
      <c r="L272" t="s">
        <v>1659</v>
      </c>
      <c r="M272" t="s">
        <v>1043</v>
      </c>
      <c r="N272" t="s">
        <v>1132</v>
      </c>
      <c r="O272" t="s">
        <v>1132</v>
      </c>
      <c r="P272" t="str">
        <f>IFERROR(VLOOKUP(F272,Sheet1!$A$2:$B$54,2,FALSE),"")</f>
        <v/>
      </c>
    </row>
    <row r="273" spans="1:16" x14ac:dyDescent="0.2">
      <c r="A273" s="1">
        <v>2020</v>
      </c>
      <c r="B273" t="s">
        <v>33</v>
      </c>
      <c r="C273" s="10" t="s">
        <v>1678</v>
      </c>
      <c r="D273" s="10" t="s">
        <v>1679</v>
      </c>
      <c r="E273" s="10" t="s">
        <v>1682</v>
      </c>
      <c r="F273" t="s">
        <v>530</v>
      </c>
      <c r="G273" s="4">
        <v>176832</v>
      </c>
      <c r="H273" s="4"/>
      <c r="I273" s="4"/>
      <c r="J273" s="4">
        <f>SUM(G273:I273)</f>
        <v>176832</v>
      </c>
      <c r="K273" t="s">
        <v>1659</v>
      </c>
      <c r="L273" t="s">
        <v>1659</v>
      </c>
      <c r="M273" t="s">
        <v>1043</v>
      </c>
      <c r="N273" t="s">
        <v>1132</v>
      </c>
      <c r="O273" t="s">
        <v>1132</v>
      </c>
      <c r="P273" t="str">
        <f>IFERROR(VLOOKUP(F273,Sheet1!$A$2:$B$54,2,FALSE),"")</f>
        <v/>
      </c>
    </row>
    <row r="274" spans="1:16" x14ac:dyDescent="0.2">
      <c r="A274" s="1">
        <v>2021</v>
      </c>
      <c r="B274" t="s">
        <v>33</v>
      </c>
      <c r="C274" s="10" t="s">
        <v>1678</v>
      </c>
      <c r="D274" s="10" t="s">
        <v>1679</v>
      </c>
      <c r="E274" s="10" t="s">
        <v>1682</v>
      </c>
      <c r="F274" t="s">
        <v>530</v>
      </c>
      <c r="G274" s="4">
        <v>190224</v>
      </c>
      <c r="H274" s="4"/>
      <c r="I274" s="4"/>
      <c r="J274" s="4">
        <f>SUM(G274:I274)</f>
        <v>190224</v>
      </c>
      <c r="K274" t="s">
        <v>1659</v>
      </c>
      <c r="L274" t="s">
        <v>1659</v>
      </c>
      <c r="M274" t="s">
        <v>530</v>
      </c>
      <c r="N274" t="s">
        <v>1132</v>
      </c>
      <c r="O274" t="s">
        <v>1132</v>
      </c>
      <c r="P274" t="str">
        <f>IFERROR(VLOOKUP(F274,Sheet1!$A$2:$B$54,2,FALSE),"")</f>
        <v/>
      </c>
    </row>
    <row r="275" spans="1:16" x14ac:dyDescent="0.2">
      <c r="A275" s="1">
        <v>2022</v>
      </c>
      <c r="B275" t="s">
        <v>33</v>
      </c>
      <c r="C275" s="10" t="s">
        <v>1678</v>
      </c>
      <c r="D275" s="10" t="s">
        <v>1679</v>
      </c>
      <c r="E275" s="10" t="s">
        <v>1682</v>
      </c>
      <c r="F275" t="s">
        <v>530</v>
      </c>
      <c r="G275" s="4">
        <v>232328</v>
      </c>
      <c r="H275" s="4"/>
      <c r="I275" s="4"/>
      <c r="J275" s="4">
        <f>SUM(G275:I275)</f>
        <v>232328</v>
      </c>
      <c r="K275" t="s">
        <v>1659</v>
      </c>
      <c r="L275" t="s">
        <v>1659</v>
      </c>
      <c r="M275" t="s">
        <v>530</v>
      </c>
      <c r="N275" t="s">
        <v>1132</v>
      </c>
      <c r="O275" t="s">
        <v>1132</v>
      </c>
      <c r="P275" t="str">
        <f>IFERROR(VLOOKUP(F275,Sheet1!$A$2:$B$54,2,FALSE),"")</f>
        <v/>
      </c>
    </row>
    <row r="276" spans="1:16" x14ac:dyDescent="0.2">
      <c r="A276" s="1">
        <v>2023</v>
      </c>
      <c r="B276" t="s">
        <v>33</v>
      </c>
      <c r="C276" s="10" t="s">
        <v>1678</v>
      </c>
      <c r="D276" s="10" t="s">
        <v>1679</v>
      </c>
      <c r="E276" s="10" t="s">
        <v>1682</v>
      </c>
      <c r="F276" t="s">
        <v>530</v>
      </c>
      <c r="G276" s="4">
        <v>313497</v>
      </c>
      <c r="H276" s="4"/>
      <c r="I276" s="4"/>
      <c r="J276" s="4">
        <f>SUM(G276:I276)</f>
        <v>313497</v>
      </c>
      <c r="K276" t="s">
        <v>1659</v>
      </c>
      <c r="L276" t="s">
        <v>1659</v>
      </c>
      <c r="M276" t="s">
        <v>530</v>
      </c>
      <c r="N276" t="s">
        <v>1132</v>
      </c>
      <c r="O276" t="s">
        <v>1132</v>
      </c>
      <c r="P276" t="str">
        <f>IFERROR(VLOOKUP(F276,Sheet1!$A$2:$B$54,2,FALSE),"")</f>
        <v/>
      </c>
    </row>
    <row r="277" spans="1:16" x14ac:dyDescent="0.2">
      <c r="A277" s="1">
        <v>2022</v>
      </c>
      <c r="B277" t="s">
        <v>34</v>
      </c>
      <c r="C277" s="10" t="s">
        <v>1678</v>
      </c>
      <c r="D277" s="10" t="s">
        <v>1679</v>
      </c>
      <c r="E277" s="10" t="s">
        <v>1682</v>
      </c>
      <c r="F277" t="s">
        <v>531</v>
      </c>
      <c r="G277" s="4">
        <v>4177</v>
      </c>
      <c r="H277" s="4"/>
      <c r="I277" s="4"/>
      <c r="J277" s="4">
        <f>SUM(G277:I277)</f>
        <v>4177</v>
      </c>
      <c r="K277" t="s">
        <v>1659</v>
      </c>
      <c r="L277" t="s">
        <v>1659</v>
      </c>
      <c r="M277" t="s">
        <v>531</v>
      </c>
      <c r="N277" t="s">
        <v>1132</v>
      </c>
      <c r="O277" t="s">
        <v>1132</v>
      </c>
      <c r="P277" t="str">
        <f>IFERROR(VLOOKUP(F277,Sheet1!$A$2:$B$54,2,FALSE),"")</f>
        <v/>
      </c>
    </row>
    <row r="278" spans="1:16" x14ac:dyDescent="0.2">
      <c r="A278" s="1">
        <v>2023</v>
      </c>
      <c r="B278" t="s">
        <v>34</v>
      </c>
      <c r="C278" s="10" t="s">
        <v>1678</v>
      </c>
      <c r="D278" s="10" t="s">
        <v>1679</v>
      </c>
      <c r="E278" s="10" t="s">
        <v>1682</v>
      </c>
      <c r="F278" t="s">
        <v>531</v>
      </c>
      <c r="G278" s="4">
        <v>3294</v>
      </c>
      <c r="H278" s="4"/>
      <c r="I278" s="4"/>
      <c r="J278" s="4">
        <f>SUM(G278:I278)</f>
        <v>3294</v>
      </c>
      <c r="K278" t="s">
        <v>1659</v>
      </c>
      <c r="L278" t="s">
        <v>1659</v>
      </c>
      <c r="M278" t="s">
        <v>531</v>
      </c>
      <c r="N278" t="s">
        <v>1132</v>
      </c>
      <c r="O278" t="s">
        <v>1132</v>
      </c>
      <c r="P278" t="str">
        <f>IFERROR(VLOOKUP(F278,Sheet1!$A$2:$B$54,2,FALSE),"")</f>
        <v/>
      </c>
    </row>
    <row r="279" spans="1:16" x14ac:dyDescent="0.2">
      <c r="A279" s="1">
        <v>2015</v>
      </c>
      <c r="B279" t="s">
        <v>35</v>
      </c>
      <c r="C279" s="10" t="s">
        <v>1678</v>
      </c>
      <c r="D279" s="10" t="s">
        <v>1679</v>
      </c>
      <c r="E279" s="10" t="s">
        <v>1682</v>
      </c>
      <c r="F279" t="s">
        <v>532</v>
      </c>
      <c r="G279" s="4">
        <v>56818</v>
      </c>
      <c r="H279" s="4"/>
      <c r="I279" s="4"/>
      <c r="J279" s="4">
        <f>SUM(G279:I279)</f>
        <v>56818</v>
      </c>
      <c r="K279" t="s">
        <v>1659</v>
      </c>
      <c r="L279" t="s">
        <v>1659</v>
      </c>
      <c r="M279" t="s">
        <v>1044</v>
      </c>
      <c r="N279" t="s">
        <v>1132</v>
      </c>
      <c r="O279" t="s">
        <v>1132</v>
      </c>
      <c r="P279" t="str">
        <f>IFERROR(VLOOKUP(F279,Sheet1!$A$2:$B$54,2,FALSE),"")</f>
        <v/>
      </c>
    </row>
    <row r="280" spans="1:16" x14ac:dyDescent="0.2">
      <c r="A280" s="1">
        <v>2016</v>
      </c>
      <c r="B280" t="s">
        <v>35</v>
      </c>
      <c r="C280" s="10" t="s">
        <v>1678</v>
      </c>
      <c r="D280" s="10" t="s">
        <v>1679</v>
      </c>
      <c r="E280" s="10" t="s">
        <v>1682</v>
      </c>
      <c r="F280" t="s">
        <v>532</v>
      </c>
      <c r="G280" s="4">
        <v>94462</v>
      </c>
      <c r="H280" s="4"/>
      <c r="I280" s="4"/>
      <c r="J280" s="4">
        <f>SUM(G280:I280)</f>
        <v>94462</v>
      </c>
      <c r="K280" t="s">
        <v>1659</v>
      </c>
      <c r="L280" t="s">
        <v>1659</v>
      </c>
      <c r="M280" t="s">
        <v>1044</v>
      </c>
      <c r="N280" t="s">
        <v>1132</v>
      </c>
      <c r="O280" t="s">
        <v>1132</v>
      </c>
      <c r="P280" t="str">
        <f>IFERROR(VLOOKUP(F280,Sheet1!$A$2:$B$54,2,FALSE),"")</f>
        <v/>
      </c>
    </row>
    <row r="281" spans="1:16" x14ac:dyDescent="0.2">
      <c r="A281" s="1">
        <v>2017</v>
      </c>
      <c r="B281" t="s">
        <v>35</v>
      </c>
      <c r="C281" s="10" t="s">
        <v>1678</v>
      </c>
      <c r="D281" s="10" t="s">
        <v>1679</v>
      </c>
      <c r="E281" s="10" t="s">
        <v>1682</v>
      </c>
      <c r="F281" t="s">
        <v>532</v>
      </c>
      <c r="G281" s="4">
        <v>98440</v>
      </c>
      <c r="H281" s="4"/>
      <c r="I281" s="4"/>
      <c r="J281" s="4">
        <f>SUM(G281:I281)</f>
        <v>98440</v>
      </c>
      <c r="K281" t="s">
        <v>1659</v>
      </c>
      <c r="L281" t="s">
        <v>1659</v>
      </c>
      <c r="M281" t="s">
        <v>1044</v>
      </c>
      <c r="N281" t="s">
        <v>1132</v>
      </c>
      <c r="O281" t="s">
        <v>1132</v>
      </c>
      <c r="P281" t="str">
        <f>IFERROR(VLOOKUP(F281,Sheet1!$A$2:$B$54,2,FALSE),"")</f>
        <v/>
      </c>
    </row>
    <row r="282" spans="1:16" x14ac:dyDescent="0.2">
      <c r="A282" s="1">
        <v>2018</v>
      </c>
      <c r="B282" t="s">
        <v>35</v>
      </c>
      <c r="C282" s="10" t="s">
        <v>1678</v>
      </c>
      <c r="D282" s="10" t="s">
        <v>1679</v>
      </c>
      <c r="E282" s="10" t="s">
        <v>1682</v>
      </c>
      <c r="F282" t="s">
        <v>532</v>
      </c>
      <c r="G282" s="4">
        <v>149946</v>
      </c>
      <c r="H282" s="4"/>
      <c r="I282" s="4"/>
      <c r="J282" s="4">
        <f>SUM(G282:I282)</f>
        <v>149946</v>
      </c>
      <c r="K282" t="s">
        <v>1659</v>
      </c>
      <c r="L282" t="s">
        <v>1659</v>
      </c>
      <c r="M282" t="s">
        <v>1044</v>
      </c>
      <c r="N282" t="s">
        <v>1132</v>
      </c>
      <c r="O282" t="s">
        <v>1132</v>
      </c>
      <c r="P282" t="str">
        <f>IFERROR(VLOOKUP(F282,Sheet1!$A$2:$B$54,2,FALSE),"")</f>
        <v/>
      </c>
    </row>
    <row r="283" spans="1:16" x14ac:dyDescent="0.2">
      <c r="A283" s="1">
        <v>2019</v>
      </c>
      <c r="B283" t="s">
        <v>35</v>
      </c>
      <c r="C283" s="10" t="s">
        <v>1678</v>
      </c>
      <c r="D283" s="10" t="s">
        <v>1679</v>
      </c>
      <c r="E283" s="10" t="s">
        <v>1682</v>
      </c>
      <c r="F283" t="s">
        <v>532</v>
      </c>
      <c r="G283" s="4">
        <v>188214</v>
      </c>
      <c r="H283" s="4"/>
      <c r="I283" s="4"/>
      <c r="J283" s="4">
        <f>SUM(G283:I283)</f>
        <v>188214</v>
      </c>
      <c r="K283" t="s">
        <v>1659</v>
      </c>
      <c r="L283" t="s">
        <v>1659</v>
      </c>
      <c r="M283" t="s">
        <v>1044</v>
      </c>
      <c r="N283" t="s">
        <v>1132</v>
      </c>
      <c r="O283" t="s">
        <v>1132</v>
      </c>
      <c r="P283" t="str">
        <f>IFERROR(VLOOKUP(F283,Sheet1!$A$2:$B$54,2,FALSE),"")</f>
        <v/>
      </c>
    </row>
    <row r="284" spans="1:16" x14ac:dyDescent="0.2">
      <c r="A284" s="1">
        <v>2020</v>
      </c>
      <c r="B284" t="s">
        <v>35</v>
      </c>
      <c r="C284" s="10" t="s">
        <v>1678</v>
      </c>
      <c r="D284" s="10" t="s">
        <v>1679</v>
      </c>
      <c r="E284" s="10" t="s">
        <v>1682</v>
      </c>
      <c r="F284" t="s">
        <v>532</v>
      </c>
      <c r="G284" s="4">
        <v>242703</v>
      </c>
      <c r="H284" s="4"/>
      <c r="I284" s="4"/>
      <c r="J284" s="4">
        <f>SUM(G284:I284)</f>
        <v>242703</v>
      </c>
      <c r="K284" t="s">
        <v>1659</v>
      </c>
      <c r="L284" t="s">
        <v>1659</v>
      </c>
      <c r="M284" t="s">
        <v>1044</v>
      </c>
      <c r="N284" t="s">
        <v>1132</v>
      </c>
      <c r="O284" t="s">
        <v>1132</v>
      </c>
      <c r="P284" t="str">
        <f>IFERROR(VLOOKUP(F284,Sheet1!$A$2:$B$54,2,FALSE),"")</f>
        <v/>
      </c>
    </row>
    <row r="285" spans="1:16" x14ac:dyDescent="0.2">
      <c r="A285" s="1">
        <v>2021</v>
      </c>
      <c r="B285" t="s">
        <v>35</v>
      </c>
      <c r="C285" s="10" t="s">
        <v>1678</v>
      </c>
      <c r="D285" s="10" t="s">
        <v>1679</v>
      </c>
      <c r="E285" s="10" t="s">
        <v>1682</v>
      </c>
      <c r="F285" t="s">
        <v>532</v>
      </c>
      <c r="G285" s="4">
        <v>305843</v>
      </c>
      <c r="H285" s="4"/>
      <c r="I285" s="4"/>
      <c r="J285" s="4">
        <f>SUM(G285:I285)</f>
        <v>305843</v>
      </c>
      <c r="K285" t="s">
        <v>1659</v>
      </c>
      <c r="L285" t="s">
        <v>1659</v>
      </c>
      <c r="M285" t="s">
        <v>532</v>
      </c>
      <c r="N285" t="s">
        <v>1132</v>
      </c>
      <c r="O285" t="s">
        <v>1132</v>
      </c>
      <c r="P285" t="str">
        <f>IFERROR(VLOOKUP(F285,Sheet1!$A$2:$B$54,2,FALSE),"")</f>
        <v/>
      </c>
    </row>
    <row r="286" spans="1:16" x14ac:dyDescent="0.2">
      <c r="A286" s="1">
        <v>2022</v>
      </c>
      <c r="B286" t="s">
        <v>35</v>
      </c>
      <c r="C286" s="10" t="s">
        <v>1678</v>
      </c>
      <c r="D286" s="10" t="s">
        <v>1679</v>
      </c>
      <c r="E286" s="10" t="s">
        <v>1682</v>
      </c>
      <c r="F286" t="s">
        <v>532</v>
      </c>
      <c r="G286" s="4">
        <v>486023</v>
      </c>
      <c r="H286" s="4"/>
      <c r="I286" s="4"/>
      <c r="J286" s="4">
        <f>SUM(G286:I286)</f>
        <v>486023</v>
      </c>
      <c r="K286" t="s">
        <v>1659</v>
      </c>
      <c r="L286" t="s">
        <v>1659</v>
      </c>
      <c r="M286" t="s">
        <v>532</v>
      </c>
      <c r="N286" t="s">
        <v>1132</v>
      </c>
      <c r="O286" t="s">
        <v>1132</v>
      </c>
      <c r="P286" t="str">
        <f>IFERROR(VLOOKUP(F286,Sheet1!$A$2:$B$54,2,FALSE),"")</f>
        <v/>
      </c>
    </row>
    <row r="287" spans="1:16" x14ac:dyDescent="0.2">
      <c r="A287" s="1">
        <v>2023</v>
      </c>
      <c r="B287" t="s">
        <v>35</v>
      </c>
      <c r="C287" s="10" t="s">
        <v>1678</v>
      </c>
      <c r="D287" s="10" t="s">
        <v>1679</v>
      </c>
      <c r="E287" s="10" t="s">
        <v>1682</v>
      </c>
      <c r="F287" t="s">
        <v>532</v>
      </c>
      <c r="G287" s="4">
        <v>576770</v>
      </c>
      <c r="H287" s="4"/>
      <c r="I287" s="4"/>
      <c r="J287" s="4">
        <f>SUM(G287:I287)</f>
        <v>576770</v>
      </c>
      <c r="K287" t="s">
        <v>1659</v>
      </c>
      <c r="L287" t="s">
        <v>1659</v>
      </c>
      <c r="M287" t="s">
        <v>532</v>
      </c>
      <c r="N287" t="s">
        <v>1132</v>
      </c>
      <c r="O287" t="s">
        <v>1132</v>
      </c>
      <c r="P287" t="str">
        <f>IFERROR(VLOOKUP(F287,Sheet1!$A$2:$B$54,2,FALSE),"")</f>
        <v/>
      </c>
    </row>
    <row r="288" spans="1:16" x14ac:dyDescent="0.2">
      <c r="A288" s="1">
        <v>2015</v>
      </c>
      <c r="B288" t="s">
        <v>36</v>
      </c>
      <c r="C288" s="10" t="s">
        <v>1678</v>
      </c>
      <c r="D288" s="10" t="s">
        <v>1679</v>
      </c>
      <c r="E288" s="10" t="s">
        <v>1682</v>
      </c>
      <c r="F288" t="s">
        <v>533</v>
      </c>
      <c r="G288" s="4">
        <v>488373</v>
      </c>
      <c r="H288" s="4">
        <v>11151497</v>
      </c>
      <c r="I288" s="4">
        <v>75627</v>
      </c>
      <c r="J288" s="4">
        <f>SUM(G288:I288)</f>
        <v>11715497</v>
      </c>
      <c r="K288" t="s">
        <v>1660</v>
      </c>
      <c r="L288" t="s">
        <v>1660</v>
      </c>
      <c r="M288" t="s">
        <v>1045</v>
      </c>
      <c r="N288" t="s">
        <v>1045</v>
      </c>
      <c r="O288" t="s">
        <v>1045</v>
      </c>
      <c r="P288">
        <f>IFERROR(VLOOKUP(F288,Sheet1!$A$2:$B$54,2,FALSE),"")</f>
        <v>4900120</v>
      </c>
    </row>
    <row r="289" spans="1:16" x14ac:dyDescent="0.2">
      <c r="A289" s="1">
        <v>2016</v>
      </c>
      <c r="B289" t="s">
        <v>36</v>
      </c>
      <c r="C289" s="10" t="s">
        <v>1678</v>
      </c>
      <c r="D289" s="10" t="s">
        <v>1679</v>
      </c>
      <c r="E289" s="10" t="s">
        <v>1682</v>
      </c>
      <c r="F289" t="s">
        <v>533</v>
      </c>
      <c r="G289" s="4">
        <v>642937</v>
      </c>
      <c r="H289" s="4">
        <v>11549327</v>
      </c>
      <c r="I289" s="4">
        <v>78904</v>
      </c>
      <c r="J289" s="4">
        <f>SUM(G289:I289)</f>
        <v>12271168</v>
      </c>
      <c r="K289" t="s">
        <v>1660</v>
      </c>
      <c r="L289" t="s">
        <v>1660</v>
      </c>
      <c r="M289" t="s">
        <v>1045</v>
      </c>
      <c r="N289" t="s">
        <v>1045</v>
      </c>
      <c r="O289" t="s">
        <v>1045</v>
      </c>
      <c r="P289">
        <f>IFERROR(VLOOKUP(F289,Sheet1!$A$2:$B$54,2,FALSE),"")</f>
        <v>4900120</v>
      </c>
    </row>
    <row r="290" spans="1:16" x14ac:dyDescent="0.2">
      <c r="A290" s="1">
        <v>2017</v>
      </c>
      <c r="B290" t="s">
        <v>36</v>
      </c>
      <c r="C290" s="10" t="s">
        <v>1678</v>
      </c>
      <c r="D290" s="10" t="s">
        <v>1679</v>
      </c>
      <c r="E290" s="10" t="s">
        <v>1682</v>
      </c>
      <c r="F290" t="s">
        <v>533</v>
      </c>
      <c r="G290" s="4">
        <v>936491</v>
      </c>
      <c r="H290" s="4">
        <v>12169419</v>
      </c>
      <c r="I290" s="4">
        <v>68569</v>
      </c>
      <c r="J290" s="4">
        <f>SUM(G290:I290)</f>
        <v>13174479</v>
      </c>
      <c r="K290" t="s">
        <v>1660</v>
      </c>
      <c r="L290" t="s">
        <v>1660</v>
      </c>
      <c r="M290" t="s">
        <v>1045</v>
      </c>
      <c r="N290" t="s">
        <v>1045</v>
      </c>
      <c r="O290" t="s">
        <v>1045</v>
      </c>
      <c r="P290">
        <f>IFERROR(VLOOKUP(F290,Sheet1!$A$2:$B$54,2,FALSE),"")</f>
        <v>4900120</v>
      </c>
    </row>
    <row r="291" spans="1:16" x14ac:dyDescent="0.2">
      <c r="A291" s="1">
        <v>2018</v>
      </c>
      <c r="B291" t="s">
        <v>36</v>
      </c>
      <c r="C291" s="10" t="s">
        <v>1678</v>
      </c>
      <c r="D291" s="10" t="s">
        <v>1679</v>
      </c>
      <c r="E291" s="10" t="s">
        <v>1682</v>
      </c>
      <c r="F291" t="s">
        <v>533</v>
      </c>
      <c r="G291" s="4">
        <v>1302898</v>
      </c>
      <c r="H291" s="4">
        <v>12993313</v>
      </c>
      <c r="I291" s="4">
        <v>52587</v>
      </c>
      <c r="J291" s="4">
        <f>SUM(G291:I291)</f>
        <v>14348798</v>
      </c>
      <c r="K291" t="s">
        <v>1660</v>
      </c>
      <c r="L291" t="s">
        <v>1660</v>
      </c>
      <c r="M291" t="s">
        <v>1045</v>
      </c>
      <c r="N291" t="s">
        <v>1045</v>
      </c>
      <c r="O291" t="s">
        <v>1045</v>
      </c>
      <c r="P291">
        <f>IFERROR(VLOOKUP(F291,Sheet1!$A$2:$B$54,2,FALSE),"")</f>
        <v>4900120</v>
      </c>
    </row>
    <row r="292" spans="1:16" x14ac:dyDescent="0.2">
      <c r="A292" s="1">
        <v>2019</v>
      </c>
      <c r="B292" t="s">
        <v>36</v>
      </c>
      <c r="C292" s="10" t="s">
        <v>1678</v>
      </c>
      <c r="D292" s="10" t="s">
        <v>1679</v>
      </c>
      <c r="E292" s="10" t="s">
        <v>1682</v>
      </c>
      <c r="F292" t="s">
        <v>533</v>
      </c>
      <c r="G292" s="4">
        <v>1665332</v>
      </c>
      <c r="H292" s="4">
        <v>13716279</v>
      </c>
      <c r="I292" s="4">
        <v>36096</v>
      </c>
      <c r="J292" s="4">
        <f>SUM(G292:I292)</f>
        <v>15417707</v>
      </c>
      <c r="K292" t="s">
        <v>1660</v>
      </c>
      <c r="L292" t="s">
        <v>1660</v>
      </c>
      <c r="M292" t="s">
        <v>1046</v>
      </c>
      <c r="N292" t="s">
        <v>1046</v>
      </c>
      <c r="O292" t="s">
        <v>1046</v>
      </c>
      <c r="P292">
        <f>IFERROR(VLOOKUP(F292,Sheet1!$A$2:$B$54,2,FALSE),"")</f>
        <v>4900120</v>
      </c>
    </row>
    <row r="293" spans="1:16" x14ac:dyDescent="0.2">
      <c r="A293" s="1">
        <v>2020</v>
      </c>
      <c r="B293" t="s">
        <v>36</v>
      </c>
      <c r="C293" s="10" t="s">
        <v>1678</v>
      </c>
      <c r="D293" s="10" t="s">
        <v>1679</v>
      </c>
      <c r="E293" s="10" t="s">
        <v>1682</v>
      </c>
      <c r="F293" t="s">
        <v>533</v>
      </c>
      <c r="G293" s="4">
        <v>1999508</v>
      </c>
      <c r="H293" s="4">
        <v>14349234</v>
      </c>
      <c r="I293" s="4">
        <v>37380</v>
      </c>
      <c r="J293" s="4">
        <f>SUM(G293:I293)</f>
        <v>16386122</v>
      </c>
      <c r="K293" t="s">
        <v>1660</v>
      </c>
      <c r="L293" t="s">
        <v>1660</v>
      </c>
      <c r="M293" t="s">
        <v>1046</v>
      </c>
      <c r="N293" t="s">
        <v>1046</v>
      </c>
      <c r="O293" t="s">
        <v>1046</v>
      </c>
      <c r="P293">
        <f>IFERROR(VLOOKUP(F293,Sheet1!$A$2:$B$54,2,FALSE),"")</f>
        <v>4900120</v>
      </c>
    </row>
    <row r="294" spans="1:16" x14ac:dyDescent="0.2">
      <c r="A294" s="1">
        <v>2021</v>
      </c>
      <c r="B294" t="s">
        <v>36</v>
      </c>
      <c r="C294" s="10" t="s">
        <v>1678</v>
      </c>
      <c r="D294" s="10" t="s">
        <v>1679</v>
      </c>
      <c r="E294" s="10" t="s">
        <v>1682</v>
      </c>
      <c r="F294" t="s">
        <v>533</v>
      </c>
      <c r="G294" s="4">
        <v>2435588</v>
      </c>
      <c r="H294" s="4">
        <v>15144746</v>
      </c>
      <c r="I294" s="4">
        <v>39152</v>
      </c>
      <c r="J294" s="4">
        <f>SUM(G294:I294)</f>
        <v>17619486</v>
      </c>
      <c r="K294" t="s">
        <v>1660</v>
      </c>
      <c r="L294" t="s">
        <v>1660</v>
      </c>
      <c r="M294" t="s">
        <v>533</v>
      </c>
      <c r="N294" t="s">
        <v>533</v>
      </c>
      <c r="O294" t="s">
        <v>533</v>
      </c>
      <c r="P294">
        <f>IFERROR(VLOOKUP(F294,Sheet1!$A$2:$B$54,2,FALSE),"")</f>
        <v>4900120</v>
      </c>
    </row>
    <row r="295" spans="1:16" x14ac:dyDescent="0.2">
      <c r="A295" s="1">
        <v>2022</v>
      </c>
      <c r="B295" t="s">
        <v>36</v>
      </c>
      <c r="C295" s="10" t="s">
        <v>1678</v>
      </c>
      <c r="D295" s="10" t="s">
        <v>1679</v>
      </c>
      <c r="E295" s="10" t="s">
        <v>1682</v>
      </c>
      <c r="F295" t="s">
        <v>533</v>
      </c>
      <c r="G295" s="4">
        <v>2878569</v>
      </c>
      <c r="H295" s="4">
        <v>15942242</v>
      </c>
      <c r="I295" s="4">
        <v>38089</v>
      </c>
      <c r="J295" s="4">
        <f>SUM(G295:I295)</f>
        <v>18858900</v>
      </c>
      <c r="K295" t="s">
        <v>1660</v>
      </c>
      <c r="L295" t="s">
        <v>1660</v>
      </c>
      <c r="M295" t="s">
        <v>533</v>
      </c>
      <c r="N295" t="s">
        <v>533</v>
      </c>
      <c r="O295" t="s">
        <v>533</v>
      </c>
      <c r="P295">
        <f>IFERROR(VLOOKUP(F295,Sheet1!$A$2:$B$54,2,FALSE),"")</f>
        <v>4900120</v>
      </c>
    </row>
    <row r="296" spans="1:16" x14ac:dyDescent="0.2">
      <c r="A296" s="1">
        <v>2023</v>
      </c>
      <c r="B296" t="s">
        <v>36</v>
      </c>
      <c r="C296" s="10" t="s">
        <v>1678</v>
      </c>
      <c r="D296" s="10" t="s">
        <v>1679</v>
      </c>
      <c r="E296" s="10" t="s">
        <v>1682</v>
      </c>
      <c r="F296" t="s">
        <v>533</v>
      </c>
      <c r="G296" s="4">
        <v>3430193</v>
      </c>
      <c r="H296" s="4">
        <v>17274547</v>
      </c>
      <c r="I296" s="4">
        <v>36888</v>
      </c>
      <c r="J296" s="4">
        <f>SUM(G296:I296)</f>
        <v>20741628</v>
      </c>
      <c r="K296" t="s">
        <v>1660</v>
      </c>
      <c r="L296" t="s">
        <v>1660</v>
      </c>
      <c r="M296" t="s">
        <v>533</v>
      </c>
      <c r="N296" t="s">
        <v>533</v>
      </c>
      <c r="O296" t="s">
        <v>533</v>
      </c>
      <c r="P296">
        <f>IFERROR(VLOOKUP(F296,Sheet1!$A$2:$B$54,2,FALSE),"")</f>
        <v>4900120</v>
      </c>
    </row>
    <row r="297" spans="1:16" x14ac:dyDescent="0.2">
      <c r="A297" s="1">
        <v>2015</v>
      </c>
      <c r="B297" t="s">
        <v>37</v>
      </c>
      <c r="C297" s="10" t="s">
        <v>1678</v>
      </c>
      <c r="D297" s="10" t="s">
        <v>1679</v>
      </c>
      <c r="E297" s="10" t="s">
        <v>1682</v>
      </c>
      <c r="F297" t="s">
        <v>534</v>
      </c>
      <c r="G297" s="4">
        <v>1913978</v>
      </c>
      <c r="H297" s="4">
        <v>24612391</v>
      </c>
      <c r="I297" s="4"/>
      <c r="J297" s="4">
        <f>SUM(G297:I297)</f>
        <v>26526369</v>
      </c>
      <c r="K297" t="s">
        <v>1660</v>
      </c>
      <c r="L297" t="s">
        <v>1659</v>
      </c>
      <c r="M297" t="s">
        <v>1047</v>
      </c>
      <c r="N297" t="s">
        <v>1047</v>
      </c>
      <c r="O297" t="s">
        <v>1132</v>
      </c>
      <c r="P297">
        <f>IFERROR(VLOOKUP(F297,Sheet1!$A$2:$B$54,2,FALSE),"")</f>
        <v>4900142</v>
      </c>
    </row>
    <row r="298" spans="1:16" x14ac:dyDescent="0.2">
      <c r="A298" s="1">
        <v>2016</v>
      </c>
      <c r="B298" t="s">
        <v>37</v>
      </c>
      <c r="C298" s="10" t="s">
        <v>1678</v>
      </c>
      <c r="D298" s="10" t="s">
        <v>1679</v>
      </c>
      <c r="E298" s="10" t="s">
        <v>1682</v>
      </c>
      <c r="F298" t="s">
        <v>534</v>
      </c>
      <c r="G298" s="4">
        <v>2369619</v>
      </c>
      <c r="H298" s="4">
        <v>24890296</v>
      </c>
      <c r="I298" s="4"/>
      <c r="J298" s="4">
        <f>SUM(G298:I298)</f>
        <v>27259915</v>
      </c>
      <c r="K298" t="s">
        <v>1660</v>
      </c>
      <c r="L298" t="s">
        <v>1659</v>
      </c>
      <c r="M298" t="s">
        <v>1047</v>
      </c>
      <c r="N298" t="s">
        <v>1047</v>
      </c>
      <c r="O298" t="s">
        <v>1132</v>
      </c>
      <c r="P298">
        <f>IFERROR(VLOOKUP(F298,Sheet1!$A$2:$B$54,2,FALSE),"")</f>
        <v>4900142</v>
      </c>
    </row>
    <row r="299" spans="1:16" x14ac:dyDescent="0.2">
      <c r="A299" s="1">
        <v>2017</v>
      </c>
      <c r="B299" t="s">
        <v>37</v>
      </c>
      <c r="C299" s="10" t="s">
        <v>1678</v>
      </c>
      <c r="D299" s="10" t="s">
        <v>1679</v>
      </c>
      <c r="E299" s="10" t="s">
        <v>1682</v>
      </c>
      <c r="F299" t="s">
        <v>534</v>
      </c>
      <c r="G299" s="4">
        <v>2957503</v>
      </c>
      <c r="H299" s="4">
        <v>25358168</v>
      </c>
      <c r="I299" s="4"/>
      <c r="J299" s="4">
        <f>SUM(G299:I299)</f>
        <v>28315671</v>
      </c>
      <c r="K299" t="s">
        <v>1660</v>
      </c>
      <c r="L299" t="s">
        <v>1659</v>
      </c>
      <c r="M299" t="s">
        <v>1047</v>
      </c>
      <c r="N299" t="s">
        <v>1047</v>
      </c>
      <c r="O299" t="s">
        <v>1132</v>
      </c>
      <c r="P299">
        <f>IFERROR(VLOOKUP(F299,Sheet1!$A$2:$B$54,2,FALSE),"")</f>
        <v>4900142</v>
      </c>
    </row>
    <row r="300" spans="1:16" x14ac:dyDescent="0.2">
      <c r="A300" s="1">
        <v>2018</v>
      </c>
      <c r="B300" t="s">
        <v>37</v>
      </c>
      <c r="C300" s="10" t="s">
        <v>1678</v>
      </c>
      <c r="D300" s="10" t="s">
        <v>1679</v>
      </c>
      <c r="E300" s="10" t="s">
        <v>1682</v>
      </c>
      <c r="F300" t="s">
        <v>534</v>
      </c>
      <c r="G300" s="4">
        <v>3837819</v>
      </c>
      <c r="H300" s="4">
        <v>26364444</v>
      </c>
      <c r="I300" s="4"/>
      <c r="J300" s="4">
        <f>SUM(G300:I300)</f>
        <v>30202263</v>
      </c>
      <c r="K300" t="s">
        <v>1660</v>
      </c>
      <c r="L300" t="s">
        <v>1659</v>
      </c>
      <c r="M300" t="s">
        <v>1047</v>
      </c>
      <c r="N300" t="s">
        <v>1047</v>
      </c>
      <c r="O300" t="s">
        <v>1132</v>
      </c>
      <c r="P300">
        <f>IFERROR(VLOOKUP(F300,Sheet1!$A$2:$B$54,2,FALSE),"")</f>
        <v>4900142</v>
      </c>
    </row>
    <row r="301" spans="1:16" x14ac:dyDescent="0.2">
      <c r="A301" s="1">
        <v>2019</v>
      </c>
      <c r="B301" t="s">
        <v>37</v>
      </c>
      <c r="C301" s="10" t="s">
        <v>1678</v>
      </c>
      <c r="D301" s="10" t="s">
        <v>1679</v>
      </c>
      <c r="E301" s="10" t="s">
        <v>1682</v>
      </c>
      <c r="F301" t="s">
        <v>534</v>
      </c>
      <c r="G301" s="4">
        <v>4653590</v>
      </c>
      <c r="H301" s="4">
        <v>27014854</v>
      </c>
      <c r="I301" s="4"/>
      <c r="J301" s="4">
        <f>SUM(G301:I301)</f>
        <v>31668444</v>
      </c>
      <c r="K301" t="s">
        <v>1660</v>
      </c>
      <c r="L301" t="s">
        <v>1659</v>
      </c>
      <c r="M301" t="s">
        <v>1047</v>
      </c>
      <c r="N301" t="s">
        <v>1047</v>
      </c>
      <c r="O301" t="s">
        <v>1132</v>
      </c>
      <c r="P301">
        <f>IFERROR(VLOOKUP(F301,Sheet1!$A$2:$B$54,2,FALSE),"")</f>
        <v>4900142</v>
      </c>
    </row>
    <row r="302" spans="1:16" x14ac:dyDescent="0.2">
      <c r="A302" s="1">
        <v>2020</v>
      </c>
      <c r="B302" t="s">
        <v>37</v>
      </c>
      <c r="C302" s="10" t="s">
        <v>1678</v>
      </c>
      <c r="D302" s="10" t="s">
        <v>1679</v>
      </c>
      <c r="E302" s="10" t="s">
        <v>1682</v>
      </c>
      <c r="F302" t="s">
        <v>534</v>
      </c>
      <c r="G302" s="4">
        <v>5575092</v>
      </c>
      <c r="H302" s="4">
        <v>28669078</v>
      </c>
      <c r="I302" s="4"/>
      <c r="J302" s="4">
        <f>SUM(G302:I302)</f>
        <v>34244170</v>
      </c>
      <c r="K302" t="s">
        <v>1660</v>
      </c>
      <c r="L302" t="s">
        <v>1659</v>
      </c>
      <c r="M302" t="s">
        <v>1047</v>
      </c>
      <c r="N302" t="s">
        <v>1047</v>
      </c>
      <c r="O302" t="s">
        <v>1132</v>
      </c>
      <c r="P302">
        <f>IFERROR(VLOOKUP(F302,Sheet1!$A$2:$B$54,2,FALSE),"")</f>
        <v>4900142</v>
      </c>
    </row>
    <row r="303" spans="1:16" x14ac:dyDescent="0.2">
      <c r="A303" s="1">
        <v>2021</v>
      </c>
      <c r="B303" t="s">
        <v>37</v>
      </c>
      <c r="C303" s="10" t="s">
        <v>1678</v>
      </c>
      <c r="D303" s="10" t="s">
        <v>1679</v>
      </c>
      <c r="E303" s="10" t="s">
        <v>1682</v>
      </c>
      <c r="F303" t="s">
        <v>534</v>
      </c>
      <c r="G303" s="4">
        <v>6526381</v>
      </c>
      <c r="H303" s="4">
        <v>30051944</v>
      </c>
      <c r="I303" s="4"/>
      <c r="J303" s="4">
        <f>SUM(G303:I303)</f>
        <v>36578325</v>
      </c>
      <c r="K303" t="s">
        <v>1660</v>
      </c>
      <c r="L303" t="s">
        <v>1659</v>
      </c>
      <c r="M303" t="s">
        <v>534</v>
      </c>
      <c r="N303" t="s">
        <v>534</v>
      </c>
      <c r="O303" t="s">
        <v>1132</v>
      </c>
      <c r="P303">
        <f>IFERROR(VLOOKUP(F303,Sheet1!$A$2:$B$54,2,FALSE),"")</f>
        <v>4900142</v>
      </c>
    </row>
    <row r="304" spans="1:16" x14ac:dyDescent="0.2">
      <c r="A304" s="1">
        <v>2022</v>
      </c>
      <c r="B304" t="s">
        <v>37</v>
      </c>
      <c r="C304" s="10" t="s">
        <v>1678</v>
      </c>
      <c r="D304" s="10" t="s">
        <v>1679</v>
      </c>
      <c r="E304" s="10" t="s">
        <v>1682</v>
      </c>
      <c r="F304" t="s">
        <v>534</v>
      </c>
      <c r="G304" s="4">
        <v>7507911</v>
      </c>
      <c r="H304" s="4">
        <v>30985901</v>
      </c>
      <c r="I304" s="4"/>
      <c r="J304" s="4">
        <f>SUM(G304:I304)</f>
        <v>38493812</v>
      </c>
      <c r="K304" t="s">
        <v>1660</v>
      </c>
      <c r="L304" t="s">
        <v>1659</v>
      </c>
      <c r="M304" t="s">
        <v>534</v>
      </c>
      <c r="N304" t="s">
        <v>534</v>
      </c>
      <c r="O304" t="s">
        <v>1132</v>
      </c>
      <c r="P304">
        <f>IFERROR(VLOOKUP(F304,Sheet1!$A$2:$B$54,2,FALSE),"")</f>
        <v>4900142</v>
      </c>
    </row>
    <row r="305" spans="1:16" x14ac:dyDescent="0.2">
      <c r="A305" s="1">
        <v>2023</v>
      </c>
      <c r="B305" t="s">
        <v>37</v>
      </c>
      <c r="C305" s="10" t="s">
        <v>1678</v>
      </c>
      <c r="D305" s="10" t="s">
        <v>1679</v>
      </c>
      <c r="E305" s="10" t="s">
        <v>1682</v>
      </c>
      <c r="F305" t="s">
        <v>534</v>
      </c>
      <c r="G305" s="4">
        <v>8534677</v>
      </c>
      <c r="H305" s="4">
        <v>32051259</v>
      </c>
      <c r="I305" s="4"/>
      <c r="J305" s="4">
        <f>SUM(G305:I305)</f>
        <v>40585936</v>
      </c>
      <c r="K305" t="s">
        <v>1660</v>
      </c>
      <c r="L305" t="s">
        <v>1659</v>
      </c>
      <c r="M305" t="s">
        <v>534</v>
      </c>
      <c r="N305" t="s">
        <v>534</v>
      </c>
      <c r="O305" t="s">
        <v>1132</v>
      </c>
      <c r="P305">
        <f>IFERROR(VLOOKUP(F305,Sheet1!$A$2:$B$54,2,FALSE),"")</f>
        <v>4900142</v>
      </c>
    </row>
    <row r="306" spans="1:16" x14ac:dyDescent="0.2">
      <c r="A306" s="1">
        <v>2015</v>
      </c>
      <c r="B306" t="s">
        <v>38</v>
      </c>
      <c r="C306" s="10" t="s">
        <v>1678</v>
      </c>
      <c r="D306" s="10" t="s">
        <v>1679</v>
      </c>
      <c r="E306" s="10" t="s">
        <v>1682</v>
      </c>
      <c r="F306" t="s">
        <v>535</v>
      </c>
      <c r="G306" s="4">
        <v>75320</v>
      </c>
      <c r="H306" s="4"/>
      <c r="I306" s="4"/>
      <c r="J306" s="4">
        <f>SUM(G306:I306)</f>
        <v>75320</v>
      </c>
      <c r="K306" t="s">
        <v>1659</v>
      </c>
      <c r="L306" t="s">
        <v>1659</v>
      </c>
      <c r="M306" t="s">
        <v>1048</v>
      </c>
      <c r="N306" t="s">
        <v>1132</v>
      </c>
      <c r="O306" t="s">
        <v>1132</v>
      </c>
      <c r="P306" t="str">
        <f>IFERROR(VLOOKUP(F306,Sheet1!$A$2:$B$54,2,FALSE),"")</f>
        <v/>
      </c>
    </row>
    <row r="307" spans="1:16" x14ac:dyDescent="0.2">
      <c r="A307" s="1">
        <v>2016</v>
      </c>
      <c r="B307" t="s">
        <v>38</v>
      </c>
      <c r="C307" s="10" t="s">
        <v>1678</v>
      </c>
      <c r="D307" s="10" t="s">
        <v>1679</v>
      </c>
      <c r="E307" s="10" t="s">
        <v>1682</v>
      </c>
      <c r="F307" t="s">
        <v>535</v>
      </c>
      <c r="G307" s="4">
        <v>98274</v>
      </c>
      <c r="H307" s="4"/>
      <c r="I307" s="4"/>
      <c r="J307" s="4">
        <f>SUM(G307:I307)</f>
        <v>98274</v>
      </c>
      <c r="K307" t="s">
        <v>1659</v>
      </c>
      <c r="L307" t="s">
        <v>1659</v>
      </c>
      <c r="M307" t="s">
        <v>1048</v>
      </c>
      <c r="N307" t="s">
        <v>1132</v>
      </c>
      <c r="O307" t="s">
        <v>1132</v>
      </c>
      <c r="P307" t="str">
        <f>IFERROR(VLOOKUP(F307,Sheet1!$A$2:$B$54,2,FALSE),"")</f>
        <v/>
      </c>
    </row>
    <row r="308" spans="1:16" x14ac:dyDescent="0.2">
      <c r="A308" s="1">
        <v>2017</v>
      </c>
      <c r="B308" t="s">
        <v>38</v>
      </c>
      <c r="C308" s="10" t="s">
        <v>1678</v>
      </c>
      <c r="D308" s="10" t="s">
        <v>1679</v>
      </c>
      <c r="E308" s="10" t="s">
        <v>1682</v>
      </c>
      <c r="F308" t="s">
        <v>535</v>
      </c>
      <c r="G308" s="4">
        <v>117925</v>
      </c>
      <c r="H308" s="4"/>
      <c r="I308" s="4"/>
      <c r="J308" s="4">
        <f>SUM(G308:I308)</f>
        <v>117925</v>
      </c>
      <c r="K308" t="s">
        <v>1659</v>
      </c>
      <c r="L308" t="s">
        <v>1659</v>
      </c>
      <c r="M308" t="s">
        <v>1048</v>
      </c>
      <c r="N308" t="s">
        <v>1132</v>
      </c>
      <c r="O308" t="s">
        <v>1132</v>
      </c>
      <c r="P308" t="str">
        <f>IFERROR(VLOOKUP(F308,Sheet1!$A$2:$B$54,2,FALSE),"")</f>
        <v/>
      </c>
    </row>
    <row r="309" spans="1:16" x14ac:dyDescent="0.2">
      <c r="A309" s="1">
        <v>2018</v>
      </c>
      <c r="B309" t="s">
        <v>38</v>
      </c>
      <c r="C309" s="10" t="s">
        <v>1678</v>
      </c>
      <c r="D309" s="10" t="s">
        <v>1679</v>
      </c>
      <c r="E309" s="10" t="s">
        <v>1682</v>
      </c>
      <c r="F309" t="s">
        <v>535</v>
      </c>
      <c r="G309" s="4">
        <v>122244</v>
      </c>
      <c r="H309" s="4"/>
      <c r="I309" s="4"/>
      <c r="J309" s="4">
        <f>SUM(G309:I309)</f>
        <v>122244</v>
      </c>
      <c r="K309" t="s">
        <v>1659</v>
      </c>
      <c r="L309" t="s">
        <v>1659</v>
      </c>
      <c r="M309" t="s">
        <v>1048</v>
      </c>
      <c r="N309" t="s">
        <v>1132</v>
      </c>
      <c r="O309" t="s">
        <v>1132</v>
      </c>
      <c r="P309" t="str">
        <f>IFERROR(VLOOKUP(F309,Sheet1!$A$2:$B$54,2,FALSE),"")</f>
        <v/>
      </c>
    </row>
    <row r="310" spans="1:16" x14ac:dyDescent="0.2">
      <c r="A310" s="1">
        <v>2019</v>
      </c>
      <c r="B310" t="s">
        <v>38</v>
      </c>
      <c r="C310" s="10" t="s">
        <v>1678</v>
      </c>
      <c r="D310" s="10" t="s">
        <v>1679</v>
      </c>
      <c r="E310" s="10" t="s">
        <v>1682</v>
      </c>
      <c r="F310" t="s">
        <v>535</v>
      </c>
      <c r="G310" s="4">
        <v>152548</v>
      </c>
      <c r="H310" s="4"/>
      <c r="I310" s="4"/>
      <c r="J310" s="4">
        <f>SUM(G310:I310)</f>
        <v>152548</v>
      </c>
      <c r="K310" t="s">
        <v>1659</v>
      </c>
      <c r="L310" t="s">
        <v>1659</v>
      </c>
      <c r="M310" t="s">
        <v>1048</v>
      </c>
      <c r="N310" t="s">
        <v>1132</v>
      </c>
      <c r="O310" t="s">
        <v>1132</v>
      </c>
      <c r="P310" t="str">
        <f>IFERROR(VLOOKUP(F310,Sheet1!$A$2:$B$54,2,FALSE),"")</f>
        <v/>
      </c>
    </row>
    <row r="311" spans="1:16" x14ac:dyDescent="0.2">
      <c r="A311" s="1">
        <v>2020</v>
      </c>
      <c r="B311" t="s">
        <v>38</v>
      </c>
      <c r="C311" s="10" t="s">
        <v>1678</v>
      </c>
      <c r="D311" s="10" t="s">
        <v>1679</v>
      </c>
      <c r="E311" s="10" t="s">
        <v>1682</v>
      </c>
      <c r="F311" t="s">
        <v>535</v>
      </c>
      <c r="G311" s="4">
        <v>170160</v>
      </c>
      <c r="H311" s="4"/>
      <c r="I311" s="4"/>
      <c r="J311" s="4">
        <f>SUM(G311:I311)</f>
        <v>170160</v>
      </c>
      <c r="K311" t="s">
        <v>1659</v>
      </c>
      <c r="L311" t="s">
        <v>1659</v>
      </c>
      <c r="M311" t="s">
        <v>1048</v>
      </c>
      <c r="N311" t="s">
        <v>1132</v>
      </c>
      <c r="O311" t="s">
        <v>1132</v>
      </c>
      <c r="P311" t="str">
        <f>IFERROR(VLOOKUP(F311,Sheet1!$A$2:$B$54,2,FALSE),"")</f>
        <v/>
      </c>
    </row>
    <row r="312" spans="1:16" x14ac:dyDescent="0.2">
      <c r="A312" s="1">
        <v>2021</v>
      </c>
      <c r="B312" t="s">
        <v>38</v>
      </c>
      <c r="C312" s="10" t="s">
        <v>1678</v>
      </c>
      <c r="D312" s="10" t="s">
        <v>1679</v>
      </c>
      <c r="E312" s="10" t="s">
        <v>1682</v>
      </c>
      <c r="F312" t="s">
        <v>535</v>
      </c>
      <c r="G312" s="4">
        <v>180375</v>
      </c>
      <c r="H312" s="4"/>
      <c r="I312" s="4"/>
      <c r="J312" s="4">
        <f>SUM(G312:I312)</f>
        <v>180375</v>
      </c>
      <c r="K312" t="s">
        <v>1659</v>
      </c>
      <c r="L312" t="s">
        <v>1659</v>
      </c>
      <c r="M312" t="s">
        <v>535</v>
      </c>
      <c r="N312" t="s">
        <v>1132</v>
      </c>
      <c r="O312" t="s">
        <v>1132</v>
      </c>
      <c r="P312" t="str">
        <f>IFERROR(VLOOKUP(F312,Sheet1!$A$2:$B$54,2,FALSE),"")</f>
        <v/>
      </c>
    </row>
    <row r="313" spans="1:16" x14ac:dyDescent="0.2">
      <c r="A313" s="1">
        <v>2022</v>
      </c>
      <c r="B313" t="s">
        <v>38</v>
      </c>
      <c r="C313" s="10" t="s">
        <v>1678</v>
      </c>
      <c r="D313" s="10" t="s">
        <v>1679</v>
      </c>
      <c r="E313" s="10" t="s">
        <v>1682</v>
      </c>
      <c r="F313" t="s">
        <v>535</v>
      </c>
      <c r="G313" s="4">
        <v>218667</v>
      </c>
      <c r="H313" s="4"/>
      <c r="I313" s="4"/>
      <c r="J313" s="4">
        <f>SUM(G313:I313)</f>
        <v>218667</v>
      </c>
      <c r="K313" t="s">
        <v>1659</v>
      </c>
      <c r="L313" t="s">
        <v>1659</v>
      </c>
      <c r="M313" t="s">
        <v>535</v>
      </c>
      <c r="N313" t="s">
        <v>1132</v>
      </c>
      <c r="O313" t="s">
        <v>1132</v>
      </c>
      <c r="P313" t="str">
        <f>IFERROR(VLOOKUP(F313,Sheet1!$A$2:$B$54,2,FALSE),"")</f>
        <v/>
      </c>
    </row>
    <row r="314" spans="1:16" x14ac:dyDescent="0.2">
      <c r="A314" s="1">
        <v>2023</v>
      </c>
      <c r="B314" t="s">
        <v>38</v>
      </c>
      <c r="C314" s="10" t="s">
        <v>1678</v>
      </c>
      <c r="D314" s="10" t="s">
        <v>1679</v>
      </c>
      <c r="E314" s="10" t="s">
        <v>1682</v>
      </c>
      <c r="F314" t="s">
        <v>535</v>
      </c>
      <c r="G314" s="4">
        <v>269689</v>
      </c>
      <c r="H314" s="4"/>
      <c r="I314" s="4"/>
      <c r="J314" s="4">
        <f>SUM(G314:I314)</f>
        <v>269689</v>
      </c>
      <c r="K314" t="s">
        <v>1659</v>
      </c>
      <c r="L314" t="s">
        <v>1659</v>
      </c>
      <c r="M314" t="s">
        <v>535</v>
      </c>
      <c r="N314" t="s">
        <v>1132</v>
      </c>
      <c r="O314" t="s">
        <v>1132</v>
      </c>
      <c r="P314" t="str">
        <f>IFERROR(VLOOKUP(F314,Sheet1!$A$2:$B$54,2,FALSE),"")</f>
        <v/>
      </c>
    </row>
    <row r="315" spans="1:16" x14ac:dyDescent="0.2">
      <c r="A315" s="1">
        <v>2015</v>
      </c>
      <c r="B315" t="s">
        <v>39</v>
      </c>
      <c r="C315" s="10" t="s">
        <v>1678</v>
      </c>
      <c r="D315" s="10" t="s">
        <v>1679</v>
      </c>
      <c r="E315" s="10" t="s">
        <v>1682</v>
      </c>
      <c r="F315" t="s">
        <v>536</v>
      </c>
      <c r="G315" s="4">
        <v>149528</v>
      </c>
      <c r="H315" s="4">
        <v>2665478</v>
      </c>
      <c r="I315" s="4">
        <v>13750</v>
      </c>
      <c r="J315" s="4">
        <f>SUM(G315:I315)</f>
        <v>2828756</v>
      </c>
      <c r="K315" t="s">
        <v>1660</v>
      </c>
      <c r="L315" t="s">
        <v>1660</v>
      </c>
      <c r="M315" t="s">
        <v>1049</v>
      </c>
      <c r="N315" t="s">
        <v>1049</v>
      </c>
      <c r="O315" t="s">
        <v>1049</v>
      </c>
      <c r="P315">
        <f>IFERROR(VLOOKUP(F315,Sheet1!$A$2:$B$54,2,FALSE),"")</f>
        <v>4900150</v>
      </c>
    </row>
    <row r="316" spans="1:16" x14ac:dyDescent="0.2">
      <c r="A316" s="1">
        <v>2016</v>
      </c>
      <c r="B316" t="s">
        <v>39</v>
      </c>
      <c r="C316" s="10" t="s">
        <v>1678</v>
      </c>
      <c r="D316" s="10" t="s">
        <v>1679</v>
      </c>
      <c r="E316" s="10" t="s">
        <v>1682</v>
      </c>
      <c r="F316" t="s">
        <v>536</v>
      </c>
      <c r="G316" s="4">
        <v>203993</v>
      </c>
      <c r="H316" s="4">
        <v>2721873</v>
      </c>
      <c r="I316" s="4">
        <v>5338</v>
      </c>
      <c r="J316" s="4">
        <f>SUM(G316:I316)</f>
        <v>2931204</v>
      </c>
      <c r="K316" t="s">
        <v>1660</v>
      </c>
      <c r="L316" t="s">
        <v>1660</v>
      </c>
      <c r="M316" t="s">
        <v>1049</v>
      </c>
      <c r="N316" t="s">
        <v>1049</v>
      </c>
      <c r="O316" t="s">
        <v>1049</v>
      </c>
      <c r="P316">
        <f>IFERROR(VLOOKUP(F316,Sheet1!$A$2:$B$54,2,FALSE),"")</f>
        <v>4900150</v>
      </c>
    </row>
    <row r="317" spans="1:16" x14ac:dyDescent="0.2">
      <c r="A317" s="1">
        <v>2017</v>
      </c>
      <c r="B317" t="s">
        <v>39</v>
      </c>
      <c r="C317" s="10" t="s">
        <v>1678</v>
      </c>
      <c r="D317" s="10" t="s">
        <v>1679</v>
      </c>
      <c r="E317" s="10" t="s">
        <v>1682</v>
      </c>
      <c r="F317" t="s">
        <v>536</v>
      </c>
      <c r="G317" s="4">
        <v>264023</v>
      </c>
      <c r="H317" s="4">
        <v>2706951</v>
      </c>
      <c r="I317" s="4">
        <v>2686</v>
      </c>
      <c r="J317" s="4">
        <f>SUM(G317:I317)</f>
        <v>2973660</v>
      </c>
      <c r="K317" t="s">
        <v>1660</v>
      </c>
      <c r="L317" t="s">
        <v>1660</v>
      </c>
      <c r="M317" t="s">
        <v>1049</v>
      </c>
      <c r="N317" t="s">
        <v>1049</v>
      </c>
      <c r="O317" t="s">
        <v>1049</v>
      </c>
      <c r="P317">
        <f>IFERROR(VLOOKUP(F317,Sheet1!$A$2:$B$54,2,FALSE),"")</f>
        <v>4900150</v>
      </c>
    </row>
    <row r="318" spans="1:16" x14ac:dyDescent="0.2">
      <c r="A318" s="1">
        <v>2018</v>
      </c>
      <c r="B318" t="s">
        <v>39</v>
      </c>
      <c r="C318" s="10" t="s">
        <v>1678</v>
      </c>
      <c r="D318" s="10" t="s">
        <v>1679</v>
      </c>
      <c r="E318" s="10" t="s">
        <v>1682</v>
      </c>
      <c r="F318" t="s">
        <v>536</v>
      </c>
      <c r="G318" s="4">
        <v>297855</v>
      </c>
      <c r="H318" s="4">
        <v>2756505</v>
      </c>
      <c r="I318" s="4">
        <v>1108</v>
      </c>
      <c r="J318" s="4">
        <f>SUM(G318:I318)</f>
        <v>3055468</v>
      </c>
      <c r="K318" t="s">
        <v>1660</v>
      </c>
      <c r="L318" t="s">
        <v>1660</v>
      </c>
      <c r="M318" t="s">
        <v>1049</v>
      </c>
      <c r="N318" t="s">
        <v>1049</v>
      </c>
      <c r="O318" t="s">
        <v>1049</v>
      </c>
      <c r="P318">
        <f>IFERROR(VLOOKUP(F318,Sheet1!$A$2:$B$54,2,FALSE),"")</f>
        <v>4900150</v>
      </c>
    </row>
    <row r="319" spans="1:16" x14ac:dyDescent="0.2">
      <c r="A319" s="1">
        <v>2019</v>
      </c>
      <c r="B319" t="s">
        <v>39</v>
      </c>
      <c r="C319" s="10" t="s">
        <v>1678</v>
      </c>
      <c r="D319" s="10" t="s">
        <v>1679</v>
      </c>
      <c r="E319" s="10" t="s">
        <v>1682</v>
      </c>
      <c r="F319" t="s">
        <v>536</v>
      </c>
      <c r="G319" s="4">
        <v>389617</v>
      </c>
      <c r="H319" s="4">
        <v>2904282</v>
      </c>
      <c r="I319" s="4">
        <v>0</v>
      </c>
      <c r="J319" s="4">
        <f>SUM(G319:I319)</f>
        <v>3293899</v>
      </c>
      <c r="K319" t="s">
        <v>1660</v>
      </c>
      <c r="L319" t="s">
        <v>1660</v>
      </c>
      <c r="M319" t="s">
        <v>1049</v>
      </c>
      <c r="N319" t="s">
        <v>1049</v>
      </c>
      <c r="O319" t="s">
        <v>1652</v>
      </c>
      <c r="P319">
        <f>IFERROR(VLOOKUP(F319,Sheet1!$A$2:$B$54,2,FALSE),"")</f>
        <v>4900150</v>
      </c>
    </row>
    <row r="320" spans="1:16" x14ac:dyDescent="0.2">
      <c r="A320" s="1">
        <v>2020</v>
      </c>
      <c r="B320" t="s">
        <v>39</v>
      </c>
      <c r="C320" s="10" t="s">
        <v>1678</v>
      </c>
      <c r="D320" s="10" t="s">
        <v>1679</v>
      </c>
      <c r="E320" s="10" t="s">
        <v>1682</v>
      </c>
      <c r="F320" t="s">
        <v>536</v>
      </c>
      <c r="G320" s="4">
        <v>455815</v>
      </c>
      <c r="H320" s="4">
        <v>2975351</v>
      </c>
      <c r="I320" s="4">
        <v>0</v>
      </c>
      <c r="J320" s="4">
        <f>SUM(G320:I320)</f>
        <v>3431166</v>
      </c>
      <c r="K320" t="s">
        <v>1660</v>
      </c>
      <c r="L320" t="s">
        <v>1660</v>
      </c>
      <c r="M320" t="s">
        <v>1049</v>
      </c>
      <c r="N320" t="s">
        <v>1049</v>
      </c>
      <c r="O320" t="s">
        <v>1049</v>
      </c>
      <c r="P320">
        <f>IFERROR(VLOOKUP(F320,Sheet1!$A$2:$B$54,2,FALSE),"")</f>
        <v>4900150</v>
      </c>
    </row>
    <row r="321" spans="1:16" x14ac:dyDescent="0.2">
      <c r="A321" s="1">
        <v>2021</v>
      </c>
      <c r="B321" t="s">
        <v>39</v>
      </c>
      <c r="C321" s="10" t="s">
        <v>1678</v>
      </c>
      <c r="D321" s="10" t="s">
        <v>1679</v>
      </c>
      <c r="E321" s="10" t="s">
        <v>1682</v>
      </c>
      <c r="F321" t="s">
        <v>536</v>
      </c>
      <c r="G321" s="4">
        <v>523355</v>
      </c>
      <c r="H321" s="4">
        <v>2974036</v>
      </c>
      <c r="I321" s="4">
        <v>0</v>
      </c>
      <c r="J321" s="4">
        <f>SUM(G321:I321)</f>
        <v>3497391</v>
      </c>
      <c r="K321" t="s">
        <v>1660</v>
      </c>
      <c r="L321" t="s">
        <v>1660</v>
      </c>
      <c r="M321" t="s">
        <v>1050</v>
      </c>
      <c r="N321" t="s">
        <v>1050</v>
      </c>
      <c r="O321" t="s">
        <v>1050</v>
      </c>
      <c r="P321">
        <f>IFERROR(VLOOKUP(F321,Sheet1!$A$2:$B$54,2,FALSE),"")</f>
        <v>4900150</v>
      </c>
    </row>
    <row r="322" spans="1:16" x14ac:dyDescent="0.2">
      <c r="A322" s="1">
        <v>2022</v>
      </c>
      <c r="B322" t="s">
        <v>39</v>
      </c>
      <c r="C322" s="10" t="s">
        <v>1678</v>
      </c>
      <c r="D322" s="10" t="s">
        <v>1679</v>
      </c>
      <c r="E322" s="10" t="s">
        <v>1682</v>
      </c>
      <c r="F322" t="s">
        <v>536</v>
      </c>
      <c r="G322" s="4">
        <v>598915</v>
      </c>
      <c r="H322" s="4">
        <v>3063098</v>
      </c>
      <c r="I322" s="4">
        <v>0</v>
      </c>
      <c r="J322" s="4">
        <f>SUM(G322:I322)</f>
        <v>3662013</v>
      </c>
      <c r="K322" t="s">
        <v>1660</v>
      </c>
      <c r="L322" t="s">
        <v>1660</v>
      </c>
      <c r="M322" t="s">
        <v>536</v>
      </c>
      <c r="N322" t="s">
        <v>536</v>
      </c>
      <c r="O322" t="s">
        <v>536</v>
      </c>
      <c r="P322">
        <f>IFERROR(VLOOKUP(F322,Sheet1!$A$2:$B$54,2,FALSE),"")</f>
        <v>4900150</v>
      </c>
    </row>
    <row r="323" spans="1:16" x14ac:dyDescent="0.2">
      <c r="A323" s="1">
        <v>2023</v>
      </c>
      <c r="B323" t="s">
        <v>39</v>
      </c>
      <c r="C323" s="10" t="s">
        <v>1678</v>
      </c>
      <c r="D323" s="10" t="s">
        <v>1679</v>
      </c>
      <c r="E323" s="10" t="s">
        <v>1682</v>
      </c>
      <c r="F323" t="s">
        <v>536</v>
      </c>
      <c r="G323" s="4">
        <v>715323</v>
      </c>
      <c r="H323" s="4">
        <v>3435050</v>
      </c>
      <c r="I323" s="4"/>
      <c r="J323" s="4">
        <f>SUM(G323:I323)</f>
        <v>4150373</v>
      </c>
      <c r="K323" t="s">
        <v>1660</v>
      </c>
      <c r="L323" t="s">
        <v>1659</v>
      </c>
      <c r="M323" t="s">
        <v>536</v>
      </c>
      <c r="N323" t="s">
        <v>536</v>
      </c>
      <c r="O323" t="s">
        <v>1132</v>
      </c>
      <c r="P323">
        <f>IFERROR(VLOOKUP(F323,Sheet1!$A$2:$B$54,2,FALSE),"")</f>
        <v>4900150</v>
      </c>
    </row>
    <row r="324" spans="1:16" x14ac:dyDescent="0.2">
      <c r="A324" s="1">
        <v>2015</v>
      </c>
      <c r="B324" t="s">
        <v>40</v>
      </c>
      <c r="C324" s="10" t="s">
        <v>1678</v>
      </c>
      <c r="D324" s="10" t="s">
        <v>1679</v>
      </c>
      <c r="E324" s="10" t="s">
        <v>1682</v>
      </c>
      <c r="F324" t="s">
        <v>537</v>
      </c>
      <c r="G324" s="4">
        <v>2481</v>
      </c>
      <c r="H324" s="4"/>
      <c r="I324" s="4"/>
      <c r="J324" s="4">
        <f>SUM(G324:I324)</f>
        <v>2481</v>
      </c>
      <c r="K324" t="s">
        <v>1659</v>
      </c>
      <c r="L324" t="s">
        <v>1659</v>
      </c>
      <c r="M324" t="s">
        <v>1051</v>
      </c>
      <c r="N324" t="s">
        <v>1132</v>
      </c>
      <c r="O324" t="s">
        <v>1132</v>
      </c>
      <c r="P324" t="str">
        <f>IFERROR(VLOOKUP(F324,Sheet1!$A$2:$B$54,2,FALSE),"")</f>
        <v/>
      </c>
    </row>
    <row r="325" spans="1:16" x14ac:dyDescent="0.2">
      <c r="A325" s="1">
        <v>2016</v>
      </c>
      <c r="B325" t="s">
        <v>40</v>
      </c>
      <c r="C325" s="10" t="s">
        <v>1678</v>
      </c>
      <c r="D325" s="10" t="s">
        <v>1679</v>
      </c>
      <c r="E325" s="10" t="s">
        <v>1682</v>
      </c>
      <c r="F325" t="s">
        <v>537</v>
      </c>
      <c r="G325" s="4">
        <v>2501</v>
      </c>
      <c r="H325" s="4"/>
      <c r="I325" s="4"/>
      <c r="J325" s="4">
        <f>SUM(G325:I325)</f>
        <v>2501</v>
      </c>
      <c r="K325" t="s">
        <v>1659</v>
      </c>
      <c r="L325" t="s">
        <v>1659</v>
      </c>
      <c r="M325" t="s">
        <v>1051</v>
      </c>
      <c r="N325" t="s">
        <v>1132</v>
      </c>
      <c r="O325" t="s">
        <v>1132</v>
      </c>
      <c r="P325" t="str">
        <f>IFERROR(VLOOKUP(F325,Sheet1!$A$2:$B$54,2,FALSE),"")</f>
        <v/>
      </c>
    </row>
    <row r="326" spans="1:16" x14ac:dyDescent="0.2">
      <c r="A326" s="1">
        <v>2017</v>
      </c>
      <c r="B326" t="s">
        <v>40</v>
      </c>
      <c r="C326" s="10" t="s">
        <v>1678</v>
      </c>
      <c r="D326" s="10" t="s">
        <v>1679</v>
      </c>
      <c r="E326" s="10" t="s">
        <v>1682</v>
      </c>
      <c r="F326" t="s">
        <v>537</v>
      </c>
      <c r="G326" s="4">
        <v>1961</v>
      </c>
      <c r="H326" s="4"/>
      <c r="I326" s="4"/>
      <c r="J326" s="4">
        <f>SUM(G326:I326)</f>
        <v>1961</v>
      </c>
      <c r="K326" t="s">
        <v>1659</v>
      </c>
      <c r="L326" t="s">
        <v>1659</v>
      </c>
      <c r="M326" t="s">
        <v>1051</v>
      </c>
      <c r="N326" t="s">
        <v>1132</v>
      </c>
      <c r="O326" t="s">
        <v>1132</v>
      </c>
      <c r="P326" t="str">
        <f>IFERROR(VLOOKUP(F326,Sheet1!$A$2:$B$54,2,FALSE),"")</f>
        <v/>
      </c>
    </row>
    <row r="327" spans="1:16" x14ac:dyDescent="0.2">
      <c r="A327" s="1">
        <v>2018</v>
      </c>
      <c r="B327" t="s">
        <v>40</v>
      </c>
      <c r="C327" s="10" t="s">
        <v>1678</v>
      </c>
      <c r="D327" s="10" t="s">
        <v>1679</v>
      </c>
      <c r="E327" s="10" t="s">
        <v>1682</v>
      </c>
      <c r="F327" t="s">
        <v>537</v>
      </c>
      <c r="G327" s="4">
        <v>2896</v>
      </c>
      <c r="H327" s="4"/>
      <c r="I327" s="4"/>
      <c r="J327" s="4">
        <f>SUM(G327:I327)</f>
        <v>2896</v>
      </c>
      <c r="K327" t="s">
        <v>1659</v>
      </c>
      <c r="L327" t="s">
        <v>1659</v>
      </c>
      <c r="M327" t="s">
        <v>1051</v>
      </c>
      <c r="N327" t="s">
        <v>1132</v>
      </c>
      <c r="O327" t="s">
        <v>1132</v>
      </c>
      <c r="P327" t="str">
        <f>IFERROR(VLOOKUP(F327,Sheet1!$A$2:$B$54,2,FALSE),"")</f>
        <v/>
      </c>
    </row>
    <row r="328" spans="1:16" x14ac:dyDescent="0.2">
      <c r="A328" s="1">
        <v>2019</v>
      </c>
      <c r="B328" t="s">
        <v>40</v>
      </c>
      <c r="C328" s="10" t="s">
        <v>1678</v>
      </c>
      <c r="D328" s="10" t="s">
        <v>1679</v>
      </c>
      <c r="E328" s="10" t="s">
        <v>1682</v>
      </c>
      <c r="F328" t="s">
        <v>537</v>
      </c>
      <c r="G328" s="4">
        <v>3097</v>
      </c>
      <c r="H328" s="4"/>
      <c r="I328" s="4"/>
      <c r="J328" s="4">
        <f>SUM(G328:I328)</f>
        <v>3097</v>
      </c>
      <c r="K328" t="s">
        <v>1659</v>
      </c>
      <c r="L328" t="s">
        <v>1659</v>
      </c>
      <c r="M328" t="s">
        <v>1051</v>
      </c>
      <c r="N328" t="s">
        <v>1132</v>
      </c>
      <c r="O328" t="s">
        <v>1132</v>
      </c>
      <c r="P328" t="str">
        <f>IFERROR(VLOOKUP(F328,Sheet1!$A$2:$B$54,2,FALSE),"")</f>
        <v/>
      </c>
    </row>
    <row r="329" spans="1:16" x14ac:dyDescent="0.2">
      <c r="A329" s="1">
        <v>2020</v>
      </c>
      <c r="B329" t="s">
        <v>40</v>
      </c>
      <c r="C329" s="10" t="s">
        <v>1678</v>
      </c>
      <c r="D329" s="10" t="s">
        <v>1679</v>
      </c>
      <c r="E329" s="10" t="s">
        <v>1682</v>
      </c>
      <c r="F329" t="s">
        <v>537</v>
      </c>
      <c r="G329" s="4">
        <v>6056</v>
      </c>
      <c r="H329" s="4"/>
      <c r="I329" s="4"/>
      <c r="J329" s="4">
        <f>SUM(G329:I329)</f>
        <v>6056</v>
      </c>
      <c r="K329" t="s">
        <v>1659</v>
      </c>
      <c r="L329" t="s">
        <v>1659</v>
      </c>
      <c r="M329" t="s">
        <v>1051</v>
      </c>
      <c r="N329" t="s">
        <v>1132</v>
      </c>
      <c r="O329" t="s">
        <v>1132</v>
      </c>
      <c r="P329" t="str">
        <f>IFERROR(VLOOKUP(F329,Sheet1!$A$2:$B$54,2,FALSE),"")</f>
        <v/>
      </c>
    </row>
    <row r="330" spans="1:16" x14ac:dyDescent="0.2">
      <c r="A330" s="1">
        <v>2021</v>
      </c>
      <c r="B330" t="s">
        <v>40</v>
      </c>
      <c r="C330" s="10" t="s">
        <v>1678</v>
      </c>
      <c r="D330" s="10" t="s">
        <v>1679</v>
      </c>
      <c r="E330" s="10" t="s">
        <v>1682</v>
      </c>
      <c r="F330" t="s">
        <v>537</v>
      </c>
      <c r="G330" s="4">
        <v>4405</v>
      </c>
      <c r="H330" s="4"/>
      <c r="I330" s="4"/>
      <c r="J330" s="4">
        <f>SUM(G330:I330)</f>
        <v>4405</v>
      </c>
      <c r="K330" t="s">
        <v>1659</v>
      </c>
      <c r="L330" t="s">
        <v>1659</v>
      </c>
      <c r="M330" t="s">
        <v>537</v>
      </c>
      <c r="N330" t="s">
        <v>1132</v>
      </c>
      <c r="O330" t="s">
        <v>1132</v>
      </c>
      <c r="P330" t="str">
        <f>IFERROR(VLOOKUP(F330,Sheet1!$A$2:$B$54,2,FALSE),"")</f>
        <v/>
      </c>
    </row>
    <row r="331" spans="1:16" x14ac:dyDescent="0.2">
      <c r="A331" s="1">
        <v>2022</v>
      </c>
      <c r="B331" t="s">
        <v>40</v>
      </c>
      <c r="C331" s="10" t="s">
        <v>1678</v>
      </c>
      <c r="D331" s="10" t="s">
        <v>1679</v>
      </c>
      <c r="E331" s="10" t="s">
        <v>1682</v>
      </c>
      <c r="F331" t="s">
        <v>537</v>
      </c>
      <c r="G331" s="4">
        <v>6965</v>
      </c>
      <c r="H331" s="4"/>
      <c r="I331" s="4"/>
      <c r="J331" s="4">
        <f>SUM(G331:I331)</f>
        <v>6965</v>
      </c>
      <c r="K331" t="s">
        <v>1659</v>
      </c>
      <c r="L331" t="s">
        <v>1659</v>
      </c>
      <c r="M331" t="s">
        <v>537</v>
      </c>
      <c r="N331" t="s">
        <v>1132</v>
      </c>
      <c r="O331" t="s">
        <v>1132</v>
      </c>
      <c r="P331" t="str">
        <f>IFERROR(VLOOKUP(F331,Sheet1!$A$2:$B$54,2,FALSE),"")</f>
        <v/>
      </c>
    </row>
    <row r="332" spans="1:16" x14ac:dyDescent="0.2">
      <c r="A332" s="1">
        <v>2023</v>
      </c>
      <c r="B332" t="s">
        <v>40</v>
      </c>
      <c r="C332" s="10" t="s">
        <v>1678</v>
      </c>
      <c r="D332" s="10" t="s">
        <v>1679</v>
      </c>
      <c r="E332" s="10" t="s">
        <v>1682</v>
      </c>
      <c r="F332" t="s">
        <v>537</v>
      </c>
      <c r="G332" s="4">
        <v>8511</v>
      </c>
      <c r="H332" s="4"/>
      <c r="I332" s="4"/>
      <c r="J332" s="4">
        <f>SUM(G332:I332)</f>
        <v>8511</v>
      </c>
      <c r="K332" t="s">
        <v>1659</v>
      </c>
      <c r="L332" t="s">
        <v>1659</v>
      </c>
      <c r="M332" t="s">
        <v>537</v>
      </c>
      <c r="N332" t="s">
        <v>1132</v>
      </c>
      <c r="O332" t="s">
        <v>1132</v>
      </c>
      <c r="P332" t="str">
        <f>IFERROR(VLOOKUP(F332,Sheet1!$A$2:$B$54,2,FALSE),"")</f>
        <v/>
      </c>
    </row>
    <row r="333" spans="1:16" x14ac:dyDescent="0.2">
      <c r="A333" s="1">
        <v>2015</v>
      </c>
      <c r="B333" t="s">
        <v>41</v>
      </c>
      <c r="C333" s="10" t="s">
        <v>1678</v>
      </c>
      <c r="D333" s="10" t="s">
        <v>1679</v>
      </c>
      <c r="E333" s="10" t="s">
        <v>1682</v>
      </c>
      <c r="F333" t="s">
        <v>538</v>
      </c>
      <c r="G333" s="4">
        <v>2958</v>
      </c>
      <c r="H333" s="4"/>
      <c r="I333" s="4"/>
      <c r="J333" s="4">
        <f>SUM(G333:I333)</f>
        <v>2958</v>
      </c>
      <c r="K333" t="s">
        <v>1659</v>
      </c>
      <c r="L333" t="s">
        <v>1659</v>
      </c>
      <c r="M333" t="s">
        <v>1052</v>
      </c>
      <c r="N333" t="s">
        <v>1132</v>
      </c>
      <c r="O333" t="s">
        <v>1132</v>
      </c>
      <c r="P333" t="str">
        <f>IFERROR(VLOOKUP(F333,Sheet1!$A$2:$B$54,2,FALSE),"")</f>
        <v/>
      </c>
    </row>
    <row r="334" spans="1:16" x14ac:dyDescent="0.2">
      <c r="A334" s="1">
        <v>2016</v>
      </c>
      <c r="B334" t="s">
        <v>41</v>
      </c>
      <c r="C334" s="10" t="s">
        <v>1678</v>
      </c>
      <c r="D334" s="10" t="s">
        <v>1679</v>
      </c>
      <c r="E334" s="10" t="s">
        <v>1682</v>
      </c>
      <c r="F334" t="s">
        <v>538</v>
      </c>
      <c r="G334" s="4">
        <v>3211</v>
      </c>
      <c r="H334" s="4"/>
      <c r="I334" s="4"/>
      <c r="J334" s="4">
        <f>SUM(G334:I334)</f>
        <v>3211</v>
      </c>
      <c r="K334" t="s">
        <v>1659</v>
      </c>
      <c r="L334" t="s">
        <v>1659</v>
      </c>
      <c r="M334" t="s">
        <v>1052</v>
      </c>
      <c r="N334" t="s">
        <v>1132</v>
      </c>
      <c r="O334" t="s">
        <v>1132</v>
      </c>
      <c r="P334" t="str">
        <f>IFERROR(VLOOKUP(F334,Sheet1!$A$2:$B$54,2,FALSE),"")</f>
        <v/>
      </c>
    </row>
    <row r="335" spans="1:16" x14ac:dyDescent="0.2">
      <c r="A335" s="1">
        <v>2017</v>
      </c>
      <c r="B335" t="s">
        <v>41</v>
      </c>
      <c r="C335" s="10" t="s">
        <v>1678</v>
      </c>
      <c r="D335" s="10" t="s">
        <v>1679</v>
      </c>
      <c r="E335" s="10" t="s">
        <v>1682</v>
      </c>
      <c r="F335" t="s">
        <v>538</v>
      </c>
      <c r="G335" s="4">
        <v>3577</v>
      </c>
      <c r="H335" s="4"/>
      <c r="I335" s="4"/>
      <c r="J335" s="4">
        <f>SUM(G335:I335)</f>
        <v>3577</v>
      </c>
      <c r="K335" t="s">
        <v>1659</v>
      </c>
      <c r="L335" t="s">
        <v>1659</v>
      </c>
      <c r="M335" t="s">
        <v>1053</v>
      </c>
      <c r="N335" t="s">
        <v>1132</v>
      </c>
      <c r="O335" t="s">
        <v>1132</v>
      </c>
      <c r="P335" t="str">
        <f>IFERROR(VLOOKUP(F335,Sheet1!$A$2:$B$54,2,FALSE),"")</f>
        <v/>
      </c>
    </row>
    <row r="336" spans="1:16" x14ac:dyDescent="0.2">
      <c r="A336" s="1">
        <v>2018</v>
      </c>
      <c r="B336" t="s">
        <v>41</v>
      </c>
      <c r="C336" s="10" t="s">
        <v>1678</v>
      </c>
      <c r="D336" s="10" t="s">
        <v>1679</v>
      </c>
      <c r="E336" s="10" t="s">
        <v>1682</v>
      </c>
      <c r="F336" t="s">
        <v>538</v>
      </c>
      <c r="G336" s="4">
        <v>5895</v>
      </c>
      <c r="H336" s="4"/>
      <c r="I336" s="4"/>
      <c r="J336" s="4">
        <f>SUM(G336:I336)</f>
        <v>5895</v>
      </c>
      <c r="K336" t="s">
        <v>1659</v>
      </c>
      <c r="L336" t="s">
        <v>1659</v>
      </c>
      <c r="M336" t="s">
        <v>1053</v>
      </c>
      <c r="N336" t="s">
        <v>1132</v>
      </c>
      <c r="O336" t="s">
        <v>1132</v>
      </c>
      <c r="P336" t="str">
        <f>IFERROR(VLOOKUP(F336,Sheet1!$A$2:$B$54,2,FALSE),"")</f>
        <v/>
      </c>
    </row>
    <row r="337" spans="1:16" x14ac:dyDescent="0.2">
      <c r="A337" s="1">
        <v>2019</v>
      </c>
      <c r="B337" t="s">
        <v>41</v>
      </c>
      <c r="C337" s="10" t="s">
        <v>1678</v>
      </c>
      <c r="D337" s="10" t="s">
        <v>1679</v>
      </c>
      <c r="E337" s="10" t="s">
        <v>1682</v>
      </c>
      <c r="F337" t="s">
        <v>538</v>
      </c>
      <c r="G337" s="4">
        <v>13981</v>
      </c>
      <c r="H337" s="4"/>
      <c r="I337" s="4"/>
      <c r="J337" s="4">
        <f>SUM(G337:I337)</f>
        <v>13981</v>
      </c>
      <c r="K337" t="s">
        <v>1659</v>
      </c>
      <c r="L337" t="s">
        <v>1659</v>
      </c>
      <c r="M337" t="s">
        <v>1053</v>
      </c>
      <c r="N337" t="s">
        <v>1132</v>
      </c>
      <c r="O337" t="s">
        <v>1132</v>
      </c>
      <c r="P337" t="str">
        <f>IFERROR(VLOOKUP(F337,Sheet1!$A$2:$B$54,2,FALSE),"")</f>
        <v/>
      </c>
    </row>
    <row r="338" spans="1:16" x14ac:dyDescent="0.2">
      <c r="A338" s="1">
        <v>2020</v>
      </c>
      <c r="B338" t="s">
        <v>41</v>
      </c>
      <c r="C338" s="10" t="s">
        <v>1678</v>
      </c>
      <c r="D338" s="10" t="s">
        <v>1679</v>
      </c>
      <c r="E338" s="10" t="s">
        <v>1682</v>
      </c>
      <c r="F338" t="s">
        <v>538</v>
      </c>
      <c r="G338" s="4">
        <v>17419</v>
      </c>
      <c r="H338" s="4"/>
      <c r="I338" s="4"/>
      <c r="J338" s="4">
        <f>SUM(G338:I338)</f>
        <v>17419</v>
      </c>
      <c r="K338" t="s">
        <v>1659</v>
      </c>
      <c r="L338" t="s">
        <v>1659</v>
      </c>
      <c r="M338" t="s">
        <v>1053</v>
      </c>
      <c r="N338" t="s">
        <v>1132</v>
      </c>
      <c r="O338" t="s">
        <v>1132</v>
      </c>
      <c r="P338" t="str">
        <f>IFERROR(VLOOKUP(F338,Sheet1!$A$2:$B$54,2,FALSE),"")</f>
        <v/>
      </c>
    </row>
    <row r="339" spans="1:16" x14ac:dyDescent="0.2">
      <c r="A339" s="1">
        <v>2021</v>
      </c>
      <c r="B339" t="s">
        <v>41</v>
      </c>
      <c r="C339" s="10" t="s">
        <v>1678</v>
      </c>
      <c r="D339" s="10" t="s">
        <v>1679</v>
      </c>
      <c r="E339" s="10" t="s">
        <v>1682</v>
      </c>
      <c r="F339" t="s">
        <v>538</v>
      </c>
      <c r="G339" s="4">
        <v>18762</v>
      </c>
      <c r="H339" s="4"/>
      <c r="I339" s="4"/>
      <c r="J339" s="4">
        <f>SUM(G339:I339)</f>
        <v>18762</v>
      </c>
      <c r="K339" t="s">
        <v>1659</v>
      </c>
      <c r="L339" t="s">
        <v>1659</v>
      </c>
      <c r="M339" t="s">
        <v>538</v>
      </c>
      <c r="N339" t="s">
        <v>1132</v>
      </c>
      <c r="O339" t="s">
        <v>1132</v>
      </c>
      <c r="P339" t="str">
        <f>IFERROR(VLOOKUP(F339,Sheet1!$A$2:$B$54,2,FALSE),"")</f>
        <v/>
      </c>
    </row>
    <row r="340" spans="1:16" x14ac:dyDescent="0.2">
      <c r="A340" s="1">
        <v>2022</v>
      </c>
      <c r="B340" t="s">
        <v>41</v>
      </c>
      <c r="C340" s="10" t="s">
        <v>1678</v>
      </c>
      <c r="D340" s="10" t="s">
        <v>1679</v>
      </c>
      <c r="E340" s="10" t="s">
        <v>1682</v>
      </c>
      <c r="F340" t="s">
        <v>538</v>
      </c>
      <c r="G340" s="4">
        <v>25243</v>
      </c>
      <c r="H340" s="4"/>
      <c r="I340" s="4"/>
      <c r="J340" s="4">
        <f>SUM(G340:I340)</f>
        <v>25243</v>
      </c>
      <c r="K340" t="s">
        <v>1659</v>
      </c>
      <c r="L340" t="s">
        <v>1659</v>
      </c>
      <c r="M340" t="s">
        <v>538</v>
      </c>
      <c r="N340" t="s">
        <v>1132</v>
      </c>
      <c r="O340" t="s">
        <v>1132</v>
      </c>
      <c r="P340" t="str">
        <f>IFERROR(VLOOKUP(F340,Sheet1!$A$2:$B$54,2,FALSE),"")</f>
        <v/>
      </c>
    </row>
    <row r="341" spans="1:16" x14ac:dyDescent="0.2">
      <c r="A341" s="1">
        <v>2023</v>
      </c>
      <c r="B341" t="s">
        <v>41</v>
      </c>
      <c r="C341" s="10" t="s">
        <v>1678</v>
      </c>
      <c r="D341" s="10" t="s">
        <v>1679</v>
      </c>
      <c r="E341" s="10" t="s">
        <v>1682</v>
      </c>
      <c r="F341" t="s">
        <v>538</v>
      </c>
      <c r="G341" s="4">
        <v>32688</v>
      </c>
      <c r="H341" s="4"/>
      <c r="I341" s="4"/>
      <c r="J341" s="4">
        <f>SUM(G341:I341)</f>
        <v>32688</v>
      </c>
      <c r="K341" t="s">
        <v>1659</v>
      </c>
      <c r="L341" t="s">
        <v>1659</v>
      </c>
      <c r="M341" t="s">
        <v>538</v>
      </c>
      <c r="N341" t="s">
        <v>1132</v>
      </c>
      <c r="O341" t="s">
        <v>1132</v>
      </c>
      <c r="P341" t="str">
        <f>IFERROR(VLOOKUP(F341,Sheet1!$A$2:$B$54,2,FALSE),"")</f>
        <v/>
      </c>
    </row>
    <row r="342" spans="1:16" x14ac:dyDescent="0.2">
      <c r="A342" s="1">
        <v>2015</v>
      </c>
      <c r="B342" t="s">
        <v>42</v>
      </c>
      <c r="C342" s="10" t="s">
        <v>1678</v>
      </c>
      <c r="D342" s="10" t="s">
        <v>1679</v>
      </c>
      <c r="E342" s="10" t="s">
        <v>1682</v>
      </c>
      <c r="F342" t="s">
        <v>539</v>
      </c>
      <c r="G342" s="4">
        <v>54369</v>
      </c>
      <c r="H342" s="4"/>
      <c r="I342" s="4"/>
      <c r="J342" s="4">
        <f>SUM(G342:I342)</f>
        <v>54369</v>
      </c>
      <c r="K342" t="s">
        <v>1659</v>
      </c>
      <c r="L342" t="s">
        <v>1659</v>
      </c>
      <c r="M342" t="s">
        <v>1054</v>
      </c>
      <c r="N342" t="s">
        <v>1132</v>
      </c>
      <c r="O342" t="s">
        <v>1132</v>
      </c>
      <c r="P342" t="str">
        <f>IFERROR(VLOOKUP(F342,Sheet1!$A$2:$B$54,2,FALSE),"")</f>
        <v/>
      </c>
    </row>
    <row r="343" spans="1:16" x14ac:dyDescent="0.2">
      <c r="A343" s="1">
        <v>2016</v>
      </c>
      <c r="B343" t="s">
        <v>42</v>
      </c>
      <c r="C343" s="10" t="s">
        <v>1678</v>
      </c>
      <c r="D343" s="10" t="s">
        <v>1679</v>
      </c>
      <c r="E343" s="10" t="s">
        <v>1682</v>
      </c>
      <c r="F343" t="s">
        <v>539</v>
      </c>
      <c r="G343" s="4">
        <v>64284</v>
      </c>
      <c r="H343" s="4"/>
      <c r="I343" s="4"/>
      <c r="J343" s="4">
        <f>SUM(G343:I343)</f>
        <v>64284</v>
      </c>
      <c r="K343" t="s">
        <v>1659</v>
      </c>
      <c r="L343" t="s">
        <v>1659</v>
      </c>
      <c r="M343" t="s">
        <v>1054</v>
      </c>
      <c r="N343" t="s">
        <v>1132</v>
      </c>
      <c r="O343" t="s">
        <v>1132</v>
      </c>
      <c r="P343" t="str">
        <f>IFERROR(VLOOKUP(F343,Sheet1!$A$2:$B$54,2,FALSE),"")</f>
        <v/>
      </c>
    </row>
    <row r="344" spans="1:16" x14ac:dyDescent="0.2">
      <c r="A344" s="1">
        <v>2017</v>
      </c>
      <c r="B344" t="s">
        <v>42</v>
      </c>
      <c r="C344" s="10" t="s">
        <v>1678</v>
      </c>
      <c r="D344" s="10" t="s">
        <v>1679</v>
      </c>
      <c r="E344" s="10" t="s">
        <v>1682</v>
      </c>
      <c r="F344" t="s">
        <v>539</v>
      </c>
      <c r="G344" s="4">
        <v>88381</v>
      </c>
      <c r="H344" s="4"/>
      <c r="I344" s="4"/>
      <c r="J344" s="4">
        <f>SUM(G344:I344)</f>
        <v>88381</v>
      </c>
      <c r="K344" t="s">
        <v>1659</v>
      </c>
      <c r="L344" t="s">
        <v>1659</v>
      </c>
      <c r="M344" t="s">
        <v>1054</v>
      </c>
      <c r="N344" t="s">
        <v>1132</v>
      </c>
      <c r="O344" t="s">
        <v>1132</v>
      </c>
      <c r="P344" t="str">
        <f>IFERROR(VLOOKUP(F344,Sheet1!$A$2:$B$54,2,FALSE),"")</f>
        <v/>
      </c>
    </row>
    <row r="345" spans="1:16" x14ac:dyDescent="0.2">
      <c r="A345" s="1">
        <v>2018</v>
      </c>
      <c r="B345" t="s">
        <v>42</v>
      </c>
      <c r="C345" s="10" t="s">
        <v>1678</v>
      </c>
      <c r="D345" s="10" t="s">
        <v>1679</v>
      </c>
      <c r="E345" s="10" t="s">
        <v>1682</v>
      </c>
      <c r="F345" t="s">
        <v>539</v>
      </c>
      <c r="G345" s="4">
        <v>109301</v>
      </c>
      <c r="H345" s="4"/>
      <c r="I345" s="4"/>
      <c r="J345" s="4">
        <f>SUM(G345:I345)</f>
        <v>109301</v>
      </c>
      <c r="K345" t="s">
        <v>1659</v>
      </c>
      <c r="L345" t="s">
        <v>1659</v>
      </c>
      <c r="M345" t="s">
        <v>1054</v>
      </c>
      <c r="N345" t="s">
        <v>1132</v>
      </c>
      <c r="O345" t="s">
        <v>1132</v>
      </c>
      <c r="P345" t="str">
        <f>IFERROR(VLOOKUP(F345,Sheet1!$A$2:$B$54,2,FALSE),"")</f>
        <v/>
      </c>
    </row>
    <row r="346" spans="1:16" x14ac:dyDescent="0.2">
      <c r="A346" s="1">
        <v>2019</v>
      </c>
      <c r="B346" t="s">
        <v>42</v>
      </c>
      <c r="C346" s="10" t="s">
        <v>1678</v>
      </c>
      <c r="D346" s="10" t="s">
        <v>1679</v>
      </c>
      <c r="E346" s="10" t="s">
        <v>1682</v>
      </c>
      <c r="F346" t="s">
        <v>539</v>
      </c>
      <c r="G346" s="4">
        <v>141458</v>
      </c>
      <c r="H346" s="4"/>
      <c r="I346" s="4"/>
      <c r="J346" s="4">
        <f>SUM(G346:I346)</f>
        <v>141458</v>
      </c>
      <c r="K346" t="s">
        <v>1659</v>
      </c>
      <c r="L346" t="s">
        <v>1659</v>
      </c>
      <c r="M346" t="s">
        <v>1054</v>
      </c>
      <c r="N346" t="s">
        <v>1132</v>
      </c>
      <c r="O346" t="s">
        <v>1132</v>
      </c>
      <c r="P346" t="str">
        <f>IFERROR(VLOOKUP(F346,Sheet1!$A$2:$B$54,2,FALSE),"")</f>
        <v/>
      </c>
    </row>
    <row r="347" spans="1:16" x14ac:dyDescent="0.2">
      <c r="A347" s="1">
        <v>2020</v>
      </c>
      <c r="B347" t="s">
        <v>42</v>
      </c>
      <c r="C347" s="10" t="s">
        <v>1678</v>
      </c>
      <c r="D347" s="10" t="s">
        <v>1679</v>
      </c>
      <c r="E347" s="10" t="s">
        <v>1682</v>
      </c>
      <c r="F347" t="s">
        <v>539</v>
      </c>
      <c r="G347" s="4">
        <v>162572</v>
      </c>
      <c r="H347" s="4"/>
      <c r="I347" s="4"/>
      <c r="J347" s="4">
        <f>SUM(G347:I347)</f>
        <v>162572</v>
      </c>
      <c r="K347" t="s">
        <v>1659</v>
      </c>
      <c r="L347" t="s">
        <v>1659</v>
      </c>
      <c r="M347" t="s">
        <v>1054</v>
      </c>
      <c r="N347" t="s">
        <v>1132</v>
      </c>
      <c r="O347" t="s">
        <v>1132</v>
      </c>
      <c r="P347" t="str">
        <f>IFERROR(VLOOKUP(F347,Sheet1!$A$2:$B$54,2,FALSE),"")</f>
        <v/>
      </c>
    </row>
    <row r="348" spans="1:16" x14ac:dyDescent="0.2">
      <c r="A348" s="1">
        <v>2021</v>
      </c>
      <c r="B348" t="s">
        <v>42</v>
      </c>
      <c r="C348" s="10" t="s">
        <v>1678</v>
      </c>
      <c r="D348" s="10" t="s">
        <v>1679</v>
      </c>
      <c r="E348" s="10" t="s">
        <v>1682</v>
      </c>
      <c r="F348" t="s">
        <v>539</v>
      </c>
      <c r="G348" s="4">
        <v>205664</v>
      </c>
      <c r="H348" s="4"/>
      <c r="I348" s="4"/>
      <c r="J348" s="4">
        <f>SUM(G348:I348)</f>
        <v>205664</v>
      </c>
      <c r="K348" t="s">
        <v>1659</v>
      </c>
      <c r="L348" t="s">
        <v>1659</v>
      </c>
      <c r="M348" t="s">
        <v>539</v>
      </c>
      <c r="N348" t="s">
        <v>1132</v>
      </c>
      <c r="O348" t="s">
        <v>1132</v>
      </c>
      <c r="P348" t="str">
        <f>IFERROR(VLOOKUP(F348,Sheet1!$A$2:$B$54,2,FALSE),"")</f>
        <v/>
      </c>
    </row>
    <row r="349" spans="1:16" x14ac:dyDescent="0.2">
      <c r="A349" s="1">
        <v>2022</v>
      </c>
      <c r="B349" t="s">
        <v>42</v>
      </c>
      <c r="C349" s="10" t="s">
        <v>1678</v>
      </c>
      <c r="D349" s="10" t="s">
        <v>1679</v>
      </c>
      <c r="E349" s="10" t="s">
        <v>1682</v>
      </c>
      <c r="F349" t="s">
        <v>539</v>
      </c>
      <c r="G349" s="4">
        <v>267995</v>
      </c>
      <c r="H349" s="4"/>
      <c r="I349" s="4"/>
      <c r="J349" s="4">
        <f>SUM(G349:I349)</f>
        <v>267995</v>
      </c>
      <c r="K349" t="s">
        <v>1659</v>
      </c>
      <c r="L349" t="s">
        <v>1659</v>
      </c>
      <c r="M349" t="s">
        <v>539</v>
      </c>
      <c r="N349" t="s">
        <v>1132</v>
      </c>
      <c r="O349" t="s">
        <v>1132</v>
      </c>
      <c r="P349" t="str">
        <f>IFERROR(VLOOKUP(F349,Sheet1!$A$2:$B$54,2,FALSE),"")</f>
        <v/>
      </c>
    </row>
    <row r="350" spans="1:16" x14ac:dyDescent="0.2">
      <c r="A350" s="1">
        <v>2023</v>
      </c>
      <c r="B350" t="s">
        <v>42</v>
      </c>
      <c r="C350" s="10" t="s">
        <v>1678</v>
      </c>
      <c r="D350" s="10" t="s">
        <v>1679</v>
      </c>
      <c r="E350" s="10" t="s">
        <v>1682</v>
      </c>
      <c r="F350" t="s">
        <v>539</v>
      </c>
      <c r="G350" s="4">
        <v>292586</v>
      </c>
      <c r="H350" s="4"/>
      <c r="I350" s="4"/>
      <c r="J350" s="4">
        <f>SUM(G350:I350)</f>
        <v>292586</v>
      </c>
      <c r="K350" t="s">
        <v>1659</v>
      </c>
      <c r="L350" t="s">
        <v>1659</v>
      </c>
      <c r="M350" t="s">
        <v>539</v>
      </c>
      <c r="N350" t="s">
        <v>1132</v>
      </c>
      <c r="O350" t="s">
        <v>1132</v>
      </c>
      <c r="P350" t="str">
        <f>IFERROR(VLOOKUP(F350,Sheet1!$A$2:$B$54,2,FALSE),"")</f>
        <v/>
      </c>
    </row>
    <row r="351" spans="1:16" x14ac:dyDescent="0.2">
      <c r="A351" s="1">
        <v>2015</v>
      </c>
      <c r="B351" t="s">
        <v>43</v>
      </c>
      <c r="C351" s="10" t="s">
        <v>1678</v>
      </c>
      <c r="D351" s="10" t="s">
        <v>1679</v>
      </c>
      <c r="E351" s="10" t="s">
        <v>1682</v>
      </c>
      <c r="F351" t="s">
        <v>540</v>
      </c>
      <c r="G351" s="4">
        <v>4439</v>
      </c>
      <c r="H351" s="4"/>
      <c r="I351" s="4"/>
      <c r="J351" s="4">
        <f>SUM(G351:I351)</f>
        <v>4439</v>
      </c>
      <c r="K351" t="s">
        <v>1659</v>
      </c>
      <c r="L351" t="s">
        <v>1659</v>
      </c>
      <c r="M351" t="s">
        <v>1055</v>
      </c>
      <c r="N351" t="s">
        <v>1132</v>
      </c>
      <c r="O351" t="s">
        <v>1132</v>
      </c>
      <c r="P351" t="str">
        <f>IFERROR(VLOOKUP(F351,Sheet1!$A$2:$B$54,2,FALSE),"")</f>
        <v/>
      </c>
    </row>
    <row r="352" spans="1:16" x14ac:dyDescent="0.2">
      <c r="A352" s="1">
        <v>2016</v>
      </c>
      <c r="B352" t="s">
        <v>43</v>
      </c>
      <c r="C352" s="10" t="s">
        <v>1678</v>
      </c>
      <c r="D352" s="10" t="s">
        <v>1679</v>
      </c>
      <c r="E352" s="10" t="s">
        <v>1682</v>
      </c>
      <c r="F352" t="s">
        <v>540</v>
      </c>
      <c r="G352" s="4">
        <v>4826</v>
      </c>
      <c r="H352" s="4"/>
      <c r="I352" s="4"/>
      <c r="J352" s="4">
        <f>SUM(G352:I352)</f>
        <v>4826</v>
      </c>
      <c r="K352" t="s">
        <v>1659</v>
      </c>
      <c r="L352" t="s">
        <v>1659</v>
      </c>
      <c r="M352" t="s">
        <v>1055</v>
      </c>
      <c r="N352" t="s">
        <v>1132</v>
      </c>
      <c r="O352" t="s">
        <v>1132</v>
      </c>
      <c r="P352" t="str">
        <f>IFERROR(VLOOKUP(F352,Sheet1!$A$2:$B$54,2,FALSE),"")</f>
        <v/>
      </c>
    </row>
    <row r="353" spans="1:16" x14ac:dyDescent="0.2">
      <c r="A353" s="1">
        <v>2017</v>
      </c>
      <c r="B353" t="s">
        <v>43</v>
      </c>
      <c r="C353" s="10" t="s">
        <v>1678</v>
      </c>
      <c r="D353" s="10" t="s">
        <v>1679</v>
      </c>
      <c r="E353" s="10" t="s">
        <v>1682</v>
      </c>
      <c r="F353" t="s">
        <v>540</v>
      </c>
      <c r="G353" s="4">
        <v>5214</v>
      </c>
      <c r="H353" s="4"/>
      <c r="I353" s="4"/>
      <c r="J353" s="4">
        <f>SUM(G353:I353)</f>
        <v>5214</v>
      </c>
      <c r="K353" t="s">
        <v>1659</v>
      </c>
      <c r="L353" t="s">
        <v>1659</v>
      </c>
      <c r="M353" t="s">
        <v>1056</v>
      </c>
      <c r="N353" t="s">
        <v>1132</v>
      </c>
      <c r="O353" t="s">
        <v>1132</v>
      </c>
      <c r="P353" t="str">
        <f>IFERROR(VLOOKUP(F353,Sheet1!$A$2:$B$54,2,FALSE),"")</f>
        <v/>
      </c>
    </row>
    <row r="354" spans="1:16" x14ac:dyDescent="0.2">
      <c r="A354" s="1">
        <v>2018</v>
      </c>
      <c r="B354" t="s">
        <v>43</v>
      </c>
      <c r="C354" s="10" t="s">
        <v>1678</v>
      </c>
      <c r="D354" s="10" t="s">
        <v>1679</v>
      </c>
      <c r="E354" s="10" t="s">
        <v>1682</v>
      </c>
      <c r="F354" t="s">
        <v>540</v>
      </c>
      <c r="G354" s="4">
        <v>5804</v>
      </c>
      <c r="H354" s="4"/>
      <c r="I354" s="4"/>
      <c r="J354" s="4">
        <f>SUM(G354:I354)</f>
        <v>5804</v>
      </c>
      <c r="K354" t="s">
        <v>1659</v>
      </c>
      <c r="L354" t="s">
        <v>1659</v>
      </c>
      <c r="M354" t="s">
        <v>1056</v>
      </c>
      <c r="N354" t="s">
        <v>1132</v>
      </c>
      <c r="O354" t="s">
        <v>1132</v>
      </c>
      <c r="P354" t="str">
        <f>IFERROR(VLOOKUP(F354,Sheet1!$A$2:$B$54,2,FALSE),"")</f>
        <v/>
      </c>
    </row>
    <row r="355" spans="1:16" x14ac:dyDescent="0.2">
      <c r="A355" s="1">
        <v>2019</v>
      </c>
      <c r="B355" t="s">
        <v>43</v>
      </c>
      <c r="C355" s="10" t="s">
        <v>1678</v>
      </c>
      <c r="D355" s="10" t="s">
        <v>1679</v>
      </c>
      <c r="E355" s="10" t="s">
        <v>1682</v>
      </c>
      <c r="F355" t="s">
        <v>540</v>
      </c>
      <c r="G355" s="4">
        <v>6273</v>
      </c>
      <c r="H355" s="4"/>
      <c r="I355" s="4"/>
      <c r="J355" s="4">
        <f>SUM(G355:I355)</f>
        <v>6273</v>
      </c>
      <c r="K355" t="s">
        <v>1659</v>
      </c>
      <c r="L355" t="s">
        <v>1659</v>
      </c>
      <c r="M355" t="s">
        <v>1056</v>
      </c>
      <c r="N355" t="s">
        <v>1132</v>
      </c>
      <c r="O355" t="s">
        <v>1132</v>
      </c>
      <c r="P355" t="str">
        <f>IFERROR(VLOOKUP(F355,Sheet1!$A$2:$B$54,2,FALSE),"")</f>
        <v/>
      </c>
    </row>
    <row r="356" spans="1:16" x14ac:dyDescent="0.2">
      <c r="A356" s="1">
        <v>2020</v>
      </c>
      <c r="B356" t="s">
        <v>43</v>
      </c>
      <c r="C356" s="10" t="s">
        <v>1678</v>
      </c>
      <c r="D356" s="10" t="s">
        <v>1679</v>
      </c>
      <c r="E356" s="10" t="s">
        <v>1682</v>
      </c>
      <c r="F356" t="s">
        <v>540</v>
      </c>
      <c r="G356" s="4">
        <v>6995</v>
      </c>
      <c r="H356" s="4"/>
      <c r="I356" s="4"/>
      <c r="J356" s="4">
        <f>SUM(G356:I356)</f>
        <v>6995</v>
      </c>
      <c r="K356" t="s">
        <v>1659</v>
      </c>
      <c r="L356" t="s">
        <v>1659</v>
      </c>
      <c r="M356" t="s">
        <v>1056</v>
      </c>
      <c r="N356" t="s">
        <v>1132</v>
      </c>
      <c r="O356" t="s">
        <v>1132</v>
      </c>
      <c r="P356" t="str">
        <f>IFERROR(VLOOKUP(F356,Sheet1!$A$2:$B$54,2,FALSE),"")</f>
        <v/>
      </c>
    </row>
    <row r="357" spans="1:16" x14ac:dyDescent="0.2">
      <c r="A357" s="1">
        <v>2021</v>
      </c>
      <c r="B357" t="s">
        <v>43</v>
      </c>
      <c r="C357" s="10" t="s">
        <v>1678</v>
      </c>
      <c r="D357" s="10" t="s">
        <v>1679</v>
      </c>
      <c r="E357" s="10" t="s">
        <v>1682</v>
      </c>
      <c r="F357" t="s">
        <v>540</v>
      </c>
      <c r="G357" s="4">
        <v>8078</v>
      </c>
      <c r="H357" s="4"/>
      <c r="I357" s="4"/>
      <c r="J357" s="4">
        <f>SUM(G357:I357)</f>
        <v>8078</v>
      </c>
      <c r="K357" t="s">
        <v>1659</v>
      </c>
      <c r="L357" t="s">
        <v>1659</v>
      </c>
      <c r="M357" t="s">
        <v>540</v>
      </c>
      <c r="N357" t="s">
        <v>1132</v>
      </c>
      <c r="O357" t="s">
        <v>1132</v>
      </c>
      <c r="P357" t="str">
        <f>IFERROR(VLOOKUP(F357,Sheet1!$A$2:$B$54,2,FALSE),"")</f>
        <v/>
      </c>
    </row>
    <row r="358" spans="1:16" x14ac:dyDescent="0.2">
      <c r="A358" s="1">
        <v>2022</v>
      </c>
      <c r="B358" t="s">
        <v>43</v>
      </c>
      <c r="C358" s="10" t="s">
        <v>1678</v>
      </c>
      <c r="D358" s="10" t="s">
        <v>1679</v>
      </c>
      <c r="E358" s="10" t="s">
        <v>1682</v>
      </c>
      <c r="F358" t="s">
        <v>540</v>
      </c>
      <c r="G358" s="4">
        <v>9519</v>
      </c>
      <c r="H358" s="4"/>
      <c r="I358" s="4"/>
      <c r="J358" s="4">
        <f>SUM(G358:I358)</f>
        <v>9519</v>
      </c>
      <c r="K358" t="s">
        <v>1659</v>
      </c>
      <c r="L358" t="s">
        <v>1659</v>
      </c>
      <c r="M358" t="s">
        <v>540</v>
      </c>
      <c r="N358" t="s">
        <v>1132</v>
      </c>
      <c r="O358" t="s">
        <v>1132</v>
      </c>
      <c r="P358" t="str">
        <f>IFERROR(VLOOKUP(F358,Sheet1!$A$2:$B$54,2,FALSE),"")</f>
        <v/>
      </c>
    </row>
    <row r="359" spans="1:16" x14ac:dyDescent="0.2">
      <c r="A359" s="1">
        <v>2023</v>
      </c>
      <c r="B359" t="s">
        <v>43</v>
      </c>
      <c r="C359" s="10" t="s">
        <v>1678</v>
      </c>
      <c r="D359" s="10" t="s">
        <v>1679</v>
      </c>
      <c r="E359" s="10" t="s">
        <v>1682</v>
      </c>
      <c r="F359" t="s">
        <v>540</v>
      </c>
      <c r="G359" s="4">
        <v>10804</v>
      </c>
      <c r="H359" s="4"/>
      <c r="I359" s="4"/>
      <c r="J359" s="4">
        <f>SUM(G359:I359)</f>
        <v>10804</v>
      </c>
      <c r="K359" t="s">
        <v>1659</v>
      </c>
      <c r="L359" t="s">
        <v>1659</v>
      </c>
      <c r="M359" t="s">
        <v>540</v>
      </c>
      <c r="N359" t="s">
        <v>1132</v>
      </c>
      <c r="O359" t="s">
        <v>1132</v>
      </c>
      <c r="P359" t="str">
        <f>IFERROR(VLOOKUP(F359,Sheet1!$A$2:$B$54,2,FALSE),"")</f>
        <v/>
      </c>
    </row>
    <row r="360" spans="1:16" x14ac:dyDescent="0.2">
      <c r="A360" s="1">
        <v>2018</v>
      </c>
      <c r="B360" t="s">
        <v>44</v>
      </c>
      <c r="C360" s="10" t="s">
        <v>1678</v>
      </c>
      <c r="D360" s="10" t="s">
        <v>1679</v>
      </c>
      <c r="E360" s="10" t="s">
        <v>1682</v>
      </c>
      <c r="F360" t="s">
        <v>541</v>
      </c>
      <c r="G360" s="4">
        <v>2289</v>
      </c>
      <c r="H360" s="4"/>
      <c r="I360" s="4"/>
      <c r="J360" s="4">
        <f>SUM(G360:I360)</f>
        <v>2289</v>
      </c>
      <c r="K360" t="s">
        <v>1659</v>
      </c>
      <c r="L360" t="s">
        <v>1659</v>
      </c>
      <c r="M360" t="s">
        <v>1057</v>
      </c>
      <c r="N360" t="s">
        <v>1132</v>
      </c>
      <c r="O360" t="s">
        <v>1132</v>
      </c>
      <c r="P360" t="str">
        <f>IFERROR(VLOOKUP(F360,Sheet1!$A$2:$B$54,2,FALSE),"")</f>
        <v/>
      </c>
    </row>
    <row r="361" spans="1:16" x14ac:dyDescent="0.2">
      <c r="A361" s="1">
        <v>2019</v>
      </c>
      <c r="B361" t="s">
        <v>44</v>
      </c>
      <c r="C361" s="10" t="s">
        <v>1678</v>
      </c>
      <c r="D361" s="10" t="s">
        <v>1679</v>
      </c>
      <c r="E361" s="10" t="s">
        <v>1682</v>
      </c>
      <c r="F361" t="s">
        <v>541</v>
      </c>
      <c r="G361" s="4">
        <v>4671</v>
      </c>
      <c r="H361" s="4"/>
      <c r="I361" s="4"/>
      <c r="J361" s="4">
        <f>SUM(G361:I361)</f>
        <v>4671</v>
      </c>
      <c r="K361" t="s">
        <v>1659</v>
      </c>
      <c r="L361" t="s">
        <v>1659</v>
      </c>
      <c r="M361" t="s">
        <v>1058</v>
      </c>
      <c r="N361" t="s">
        <v>1132</v>
      </c>
      <c r="O361" t="s">
        <v>1132</v>
      </c>
      <c r="P361" t="str">
        <f>IFERROR(VLOOKUP(F361,Sheet1!$A$2:$B$54,2,FALSE),"")</f>
        <v/>
      </c>
    </row>
    <row r="362" spans="1:16" x14ac:dyDescent="0.2">
      <c r="A362" s="1">
        <v>2020</v>
      </c>
      <c r="B362" t="s">
        <v>44</v>
      </c>
      <c r="C362" s="10" t="s">
        <v>1678</v>
      </c>
      <c r="D362" s="10" t="s">
        <v>1679</v>
      </c>
      <c r="E362" s="10" t="s">
        <v>1682</v>
      </c>
      <c r="F362" t="s">
        <v>541</v>
      </c>
      <c r="G362" s="4">
        <v>5710</v>
      </c>
      <c r="H362" s="4"/>
      <c r="I362" s="4"/>
      <c r="J362" s="4">
        <f>SUM(G362:I362)</f>
        <v>5710</v>
      </c>
      <c r="K362" t="s">
        <v>1659</v>
      </c>
      <c r="L362" t="s">
        <v>1659</v>
      </c>
      <c r="M362" t="s">
        <v>1057</v>
      </c>
      <c r="N362" t="s">
        <v>1132</v>
      </c>
      <c r="O362" t="s">
        <v>1132</v>
      </c>
      <c r="P362" t="str">
        <f>IFERROR(VLOOKUP(F362,Sheet1!$A$2:$B$54,2,FALSE),"")</f>
        <v/>
      </c>
    </row>
    <row r="363" spans="1:16" x14ac:dyDescent="0.2">
      <c r="A363" s="1">
        <v>2021</v>
      </c>
      <c r="B363" t="s">
        <v>44</v>
      </c>
      <c r="C363" s="10" t="s">
        <v>1678</v>
      </c>
      <c r="D363" s="10" t="s">
        <v>1679</v>
      </c>
      <c r="E363" s="10" t="s">
        <v>1682</v>
      </c>
      <c r="F363" t="s">
        <v>541</v>
      </c>
      <c r="G363" s="4">
        <v>10550</v>
      </c>
      <c r="H363" s="4"/>
      <c r="I363" s="4"/>
      <c r="J363" s="4">
        <f>SUM(G363:I363)</f>
        <v>10550</v>
      </c>
      <c r="K363" t="s">
        <v>1659</v>
      </c>
      <c r="L363" t="s">
        <v>1659</v>
      </c>
      <c r="M363" t="s">
        <v>541</v>
      </c>
      <c r="N363" t="s">
        <v>1132</v>
      </c>
      <c r="O363" t="s">
        <v>1132</v>
      </c>
      <c r="P363" t="str">
        <f>IFERROR(VLOOKUP(F363,Sheet1!$A$2:$B$54,2,FALSE),"")</f>
        <v/>
      </c>
    </row>
    <row r="364" spans="1:16" x14ac:dyDescent="0.2">
      <c r="A364" s="1">
        <v>2022</v>
      </c>
      <c r="B364" t="s">
        <v>44</v>
      </c>
      <c r="C364" s="10" t="s">
        <v>1678</v>
      </c>
      <c r="D364" s="10" t="s">
        <v>1679</v>
      </c>
      <c r="E364" s="10" t="s">
        <v>1682</v>
      </c>
      <c r="F364" t="s">
        <v>541</v>
      </c>
      <c r="G364" s="4">
        <v>7491</v>
      </c>
      <c r="H364" s="4"/>
      <c r="I364" s="4"/>
      <c r="J364" s="4">
        <f>SUM(G364:I364)</f>
        <v>7491</v>
      </c>
      <c r="K364" t="s">
        <v>1659</v>
      </c>
      <c r="L364" t="s">
        <v>1659</v>
      </c>
      <c r="M364" t="s">
        <v>541</v>
      </c>
      <c r="N364" t="s">
        <v>1132</v>
      </c>
      <c r="O364" t="s">
        <v>1132</v>
      </c>
      <c r="P364" t="str">
        <f>IFERROR(VLOOKUP(F364,Sheet1!$A$2:$B$54,2,FALSE),"")</f>
        <v/>
      </c>
    </row>
    <row r="365" spans="1:16" x14ac:dyDescent="0.2">
      <c r="A365" s="1">
        <v>2023</v>
      </c>
      <c r="B365" t="s">
        <v>44</v>
      </c>
      <c r="C365" s="10" t="s">
        <v>1678</v>
      </c>
      <c r="D365" s="10" t="s">
        <v>1679</v>
      </c>
      <c r="E365" s="10" t="s">
        <v>1682</v>
      </c>
      <c r="F365" t="s">
        <v>541</v>
      </c>
      <c r="G365" s="4">
        <v>8261</v>
      </c>
      <c r="H365" s="4"/>
      <c r="I365" s="4"/>
      <c r="J365" s="4">
        <f>SUM(G365:I365)</f>
        <v>8261</v>
      </c>
      <c r="K365" t="s">
        <v>1659</v>
      </c>
      <c r="L365" t="s">
        <v>1659</v>
      </c>
      <c r="M365" t="s">
        <v>541</v>
      </c>
      <c r="N365" t="s">
        <v>1132</v>
      </c>
      <c r="O365" t="s">
        <v>1132</v>
      </c>
      <c r="P365" t="str">
        <f>IFERROR(VLOOKUP(F365,Sheet1!$A$2:$B$54,2,FALSE),"")</f>
        <v/>
      </c>
    </row>
    <row r="366" spans="1:16" x14ac:dyDescent="0.2">
      <c r="A366" s="1">
        <v>2015</v>
      </c>
      <c r="B366" t="s">
        <v>45</v>
      </c>
      <c r="C366" s="10" t="s">
        <v>1678</v>
      </c>
      <c r="D366" s="10" t="s">
        <v>1679</v>
      </c>
      <c r="E366" s="10" t="s">
        <v>1682</v>
      </c>
      <c r="F366" t="s">
        <v>542</v>
      </c>
      <c r="G366" s="4">
        <v>8813</v>
      </c>
      <c r="H366" s="4"/>
      <c r="I366" s="4"/>
      <c r="J366" s="4">
        <f>SUM(G366:I366)</f>
        <v>8813</v>
      </c>
      <c r="K366" t="s">
        <v>1659</v>
      </c>
      <c r="L366" t="s">
        <v>1659</v>
      </c>
      <c r="M366" t="s">
        <v>1059</v>
      </c>
      <c r="N366" t="s">
        <v>1132</v>
      </c>
      <c r="O366" t="s">
        <v>1132</v>
      </c>
      <c r="P366" t="str">
        <f>IFERROR(VLOOKUP(F366,Sheet1!$A$2:$B$54,2,FALSE),"")</f>
        <v/>
      </c>
    </row>
    <row r="367" spans="1:16" x14ac:dyDescent="0.2">
      <c r="A367" s="1">
        <v>2016</v>
      </c>
      <c r="B367" t="s">
        <v>45</v>
      </c>
      <c r="C367" s="10" t="s">
        <v>1678</v>
      </c>
      <c r="D367" s="10" t="s">
        <v>1679</v>
      </c>
      <c r="E367" s="10" t="s">
        <v>1682</v>
      </c>
      <c r="F367" t="s">
        <v>542</v>
      </c>
      <c r="G367" s="4">
        <v>12131</v>
      </c>
      <c r="H367" s="4"/>
      <c r="I367" s="4"/>
      <c r="J367" s="4">
        <f>SUM(G367:I367)</f>
        <v>12131</v>
      </c>
      <c r="K367" t="s">
        <v>1659</v>
      </c>
      <c r="L367" t="s">
        <v>1659</v>
      </c>
      <c r="M367" t="s">
        <v>1059</v>
      </c>
      <c r="N367" t="s">
        <v>1132</v>
      </c>
      <c r="O367" t="s">
        <v>1132</v>
      </c>
      <c r="P367" t="str">
        <f>IFERROR(VLOOKUP(F367,Sheet1!$A$2:$B$54,2,FALSE),"")</f>
        <v/>
      </c>
    </row>
    <row r="368" spans="1:16" x14ac:dyDescent="0.2">
      <c r="A368" s="1">
        <v>2017</v>
      </c>
      <c r="B368" t="s">
        <v>45</v>
      </c>
      <c r="C368" s="10" t="s">
        <v>1678</v>
      </c>
      <c r="D368" s="10" t="s">
        <v>1679</v>
      </c>
      <c r="E368" s="10" t="s">
        <v>1682</v>
      </c>
      <c r="F368" t="s">
        <v>542</v>
      </c>
      <c r="G368" s="4">
        <v>16483</v>
      </c>
      <c r="H368" s="4"/>
      <c r="I368" s="4"/>
      <c r="J368" s="4">
        <f>SUM(G368:I368)</f>
        <v>16483</v>
      </c>
      <c r="K368" t="s">
        <v>1659</v>
      </c>
      <c r="L368" t="s">
        <v>1659</v>
      </c>
      <c r="M368" t="s">
        <v>1059</v>
      </c>
      <c r="N368" t="s">
        <v>1132</v>
      </c>
      <c r="O368" t="s">
        <v>1132</v>
      </c>
      <c r="P368" t="str">
        <f>IFERROR(VLOOKUP(F368,Sheet1!$A$2:$B$54,2,FALSE),"")</f>
        <v/>
      </c>
    </row>
    <row r="369" spans="1:16" x14ac:dyDescent="0.2">
      <c r="A369" s="1">
        <v>2018</v>
      </c>
      <c r="B369" t="s">
        <v>45</v>
      </c>
      <c r="C369" s="10" t="s">
        <v>1678</v>
      </c>
      <c r="D369" s="10" t="s">
        <v>1679</v>
      </c>
      <c r="E369" s="10" t="s">
        <v>1682</v>
      </c>
      <c r="F369" t="s">
        <v>542</v>
      </c>
      <c r="G369" s="4">
        <v>27920</v>
      </c>
      <c r="H369" s="4"/>
      <c r="I369" s="4"/>
      <c r="J369" s="4">
        <f>SUM(G369:I369)</f>
        <v>27920</v>
      </c>
      <c r="K369" t="s">
        <v>1659</v>
      </c>
      <c r="L369" t="s">
        <v>1659</v>
      </c>
      <c r="M369" t="s">
        <v>1059</v>
      </c>
      <c r="N369" t="s">
        <v>1132</v>
      </c>
      <c r="O369" t="s">
        <v>1132</v>
      </c>
      <c r="P369" t="str">
        <f>IFERROR(VLOOKUP(F369,Sheet1!$A$2:$B$54,2,FALSE),"")</f>
        <v/>
      </c>
    </row>
    <row r="370" spans="1:16" x14ac:dyDescent="0.2">
      <c r="A370" s="1">
        <v>2019</v>
      </c>
      <c r="B370" t="s">
        <v>45</v>
      </c>
      <c r="C370" s="10" t="s">
        <v>1678</v>
      </c>
      <c r="D370" s="10" t="s">
        <v>1679</v>
      </c>
      <c r="E370" s="10" t="s">
        <v>1682</v>
      </c>
      <c r="F370" t="s">
        <v>542</v>
      </c>
      <c r="G370" s="4">
        <v>38550</v>
      </c>
      <c r="H370" s="4"/>
      <c r="I370" s="4"/>
      <c r="J370" s="4">
        <f>SUM(G370:I370)</f>
        <v>38550</v>
      </c>
      <c r="K370" t="s">
        <v>1659</v>
      </c>
      <c r="L370" t="s">
        <v>1659</v>
      </c>
      <c r="M370" t="s">
        <v>1059</v>
      </c>
      <c r="N370" t="s">
        <v>1132</v>
      </c>
      <c r="O370" t="s">
        <v>1132</v>
      </c>
      <c r="P370" t="str">
        <f>IFERROR(VLOOKUP(F370,Sheet1!$A$2:$B$54,2,FALSE),"")</f>
        <v/>
      </c>
    </row>
    <row r="371" spans="1:16" x14ac:dyDescent="0.2">
      <c r="A371" s="1">
        <v>2020</v>
      </c>
      <c r="B371" t="s">
        <v>45</v>
      </c>
      <c r="C371" s="10" t="s">
        <v>1678</v>
      </c>
      <c r="D371" s="10" t="s">
        <v>1679</v>
      </c>
      <c r="E371" s="10" t="s">
        <v>1682</v>
      </c>
      <c r="F371" t="s">
        <v>542</v>
      </c>
      <c r="G371" s="4">
        <v>52057</v>
      </c>
      <c r="H371" s="4"/>
      <c r="I371" s="4"/>
      <c r="J371" s="4">
        <f>SUM(G371:I371)</f>
        <v>52057</v>
      </c>
      <c r="K371" t="s">
        <v>1659</v>
      </c>
      <c r="L371" t="s">
        <v>1659</v>
      </c>
      <c r="M371" t="s">
        <v>1059</v>
      </c>
      <c r="N371" t="s">
        <v>1132</v>
      </c>
      <c r="O371" t="s">
        <v>1132</v>
      </c>
      <c r="P371" t="str">
        <f>IFERROR(VLOOKUP(F371,Sheet1!$A$2:$B$54,2,FALSE),"")</f>
        <v/>
      </c>
    </row>
    <row r="372" spans="1:16" x14ac:dyDescent="0.2">
      <c r="A372" s="1">
        <v>2021</v>
      </c>
      <c r="B372" t="s">
        <v>45</v>
      </c>
      <c r="C372" s="10" t="s">
        <v>1678</v>
      </c>
      <c r="D372" s="10" t="s">
        <v>1679</v>
      </c>
      <c r="E372" s="10" t="s">
        <v>1682</v>
      </c>
      <c r="F372" t="s">
        <v>542</v>
      </c>
      <c r="G372" s="4">
        <v>64741</v>
      </c>
      <c r="H372" s="4"/>
      <c r="I372" s="4"/>
      <c r="J372" s="4">
        <f>SUM(G372:I372)</f>
        <v>64741</v>
      </c>
      <c r="K372" t="s">
        <v>1659</v>
      </c>
      <c r="L372" t="s">
        <v>1659</v>
      </c>
      <c r="M372" t="s">
        <v>542</v>
      </c>
      <c r="N372" t="s">
        <v>1132</v>
      </c>
      <c r="O372" t="s">
        <v>1132</v>
      </c>
      <c r="P372" t="str">
        <f>IFERROR(VLOOKUP(F372,Sheet1!$A$2:$B$54,2,FALSE),"")</f>
        <v/>
      </c>
    </row>
    <row r="373" spans="1:16" x14ac:dyDescent="0.2">
      <c r="A373" s="1">
        <v>2022</v>
      </c>
      <c r="B373" t="s">
        <v>45</v>
      </c>
      <c r="C373" s="10" t="s">
        <v>1678</v>
      </c>
      <c r="D373" s="10" t="s">
        <v>1679</v>
      </c>
      <c r="E373" s="10" t="s">
        <v>1682</v>
      </c>
      <c r="F373" t="s">
        <v>542</v>
      </c>
      <c r="G373" s="4">
        <v>79825</v>
      </c>
      <c r="H373" s="4"/>
      <c r="I373" s="4"/>
      <c r="J373" s="4">
        <f>SUM(G373:I373)</f>
        <v>79825</v>
      </c>
      <c r="K373" t="s">
        <v>1659</v>
      </c>
      <c r="L373" t="s">
        <v>1659</v>
      </c>
      <c r="M373" t="s">
        <v>542</v>
      </c>
      <c r="N373" t="s">
        <v>1132</v>
      </c>
      <c r="O373" t="s">
        <v>1132</v>
      </c>
      <c r="P373" t="str">
        <f>IFERROR(VLOOKUP(F373,Sheet1!$A$2:$B$54,2,FALSE),"")</f>
        <v/>
      </c>
    </row>
    <row r="374" spans="1:16" x14ac:dyDescent="0.2">
      <c r="A374" s="1">
        <v>2023</v>
      </c>
      <c r="B374" t="s">
        <v>45</v>
      </c>
      <c r="C374" s="10" t="s">
        <v>1678</v>
      </c>
      <c r="D374" s="10" t="s">
        <v>1679</v>
      </c>
      <c r="E374" s="10" t="s">
        <v>1682</v>
      </c>
      <c r="F374" t="s">
        <v>542</v>
      </c>
      <c r="G374" s="4">
        <v>105256</v>
      </c>
      <c r="H374" s="4"/>
      <c r="I374" s="4"/>
      <c r="J374" s="4">
        <f>SUM(G374:I374)</f>
        <v>105256</v>
      </c>
      <c r="K374" t="s">
        <v>1659</v>
      </c>
      <c r="L374" t="s">
        <v>1659</v>
      </c>
      <c r="M374" t="s">
        <v>542</v>
      </c>
      <c r="N374" t="s">
        <v>1132</v>
      </c>
      <c r="O374" t="s">
        <v>1132</v>
      </c>
      <c r="P374" t="str">
        <f>IFERROR(VLOOKUP(F374,Sheet1!$A$2:$B$54,2,FALSE),"")</f>
        <v/>
      </c>
    </row>
    <row r="375" spans="1:16" x14ac:dyDescent="0.2">
      <c r="A375" s="1">
        <v>2015</v>
      </c>
      <c r="B375" t="s">
        <v>46</v>
      </c>
      <c r="C375" s="10" t="s">
        <v>1678</v>
      </c>
      <c r="D375" s="10" t="s">
        <v>1679</v>
      </c>
      <c r="E375" s="10" t="s">
        <v>1682</v>
      </c>
      <c r="F375" t="s">
        <v>543</v>
      </c>
      <c r="G375" s="4">
        <v>6648</v>
      </c>
      <c r="H375" s="4"/>
      <c r="I375" s="4"/>
      <c r="J375" s="4">
        <f>SUM(G375:I375)</f>
        <v>6648</v>
      </c>
      <c r="K375" t="s">
        <v>1659</v>
      </c>
      <c r="L375" t="s">
        <v>1659</v>
      </c>
      <c r="M375" t="s">
        <v>1060</v>
      </c>
      <c r="N375" t="s">
        <v>1132</v>
      </c>
      <c r="O375" t="s">
        <v>1132</v>
      </c>
      <c r="P375" t="str">
        <f>IFERROR(VLOOKUP(F375,Sheet1!$A$2:$B$54,2,FALSE),"")</f>
        <v/>
      </c>
    </row>
    <row r="376" spans="1:16" x14ac:dyDescent="0.2">
      <c r="A376" s="1">
        <v>2016</v>
      </c>
      <c r="B376" t="s">
        <v>46</v>
      </c>
      <c r="C376" s="10" t="s">
        <v>1678</v>
      </c>
      <c r="D376" s="10" t="s">
        <v>1679</v>
      </c>
      <c r="E376" s="10" t="s">
        <v>1682</v>
      </c>
      <c r="F376" t="s">
        <v>543</v>
      </c>
      <c r="G376" s="4">
        <v>11611</v>
      </c>
      <c r="H376" s="4"/>
      <c r="I376" s="4"/>
      <c r="J376" s="4">
        <f>SUM(G376:I376)</f>
        <v>11611</v>
      </c>
      <c r="K376" t="s">
        <v>1659</v>
      </c>
      <c r="L376" t="s">
        <v>1659</v>
      </c>
      <c r="M376" t="s">
        <v>1060</v>
      </c>
      <c r="N376" t="s">
        <v>1132</v>
      </c>
      <c r="O376" t="s">
        <v>1132</v>
      </c>
      <c r="P376" t="str">
        <f>IFERROR(VLOOKUP(F376,Sheet1!$A$2:$B$54,2,FALSE),"")</f>
        <v/>
      </c>
    </row>
    <row r="377" spans="1:16" x14ac:dyDescent="0.2">
      <c r="A377" s="1">
        <v>2017</v>
      </c>
      <c r="B377" t="s">
        <v>46</v>
      </c>
      <c r="C377" s="10" t="s">
        <v>1678</v>
      </c>
      <c r="D377" s="10" t="s">
        <v>1679</v>
      </c>
      <c r="E377" s="10" t="s">
        <v>1682</v>
      </c>
      <c r="F377" t="s">
        <v>543</v>
      </c>
      <c r="G377" s="4">
        <v>11487</v>
      </c>
      <c r="H377" s="4"/>
      <c r="I377" s="4"/>
      <c r="J377" s="4">
        <f>SUM(G377:I377)</f>
        <v>11487</v>
      </c>
      <c r="K377" t="s">
        <v>1659</v>
      </c>
      <c r="L377" t="s">
        <v>1659</v>
      </c>
      <c r="M377" t="s">
        <v>1061</v>
      </c>
      <c r="N377" t="s">
        <v>1132</v>
      </c>
      <c r="O377" t="s">
        <v>1132</v>
      </c>
      <c r="P377" t="str">
        <f>IFERROR(VLOOKUP(F377,Sheet1!$A$2:$B$54,2,FALSE),"")</f>
        <v/>
      </c>
    </row>
    <row r="378" spans="1:16" x14ac:dyDescent="0.2">
      <c r="A378" s="1">
        <v>2018</v>
      </c>
      <c r="B378" t="s">
        <v>46</v>
      </c>
      <c r="C378" s="10" t="s">
        <v>1678</v>
      </c>
      <c r="D378" s="10" t="s">
        <v>1679</v>
      </c>
      <c r="E378" s="10" t="s">
        <v>1682</v>
      </c>
      <c r="F378" t="s">
        <v>543</v>
      </c>
      <c r="G378" s="4">
        <v>11889</v>
      </c>
      <c r="H378" s="4"/>
      <c r="I378" s="4"/>
      <c r="J378" s="4">
        <f>SUM(G378:I378)</f>
        <v>11889</v>
      </c>
      <c r="K378" t="s">
        <v>1659</v>
      </c>
      <c r="L378" t="s">
        <v>1659</v>
      </c>
      <c r="M378" t="s">
        <v>1061</v>
      </c>
      <c r="N378" t="s">
        <v>1132</v>
      </c>
      <c r="O378" t="s">
        <v>1132</v>
      </c>
      <c r="P378" t="str">
        <f>IFERROR(VLOOKUP(F378,Sheet1!$A$2:$B$54,2,FALSE),"")</f>
        <v/>
      </c>
    </row>
    <row r="379" spans="1:16" x14ac:dyDescent="0.2">
      <c r="A379" s="1">
        <v>2019</v>
      </c>
      <c r="B379" t="s">
        <v>46</v>
      </c>
      <c r="C379" s="10" t="s">
        <v>1678</v>
      </c>
      <c r="D379" s="10" t="s">
        <v>1679</v>
      </c>
      <c r="E379" s="10" t="s">
        <v>1682</v>
      </c>
      <c r="F379" t="s">
        <v>543</v>
      </c>
      <c r="G379" s="4">
        <v>10436</v>
      </c>
      <c r="H379" s="4"/>
      <c r="I379" s="4"/>
      <c r="J379" s="4">
        <f>SUM(G379:I379)</f>
        <v>10436</v>
      </c>
      <c r="K379" t="s">
        <v>1659</v>
      </c>
      <c r="L379" t="s">
        <v>1659</v>
      </c>
      <c r="M379" t="s">
        <v>1060</v>
      </c>
      <c r="N379" t="s">
        <v>1132</v>
      </c>
      <c r="O379" t="s">
        <v>1132</v>
      </c>
      <c r="P379" t="str">
        <f>IFERROR(VLOOKUP(F379,Sheet1!$A$2:$B$54,2,FALSE),"")</f>
        <v/>
      </c>
    </row>
    <row r="380" spans="1:16" x14ac:dyDescent="0.2">
      <c r="A380" s="1">
        <v>2020</v>
      </c>
      <c r="B380" t="s">
        <v>46</v>
      </c>
      <c r="C380" s="10" t="s">
        <v>1678</v>
      </c>
      <c r="D380" s="10" t="s">
        <v>1679</v>
      </c>
      <c r="E380" s="10" t="s">
        <v>1682</v>
      </c>
      <c r="F380" t="s">
        <v>543</v>
      </c>
      <c r="G380" s="4">
        <v>22531</v>
      </c>
      <c r="H380" s="4"/>
      <c r="I380" s="4"/>
      <c r="J380" s="4">
        <f>SUM(G380:I380)</f>
        <v>22531</v>
      </c>
      <c r="K380" t="s">
        <v>1659</v>
      </c>
      <c r="L380" t="s">
        <v>1659</v>
      </c>
      <c r="M380" t="s">
        <v>1061</v>
      </c>
      <c r="N380" t="s">
        <v>1132</v>
      </c>
      <c r="O380" t="s">
        <v>1132</v>
      </c>
      <c r="P380" t="str">
        <f>IFERROR(VLOOKUP(F380,Sheet1!$A$2:$B$54,2,FALSE),"")</f>
        <v/>
      </c>
    </row>
    <row r="381" spans="1:16" x14ac:dyDescent="0.2">
      <c r="A381" s="1">
        <v>2021</v>
      </c>
      <c r="B381" t="s">
        <v>46</v>
      </c>
      <c r="C381" s="10" t="s">
        <v>1678</v>
      </c>
      <c r="D381" s="10" t="s">
        <v>1679</v>
      </c>
      <c r="E381" s="10" t="s">
        <v>1682</v>
      </c>
      <c r="F381" t="s">
        <v>543</v>
      </c>
      <c r="G381" s="4">
        <v>23946</v>
      </c>
      <c r="H381" s="4"/>
      <c r="I381" s="4"/>
      <c r="J381" s="4">
        <f>SUM(G381:I381)</f>
        <v>23946</v>
      </c>
      <c r="K381" t="s">
        <v>1659</v>
      </c>
      <c r="L381" t="s">
        <v>1659</v>
      </c>
      <c r="M381" t="s">
        <v>543</v>
      </c>
      <c r="N381" t="s">
        <v>1132</v>
      </c>
      <c r="O381" t="s">
        <v>1132</v>
      </c>
      <c r="P381" t="str">
        <f>IFERROR(VLOOKUP(F381,Sheet1!$A$2:$B$54,2,FALSE),"")</f>
        <v/>
      </c>
    </row>
    <row r="382" spans="1:16" x14ac:dyDescent="0.2">
      <c r="A382" s="1">
        <v>2022</v>
      </c>
      <c r="B382" t="s">
        <v>46</v>
      </c>
      <c r="C382" s="10" t="s">
        <v>1678</v>
      </c>
      <c r="D382" s="10" t="s">
        <v>1679</v>
      </c>
      <c r="E382" s="10" t="s">
        <v>1682</v>
      </c>
      <c r="F382" t="s">
        <v>543</v>
      </c>
      <c r="G382" s="4">
        <v>41187</v>
      </c>
      <c r="H382" s="4"/>
      <c r="I382" s="4"/>
      <c r="J382" s="4">
        <f>SUM(G382:I382)</f>
        <v>41187</v>
      </c>
      <c r="K382" t="s">
        <v>1659</v>
      </c>
      <c r="L382" t="s">
        <v>1659</v>
      </c>
      <c r="M382" t="s">
        <v>543</v>
      </c>
      <c r="N382" t="s">
        <v>1132</v>
      </c>
      <c r="O382" t="s">
        <v>1132</v>
      </c>
      <c r="P382" t="str">
        <f>IFERROR(VLOOKUP(F382,Sheet1!$A$2:$B$54,2,FALSE),"")</f>
        <v/>
      </c>
    </row>
    <row r="383" spans="1:16" x14ac:dyDescent="0.2">
      <c r="A383" s="1">
        <v>2023</v>
      </c>
      <c r="B383" t="s">
        <v>46</v>
      </c>
      <c r="C383" s="10" t="s">
        <v>1678</v>
      </c>
      <c r="D383" s="10" t="s">
        <v>1679</v>
      </c>
      <c r="E383" s="10" t="s">
        <v>1682</v>
      </c>
      <c r="F383" t="s">
        <v>543</v>
      </c>
      <c r="G383" s="4">
        <v>50884</v>
      </c>
      <c r="H383" s="4"/>
      <c r="I383" s="4"/>
      <c r="J383" s="4">
        <f>SUM(G383:I383)</f>
        <v>50884</v>
      </c>
      <c r="K383" t="s">
        <v>1659</v>
      </c>
      <c r="L383" t="s">
        <v>1659</v>
      </c>
      <c r="M383" t="s">
        <v>543</v>
      </c>
      <c r="N383" t="s">
        <v>1132</v>
      </c>
      <c r="O383" t="s">
        <v>1132</v>
      </c>
      <c r="P383" t="str">
        <f>IFERROR(VLOOKUP(F383,Sheet1!$A$2:$B$54,2,FALSE),"")</f>
        <v/>
      </c>
    </row>
    <row r="384" spans="1:16" x14ac:dyDescent="0.2">
      <c r="A384" s="1">
        <v>2015</v>
      </c>
      <c r="B384" t="s">
        <v>47</v>
      </c>
      <c r="C384" s="10" t="s">
        <v>1678</v>
      </c>
      <c r="D384" s="10" t="s">
        <v>1679</v>
      </c>
      <c r="E384" s="10" t="s">
        <v>1682</v>
      </c>
      <c r="F384" t="s">
        <v>544</v>
      </c>
      <c r="G384" s="4">
        <v>7916</v>
      </c>
      <c r="H384" s="4"/>
      <c r="I384" s="4"/>
      <c r="J384" s="4">
        <f>SUM(G384:I384)</f>
        <v>7916</v>
      </c>
      <c r="K384" t="s">
        <v>1659</v>
      </c>
      <c r="L384" t="s">
        <v>1659</v>
      </c>
      <c r="M384" t="s">
        <v>1062</v>
      </c>
      <c r="N384" t="s">
        <v>1132</v>
      </c>
      <c r="O384" t="s">
        <v>1132</v>
      </c>
      <c r="P384" t="str">
        <f>IFERROR(VLOOKUP(F384,Sheet1!$A$2:$B$54,2,FALSE),"")</f>
        <v/>
      </c>
    </row>
    <row r="385" spans="1:16" x14ac:dyDescent="0.2">
      <c r="A385" s="1">
        <v>2016</v>
      </c>
      <c r="B385" t="s">
        <v>47</v>
      </c>
      <c r="C385" s="10" t="s">
        <v>1678</v>
      </c>
      <c r="D385" s="10" t="s">
        <v>1679</v>
      </c>
      <c r="E385" s="10" t="s">
        <v>1682</v>
      </c>
      <c r="F385" t="s">
        <v>544</v>
      </c>
      <c r="G385" s="4">
        <v>9122</v>
      </c>
      <c r="H385" s="4"/>
      <c r="I385" s="4"/>
      <c r="J385" s="4">
        <f>SUM(G385:I385)</f>
        <v>9122</v>
      </c>
      <c r="K385" t="s">
        <v>1659</v>
      </c>
      <c r="L385" t="s">
        <v>1659</v>
      </c>
      <c r="M385" t="s">
        <v>1063</v>
      </c>
      <c r="N385" t="s">
        <v>1132</v>
      </c>
      <c r="O385" t="s">
        <v>1132</v>
      </c>
      <c r="P385" t="str">
        <f>IFERROR(VLOOKUP(F385,Sheet1!$A$2:$B$54,2,FALSE),"")</f>
        <v/>
      </c>
    </row>
    <row r="386" spans="1:16" x14ac:dyDescent="0.2">
      <c r="A386" s="1">
        <v>2017</v>
      </c>
      <c r="B386" t="s">
        <v>47</v>
      </c>
      <c r="C386" s="10" t="s">
        <v>1678</v>
      </c>
      <c r="D386" s="10" t="s">
        <v>1679</v>
      </c>
      <c r="E386" s="10" t="s">
        <v>1682</v>
      </c>
      <c r="F386" t="s">
        <v>544</v>
      </c>
      <c r="G386" s="4">
        <v>10310</v>
      </c>
      <c r="H386" s="4"/>
      <c r="I386" s="4"/>
      <c r="J386" s="4">
        <f>SUM(G386:I386)</f>
        <v>10310</v>
      </c>
      <c r="K386" t="s">
        <v>1659</v>
      </c>
      <c r="L386" t="s">
        <v>1659</v>
      </c>
      <c r="M386" t="s">
        <v>1064</v>
      </c>
      <c r="N386" t="s">
        <v>1132</v>
      </c>
      <c r="O386" t="s">
        <v>1132</v>
      </c>
      <c r="P386" t="str">
        <f>IFERROR(VLOOKUP(F386,Sheet1!$A$2:$B$54,2,FALSE),"")</f>
        <v/>
      </c>
    </row>
    <row r="387" spans="1:16" x14ac:dyDescent="0.2">
      <c r="A387" s="1">
        <v>2018</v>
      </c>
      <c r="B387" t="s">
        <v>47</v>
      </c>
      <c r="C387" s="10" t="s">
        <v>1678</v>
      </c>
      <c r="D387" s="10" t="s">
        <v>1679</v>
      </c>
      <c r="E387" s="10" t="s">
        <v>1682</v>
      </c>
      <c r="F387" t="s">
        <v>544</v>
      </c>
      <c r="G387" s="4">
        <v>12556</v>
      </c>
      <c r="H387" s="4"/>
      <c r="I387" s="4"/>
      <c r="J387" s="4">
        <f>SUM(G387:I387)</f>
        <v>12556</v>
      </c>
      <c r="K387" t="s">
        <v>1659</v>
      </c>
      <c r="L387" t="s">
        <v>1659</v>
      </c>
      <c r="M387" t="s">
        <v>1064</v>
      </c>
      <c r="N387" t="s">
        <v>1132</v>
      </c>
      <c r="O387" t="s">
        <v>1132</v>
      </c>
      <c r="P387" t="str">
        <f>IFERROR(VLOOKUP(F387,Sheet1!$A$2:$B$54,2,FALSE),"")</f>
        <v/>
      </c>
    </row>
    <row r="388" spans="1:16" x14ac:dyDescent="0.2">
      <c r="A388" s="1">
        <v>2019</v>
      </c>
      <c r="B388" t="s">
        <v>47</v>
      </c>
      <c r="C388" s="10" t="s">
        <v>1678</v>
      </c>
      <c r="D388" s="10" t="s">
        <v>1679</v>
      </c>
      <c r="E388" s="10" t="s">
        <v>1682</v>
      </c>
      <c r="F388" t="s">
        <v>544</v>
      </c>
      <c r="G388" s="4">
        <v>17012</v>
      </c>
      <c r="H388" s="4"/>
      <c r="I388" s="4"/>
      <c r="J388" s="4">
        <f>SUM(G388:I388)</f>
        <v>17012</v>
      </c>
      <c r="K388" t="s">
        <v>1659</v>
      </c>
      <c r="L388" t="s">
        <v>1659</v>
      </c>
      <c r="M388" t="s">
        <v>1064</v>
      </c>
      <c r="N388" t="s">
        <v>1132</v>
      </c>
      <c r="O388" t="s">
        <v>1132</v>
      </c>
      <c r="P388" t="str">
        <f>IFERROR(VLOOKUP(F388,Sheet1!$A$2:$B$54,2,FALSE),"")</f>
        <v/>
      </c>
    </row>
    <row r="389" spans="1:16" x14ac:dyDescent="0.2">
      <c r="A389" s="1">
        <v>2020</v>
      </c>
      <c r="B389" t="s">
        <v>47</v>
      </c>
      <c r="C389" s="10" t="s">
        <v>1678</v>
      </c>
      <c r="D389" s="10" t="s">
        <v>1679</v>
      </c>
      <c r="E389" s="10" t="s">
        <v>1682</v>
      </c>
      <c r="F389" t="s">
        <v>544</v>
      </c>
      <c r="G389" s="4">
        <v>20916</v>
      </c>
      <c r="H389" s="4"/>
      <c r="I389" s="4"/>
      <c r="J389" s="4">
        <f>SUM(G389:I389)</f>
        <v>20916</v>
      </c>
      <c r="K389" t="s">
        <v>1659</v>
      </c>
      <c r="L389" t="s">
        <v>1659</v>
      </c>
      <c r="M389" t="s">
        <v>1064</v>
      </c>
      <c r="N389" t="s">
        <v>1132</v>
      </c>
      <c r="O389" t="s">
        <v>1132</v>
      </c>
      <c r="P389" t="str">
        <f>IFERROR(VLOOKUP(F389,Sheet1!$A$2:$B$54,2,FALSE),"")</f>
        <v/>
      </c>
    </row>
    <row r="390" spans="1:16" x14ac:dyDescent="0.2">
      <c r="A390" s="1">
        <v>2021</v>
      </c>
      <c r="B390" t="s">
        <v>47</v>
      </c>
      <c r="C390" s="10" t="s">
        <v>1678</v>
      </c>
      <c r="D390" s="10" t="s">
        <v>1679</v>
      </c>
      <c r="E390" s="10" t="s">
        <v>1682</v>
      </c>
      <c r="F390" t="s">
        <v>544</v>
      </c>
      <c r="G390" s="4">
        <v>27949</v>
      </c>
      <c r="H390" s="4"/>
      <c r="I390" s="4"/>
      <c r="J390" s="4">
        <f>SUM(G390:I390)</f>
        <v>27949</v>
      </c>
      <c r="K390" t="s">
        <v>1659</v>
      </c>
      <c r="L390" t="s">
        <v>1659</v>
      </c>
      <c r="M390" t="s">
        <v>544</v>
      </c>
      <c r="N390" t="s">
        <v>1132</v>
      </c>
      <c r="O390" t="s">
        <v>1132</v>
      </c>
      <c r="P390" t="str">
        <f>IFERROR(VLOOKUP(F390,Sheet1!$A$2:$B$54,2,FALSE),"")</f>
        <v/>
      </c>
    </row>
    <row r="391" spans="1:16" x14ac:dyDescent="0.2">
      <c r="A391" s="1">
        <v>2022</v>
      </c>
      <c r="B391" t="s">
        <v>47</v>
      </c>
      <c r="C391" s="10" t="s">
        <v>1678</v>
      </c>
      <c r="D391" s="10" t="s">
        <v>1679</v>
      </c>
      <c r="E391" s="10" t="s">
        <v>1682</v>
      </c>
      <c r="F391" t="s">
        <v>544</v>
      </c>
      <c r="G391" s="4">
        <v>29307</v>
      </c>
      <c r="H391" s="4"/>
      <c r="I391" s="4"/>
      <c r="J391" s="4">
        <f>SUM(G391:I391)</f>
        <v>29307</v>
      </c>
      <c r="K391" t="s">
        <v>1659</v>
      </c>
      <c r="L391" t="s">
        <v>1659</v>
      </c>
      <c r="M391" t="s">
        <v>544</v>
      </c>
      <c r="N391" t="s">
        <v>1132</v>
      </c>
      <c r="O391" t="s">
        <v>1132</v>
      </c>
      <c r="P391" t="str">
        <f>IFERROR(VLOOKUP(F391,Sheet1!$A$2:$B$54,2,FALSE),"")</f>
        <v/>
      </c>
    </row>
    <row r="392" spans="1:16" x14ac:dyDescent="0.2">
      <c r="A392" s="1">
        <v>2023</v>
      </c>
      <c r="B392" t="s">
        <v>47</v>
      </c>
      <c r="C392" s="10" t="s">
        <v>1678</v>
      </c>
      <c r="D392" s="10" t="s">
        <v>1679</v>
      </c>
      <c r="E392" s="10" t="s">
        <v>1682</v>
      </c>
      <c r="F392" t="s">
        <v>544</v>
      </c>
      <c r="G392" s="4">
        <v>33510</v>
      </c>
      <c r="H392" s="4"/>
      <c r="I392" s="4"/>
      <c r="J392" s="4">
        <f>SUM(G392:I392)</f>
        <v>33510</v>
      </c>
      <c r="K392" t="s">
        <v>1659</v>
      </c>
      <c r="L392" t="s">
        <v>1659</v>
      </c>
      <c r="M392" t="s">
        <v>544</v>
      </c>
      <c r="N392" t="s">
        <v>1132</v>
      </c>
      <c r="O392" t="s">
        <v>1132</v>
      </c>
      <c r="P392" t="str">
        <f>IFERROR(VLOOKUP(F392,Sheet1!$A$2:$B$54,2,FALSE),"")</f>
        <v/>
      </c>
    </row>
    <row r="393" spans="1:16" x14ac:dyDescent="0.2">
      <c r="A393" s="1">
        <v>2015</v>
      </c>
      <c r="B393" t="s">
        <v>48</v>
      </c>
      <c r="C393" s="10" t="s">
        <v>1678</v>
      </c>
      <c r="D393" s="10" t="s">
        <v>1679</v>
      </c>
      <c r="E393" s="10" t="s">
        <v>1682</v>
      </c>
      <c r="F393" t="s">
        <v>545</v>
      </c>
      <c r="G393" s="4">
        <v>20621</v>
      </c>
      <c r="H393" s="4"/>
      <c r="I393" s="4"/>
      <c r="J393" s="4">
        <f>SUM(G393:I393)</f>
        <v>20621</v>
      </c>
      <c r="K393" t="s">
        <v>1659</v>
      </c>
      <c r="L393" t="s">
        <v>1659</v>
      </c>
      <c r="M393" t="s">
        <v>1065</v>
      </c>
      <c r="N393" t="s">
        <v>1132</v>
      </c>
      <c r="O393" t="s">
        <v>1132</v>
      </c>
      <c r="P393" t="str">
        <f>IFERROR(VLOOKUP(F393,Sheet1!$A$2:$B$54,2,FALSE),"")</f>
        <v/>
      </c>
    </row>
    <row r="394" spans="1:16" x14ac:dyDescent="0.2">
      <c r="A394" s="1">
        <v>2016</v>
      </c>
      <c r="B394" t="s">
        <v>48</v>
      </c>
      <c r="C394" s="10" t="s">
        <v>1678</v>
      </c>
      <c r="D394" s="10" t="s">
        <v>1679</v>
      </c>
      <c r="E394" s="10" t="s">
        <v>1682</v>
      </c>
      <c r="F394" t="s">
        <v>545</v>
      </c>
      <c r="G394" s="4">
        <v>22922</v>
      </c>
      <c r="H394" s="4"/>
      <c r="I394" s="4"/>
      <c r="J394" s="4">
        <f>SUM(G394:I394)</f>
        <v>22922</v>
      </c>
      <c r="K394" t="s">
        <v>1659</v>
      </c>
      <c r="L394" t="s">
        <v>1659</v>
      </c>
      <c r="M394" t="s">
        <v>1065</v>
      </c>
      <c r="N394" t="s">
        <v>1132</v>
      </c>
      <c r="O394" t="s">
        <v>1132</v>
      </c>
      <c r="P394" t="str">
        <f>IFERROR(VLOOKUP(F394,Sheet1!$A$2:$B$54,2,FALSE),"")</f>
        <v/>
      </c>
    </row>
    <row r="395" spans="1:16" x14ac:dyDescent="0.2">
      <c r="A395" s="1">
        <v>2017</v>
      </c>
      <c r="B395" t="s">
        <v>48</v>
      </c>
      <c r="C395" s="10" t="s">
        <v>1678</v>
      </c>
      <c r="D395" s="10" t="s">
        <v>1679</v>
      </c>
      <c r="E395" s="10" t="s">
        <v>1682</v>
      </c>
      <c r="F395" t="s">
        <v>545</v>
      </c>
      <c r="G395" s="4">
        <v>31920</v>
      </c>
      <c r="H395" s="4"/>
      <c r="I395" s="4"/>
      <c r="J395" s="4">
        <f>SUM(G395:I395)</f>
        <v>31920</v>
      </c>
      <c r="K395" t="s">
        <v>1659</v>
      </c>
      <c r="L395" t="s">
        <v>1659</v>
      </c>
      <c r="M395" t="s">
        <v>1066</v>
      </c>
      <c r="N395" t="s">
        <v>1132</v>
      </c>
      <c r="O395" t="s">
        <v>1132</v>
      </c>
      <c r="P395" t="str">
        <f>IFERROR(VLOOKUP(F395,Sheet1!$A$2:$B$54,2,FALSE),"")</f>
        <v/>
      </c>
    </row>
    <row r="396" spans="1:16" x14ac:dyDescent="0.2">
      <c r="A396" s="1">
        <v>2018</v>
      </c>
      <c r="B396" t="s">
        <v>48</v>
      </c>
      <c r="C396" s="10" t="s">
        <v>1678</v>
      </c>
      <c r="D396" s="10" t="s">
        <v>1679</v>
      </c>
      <c r="E396" s="10" t="s">
        <v>1682</v>
      </c>
      <c r="F396" t="s">
        <v>545</v>
      </c>
      <c r="G396" s="4">
        <v>48988</v>
      </c>
      <c r="H396" s="4"/>
      <c r="I396" s="4"/>
      <c r="J396" s="4">
        <f>SUM(G396:I396)</f>
        <v>48988</v>
      </c>
      <c r="K396" t="s">
        <v>1659</v>
      </c>
      <c r="L396" t="s">
        <v>1659</v>
      </c>
      <c r="M396" t="s">
        <v>1066</v>
      </c>
      <c r="N396" t="s">
        <v>1132</v>
      </c>
      <c r="O396" t="s">
        <v>1132</v>
      </c>
      <c r="P396" t="str">
        <f>IFERROR(VLOOKUP(F396,Sheet1!$A$2:$B$54,2,FALSE),"")</f>
        <v/>
      </c>
    </row>
    <row r="397" spans="1:16" x14ac:dyDescent="0.2">
      <c r="A397" s="1">
        <v>2019</v>
      </c>
      <c r="B397" t="s">
        <v>48</v>
      </c>
      <c r="C397" s="10" t="s">
        <v>1678</v>
      </c>
      <c r="D397" s="10" t="s">
        <v>1679</v>
      </c>
      <c r="E397" s="10" t="s">
        <v>1682</v>
      </c>
      <c r="F397" t="s">
        <v>545</v>
      </c>
      <c r="G397" s="4">
        <v>61444</v>
      </c>
      <c r="H397" s="4"/>
      <c r="I397" s="4"/>
      <c r="J397" s="4">
        <f>SUM(G397:I397)</f>
        <v>61444</v>
      </c>
      <c r="K397" t="s">
        <v>1659</v>
      </c>
      <c r="L397" t="s">
        <v>1659</v>
      </c>
      <c r="M397" t="s">
        <v>1065</v>
      </c>
      <c r="N397" t="s">
        <v>1132</v>
      </c>
      <c r="O397" t="s">
        <v>1132</v>
      </c>
      <c r="P397" t="str">
        <f>IFERROR(VLOOKUP(F397,Sheet1!$A$2:$B$54,2,FALSE),"")</f>
        <v/>
      </c>
    </row>
    <row r="398" spans="1:16" x14ac:dyDescent="0.2">
      <c r="A398" s="1">
        <v>2020</v>
      </c>
      <c r="B398" t="s">
        <v>48</v>
      </c>
      <c r="C398" s="10" t="s">
        <v>1678</v>
      </c>
      <c r="D398" s="10" t="s">
        <v>1679</v>
      </c>
      <c r="E398" s="10" t="s">
        <v>1682</v>
      </c>
      <c r="F398" t="s">
        <v>545</v>
      </c>
      <c r="G398" s="4">
        <v>73817</v>
      </c>
      <c r="H398" s="4"/>
      <c r="I398" s="4"/>
      <c r="J398" s="4">
        <f>SUM(G398:I398)</f>
        <v>73817</v>
      </c>
      <c r="K398" t="s">
        <v>1659</v>
      </c>
      <c r="L398" t="s">
        <v>1659</v>
      </c>
      <c r="M398" t="s">
        <v>1065</v>
      </c>
      <c r="N398" t="s">
        <v>1132</v>
      </c>
      <c r="O398" t="s">
        <v>1132</v>
      </c>
      <c r="P398" t="str">
        <f>IFERROR(VLOOKUP(F398,Sheet1!$A$2:$B$54,2,FALSE),"")</f>
        <v/>
      </c>
    </row>
    <row r="399" spans="1:16" x14ac:dyDescent="0.2">
      <c r="A399" s="1">
        <v>2021</v>
      </c>
      <c r="B399" t="s">
        <v>48</v>
      </c>
      <c r="C399" s="10" t="s">
        <v>1678</v>
      </c>
      <c r="D399" s="10" t="s">
        <v>1679</v>
      </c>
      <c r="E399" s="10" t="s">
        <v>1682</v>
      </c>
      <c r="F399" t="s">
        <v>545</v>
      </c>
      <c r="G399" s="4">
        <v>99555</v>
      </c>
      <c r="H399" s="4"/>
      <c r="I399" s="4"/>
      <c r="J399" s="4">
        <f>SUM(G399:I399)</f>
        <v>99555</v>
      </c>
      <c r="K399" t="s">
        <v>1659</v>
      </c>
      <c r="L399" t="s">
        <v>1659</v>
      </c>
      <c r="M399" t="s">
        <v>545</v>
      </c>
      <c r="N399" t="s">
        <v>1132</v>
      </c>
      <c r="O399" t="s">
        <v>1132</v>
      </c>
      <c r="P399" t="str">
        <f>IFERROR(VLOOKUP(F399,Sheet1!$A$2:$B$54,2,FALSE),"")</f>
        <v/>
      </c>
    </row>
    <row r="400" spans="1:16" x14ac:dyDescent="0.2">
      <c r="A400" s="1">
        <v>2022</v>
      </c>
      <c r="B400" t="s">
        <v>48</v>
      </c>
      <c r="C400" s="10" t="s">
        <v>1678</v>
      </c>
      <c r="D400" s="10" t="s">
        <v>1679</v>
      </c>
      <c r="E400" s="10" t="s">
        <v>1682</v>
      </c>
      <c r="F400" t="s">
        <v>545</v>
      </c>
      <c r="G400" s="4">
        <v>133259</v>
      </c>
      <c r="H400" s="4"/>
      <c r="I400" s="4"/>
      <c r="J400" s="4">
        <f>SUM(G400:I400)</f>
        <v>133259</v>
      </c>
      <c r="K400" t="s">
        <v>1659</v>
      </c>
      <c r="L400" t="s">
        <v>1659</v>
      </c>
      <c r="M400" t="s">
        <v>545</v>
      </c>
      <c r="N400" t="s">
        <v>1132</v>
      </c>
      <c r="O400" t="s">
        <v>1132</v>
      </c>
      <c r="P400" t="str">
        <f>IFERROR(VLOOKUP(F400,Sheet1!$A$2:$B$54,2,FALSE),"")</f>
        <v/>
      </c>
    </row>
    <row r="401" spans="1:16" x14ac:dyDescent="0.2">
      <c r="A401" s="1">
        <v>2023</v>
      </c>
      <c r="B401" t="s">
        <v>48</v>
      </c>
      <c r="C401" s="10" t="s">
        <v>1678</v>
      </c>
      <c r="D401" s="10" t="s">
        <v>1679</v>
      </c>
      <c r="E401" s="10" t="s">
        <v>1682</v>
      </c>
      <c r="F401" t="s">
        <v>545</v>
      </c>
      <c r="G401" s="4">
        <v>136287</v>
      </c>
      <c r="H401" s="4"/>
      <c r="I401" s="4"/>
      <c r="J401" s="4">
        <f>SUM(G401:I401)</f>
        <v>136287</v>
      </c>
      <c r="K401" t="s">
        <v>1659</v>
      </c>
      <c r="L401" t="s">
        <v>1659</v>
      </c>
      <c r="M401" t="s">
        <v>545</v>
      </c>
      <c r="N401" t="s">
        <v>1132</v>
      </c>
      <c r="O401" t="s">
        <v>1132</v>
      </c>
      <c r="P401" t="str">
        <f>IFERROR(VLOOKUP(F401,Sheet1!$A$2:$B$54,2,FALSE),"")</f>
        <v/>
      </c>
    </row>
    <row r="402" spans="1:16" x14ac:dyDescent="0.2">
      <c r="A402" s="1">
        <v>2019</v>
      </c>
      <c r="B402" t="s">
        <v>49</v>
      </c>
      <c r="C402" s="10" t="s">
        <v>1678</v>
      </c>
      <c r="D402" s="10" t="s">
        <v>1679</v>
      </c>
      <c r="E402" s="10" t="s">
        <v>1682</v>
      </c>
      <c r="F402" t="s">
        <v>546</v>
      </c>
      <c r="G402" s="4">
        <v>60737</v>
      </c>
      <c r="H402" s="4"/>
      <c r="I402" s="4"/>
      <c r="J402" s="4">
        <f>SUM(G402:I402)</f>
        <v>60737</v>
      </c>
      <c r="K402" t="s">
        <v>1659</v>
      </c>
      <c r="L402" t="s">
        <v>1659</v>
      </c>
      <c r="M402" t="s">
        <v>1067</v>
      </c>
      <c r="N402" t="s">
        <v>1132</v>
      </c>
      <c r="O402" t="s">
        <v>1132</v>
      </c>
      <c r="P402" t="str">
        <f>IFERROR(VLOOKUP(F402,Sheet1!$A$2:$B$54,2,FALSE),"")</f>
        <v/>
      </c>
    </row>
    <row r="403" spans="1:16" x14ac:dyDescent="0.2">
      <c r="A403" s="1">
        <v>2020</v>
      </c>
      <c r="B403" t="s">
        <v>49</v>
      </c>
      <c r="C403" s="10" t="s">
        <v>1678</v>
      </c>
      <c r="D403" s="10" t="s">
        <v>1679</v>
      </c>
      <c r="E403" s="10" t="s">
        <v>1682</v>
      </c>
      <c r="F403" t="s">
        <v>546</v>
      </c>
      <c r="G403" s="4">
        <v>71930</v>
      </c>
      <c r="H403" s="4"/>
      <c r="I403" s="4"/>
      <c r="J403" s="4">
        <f>SUM(G403:I403)</f>
        <v>71930</v>
      </c>
      <c r="K403" t="s">
        <v>1659</v>
      </c>
      <c r="L403" t="s">
        <v>1659</v>
      </c>
      <c r="M403" t="s">
        <v>1067</v>
      </c>
      <c r="N403" t="s">
        <v>1132</v>
      </c>
      <c r="O403" t="s">
        <v>1132</v>
      </c>
      <c r="P403" t="str">
        <f>IFERROR(VLOOKUP(F403,Sheet1!$A$2:$B$54,2,FALSE),"")</f>
        <v/>
      </c>
    </row>
    <row r="404" spans="1:16" x14ac:dyDescent="0.2">
      <c r="A404" s="1">
        <v>2021</v>
      </c>
      <c r="B404" t="s">
        <v>49</v>
      </c>
      <c r="C404" s="10" t="s">
        <v>1678</v>
      </c>
      <c r="D404" s="10" t="s">
        <v>1679</v>
      </c>
      <c r="E404" s="10" t="s">
        <v>1682</v>
      </c>
      <c r="F404" t="s">
        <v>546</v>
      </c>
      <c r="G404" s="4">
        <v>79857</v>
      </c>
      <c r="H404" s="4"/>
      <c r="I404" s="4"/>
      <c r="J404" s="4">
        <f>SUM(G404:I404)</f>
        <v>79857</v>
      </c>
      <c r="K404" t="s">
        <v>1659</v>
      </c>
      <c r="L404" t="s">
        <v>1659</v>
      </c>
      <c r="M404" t="s">
        <v>546</v>
      </c>
      <c r="N404" t="s">
        <v>1132</v>
      </c>
      <c r="O404" t="s">
        <v>1132</v>
      </c>
      <c r="P404" t="str">
        <f>IFERROR(VLOOKUP(F404,Sheet1!$A$2:$B$54,2,FALSE),"")</f>
        <v/>
      </c>
    </row>
    <row r="405" spans="1:16" x14ac:dyDescent="0.2">
      <c r="A405" s="1">
        <v>2022</v>
      </c>
      <c r="B405" t="s">
        <v>49</v>
      </c>
      <c r="C405" s="10" t="s">
        <v>1678</v>
      </c>
      <c r="D405" s="10" t="s">
        <v>1679</v>
      </c>
      <c r="E405" s="10" t="s">
        <v>1682</v>
      </c>
      <c r="F405" t="s">
        <v>546</v>
      </c>
      <c r="G405" s="4">
        <v>121692</v>
      </c>
      <c r="H405" s="4"/>
      <c r="I405" s="4"/>
      <c r="J405" s="4">
        <f>SUM(G405:I405)</f>
        <v>121692</v>
      </c>
      <c r="K405" t="s">
        <v>1659</v>
      </c>
      <c r="L405" t="s">
        <v>1659</v>
      </c>
      <c r="M405" t="s">
        <v>546</v>
      </c>
      <c r="N405" t="s">
        <v>1132</v>
      </c>
      <c r="O405" t="s">
        <v>1132</v>
      </c>
      <c r="P405" t="str">
        <f>IFERROR(VLOOKUP(F405,Sheet1!$A$2:$B$54,2,FALSE),"")</f>
        <v/>
      </c>
    </row>
    <row r="406" spans="1:16" x14ac:dyDescent="0.2">
      <c r="A406" s="1">
        <v>2023</v>
      </c>
      <c r="B406" t="s">
        <v>49</v>
      </c>
      <c r="C406" s="10" t="s">
        <v>1678</v>
      </c>
      <c r="D406" s="10" t="s">
        <v>1679</v>
      </c>
      <c r="E406" s="10" t="s">
        <v>1682</v>
      </c>
      <c r="F406" t="s">
        <v>546</v>
      </c>
      <c r="G406" s="4">
        <v>125938</v>
      </c>
      <c r="H406" s="4"/>
      <c r="I406" s="4"/>
      <c r="J406" s="4">
        <f>SUM(G406:I406)</f>
        <v>125938</v>
      </c>
      <c r="K406" t="s">
        <v>1659</v>
      </c>
      <c r="L406" t="s">
        <v>1659</v>
      </c>
      <c r="M406" t="s">
        <v>546</v>
      </c>
      <c r="N406" t="s">
        <v>1132</v>
      </c>
      <c r="O406" t="s">
        <v>1132</v>
      </c>
      <c r="P406" t="str">
        <f>IFERROR(VLOOKUP(F406,Sheet1!$A$2:$B$54,2,FALSE),"")</f>
        <v/>
      </c>
    </row>
    <row r="407" spans="1:16" x14ac:dyDescent="0.2">
      <c r="A407" s="1">
        <v>2015</v>
      </c>
      <c r="B407" t="s">
        <v>50</v>
      </c>
      <c r="C407" s="10" t="s">
        <v>1678</v>
      </c>
      <c r="D407" s="10" t="s">
        <v>1679</v>
      </c>
      <c r="E407" s="10" t="s">
        <v>1682</v>
      </c>
      <c r="F407" t="s">
        <v>547</v>
      </c>
      <c r="G407" s="4">
        <v>18597</v>
      </c>
      <c r="H407" s="4"/>
      <c r="I407" s="4"/>
      <c r="J407" s="4">
        <f>SUM(G407:I407)</f>
        <v>18597</v>
      </c>
      <c r="K407" t="s">
        <v>1659</v>
      </c>
      <c r="L407" t="s">
        <v>1659</v>
      </c>
      <c r="M407" t="s">
        <v>1068</v>
      </c>
      <c r="N407" t="s">
        <v>1132</v>
      </c>
      <c r="O407" t="s">
        <v>1132</v>
      </c>
      <c r="P407" t="str">
        <f>IFERROR(VLOOKUP(F407,Sheet1!$A$2:$B$54,2,FALSE),"")</f>
        <v/>
      </c>
    </row>
    <row r="408" spans="1:16" x14ac:dyDescent="0.2">
      <c r="A408" s="1">
        <v>2016</v>
      </c>
      <c r="B408" t="s">
        <v>50</v>
      </c>
      <c r="C408" s="10" t="s">
        <v>1678</v>
      </c>
      <c r="D408" s="10" t="s">
        <v>1679</v>
      </c>
      <c r="E408" s="10" t="s">
        <v>1682</v>
      </c>
      <c r="F408" t="s">
        <v>547</v>
      </c>
      <c r="G408" s="4">
        <v>31169</v>
      </c>
      <c r="H408" s="4"/>
      <c r="I408" s="4"/>
      <c r="J408" s="4">
        <f>SUM(G408:I408)</f>
        <v>31169</v>
      </c>
      <c r="K408" t="s">
        <v>1659</v>
      </c>
      <c r="L408" t="s">
        <v>1659</v>
      </c>
      <c r="M408" t="s">
        <v>1068</v>
      </c>
      <c r="N408" t="s">
        <v>1132</v>
      </c>
      <c r="O408" t="s">
        <v>1132</v>
      </c>
      <c r="P408" t="str">
        <f>IFERROR(VLOOKUP(F408,Sheet1!$A$2:$B$54,2,FALSE),"")</f>
        <v/>
      </c>
    </row>
    <row r="409" spans="1:16" x14ac:dyDescent="0.2">
      <c r="A409" s="1">
        <v>2017</v>
      </c>
      <c r="B409" t="s">
        <v>50</v>
      </c>
      <c r="C409" s="10" t="s">
        <v>1678</v>
      </c>
      <c r="D409" s="10" t="s">
        <v>1679</v>
      </c>
      <c r="E409" s="10" t="s">
        <v>1682</v>
      </c>
      <c r="F409" t="s">
        <v>547</v>
      </c>
      <c r="G409" s="4">
        <v>43887</v>
      </c>
      <c r="H409" s="4"/>
      <c r="I409" s="4"/>
      <c r="J409" s="4">
        <f>SUM(G409:I409)</f>
        <v>43887</v>
      </c>
      <c r="K409" t="s">
        <v>1659</v>
      </c>
      <c r="L409" t="s">
        <v>1659</v>
      </c>
      <c r="M409" t="s">
        <v>1068</v>
      </c>
      <c r="N409" t="s">
        <v>1132</v>
      </c>
      <c r="O409" t="s">
        <v>1132</v>
      </c>
      <c r="P409" t="str">
        <f>IFERROR(VLOOKUP(F409,Sheet1!$A$2:$B$54,2,FALSE),"")</f>
        <v/>
      </c>
    </row>
    <row r="410" spans="1:16" x14ac:dyDescent="0.2">
      <c r="A410" s="1">
        <v>2018</v>
      </c>
      <c r="B410" t="s">
        <v>50</v>
      </c>
      <c r="C410" s="10" t="s">
        <v>1678</v>
      </c>
      <c r="D410" s="10" t="s">
        <v>1679</v>
      </c>
      <c r="E410" s="10" t="s">
        <v>1682</v>
      </c>
      <c r="F410" t="s">
        <v>547</v>
      </c>
      <c r="G410" s="4">
        <v>60294</v>
      </c>
      <c r="H410" s="4"/>
      <c r="I410" s="4"/>
      <c r="J410" s="4">
        <f>SUM(G410:I410)</f>
        <v>60294</v>
      </c>
      <c r="K410" t="s">
        <v>1659</v>
      </c>
      <c r="L410" t="s">
        <v>1659</v>
      </c>
      <c r="M410" t="s">
        <v>1068</v>
      </c>
      <c r="N410" t="s">
        <v>1132</v>
      </c>
      <c r="O410" t="s">
        <v>1132</v>
      </c>
      <c r="P410" t="str">
        <f>IFERROR(VLOOKUP(F410,Sheet1!$A$2:$B$54,2,FALSE),"")</f>
        <v/>
      </c>
    </row>
    <row r="411" spans="1:16" x14ac:dyDescent="0.2">
      <c r="A411" s="1">
        <v>2019</v>
      </c>
      <c r="B411" t="s">
        <v>50</v>
      </c>
      <c r="C411" s="10" t="s">
        <v>1678</v>
      </c>
      <c r="D411" s="10" t="s">
        <v>1679</v>
      </c>
      <c r="E411" s="10" t="s">
        <v>1682</v>
      </c>
      <c r="F411" t="s">
        <v>547</v>
      </c>
      <c r="G411" s="4">
        <v>90944</v>
      </c>
      <c r="H411" s="4"/>
      <c r="I411" s="4"/>
      <c r="J411" s="4">
        <f>SUM(G411:I411)</f>
        <v>90944</v>
      </c>
      <c r="K411" t="s">
        <v>1659</v>
      </c>
      <c r="L411" t="s">
        <v>1659</v>
      </c>
      <c r="M411" t="s">
        <v>1068</v>
      </c>
      <c r="N411" t="s">
        <v>1132</v>
      </c>
      <c r="O411" t="s">
        <v>1132</v>
      </c>
      <c r="P411" t="str">
        <f>IFERROR(VLOOKUP(F411,Sheet1!$A$2:$B$54,2,FALSE),"")</f>
        <v/>
      </c>
    </row>
    <row r="412" spans="1:16" x14ac:dyDescent="0.2">
      <c r="A412" s="1">
        <v>2020</v>
      </c>
      <c r="B412" t="s">
        <v>50</v>
      </c>
      <c r="C412" s="10" t="s">
        <v>1678</v>
      </c>
      <c r="D412" s="10" t="s">
        <v>1679</v>
      </c>
      <c r="E412" s="10" t="s">
        <v>1682</v>
      </c>
      <c r="F412" t="s">
        <v>547</v>
      </c>
      <c r="G412" s="4">
        <v>125259</v>
      </c>
      <c r="H412" s="4"/>
      <c r="I412" s="4"/>
      <c r="J412" s="4">
        <f>SUM(G412:I412)</f>
        <v>125259</v>
      </c>
      <c r="K412" t="s">
        <v>1659</v>
      </c>
      <c r="L412" t="s">
        <v>1659</v>
      </c>
      <c r="M412" t="s">
        <v>1068</v>
      </c>
      <c r="N412" t="s">
        <v>1132</v>
      </c>
      <c r="O412" t="s">
        <v>1132</v>
      </c>
      <c r="P412" t="str">
        <f>IFERROR(VLOOKUP(F412,Sheet1!$A$2:$B$54,2,FALSE),"")</f>
        <v/>
      </c>
    </row>
    <row r="413" spans="1:16" x14ac:dyDescent="0.2">
      <c r="A413" s="1">
        <v>2021</v>
      </c>
      <c r="B413" t="s">
        <v>50</v>
      </c>
      <c r="C413" s="10" t="s">
        <v>1678</v>
      </c>
      <c r="D413" s="10" t="s">
        <v>1679</v>
      </c>
      <c r="E413" s="10" t="s">
        <v>1682</v>
      </c>
      <c r="F413" t="s">
        <v>547</v>
      </c>
      <c r="G413" s="4">
        <v>167484</v>
      </c>
      <c r="H413" s="4"/>
      <c r="I413" s="4"/>
      <c r="J413" s="4">
        <f>SUM(G413:I413)</f>
        <v>167484</v>
      </c>
      <c r="K413" t="s">
        <v>1659</v>
      </c>
      <c r="L413" t="s">
        <v>1659</v>
      </c>
      <c r="M413" t="s">
        <v>547</v>
      </c>
      <c r="N413" t="s">
        <v>1132</v>
      </c>
      <c r="O413" t="s">
        <v>1132</v>
      </c>
      <c r="P413" t="str">
        <f>IFERROR(VLOOKUP(F413,Sheet1!$A$2:$B$54,2,FALSE),"")</f>
        <v/>
      </c>
    </row>
    <row r="414" spans="1:16" x14ac:dyDescent="0.2">
      <c r="A414" s="1">
        <v>2022</v>
      </c>
      <c r="B414" t="s">
        <v>50</v>
      </c>
      <c r="C414" s="10" t="s">
        <v>1678</v>
      </c>
      <c r="D414" s="10" t="s">
        <v>1679</v>
      </c>
      <c r="E414" s="10" t="s">
        <v>1682</v>
      </c>
      <c r="F414" t="s">
        <v>547</v>
      </c>
      <c r="G414" s="4">
        <v>229039</v>
      </c>
      <c r="H414" s="4"/>
      <c r="I414" s="4"/>
      <c r="J414" s="4">
        <f>SUM(G414:I414)</f>
        <v>229039</v>
      </c>
      <c r="K414" t="s">
        <v>1659</v>
      </c>
      <c r="L414" t="s">
        <v>1659</v>
      </c>
      <c r="M414" t="s">
        <v>547</v>
      </c>
      <c r="N414" t="s">
        <v>1132</v>
      </c>
      <c r="O414" t="s">
        <v>1132</v>
      </c>
      <c r="P414" t="str">
        <f>IFERROR(VLOOKUP(F414,Sheet1!$A$2:$B$54,2,FALSE),"")</f>
        <v/>
      </c>
    </row>
    <row r="415" spans="1:16" x14ac:dyDescent="0.2">
      <c r="A415" s="1">
        <v>2023</v>
      </c>
      <c r="B415" t="s">
        <v>50</v>
      </c>
      <c r="C415" s="10" t="s">
        <v>1678</v>
      </c>
      <c r="D415" s="10" t="s">
        <v>1679</v>
      </c>
      <c r="E415" s="10" t="s">
        <v>1682</v>
      </c>
      <c r="F415" t="s">
        <v>547</v>
      </c>
      <c r="G415" s="4">
        <v>249675</v>
      </c>
      <c r="H415" s="4"/>
      <c r="I415" s="4"/>
      <c r="J415" s="4">
        <f>SUM(G415:I415)</f>
        <v>249675</v>
      </c>
      <c r="K415" t="s">
        <v>1659</v>
      </c>
      <c r="L415" t="s">
        <v>1659</v>
      </c>
      <c r="M415" t="s">
        <v>547</v>
      </c>
      <c r="N415" t="s">
        <v>1132</v>
      </c>
      <c r="O415" t="s">
        <v>1132</v>
      </c>
      <c r="P415" t="str">
        <f>IFERROR(VLOOKUP(F415,Sheet1!$A$2:$B$54,2,FALSE),"")</f>
        <v/>
      </c>
    </row>
    <row r="416" spans="1:16" x14ac:dyDescent="0.2">
      <c r="A416" s="1">
        <v>2015</v>
      </c>
      <c r="B416" t="s">
        <v>51</v>
      </c>
      <c r="C416" s="10" t="s">
        <v>1678</v>
      </c>
      <c r="D416" s="10" t="s">
        <v>1679</v>
      </c>
      <c r="E416" s="10" t="s">
        <v>1682</v>
      </c>
      <c r="F416" t="s">
        <v>548</v>
      </c>
      <c r="G416" s="4">
        <v>71122</v>
      </c>
      <c r="H416" s="4"/>
      <c r="I416" s="4"/>
      <c r="J416" s="4">
        <f>SUM(G416:I416)</f>
        <v>71122</v>
      </c>
      <c r="K416" t="s">
        <v>1659</v>
      </c>
      <c r="L416" t="s">
        <v>1659</v>
      </c>
      <c r="M416" t="s">
        <v>1069</v>
      </c>
      <c r="N416" t="s">
        <v>1132</v>
      </c>
      <c r="O416" t="s">
        <v>1132</v>
      </c>
      <c r="P416" t="str">
        <f>IFERROR(VLOOKUP(F416,Sheet1!$A$2:$B$54,2,FALSE),"")</f>
        <v/>
      </c>
    </row>
    <row r="417" spans="1:16" x14ac:dyDescent="0.2">
      <c r="A417" s="1">
        <v>2016</v>
      </c>
      <c r="B417" t="s">
        <v>51</v>
      </c>
      <c r="C417" s="10" t="s">
        <v>1678</v>
      </c>
      <c r="D417" s="10" t="s">
        <v>1679</v>
      </c>
      <c r="E417" s="10" t="s">
        <v>1682</v>
      </c>
      <c r="F417" t="s">
        <v>548</v>
      </c>
      <c r="G417" s="4">
        <v>88035</v>
      </c>
      <c r="H417" s="4"/>
      <c r="I417" s="4"/>
      <c r="J417" s="4">
        <f>SUM(G417:I417)</f>
        <v>88035</v>
      </c>
      <c r="K417" t="s">
        <v>1659</v>
      </c>
      <c r="L417" t="s">
        <v>1659</v>
      </c>
      <c r="M417" t="s">
        <v>1069</v>
      </c>
      <c r="N417" t="s">
        <v>1132</v>
      </c>
      <c r="O417" t="s">
        <v>1132</v>
      </c>
      <c r="P417" t="str">
        <f>IFERROR(VLOOKUP(F417,Sheet1!$A$2:$B$54,2,FALSE),"")</f>
        <v/>
      </c>
    </row>
    <row r="418" spans="1:16" x14ac:dyDescent="0.2">
      <c r="A418" s="1">
        <v>2017</v>
      </c>
      <c r="B418" t="s">
        <v>51</v>
      </c>
      <c r="C418" s="10" t="s">
        <v>1678</v>
      </c>
      <c r="D418" s="10" t="s">
        <v>1679</v>
      </c>
      <c r="E418" s="10" t="s">
        <v>1682</v>
      </c>
      <c r="F418" t="s">
        <v>548</v>
      </c>
      <c r="G418" s="4">
        <v>143024</v>
      </c>
      <c r="H418" s="4"/>
      <c r="I418" s="4"/>
      <c r="J418" s="4">
        <f>SUM(G418:I418)</f>
        <v>143024</v>
      </c>
      <c r="K418" t="s">
        <v>1659</v>
      </c>
      <c r="L418" t="s">
        <v>1659</v>
      </c>
      <c r="M418" t="s">
        <v>1070</v>
      </c>
      <c r="N418" t="s">
        <v>1132</v>
      </c>
      <c r="O418" t="s">
        <v>1132</v>
      </c>
      <c r="P418" t="str">
        <f>IFERROR(VLOOKUP(F418,Sheet1!$A$2:$B$54,2,FALSE),"")</f>
        <v/>
      </c>
    </row>
    <row r="419" spans="1:16" x14ac:dyDescent="0.2">
      <c r="A419" s="1">
        <v>2018</v>
      </c>
      <c r="B419" t="s">
        <v>51</v>
      </c>
      <c r="C419" s="10" t="s">
        <v>1678</v>
      </c>
      <c r="D419" s="10" t="s">
        <v>1679</v>
      </c>
      <c r="E419" s="10" t="s">
        <v>1682</v>
      </c>
      <c r="F419" t="s">
        <v>548</v>
      </c>
      <c r="G419" s="4">
        <v>167200</v>
      </c>
      <c r="H419" s="4"/>
      <c r="I419" s="4"/>
      <c r="J419" s="4">
        <f>SUM(G419:I419)</f>
        <v>167200</v>
      </c>
      <c r="K419" t="s">
        <v>1659</v>
      </c>
      <c r="L419" t="s">
        <v>1659</v>
      </c>
      <c r="M419" t="s">
        <v>1070</v>
      </c>
      <c r="N419" t="s">
        <v>1132</v>
      </c>
      <c r="O419" t="s">
        <v>1132</v>
      </c>
      <c r="P419" t="str">
        <f>IFERROR(VLOOKUP(F419,Sheet1!$A$2:$B$54,2,FALSE),"")</f>
        <v/>
      </c>
    </row>
    <row r="420" spans="1:16" x14ac:dyDescent="0.2">
      <c r="A420" s="1">
        <v>2019</v>
      </c>
      <c r="B420" t="s">
        <v>51</v>
      </c>
      <c r="C420" s="10" t="s">
        <v>1678</v>
      </c>
      <c r="D420" s="10" t="s">
        <v>1679</v>
      </c>
      <c r="E420" s="10" t="s">
        <v>1682</v>
      </c>
      <c r="F420" t="s">
        <v>548</v>
      </c>
      <c r="G420" s="4">
        <v>218780</v>
      </c>
      <c r="H420" s="4"/>
      <c r="I420" s="4"/>
      <c r="J420" s="4">
        <f>SUM(G420:I420)</f>
        <v>218780</v>
      </c>
      <c r="K420" t="s">
        <v>1659</v>
      </c>
      <c r="L420" t="s">
        <v>1659</v>
      </c>
      <c r="M420" t="s">
        <v>1069</v>
      </c>
      <c r="N420" t="s">
        <v>1132</v>
      </c>
      <c r="O420" t="s">
        <v>1132</v>
      </c>
      <c r="P420" t="str">
        <f>IFERROR(VLOOKUP(F420,Sheet1!$A$2:$B$54,2,FALSE),"")</f>
        <v/>
      </c>
    </row>
    <row r="421" spans="1:16" x14ac:dyDescent="0.2">
      <c r="A421" s="1">
        <v>2020</v>
      </c>
      <c r="B421" t="s">
        <v>51</v>
      </c>
      <c r="C421" s="10" t="s">
        <v>1678</v>
      </c>
      <c r="D421" s="10" t="s">
        <v>1679</v>
      </c>
      <c r="E421" s="10" t="s">
        <v>1682</v>
      </c>
      <c r="F421" t="s">
        <v>548</v>
      </c>
      <c r="G421" s="4">
        <v>232344</v>
      </c>
      <c r="H421" s="4"/>
      <c r="I421" s="4"/>
      <c r="J421" s="4">
        <f>SUM(G421:I421)</f>
        <v>232344</v>
      </c>
      <c r="K421" t="s">
        <v>1659</v>
      </c>
      <c r="L421" t="s">
        <v>1659</v>
      </c>
      <c r="M421" t="s">
        <v>1070</v>
      </c>
      <c r="N421" t="s">
        <v>1132</v>
      </c>
      <c r="O421" t="s">
        <v>1132</v>
      </c>
      <c r="P421" t="str">
        <f>IFERROR(VLOOKUP(F421,Sheet1!$A$2:$B$54,2,FALSE),"")</f>
        <v/>
      </c>
    </row>
    <row r="422" spans="1:16" x14ac:dyDescent="0.2">
      <c r="A422" s="1">
        <v>2021</v>
      </c>
      <c r="B422" t="s">
        <v>51</v>
      </c>
      <c r="C422" s="10" t="s">
        <v>1678</v>
      </c>
      <c r="D422" s="10" t="s">
        <v>1679</v>
      </c>
      <c r="E422" s="10" t="s">
        <v>1682</v>
      </c>
      <c r="F422" t="s">
        <v>548</v>
      </c>
      <c r="G422" s="4">
        <v>261498</v>
      </c>
      <c r="H422" s="4"/>
      <c r="I422" s="4"/>
      <c r="J422" s="4">
        <f>SUM(G422:I422)</f>
        <v>261498</v>
      </c>
      <c r="K422" t="s">
        <v>1659</v>
      </c>
      <c r="L422" t="s">
        <v>1659</v>
      </c>
      <c r="M422" t="s">
        <v>548</v>
      </c>
      <c r="N422" t="s">
        <v>1132</v>
      </c>
      <c r="O422" t="s">
        <v>1132</v>
      </c>
      <c r="P422" t="str">
        <f>IFERROR(VLOOKUP(F422,Sheet1!$A$2:$B$54,2,FALSE),"")</f>
        <v/>
      </c>
    </row>
    <row r="423" spans="1:16" x14ac:dyDescent="0.2">
      <c r="A423" s="1">
        <v>2022</v>
      </c>
      <c r="B423" t="s">
        <v>51</v>
      </c>
      <c r="C423" s="10" t="s">
        <v>1678</v>
      </c>
      <c r="D423" s="10" t="s">
        <v>1679</v>
      </c>
      <c r="E423" s="10" t="s">
        <v>1682</v>
      </c>
      <c r="F423" t="s">
        <v>548</v>
      </c>
      <c r="G423" s="4">
        <v>294926</v>
      </c>
      <c r="H423" s="4"/>
      <c r="I423" s="4"/>
      <c r="J423" s="4">
        <f>SUM(G423:I423)</f>
        <v>294926</v>
      </c>
      <c r="K423" t="s">
        <v>1659</v>
      </c>
      <c r="L423" t="s">
        <v>1659</v>
      </c>
      <c r="M423" t="s">
        <v>548</v>
      </c>
      <c r="N423" t="s">
        <v>1132</v>
      </c>
      <c r="O423" t="s">
        <v>1132</v>
      </c>
      <c r="P423" t="str">
        <f>IFERROR(VLOOKUP(F423,Sheet1!$A$2:$B$54,2,FALSE),"")</f>
        <v/>
      </c>
    </row>
    <row r="424" spans="1:16" x14ac:dyDescent="0.2">
      <c r="A424" s="1">
        <v>2023</v>
      </c>
      <c r="B424" t="s">
        <v>51</v>
      </c>
      <c r="C424" s="10" t="s">
        <v>1678</v>
      </c>
      <c r="D424" s="10" t="s">
        <v>1679</v>
      </c>
      <c r="E424" s="10" t="s">
        <v>1682</v>
      </c>
      <c r="F424" t="s">
        <v>548</v>
      </c>
      <c r="G424" s="4">
        <v>396567</v>
      </c>
      <c r="H424" s="4"/>
      <c r="I424" s="4"/>
      <c r="J424" s="4">
        <f>SUM(G424:I424)</f>
        <v>396567</v>
      </c>
      <c r="K424" t="s">
        <v>1659</v>
      </c>
      <c r="L424" t="s">
        <v>1659</v>
      </c>
      <c r="M424" t="s">
        <v>548</v>
      </c>
      <c r="N424" t="s">
        <v>1132</v>
      </c>
      <c r="O424" t="s">
        <v>1132</v>
      </c>
      <c r="P424" t="str">
        <f>IFERROR(VLOOKUP(F424,Sheet1!$A$2:$B$54,2,FALSE),"")</f>
        <v/>
      </c>
    </row>
    <row r="425" spans="1:16" x14ac:dyDescent="0.2">
      <c r="A425" s="1">
        <v>2020</v>
      </c>
      <c r="B425" t="s">
        <v>52</v>
      </c>
      <c r="C425" s="10" t="s">
        <v>1678</v>
      </c>
      <c r="D425" s="10" t="s">
        <v>1679</v>
      </c>
      <c r="E425" s="10" t="s">
        <v>1682</v>
      </c>
      <c r="F425" t="s">
        <v>549</v>
      </c>
      <c r="G425" s="4">
        <v>3312</v>
      </c>
      <c r="H425" s="4"/>
      <c r="I425" s="4"/>
      <c r="J425" s="4">
        <f>SUM(G425:I425)</f>
        <v>3312</v>
      </c>
      <c r="K425" t="s">
        <v>1659</v>
      </c>
      <c r="L425" t="s">
        <v>1659</v>
      </c>
      <c r="M425" t="s">
        <v>1071</v>
      </c>
      <c r="N425" t="s">
        <v>1132</v>
      </c>
      <c r="O425" t="s">
        <v>1132</v>
      </c>
      <c r="P425" t="str">
        <f>IFERROR(VLOOKUP(F425,Sheet1!$A$2:$B$54,2,FALSE),"")</f>
        <v/>
      </c>
    </row>
    <row r="426" spans="1:16" x14ac:dyDescent="0.2">
      <c r="A426" s="1">
        <v>2021</v>
      </c>
      <c r="B426" t="s">
        <v>52</v>
      </c>
      <c r="C426" s="10" t="s">
        <v>1678</v>
      </c>
      <c r="D426" s="10" t="s">
        <v>1679</v>
      </c>
      <c r="E426" s="10" t="s">
        <v>1682</v>
      </c>
      <c r="F426" t="s">
        <v>549</v>
      </c>
      <c r="G426" s="4">
        <v>2322</v>
      </c>
      <c r="H426" s="4"/>
      <c r="I426" s="4"/>
      <c r="J426" s="4">
        <f>SUM(G426:I426)</f>
        <v>2322</v>
      </c>
      <c r="K426" t="s">
        <v>1659</v>
      </c>
      <c r="L426" t="s">
        <v>1659</v>
      </c>
      <c r="M426" t="s">
        <v>549</v>
      </c>
      <c r="N426" t="s">
        <v>1132</v>
      </c>
      <c r="O426" t="s">
        <v>1132</v>
      </c>
      <c r="P426" t="str">
        <f>IFERROR(VLOOKUP(F426,Sheet1!$A$2:$B$54,2,FALSE),"")</f>
        <v/>
      </c>
    </row>
    <row r="427" spans="1:16" x14ac:dyDescent="0.2">
      <c r="A427" s="1">
        <v>2022</v>
      </c>
      <c r="B427" t="s">
        <v>52</v>
      </c>
      <c r="C427" s="10" t="s">
        <v>1678</v>
      </c>
      <c r="D427" s="10" t="s">
        <v>1679</v>
      </c>
      <c r="E427" s="10" t="s">
        <v>1682</v>
      </c>
      <c r="F427" t="s">
        <v>549</v>
      </c>
      <c r="G427" s="4">
        <v>3678</v>
      </c>
      <c r="H427" s="4"/>
      <c r="I427" s="4"/>
      <c r="J427" s="4">
        <f>SUM(G427:I427)</f>
        <v>3678</v>
      </c>
      <c r="K427" t="s">
        <v>1659</v>
      </c>
      <c r="L427" t="s">
        <v>1659</v>
      </c>
      <c r="M427" t="s">
        <v>549</v>
      </c>
      <c r="N427" t="s">
        <v>1132</v>
      </c>
      <c r="O427" t="s">
        <v>1132</v>
      </c>
      <c r="P427" t="str">
        <f>IFERROR(VLOOKUP(F427,Sheet1!$A$2:$B$54,2,FALSE),"")</f>
        <v/>
      </c>
    </row>
    <row r="428" spans="1:16" x14ac:dyDescent="0.2">
      <c r="A428" s="1">
        <v>2023</v>
      </c>
      <c r="B428" t="s">
        <v>52</v>
      </c>
      <c r="C428" s="10" t="s">
        <v>1678</v>
      </c>
      <c r="D428" s="10" t="s">
        <v>1679</v>
      </c>
      <c r="E428" s="10" t="s">
        <v>1682</v>
      </c>
      <c r="F428" t="s">
        <v>549</v>
      </c>
      <c r="G428" s="4">
        <v>292</v>
      </c>
      <c r="H428" s="4"/>
      <c r="I428" s="4"/>
      <c r="J428" s="4">
        <f>SUM(G428:I428)</f>
        <v>292</v>
      </c>
      <c r="K428" t="s">
        <v>1659</v>
      </c>
      <c r="L428" t="s">
        <v>1659</v>
      </c>
      <c r="M428" t="s">
        <v>549</v>
      </c>
      <c r="N428" t="s">
        <v>1132</v>
      </c>
      <c r="O428" t="s">
        <v>1132</v>
      </c>
      <c r="P428" t="str">
        <f>IFERROR(VLOOKUP(F428,Sheet1!$A$2:$B$54,2,FALSE),"")</f>
        <v/>
      </c>
    </row>
    <row r="429" spans="1:16" x14ac:dyDescent="0.2">
      <c r="A429" s="1">
        <v>2018</v>
      </c>
      <c r="B429" t="s">
        <v>53</v>
      </c>
      <c r="C429" s="10" t="s">
        <v>1678</v>
      </c>
      <c r="D429" s="10" t="s">
        <v>1679</v>
      </c>
      <c r="E429" s="10" t="s">
        <v>1682</v>
      </c>
      <c r="F429" t="s">
        <v>550</v>
      </c>
      <c r="G429" s="4">
        <v>5736</v>
      </c>
      <c r="H429" s="4"/>
      <c r="I429" s="4"/>
      <c r="J429" s="4">
        <f>SUM(G429:I429)</f>
        <v>5736</v>
      </c>
      <c r="K429" t="s">
        <v>1659</v>
      </c>
      <c r="L429" t="s">
        <v>1659</v>
      </c>
      <c r="M429" t="s">
        <v>1072</v>
      </c>
      <c r="N429" t="s">
        <v>1132</v>
      </c>
      <c r="O429" t="s">
        <v>1132</v>
      </c>
      <c r="P429" t="str">
        <f>IFERROR(VLOOKUP(F429,Sheet1!$A$2:$B$54,2,FALSE),"")</f>
        <v/>
      </c>
    </row>
    <row r="430" spans="1:16" x14ac:dyDescent="0.2">
      <c r="A430" s="1">
        <v>2019</v>
      </c>
      <c r="B430" t="s">
        <v>53</v>
      </c>
      <c r="C430" s="10" t="s">
        <v>1678</v>
      </c>
      <c r="D430" s="10" t="s">
        <v>1679</v>
      </c>
      <c r="E430" s="10" t="s">
        <v>1682</v>
      </c>
      <c r="F430" t="s">
        <v>550</v>
      </c>
      <c r="G430" s="4">
        <v>10403</v>
      </c>
      <c r="H430" s="4"/>
      <c r="I430" s="4"/>
      <c r="J430" s="4">
        <f>SUM(G430:I430)</f>
        <v>10403</v>
      </c>
      <c r="K430" t="s">
        <v>1659</v>
      </c>
      <c r="L430" t="s">
        <v>1659</v>
      </c>
      <c r="M430" t="s">
        <v>1072</v>
      </c>
      <c r="N430" t="s">
        <v>1132</v>
      </c>
      <c r="O430" t="s">
        <v>1132</v>
      </c>
      <c r="P430" t="str">
        <f>IFERROR(VLOOKUP(F430,Sheet1!$A$2:$B$54,2,FALSE),"")</f>
        <v/>
      </c>
    </row>
    <row r="431" spans="1:16" x14ac:dyDescent="0.2">
      <c r="A431" s="1">
        <v>2020</v>
      </c>
      <c r="B431" t="s">
        <v>53</v>
      </c>
      <c r="C431" s="10" t="s">
        <v>1678</v>
      </c>
      <c r="D431" s="10" t="s">
        <v>1679</v>
      </c>
      <c r="E431" s="10" t="s">
        <v>1682</v>
      </c>
      <c r="F431" t="s">
        <v>550</v>
      </c>
      <c r="G431" s="4">
        <v>6867</v>
      </c>
      <c r="H431" s="4"/>
      <c r="I431" s="4"/>
      <c r="J431" s="4">
        <f>SUM(G431:I431)</f>
        <v>6867</v>
      </c>
      <c r="K431" t="s">
        <v>1659</v>
      </c>
      <c r="L431" t="s">
        <v>1659</v>
      </c>
      <c r="M431" t="s">
        <v>1072</v>
      </c>
      <c r="N431" t="s">
        <v>1132</v>
      </c>
      <c r="O431" t="s">
        <v>1132</v>
      </c>
      <c r="P431" t="str">
        <f>IFERROR(VLOOKUP(F431,Sheet1!$A$2:$B$54,2,FALSE),"")</f>
        <v/>
      </c>
    </row>
    <row r="432" spans="1:16" x14ac:dyDescent="0.2">
      <c r="A432" s="1">
        <v>2021</v>
      </c>
      <c r="B432" t="s">
        <v>53</v>
      </c>
      <c r="C432" s="10" t="s">
        <v>1678</v>
      </c>
      <c r="D432" s="10" t="s">
        <v>1679</v>
      </c>
      <c r="E432" s="10" t="s">
        <v>1682</v>
      </c>
      <c r="F432" t="s">
        <v>550</v>
      </c>
      <c r="G432" s="4">
        <v>7561</v>
      </c>
      <c r="H432" s="4"/>
      <c r="I432" s="4"/>
      <c r="J432" s="4">
        <f>SUM(G432:I432)</f>
        <v>7561</v>
      </c>
      <c r="K432" t="s">
        <v>1659</v>
      </c>
      <c r="L432" t="s">
        <v>1659</v>
      </c>
      <c r="M432" t="s">
        <v>550</v>
      </c>
      <c r="N432" t="s">
        <v>1132</v>
      </c>
      <c r="O432" t="s">
        <v>1132</v>
      </c>
      <c r="P432" t="str">
        <f>IFERROR(VLOOKUP(F432,Sheet1!$A$2:$B$54,2,FALSE),"")</f>
        <v/>
      </c>
    </row>
    <row r="433" spans="1:16" x14ac:dyDescent="0.2">
      <c r="A433" s="1">
        <v>2022</v>
      </c>
      <c r="B433" t="s">
        <v>53</v>
      </c>
      <c r="C433" s="10" t="s">
        <v>1678</v>
      </c>
      <c r="D433" s="10" t="s">
        <v>1679</v>
      </c>
      <c r="E433" s="10" t="s">
        <v>1682</v>
      </c>
      <c r="F433" t="s">
        <v>550</v>
      </c>
      <c r="G433" s="4">
        <v>9100</v>
      </c>
      <c r="H433" s="4"/>
      <c r="I433" s="4"/>
      <c r="J433" s="4">
        <f>SUM(G433:I433)</f>
        <v>9100</v>
      </c>
      <c r="K433" t="s">
        <v>1659</v>
      </c>
      <c r="L433" t="s">
        <v>1659</v>
      </c>
      <c r="M433" t="s">
        <v>550</v>
      </c>
      <c r="N433" t="s">
        <v>1132</v>
      </c>
      <c r="O433" t="s">
        <v>1132</v>
      </c>
      <c r="P433" t="str">
        <f>IFERROR(VLOOKUP(F433,Sheet1!$A$2:$B$54,2,FALSE),"")</f>
        <v/>
      </c>
    </row>
    <row r="434" spans="1:16" x14ac:dyDescent="0.2">
      <c r="A434" s="1">
        <v>2023</v>
      </c>
      <c r="B434" t="s">
        <v>53</v>
      </c>
      <c r="C434" s="10" t="s">
        <v>1678</v>
      </c>
      <c r="D434" s="10" t="s">
        <v>1679</v>
      </c>
      <c r="E434" s="10" t="s">
        <v>1682</v>
      </c>
      <c r="F434" t="s">
        <v>550</v>
      </c>
      <c r="G434" s="4">
        <v>13384</v>
      </c>
      <c r="H434" s="4"/>
      <c r="I434" s="4"/>
      <c r="J434" s="4">
        <f>SUM(G434:I434)</f>
        <v>13384</v>
      </c>
      <c r="K434" t="s">
        <v>1659</v>
      </c>
      <c r="L434" t="s">
        <v>1659</v>
      </c>
      <c r="M434" t="s">
        <v>550</v>
      </c>
      <c r="N434" t="s">
        <v>1132</v>
      </c>
      <c r="O434" t="s">
        <v>1132</v>
      </c>
      <c r="P434" t="str">
        <f>IFERROR(VLOOKUP(F434,Sheet1!$A$2:$B$54,2,FALSE),"")</f>
        <v/>
      </c>
    </row>
    <row r="435" spans="1:16" x14ac:dyDescent="0.2">
      <c r="A435" s="1">
        <v>2015</v>
      </c>
      <c r="B435" t="s">
        <v>54</v>
      </c>
      <c r="C435" s="10" t="s">
        <v>1678</v>
      </c>
      <c r="D435" s="10" t="s">
        <v>1679</v>
      </c>
      <c r="E435" s="10" t="s">
        <v>1682</v>
      </c>
      <c r="F435" t="s">
        <v>551</v>
      </c>
      <c r="G435" s="4">
        <v>39337</v>
      </c>
      <c r="H435" s="4"/>
      <c r="I435" s="4"/>
      <c r="J435" s="4">
        <f>SUM(G435:I435)</f>
        <v>39337</v>
      </c>
      <c r="K435" t="s">
        <v>1659</v>
      </c>
      <c r="L435" t="s">
        <v>1659</v>
      </c>
      <c r="M435" t="s">
        <v>1073</v>
      </c>
      <c r="N435" t="s">
        <v>1132</v>
      </c>
      <c r="O435" t="s">
        <v>1132</v>
      </c>
      <c r="P435" t="str">
        <f>IFERROR(VLOOKUP(F435,Sheet1!$A$2:$B$54,2,FALSE),"")</f>
        <v/>
      </c>
    </row>
    <row r="436" spans="1:16" x14ac:dyDescent="0.2">
      <c r="A436" s="1">
        <v>2016</v>
      </c>
      <c r="B436" t="s">
        <v>54</v>
      </c>
      <c r="C436" s="10" t="s">
        <v>1678</v>
      </c>
      <c r="D436" s="10" t="s">
        <v>1679</v>
      </c>
      <c r="E436" s="10" t="s">
        <v>1682</v>
      </c>
      <c r="F436" t="s">
        <v>551</v>
      </c>
      <c r="G436" s="4">
        <v>47283</v>
      </c>
      <c r="H436" s="4"/>
      <c r="I436" s="4"/>
      <c r="J436" s="4">
        <f>SUM(G436:I436)</f>
        <v>47283</v>
      </c>
      <c r="K436" t="s">
        <v>1659</v>
      </c>
      <c r="L436" t="s">
        <v>1659</v>
      </c>
      <c r="M436" t="s">
        <v>1073</v>
      </c>
      <c r="N436" t="s">
        <v>1132</v>
      </c>
      <c r="O436" t="s">
        <v>1132</v>
      </c>
      <c r="P436" t="str">
        <f>IFERROR(VLOOKUP(F436,Sheet1!$A$2:$B$54,2,FALSE),"")</f>
        <v/>
      </c>
    </row>
    <row r="437" spans="1:16" x14ac:dyDescent="0.2">
      <c r="A437" s="1">
        <v>2017</v>
      </c>
      <c r="B437" t="s">
        <v>54</v>
      </c>
      <c r="C437" s="10" t="s">
        <v>1678</v>
      </c>
      <c r="D437" s="10" t="s">
        <v>1679</v>
      </c>
      <c r="E437" s="10" t="s">
        <v>1682</v>
      </c>
      <c r="F437" t="s">
        <v>551</v>
      </c>
      <c r="G437" s="4">
        <v>62737</v>
      </c>
      <c r="H437" s="4"/>
      <c r="I437" s="4"/>
      <c r="J437" s="4">
        <f>SUM(G437:I437)</f>
        <v>62737</v>
      </c>
      <c r="K437" t="s">
        <v>1659</v>
      </c>
      <c r="L437" t="s">
        <v>1659</v>
      </c>
      <c r="M437" t="s">
        <v>1074</v>
      </c>
      <c r="N437" t="s">
        <v>1132</v>
      </c>
      <c r="O437" t="s">
        <v>1132</v>
      </c>
      <c r="P437" t="str">
        <f>IFERROR(VLOOKUP(F437,Sheet1!$A$2:$B$54,2,FALSE),"")</f>
        <v/>
      </c>
    </row>
    <row r="438" spans="1:16" x14ac:dyDescent="0.2">
      <c r="A438" s="1">
        <v>2018</v>
      </c>
      <c r="B438" t="s">
        <v>54</v>
      </c>
      <c r="C438" s="10" t="s">
        <v>1678</v>
      </c>
      <c r="D438" s="10" t="s">
        <v>1679</v>
      </c>
      <c r="E438" s="10" t="s">
        <v>1682</v>
      </c>
      <c r="F438" t="s">
        <v>551</v>
      </c>
      <c r="G438" s="4">
        <v>67354</v>
      </c>
      <c r="H438" s="4"/>
      <c r="I438" s="4"/>
      <c r="J438" s="4">
        <f>SUM(G438:I438)</f>
        <v>67354</v>
      </c>
      <c r="K438" t="s">
        <v>1659</v>
      </c>
      <c r="L438" t="s">
        <v>1659</v>
      </c>
      <c r="M438" t="s">
        <v>1074</v>
      </c>
      <c r="N438" t="s">
        <v>1132</v>
      </c>
      <c r="O438" t="s">
        <v>1132</v>
      </c>
      <c r="P438" t="str">
        <f>IFERROR(VLOOKUP(F438,Sheet1!$A$2:$B$54,2,FALSE),"")</f>
        <v/>
      </c>
    </row>
    <row r="439" spans="1:16" x14ac:dyDescent="0.2">
      <c r="A439" s="1">
        <v>2019</v>
      </c>
      <c r="B439" t="s">
        <v>54</v>
      </c>
      <c r="C439" s="10" t="s">
        <v>1678</v>
      </c>
      <c r="D439" s="10" t="s">
        <v>1679</v>
      </c>
      <c r="E439" s="10" t="s">
        <v>1682</v>
      </c>
      <c r="F439" t="s">
        <v>551</v>
      </c>
      <c r="G439" s="4">
        <v>73845</v>
      </c>
      <c r="H439" s="4"/>
      <c r="I439" s="4"/>
      <c r="J439" s="4">
        <f>SUM(G439:I439)</f>
        <v>73845</v>
      </c>
      <c r="K439" t="s">
        <v>1659</v>
      </c>
      <c r="L439" t="s">
        <v>1659</v>
      </c>
      <c r="M439" t="s">
        <v>1073</v>
      </c>
      <c r="N439" t="s">
        <v>1132</v>
      </c>
      <c r="O439" t="s">
        <v>1132</v>
      </c>
      <c r="P439" t="str">
        <f>IFERROR(VLOOKUP(F439,Sheet1!$A$2:$B$54,2,FALSE),"")</f>
        <v/>
      </c>
    </row>
    <row r="440" spans="1:16" x14ac:dyDescent="0.2">
      <c r="A440" s="1">
        <v>2020</v>
      </c>
      <c r="B440" t="s">
        <v>54</v>
      </c>
      <c r="C440" s="10" t="s">
        <v>1678</v>
      </c>
      <c r="D440" s="10" t="s">
        <v>1679</v>
      </c>
      <c r="E440" s="10" t="s">
        <v>1682</v>
      </c>
      <c r="F440" t="s">
        <v>551</v>
      </c>
      <c r="G440" s="4">
        <v>97030</v>
      </c>
      <c r="H440" s="4"/>
      <c r="I440" s="4"/>
      <c r="J440" s="4">
        <f>SUM(G440:I440)</f>
        <v>97030</v>
      </c>
      <c r="K440" t="s">
        <v>1659</v>
      </c>
      <c r="L440" t="s">
        <v>1659</v>
      </c>
      <c r="M440" t="s">
        <v>1074</v>
      </c>
      <c r="N440" t="s">
        <v>1132</v>
      </c>
      <c r="O440" t="s">
        <v>1132</v>
      </c>
      <c r="P440" t="str">
        <f>IFERROR(VLOOKUP(F440,Sheet1!$A$2:$B$54,2,FALSE),"")</f>
        <v/>
      </c>
    </row>
    <row r="441" spans="1:16" x14ac:dyDescent="0.2">
      <c r="A441" s="1">
        <v>2021</v>
      </c>
      <c r="B441" t="s">
        <v>54</v>
      </c>
      <c r="C441" s="10" t="s">
        <v>1678</v>
      </c>
      <c r="D441" s="10" t="s">
        <v>1679</v>
      </c>
      <c r="E441" s="10" t="s">
        <v>1682</v>
      </c>
      <c r="F441" t="s">
        <v>551</v>
      </c>
      <c r="G441" s="4">
        <v>109286</v>
      </c>
      <c r="H441" s="4"/>
      <c r="I441" s="4"/>
      <c r="J441" s="4">
        <f>SUM(G441:I441)</f>
        <v>109286</v>
      </c>
      <c r="K441" t="s">
        <v>1659</v>
      </c>
      <c r="L441" t="s">
        <v>1659</v>
      </c>
      <c r="M441" t="s">
        <v>551</v>
      </c>
      <c r="N441" t="s">
        <v>1132</v>
      </c>
      <c r="O441" t="s">
        <v>1132</v>
      </c>
      <c r="P441" t="str">
        <f>IFERROR(VLOOKUP(F441,Sheet1!$A$2:$B$54,2,FALSE),"")</f>
        <v/>
      </c>
    </row>
    <row r="442" spans="1:16" x14ac:dyDescent="0.2">
      <c r="A442" s="1">
        <v>2022</v>
      </c>
      <c r="B442" t="s">
        <v>54</v>
      </c>
      <c r="C442" s="10" t="s">
        <v>1678</v>
      </c>
      <c r="D442" s="10" t="s">
        <v>1679</v>
      </c>
      <c r="E442" s="10" t="s">
        <v>1682</v>
      </c>
      <c r="F442" t="s">
        <v>551</v>
      </c>
      <c r="G442" s="4">
        <v>134312</v>
      </c>
      <c r="H442" s="4"/>
      <c r="I442" s="4"/>
      <c r="J442" s="4">
        <f>SUM(G442:I442)</f>
        <v>134312</v>
      </c>
      <c r="K442" t="s">
        <v>1659</v>
      </c>
      <c r="L442" t="s">
        <v>1659</v>
      </c>
      <c r="M442" t="s">
        <v>551</v>
      </c>
      <c r="N442" t="s">
        <v>1132</v>
      </c>
      <c r="O442" t="s">
        <v>1132</v>
      </c>
      <c r="P442" t="str">
        <f>IFERROR(VLOOKUP(F442,Sheet1!$A$2:$B$54,2,FALSE),"")</f>
        <v/>
      </c>
    </row>
    <row r="443" spans="1:16" x14ac:dyDescent="0.2">
      <c r="A443" s="1">
        <v>2023</v>
      </c>
      <c r="B443" t="s">
        <v>54</v>
      </c>
      <c r="C443" s="10" t="s">
        <v>1678</v>
      </c>
      <c r="D443" s="10" t="s">
        <v>1679</v>
      </c>
      <c r="E443" s="10" t="s">
        <v>1682</v>
      </c>
      <c r="F443" t="s">
        <v>551</v>
      </c>
      <c r="G443" s="4">
        <v>165845</v>
      </c>
      <c r="H443" s="4"/>
      <c r="I443" s="4"/>
      <c r="J443" s="4">
        <f>SUM(G443:I443)</f>
        <v>165845</v>
      </c>
      <c r="K443" t="s">
        <v>1659</v>
      </c>
      <c r="L443" t="s">
        <v>1659</v>
      </c>
      <c r="M443" t="s">
        <v>551</v>
      </c>
      <c r="N443" t="s">
        <v>1132</v>
      </c>
      <c r="O443" t="s">
        <v>1132</v>
      </c>
      <c r="P443" t="str">
        <f>IFERROR(VLOOKUP(F443,Sheet1!$A$2:$B$54,2,FALSE),"")</f>
        <v/>
      </c>
    </row>
    <row r="444" spans="1:16" x14ac:dyDescent="0.2">
      <c r="A444" s="1">
        <v>2015</v>
      </c>
      <c r="B444" t="s">
        <v>55</v>
      </c>
      <c r="C444" s="10" t="s">
        <v>1678</v>
      </c>
      <c r="D444" s="10" t="s">
        <v>1679</v>
      </c>
      <c r="E444" s="10" t="s">
        <v>1682</v>
      </c>
      <c r="F444" t="s">
        <v>552</v>
      </c>
      <c r="G444" s="4">
        <v>0</v>
      </c>
      <c r="H444" s="4"/>
      <c r="I444" s="4"/>
      <c r="J444" s="4">
        <f>SUM(G444:I444)</f>
        <v>0</v>
      </c>
      <c r="K444" t="s">
        <v>1659</v>
      </c>
      <c r="L444" t="s">
        <v>1659</v>
      </c>
      <c r="M444" t="s">
        <v>1075</v>
      </c>
      <c r="N444" t="s">
        <v>1132</v>
      </c>
      <c r="O444" t="s">
        <v>1132</v>
      </c>
      <c r="P444" t="str">
        <f>IFERROR(VLOOKUP(F444,Sheet1!$A$2:$B$54,2,FALSE),"")</f>
        <v/>
      </c>
    </row>
    <row r="445" spans="1:16" x14ac:dyDescent="0.2">
      <c r="A445" s="1">
        <v>2020</v>
      </c>
      <c r="B445" t="s">
        <v>55</v>
      </c>
      <c r="C445" s="10" t="s">
        <v>1678</v>
      </c>
      <c r="D445" s="10" t="s">
        <v>1679</v>
      </c>
      <c r="E445" s="10" t="s">
        <v>1682</v>
      </c>
      <c r="F445" t="s">
        <v>552</v>
      </c>
      <c r="G445" s="4">
        <v>3358</v>
      </c>
      <c r="H445" s="4"/>
      <c r="I445" s="4"/>
      <c r="J445" s="4">
        <f>SUM(G445:I445)</f>
        <v>3358</v>
      </c>
      <c r="K445" t="s">
        <v>1659</v>
      </c>
      <c r="L445" t="s">
        <v>1659</v>
      </c>
      <c r="M445" t="s">
        <v>1075</v>
      </c>
      <c r="N445" t="s">
        <v>1132</v>
      </c>
      <c r="O445" t="s">
        <v>1132</v>
      </c>
      <c r="P445" t="str">
        <f>IFERROR(VLOOKUP(F445,Sheet1!$A$2:$B$54,2,FALSE),"")</f>
        <v/>
      </c>
    </row>
    <row r="446" spans="1:16" x14ac:dyDescent="0.2">
      <c r="A446" s="1">
        <v>2021</v>
      </c>
      <c r="B446" t="s">
        <v>55</v>
      </c>
      <c r="C446" s="10" t="s">
        <v>1678</v>
      </c>
      <c r="D446" s="10" t="s">
        <v>1679</v>
      </c>
      <c r="E446" s="10" t="s">
        <v>1682</v>
      </c>
      <c r="F446" t="s">
        <v>552</v>
      </c>
      <c r="G446" s="4">
        <v>4765</v>
      </c>
      <c r="H446" s="4"/>
      <c r="I446" s="4"/>
      <c r="J446" s="4">
        <f>SUM(G446:I446)</f>
        <v>4765</v>
      </c>
      <c r="K446" t="s">
        <v>1659</v>
      </c>
      <c r="L446" t="s">
        <v>1659</v>
      </c>
      <c r="M446" t="s">
        <v>552</v>
      </c>
      <c r="N446" t="s">
        <v>1132</v>
      </c>
      <c r="O446" t="s">
        <v>1132</v>
      </c>
      <c r="P446" t="str">
        <f>IFERROR(VLOOKUP(F446,Sheet1!$A$2:$B$54,2,FALSE),"")</f>
        <v/>
      </c>
    </row>
    <row r="447" spans="1:16" x14ac:dyDescent="0.2">
      <c r="A447" s="1">
        <v>2022</v>
      </c>
      <c r="B447" t="s">
        <v>55</v>
      </c>
      <c r="C447" s="10" t="s">
        <v>1678</v>
      </c>
      <c r="D447" s="10" t="s">
        <v>1679</v>
      </c>
      <c r="E447" s="10" t="s">
        <v>1682</v>
      </c>
      <c r="F447" t="s">
        <v>552</v>
      </c>
      <c r="G447" s="4">
        <v>5232</v>
      </c>
      <c r="H447" s="4"/>
      <c r="I447" s="4"/>
      <c r="J447" s="4">
        <f>SUM(G447:I447)</f>
        <v>5232</v>
      </c>
      <c r="K447" t="s">
        <v>1659</v>
      </c>
      <c r="L447" t="s">
        <v>1659</v>
      </c>
      <c r="M447" t="s">
        <v>552</v>
      </c>
      <c r="N447" t="s">
        <v>1132</v>
      </c>
      <c r="O447" t="s">
        <v>1132</v>
      </c>
      <c r="P447" t="str">
        <f>IFERROR(VLOOKUP(F447,Sheet1!$A$2:$B$54,2,FALSE),"")</f>
        <v/>
      </c>
    </row>
    <row r="448" spans="1:16" x14ac:dyDescent="0.2">
      <c r="A448" s="1">
        <v>2023</v>
      </c>
      <c r="B448" t="s">
        <v>55</v>
      </c>
      <c r="C448" s="10" t="s">
        <v>1678</v>
      </c>
      <c r="D448" s="10" t="s">
        <v>1679</v>
      </c>
      <c r="E448" s="10" t="s">
        <v>1682</v>
      </c>
      <c r="F448" t="s">
        <v>552</v>
      </c>
      <c r="G448" s="4">
        <v>5804</v>
      </c>
      <c r="H448" s="4"/>
      <c r="I448" s="4"/>
      <c r="J448" s="4">
        <f>SUM(G448:I448)</f>
        <v>5804</v>
      </c>
      <c r="K448" t="s">
        <v>1659</v>
      </c>
      <c r="L448" t="s">
        <v>1659</v>
      </c>
      <c r="M448" t="s">
        <v>552</v>
      </c>
      <c r="N448" t="s">
        <v>1132</v>
      </c>
      <c r="O448" t="s">
        <v>1132</v>
      </c>
      <c r="P448" t="str">
        <f>IFERROR(VLOOKUP(F448,Sheet1!$A$2:$B$54,2,FALSE),"")</f>
        <v/>
      </c>
    </row>
    <row r="449" spans="1:16" x14ac:dyDescent="0.2">
      <c r="A449" s="1">
        <v>2015</v>
      </c>
      <c r="B449" t="s">
        <v>56</v>
      </c>
      <c r="C449" s="10" t="s">
        <v>1678</v>
      </c>
      <c r="D449" s="10" t="s">
        <v>1679</v>
      </c>
      <c r="E449" s="10" t="s">
        <v>1682</v>
      </c>
      <c r="F449" t="s">
        <v>553</v>
      </c>
      <c r="G449" s="4">
        <v>120863</v>
      </c>
      <c r="H449" s="4"/>
      <c r="I449" s="4"/>
      <c r="J449" s="4">
        <f>SUM(G449:I449)</f>
        <v>120863</v>
      </c>
      <c r="K449" t="s">
        <v>1659</v>
      </c>
      <c r="L449" t="s">
        <v>1659</v>
      </c>
      <c r="M449" t="s">
        <v>1076</v>
      </c>
      <c r="N449" t="s">
        <v>1132</v>
      </c>
      <c r="O449" t="s">
        <v>1132</v>
      </c>
      <c r="P449" t="str">
        <f>IFERROR(VLOOKUP(F449,Sheet1!$A$2:$B$54,2,FALSE),"")</f>
        <v/>
      </c>
    </row>
    <row r="450" spans="1:16" x14ac:dyDescent="0.2">
      <c r="A450" s="1">
        <v>2016</v>
      </c>
      <c r="B450" t="s">
        <v>56</v>
      </c>
      <c r="C450" s="10" t="s">
        <v>1678</v>
      </c>
      <c r="D450" s="10" t="s">
        <v>1679</v>
      </c>
      <c r="E450" s="10" t="s">
        <v>1682</v>
      </c>
      <c r="F450" t="s">
        <v>553</v>
      </c>
      <c r="G450" s="4">
        <v>151577</v>
      </c>
      <c r="H450" s="4"/>
      <c r="I450" s="4"/>
      <c r="J450" s="4">
        <f>SUM(G450:I450)</f>
        <v>151577</v>
      </c>
      <c r="K450" t="s">
        <v>1659</v>
      </c>
      <c r="L450" t="s">
        <v>1659</v>
      </c>
      <c r="M450" t="s">
        <v>1076</v>
      </c>
      <c r="N450" t="s">
        <v>1132</v>
      </c>
      <c r="O450" t="s">
        <v>1132</v>
      </c>
      <c r="P450" t="str">
        <f>IFERROR(VLOOKUP(F450,Sheet1!$A$2:$B$54,2,FALSE),"")</f>
        <v/>
      </c>
    </row>
    <row r="451" spans="1:16" x14ac:dyDescent="0.2">
      <c r="A451" s="1">
        <v>2017</v>
      </c>
      <c r="B451" t="s">
        <v>56</v>
      </c>
      <c r="C451" s="10" t="s">
        <v>1678</v>
      </c>
      <c r="D451" s="10" t="s">
        <v>1679</v>
      </c>
      <c r="E451" s="10" t="s">
        <v>1682</v>
      </c>
      <c r="F451" t="s">
        <v>553</v>
      </c>
      <c r="G451" s="4">
        <v>171977</v>
      </c>
      <c r="H451" s="4"/>
      <c r="I451" s="4"/>
      <c r="J451" s="4">
        <f>SUM(G451:I451)</f>
        <v>171977</v>
      </c>
      <c r="K451" t="s">
        <v>1659</v>
      </c>
      <c r="L451" t="s">
        <v>1659</v>
      </c>
      <c r="M451" t="s">
        <v>1076</v>
      </c>
      <c r="N451" t="s">
        <v>1132</v>
      </c>
      <c r="O451" t="s">
        <v>1132</v>
      </c>
      <c r="P451" t="str">
        <f>IFERROR(VLOOKUP(F451,Sheet1!$A$2:$B$54,2,FALSE),"")</f>
        <v/>
      </c>
    </row>
    <row r="452" spans="1:16" x14ac:dyDescent="0.2">
      <c r="A452" s="1">
        <v>2018</v>
      </c>
      <c r="B452" t="s">
        <v>56</v>
      </c>
      <c r="C452" s="10" t="s">
        <v>1678</v>
      </c>
      <c r="D452" s="10" t="s">
        <v>1679</v>
      </c>
      <c r="E452" s="10" t="s">
        <v>1682</v>
      </c>
      <c r="F452" t="s">
        <v>553</v>
      </c>
      <c r="G452" s="4">
        <v>217961</v>
      </c>
      <c r="H452" s="4"/>
      <c r="I452" s="4"/>
      <c r="J452" s="4">
        <f>SUM(G452:I452)</f>
        <v>217961</v>
      </c>
      <c r="K452" t="s">
        <v>1659</v>
      </c>
      <c r="L452" t="s">
        <v>1659</v>
      </c>
      <c r="M452" t="s">
        <v>1076</v>
      </c>
      <c r="N452" t="s">
        <v>1132</v>
      </c>
      <c r="O452" t="s">
        <v>1132</v>
      </c>
      <c r="P452" t="str">
        <f>IFERROR(VLOOKUP(F452,Sheet1!$A$2:$B$54,2,FALSE),"")</f>
        <v/>
      </c>
    </row>
    <row r="453" spans="1:16" x14ac:dyDescent="0.2">
      <c r="A453" s="1">
        <v>2019</v>
      </c>
      <c r="B453" t="s">
        <v>56</v>
      </c>
      <c r="C453" s="10" t="s">
        <v>1678</v>
      </c>
      <c r="D453" s="10" t="s">
        <v>1679</v>
      </c>
      <c r="E453" s="10" t="s">
        <v>1682</v>
      </c>
      <c r="F453" t="s">
        <v>553</v>
      </c>
      <c r="G453" s="4">
        <v>263364</v>
      </c>
      <c r="H453" s="4"/>
      <c r="I453" s="4"/>
      <c r="J453" s="4">
        <f>SUM(G453:I453)</f>
        <v>263364</v>
      </c>
      <c r="K453" t="s">
        <v>1659</v>
      </c>
      <c r="L453" t="s">
        <v>1659</v>
      </c>
      <c r="M453" t="s">
        <v>1076</v>
      </c>
      <c r="N453" t="s">
        <v>1132</v>
      </c>
      <c r="O453" t="s">
        <v>1132</v>
      </c>
      <c r="P453" t="str">
        <f>IFERROR(VLOOKUP(F453,Sheet1!$A$2:$B$54,2,FALSE),"")</f>
        <v/>
      </c>
    </row>
    <row r="454" spans="1:16" x14ac:dyDescent="0.2">
      <c r="A454" s="1">
        <v>2020</v>
      </c>
      <c r="B454" t="s">
        <v>56</v>
      </c>
      <c r="C454" s="10" t="s">
        <v>1678</v>
      </c>
      <c r="D454" s="10" t="s">
        <v>1679</v>
      </c>
      <c r="E454" s="10" t="s">
        <v>1682</v>
      </c>
      <c r="F454" t="s">
        <v>553</v>
      </c>
      <c r="G454" s="4">
        <v>291335</v>
      </c>
      <c r="H454" s="4"/>
      <c r="I454" s="4"/>
      <c r="J454" s="4">
        <f>SUM(G454:I454)</f>
        <v>291335</v>
      </c>
      <c r="K454" t="s">
        <v>1659</v>
      </c>
      <c r="L454" t="s">
        <v>1659</v>
      </c>
      <c r="M454" t="s">
        <v>1076</v>
      </c>
      <c r="N454" t="s">
        <v>1132</v>
      </c>
      <c r="O454" t="s">
        <v>1132</v>
      </c>
      <c r="P454" t="str">
        <f>IFERROR(VLOOKUP(F454,Sheet1!$A$2:$B$54,2,FALSE),"")</f>
        <v/>
      </c>
    </row>
    <row r="455" spans="1:16" x14ac:dyDescent="0.2">
      <c r="A455" s="1">
        <v>2021</v>
      </c>
      <c r="B455" t="s">
        <v>56</v>
      </c>
      <c r="C455" s="10" t="s">
        <v>1678</v>
      </c>
      <c r="D455" s="10" t="s">
        <v>1679</v>
      </c>
      <c r="E455" s="10" t="s">
        <v>1682</v>
      </c>
      <c r="F455" t="s">
        <v>553</v>
      </c>
      <c r="G455" s="4">
        <v>355386</v>
      </c>
      <c r="H455" s="4"/>
      <c r="I455" s="4"/>
      <c r="J455" s="4">
        <f>SUM(G455:I455)</f>
        <v>355386</v>
      </c>
      <c r="K455" t="s">
        <v>1659</v>
      </c>
      <c r="L455" t="s">
        <v>1659</v>
      </c>
      <c r="M455" t="s">
        <v>553</v>
      </c>
      <c r="N455" t="s">
        <v>1132</v>
      </c>
      <c r="O455" t="s">
        <v>1132</v>
      </c>
      <c r="P455" t="str">
        <f>IFERROR(VLOOKUP(F455,Sheet1!$A$2:$B$54,2,FALSE),"")</f>
        <v/>
      </c>
    </row>
    <row r="456" spans="1:16" x14ac:dyDescent="0.2">
      <c r="A456" s="1">
        <v>2022</v>
      </c>
      <c r="B456" t="s">
        <v>56</v>
      </c>
      <c r="C456" s="10" t="s">
        <v>1678</v>
      </c>
      <c r="D456" s="10" t="s">
        <v>1679</v>
      </c>
      <c r="E456" s="10" t="s">
        <v>1682</v>
      </c>
      <c r="F456" t="s">
        <v>553</v>
      </c>
      <c r="G456" s="4">
        <v>447967</v>
      </c>
      <c r="H456" s="4"/>
      <c r="I456" s="4"/>
      <c r="J456" s="4">
        <f>SUM(G456:I456)</f>
        <v>447967</v>
      </c>
      <c r="K456" t="s">
        <v>1659</v>
      </c>
      <c r="L456" t="s">
        <v>1659</v>
      </c>
      <c r="M456" t="s">
        <v>553</v>
      </c>
      <c r="N456" t="s">
        <v>1132</v>
      </c>
      <c r="O456" t="s">
        <v>1132</v>
      </c>
      <c r="P456" t="str">
        <f>IFERROR(VLOOKUP(F456,Sheet1!$A$2:$B$54,2,FALSE),"")</f>
        <v/>
      </c>
    </row>
    <row r="457" spans="1:16" x14ac:dyDescent="0.2">
      <c r="A457" s="1">
        <v>2023</v>
      </c>
      <c r="B457" t="s">
        <v>56</v>
      </c>
      <c r="C457" s="10" t="s">
        <v>1678</v>
      </c>
      <c r="D457" s="10" t="s">
        <v>1679</v>
      </c>
      <c r="E457" s="10" t="s">
        <v>1682</v>
      </c>
      <c r="F457" t="s">
        <v>553</v>
      </c>
      <c r="G457" s="4">
        <v>549576</v>
      </c>
      <c r="H457" s="4"/>
      <c r="I457" s="4"/>
      <c r="J457" s="4">
        <f>SUM(G457:I457)</f>
        <v>549576</v>
      </c>
      <c r="K457" t="s">
        <v>1659</v>
      </c>
      <c r="L457" t="s">
        <v>1659</v>
      </c>
      <c r="M457" t="s">
        <v>553</v>
      </c>
      <c r="N457" t="s">
        <v>1132</v>
      </c>
      <c r="O457" t="s">
        <v>1132</v>
      </c>
      <c r="P457" t="str">
        <f>IFERROR(VLOOKUP(F457,Sheet1!$A$2:$B$54,2,FALSE),"")</f>
        <v/>
      </c>
    </row>
    <row r="458" spans="1:16" x14ac:dyDescent="0.2">
      <c r="A458" s="1">
        <v>2015</v>
      </c>
      <c r="B458" t="s">
        <v>57</v>
      </c>
      <c r="C458" s="10" t="s">
        <v>1678</v>
      </c>
      <c r="D458" s="10" t="s">
        <v>1679</v>
      </c>
      <c r="E458" s="10" t="s">
        <v>1682</v>
      </c>
      <c r="F458" t="s">
        <v>554</v>
      </c>
      <c r="G458" s="4">
        <v>14431</v>
      </c>
      <c r="H458" s="4"/>
      <c r="I458" s="4"/>
      <c r="J458" s="4">
        <f>SUM(G458:I458)</f>
        <v>14431</v>
      </c>
      <c r="K458" t="s">
        <v>1659</v>
      </c>
      <c r="L458" t="s">
        <v>1659</v>
      </c>
      <c r="M458" t="s">
        <v>1077</v>
      </c>
      <c r="N458" t="s">
        <v>1132</v>
      </c>
      <c r="O458" t="s">
        <v>1132</v>
      </c>
      <c r="P458" t="str">
        <f>IFERROR(VLOOKUP(F458,Sheet1!$A$2:$B$54,2,FALSE),"")</f>
        <v/>
      </c>
    </row>
    <row r="459" spans="1:16" x14ac:dyDescent="0.2">
      <c r="A459" s="1">
        <v>2016</v>
      </c>
      <c r="B459" t="s">
        <v>57</v>
      </c>
      <c r="C459" s="10" t="s">
        <v>1678</v>
      </c>
      <c r="D459" s="10" t="s">
        <v>1679</v>
      </c>
      <c r="E459" s="10" t="s">
        <v>1682</v>
      </c>
      <c r="F459" t="s">
        <v>554</v>
      </c>
      <c r="G459" s="4">
        <v>13069</v>
      </c>
      <c r="H459" s="4"/>
      <c r="I459" s="4"/>
      <c r="J459" s="4">
        <f>SUM(G459:I459)</f>
        <v>13069</v>
      </c>
      <c r="K459" t="s">
        <v>1659</v>
      </c>
      <c r="L459" t="s">
        <v>1659</v>
      </c>
      <c r="M459" t="s">
        <v>1077</v>
      </c>
      <c r="N459" t="s">
        <v>1132</v>
      </c>
      <c r="O459" t="s">
        <v>1132</v>
      </c>
      <c r="P459" t="str">
        <f>IFERROR(VLOOKUP(F459,Sheet1!$A$2:$B$54,2,FALSE),"")</f>
        <v/>
      </c>
    </row>
    <row r="460" spans="1:16" x14ac:dyDescent="0.2">
      <c r="A460" s="1">
        <v>2017</v>
      </c>
      <c r="B460" t="s">
        <v>57</v>
      </c>
      <c r="C460" s="10" t="s">
        <v>1678</v>
      </c>
      <c r="D460" s="10" t="s">
        <v>1679</v>
      </c>
      <c r="E460" s="10" t="s">
        <v>1682</v>
      </c>
      <c r="F460" t="s">
        <v>554</v>
      </c>
      <c r="G460" s="4">
        <v>14307</v>
      </c>
      <c r="H460" s="4"/>
      <c r="I460" s="4"/>
      <c r="J460" s="4">
        <f>SUM(G460:I460)</f>
        <v>14307</v>
      </c>
      <c r="K460" t="s">
        <v>1659</v>
      </c>
      <c r="L460" t="s">
        <v>1659</v>
      </c>
      <c r="M460" t="s">
        <v>1077</v>
      </c>
      <c r="N460" t="s">
        <v>1132</v>
      </c>
      <c r="O460" t="s">
        <v>1132</v>
      </c>
      <c r="P460" t="str">
        <f>IFERROR(VLOOKUP(F460,Sheet1!$A$2:$B$54,2,FALSE),"")</f>
        <v/>
      </c>
    </row>
    <row r="461" spans="1:16" x14ac:dyDescent="0.2">
      <c r="A461" s="1">
        <v>2018</v>
      </c>
      <c r="B461" t="s">
        <v>57</v>
      </c>
      <c r="C461" s="10" t="s">
        <v>1678</v>
      </c>
      <c r="D461" s="10" t="s">
        <v>1679</v>
      </c>
      <c r="E461" s="10" t="s">
        <v>1682</v>
      </c>
      <c r="F461" t="s">
        <v>554</v>
      </c>
      <c r="G461" s="4">
        <v>15001</v>
      </c>
      <c r="H461" s="4"/>
      <c r="I461" s="4"/>
      <c r="J461" s="4">
        <f>SUM(G461:I461)</f>
        <v>15001</v>
      </c>
      <c r="K461" t="s">
        <v>1659</v>
      </c>
      <c r="L461" t="s">
        <v>1659</v>
      </c>
      <c r="M461" t="s">
        <v>1077</v>
      </c>
      <c r="N461" t="s">
        <v>1132</v>
      </c>
      <c r="O461" t="s">
        <v>1132</v>
      </c>
      <c r="P461" t="str">
        <f>IFERROR(VLOOKUP(F461,Sheet1!$A$2:$B$54,2,FALSE),"")</f>
        <v/>
      </c>
    </row>
    <row r="462" spans="1:16" x14ac:dyDescent="0.2">
      <c r="A462" s="1">
        <v>2019</v>
      </c>
      <c r="B462" t="s">
        <v>57</v>
      </c>
      <c r="C462" s="10" t="s">
        <v>1678</v>
      </c>
      <c r="D462" s="10" t="s">
        <v>1679</v>
      </c>
      <c r="E462" s="10" t="s">
        <v>1682</v>
      </c>
      <c r="F462" t="s">
        <v>554</v>
      </c>
      <c r="G462" s="4">
        <v>23540</v>
      </c>
      <c r="H462" s="4"/>
      <c r="I462" s="4"/>
      <c r="J462" s="4">
        <f>SUM(G462:I462)</f>
        <v>23540</v>
      </c>
      <c r="K462" t="s">
        <v>1659</v>
      </c>
      <c r="L462" t="s">
        <v>1659</v>
      </c>
      <c r="M462" t="s">
        <v>1077</v>
      </c>
      <c r="N462" t="s">
        <v>1132</v>
      </c>
      <c r="O462" t="s">
        <v>1132</v>
      </c>
      <c r="P462" t="str">
        <f>IFERROR(VLOOKUP(F462,Sheet1!$A$2:$B$54,2,FALSE),"")</f>
        <v/>
      </c>
    </row>
    <row r="463" spans="1:16" x14ac:dyDescent="0.2">
      <c r="A463" s="1">
        <v>2020</v>
      </c>
      <c r="B463" t="s">
        <v>57</v>
      </c>
      <c r="C463" s="10" t="s">
        <v>1678</v>
      </c>
      <c r="D463" s="10" t="s">
        <v>1679</v>
      </c>
      <c r="E463" s="10" t="s">
        <v>1682</v>
      </c>
      <c r="F463" t="s">
        <v>554</v>
      </c>
      <c r="G463" s="4">
        <v>35448</v>
      </c>
      <c r="H463" s="4"/>
      <c r="I463" s="4"/>
      <c r="J463" s="4">
        <f>SUM(G463:I463)</f>
        <v>35448</v>
      </c>
      <c r="K463" t="s">
        <v>1659</v>
      </c>
      <c r="L463" t="s">
        <v>1659</v>
      </c>
      <c r="M463" t="s">
        <v>1077</v>
      </c>
      <c r="N463" t="s">
        <v>1132</v>
      </c>
      <c r="O463" t="s">
        <v>1132</v>
      </c>
      <c r="P463" t="str">
        <f>IFERROR(VLOOKUP(F463,Sheet1!$A$2:$B$54,2,FALSE),"")</f>
        <v/>
      </c>
    </row>
    <row r="464" spans="1:16" x14ac:dyDescent="0.2">
      <c r="A464" s="1">
        <v>2021</v>
      </c>
      <c r="B464" t="s">
        <v>57</v>
      </c>
      <c r="C464" s="10" t="s">
        <v>1678</v>
      </c>
      <c r="D464" s="10" t="s">
        <v>1679</v>
      </c>
      <c r="E464" s="10" t="s">
        <v>1682</v>
      </c>
      <c r="F464" t="s">
        <v>554</v>
      </c>
      <c r="G464" s="4">
        <v>34866</v>
      </c>
      <c r="H464" s="4"/>
      <c r="I464" s="4"/>
      <c r="J464" s="4">
        <f>SUM(G464:I464)</f>
        <v>34866</v>
      </c>
      <c r="K464" t="s">
        <v>1659</v>
      </c>
      <c r="L464" t="s">
        <v>1659</v>
      </c>
      <c r="M464" t="s">
        <v>554</v>
      </c>
      <c r="N464" t="s">
        <v>1132</v>
      </c>
      <c r="O464" t="s">
        <v>1132</v>
      </c>
      <c r="P464" t="str">
        <f>IFERROR(VLOOKUP(F464,Sheet1!$A$2:$B$54,2,FALSE),"")</f>
        <v/>
      </c>
    </row>
    <row r="465" spans="1:16" x14ac:dyDescent="0.2">
      <c r="A465" s="1">
        <v>2022</v>
      </c>
      <c r="B465" t="s">
        <v>57</v>
      </c>
      <c r="C465" s="10" t="s">
        <v>1678</v>
      </c>
      <c r="D465" s="10" t="s">
        <v>1679</v>
      </c>
      <c r="E465" s="10" t="s">
        <v>1682</v>
      </c>
      <c r="F465" t="s">
        <v>554</v>
      </c>
      <c r="G465" s="4">
        <v>42474</v>
      </c>
      <c r="H465" s="4"/>
      <c r="I465" s="4"/>
      <c r="J465" s="4">
        <f>SUM(G465:I465)</f>
        <v>42474</v>
      </c>
      <c r="K465" t="s">
        <v>1659</v>
      </c>
      <c r="L465" t="s">
        <v>1659</v>
      </c>
      <c r="M465" t="s">
        <v>554</v>
      </c>
      <c r="N465" t="s">
        <v>1132</v>
      </c>
      <c r="O465" t="s">
        <v>1132</v>
      </c>
      <c r="P465" t="str">
        <f>IFERROR(VLOOKUP(F465,Sheet1!$A$2:$B$54,2,FALSE),"")</f>
        <v/>
      </c>
    </row>
    <row r="466" spans="1:16" x14ac:dyDescent="0.2">
      <c r="A466" s="1">
        <v>2023</v>
      </c>
      <c r="B466" t="s">
        <v>57</v>
      </c>
      <c r="C466" s="10" t="s">
        <v>1678</v>
      </c>
      <c r="D466" s="10" t="s">
        <v>1679</v>
      </c>
      <c r="E466" s="10" t="s">
        <v>1682</v>
      </c>
      <c r="F466" t="s">
        <v>554</v>
      </c>
      <c r="G466" s="4">
        <v>49473</v>
      </c>
      <c r="H466" s="4"/>
      <c r="I466" s="4"/>
      <c r="J466" s="4">
        <f>SUM(G466:I466)</f>
        <v>49473</v>
      </c>
      <c r="K466" t="s">
        <v>1659</v>
      </c>
      <c r="L466" t="s">
        <v>1659</v>
      </c>
      <c r="M466" t="s">
        <v>554</v>
      </c>
      <c r="N466" t="s">
        <v>1132</v>
      </c>
      <c r="O466" t="s">
        <v>1132</v>
      </c>
      <c r="P466" t="str">
        <f>IFERROR(VLOOKUP(F466,Sheet1!$A$2:$B$54,2,FALSE),"")</f>
        <v/>
      </c>
    </row>
    <row r="467" spans="1:16" x14ac:dyDescent="0.2">
      <c r="A467" s="1">
        <v>2015</v>
      </c>
      <c r="B467" t="s">
        <v>58</v>
      </c>
      <c r="C467" s="10" t="s">
        <v>1678</v>
      </c>
      <c r="D467" s="10" t="s">
        <v>1679</v>
      </c>
      <c r="E467" s="10" t="s">
        <v>1682</v>
      </c>
      <c r="F467" t="s">
        <v>555</v>
      </c>
      <c r="G467" s="4">
        <v>61632</v>
      </c>
      <c r="H467" s="4"/>
      <c r="I467" s="4"/>
      <c r="J467" s="4">
        <f>SUM(G467:I467)</f>
        <v>61632</v>
      </c>
      <c r="K467" t="s">
        <v>1659</v>
      </c>
      <c r="L467" t="s">
        <v>1659</v>
      </c>
      <c r="M467" t="s">
        <v>1078</v>
      </c>
      <c r="N467" t="s">
        <v>1132</v>
      </c>
      <c r="O467" t="s">
        <v>1132</v>
      </c>
      <c r="P467" t="str">
        <f>IFERROR(VLOOKUP(F467,Sheet1!$A$2:$B$54,2,FALSE),"")</f>
        <v/>
      </c>
    </row>
    <row r="468" spans="1:16" x14ac:dyDescent="0.2">
      <c r="A468" s="1">
        <v>2016</v>
      </c>
      <c r="B468" t="s">
        <v>58</v>
      </c>
      <c r="C468" s="10" t="s">
        <v>1678</v>
      </c>
      <c r="D468" s="10" t="s">
        <v>1679</v>
      </c>
      <c r="E468" s="10" t="s">
        <v>1682</v>
      </c>
      <c r="F468" t="s">
        <v>555</v>
      </c>
      <c r="G468" s="4">
        <v>101428</v>
      </c>
      <c r="H468" s="4"/>
      <c r="I468" s="4"/>
      <c r="J468" s="4">
        <f>SUM(G468:I468)</f>
        <v>101428</v>
      </c>
      <c r="K468" t="s">
        <v>1659</v>
      </c>
      <c r="L468" t="s">
        <v>1659</v>
      </c>
      <c r="M468" t="s">
        <v>1078</v>
      </c>
      <c r="N468" t="s">
        <v>1132</v>
      </c>
      <c r="O468" t="s">
        <v>1132</v>
      </c>
      <c r="P468" t="str">
        <f>IFERROR(VLOOKUP(F468,Sheet1!$A$2:$B$54,2,FALSE),"")</f>
        <v/>
      </c>
    </row>
    <row r="469" spans="1:16" x14ac:dyDescent="0.2">
      <c r="A469" s="1">
        <v>2017</v>
      </c>
      <c r="B469" t="s">
        <v>58</v>
      </c>
      <c r="C469" s="10" t="s">
        <v>1678</v>
      </c>
      <c r="D469" s="10" t="s">
        <v>1679</v>
      </c>
      <c r="E469" s="10" t="s">
        <v>1682</v>
      </c>
      <c r="F469" t="s">
        <v>555</v>
      </c>
      <c r="G469" s="4">
        <v>134244</v>
      </c>
      <c r="H469" s="4"/>
      <c r="I469" s="4"/>
      <c r="J469" s="4">
        <f>SUM(G469:I469)</f>
        <v>134244</v>
      </c>
      <c r="K469" t="s">
        <v>1659</v>
      </c>
      <c r="L469" t="s">
        <v>1659</v>
      </c>
      <c r="M469" t="s">
        <v>1078</v>
      </c>
      <c r="N469" t="s">
        <v>1132</v>
      </c>
      <c r="O469" t="s">
        <v>1132</v>
      </c>
      <c r="P469" t="str">
        <f>IFERROR(VLOOKUP(F469,Sheet1!$A$2:$B$54,2,FALSE),"")</f>
        <v/>
      </c>
    </row>
    <row r="470" spans="1:16" x14ac:dyDescent="0.2">
      <c r="A470" s="1">
        <v>2018</v>
      </c>
      <c r="B470" t="s">
        <v>58</v>
      </c>
      <c r="C470" s="10" t="s">
        <v>1678</v>
      </c>
      <c r="D470" s="10" t="s">
        <v>1679</v>
      </c>
      <c r="E470" s="10" t="s">
        <v>1682</v>
      </c>
      <c r="F470" t="s">
        <v>555</v>
      </c>
      <c r="G470" s="4">
        <v>182558</v>
      </c>
      <c r="H470" s="4"/>
      <c r="I470" s="4"/>
      <c r="J470" s="4">
        <f>SUM(G470:I470)</f>
        <v>182558</v>
      </c>
      <c r="K470" t="s">
        <v>1659</v>
      </c>
      <c r="L470" t="s">
        <v>1659</v>
      </c>
      <c r="M470" t="s">
        <v>1078</v>
      </c>
      <c r="N470" t="s">
        <v>1132</v>
      </c>
      <c r="O470" t="s">
        <v>1132</v>
      </c>
      <c r="P470" t="str">
        <f>IFERROR(VLOOKUP(F470,Sheet1!$A$2:$B$54,2,FALSE),"")</f>
        <v/>
      </c>
    </row>
    <row r="471" spans="1:16" x14ac:dyDescent="0.2">
      <c r="A471" s="1">
        <v>2019</v>
      </c>
      <c r="B471" t="s">
        <v>58</v>
      </c>
      <c r="C471" s="10" t="s">
        <v>1678</v>
      </c>
      <c r="D471" s="10" t="s">
        <v>1679</v>
      </c>
      <c r="E471" s="10" t="s">
        <v>1682</v>
      </c>
      <c r="F471" t="s">
        <v>555</v>
      </c>
      <c r="G471" s="4">
        <v>255127</v>
      </c>
      <c r="H471" s="4"/>
      <c r="I471" s="4"/>
      <c r="J471" s="4">
        <f>SUM(G471:I471)</f>
        <v>255127</v>
      </c>
      <c r="K471" t="s">
        <v>1659</v>
      </c>
      <c r="L471" t="s">
        <v>1659</v>
      </c>
      <c r="M471" t="s">
        <v>1078</v>
      </c>
      <c r="N471" t="s">
        <v>1132</v>
      </c>
      <c r="O471" t="s">
        <v>1132</v>
      </c>
      <c r="P471" t="str">
        <f>IFERROR(VLOOKUP(F471,Sheet1!$A$2:$B$54,2,FALSE),"")</f>
        <v/>
      </c>
    </row>
    <row r="472" spans="1:16" x14ac:dyDescent="0.2">
      <c r="A472" s="1">
        <v>2020</v>
      </c>
      <c r="B472" t="s">
        <v>58</v>
      </c>
      <c r="C472" s="10" t="s">
        <v>1678</v>
      </c>
      <c r="D472" s="10" t="s">
        <v>1679</v>
      </c>
      <c r="E472" s="10" t="s">
        <v>1682</v>
      </c>
      <c r="F472" t="s">
        <v>555</v>
      </c>
      <c r="G472" s="4">
        <v>272215</v>
      </c>
      <c r="H472" s="4"/>
      <c r="I472" s="4"/>
      <c r="J472" s="4">
        <f>SUM(G472:I472)</f>
        <v>272215</v>
      </c>
      <c r="K472" t="s">
        <v>1659</v>
      </c>
      <c r="L472" t="s">
        <v>1659</v>
      </c>
      <c r="M472" t="s">
        <v>1078</v>
      </c>
      <c r="N472" t="s">
        <v>1132</v>
      </c>
      <c r="O472" t="s">
        <v>1132</v>
      </c>
      <c r="P472" t="str">
        <f>IFERROR(VLOOKUP(F472,Sheet1!$A$2:$B$54,2,FALSE),"")</f>
        <v/>
      </c>
    </row>
    <row r="473" spans="1:16" x14ac:dyDescent="0.2">
      <c r="A473" s="1">
        <v>2021</v>
      </c>
      <c r="B473" t="s">
        <v>58</v>
      </c>
      <c r="C473" s="10" t="s">
        <v>1678</v>
      </c>
      <c r="D473" s="10" t="s">
        <v>1679</v>
      </c>
      <c r="E473" s="10" t="s">
        <v>1682</v>
      </c>
      <c r="F473" t="s">
        <v>555</v>
      </c>
      <c r="G473" s="4">
        <v>322818</v>
      </c>
      <c r="H473" s="4"/>
      <c r="I473" s="4"/>
      <c r="J473" s="4">
        <f>SUM(G473:I473)</f>
        <v>322818</v>
      </c>
      <c r="K473" t="s">
        <v>1659</v>
      </c>
      <c r="L473" t="s">
        <v>1659</v>
      </c>
      <c r="M473" t="s">
        <v>555</v>
      </c>
      <c r="N473" t="s">
        <v>1132</v>
      </c>
      <c r="O473" t="s">
        <v>1132</v>
      </c>
      <c r="P473" t="str">
        <f>IFERROR(VLOOKUP(F473,Sheet1!$A$2:$B$54,2,FALSE),"")</f>
        <v/>
      </c>
    </row>
    <row r="474" spans="1:16" x14ac:dyDescent="0.2">
      <c r="A474" s="1">
        <v>2022</v>
      </c>
      <c r="B474" t="s">
        <v>58</v>
      </c>
      <c r="C474" s="10" t="s">
        <v>1678</v>
      </c>
      <c r="D474" s="10" t="s">
        <v>1679</v>
      </c>
      <c r="E474" s="10" t="s">
        <v>1682</v>
      </c>
      <c r="F474" t="s">
        <v>555</v>
      </c>
      <c r="G474" s="4">
        <v>402537</v>
      </c>
      <c r="H474" s="4"/>
      <c r="I474" s="4"/>
      <c r="J474" s="4">
        <f>SUM(G474:I474)</f>
        <v>402537</v>
      </c>
      <c r="K474" t="s">
        <v>1659</v>
      </c>
      <c r="L474" t="s">
        <v>1659</v>
      </c>
      <c r="M474" t="s">
        <v>555</v>
      </c>
      <c r="N474" t="s">
        <v>1132</v>
      </c>
      <c r="O474" t="s">
        <v>1132</v>
      </c>
      <c r="P474" t="str">
        <f>IFERROR(VLOOKUP(F474,Sheet1!$A$2:$B$54,2,FALSE),"")</f>
        <v/>
      </c>
    </row>
    <row r="475" spans="1:16" x14ac:dyDescent="0.2">
      <c r="A475" s="1">
        <v>2023</v>
      </c>
      <c r="B475" t="s">
        <v>58</v>
      </c>
      <c r="C475" s="10" t="s">
        <v>1678</v>
      </c>
      <c r="D475" s="10" t="s">
        <v>1679</v>
      </c>
      <c r="E475" s="10" t="s">
        <v>1682</v>
      </c>
      <c r="F475" t="s">
        <v>555</v>
      </c>
      <c r="G475" s="4">
        <v>511701</v>
      </c>
      <c r="H475" s="4"/>
      <c r="I475" s="4"/>
      <c r="J475" s="4">
        <f>SUM(G475:I475)</f>
        <v>511701</v>
      </c>
      <c r="K475" t="s">
        <v>1659</v>
      </c>
      <c r="L475" t="s">
        <v>1659</v>
      </c>
      <c r="M475" t="s">
        <v>555</v>
      </c>
      <c r="N475" t="s">
        <v>1132</v>
      </c>
      <c r="O475" t="s">
        <v>1132</v>
      </c>
      <c r="P475" t="str">
        <f>IFERROR(VLOOKUP(F475,Sheet1!$A$2:$B$54,2,FALSE),"")</f>
        <v/>
      </c>
    </row>
    <row r="476" spans="1:16" x14ac:dyDescent="0.2">
      <c r="A476" s="1">
        <v>2015</v>
      </c>
      <c r="B476" t="s">
        <v>59</v>
      </c>
      <c r="C476" s="10" t="s">
        <v>1678</v>
      </c>
      <c r="D476" s="10" t="s">
        <v>1679</v>
      </c>
      <c r="E476" s="10" t="s">
        <v>1682</v>
      </c>
      <c r="F476" t="s">
        <v>556</v>
      </c>
      <c r="G476" s="4">
        <v>1356</v>
      </c>
      <c r="H476" s="4"/>
      <c r="I476" s="4"/>
      <c r="J476" s="4">
        <f>SUM(G476:I476)</f>
        <v>1356</v>
      </c>
      <c r="K476" t="s">
        <v>1659</v>
      </c>
      <c r="L476" t="s">
        <v>1659</v>
      </c>
      <c r="M476" t="s">
        <v>1079</v>
      </c>
      <c r="N476" t="s">
        <v>1132</v>
      </c>
      <c r="O476" t="s">
        <v>1132</v>
      </c>
      <c r="P476" t="str">
        <f>IFERROR(VLOOKUP(F476,Sheet1!$A$2:$B$54,2,FALSE),"")</f>
        <v/>
      </c>
    </row>
    <row r="477" spans="1:16" x14ac:dyDescent="0.2">
      <c r="A477" s="1">
        <v>2016</v>
      </c>
      <c r="B477" t="s">
        <v>59</v>
      </c>
      <c r="C477" s="10" t="s">
        <v>1678</v>
      </c>
      <c r="D477" s="10" t="s">
        <v>1679</v>
      </c>
      <c r="E477" s="10" t="s">
        <v>1682</v>
      </c>
      <c r="F477" t="s">
        <v>556</v>
      </c>
      <c r="G477" s="4">
        <v>4414</v>
      </c>
      <c r="H477" s="4"/>
      <c r="I477" s="4"/>
      <c r="J477" s="4">
        <f>SUM(G477:I477)</f>
        <v>4414</v>
      </c>
      <c r="K477" t="s">
        <v>1659</v>
      </c>
      <c r="L477" t="s">
        <v>1659</v>
      </c>
      <c r="M477" t="s">
        <v>1079</v>
      </c>
      <c r="N477" t="s">
        <v>1132</v>
      </c>
      <c r="O477" t="s">
        <v>1132</v>
      </c>
      <c r="P477" t="str">
        <f>IFERROR(VLOOKUP(F477,Sheet1!$A$2:$B$54,2,FALSE),"")</f>
        <v/>
      </c>
    </row>
    <row r="478" spans="1:16" x14ac:dyDescent="0.2">
      <c r="A478" s="1">
        <v>2017</v>
      </c>
      <c r="B478" t="s">
        <v>59</v>
      </c>
      <c r="C478" s="10" t="s">
        <v>1678</v>
      </c>
      <c r="D478" s="10" t="s">
        <v>1679</v>
      </c>
      <c r="E478" s="10" t="s">
        <v>1682</v>
      </c>
      <c r="F478" t="s">
        <v>556</v>
      </c>
      <c r="G478" s="4">
        <v>5241</v>
      </c>
      <c r="H478" s="4"/>
      <c r="I478" s="4"/>
      <c r="J478" s="4">
        <f>SUM(G478:I478)</f>
        <v>5241</v>
      </c>
      <c r="K478" t="s">
        <v>1659</v>
      </c>
      <c r="L478" t="s">
        <v>1659</v>
      </c>
      <c r="M478" t="s">
        <v>1079</v>
      </c>
      <c r="N478" t="s">
        <v>1132</v>
      </c>
      <c r="O478" t="s">
        <v>1132</v>
      </c>
      <c r="P478" t="str">
        <f>IFERROR(VLOOKUP(F478,Sheet1!$A$2:$B$54,2,FALSE),"")</f>
        <v/>
      </c>
    </row>
    <row r="479" spans="1:16" x14ac:dyDescent="0.2">
      <c r="A479" s="1">
        <v>2018</v>
      </c>
      <c r="B479" t="s">
        <v>59</v>
      </c>
      <c r="C479" s="10" t="s">
        <v>1678</v>
      </c>
      <c r="D479" s="10" t="s">
        <v>1679</v>
      </c>
      <c r="E479" s="10" t="s">
        <v>1682</v>
      </c>
      <c r="F479" t="s">
        <v>556</v>
      </c>
      <c r="G479" s="4">
        <v>6995</v>
      </c>
      <c r="H479" s="4"/>
      <c r="I479" s="4"/>
      <c r="J479" s="4">
        <f>SUM(G479:I479)</f>
        <v>6995</v>
      </c>
      <c r="K479" t="s">
        <v>1659</v>
      </c>
      <c r="L479" t="s">
        <v>1659</v>
      </c>
      <c r="M479" t="s">
        <v>1079</v>
      </c>
      <c r="N479" t="s">
        <v>1132</v>
      </c>
      <c r="O479" t="s">
        <v>1132</v>
      </c>
      <c r="P479" t="str">
        <f>IFERROR(VLOOKUP(F479,Sheet1!$A$2:$B$54,2,FALSE),"")</f>
        <v/>
      </c>
    </row>
    <row r="480" spans="1:16" x14ac:dyDescent="0.2">
      <c r="A480" s="1">
        <v>2019</v>
      </c>
      <c r="B480" t="s">
        <v>59</v>
      </c>
      <c r="C480" s="10" t="s">
        <v>1678</v>
      </c>
      <c r="D480" s="10" t="s">
        <v>1679</v>
      </c>
      <c r="E480" s="10" t="s">
        <v>1682</v>
      </c>
      <c r="F480" t="s">
        <v>556</v>
      </c>
      <c r="G480" s="4">
        <v>10197</v>
      </c>
      <c r="H480" s="4"/>
      <c r="I480" s="4"/>
      <c r="J480" s="4">
        <f>SUM(G480:I480)</f>
        <v>10197</v>
      </c>
      <c r="K480" t="s">
        <v>1659</v>
      </c>
      <c r="L480" t="s">
        <v>1659</v>
      </c>
      <c r="M480" t="s">
        <v>1079</v>
      </c>
      <c r="N480" t="s">
        <v>1132</v>
      </c>
      <c r="O480" t="s">
        <v>1132</v>
      </c>
      <c r="P480" t="str">
        <f>IFERROR(VLOOKUP(F480,Sheet1!$A$2:$B$54,2,FALSE),"")</f>
        <v/>
      </c>
    </row>
    <row r="481" spans="1:16" x14ac:dyDescent="0.2">
      <c r="A481" s="1">
        <v>2020</v>
      </c>
      <c r="B481" t="s">
        <v>59</v>
      </c>
      <c r="C481" s="10" t="s">
        <v>1678</v>
      </c>
      <c r="D481" s="10" t="s">
        <v>1679</v>
      </c>
      <c r="E481" s="10" t="s">
        <v>1682</v>
      </c>
      <c r="F481" t="s">
        <v>556</v>
      </c>
      <c r="G481" s="4">
        <v>10700</v>
      </c>
      <c r="H481" s="4"/>
      <c r="I481" s="4"/>
      <c r="J481" s="4">
        <f>SUM(G481:I481)</f>
        <v>10700</v>
      </c>
      <c r="K481" t="s">
        <v>1659</v>
      </c>
      <c r="L481" t="s">
        <v>1659</v>
      </c>
      <c r="M481" t="s">
        <v>1079</v>
      </c>
      <c r="N481" t="s">
        <v>1132</v>
      </c>
      <c r="O481" t="s">
        <v>1132</v>
      </c>
      <c r="P481" t="str">
        <f>IFERROR(VLOOKUP(F481,Sheet1!$A$2:$B$54,2,FALSE),"")</f>
        <v/>
      </c>
    </row>
    <row r="482" spans="1:16" x14ac:dyDescent="0.2">
      <c r="A482" s="1">
        <v>2021</v>
      </c>
      <c r="B482" t="s">
        <v>59</v>
      </c>
      <c r="C482" s="10" t="s">
        <v>1678</v>
      </c>
      <c r="D482" s="10" t="s">
        <v>1679</v>
      </c>
      <c r="E482" s="10" t="s">
        <v>1682</v>
      </c>
      <c r="F482" t="s">
        <v>556</v>
      </c>
      <c r="G482" s="4">
        <v>12499</v>
      </c>
      <c r="H482" s="4"/>
      <c r="I482" s="4"/>
      <c r="J482" s="4">
        <f>SUM(G482:I482)</f>
        <v>12499</v>
      </c>
      <c r="K482" t="s">
        <v>1659</v>
      </c>
      <c r="L482" t="s">
        <v>1659</v>
      </c>
      <c r="M482" t="s">
        <v>556</v>
      </c>
      <c r="N482" t="s">
        <v>1132</v>
      </c>
      <c r="O482" t="s">
        <v>1132</v>
      </c>
      <c r="P482" t="str">
        <f>IFERROR(VLOOKUP(F482,Sheet1!$A$2:$B$54,2,FALSE),"")</f>
        <v/>
      </c>
    </row>
    <row r="483" spans="1:16" x14ac:dyDescent="0.2">
      <c r="A483" s="1">
        <v>2022</v>
      </c>
      <c r="B483" t="s">
        <v>59</v>
      </c>
      <c r="C483" s="10" t="s">
        <v>1678</v>
      </c>
      <c r="D483" s="10" t="s">
        <v>1679</v>
      </c>
      <c r="E483" s="10" t="s">
        <v>1682</v>
      </c>
      <c r="F483" t="s">
        <v>556</v>
      </c>
      <c r="G483" s="4">
        <v>20331</v>
      </c>
      <c r="H483" s="4"/>
      <c r="I483" s="4"/>
      <c r="J483" s="4">
        <f>SUM(G483:I483)</f>
        <v>20331</v>
      </c>
      <c r="K483" t="s">
        <v>1659</v>
      </c>
      <c r="L483" t="s">
        <v>1659</v>
      </c>
      <c r="M483" t="s">
        <v>556</v>
      </c>
      <c r="N483" t="s">
        <v>1132</v>
      </c>
      <c r="O483" t="s">
        <v>1132</v>
      </c>
      <c r="P483" t="str">
        <f>IFERROR(VLOOKUP(F483,Sheet1!$A$2:$B$54,2,FALSE),"")</f>
        <v/>
      </c>
    </row>
    <row r="484" spans="1:16" x14ac:dyDescent="0.2">
      <c r="A484" s="1">
        <v>2023</v>
      </c>
      <c r="B484" t="s">
        <v>59</v>
      </c>
      <c r="C484" s="10" t="s">
        <v>1678</v>
      </c>
      <c r="D484" s="10" t="s">
        <v>1679</v>
      </c>
      <c r="E484" s="10" t="s">
        <v>1682</v>
      </c>
      <c r="F484" t="s">
        <v>556</v>
      </c>
      <c r="G484" s="4">
        <v>21468</v>
      </c>
      <c r="H484" s="4"/>
      <c r="I484" s="4"/>
      <c r="J484" s="4">
        <f>SUM(G484:I484)</f>
        <v>21468</v>
      </c>
      <c r="K484" t="s">
        <v>1659</v>
      </c>
      <c r="L484" t="s">
        <v>1659</v>
      </c>
      <c r="M484" t="s">
        <v>556</v>
      </c>
      <c r="N484" t="s">
        <v>1132</v>
      </c>
      <c r="O484" t="s">
        <v>1132</v>
      </c>
      <c r="P484" t="str">
        <f>IFERROR(VLOOKUP(F484,Sheet1!$A$2:$B$54,2,FALSE),"")</f>
        <v/>
      </c>
    </row>
    <row r="485" spans="1:16" x14ac:dyDescent="0.2">
      <c r="A485" s="1">
        <v>2015</v>
      </c>
      <c r="B485" t="s">
        <v>60</v>
      </c>
      <c r="C485" s="10" t="s">
        <v>1678</v>
      </c>
      <c r="D485" s="10" t="s">
        <v>1679</v>
      </c>
      <c r="E485" s="10" t="s">
        <v>1682</v>
      </c>
      <c r="F485" t="s">
        <v>557</v>
      </c>
      <c r="G485" s="4">
        <v>334</v>
      </c>
      <c r="H485" s="4"/>
      <c r="I485" s="4"/>
      <c r="J485" s="4">
        <f>SUM(G485:I485)</f>
        <v>334</v>
      </c>
      <c r="K485" t="s">
        <v>1659</v>
      </c>
      <c r="L485" t="s">
        <v>1659</v>
      </c>
      <c r="M485" t="s">
        <v>1080</v>
      </c>
      <c r="N485" t="s">
        <v>1132</v>
      </c>
      <c r="O485" t="s">
        <v>1132</v>
      </c>
      <c r="P485" t="str">
        <f>IFERROR(VLOOKUP(F485,Sheet1!$A$2:$B$54,2,FALSE),"")</f>
        <v/>
      </c>
    </row>
    <row r="486" spans="1:16" x14ac:dyDescent="0.2">
      <c r="A486" s="1">
        <v>2016</v>
      </c>
      <c r="B486" t="s">
        <v>60</v>
      </c>
      <c r="C486" s="10" t="s">
        <v>1678</v>
      </c>
      <c r="D486" s="10" t="s">
        <v>1679</v>
      </c>
      <c r="E486" s="10" t="s">
        <v>1682</v>
      </c>
      <c r="F486" t="s">
        <v>557</v>
      </c>
      <c r="G486" s="4">
        <v>0</v>
      </c>
      <c r="H486" s="4"/>
      <c r="I486" s="4"/>
      <c r="J486" s="4">
        <f>SUM(G486:I486)</f>
        <v>0</v>
      </c>
      <c r="K486" t="s">
        <v>1659</v>
      </c>
      <c r="L486" t="s">
        <v>1659</v>
      </c>
      <c r="M486" t="s">
        <v>1081</v>
      </c>
      <c r="N486" t="s">
        <v>1132</v>
      </c>
      <c r="O486" t="s">
        <v>1132</v>
      </c>
      <c r="P486" t="str">
        <f>IFERROR(VLOOKUP(F486,Sheet1!$A$2:$B$54,2,FALSE),"")</f>
        <v/>
      </c>
    </row>
    <row r="487" spans="1:16" x14ac:dyDescent="0.2">
      <c r="A487" s="1">
        <v>2017</v>
      </c>
      <c r="B487" t="s">
        <v>60</v>
      </c>
      <c r="C487" s="10" t="s">
        <v>1678</v>
      </c>
      <c r="D487" s="10" t="s">
        <v>1679</v>
      </c>
      <c r="E487" s="10" t="s">
        <v>1682</v>
      </c>
      <c r="F487" t="s">
        <v>557</v>
      </c>
      <c r="G487" s="4">
        <v>0</v>
      </c>
      <c r="H487" s="4"/>
      <c r="I487" s="4"/>
      <c r="J487" s="4">
        <f>SUM(G487:I487)</f>
        <v>0</v>
      </c>
      <c r="K487" t="s">
        <v>1659</v>
      </c>
      <c r="L487" t="s">
        <v>1659</v>
      </c>
      <c r="M487" t="s">
        <v>1082</v>
      </c>
      <c r="N487" t="s">
        <v>1132</v>
      </c>
      <c r="O487" t="s">
        <v>1132</v>
      </c>
      <c r="P487" t="str">
        <f>IFERROR(VLOOKUP(F487,Sheet1!$A$2:$B$54,2,FALSE),"")</f>
        <v/>
      </c>
    </row>
    <row r="488" spans="1:16" x14ac:dyDescent="0.2">
      <c r="A488" s="1">
        <v>2018</v>
      </c>
      <c r="B488" t="s">
        <v>60</v>
      </c>
      <c r="C488" s="10" t="s">
        <v>1678</v>
      </c>
      <c r="D488" s="10" t="s">
        <v>1679</v>
      </c>
      <c r="E488" s="10" t="s">
        <v>1682</v>
      </c>
      <c r="F488" t="s">
        <v>557</v>
      </c>
      <c r="G488" s="4">
        <v>2558</v>
      </c>
      <c r="H488" s="4"/>
      <c r="I488" s="4"/>
      <c r="J488" s="4">
        <f>SUM(G488:I488)</f>
        <v>2558</v>
      </c>
      <c r="K488" t="s">
        <v>1659</v>
      </c>
      <c r="L488" t="s">
        <v>1659</v>
      </c>
      <c r="M488" t="s">
        <v>1080</v>
      </c>
      <c r="N488" t="s">
        <v>1132</v>
      </c>
      <c r="O488" t="s">
        <v>1132</v>
      </c>
      <c r="P488" t="str">
        <f>IFERROR(VLOOKUP(F488,Sheet1!$A$2:$B$54,2,FALSE),"")</f>
        <v/>
      </c>
    </row>
    <row r="489" spans="1:16" x14ac:dyDescent="0.2">
      <c r="A489" s="1">
        <v>2019</v>
      </c>
      <c r="B489" t="s">
        <v>60</v>
      </c>
      <c r="C489" s="10" t="s">
        <v>1678</v>
      </c>
      <c r="D489" s="10" t="s">
        <v>1679</v>
      </c>
      <c r="E489" s="10" t="s">
        <v>1682</v>
      </c>
      <c r="F489" t="s">
        <v>557</v>
      </c>
      <c r="G489" s="4">
        <v>5639</v>
      </c>
      <c r="H489" s="4"/>
      <c r="I489" s="4"/>
      <c r="J489" s="4">
        <f>SUM(G489:I489)</f>
        <v>5639</v>
      </c>
      <c r="K489" t="s">
        <v>1659</v>
      </c>
      <c r="L489" t="s">
        <v>1659</v>
      </c>
      <c r="M489" t="s">
        <v>1080</v>
      </c>
      <c r="N489" t="s">
        <v>1132</v>
      </c>
      <c r="O489" t="s">
        <v>1132</v>
      </c>
      <c r="P489" t="str">
        <f>IFERROR(VLOOKUP(F489,Sheet1!$A$2:$B$54,2,FALSE),"")</f>
        <v/>
      </c>
    </row>
    <row r="490" spans="1:16" x14ac:dyDescent="0.2">
      <c r="A490" s="1">
        <v>2020</v>
      </c>
      <c r="B490" t="s">
        <v>60</v>
      </c>
      <c r="C490" s="10" t="s">
        <v>1678</v>
      </c>
      <c r="D490" s="10" t="s">
        <v>1679</v>
      </c>
      <c r="E490" s="10" t="s">
        <v>1682</v>
      </c>
      <c r="F490" t="s">
        <v>557</v>
      </c>
      <c r="G490" s="4">
        <v>4855</v>
      </c>
      <c r="H490" s="4"/>
      <c r="I490" s="4"/>
      <c r="J490" s="4">
        <f>SUM(G490:I490)</f>
        <v>4855</v>
      </c>
      <c r="K490" t="s">
        <v>1659</v>
      </c>
      <c r="L490" t="s">
        <v>1659</v>
      </c>
      <c r="M490" t="s">
        <v>1080</v>
      </c>
      <c r="N490" t="s">
        <v>1132</v>
      </c>
      <c r="O490" t="s">
        <v>1132</v>
      </c>
      <c r="P490" t="str">
        <f>IFERROR(VLOOKUP(F490,Sheet1!$A$2:$B$54,2,FALSE),"")</f>
        <v/>
      </c>
    </row>
    <row r="491" spans="1:16" x14ac:dyDescent="0.2">
      <c r="A491" s="1">
        <v>2021</v>
      </c>
      <c r="B491" t="s">
        <v>60</v>
      </c>
      <c r="C491" s="10" t="s">
        <v>1678</v>
      </c>
      <c r="D491" s="10" t="s">
        <v>1679</v>
      </c>
      <c r="E491" s="10" t="s">
        <v>1682</v>
      </c>
      <c r="F491" t="s">
        <v>557</v>
      </c>
      <c r="G491" s="4">
        <v>4296</v>
      </c>
      <c r="H491" s="4"/>
      <c r="I491" s="4"/>
      <c r="J491" s="4">
        <f>SUM(G491:I491)</f>
        <v>4296</v>
      </c>
      <c r="K491" t="s">
        <v>1659</v>
      </c>
      <c r="L491" t="s">
        <v>1659</v>
      </c>
      <c r="M491" t="s">
        <v>557</v>
      </c>
      <c r="N491" t="s">
        <v>1132</v>
      </c>
      <c r="O491" t="s">
        <v>1132</v>
      </c>
      <c r="P491" t="str">
        <f>IFERROR(VLOOKUP(F491,Sheet1!$A$2:$B$54,2,FALSE),"")</f>
        <v/>
      </c>
    </row>
    <row r="492" spans="1:16" x14ac:dyDescent="0.2">
      <c r="A492" s="1">
        <v>2022</v>
      </c>
      <c r="B492" t="s">
        <v>60</v>
      </c>
      <c r="C492" s="10" t="s">
        <v>1678</v>
      </c>
      <c r="D492" s="10" t="s">
        <v>1679</v>
      </c>
      <c r="E492" s="10" t="s">
        <v>1682</v>
      </c>
      <c r="F492" t="s">
        <v>557</v>
      </c>
      <c r="G492" s="4">
        <v>4655</v>
      </c>
      <c r="H492" s="4">
        <v>103</v>
      </c>
      <c r="I492" s="4"/>
      <c r="J492" s="4">
        <f>SUM(G492:I492)</f>
        <v>4758</v>
      </c>
      <c r="K492" t="s">
        <v>1660</v>
      </c>
      <c r="L492" t="s">
        <v>1659</v>
      </c>
      <c r="M492" t="s">
        <v>557</v>
      </c>
      <c r="N492" t="s">
        <v>557</v>
      </c>
      <c r="O492" t="s">
        <v>1132</v>
      </c>
      <c r="P492" t="str">
        <f>IFERROR(VLOOKUP(F492,Sheet1!$A$2:$B$54,2,FALSE),"")</f>
        <v/>
      </c>
    </row>
    <row r="493" spans="1:16" x14ac:dyDescent="0.2">
      <c r="A493" s="1">
        <v>2023</v>
      </c>
      <c r="B493" t="s">
        <v>60</v>
      </c>
      <c r="C493" s="10" t="s">
        <v>1678</v>
      </c>
      <c r="D493" s="10" t="s">
        <v>1679</v>
      </c>
      <c r="E493" s="10" t="s">
        <v>1682</v>
      </c>
      <c r="F493" t="s">
        <v>557</v>
      </c>
      <c r="G493" s="4">
        <v>5699</v>
      </c>
      <c r="H493" s="4">
        <v>0</v>
      </c>
      <c r="I493" s="4"/>
      <c r="J493" s="4">
        <f>SUM(G493:I493)</f>
        <v>5699</v>
      </c>
      <c r="K493" t="s">
        <v>1660</v>
      </c>
      <c r="L493" t="s">
        <v>1659</v>
      </c>
      <c r="M493" t="s">
        <v>557</v>
      </c>
      <c r="N493" t="s">
        <v>557</v>
      </c>
      <c r="O493" t="s">
        <v>1132</v>
      </c>
      <c r="P493" t="str">
        <f>IFERROR(VLOOKUP(F493,Sheet1!$A$2:$B$54,2,FALSE),"")</f>
        <v/>
      </c>
    </row>
    <row r="494" spans="1:16" x14ac:dyDescent="0.2">
      <c r="A494" s="1">
        <v>2015</v>
      </c>
      <c r="B494" t="s">
        <v>61</v>
      </c>
      <c r="C494" s="10" t="s">
        <v>1678</v>
      </c>
      <c r="D494" s="10" t="s">
        <v>1679</v>
      </c>
      <c r="E494" s="10" t="s">
        <v>1682</v>
      </c>
      <c r="F494" t="s">
        <v>558</v>
      </c>
      <c r="G494" s="4">
        <v>2404</v>
      </c>
      <c r="H494" s="4"/>
      <c r="I494" s="4"/>
      <c r="J494" s="4">
        <f>SUM(G494:I494)</f>
        <v>2404</v>
      </c>
      <c r="K494" t="s">
        <v>1659</v>
      </c>
      <c r="L494" t="s">
        <v>1659</v>
      </c>
      <c r="M494" t="s">
        <v>1083</v>
      </c>
      <c r="N494" t="s">
        <v>1132</v>
      </c>
      <c r="O494" t="s">
        <v>1132</v>
      </c>
      <c r="P494" t="str">
        <f>IFERROR(VLOOKUP(F494,Sheet1!$A$2:$B$54,2,FALSE),"")</f>
        <v/>
      </c>
    </row>
    <row r="495" spans="1:16" x14ac:dyDescent="0.2">
      <c r="A495" s="1">
        <v>2016</v>
      </c>
      <c r="B495" t="s">
        <v>61</v>
      </c>
      <c r="C495" s="10" t="s">
        <v>1678</v>
      </c>
      <c r="D495" s="10" t="s">
        <v>1679</v>
      </c>
      <c r="E495" s="10" t="s">
        <v>1682</v>
      </c>
      <c r="F495" t="s">
        <v>558</v>
      </c>
      <c r="G495" s="4">
        <v>3796</v>
      </c>
      <c r="H495" s="4"/>
      <c r="I495" s="4"/>
      <c r="J495" s="4">
        <f>SUM(G495:I495)</f>
        <v>3796</v>
      </c>
      <c r="K495" t="s">
        <v>1659</v>
      </c>
      <c r="L495" t="s">
        <v>1659</v>
      </c>
      <c r="M495" t="s">
        <v>1083</v>
      </c>
      <c r="N495" t="s">
        <v>1132</v>
      </c>
      <c r="O495" t="s">
        <v>1132</v>
      </c>
      <c r="P495" t="str">
        <f>IFERROR(VLOOKUP(F495,Sheet1!$A$2:$B$54,2,FALSE),"")</f>
        <v/>
      </c>
    </row>
    <row r="496" spans="1:16" x14ac:dyDescent="0.2">
      <c r="A496" s="1">
        <v>2017</v>
      </c>
      <c r="B496" t="s">
        <v>61</v>
      </c>
      <c r="C496" s="10" t="s">
        <v>1678</v>
      </c>
      <c r="D496" s="10" t="s">
        <v>1679</v>
      </c>
      <c r="E496" s="10" t="s">
        <v>1682</v>
      </c>
      <c r="F496" t="s">
        <v>558</v>
      </c>
      <c r="G496" s="4">
        <v>8999</v>
      </c>
      <c r="H496" s="4"/>
      <c r="I496" s="4"/>
      <c r="J496" s="4">
        <f>SUM(G496:I496)</f>
        <v>8999</v>
      </c>
      <c r="K496" t="s">
        <v>1659</v>
      </c>
      <c r="L496" t="s">
        <v>1659</v>
      </c>
      <c r="M496" t="s">
        <v>1083</v>
      </c>
      <c r="N496" t="s">
        <v>1132</v>
      </c>
      <c r="O496" t="s">
        <v>1132</v>
      </c>
      <c r="P496" t="str">
        <f>IFERROR(VLOOKUP(F496,Sheet1!$A$2:$B$54,2,FALSE),"")</f>
        <v/>
      </c>
    </row>
    <row r="497" spans="1:16" x14ac:dyDescent="0.2">
      <c r="A497" s="1">
        <v>2018</v>
      </c>
      <c r="B497" t="s">
        <v>61</v>
      </c>
      <c r="C497" s="10" t="s">
        <v>1678</v>
      </c>
      <c r="D497" s="10" t="s">
        <v>1679</v>
      </c>
      <c r="E497" s="10" t="s">
        <v>1682</v>
      </c>
      <c r="F497" t="s">
        <v>558</v>
      </c>
      <c r="G497" s="4">
        <v>13416</v>
      </c>
      <c r="H497" s="4"/>
      <c r="I497" s="4"/>
      <c r="J497" s="4">
        <f>SUM(G497:I497)</f>
        <v>13416</v>
      </c>
      <c r="K497" t="s">
        <v>1659</v>
      </c>
      <c r="L497" t="s">
        <v>1659</v>
      </c>
      <c r="M497" t="s">
        <v>1083</v>
      </c>
      <c r="N497" t="s">
        <v>1132</v>
      </c>
      <c r="O497" t="s">
        <v>1132</v>
      </c>
      <c r="P497" t="str">
        <f>IFERROR(VLOOKUP(F497,Sheet1!$A$2:$B$54,2,FALSE),"")</f>
        <v/>
      </c>
    </row>
    <row r="498" spans="1:16" x14ac:dyDescent="0.2">
      <c r="A498" s="1">
        <v>2019</v>
      </c>
      <c r="B498" t="s">
        <v>61</v>
      </c>
      <c r="C498" s="10" t="s">
        <v>1678</v>
      </c>
      <c r="D498" s="10" t="s">
        <v>1679</v>
      </c>
      <c r="E498" s="10" t="s">
        <v>1682</v>
      </c>
      <c r="F498" t="s">
        <v>558</v>
      </c>
      <c r="G498" s="4">
        <v>15542</v>
      </c>
      <c r="H498" s="4"/>
      <c r="I498" s="4"/>
      <c r="J498" s="4">
        <f>SUM(G498:I498)</f>
        <v>15542</v>
      </c>
      <c r="K498" t="s">
        <v>1659</v>
      </c>
      <c r="L498" t="s">
        <v>1659</v>
      </c>
      <c r="M498" t="s">
        <v>1083</v>
      </c>
      <c r="N498" t="s">
        <v>1132</v>
      </c>
      <c r="O498" t="s">
        <v>1132</v>
      </c>
      <c r="P498" t="str">
        <f>IFERROR(VLOOKUP(F498,Sheet1!$A$2:$B$54,2,FALSE),"")</f>
        <v/>
      </c>
    </row>
    <row r="499" spans="1:16" x14ac:dyDescent="0.2">
      <c r="A499" s="1">
        <v>2020</v>
      </c>
      <c r="B499" t="s">
        <v>61</v>
      </c>
      <c r="C499" s="10" t="s">
        <v>1678</v>
      </c>
      <c r="D499" s="10" t="s">
        <v>1679</v>
      </c>
      <c r="E499" s="10" t="s">
        <v>1682</v>
      </c>
      <c r="F499" t="s">
        <v>558</v>
      </c>
      <c r="G499" s="4">
        <v>15984</v>
      </c>
      <c r="H499" s="4"/>
      <c r="I499" s="4"/>
      <c r="J499" s="4">
        <f>SUM(G499:I499)</f>
        <v>15984</v>
      </c>
      <c r="K499" t="s">
        <v>1659</v>
      </c>
      <c r="L499" t="s">
        <v>1659</v>
      </c>
      <c r="M499" t="s">
        <v>1083</v>
      </c>
      <c r="N499" t="s">
        <v>1132</v>
      </c>
      <c r="O499" t="s">
        <v>1132</v>
      </c>
      <c r="P499" t="str">
        <f>IFERROR(VLOOKUP(F499,Sheet1!$A$2:$B$54,2,FALSE),"")</f>
        <v/>
      </c>
    </row>
    <row r="500" spans="1:16" x14ac:dyDescent="0.2">
      <c r="A500" s="1">
        <v>2021</v>
      </c>
      <c r="B500" t="s">
        <v>61</v>
      </c>
      <c r="C500" s="10" t="s">
        <v>1678</v>
      </c>
      <c r="D500" s="10" t="s">
        <v>1679</v>
      </c>
      <c r="E500" s="10" t="s">
        <v>1682</v>
      </c>
      <c r="F500" t="s">
        <v>558</v>
      </c>
      <c r="G500" s="4">
        <v>24470</v>
      </c>
      <c r="H500" s="4"/>
      <c r="I500" s="4"/>
      <c r="J500" s="4">
        <f>SUM(G500:I500)</f>
        <v>24470</v>
      </c>
      <c r="K500" t="s">
        <v>1659</v>
      </c>
      <c r="L500" t="s">
        <v>1659</v>
      </c>
      <c r="M500" t="s">
        <v>558</v>
      </c>
      <c r="N500" t="s">
        <v>1132</v>
      </c>
      <c r="O500" t="s">
        <v>1132</v>
      </c>
      <c r="P500" t="str">
        <f>IFERROR(VLOOKUP(F500,Sheet1!$A$2:$B$54,2,FALSE),"")</f>
        <v/>
      </c>
    </row>
    <row r="501" spans="1:16" x14ac:dyDescent="0.2">
      <c r="A501" s="1">
        <v>2022</v>
      </c>
      <c r="B501" t="s">
        <v>61</v>
      </c>
      <c r="C501" s="10" t="s">
        <v>1678</v>
      </c>
      <c r="D501" s="10" t="s">
        <v>1679</v>
      </c>
      <c r="E501" s="10" t="s">
        <v>1682</v>
      </c>
      <c r="F501" t="s">
        <v>558</v>
      </c>
      <c r="G501" s="4">
        <v>29318</v>
      </c>
      <c r="H501" s="4"/>
      <c r="I501" s="4"/>
      <c r="J501" s="4">
        <f>SUM(G501:I501)</f>
        <v>29318</v>
      </c>
      <c r="K501" t="s">
        <v>1659</v>
      </c>
      <c r="L501" t="s">
        <v>1659</v>
      </c>
      <c r="M501" t="s">
        <v>558</v>
      </c>
      <c r="N501" t="s">
        <v>1132</v>
      </c>
      <c r="O501" t="s">
        <v>1132</v>
      </c>
      <c r="P501" t="str">
        <f>IFERROR(VLOOKUP(F501,Sheet1!$A$2:$B$54,2,FALSE),"")</f>
        <v/>
      </c>
    </row>
    <row r="502" spans="1:16" x14ac:dyDescent="0.2">
      <c r="A502" s="1">
        <v>2023</v>
      </c>
      <c r="B502" t="s">
        <v>61</v>
      </c>
      <c r="C502" s="10" t="s">
        <v>1678</v>
      </c>
      <c r="D502" s="10" t="s">
        <v>1679</v>
      </c>
      <c r="E502" s="10" t="s">
        <v>1682</v>
      </c>
      <c r="F502" t="s">
        <v>558</v>
      </c>
      <c r="G502" s="4">
        <v>41929</v>
      </c>
      <c r="H502" s="4"/>
      <c r="I502" s="4"/>
      <c r="J502" s="4">
        <f>SUM(G502:I502)</f>
        <v>41929</v>
      </c>
      <c r="K502" t="s">
        <v>1659</v>
      </c>
      <c r="L502" t="s">
        <v>1659</v>
      </c>
      <c r="M502" t="s">
        <v>558</v>
      </c>
      <c r="N502" t="s">
        <v>1132</v>
      </c>
      <c r="O502" t="s">
        <v>1132</v>
      </c>
      <c r="P502" t="str">
        <f>IFERROR(VLOOKUP(F502,Sheet1!$A$2:$B$54,2,FALSE),"")</f>
        <v/>
      </c>
    </row>
    <row r="503" spans="1:16" x14ac:dyDescent="0.2">
      <c r="A503" s="1">
        <v>2015</v>
      </c>
      <c r="B503" t="s">
        <v>62</v>
      </c>
      <c r="C503" s="10" t="s">
        <v>1678</v>
      </c>
      <c r="D503" s="10" t="s">
        <v>1679</v>
      </c>
      <c r="E503" s="10" t="s">
        <v>1682</v>
      </c>
      <c r="F503" t="s">
        <v>559</v>
      </c>
      <c r="G503" s="4">
        <v>3601</v>
      </c>
      <c r="H503" s="4"/>
      <c r="I503" s="4"/>
      <c r="J503" s="4">
        <f>SUM(G503:I503)</f>
        <v>3601</v>
      </c>
      <c r="K503" t="s">
        <v>1659</v>
      </c>
      <c r="L503" t="s">
        <v>1659</v>
      </c>
      <c r="M503" t="s">
        <v>1084</v>
      </c>
      <c r="N503" t="s">
        <v>1132</v>
      </c>
      <c r="O503" t="s">
        <v>1132</v>
      </c>
      <c r="P503" t="str">
        <f>IFERROR(VLOOKUP(F503,Sheet1!$A$2:$B$54,2,FALSE),"")</f>
        <v/>
      </c>
    </row>
    <row r="504" spans="1:16" x14ac:dyDescent="0.2">
      <c r="A504" s="1">
        <v>2016</v>
      </c>
      <c r="B504" t="s">
        <v>62</v>
      </c>
      <c r="C504" s="10" t="s">
        <v>1678</v>
      </c>
      <c r="D504" s="10" t="s">
        <v>1679</v>
      </c>
      <c r="E504" s="10" t="s">
        <v>1682</v>
      </c>
      <c r="F504" t="s">
        <v>559</v>
      </c>
      <c r="G504" s="4">
        <v>3654</v>
      </c>
      <c r="H504" s="4"/>
      <c r="I504" s="4"/>
      <c r="J504" s="4">
        <f>SUM(G504:I504)</f>
        <v>3654</v>
      </c>
      <c r="K504" t="s">
        <v>1659</v>
      </c>
      <c r="L504" t="s">
        <v>1659</v>
      </c>
      <c r="M504" t="s">
        <v>1084</v>
      </c>
      <c r="N504" t="s">
        <v>1132</v>
      </c>
      <c r="O504" t="s">
        <v>1132</v>
      </c>
      <c r="P504" t="str">
        <f>IFERROR(VLOOKUP(F504,Sheet1!$A$2:$B$54,2,FALSE),"")</f>
        <v/>
      </c>
    </row>
    <row r="505" spans="1:16" x14ac:dyDescent="0.2">
      <c r="A505" s="1">
        <v>2017</v>
      </c>
      <c r="B505" t="s">
        <v>62</v>
      </c>
      <c r="C505" s="10" t="s">
        <v>1678</v>
      </c>
      <c r="D505" s="10" t="s">
        <v>1679</v>
      </c>
      <c r="E505" s="10" t="s">
        <v>1682</v>
      </c>
      <c r="F505" t="s">
        <v>559</v>
      </c>
      <c r="G505" s="4">
        <v>7076</v>
      </c>
      <c r="H505" s="4"/>
      <c r="I505" s="4"/>
      <c r="J505" s="4">
        <f>SUM(G505:I505)</f>
        <v>7076</v>
      </c>
      <c r="K505" t="s">
        <v>1659</v>
      </c>
      <c r="L505" t="s">
        <v>1659</v>
      </c>
      <c r="M505" t="s">
        <v>1084</v>
      </c>
      <c r="N505" t="s">
        <v>1132</v>
      </c>
      <c r="O505" t="s">
        <v>1132</v>
      </c>
      <c r="P505" t="str">
        <f>IFERROR(VLOOKUP(F505,Sheet1!$A$2:$B$54,2,FALSE),"")</f>
        <v/>
      </c>
    </row>
    <row r="506" spans="1:16" x14ac:dyDescent="0.2">
      <c r="A506" s="1">
        <v>2018</v>
      </c>
      <c r="B506" t="s">
        <v>62</v>
      </c>
      <c r="C506" s="10" t="s">
        <v>1678</v>
      </c>
      <c r="D506" s="10" t="s">
        <v>1679</v>
      </c>
      <c r="E506" s="10" t="s">
        <v>1682</v>
      </c>
      <c r="F506" t="s">
        <v>559</v>
      </c>
      <c r="G506" s="4">
        <v>10684</v>
      </c>
      <c r="H506" s="4"/>
      <c r="I506" s="4"/>
      <c r="J506" s="4">
        <f>SUM(G506:I506)</f>
        <v>10684</v>
      </c>
      <c r="K506" t="s">
        <v>1659</v>
      </c>
      <c r="L506" t="s">
        <v>1659</v>
      </c>
      <c r="M506" t="s">
        <v>1084</v>
      </c>
      <c r="N506" t="s">
        <v>1132</v>
      </c>
      <c r="O506" t="s">
        <v>1132</v>
      </c>
      <c r="P506" t="str">
        <f>IFERROR(VLOOKUP(F506,Sheet1!$A$2:$B$54,2,FALSE),"")</f>
        <v/>
      </c>
    </row>
    <row r="507" spans="1:16" x14ac:dyDescent="0.2">
      <c r="A507" s="1">
        <v>2019</v>
      </c>
      <c r="B507" t="s">
        <v>62</v>
      </c>
      <c r="C507" s="10" t="s">
        <v>1678</v>
      </c>
      <c r="D507" s="10" t="s">
        <v>1679</v>
      </c>
      <c r="E507" s="10" t="s">
        <v>1682</v>
      </c>
      <c r="F507" t="s">
        <v>559</v>
      </c>
      <c r="G507" s="4">
        <v>17450</v>
      </c>
      <c r="H507" s="4"/>
      <c r="I507" s="4"/>
      <c r="J507" s="4">
        <f>SUM(G507:I507)</f>
        <v>17450</v>
      </c>
      <c r="K507" t="s">
        <v>1659</v>
      </c>
      <c r="L507" t="s">
        <v>1659</v>
      </c>
      <c r="M507" t="s">
        <v>1084</v>
      </c>
      <c r="N507" t="s">
        <v>1132</v>
      </c>
      <c r="O507" t="s">
        <v>1132</v>
      </c>
      <c r="P507" t="str">
        <f>IFERROR(VLOOKUP(F507,Sheet1!$A$2:$B$54,2,FALSE),"")</f>
        <v/>
      </c>
    </row>
    <row r="508" spans="1:16" x14ac:dyDescent="0.2">
      <c r="A508" s="1">
        <v>2020</v>
      </c>
      <c r="B508" t="s">
        <v>62</v>
      </c>
      <c r="C508" s="10" t="s">
        <v>1678</v>
      </c>
      <c r="D508" s="10" t="s">
        <v>1679</v>
      </c>
      <c r="E508" s="10" t="s">
        <v>1682</v>
      </c>
      <c r="F508" t="s">
        <v>559</v>
      </c>
      <c r="G508" s="4">
        <v>15058</v>
      </c>
      <c r="H508" s="4"/>
      <c r="I508" s="4"/>
      <c r="J508" s="4">
        <f>SUM(G508:I508)</f>
        <v>15058</v>
      </c>
      <c r="K508" t="s">
        <v>1659</v>
      </c>
      <c r="L508" t="s">
        <v>1659</v>
      </c>
      <c r="M508" t="s">
        <v>1084</v>
      </c>
      <c r="N508" t="s">
        <v>1132</v>
      </c>
      <c r="O508" t="s">
        <v>1132</v>
      </c>
      <c r="P508" t="str">
        <f>IFERROR(VLOOKUP(F508,Sheet1!$A$2:$B$54,2,FALSE),"")</f>
        <v/>
      </c>
    </row>
    <row r="509" spans="1:16" x14ac:dyDescent="0.2">
      <c r="A509" s="1">
        <v>2021</v>
      </c>
      <c r="B509" t="s">
        <v>62</v>
      </c>
      <c r="C509" s="10" t="s">
        <v>1678</v>
      </c>
      <c r="D509" s="10" t="s">
        <v>1679</v>
      </c>
      <c r="E509" s="10" t="s">
        <v>1682</v>
      </c>
      <c r="F509" t="s">
        <v>559</v>
      </c>
      <c r="G509" s="4">
        <v>16902</v>
      </c>
      <c r="H509" s="4"/>
      <c r="I509" s="4"/>
      <c r="J509" s="4">
        <f>SUM(G509:I509)</f>
        <v>16902</v>
      </c>
      <c r="K509" t="s">
        <v>1659</v>
      </c>
      <c r="L509" t="s">
        <v>1659</v>
      </c>
      <c r="M509" t="s">
        <v>559</v>
      </c>
      <c r="N509" t="s">
        <v>1132</v>
      </c>
      <c r="O509" t="s">
        <v>1132</v>
      </c>
      <c r="P509" t="str">
        <f>IFERROR(VLOOKUP(F509,Sheet1!$A$2:$B$54,2,FALSE),"")</f>
        <v/>
      </c>
    </row>
    <row r="510" spans="1:16" x14ac:dyDescent="0.2">
      <c r="A510" s="1">
        <v>2022</v>
      </c>
      <c r="B510" t="s">
        <v>62</v>
      </c>
      <c r="C510" s="10" t="s">
        <v>1678</v>
      </c>
      <c r="D510" s="10" t="s">
        <v>1679</v>
      </c>
      <c r="E510" s="10" t="s">
        <v>1682</v>
      </c>
      <c r="F510" t="s">
        <v>559</v>
      </c>
      <c r="G510" s="4">
        <v>15835</v>
      </c>
      <c r="H510" s="4"/>
      <c r="I510" s="4"/>
      <c r="J510" s="4">
        <f>SUM(G510:I510)</f>
        <v>15835</v>
      </c>
      <c r="K510" t="s">
        <v>1659</v>
      </c>
      <c r="L510" t="s">
        <v>1659</v>
      </c>
      <c r="M510" t="s">
        <v>559</v>
      </c>
      <c r="N510" t="s">
        <v>1132</v>
      </c>
      <c r="O510" t="s">
        <v>1132</v>
      </c>
      <c r="P510" t="str">
        <f>IFERROR(VLOOKUP(F510,Sheet1!$A$2:$B$54,2,FALSE),"")</f>
        <v/>
      </c>
    </row>
    <row r="511" spans="1:16" x14ac:dyDescent="0.2">
      <c r="A511" s="1">
        <v>2023</v>
      </c>
      <c r="B511" t="s">
        <v>62</v>
      </c>
      <c r="C511" s="10" t="s">
        <v>1678</v>
      </c>
      <c r="D511" s="10" t="s">
        <v>1679</v>
      </c>
      <c r="E511" s="10" t="s">
        <v>1682</v>
      </c>
      <c r="F511" t="s">
        <v>559</v>
      </c>
      <c r="G511" s="4">
        <v>35209</v>
      </c>
      <c r="H511" s="4"/>
      <c r="I511" s="4"/>
      <c r="J511" s="4">
        <f>SUM(G511:I511)</f>
        <v>35209</v>
      </c>
      <c r="K511" t="s">
        <v>1659</v>
      </c>
      <c r="L511" t="s">
        <v>1659</v>
      </c>
      <c r="M511" t="s">
        <v>559</v>
      </c>
      <c r="N511" t="s">
        <v>1132</v>
      </c>
      <c r="O511" t="s">
        <v>1132</v>
      </c>
      <c r="P511" t="str">
        <f>IFERROR(VLOOKUP(F511,Sheet1!$A$2:$B$54,2,FALSE),"")</f>
        <v/>
      </c>
    </row>
    <row r="512" spans="1:16" x14ac:dyDescent="0.2">
      <c r="A512" s="1">
        <v>2015</v>
      </c>
      <c r="B512" t="s">
        <v>63</v>
      </c>
      <c r="C512" s="10" t="s">
        <v>1678</v>
      </c>
      <c r="D512" s="10" t="s">
        <v>1679</v>
      </c>
      <c r="E512" s="10" t="s">
        <v>1682</v>
      </c>
      <c r="F512" t="s">
        <v>560</v>
      </c>
      <c r="G512" s="4">
        <v>5616</v>
      </c>
      <c r="H512" s="4"/>
      <c r="I512" s="4"/>
      <c r="J512" s="4">
        <f>SUM(G512:I512)</f>
        <v>5616</v>
      </c>
      <c r="K512" t="s">
        <v>1659</v>
      </c>
      <c r="L512" t="s">
        <v>1659</v>
      </c>
      <c r="M512" t="s">
        <v>1085</v>
      </c>
      <c r="N512" t="s">
        <v>1132</v>
      </c>
      <c r="O512" t="s">
        <v>1132</v>
      </c>
      <c r="P512" t="str">
        <f>IFERROR(VLOOKUP(F512,Sheet1!$A$2:$B$54,2,FALSE),"")</f>
        <v/>
      </c>
    </row>
    <row r="513" spans="1:16" x14ac:dyDescent="0.2">
      <c r="A513" s="1">
        <v>2016</v>
      </c>
      <c r="B513" t="s">
        <v>63</v>
      </c>
      <c r="C513" s="10" t="s">
        <v>1678</v>
      </c>
      <c r="D513" s="10" t="s">
        <v>1679</v>
      </c>
      <c r="E513" s="10" t="s">
        <v>1682</v>
      </c>
      <c r="F513" t="s">
        <v>560</v>
      </c>
      <c r="G513" s="4">
        <v>6541</v>
      </c>
      <c r="H513" s="4"/>
      <c r="I513" s="4"/>
      <c r="J513" s="4">
        <f>SUM(G513:I513)</f>
        <v>6541</v>
      </c>
      <c r="K513" t="s">
        <v>1659</v>
      </c>
      <c r="L513" t="s">
        <v>1659</v>
      </c>
      <c r="M513" t="s">
        <v>1085</v>
      </c>
      <c r="N513" t="s">
        <v>1132</v>
      </c>
      <c r="O513" t="s">
        <v>1132</v>
      </c>
      <c r="P513" t="str">
        <f>IFERROR(VLOOKUP(F513,Sheet1!$A$2:$B$54,2,FALSE),"")</f>
        <v/>
      </c>
    </row>
    <row r="514" spans="1:16" x14ac:dyDescent="0.2">
      <c r="A514" s="1">
        <v>2017</v>
      </c>
      <c r="B514" t="s">
        <v>63</v>
      </c>
      <c r="C514" s="10" t="s">
        <v>1678</v>
      </c>
      <c r="D514" s="10" t="s">
        <v>1679</v>
      </c>
      <c r="E514" s="10" t="s">
        <v>1682</v>
      </c>
      <c r="F514" t="s">
        <v>560</v>
      </c>
      <c r="G514" s="4">
        <v>6638</v>
      </c>
      <c r="H514" s="4"/>
      <c r="I514" s="4"/>
      <c r="J514" s="4">
        <f>SUM(G514:I514)</f>
        <v>6638</v>
      </c>
      <c r="K514" t="s">
        <v>1659</v>
      </c>
      <c r="L514" t="s">
        <v>1659</v>
      </c>
      <c r="M514" t="s">
        <v>1085</v>
      </c>
      <c r="N514" t="s">
        <v>1132</v>
      </c>
      <c r="O514" t="s">
        <v>1132</v>
      </c>
      <c r="P514" t="str">
        <f>IFERROR(VLOOKUP(F514,Sheet1!$A$2:$B$54,2,FALSE),"")</f>
        <v/>
      </c>
    </row>
    <row r="515" spans="1:16" x14ac:dyDescent="0.2">
      <c r="A515" s="1">
        <v>2018</v>
      </c>
      <c r="B515" t="s">
        <v>63</v>
      </c>
      <c r="C515" s="10" t="s">
        <v>1678</v>
      </c>
      <c r="D515" s="10" t="s">
        <v>1679</v>
      </c>
      <c r="E515" s="10" t="s">
        <v>1682</v>
      </c>
      <c r="F515" t="s">
        <v>560</v>
      </c>
      <c r="G515" s="4">
        <v>9034</v>
      </c>
      <c r="H515" s="4"/>
      <c r="I515" s="4"/>
      <c r="J515" s="4">
        <f>SUM(G515:I515)</f>
        <v>9034</v>
      </c>
      <c r="K515" t="s">
        <v>1659</v>
      </c>
      <c r="L515" t="s">
        <v>1659</v>
      </c>
      <c r="M515" t="s">
        <v>1085</v>
      </c>
      <c r="N515" t="s">
        <v>1132</v>
      </c>
      <c r="O515" t="s">
        <v>1132</v>
      </c>
      <c r="P515" t="str">
        <f>IFERROR(VLOOKUP(F515,Sheet1!$A$2:$B$54,2,FALSE),"")</f>
        <v/>
      </c>
    </row>
    <row r="516" spans="1:16" x14ac:dyDescent="0.2">
      <c r="A516" s="1">
        <v>2019</v>
      </c>
      <c r="B516" t="s">
        <v>63</v>
      </c>
      <c r="C516" s="10" t="s">
        <v>1678</v>
      </c>
      <c r="D516" s="10" t="s">
        <v>1679</v>
      </c>
      <c r="E516" s="10" t="s">
        <v>1682</v>
      </c>
      <c r="F516" t="s">
        <v>560</v>
      </c>
      <c r="G516" s="4">
        <v>9492</v>
      </c>
      <c r="H516" s="4"/>
      <c r="I516" s="4"/>
      <c r="J516" s="4">
        <f>SUM(G516:I516)</f>
        <v>9492</v>
      </c>
      <c r="K516" t="s">
        <v>1659</v>
      </c>
      <c r="L516" t="s">
        <v>1659</v>
      </c>
      <c r="M516" t="s">
        <v>1085</v>
      </c>
      <c r="N516" t="s">
        <v>1132</v>
      </c>
      <c r="O516" t="s">
        <v>1132</v>
      </c>
      <c r="P516" t="str">
        <f>IFERROR(VLOOKUP(F516,Sheet1!$A$2:$B$54,2,FALSE),"")</f>
        <v/>
      </c>
    </row>
    <row r="517" spans="1:16" x14ac:dyDescent="0.2">
      <c r="A517" s="1">
        <v>2020</v>
      </c>
      <c r="B517" t="s">
        <v>63</v>
      </c>
      <c r="C517" s="10" t="s">
        <v>1678</v>
      </c>
      <c r="D517" s="10" t="s">
        <v>1679</v>
      </c>
      <c r="E517" s="10" t="s">
        <v>1682</v>
      </c>
      <c r="F517" t="s">
        <v>560</v>
      </c>
      <c r="G517" s="4">
        <v>8005</v>
      </c>
      <c r="H517" s="4"/>
      <c r="I517" s="4"/>
      <c r="J517" s="4">
        <f>SUM(G517:I517)</f>
        <v>8005</v>
      </c>
      <c r="K517" t="s">
        <v>1659</v>
      </c>
      <c r="L517" t="s">
        <v>1659</v>
      </c>
      <c r="M517" t="s">
        <v>1085</v>
      </c>
      <c r="N517" t="s">
        <v>1132</v>
      </c>
      <c r="O517" t="s">
        <v>1132</v>
      </c>
      <c r="P517" t="str">
        <f>IFERROR(VLOOKUP(F517,Sheet1!$A$2:$B$54,2,FALSE),"")</f>
        <v/>
      </c>
    </row>
    <row r="518" spans="1:16" x14ac:dyDescent="0.2">
      <c r="A518" s="1">
        <v>2021</v>
      </c>
      <c r="B518" t="s">
        <v>63</v>
      </c>
      <c r="C518" s="10" t="s">
        <v>1678</v>
      </c>
      <c r="D518" s="10" t="s">
        <v>1679</v>
      </c>
      <c r="E518" s="10" t="s">
        <v>1682</v>
      </c>
      <c r="F518" t="s">
        <v>560</v>
      </c>
      <c r="G518" s="4">
        <v>12152</v>
      </c>
      <c r="H518" s="4"/>
      <c r="I518" s="4"/>
      <c r="J518" s="4">
        <f>SUM(G518:I518)</f>
        <v>12152</v>
      </c>
      <c r="K518" t="s">
        <v>1659</v>
      </c>
      <c r="L518" t="s">
        <v>1659</v>
      </c>
      <c r="M518" t="s">
        <v>560</v>
      </c>
      <c r="N518" t="s">
        <v>1132</v>
      </c>
      <c r="O518" t="s">
        <v>1132</v>
      </c>
      <c r="P518" t="str">
        <f>IFERROR(VLOOKUP(F518,Sheet1!$A$2:$B$54,2,FALSE),"")</f>
        <v/>
      </c>
    </row>
    <row r="519" spans="1:16" x14ac:dyDescent="0.2">
      <c r="A519" s="1">
        <v>2022</v>
      </c>
      <c r="B519" t="s">
        <v>63</v>
      </c>
      <c r="C519" s="10" t="s">
        <v>1678</v>
      </c>
      <c r="D519" s="10" t="s">
        <v>1679</v>
      </c>
      <c r="E519" s="10" t="s">
        <v>1682</v>
      </c>
      <c r="F519" t="s">
        <v>560</v>
      </c>
      <c r="G519" s="4">
        <v>19843</v>
      </c>
      <c r="H519" s="4"/>
      <c r="I519" s="4"/>
      <c r="J519" s="4">
        <f>SUM(G519:I519)</f>
        <v>19843</v>
      </c>
      <c r="K519" t="s">
        <v>1659</v>
      </c>
      <c r="L519" t="s">
        <v>1659</v>
      </c>
      <c r="M519" t="s">
        <v>560</v>
      </c>
      <c r="N519" t="s">
        <v>1132</v>
      </c>
      <c r="O519" t="s">
        <v>1132</v>
      </c>
      <c r="P519" t="str">
        <f>IFERROR(VLOOKUP(F519,Sheet1!$A$2:$B$54,2,FALSE),"")</f>
        <v/>
      </c>
    </row>
    <row r="520" spans="1:16" x14ac:dyDescent="0.2">
      <c r="A520" s="1">
        <v>2023</v>
      </c>
      <c r="B520" t="s">
        <v>63</v>
      </c>
      <c r="C520" s="10" t="s">
        <v>1678</v>
      </c>
      <c r="D520" s="10" t="s">
        <v>1679</v>
      </c>
      <c r="E520" s="10" t="s">
        <v>1682</v>
      </c>
      <c r="F520" t="s">
        <v>560</v>
      </c>
      <c r="G520" s="4">
        <v>31871</v>
      </c>
      <c r="H520" s="4"/>
      <c r="I520" s="4"/>
      <c r="J520" s="4">
        <f>SUM(G520:I520)</f>
        <v>31871</v>
      </c>
      <c r="K520" t="s">
        <v>1659</v>
      </c>
      <c r="L520" t="s">
        <v>1659</v>
      </c>
      <c r="M520" t="s">
        <v>560</v>
      </c>
      <c r="N520" t="s">
        <v>1132</v>
      </c>
      <c r="O520" t="s">
        <v>1132</v>
      </c>
      <c r="P520" t="str">
        <f>IFERROR(VLOOKUP(F520,Sheet1!$A$2:$B$54,2,FALSE),"")</f>
        <v/>
      </c>
    </row>
    <row r="521" spans="1:16" x14ac:dyDescent="0.2">
      <c r="A521" s="1">
        <v>2015</v>
      </c>
      <c r="B521" t="s">
        <v>64</v>
      </c>
      <c r="C521" s="10" t="s">
        <v>1678</v>
      </c>
      <c r="D521" s="10" t="s">
        <v>1679</v>
      </c>
      <c r="E521" s="10" t="s">
        <v>1682</v>
      </c>
      <c r="F521" t="s">
        <v>561</v>
      </c>
      <c r="G521" s="4">
        <v>5044</v>
      </c>
      <c r="H521" s="4"/>
      <c r="I521" s="4"/>
      <c r="J521" s="4">
        <f>SUM(G521:I521)</f>
        <v>5044</v>
      </c>
      <c r="K521" t="s">
        <v>1659</v>
      </c>
      <c r="L521" t="s">
        <v>1659</v>
      </c>
      <c r="M521" t="s">
        <v>1086</v>
      </c>
      <c r="N521" t="s">
        <v>1132</v>
      </c>
      <c r="O521" t="s">
        <v>1132</v>
      </c>
      <c r="P521" t="str">
        <f>IFERROR(VLOOKUP(F521,Sheet1!$A$2:$B$54,2,FALSE),"")</f>
        <v/>
      </c>
    </row>
    <row r="522" spans="1:16" x14ac:dyDescent="0.2">
      <c r="A522" s="1">
        <v>2016</v>
      </c>
      <c r="B522" t="s">
        <v>64</v>
      </c>
      <c r="C522" s="10" t="s">
        <v>1678</v>
      </c>
      <c r="D522" s="10" t="s">
        <v>1679</v>
      </c>
      <c r="E522" s="10" t="s">
        <v>1682</v>
      </c>
      <c r="F522" t="s">
        <v>561</v>
      </c>
      <c r="G522" s="4">
        <v>15130</v>
      </c>
      <c r="H522" s="4"/>
      <c r="I522" s="4"/>
      <c r="J522" s="4">
        <f>SUM(G522:I522)</f>
        <v>15130</v>
      </c>
      <c r="K522" t="s">
        <v>1659</v>
      </c>
      <c r="L522" t="s">
        <v>1659</v>
      </c>
      <c r="M522" t="s">
        <v>1086</v>
      </c>
      <c r="N522" t="s">
        <v>1132</v>
      </c>
      <c r="O522" t="s">
        <v>1132</v>
      </c>
      <c r="P522" t="str">
        <f>IFERROR(VLOOKUP(F522,Sheet1!$A$2:$B$54,2,FALSE),"")</f>
        <v/>
      </c>
    </row>
    <row r="523" spans="1:16" x14ac:dyDescent="0.2">
      <c r="A523" s="1">
        <v>2017</v>
      </c>
      <c r="B523" t="s">
        <v>64</v>
      </c>
      <c r="C523" s="10" t="s">
        <v>1678</v>
      </c>
      <c r="D523" s="10" t="s">
        <v>1679</v>
      </c>
      <c r="E523" s="10" t="s">
        <v>1682</v>
      </c>
      <c r="F523" t="s">
        <v>561</v>
      </c>
      <c r="G523" s="4">
        <v>15622</v>
      </c>
      <c r="H523" s="4"/>
      <c r="I523" s="4"/>
      <c r="J523" s="4">
        <f>SUM(G523:I523)</f>
        <v>15622</v>
      </c>
      <c r="K523" t="s">
        <v>1659</v>
      </c>
      <c r="L523" t="s">
        <v>1659</v>
      </c>
      <c r="M523" t="s">
        <v>1086</v>
      </c>
      <c r="N523" t="s">
        <v>1132</v>
      </c>
      <c r="O523" t="s">
        <v>1132</v>
      </c>
      <c r="P523" t="str">
        <f>IFERROR(VLOOKUP(F523,Sheet1!$A$2:$B$54,2,FALSE),"")</f>
        <v/>
      </c>
    </row>
    <row r="524" spans="1:16" x14ac:dyDescent="0.2">
      <c r="A524" s="1">
        <v>2018</v>
      </c>
      <c r="B524" t="s">
        <v>64</v>
      </c>
      <c r="C524" s="10" t="s">
        <v>1678</v>
      </c>
      <c r="D524" s="10" t="s">
        <v>1679</v>
      </c>
      <c r="E524" s="10" t="s">
        <v>1682</v>
      </c>
      <c r="F524" t="s">
        <v>561</v>
      </c>
      <c r="G524" s="4">
        <v>21984</v>
      </c>
      <c r="H524" s="4"/>
      <c r="I524" s="4"/>
      <c r="J524" s="4">
        <f>SUM(G524:I524)</f>
        <v>21984</v>
      </c>
      <c r="K524" t="s">
        <v>1659</v>
      </c>
      <c r="L524" t="s">
        <v>1659</v>
      </c>
      <c r="M524" t="s">
        <v>1086</v>
      </c>
      <c r="N524" t="s">
        <v>1132</v>
      </c>
      <c r="O524" t="s">
        <v>1132</v>
      </c>
      <c r="P524" t="str">
        <f>IFERROR(VLOOKUP(F524,Sheet1!$A$2:$B$54,2,FALSE),"")</f>
        <v/>
      </c>
    </row>
    <row r="525" spans="1:16" x14ac:dyDescent="0.2">
      <c r="A525" s="1">
        <v>2019</v>
      </c>
      <c r="B525" t="s">
        <v>64</v>
      </c>
      <c r="C525" s="10" t="s">
        <v>1678</v>
      </c>
      <c r="D525" s="10" t="s">
        <v>1679</v>
      </c>
      <c r="E525" s="10" t="s">
        <v>1682</v>
      </c>
      <c r="F525" t="s">
        <v>561</v>
      </c>
      <c r="G525" s="4">
        <v>21799</v>
      </c>
      <c r="H525" s="4"/>
      <c r="I525" s="4"/>
      <c r="J525" s="4">
        <f>SUM(G525:I525)</f>
        <v>21799</v>
      </c>
      <c r="K525" t="s">
        <v>1659</v>
      </c>
      <c r="L525" t="s">
        <v>1659</v>
      </c>
      <c r="M525" t="s">
        <v>1086</v>
      </c>
      <c r="N525" t="s">
        <v>1132</v>
      </c>
      <c r="O525" t="s">
        <v>1132</v>
      </c>
      <c r="P525" t="str">
        <f>IFERROR(VLOOKUP(F525,Sheet1!$A$2:$B$54,2,FALSE),"")</f>
        <v/>
      </c>
    </row>
    <row r="526" spans="1:16" x14ac:dyDescent="0.2">
      <c r="A526" s="1">
        <v>2020</v>
      </c>
      <c r="B526" t="s">
        <v>64</v>
      </c>
      <c r="C526" s="10" t="s">
        <v>1678</v>
      </c>
      <c r="D526" s="10" t="s">
        <v>1679</v>
      </c>
      <c r="E526" s="10" t="s">
        <v>1682</v>
      </c>
      <c r="F526" t="s">
        <v>561</v>
      </c>
      <c r="G526" s="4">
        <v>19151</v>
      </c>
      <c r="H526" s="4"/>
      <c r="I526" s="4"/>
      <c r="J526" s="4">
        <f>SUM(G526:I526)</f>
        <v>19151</v>
      </c>
      <c r="K526" t="s">
        <v>1659</v>
      </c>
      <c r="L526" t="s">
        <v>1659</v>
      </c>
      <c r="M526" t="s">
        <v>1086</v>
      </c>
      <c r="N526" t="s">
        <v>1132</v>
      </c>
      <c r="O526" t="s">
        <v>1132</v>
      </c>
      <c r="P526" t="str">
        <f>IFERROR(VLOOKUP(F526,Sheet1!$A$2:$B$54,2,FALSE),"")</f>
        <v/>
      </c>
    </row>
    <row r="527" spans="1:16" x14ac:dyDescent="0.2">
      <c r="A527" s="1">
        <v>2021</v>
      </c>
      <c r="B527" t="s">
        <v>64</v>
      </c>
      <c r="C527" s="10" t="s">
        <v>1678</v>
      </c>
      <c r="D527" s="10" t="s">
        <v>1679</v>
      </c>
      <c r="E527" s="10" t="s">
        <v>1682</v>
      </c>
      <c r="F527" t="s">
        <v>561</v>
      </c>
      <c r="G527" s="4">
        <v>20167</v>
      </c>
      <c r="H527" s="4"/>
      <c r="I527" s="4"/>
      <c r="J527" s="4">
        <f>SUM(G527:I527)</f>
        <v>20167</v>
      </c>
      <c r="K527" t="s">
        <v>1659</v>
      </c>
      <c r="L527" t="s">
        <v>1659</v>
      </c>
      <c r="M527" t="s">
        <v>561</v>
      </c>
      <c r="N527" t="s">
        <v>1132</v>
      </c>
      <c r="O527" t="s">
        <v>1132</v>
      </c>
      <c r="P527" t="str">
        <f>IFERROR(VLOOKUP(F527,Sheet1!$A$2:$B$54,2,FALSE),"")</f>
        <v/>
      </c>
    </row>
    <row r="528" spans="1:16" x14ac:dyDescent="0.2">
      <c r="A528" s="1">
        <v>2022</v>
      </c>
      <c r="B528" t="s">
        <v>64</v>
      </c>
      <c r="C528" s="10" t="s">
        <v>1678</v>
      </c>
      <c r="D528" s="10" t="s">
        <v>1679</v>
      </c>
      <c r="E528" s="10" t="s">
        <v>1682</v>
      </c>
      <c r="F528" t="s">
        <v>561</v>
      </c>
      <c r="G528" s="4">
        <v>28398</v>
      </c>
      <c r="H528" s="4"/>
      <c r="I528" s="4"/>
      <c r="J528" s="4">
        <f>SUM(G528:I528)</f>
        <v>28398</v>
      </c>
      <c r="K528" t="s">
        <v>1659</v>
      </c>
      <c r="L528" t="s">
        <v>1659</v>
      </c>
      <c r="M528" t="s">
        <v>561</v>
      </c>
      <c r="N528" t="s">
        <v>1132</v>
      </c>
      <c r="O528" t="s">
        <v>1132</v>
      </c>
      <c r="P528" t="str">
        <f>IFERROR(VLOOKUP(F528,Sheet1!$A$2:$B$54,2,FALSE),"")</f>
        <v/>
      </c>
    </row>
    <row r="529" spans="1:16" x14ac:dyDescent="0.2">
      <c r="A529" s="1">
        <v>2023</v>
      </c>
      <c r="B529" t="s">
        <v>64</v>
      </c>
      <c r="C529" s="10" t="s">
        <v>1678</v>
      </c>
      <c r="D529" s="10" t="s">
        <v>1679</v>
      </c>
      <c r="E529" s="10" t="s">
        <v>1682</v>
      </c>
      <c r="F529" t="s">
        <v>561</v>
      </c>
      <c r="G529" s="4">
        <v>54077</v>
      </c>
      <c r="H529" s="4"/>
      <c r="I529" s="4"/>
      <c r="J529" s="4">
        <f>SUM(G529:I529)</f>
        <v>54077</v>
      </c>
      <c r="K529" t="s">
        <v>1659</v>
      </c>
      <c r="L529" t="s">
        <v>1659</v>
      </c>
      <c r="M529" t="s">
        <v>561</v>
      </c>
      <c r="N529" t="s">
        <v>1132</v>
      </c>
      <c r="O529" t="s">
        <v>1132</v>
      </c>
      <c r="P529" t="str">
        <f>IFERROR(VLOOKUP(F529,Sheet1!$A$2:$B$54,2,FALSE),"")</f>
        <v/>
      </c>
    </row>
    <row r="530" spans="1:16" x14ac:dyDescent="0.2">
      <c r="A530" s="1">
        <v>2015</v>
      </c>
      <c r="B530" t="s">
        <v>65</v>
      </c>
      <c r="C530" s="10" t="s">
        <v>1678</v>
      </c>
      <c r="D530" s="10" t="s">
        <v>1679</v>
      </c>
      <c r="E530" s="10" t="s">
        <v>1682</v>
      </c>
      <c r="F530" t="s">
        <v>562</v>
      </c>
      <c r="G530" s="4">
        <v>6708</v>
      </c>
      <c r="H530" s="4"/>
      <c r="I530" s="4"/>
      <c r="J530" s="4">
        <f>SUM(G530:I530)</f>
        <v>6708</v>
      </c>
      <c r="K530" t="s">
        <v>1659</v>
      </c>
      <c r="L530" t="s">
        <v>1659</v>
      </c>
      <c r="M530" t="s">
        <v>1087</v>
      </c>
      <c r="N530" t="s">
        <v>1132</v>
      </c>
      <c r="O530" t="s">
        <v>1132</v>
      </c>
      <c r="P530" t="str">
        <f>IFERROR(VLOOKUP(F530,Sheet1!$A$2:$B$54,2,FALSE),"")</f>
        <v/>
      </c>
    </row>
    <row r="531" spans="1:16" x14ac:dyDescent="0.2">
      <c r="A531" s="1">
        <v>2016</v>
      </c>
      <c r="B531" t="s">
        <v>65</v>
      </c>
      <c r="C531" s="10" t="s">
        <v>1678</v>
      </c>
      <c r="D531" s="10" t="s">
        <v>1679</v>
      </c>
      <c r="E531" s="10" t="s">
        <v>1682</v>
      </c>
      <c r="F531" t="s">
        <v>562</v>
      </c>
      <c r="G531" s="4">
        <v>16205</v>
      </c>
      <c r="H531" s="4"/>
      <c r="I531" s="4"/>
      <c r="J531" s="4">
        <f>SUM(G531:I531)</f>
        <v>16205</v>
      </c>
      <c r="K531" t="s">
        <v>1659</v>
      </c>
      <c r="L531" t="s">
        <v>1659</v>
      </c>
      <c r="M531" t="s">
        <v>1087</v>
      </c>
      <c r="N531" t="s">
        <v>1132</v>
      </c>
      <c r="O531" t="s">
        <v>1132</v>
      </c>
      <c r="P531" t="str">
        <f>IFERROR(VLOOKUP(F531,Sheet1!$A$2:$B$54,2,FALSE),"")</f>
        <v/>
      </c>
    </row>
    <row r="532" spans="1:16" x14ac:dyDescent="0.2">
      <c r="A532" s="1">
        <v>2017</v>
      </c>
      <c r="B532" t="s">
        <v>65</v>
      </c>
      <c r="C532" s="10" t="s">
        <v>1678</v>
      </c>
      <c r="D532" s="10" t="s">
        <v>1679</v>
      </c>
      <c r="E532" s="10" t="s">
        <v>1682</v>
      </c>
      <c r="F532" t="s">
        <v>562</v>
      </c>
      <c r="G532" s="4">
        <v>24391</v>
      </c>
      <c r="H532" s="4"/>
      <c r="I532" s="4"/>
      <c r="J532" s="4">
        <f>SUM(G532:I532)</f>
        <v>24391</v>
      </c>
      <c r="K532" t="s">
        <v>1659</v>
      </c>
      <c r="L532" t="s">
        <v>1659</v>
      </c>
      <c r="M532" t="s">
        <v>1087</v>
      </c>
      <c r="N532" t="s">
        <v>1132</v>
      </c>
      <c r="O532" t="s">
        <v>1132</v>
      </c>
      <c r="P532" t="str">
        <f>IFERROR(VLOOKUP(F532,Sheet1!$A$2:$B$54,2,FALSE),"")</f>
        <v/>
      </c>
    </row>
    <row r="533" spans="1:16" x14ac:dyDescent="0.2">
      <c r="A533" s="1">
        <v>2018</v>
      </c>
      <c r="B533" t="s">
        <v>65</v>
      </c>
      <c r="C533" s="10" t="s">
        <v>1678</v>
      </c>
      <c r="D533" s="10" t="s">
        <v>1679</v>
      </c>
      <c r="E533" s="10" t="s">
        <v>1682</v>
      </c>
      <c r="F533" t="s">
        <v>562</v>
      </c>
      <c r="G533" s="4">
        <v>31414</v>
      </c>
      <c r="H533" s="4"/>
      <c r="I533" s="4"/>
      <c r="J533" s="4">
        <f>SUM(G533:I533)</f>
        <v>31414</v>
      </c>
      <c r="K533" t="s">
        <v>1659</v>
      </c>
      <c r="L533" t="s">
        <v>1659</v>
      </c>
      <c r="M533" t="s">
        <v>1087</v>
      </c>
      <c r="N533" t="s">
        <v>1132</v>
      </c>
      <c r="O533" t="s">
        <v>1132</v>
      </c>
      <c r="P533" t="str">
        <f>IFERROR(VLOOKUP(F533,Sheet1!$A$2:$B$54,2,FALSE),"")</f>
        <v/>
      </c>
    </row>
    <row r="534" spans="1:16" x14ac:dyDescent="0.2">
      <c r="A534" s="1">
        <v>2019</v>
      </c>
      <c r="B534" t="s">
        <v>65</v>
      </c>
      <c r="C534" s="10" t="s">
        <v>1678</v>
      </c>
      <c r="D534" s="10" t="s">
        <v>1679</v>
      </c>
      <c r="E534" s="10" t="s">
        <v>1682</v>
      </c>
      <c r="F534" t="s">
        <v>562</v>
      </c>
      <c r="G534" s="4">
        <v>47272</v>
      </c>
      <c r="H534" s="4"/>
      <c r="I534" s="4"/>
      <c r="J534" s="4">
        <f>SUM(G534:I534)</f>
        <v>47272</v>
      </c>
      <c r="K534" t="s">
        <v>1659</v>
      </c>
      <c r="L534" t="s">
        <v>1659</v>
      </c>
      <c r="M534" t="s">
        <v>1087</v>
      </c>
      <c r="N534" t="s">
        <v>1132</v>
      </c>
      <c r="O534" t="s">
        <v>1132</v>
      </c>
      <c r="P534" t="str">
        <f>IFERROR(VLOOKUP(F534,Sheet1!$A$2:$B$54,2,FALSE),"")</f>
        <v/>
      </c>
    </row>
    <row r="535" spans="1:16" x14ac:dyDescent="0.2">
      <c r="A535" s="1">
        <v>2020</v>
      </c>
      <c r="B535" t="s">
        <v>65</v>
      </c>
      <c r="C535" s="10" t="s">
        <v>1678</v>
      </c>
      <c r="D535" s="10" t="s">
        <v>1679</v>
      </c>
      <c r="E535" s="10" t="s">
        <v>1682</v>
      </c>
      <c r="F535" t="s">
        <v>562</v>
      </c>
      <c r="G535" s="4">
        <v>52680</v>
      </c>
      <c r="H535" s="4"/>
      <c r="I535" s="4"/>
      <c r="J535" s="4">
        <f>SUM(G535:I535)</f>
        <v>52680</v>
      </c>
      <c r="K535" t="s">
        <v>1659</v>
      </c>
      <c r="L535" t="s">
        <v>1659</v>
      </c>
      <c r="M535" t="s">
        <v>1087</v>
      </c>
      <c r="N535" t="s">
        <v>1132</v>
      </c>
      <c r="O535" t="s">
        <v>1132</v>
      </c>
      <c r="P535" t="str">
        <f>IFERROR(VLOOKUP(F535,Sheet1!$A$2:$B$54,2,FALSE),"")</f>
        <v/>
      </c>
    </row>
    <row r="536" spans="1:16" x14ac:dyDescent="0.2">
      <c r="A536" s="1">
        <v>2021</v>
      </c>
      <c r="B536" t="s">
        <v>65</v>
      </c>
      <c r="C536" s="10" t="s">
        <v>1678</v>
      </c>
      <c r="D536" s="10" t="s">
        <v>1679</v>
      </c>
      <c r="E536" s="10" t="s">
        <v>1682</v>
      </c>
      <c r="F536" t="s">
        <v>562</v>
      </c>
      <c r="G536" s="4">
        <v>65306</v>
      </c>
      <c r="H536" s="4"/>
      <c r="I536" s="4"/>
      <c r="J536" s="4">
        <f>SUM(G536:I536)</f>
        <v>65306</v>
      </c>
      <c r="K536" t="s">
        <v>1659</v>
      </c>
      <c r="L536" t="s">
        <v>1659</v>
      </c>
      <c r="M536" t="s">
        <v>562</v>
      </c>
      <c r="N536" t="s">
        <v>1132</v>
      </c>
      <c r="O536" t="s">
        <v>1132</v>
      </c>
      <c r="P536" t="str">
        <f>IFERROR(VLOOKUP(F536,Sheet1!$A$2:$B$54,2,FALSE),"")</f>
        <v/>
      </c>
    </row>
    <row r="537" spans="1:16" x14ac:dyDescent="0.2">
      <c r="A537" s="1">
        <v>2022</v>
      </c>
      <c r="B537" t="s">
        <v>65</v>
      </c>
      <c r="C537" s="10" t="s">
        <v>1678</v>
      </c>
      <c r="D537" s="10" t="s">
        <v>1679</v>
      </c>
      <c r="E537" s="10" t="s">
        <v>1682</v>
      </c>
      <c r="F537" t="s">
        <v>562</v>
      </c>
      <c r="G537" s="4">
        <v>78266</v>
      </c>
      <c r="H537" s="4"/>
      <c r="I537" s="4"/>
      <c r="J537" s="4">
        <f>SUM(G537:I537)</f>
        <v>78266</v>
      </c>
      <c r="K537" t="s">
        <v>1659</v>
      </c>
      <c r="L537" t="s">
        <v>1659</v>
      </c>
      <c r="M537" t="s">
        <v>562</v>
      </c>
      <c r="N537" t="s">
        <v>1132</v>
      </c>
      <c r="O537" t="s">
        <v>1132</v>
      </c>
      <c r="P537" t="str">
        <f>IFERROR(VLOOKUP(F537,Sheet1!$A$2:$B$54,2,FALSE),"")</f>
        <v/>
      </c>
    </row>
    <row r="538" spans="1:16" x14ac:dyDescent="0.2">
      <c r="A538" s="1">
        <v>2023</v>
      </c>
      <c r="B538" t="s">
        <v>65</v>
      </c>
      <c r="C538" s="10" t="s">
        <v>1678</v>
      </c>
      <c r="D538" s="10" t="s">
        <v>1679</v>
      </c>
      <c r="E538" s="10" t="s">
        <v>1682</v>
      </c>
      <c r="F538" t="s">
        <v>562</v>
      </c>
      <c r="G538" s="4">
        <v>89219</v>
      </c>
      <c r="H538" s="4"/>
      <c r="I538" s="4"/>
      <c r="J538" s="4">
        <f>SUM(G538:I538)</f>
        <v>89219</v>
      </c>
      <c r="K538" t="s">
        <v>1659</v>
      </c>
      <c r="L538" t="s">
        <v>1659</v>
      </c>
      <c r="M538" t="s">
        <v>562</v>
      </c>
      <c r="N538" t="s">
        <v>1132</v>
      </c>
      <c r="O538" t="s">
        <v>1132</v>
      </c>
      <c r="P538" t="str">
        <f>IFERROR(VLOOKUP(F538,Sheet1!$A$2:$B$54,2,FALSE),"")</f>
        <v/>
      </c>
    </row>
    <row r="539" spans="1:16" x14ac:dyDescent="0.2">
      <c r="A539" s="1">
        <v>2015</v>
      </c>
      <c r="B539" t="s">
        <v>66</v>
      </c>
      <c r="C539" s="10" t="s">
        <v>1678</v>
      </c>
      <c r="D539" s="10" t="s">
        <v>1679</v>
      </c>
      <c r="E539" s="10" t="s">
        <v>1682</v>
      </c>
      <c r="F539" t="s">
        <v>563</v>
      </c>
      <c r="G539" s="4">
        <v>5261</v>
      </c>
      <c r="H539" s="4"/>
      <c r="I539" s="4"/>
      <c r="J539" s="4">
        <f>SUM(G539:I539)</f>
        <v>5261</v>
      </c>
      <c r="K539" t="s">
        <v>1659</v>
      </c>
      <c r="L539" t="s">
        <v>1659</v>
      </c>
      <c r="M539" t="s">
        <v>1088</v>
      </c>
      <c r="N539" t="s">
        <v>1132</v>
      </c>
      <c r="O539" t="s">
        <v>1132</v>
      </c>
      <c r="P539" t="str">
        <f>IFERROR(VLOOKUP(F539,Sheet1!$A$2:$B$54,2,FALSE),"")</f>
        <v/>
      </c>
    </row>
    <row r="540" spans="1:16" x14ac:dyDescent="0.2">
      <c r="A540" s="1">
        <v>2016</v>
      </c>
      <c r="B540" t="s">
        <v>66</v>
      </c>
      <c r="C540" s="10" t="s">
        <v>1678</v>
      </c>
      <c r="D540" s="10" t="s">
        <v>1679</v>
      </c>
      <c r="E540" s="10" t="s">
        <v>1682</v>
      </c>
      <c r="F540" t="s">
        <v>563</v>
      </c>
      <c r="G540" s="4">
        <v>6678</v>
      </c>
      <c r="H540" s="4"/>
      <c r="I540" s="4"/>
      <c r="J540" s="4">
        <f>SUM(G540:I540)</f>
        <v>6678</v>
      </c>
      <c r="K540" t="s">
        <v>1659</v>
      </c>
      <c r="L540" t="s">
        <v>1659</v>
      </c>
      <c r="M540" t="s">
        <v>1088</v>
      </c>
      <c r="N540" t="s">
        <v>1132</v>
      </c>
      <c r="O540" t="s">
        <v>1132</v>
      </c>
      <c r="P540" t="str">
        <f>IFERROR(VLOOKUP(F540,Sheet1!$A$2:$B$54,2,FALSE),"")</f>
        <v/>
      </c>
    </row>
    <row r="541" spans="1:16" x14ac:dyDescent="0.2">
      <c r="A541" s="1">
        <v>2017</v>
      </c>
      <c r="B541" t="s">
        <v>66</v>
      </c>
      <c r="C541" s="10" t="s">
        <v>1678</v>
      </c>
      <c r="D541" s="10" t="s">
        <v>1679</v>
      </c>
      <c r="E541" s="10" t="s">
        <v>1682</v>
      </c>
      <c r="F541" t="s">
        <v>563</v>
      </c>
      <c r="G541" s="4">
        <v>8854</v>
      </c>
      <c r="H541" s="4"/>
      <c r="I541" s="4"/>
      <c r="J541" s="4">
        <f>SUM(G541:I541)</f>
        <v>8854</v>
      </c>
      <c r="K541" t="s">
        <v>1659</v>
      </c>
      <c r="L541" t="s">
        <v>1659</v>
      </c>
      <c r="M541" t="s">
        <v>1088</v>
      </c>
      <c r="N541" t="s">
        <v>1132</v>
      </c>
      <c r="O541" t="s">
        <v>1132</v>
      </c>
      <c r="P541" t="str">
        <f>IFERROR(VLOOKUP(F541,Sheet1!$A$2:$B$54,2,FALSE),"")</f>
        <v/>
      </c>
    </row>
    <row r="542" spans="1:16" x14ac:dyDescent="0.2">
      <c r="A542" s="1">
        <v>2018</v>
      </c>
      <c r="B542" t="s">
        <v>66</v>
      </c>
      <c r="C542" s="10" t="s">
        <v>1678</v>
      </c>
      <c r="D542" s="10" t="s">
        <v>1679</v>
      </c>
      <c r="E542" s="10" t="s">
        <v>1682</v>
      </c>
      <c r="F542" t="s">
        <v>563</v>
      </c>
      <c r="G542" s="4">
        <v>11590</v>
      </c>
      <c r="H542" s="4"/>
      <c r="I542" s="4"/>
      <c r="J542" s="4">
        <f>SUM(G542:I542)</f>
        <v>11590</v>
      </c>
      <c r="K542" t="s">
        <v>1659</v>
      </c>
      <c r="L542" t="s">
        <v>1659</v>
      </c>
      <c r="M542" t="s">
        <v>1088</v>
      </c>
      <c r="N542" t="s">
        <v>1132</v>
      </c>
      <c r="O542" t="s">
        <v>1132</v>
      </c>
      <c r="P542" t="str">
        <f>IFERROR(VLOOKUP(F542,Sheet1!$A$2:$B$54,2,FALSE),"")</f>
        <v/>
      </c>
    </row>
    <row r="543" spans="1:16" x14ac:dyDescent="0.2">
      <c r="A543" s="1">
        <v>2019</v>
      </c>
      <c r="B543" t="s">
        <v>66</v>
      </c>
      <c r="C543" s="10" t="s">
        <v>1678</v>
      </c>
      <c r="D543" s="10" t="s">
        <v>1679</v>
      </c>
      <c r="E543" s="10" t="s">
        <v>1682</v>
      </c>
      <c r="F543" t="s">
        <v>563</v>
      </c>
      <c r="G543" s="4">
        <v>12632</v>
      </c>
      <c r="H543" s="4"/>
      <c r="I543" s="4"/>
      <c r="J543" s="4">
        <f>SUM(G543:I543)</f>
        <v>12632</v>
      </c>
      <c r="K543" t="s">
        <v>1659</v>
      </c>
      <c r="L543" t="s">
        <v>1659</v>
      </c>
      <c r="M543" t="s">
        <v>1088</v>
      </c>
      <c r="N543" t="s">
        <v>1132</v>
      </c>
      <c r="O543" t="s">
        <v>1132</v>
      </c>
      <c r="P543" t="str">
        <f>IFERROR(VLOOKUP(F543,Sheet1!$A$2:$B$54,2,FALSE),"")</f>
        <v/>
      </c>
    </row>
    <row r="544" spans="1:16" x14ac:dyDescent="0.2">
      <c r="A544" s="1">
        <v>2020</v>
      </c>
      <c r="B544" t="s">
        <v>66</v>
      </c>
      <c r="C544" s="10" t="s">
        <v>1678</v>
      </c>
      <c r="D544" s="10" t="s">
        <v>1679</v>
      </c>
      <c r="E544" s="10" t="s">
        <v>1682</v>
      </c>
      <c r="F544" t="s">
        <v>563</v>
      </c>
      <c r="G544" s="4">
        <v>13352</v>
      </c>
      <c r="H544" s="4"/>
      <c r="I544" s="4"/>
      <c r="J544" s="4">
        <f>SUM(G544:I544)</f>
        <v>13352</v>
      </c>
      <c r="K544" t="s">
        <v>1659</v>
      </c>
      <c r="L544" t="s">
        <v>1659</v>
      </c>
      <c r="M544" t="s">
        <v>1088</v>
      </c>
      <c r="N544" t="s">
        <v>1132</v>
      </c>
      <c r="O544" t="s">
        <v>1132</v>
      </c>
      <c r="P544" t="str">
        <f>IFERROR(VLOOKUP(F544,Sheet1!$A$2:$B$54,2,FALSE),"")</f>
        <v/>
      </c>
    </row>
    <row r="545" spans="1:16" x14ac:dyDescent="0.2">
      <c r="A545" s="1">
        <v>2021</v>
      </c>
      <c r="B545" t="s">
        <v>66</v>
      </c>
      <c r="C545" s="10" t="s">
        <v>1678</v>
      </c>
      <c r="D545" s="10" t="s">
        <v>1679</v>
      </c>
      <c r="E545" s="10" t="s">
        <v>1682</v>
      </c>
      <c r="F545" t="s">
        <v>563</v>
      </c>
      <c r="G545" s="4">
        <v>14247</v>
      </c>
      <c r="H545" s="4"/>
      <c r="I545" s="4"/>
      <c r="J545" s="4">
        <f>SUM(G545:I545)</f>
        <v>14247</v>
      </c>
      <c r="K545" t="s">
        <v>1659</v>
      </c>
      <c r="L545" t="s">
        <v>1659</v>
      </c>
      <c r="M545" t="s">
        <v>563</v>
      </c>
      <c r="N545" t="s">
        <v>1132</v>
      </c>
      <c r="O545" t="s">
        <v>1132</v>
      </c>
      <c r="P545" t="str">
        <f>IFERROR(VLOOKUP(F545,Sheet1!$A$2:$B$54,2,FALSE),"")</f>
        <v/>
      </c>
    </row>
    <row r="546" spans="1:16" x14ac:dyDescent="0.2">
      <c r="A546" s="1">
        <v>2022</v>
      </c>
      <c r="B546" t="s">
        <v>66</v>
      </c>
      <c r="C546" s="10" t="s">
        <v>1678</v>
      </c>
      <c r="D546" s="10" t="s">
        <v>1679</v>
      </c>
      <c r="E546" s="10" t="s">
        <v>1682</v>
      </c>
      <c r="F546" t="s">
        <v>563</v>
      </c>
      <c r="G546" s="4">
        <v>15118</v>
      </c>
      <c r="H546" s="4"/>
      <c r="I546" s="4"/>
      <c r="J546" s="4">
        <f>SUM(G546:I546)</f>
        <v>15118</v>
      </c>
      <c r="K546" t="s">
        <v>1659</v>
      </c>
      <c r="L546" t="s">
        <v>1659</v>
      </c>
      <c r="M546" t="s">
        <v>563</v>
      </c>
      <c r="N546" t="s">
        <v>1132</v>
      </c>
      <c r="O546" t="s">
        <v>1132</v>
      </c>
      <c r="P546" t="str">
        <f>IFERROR(VLOOKUP(F546,Sheet1!$A$2:$B$54,2,FALSE),"")</f>
        <v/>
      </c>
    </row>
    <row r="547" spans="1:16" x14ac:dyDescent="0.2">
      <c r="A547" s="1">
        <v>2023</v>
      </c>
      <c r="B547" t="s">
        <v>66</v>
      </c>
      <c r="C547" s="10" t="s">
        <v>1678</v>
      </c>
      <c r="D547" s="10" t="s">
        <v>1679</v>
      </c>
      <c r="E547" s="10" t="s">
        <v>1682</v>
      </c>
      <c r="F547" t="s">
        <v>563</v>
      </c>
      <c r="G547" s="4">
        <v>18191</v>
      </c>
      <c r="H547" s="4"/>
      <c r="I547" s="4"/>
      <c r="J547" s="4">
        <f>SUM(G547:I547)</f>
        <v>18191</v>
      </c>
      <c r="K547" t="s">
        <v>1659</v>
      </c>
      <c r="L547" t="s">
        <v>1659</v>
      </c>
      <c r="M547" t="s">
        <v>563</v>
      </c>
      <c r="N547" t="s">
        <v>1132</v>
      </c>
      <c r="O547" t="s">
        <v>1132</v>
      </c>
      <c r="P547" t="str">
        <f>IFERROR(VLOOKUP(F547,Sheet1!$A$2:$B$54,2,FALSE),"")</f>
        <v/>
      </c>
    </row>
    <row r="548" spans="1:16" x14ac:dyDescent="0.2">
      <c r="A548" s="1">
        <v>2015</v>
      </c>
      <c r="B548" t="s">
        <v>67</v>
      </c>
      <c r="C548" s="10" t="s">
        <v>1678</v>
      </c>
      <c r="D548" s="10" t="s">
        <v>1679</v>
      </c>
      <c r="E548" s="10" t="s">
        <v>1682</v>
      </c>
      <c r="F548" t="s">
        <v>564</v>
      </c>
      <c r="G548" s="4">
        <v>21290</v>
      </c>
      <c r="H548" s="4"/>
      <c r="I548" s="4"/>
      <c r="J548" s="4">
        <f>SUM(G548:I548)</f>
        <v>21290</v>
      </c>
      <c r="K548" t="s">
        <v>1659</v>
      </c>
      <c r="L548" t="s">
        <v>1659</v>
      </c>
      <c r="M548" t="s">
        <v>1089</v>
      </c>
      <c r="N548" t="s">
        <v>1132</v>
      </c>
      <c r="O548" t="s">
        <v>1132</v>
      </c>
      <c r="P548" t="str">
        <f>IFERROR(VLOOKUP(F548,Sheet1!$A$2:$B$54,2,FALSE),"")</f>
        <v/>
      </c>
    </row>
    <row r="549" spans="1:16" x14ac:dyDescent="0.2">
      <c r="A549" s="1">
        <v>2016</v>
      </c>
      <c r="B549" t="s">
        <v>67</v>
      </c>
      <c r="C549" s="10" t="s">
        <v>1678</v>
      </c>
      <c r="D549" s="10" t="s">
        <v>1679</v>
      </c>
      <c r="E549" s="10" t="s">
        <v>1682</v>
      </c>
      <c r="F549" t="s">
        <v>564</v>
      </c>
      <c r="G549" s="4">
        <v>50026</v>
      </c>
      <c r="H549" s="4"/>
      <c r="I549" s="4"/>
      <c r="J549" s="4">
        <f>SUM(G549:I549)</f>
        <v>50026</v>
      </c>
      <c r="K549" t="s">
        <v>1659</v>
      </c>
      <c r="L549" t="s">
        <v>1659</v>
      </c>
      <c r="M549" t="s">
        <v>1089</v>
      </c>
      <c r="N549" t="s">
        <v>1132</v>
      </c>
      <c r="O549" t="s">
        <v>1132</v>
      </c>
      <c r="P549" t="str">
        <f>IFERROR(VLOOKUP(F549,Sheet1!$A$2:$B$54,2,FALSE),"")</f>
        <v/>
      </c>
    </row>
    <row r="550" spans="1:16" x14ac:dyDescent="0.2">
      <c r="A550" s="1">
        <v>2017</v>
      </c>
      <c r="B550" t="s">
        <v>67</v>
      </c>
      <c r="C550" s="10" t="s">
        <v>1678</v>
      </c>
      <c r="D550" s="10" t="s">
        <v>1679</v>
      </c>
      <c r="E550" s="10" t="s">
        <v>1682</v>
      </c>
      <c r="F550" t="s">
        <v>564</v>
      </c>
      <c r="G550" s="4">
        <v>87283</v>
      </c>
      <c r="H550" s="4"/>
      <c r="I550" s="4"/>
      <c r="J550" s="4">
        <f>SUM(G550:I550)</f>
        <v>87283</v>
      </c>
      <c r="K550" t="s">
        <v>1659</v>
      </c>
      <c r="L550" t="s">
        <v>1659</v>
      </c>
      <c r="M550" t="s">
        <v>1089</v>
      </c>
      <c r="N550" t="s">
        <v>1132</v>
      </c>
      <c r="O550" t="s">
        <v>1132</v>
      </c>
      <c r="P550" t="str">
        <f>IFERROR(VLOOKUP(F550,Sheet1!$A$2:$B$54,2,FALSE),"")</f>
        <v/>
      </c>
    </row>
    <row r="551" spans="1:16" x14ac:dyDescent="0.2">
      <c r="A551" s="1">
        <v>2018</v>
      </c>
      <c r="B551" t="s">
        <v>67</v>
      </c>
      <c r="C551" s="10" t="s">
        <v>1678</v>
      </c>
      <c r="D551" s="10" t="s">
        <v>1679</v>
      </c>
      <c r="E551" s="10" t="s">
        <v>1682</v>
      </c>
      <c r="F551" t="s">
        <v>564</v>
      </c>
      <c r="G551" s="4">
        <v>111902</v>
      </c>
      <c r="H551" s="4"/>
      <c r="I551" s="4"/>
      <c r="J551" s="4">
        <f>SUM(G551:I551)</f>
        <v>111902</v>
      </c>
      <c r="K551" t="s">
        <v>1659</v>
      </c>
      <c r="L551" t="s">
        <v>1659</v>
      </c>
      <c r="M551" t="s">
        <v>1089</v>
      </c>
      <c r="N551" t="s">
        <v>1132</v>
      </c>
      <c r="O551" t="s">
        <v>1132</v>
      </c>
      <c r="P551" t="str">
        <f>IFERROR(VLOOKUP(F551,Sheet1!$A$2:$B$54,2,FALSE),"")</f>
        <v/>
      </c>
    </row>
    <row r="552" spans="1:16" x14ac:dyDescent="0.2">
      <c r="A552" s="1">
        <v>2019</v>
      </c>
      <c r="B552" t="s">
        <v>67</v>
      </c>
      <c r="C552" s="10" t="s">
        <v>1678</v>
      </c>
      <c r="D552" s="10" t="s">
        <v>1679</v>
      </c>
      <c r="E552" s="10" t="s">
        <v>1682</v>
      </c>
      <c r="F552" t="s">
        <v>564</v>
      </c>
      <c r="G552" s="4">
        <v>126268</v>
      </c>
      <c r="H552" s="4"/>
      <c r="I552" s="4"/>
      <c r="J552" s="4">
        <f>SUM(G552:I552)</f>
        <v>126268</v>
      </c>
      <c r="K552" t="s">
        <v>1659</v>
      </c>
      <c r="L552" t="s">
        <v>1659</v>
      </c>
      <c r="M552" t="s">
        <v>1089</v>
      </c>
      <c r="N552" t="s">
        <v>1132</v>
      </c>
      <c r="O552" t="s">
        <v>1132</v>
      </c>
      <c r="P552" t="str">
        <f>IFERROR(VLOOKUP(F552,Sheet1!$A$2:$B$54,2,FALSE),"")</f>
        <v/>
      </c>
    </row>
    <row r="553" spans="1:16" x14ac:dyDescent="0.2">
      <c r="A553" s="1">
        <v>2020</v>
      </c>
      <c r="B553" t="s">
        <v>67</v>
      </c>
      <c r="C553" s="10" t="s">
        <v>1678</v>
      </c>
      <c r="D553" s="10" t="s">
        <v>1679</v>
      </c>
      <c r="E553" s="10" t="s">
        <v>1682</v>
      </c>
      <c r="F553" t="s">
        <v>564</v>
      </c>
      <c r="G553" s="4">
        <v>162282</v>
      </c>
      <c r="H553" s="4"/>
      <c r="I553" s="4"/>
      <c r="J553" s="4">
        <f>SUM(G553:I553)</f>
        <v>162282</v>
      </c>
      <c r="K553" t="s">
        <v>1659</v>
      </c>
      <c r="L553" t="s">
        <v>1659</v>
      </c>
      <c r="M553" t="s">
        <v>1089</v>
      </c>
      <c r="N553" t="s">
        <v>1132</v>
      </c>
      <c r="O553" t="s">
        <v>1132</v>
      </c>
      <c r="P553" t="str">
        <f>IFERROR(VLOOKUP(F553,Sheet1!$A$2:$B$54,2,FALSE),"")</f>
        <v/>
      </c>
    </row>
    <row r="554" spans="1:16" x14ac:dyDescent="0.2">
      <c r="A554" s="1">
        <v>2021</v>
      </c>
      <c r="B554" t="s">
        <v>67</v>
      </c>
      <c r="C554" s="10" t="s">
        <v>1678</v>
      </c>
      <c r="D554" s="10" t="s">
        <v>1679</v>
      </c>
      <c r="E554" s="10" t="s">
        <v>1682</v>
      </c>
      <c r="F554" t="s">
        <v>564</v>
      </c>
      <c r="G554" s="4">
        <v>177396</v>
      </c>
      <c r="H554" s="4"/>
      <c r="I554" s="4"/>
      <c r="J554" s="4">
        <f>SUM(G554:I554)</f>
        <v>177396</v>
      </c>
      <c r="K554" t="s">
        <v>1659</v>
      </c>
      <c r="L554" t="s">
        <v>1659</v>
      </c>
      <c r="M554" t="s">
        <v>564</v>
      </c>
      <c r="N554" t="s">
        <v>1132</v>
      </c>
      <c r="O554" t="s">
        <v>1132</v>
      </c>
      <c r="P554" t="str">
        <f>IFERROR(VLOOKUP(F554,Sheet1!$A$2:$B$54,2,FALSE),"")</f>
        <v/>
      </c>
    </row>
    <row r="555" spans="1:16" x14ac:dyDescent="0.2">
      <c r="A555" s="1">
        <v>2022</v>
      </c>
      <c r="B555" t="s">
        <v>67</v>
      </c>
      <c r="C555" s="10" t="s">
        <v>1678</v>
      </c>
      <c r="D555" s="10" t="s">
        <v>1679</v>
      </c>
      <c r="E555" s="10" t="s">
        <v>1682</v>
      </c>
      <c r="F555" t="s">
        <v>564</v>
      </c>
      <c r="G555" s="4">
        <v>235557</v>
      </c>
      <c r="H555" s="4"/>
      <c r="I555" s="4"/>
      <c r="J555" s="4">
        <f>SUM(G555:I555)</f>
        <v>235557</v>
      </c>
      <c r="K555" t="s">
        <v>1659</v>
      </c>
      <c r="L555" t="s">
        <v>1659</v>
      </c>
      <c r="M555" t="s">
        <v>564</v>
      </c>
      <c r="N555" t="s">
        <v>1132</v>
      </c>
      <c r="O555" t="s">
        <v>1132</v>
      </c>
      <c r="P555" t="str">
        <f>IFERROR(VLOOKUP(F555,Sheet1!$A$2:$B$54,2,FALSE),"")</f>
        <v/>
      </c>
    </row>
    <row r="556" spans="1:16" x14ac:dyDescent="0.2">
      <c r="A556" s="1">
        <v>2023</v>
      </c>
      <c r="B556" t="s">
        <v>67</v>
      </c>
      <c r="C556" s="10" t="s">
        <v>1678</v>
      </c>
      <c r="D556" s="10" t="s">
        <v>1679</v>
      </c>
      <c r="E556" s="10" t="s">
        <v>1682</v>
      </c>
      <c r="F556" t="s">
        <v>564</v>
      </c>
      <c r="G556" s="4">
        <v>300275</v>
      </c>
      <c r="H556" s="4"/>
      <c r="I556" s="4"/>
      <c r="J556" s="4">
        <f>SUM(G556:I556)</f>
        <v>300275</v>
      </c>
      <c r="K556" t="s">
        <v>1659</v>
      </c>
      <c r="L556" t="s">
        <v>1659</v>
      </c>
      <c r="M556" t="s">
        <v>564</v>
      </c>
      <c r="N556" t="s">
        <v>1132</v>
      </c>
      <c r="O556" t="s">
        <v>1132</v>
      </c>
      <c r="P556" t="str">
        <f>IFERROR(VLOOKUP(F556,Sheet1!$A$2:$B$54,2,FALSE),"")</f>
        <v/>
      </c>
    </row>
    <row r="557" spans="1:16" x14ac:dyDescent="0.2">
      <c r="A557" s="1">
        <v>2015</v>
      </c>
      <c r="B557" t="s">
        <v>68</v>
      </c>
      <c r="C557" s="10" t="s">
        <v>1678</v>
      </c>
      <c r="D557" s="10" t="s">
        <v>1679</v>
      </c>
      <c r="E557" s="10" t="s">
        <v>1682</v>
      </c>
      <c r="F557" t="s">
        <v>565</v>
      </c>
      <c r="G557" s="4">
        <v>10055</v>
      </c>
      <c r="H557" s="4"/>
      <c r="I557" s="4"/>
      <c r="J557" s="4">
        <f>SUM(G557:I557)</f>
        <v>10055</v>
      </c>
      <c r="K557" t="s">
        <v>1659</v>
      </c>
      <c r="L557" t="s">
        <v>1659</v>
      </c>
      <c r="M557" t="s">
        <v>1090</v>
      </c>
      <c r="N557" t="s">
        <v>1132</v>
      </c>
      <c r="O557" t="s">
        <v>1132</v>
      </c>
      <c r="P557" t="str">
        <f>IFERROR(VLOOKUP(F557,Sheet1!$A$2:$B$54,2,FALSE),"")</f>
        <v/>
      </c>
    </row>
    <row r="558" spans="1:16" x14ac:dyDescent="0.2">
      <c r="A558" s="1">
        <v>2016</v>
      </c>
      <c r="B558" t="s">
        <v>68</v>
      </c>
      <c r="C558" s="10" t="s">
        <v>1678</v>
      </c>
      <c r="D558" s="10" t="s">
        <v>1679</v>
      </c>
      <c r="E558" s="10" t="s">
        <v>1682</v>
      </c>
      <c r="F558" t="s">
        <v>565</v>
      </c>
      <c r="G558" s="4">
        <v>14086</v>
      </c>
      <c r="H558" s="4"/>
      <c r="I558" s="4"/>
      <c r="J558" s="4">
        <f>SUM(G558:I558)</f>
        <v>14086</v>
      </c>
      <c r="K558" t="s">
        <v>1659</v>
      </c>
      <c r="L558" t="s">
        <v>1659</v>
      </c>
      <c r="M558" t="s">
        <v>1090</v>
      </c>
      <c r="N558" t="s">
        <v>1132</v>
      </c>
      <c r="O558" t="s">
        <v>1132</v>
      </c>
      <c r="P558" t="str">
        <f>IFERROR(VLOOKUP(F558,Sheet1!$A$2:$B$54,2,FALSE),"")</f>
        <v/>
      </c>
    </row>
    <row r="559" spans="1:16" x14ac:dyDescent="0.2">
      <c r="A559" s="1">
        <v>2017</v>
      </c>
      <c r="B559" t="s">
        <v>68</v>
      </c>
      <c r="C559" s="10" t="s">
        <v>1678</v>
      </c>
      <c r="D559" s="10" t="s">
        <v>1679</v>
      </c>
      <c r="E559" s="10" t="s">
        <v>1682</v>
      </c>
      <c r="F559" t="s">
        <v>565</v>
      </c>
      <c r="G559" s="4">
        <v>15092</v>
      </c>
      <c r="H559" s="4"/>
      <c r="I559" s="4"/>
      <c r="J559" s="4">
        <f>SUM(G559:I559)</f>
        <v>15092</v>
      </c>
      <c r="K559" t="s">
        <v>1659</v>
      </c>
      <c r="L559" t="s">
        <v>1659</v>
      </c>
      <c r="M559" t="s">
        <v>1090</v>
      </c>
      <c r="N559" t="s">
        <v>1132</v>
      </c>
      <c r="O559" t="s">
        <v>1132</v>
      </c>
      <c r="P559" t="str">
        <f>IFERROR(VLOOKUP(F559,Sheet1!$A$2:$B$54,2,FALSE),"")</f>
        <v/>
      </c>
    </row>
    <row r="560" spans="1:16" x14ac:dyDescent="0.2">
      <c r="A560" s="1">
        <v>2018</v>
      </c>
      <c r="B560" t="s">
        <v>68</v>
      </c>
      <c r="C560" s="10" t="s">
        <v>1678</v>
      </c>
      <c r="D560" s="10" t="s">
        <v>1679</v>
      </c>
      <c r="E560" s="10" t="s">
        <v>1682</v>
      </c>
      <c r="F560" t="s">
        <v>565</v>
      </c>
      <c r="G560" s="4">
        <v>14084</v>
      </c>
      <c r="H560" s="4"/>
      <c r="I560" s="4"/>
      <c r="J560" s="4">
        <f>SUM(G560:I560)</f>
        <v>14084</v>
      </c>
      <c r="K560" t="s">
        <v>1659</v>
      </c>
      <c r="L560" t="s">
        <v>1659</v>
      </c>
      <c r="M560" t="s">
        <v>1090</v>
      </c>
      <c r="N560" t="s">
        <v>1132</v>
      </c>
      <c r="O560" t="s">
        <v>1132</v>
      </c>
      <c r="P560" t="str">
        <f>IFERROR(VLOOKUP(F560,Sheet1!$A$2:$B$54,2,FALSE),"")</f>
        <v/>
      </c>
    </row>
    <row r="561" spans="1:16" x14ac:dyDescent="0.2">
      <c r="A561" s="1">
        <v>2019</v>
      </c>
      <c r="B561" t="s">
        <v>68</v>
      </c>
      <c r="C561" s="10" t="s">
        <v>1678</v>
      </c>
      <c r="D561" s="10" t="s">
        <v>1679</v>
      </c>
      <c r="E561" s="10" t="s">
        <v>1682</v>
      </c>
      <c r="F561" t="s">
        <v>565</v>
      </c>
      <c r="G561" s="4">
        <v>14052</v>
      </c>
      <c r="H561" s="4"/>
      <c r="I561" s="4"/>
      <c r="J561" s="4">
        <f>SUM(G561:I561)</f>
        <v>14052</v>
      </c>
      <c r="K561" t="s">
        <v>1659</v>
      </c>
      <c r="L561" t="s">
        <v>1659</v>
      </c>
      <c r="M561" t="s">
        <v>1090</v>
      </c>
      <c r="N561" t="s">
        <v>1132</v>
      </c>
      <c r="O561" t="s">
        <v>1132</v>
      </c>
      <c r="P561" t="str">
        <f>IFERROR(VLOOKUP(F561,Sheet1!$A$2:$B$54,2,FALSE),"")</f>
        <v/>
      </c>
    </row>
    <row r="562" spans="1:16" x14ac:dyDescent="0.2">
      <c r="A562" s="1">
        <v>2020</v>
      </c>
      <c r="B562" t="s">
        <v>68</v>
      </c>
      <c r="C562" s="10" t="s">
        <v>1678</v>
      </c>
      <c r="D562" s="10" t="s">
        <v>1679</v>
      </c>
      <c r="E562" s="10" t="s">
        <v>1682</v>
      </c>
      <c r="F562" t="s">
        <v>565</v>
      </c>
      <c r="G562" s="4">
        <v>18485</v>
      </c>
      <c r="H562" s="4"/>
      <c r="I562" s="4"/>
      <c r="J562" s="4">
        <f>SUM(G562:I562)</f>
        <v>18485</v>
      </c>
      <c r="K562" t="s">
        <v>1659</v>
      </c>
      <c r="L562" t="s">
        <v>1659</v>
      </c>
      <c r="M562" t="s">
        <v>1090</v>
      </c>
      <c r="N562" t="s">
        <v>1132</v>
      </c>
      <c r="O562" t="s">
        <v>1132</v>
      </c>
      <c r="P562" t="str">
        <f>IFERROR(VLOOKUP(F562,Sheet1!$A$2:$B$54,2,FALSE),"")</f>
        <v/>
      </c>
    </row>
    <row r="563" spans="1:16" x14ac:dyDescent="0.2">
      <c r="A563" s="1">
        <v>2021</v>
      </c>
      <c r="B563" t="s">
        <v>68</v>
      </c>
      <c r="C563" s="10" t="s">
        <v>1678</v>
      </c>
      <c r="D563" s="10" t="s">
        <v>1679</v>
      </c>
      <c r="E563" s="10" t="s">
        <v>1682</v>
      </c>
      <c r="F563" t="s">
        <v>565</v>
      </c>
      <c r="G563" s="4">
        <v>27201</v>
      </c>
      <c r="H563" s="4"/>
      <c r="I563" s="4"/>
      <c r="J563" s="4">
        <f>SUM(G563:I563)</f>
        <v>27201</v>
      </c>
      <c r="K563" t="s">
        <v>1659</v>
      </c>
      <c r="L563" t="s">
        <v>1659</v>
      </c>
      <c r="M563" t="s">
        <v>565</v>
      </c>
      <c r="N563" t="s">
        <v>1132</v>
      </c>
      <c r="O563" t="s">
        <v>1132</v>
      </c>
      <c r="P563" t="str">
        <f>IFERROR(VLOOKUP(F563,Sheet1!$A$2:$B$54,2,FALSE),"")</f>
        <v/>
      </c>
    </row>
    <row r="564" spans="1:16" x14ac:dyDescent="0.2">
      <c r="A564" s="1">
        <v>2022</v>
      </c>
      <c r="B564" t="s">
        <v>68</v>
      </c>
      <c r="C564" s="10" t="s">
        <v>1678</v>
      </c>
      <c r="D564" s="10" t="s">
        <v>1679</v>
      </c>
      <c r="E564" s="10" t="s">
        <v>1682</v>
      </c>
      <c r="F564" t="s">
        <v>565</v>
      </c>
      <c r="G564" s="4">
        <v>29499</v>
      </c>
      <c r="H564" s="4"/>
      <c r="I564" s="4"/>
      <c r="J564" s="4">
        <f>SUM(G564:I564)</f>
        <v>29499</v>
      </c>
      <c r="K564" t="s">
        <v>1659</v>
      </c>
      <c r="L564" t="s">
        <v>1659</v>
      </c>
      <c r="M564" t="s">
        <v>565</v>
      </c>
      <c r="N564" t="s">
        <v>1132</v>
      </c>
      <c r="O564" t="s">
        <v>1132</v>
      </c>
      <c r="P564" t="str">
        <f>IFERROR(VLOOKUP(F564,Sheet1!$A$2:$B$54,2,FALSE),"")</f>
        <v/>
      </c>
    </row>
    <row r="565" spans="1:16" x14ac:dyDescent="0.2">
      <c r="A565" s="1">
        <v>2023</v>
      </c>
      <c r="B565" t="s">
        <v>68</v>
      </c>
      <c r="C565" s="10" t="s">
        <v>1678</v>
      </c>
      <c r="D565" s="10" t="s">
        <v>1679</v>
      </c>
      <c r="E565" s="10" t="s">
        <v>1682</v>
      </c>
      <c r="F565" t="s">
        <v>565</v>
      </c>
      <c r="G565" s="4">
        <v>29724</v>
      </c>
      <c r="H565" s="4"/>
      <c r="I565" s="4"/>
      <c r="J565" s="4">
        <f>SUM(G565:I565)</f>
        <v>29724</v>
      </c>
      <c r="K565" t="s">
        <v>1659</v>
      </c>
      <c r="L565" t="s">
        <v>1659</v>
      </c>
      <c r="M565" t="s">
        <v>565</v>
      </c>
      <c r="N565" t="s">
        <v>1132</v>
      </c>
      <c r="O565" t="s">
        <v>1132</v>
      </c>
      <c r="P565" t="str">
        <f>IFERROR(VLOOKUP(F565,Sheet1!$A$2:$B$54,2,FALSE),"")</f>
        <v/>
      </c>
    </row>
    <row r="566" spans="1:16" x14ac:dyDescent="0.2">
      <c r="A566" s="1">
        <v>2015</v>
      </c>
      <c r="B566" t="s">
        <v>69</v>
      </c>
      <c r="C566" s="10" t="s">
        <v>1678</v>
      </c>
      <c r="D566" s="10" t="s">
        <v>1679</v>
      </c>
      <c r="E566" s="10" t="s">
        <v>1682</v>
      </c>
      <c r="F566" t="s">
        <v>566</v>
      </c>
      <c r="G566" s="4">
        <v>6943</v>
      </c>
      <c r="H566" s="4"/>
      <c r="I566" s="4"/>
      <c r="J566" s="4">
        <f>SUM(G566:I566)</f>
        <v>6943</v>
      </c>
      <c r="K566" t="s">
        <v>1659</v>
      </c>
      <c r="L566" t="s">
        <v>1659</v>
      </c>
      <c r="M566" t="s">
        <v>1091</v>
      </c>
      <c r="N566" t="s">
        <v>1132</v>
      </c>
      <c r="O566" t="s">
        <v>1132</v>
      </c>
      <c r="P566" t="str">
        <f>IFERROR(VLOOKUP(F566,Sheet1!$A$2:$B$54,2,FALSE),"")</f>
        <v/>
      </c>
    </row>
    <row r="567" spans="1:16" x14ac:dyDescent="0.2">
      <c r="A567" s="1">
        <v>2016</v>
      </c>
      <c r="B567" t="s">
        <v>69</v>
      </c>
      <c r="C567" s="10" t="s">
        <v>1678</v>
      </c>
      <c r="D567" s="10" t="s">
        <v>1679</v>
      </c>
      <c r="E567" s="10" t="s">
        <v>1682</v>
      </c>
      <c r="F567" t="s">
        <v>566</v>
      </c>
      <c r="G567" s="4">
        <v>7454</v>
      </c>
      <c r="H567" s="4"/>
      <c r="I567" s="4"/>
      <c r="J567" s="4">
        <f>SUM(G567:I567)</f>
        <v>7454</v>
      </c>
      <c r="K567" t="s">
        <v>1659</v>
      </c>
      <c r="L567" t="s">
        <v>1659</v>
      </c>
      <c r="M567" t="s">
        <v>1091</v>
      </c>
      <c r="N567" t="s">
        <v>1132</v>
      </c>
      <c r="O567" t="s">
        <v>1132</v>
      </c>
      <c r="P567" t="str">
        <f>IFERROR(VLOOKUP(F567,Sheet1!$A$2:$B$54,2,FALSE),"")</f>
        <v/>
      </c>
    </row>
    <row r="568" spans="1:16" x14ac:dyDescent="0.2">
      <c r="A568" s="1">
        <v>2017</v>
      </c>
      <c r="B568" t="s">
        <v>69</v>
      </c>
      <c r="C568" s="10" t="s">
        <v>1678</v>
      </c>
      <c r="D568" s="10" t="s">
        <v>1679</v>
      </c>
      <c r="E568" s="10" t="s">
        <v>1682</v>
      </c>
      <c r="F568" t="s">
        <v>566</v>
      </c>
      <c r="G568" s="4">
        <v>7851</v>
      </c>
      <c r="H568" s="4"/>
      <c r="I568" s="4"/>
      <c r="J568" s="4">
        <f>SUM(G568:I568)</f>
        <v>7851</v>
      </c>
      <c r="K568" t="s">
        <v>1659</v>
      </c>
      <c r="L568" t="s">
        <v>1659</v>
      </c>
      <c r="M568" t="s">
        <v>1091</v>
      </c>
      <c r="N568" t="s">
        <v>1132</v>
      </c>
      <c r="O568" t="s">
        <v>1132</v>
      </c>
      <c r="P568" t="str">
        <f>IFERROR(VLOOKUP(F568,Sheet1!$A$2:$B$54,2,FALSE),"")</f>
        <v/>
      </c>
    </row>
    <row r="569" spans="1:16" x14ac:dyDescent="0.2">
      <c r="A569" s="1">
        <v>2018</v>
      </c>
      <c r="B569" t="s">
        <v>69</v>
      </c>
      <c r="C569" s="10" t="s">
        <v>1678</v>
      </c>
      <c r="D569" s="10" t="s">
        <v>1679</v>
      </c>
      <c r="E569" s="10" t="s">
        <v>1682</v>
      </c>
      <c r="F569" t="s">
        <v>566</v>
      </c>
      <c r="G569" s="4">
        <v>8721</v>
      </c>
      <c r="H569" s="4"/>
      <c r="I569" s="4"/>
      <c r="J569" s="4">
        <f>SUM(G569:I569)</f>
        <v>8721</v>
      </c>
      <c r="K569" t="s">
        <v>1659</v>
      </c>
      <c r="L569" t="s">
        <v>1659</v>
      </c>
      <c r="M569" t="s">
        <v>1091</v>
      </c>
      <c r="N569" t="s">
        <v>1132</v>
      </c>
      <c r="O569" t="s">
        <v>1132</v>
      </c>
      <c r="P569" t="str">
        <f>IFERROR(VLOOKUP(F569,Sheet1!$A$2:$B$54,2,FALSE),"")</f>
        <v/>
      </c>
    </row>
    <row r="570" spans="1:16" x14ac:dyDescent="0.2">
      <c r="A570" s="1">
        <v>2019</v>
      </c>
      <c r="B570" t="s">
        <v>69</v>
      </c>
      <c r="C570" s="10" t="s">
        <v>1678</v>
      </c>
      <c r="D570" s="10" t="s">
        <v>1679</v>
      </c>
      <c r="E570" s="10" t="s">
        <v>1682</v>
      </c>
      <c r="F570" t="s">
        <v>566</v>
      </c>
      <c r="G570" s="4">
        <v>11999</v>
      </c>
      <c r="H570" s="4"/>
      <c r="I570" s="4"/>
      <c r="J570" s="4">
        <f>SUM(G570:I570)</f>
        <v>11999</v>
      </c>
      <c r="K570" t="s">
        <v>1659</v>
      </c>
      <c r="L570" t="s">
        <v>1659</v>
      </c>
      <c r="M570" t="s">
        <v>1091</v>
      </c>
      <c r="N570" t="s">
        <v>1132</v>
      </c>
      <c r="O570" t="s">
        <v>1132</v>
      </c>
      <c r="P570" t="str">
        <f>IFERROR(VLOOKUP(F570,Sheet1!$A$2:$B$54,2,FALSE),"")</f>
        <v/>
      </c>
    </row>
    <row r="571" spans="1:16" x14ac:dyDescent="0.2">
      <c r="A571" s="1">
        <v>2020</v>
      </c>
      <c r="B571" t="s">
        <v>69</v>
      </c>
      <c r="C571" s="10" t="s">
        <v>1678</v>
      </c>
      <c r="D571" s="10" t="s">
        <v>1679</v>
      </c>
      <c r="E571" s="10" t="s">
        <v>1682</v>
      </c>
      <c r="F571" t="s">
        <v>566</v>
      </c>
      <c r="G571" s="4">
        <v>12813</v>
      </c>
      <c r="H571" s="4"/>
      <c r="I571" s="4"/>
      <c r="J571" s="4">
        <f>SUM(G571:I571)</f>
        <v>12813</v>
      </c>
      <c r="K571" t="s">
        <v>1659</v>
      </c>
      <c r="L571" t="s">
        <v>1659</v>
      </c>
      <c r="M571" t="s">
        <v>1091</v>
      </c>
      <c r="N571" t="s">
        <v>1132</v>
      </c>
      <c r="O571" t="s">
        <v>1132</v>
      </c>
      <c r="P571" t="str">
        <f>IFERROR(VLOOKUP(F571,Sheet1!$A$2:$B$54,2,FALSE),"")</f>
        <v/>
      </c>
    </row>
    <row r="572" spans="1:16" x14ac:dyDescent="0.2">
      <c r="A572" s="1">
        <v>2021</v>
      </c>
      <c r="B572" t="s">
        <v>69</v>
      </c>
      <c r="C572" s="10" t="s">
        <v>1678</v>
      </c>
      <c r="D572" s="10" t="s">
        <v>1679</v>
      </c>
      <c r="E572" s="10" t="s">
        <v>1682</v>
      </c>
      <c r="F572" t="s">
        <v>566</v>
      </c>
      <c r="G572" s="4">
        <v>7986</v>
      </c>
      <c r="H572" s="4"/>
      <c r="I572" s="4"/>
      <c r="J572" s="4">
        <f>SUM(G572:I572)</f>
        <v>7986</v>
      </c>
      <c r="K572" t="s">
        <v>1659</v>
      </c>
      <c r="L572" t="s">
        <v>1659</v>
      </c>
      <c r="M572" t="s">
        <v>566</v>
      </c>
      <c r="N572" t="s">
        <v>1132</v>
      </c>
      <c r="O572" t="s">
        <v>1132</v>
      </c>
      <c r="P572" t="str">
        <f>IFERROR(VLOOKUP(F572,Sheet1!$A$2:$B$54,2,FALSE),"")</f>
        <v/>
      </c>
    </row>
    <row r="573" spans="1:16" x14ac:dyDescent="0.2">
      <c r="A573" s="1">
        <v>2022</v>
      </c>
      <c r="B573" t="s">
        <v>69</v>
      </c>
      <c r="C573" s="10" t="s">
        <v>1678</v>
      </c>
      <c r="D573" s="10" t="s">
        <v>1679</v>
      </c>
      <c r="E573" s="10" t="s">
        <v>1682</v>
      </c>
      <c r="F573" t="s">
        <v>566</v>
      </c>
      <c r="G573" s="4">
        <v>4379</v>
      </c>
      <c r="H573" s="4"/>
      <c r="I573" s="4"/>
      <c r="J573" s="4">
        <f>SUM(G573:I573)</f>
        <v>4379</v>
      </c>
      <c r="K573" t="s">
        <v>1659</v>
      </c>
      <c r="L573" t="s">
        <v>1659</v>
      </c>
      <c r="M573" t="s">
        <v>566</v>
      </c>
      <c r="N573" t="s">
        <v>1132</v>
      </c>
      <c r="O573" t="s">
        <v>1132</v>
      </c>
      <c r="P573" t="str">
        <f>IFERROR(VLOOKUP(F573,Sheet1!$A$2:$B$54,2,FALSE),"")</f>
        <v/>
      </c>
    </row>
    <row r="574" spans="1:16" x14ac:dyDescent="0.2">
      <c r="A574" s="1">
        <v>2023</v>
      </c>
      <c r="B574" t="s">
        <v>69</v>
      </c>
      <c r="C574" s="10" t="s">
        <v>1678</v>
      </c>
      <c r="D574" s="10" t="s">
        <v>1679</v>
      </c>
      <c r="E574" s="10" t="s">
        <v>1682</v>
      </c>
      <c r="F574" t="s">
        <v>566</v>
      </c>
      <c r="G574" s="4">
        <v>4636</v>
      </c>
      <c r="H574" s="4"/>
      <c r="I574" s="4"/>
      <c r="J574" s="4">
        <f>SUM(G574:I574)</f>
        <v>4636</v>
      </c>
      <c r="K574" t="s">
        <v>1659</v>
      </c>
      <c r="L574" t="s">
        <v>1659</v>
      </c>
      <c r="M574" t="s">
        <v>566</v>
      </c>
      <c r="N574" t="s">
        <v>1132</v>
      </c>
      <c r="O574" t="s">
        <v>1132</v>
      </c>
      <c r="P574" t="str">
        <f>IFERROR(VLOOKUP(F574,Sheet1!$A$2:$B$54,2,FALSE),"")</f>
        <v/>
      </c>
    </row>
    <row r="575" spans="1:16" x14ac:dyDescent="0.2">
      <c r="A575" s="1">
        <v>2015</v>
      </c>
      <c r="B575" t="s">
        <v>70</v>
      </c>
      <c r="C575" s="10" t="s">
        <v>1678</v>
      </c>
      <c r="D575" s="10" t="s">
        <v>1679</v>
      </c>
      <c r="E575" s="10" t="s">
        <v>1682</v>
      </c>
      <c r="F575" t="s">
        <v>567</v>
      </c>
      <c r="G575" s="4">
        <v>27220</v>
      </c>
      <c r="H575" s="4"/>
      <c r="I575" s="4"/>
      <c r="J575" s="4">
        <f>SUM(G575:I575)</f>
        <v>27220</v>
      </c>
      <c r="K575" t="s">
        <v>1659</v>
      </c>
      <c r="L575" t="s">
        <v>1659</v>
      </c>
      <c r="M575" t="s">
        <v>1092</v>
      </c>
      <c r="N575" t="s">
        <v>1132</v>
      </c>
      <c r="O575" t="s">
        <v>1132</v>
      </c>
      <c r="P575" t="str">
        <f>IFERROR(VLOOKUP(F575,Sheet1!$A$2:$B$54,2,FALSE),"")</f>
        <v/>
      </c>
    </row>
    <row r="576" spans="1:16" x14ac:dyDescent="0.2">
      <c r="A576" s="1">
        <v>2016</v>
      </c>
      <c r="B576" t="s">
        <v>70</v>
      </c>
      <c r="C576" s="10" t="s">
        <v>1678</v>
      </c>
      <c r="D576" s="10" t="s">
        <v>1679</v>
      </c>
      <c r="E576" s="10" t="s">
        <v>1682</v>
      </c>
      <c r="F576" t="s">
        <v>567</v>
      </c>
      <c r="G576" s="4">
        <v>33495</v>
      </c>
      <c r="H576" s="4"/>
      <c r="I576" s="4"/>
      <c r="J576" s="4">
        <f>SUM(G576:I576)</f>
        <v>33495</v>
      </c>
      <c r="K576" t="s">
        <v>1659</v>
      </c>
      <c r="L576" t="s">
        <v>1659</v>
      </c>
      <c r="M576" t="s">
        <v>1092</v>
      </c>
      <c r="N576" t="s">
        <v>1132</v>
      </c>
      <c r="O576" t="s">
        <v>1132</v>
      </c>
      <c r="P576" t="str">
        <f>IFERROR(VLOOKUP(F576,Sheet1!$A$2:$B$54,2,FALSE),"")</f>
        <v/>
      </c>
    </row>
    <row r="577" spans="1:16" x14ac:dyDescent="0.2">
      <c r="A577" s="1">
        <v>2017</v>
      </c>
      <c r="B577" t="s">
        <v>70</v>
      </c>
      <c r="C577" s="10" t="s">
        <v>1678</v>
      </c>
      <c r="D577" s="10" t="s">
        <v>1679</v>
      </c>
      <c r="E577" s="10" t="s">
        <v>1682</v>
      </c>
      <c r="F577" t="s">
        <v>567</v>
      </c>
      <c r="G577" s="4">
        <v>40636</v>
      </c>
      <c r="H577" s="4"/>
      <c r="I577" s="4"/>
      <c r="J577" s="4">
        <f>SUM(G577:I577)</f>
        <v>40636</v>
      </c>
      <c r="K577" t="s">
        <v>1659</v>
      </c>
      <c r="L577" t="s">
        <v>1659</v>
      </c>
      <c r="M577" t="s">
        <v>1092</v>
      </c>
      <c r="N577" t="s">
        <v>1132</v>
      </c>
      <c r="O577" t="s">
        <v>1132</v>
      </c>
      <c r="P577" t="str">
        <f>IFERROR(VLOOKUP(F577,Sheet1!$A$2:$B$54,2,FALSE),"")</f>
        <v/>
      </c>
    </row>
    <row r="578" spans="1:16" x14ac:dyDescent="0.2">
      <c r="A578" s="1">
        <v>2018</v>
      </c>
      <c r="B578" t="s">
        <v>70</v>
      </c>
      <c r="C578" s="10" t="s">
        <v>1678</v>
      </c>
      <c r="D578" s="10" t="s">
        <v>1679</v>
      </c>
      <c r="E578" s="10" t="s">
        <v>1682</v>
      </c>
      <c r="F578" t="s">
        <v>567</v>
      </c>
      <c r="G578" s="4">
        <v>50913</v>
      </c>
      <c r="H578" s="4"/>
      <c r="I578" s="4"/>
      <c r="J578" s="4">
        <f>SUM(G578:I578)</f>
        <v>50913</v>
      </c>
      <c r="K578" t="s">
        <v>1659</v>
      </c>
      <c r="L578" t="s">
        <v>1659</v>
      </c>
      <c r="M578" t="s">
        <v>1092</v>
      </c>
      <c r="N578" t="s">
        <v>1132</v>
      </c>
      <c r="O578" t="s">
        <v>1132</v>
      </c>
      <c r="P578" t="str">
        <f>IFERROR(VLOOKUP(F578,Sheet1!$A$2:$B$54,2,FALSE),"")</f>
        <v/>
      </c>
    </row>
    <row r="579" spans="1:16" x14ac:dyDescent="0.2">
      <c r="A579" s="1">
        <v>2019</v>
      </c>
      <c r="B579" t="s">
        <v>70</v>
      </c>
      <c r="C579" s="10" t="s">
        <v>1678</v>
      </c>
      <c r="D579" s="10" t="s">
        <v>1679</v>
      </c>
      <c r="E579" s="10" t="s">
        <v>1682</v>
      </c>
      <c r="F579" t="s">
        <v>567</v>
      </c>
      <c r="G579" s="4">
        <v>62061</v>
      </c>
      <c r="H579" s="4"/>
      <c r="I579" s="4"/>
      <c r="J579" s="4">
        <f>SUM(G579:I579)</f>
        <v>62061</v>
      </c>
      <c r="K579" t="s">
        <v>1659</v>
      </c>
      <c r="L579" t="s">
        <v>1659</v>
      </c>
      <c r="M579" t="s">
        <v>1092</v>
      </c>
      <c r="N579" t="s">
        <v>1132</v>
      </c>
      <c r="O579" t="s">
        <v>1132</v>
      </c>
      <c r="P579" t="str">
        <f>IFERROR(VLOOKUP(F579,Sheet1!$A$2:$B$54,2,FALSE),"")</f>
        <v/>
      </c>
    </row>
    <row r="580" spans="1:16" x14ac:dyDescent="0.2">
      <c r="A580" s="1">
        <v>2020</v>
      </c>
      <c r="B580" t="s">
        <v>70</v>
      </c>
      <c r="C580" s="10" t="s">
        <v>1678</v>
      </c>
      <c r="D580" s="10" t="s">
        <v>1679</v>
      </c>
      <c r="E580" s="10" t="s">
        <v>1682</v>
      </c>
      <c r="F580" t="s">
        <v>567</v>
      </c>
      <c r="G580" s="4">
        <v>75606</v>
      </c>
      <c r="H580" s="4"/>
      <c r="I580" s="4"/>
      <c r="J580" s="4">
        <f>SUM(G580:I580)</f>
        <v>75606</v>
      </c>
      <c r="K580" t="s">
        <v>1659</v>
      </c>
      <c r="L580" t="s">
        <v>1659</v>
      </c>
      <c r="M580" t="s">
        <v>1092</v>
      </c>
      <c r="N580" t="s">
        <v>1132</v>
      </c>
      <c r="O580" t="s">
        <v>1132</v>
      </c>
      <c r="P580" t="str">
        <f>IFERROR(VLOOKUP(F580,Sheet1!$A$2:$B$54,2,FALSE),"")</f>
        <v/>
      </c>
    </row>
    <row r="581" spans="1:16" x14ac:dyDescent="0.2">
      <c r="A581" s="1">
        <v>2021</v>
      </c>
      <c r="B581" t="s">
        <v>70</v>
      </c>
      <c r="C581" s="10" t="s">
        <v>1678</v>
      </c>
      <c r="D581" s="10" t="s">
        <v>1679</v>
      </c>
      <c r="E581" s="10" t="s">
        <v>1682</v>
      </c>
      <c r="F581" t="s">
        <v>567</v>
      </c>
      <c r="G581" s="4">
        <v>90874</v>
      </c>
      <c r="H581" s="4"/>
      <c r="I581" s="4"/>
      <c r="J581" s="4">
        <f>SUM(G581:I581)</f>
        <v>90874</v>
      </c>
      <c r="K581" t="s">
        <v>1659</v>
      </c>
      <c r="L581" t="s">
        <v>1659</v>
      </c>
      <c r="M581" t="s">
        <v>567</v>
      </c>
      <c r="N581" t="s">
        <v>1132</v>
      </c>
      <c r="O581" t="s">
        <v>1132</v>
      </c>
      <c r="P581" t="str">
        <f>IFERROR(VLOOKUP(F581,Sheet1!$A$2:$B$54,2,FALSE),"")</f>
        <v/>
      </c>
    </row>
    <row r="582" spans="1:16" x14ac:dyDescent="0.2">
      <c r="A582" s="1">
        <v>2022</v>
      </c>
      <c r="B582" t="s">
        <v>70</v>
      </c>
      <c r="C582" s="10" t="s">
        <v>1678</v>
      </c>
      <c r="D582" s="10" t="s">
        <v>1679</v>
      </c>
      <c r="E582" s="10" t="s">
        <v>1682</v>
      </c>
      <c r="F582" t="s">
        <v>567</v>
      </c>
      <c r="G582" s="4">
        <v>129309</v>
      </c>
      <c r="H582" s="4"/>
      <c r="I582" s="4"/>
      <c r="J582" s="4">
        <f>SUM(G582:I582)</f>
        <v>129309</v>
      </c>
      <c r="K582" t="s">
        <v>1659</v>
      </c>
      <c r="L582" t="s">
        <v>1659</v>
      </c>
      <c r="M582" t="s">
        <v>567</v>
      </c>
      <c r="N582" t="s">
        <v>1132</v>
      </c>
      <c r="O582" t="s">
        <v>1132</v>
      </c>
      <c r="P582" t="str">
        <f>IFERROR(VLOOKUP(F582,Sheet1!$A$2:$B$54,2,FALSE),"")</f>
        <v/>
      </c>
    </row>
    <row r="583" spans="1:16" x14ac:dyDescent="0.2">
      <c r="A583" s="1">
        <v>2023</v>
      </c>
      <c r="B583" t="s">
        <v>70</v>
      </c>
      <c r="C583" s="10" t="s">
        <v>1678</v>
      </c>
      <c r="D583" s="10" t="s">
        <v>1679</v>
      </c>
      <c r="E583" s="10" t="s">
        <v>1682</v>
      </c>
      <c r="F583" t="s">
        <v>567</v>
      </c>
      <c r="G583" s="4">
        <v>144753</v>
      </c>
      <c r="H583" s="4"/>
      <c r="I583" s="4"/>
      <c r="J583" s="4">
        <f>SUM(G583:I583)</f>
        <v>144753</v>
      </c>
      <c r="K583" t="s">
        <v>1659</v>
      </c>
      <c r="L583" t="s">
        <v>1659</v>
      </c>
      <c r="M583" t="s">
        <v>567</v>
      </c>
      <c r="N583" t="s">
        <v>1132</v>
      </c>
      <c r="O583" t="s">
        <v>1132</v>
      </c>
      <c r="P583" t="str">
        <f>IFERROR(VLOOKUP(F583,Sheet1!$A$2:$B$54,2,FALSE),"")</f>
        <v/>
      </c>
    </row>
    <row r="584" spans="1:16" x14ac:dyDescent="0.2">
      <c r="A584" s="1">
        <v>2015</v>
      </c>
      <c r="B584" t="s">
        <v>71</v>
      </c>
      <c r="C584" s="10" t="s">
        <v>1678</v>
      </c>
      <c r="D584" s="10" t="s">
        <v>1679</v>
      </c>
      <c r="E584" s="10" t="s">
        <v>1682</v>
      </c>
      <c r="F584" t="s">
        <v>568</v>
      </c>
      <c r="G584" s="4">
        <v>139099</v>
      </c>
      <c r="H584" s="4"/>
      <c r="I584" s="4"/>
      <c r="J584" s="4">
        <f>SUM(G584:I584)</f>
        <v>139099</v>
      </c>
      <c r="K584" t="s">
        <v>1659</v>
      </c>
      <c r="L584" t="s">
        <v>1659</v>
      </c>
      <c r="M584" t="s">
        <v>1093</v>
      </c>
      <c r="N584" t="s">
        <v>1132</v>
      </c>
      <c r="O584" t="s">
        <v>1132</v>
      </c>
      <c r="P584" t="str">
        <f>IFERROR(VLOOKUP(F584,Sheet1!$A$2:$B$54,2,FALSE),"")</f>
        <v/>
      </c>
    </row>
    <row r="585" spans="1:16" x14ac:dyDescent="0.2">
      <c r="A585" s="1">
        <v>2016</v>
      </c>
      <c r="B585" t="s">
        <v>71</v>
      </c>
      <c r="C585" s="10" t="s">
        <v>1678</v>
      </c>
      <c r="D585" s="10" t="s">
        <v>1679</v>
      </c>
      <c r="E585" s="10" t="s">
        <v>1682</v>
      </c>
      <c r="F585" t="s">
        <v>568</v>
      </c>
      <c r="G585" s="4">
        <v>205504</v>
      </c>
      <c r="H585" s="4"/>
      <c r="I585" s="4"/>
      <c r="J585" s="4">
        <f>SUM(G585:I585)</f>
        <v>205504</v>
      </c>
      <c r="K585" t="s">
        <v>1659</v>
      </c>
      <c r="L585" t="s">
        <v>1659</v>
      </c>
      <c r="M585" t="s">
        <v>1093</v>
      </c>
      <c r="N585" t="s">
        <v>1132</v>
      </c>
      <c r="O585" t="s">
        <v>1132</v>
      </c>
      <c r="P585" t="str">
        <f>IFERROR(VLOOKUP(F585,Sheet1!$A$2:$B$54,2,FALSE),"")</f>
        <v/>
      </c>
    </row>
    <row r="586" spans="1:16" x14ac:dyDescent="0.2">
      <c r="A586" s="1">
        <v>2017</v>
      </c>
      <c r="B586" t="s">
        <v>71</v>
      </c>
      <c r="C586" s="10" t="s">
        <v>1678</v>
      </c>
      <c r="D586" s="10" t="s">
        <v>1679</v>
      </c>
      <c r="E586" s="10" t="s">
        <v>1682</v>
      </c>
      <c r="F586" t="s">
        <v>568</v>
      </c>
      <c r="G586" s="4">
        <v>243530</v>
      </c>
      <c r="H586" s="4"/>
      <c r="I586" s="4"/>
      <c r="J586" s="4">
        <f>SUM(G586:I586)</f>
        <v>243530</v>
      </c>
      <c r="K586" t="s">
        <v>1659</v>
      </c>
      <c r="L586" t="s">
        <v>1659</v>
      </c>
      <c r="M586" t="s">
        <v>1093</v>
      </c>
      <c r="N586" t="s">
        <v>1132</v>
      </c>
      <c r="O586" t="s">
        <v>1132</v>
      </c>
      <c r="P586" t="str">
        <f>IFERROR(VLOOKUP(F586,Sheet1!$A$2:$B$54,2,FALSE),"")</f>
        <v/>
      </c>
    </row>
    <row r="587" spans="1:16" x14ac:dyDescent="0.2">
      <c r="A587" s="1">
        <v>2018</v>
      </c>
      <c r="B587" t="s">
        <v>71</v>
      </c>
      <c r="C587" s="10" t="s">
        <v>1678</v>
      </c>
      <c r="D587" s="10" t="s">
        <v>1679</v>
      </c>
      <c r="E587" s="10" t="s">
        <v>1682</v>
      </c>
      <c r="F587" t="s">
        <v>568</v>
      </c>
      <c r="G587" s="4">
        <v>275775</v>
      </c>
      <c r="H587" s="4"/>
      <c r="I587" s="4"/>
      <c r="J587" s="4">
        <f>SUM(G587:I587)</f>
        <v>275775</v>
      </c>
      <c r="K587" t="s">
        <v>1659</v>
      </c>
      <c r="L587" t="s">
        <v>1659</v>
      </c>
      <c r="M587" t="s">
        <v>1093</v>
      </c>
      <c r="N587" t="s">
        <v>1132</v>
      </c>
      <c r="O587" t="s">
        <v>1132</v>
      </c>
      <c r="P587" t="str">
        <f>IFERROR(VLOOKUP(F587,Sheet1!$A$2:$B$54,2,FALSE),"")</f>
        <v/>
      </c>
    </row>
    <row r="588" spans="1:16" x14ac:dyDescent="0.2">
      <c r="A588" s="1">
        <v>2019</v>
      </c>
      <c r="B588" t="s">
        <v>71</v>
      </c>
      <c r="C588" s="10" t="s">
        <v>1678</v>
      </c>
      <c r="D588" s="10" t="s">
        <v>1679</v>
      </c>
      <c r="E588" s="10" t="s">
        <v>1682</v>
      </c>
      <c r="F588" t="s">
        <v>568</v>
      </c>
      <c r="G588" s="4">
        <v>306893</v>
      </c>
      <c r="H588" s="4"/>
      <c r="I588" s="4"/>
      <c r="J588" s="4">
        <f>SUM(G588:I588)</f>
        <v>306893</v>
      </c>
      <c r="K588" t="s">
        <v>1659</v>
      </c>
      <c r="L588" t="s">
        <v>1659</v>
      </c>
      <c r="M588" t="s">
        <v>1093</v>
      </c>
      <c r="N588" t="s">
        <v>1132</v>
      </c>
      <c r="O588" t="s">
        <v>1132</v>
      </c>
      <c r="P588" t="str">
        <f>IFERROR(VLOOKUP(F588,Sheet1!$A$2:$B$54,2,FALSE),"")</f>
        <v/>
      </c>
    </row>
    <row r="589" spans="1:16" x14ac:dyDescent="0.2">
      <c r="A589" s="1">
        <v>2020</v>
      </c>
      <c r="B589" t="s">
        <v>71</v>
      </c>
      <c r="C589" s="10" t="s">
        <v>1678</v>
      </c>
      <c r="D589" s="10" t="s">
        <v>1679</v>
      </c>
      <c r="E589" s="10" t="s">
        <v>1682</v>
      </c>
      <c r="F589" t="s">
        <v>568</v>
      </c>
      <c r="G589" s="4">
        <v>371557</v>
      </c>
      <c r="H589" s="4"/>
      <c r="I589" s="4"/>
      <c r="J589" s="4">
        <f>SUM(G589:I589)</f>
        <v>371557</v>
      </c>
      <c r="K589" t="s">
        <v>1659</v>
      </c>
      <c r="L589" t="s">
        <v>1659</v>
      </c>
      <c r="M589" t="s">
        <v>1093</v>
      </c>
      <c r="N589" t="s">
        <v>1132</v>
      </c>
      <c r="O589" t="s">
        <v>1132</v>
      </c>
      <c r="P589" t="str">
        <f>IFERROR(VLOOKUP(F589,Sheet1!$A$2:$B$54,2,FALSE),"")</f>
        <v/>
      </c>
    </row>
    <row r="590" spans="1:16" x14ac:dyDescent="0.2">
      <c r="A590" s="1">
        <v>2021</v>
      </c>
      <c r="B590" t="s">
        <v>71</v>
      </c>
      <c r="C590" s="10" t="s">
        <v>1678</v>
      </c>
      <c r="D590" s="10" t="s">
        <v>1679</v>
      </c>
      <c r="E590" s="10" t="s">
        <v>1682</v>
      </c>
      <c r="F590" t="s">
        <v>568</v>
      </c>
      <c r="G590" s="4">
        <v>454070</v>
      </c>
      <c r="H590" s="4"/>
      <c r="I590" s="4"/>
      <c r="J590" s="4">
        <f>SUM(G590:I590)</f>
        <v>454070</v>
      </c>
      <c r="K590" t="s">
        <v>1659</v>
      </c>
      <c r="L590" t="s">
        <v>1659</v>
      </c>
      <c r="M590" t="s">
        <v>568</v>
      </c>
      <c r="N590" t="s">
        <v>1132</v>
      </c>
      <c r="O590" t="s">
        <v>1132</v>
      </c>
      <c r="P590" t="str">
        <f>IFERROR(VLOOKUP(F590,Sheet1!$A$2:$B$54,2,FALSE),"")</f>
        <v/>
      </c>
    </row>
    <row r="591" spans="1:16" x14ac:dyDescent="0.2">
      <c r="A591" s="1">
        <v>2022</v>
      </c>
      <c r="B591" t="s">
        <v>71</v>
      </c>
      <c r="C591" s="10" t="s">
        <v>1678</v>
      </c>
      <c r="D591" s="10" t="s">
        <v>1679</v>
      </c>
      <c r="E591" s="10" t="s">
        <v>1682</v>
      </c>
      <c r="F591" t="s">
        <v>568</v>
      </c>
      <c r="G591" s="4">
        <v>648058</v>
      </c>
      <c r="H591" s="4"/>
      <c r="I591" s="4"/>
      <c r="J591" s="4">
        <f>SUM(G591:I591)</f>
        <v>648058</v>
      </c>
      <c r="K591" t="s">
        <v>1659</v>
      </c>
      <c r="L591" t="s">
        <v>1659</v>
      </c>
      <c r="M591" t="s">
        <v>568</v>
      </c>
      <c r="N591" t="s">
        <v>1132</v>
      </c>
      <c r="O591" t="s">
        <v>1132</v>
      </c>
      <c r="P591" t="str">
        <f>IFERROR(VLOOKUP(F591,Sheet1!$A$2:$B$54,2,FALSE),"")</f>
        <v/>
      </c>
    </row>
    <row r="592" spans="1:16" x14ac:dyDescent="0.2">
      <c r="A592" s="1">
        <v>2023</v>
      </c>
      <c r="B592" t="s">
        <v>71</v>
      </c>
      <c r="C592" s="10" t="s">
        <v>1678</v>
      </c>
      <c r="D592" s="10" t="s">
        <v>1679</v>
      </c>
      <c r="E592" s="10" t="s">
        <v>1682</v>
      </c>
      <c r="F592" t="s">
        <v>568</v>
      </c>
      <c r="G592" s="4">
        <v>743444</v>
      </c>
      <c r="H592" s="4"/>
      <c r="I592" s="4"/>
      <c r="J592" s="4">
        <f>SUM(G592:I592)</f>
        <v>743444</v>
      </c>
      <c r="K592" t="s">
        <v>1659</v>
      </c>
      <c r="L592" t="s">
        <v>1659</v>
      </c>
      <c r="M592" t="s">
        <v>568</v>
      </c>
      <c r="N592" t="s">
        <v>1132</v>
      </c>
      <c r="O592" t="s">
        <v>1132</v>
      </c>
      <c r="P592" t="str">
        <f>IFERROR(VLOOKUP(F592,Sheet1!$A$2:$B$54,2,FALSE),"")</f>
        <v/>
      </c>
    </row>
    <row r="593" spans="1:16" x14ac:dyDescent="0.2">
      <c r="A593" s="1">
        <v>2015</v>
      </c>
      <c r="B593" t="s">
        <v>72</v>
      </c>
      <c r="C593" s="10" t="s">
        <v>1678</v>
      </c>
      <c r="D593" s="10" t="s">
        <v>1679</v>
      </c>
      <c r="E593" s="10" t="s">
        <v>1682</v>
      </c>
      <c r="F593" t="s">
        <v>569</v>
      </c>
      <c r="G593" s="4">
        <v>75391</v>
      </c>
      <c r="H593" s="4"/>
      <c r="I593" s="4"/>
      <c r="J593" s="4">
        <f>SUM(G593:I593)</f>
        <v>75391</v>
      </c>
      <c r="K593" t="s">
        <v>1659</v>
      </c>
      <c r="L593" t="s">
        <v>1659</v>
      </c>
      <c r="M593" t="s">
        <v>1094</v>
      </c>
      <c r="N593" t="s">
        <v>1132</v>
      </c>
      <c r="O593" t="s">
        <v>1132</v>
      </c>
      <c r="P593" t="str">
        <f>IFERROR(VLOOKUP(F593,Sheet1!$A$2:$B$54,2,FALSE),"")</f>
        <v/>
      </c>
    </row>
    <row r="594" spans="1:16" x14ac:dyDescent="0.2">
      <c r="A594" s="1">
        <v>2016</v>
      </c>
      <c r="B594" t="s">
        <v>72</v>
      </c>
      <c r="C594" s="10" t="s">
        <v>1678</v>
      </c>
      <c r="D594" s="10" t="s">
        <v>1679</v>
      </c>
      <c r="E594" s="10" t="s">
        <v>1682</v>
      </c>
      <c r="F594" t="s">
        <v>569</v>
      </c>
      <c r="G594" s="4">
        <v>94607</v>
      </c>
      <c r="H594" s="4"/>
      <c r="I594" s="4"/>
      <c r="J594" s="4">
        <f>SUM(G594:I594)</f>
        <v>94607</v>
      </c>
      <c r="K594" t="s">
        <v>1659</v>
      </c>
      <c r="L594" t="s">
        <v>1659</v>
      </c>
      <c r="M594" t="s">
        <v>1094</v>
      </c>
      <c r="N594" t="s">
        <v>1132</v>
      </c>
      <c r="O594" t="s">
        <v>1132</v>
      </c>
      <c r="P594" t="str">
        <f>IFERROR(VLOOKUP(F594,Sheet1!$A$2:$B$54,2,FALSE),"")</f>
        <v/>
      </c>
    </row>
    <row r="595" spans="1:16" x14ac:dyDescent="0.2">
      <c r="A595" s="1">
        <v>2017</v>
      </c>
      <c r="B595" t="s">
        <v>72</v>
      </c>
      <c r="C595" s="10" t="s">
        <v>1678</v>
      </c>
      <c r="D595" s="10" t="s">
        <v>1679</v>
      </c>
      <c r="E595" s="10" t="s">
        <v>1682</v>
      </c>
      <c r="F595" t="s">
        <v>569</v>
      </c>
      <c r="G595" s="4">
        <v>110692</v>
      </c>
      <c r="H595" s="4"/>
      <c r="I595" s="4"/>
      <c r="J595" s="4">
        <f>SUM(G595:I595)</f>
        <v>110692</v>
      </c>
      <c r="K595" t="s">
        <v>1659</v>
      </c>
      <c r="L595" t="s">
        <v>1659</v>
      </c>
      <c r="M595" t="s">
        <v>1094</v>
      </c>
      <c r="N595" t="s">
        <v>1132</v>
      </c>
      <c r="O595" t="s">
        <v>1132</v>
      </c>
      <c r="P595" t="str">
        <f>IFERROR(VLOOKUP(F595,Sheet1!$A$2:$B$54,2,FALSE),"")</f>
        <v/>
      </c>
    </row>
    <row r="596" spans="1:16" x14ac:dyDescent="0.2">
      <c r="A596" s="1">
        <v>2018</v>
      </c>
      <c r="B596" t="s">
        <v>72</v>
      </c>
      <c r="C596" s="10" t="s">
        <v>1678</v>
      </c>
      <c r="D596" s="10" t="s">
        <v>1679</v>
      </c>
      <c r="E596" s="10" t="s">
        <v>1682</v>
      </c>
      <c r="F596" t="s">
        <v>569</v>
      </c>
      <c r="G596" s="4">
        <v>132950</v>
      </c>
      <c r="H596" s="4"/>
      <c r="I596" s="4"/>
      <c r="J596" s="4">
        <f>SUM(G596:I596)</f>
        <v>132950</v>
      </c>
      <c r="K596" t="s">
        <v>1659</v>
      </c>
      <c r="L596" t="s">
        <v>1659</v>
      </c>
      <c r="M596" t="s">
        <v>1094</v>
      </c>
      <c r="N596" t="s">
        <v>1132</v>
      </c>
      <c r="O596" t="s">
        <v>1132</v>
      </c>
      <c r="P596" t="str">
        <f>IFERROR(VLOOKUP(F596,Sheet1!$A$2:$B$54,2,FALSE),"")</f>
        <v/>
      </c>
    </row>
    <row r="597" spans="1:16" x14ac:dyDescent="0.2">
      <c r="A597" s="1">
        <v>2019</v>
      </c>
      <c r="B597" t="s">
        <v>72</v>
      </c>
      <c r="C597" s="10" t="s">
        <v>1678</v>
      </c>
      <c r="D597" s="10" t="s">
        <v>1679</v>
      </c>
      <c r="E597" s="10" t="s">
        <v>1682</v>
      </c>
      <c r="F597" t="s">
        <v>569</v>
      </c>
      <c r="G597" s="4">
        <v>174838</v>
      </c>
      <c r="H597" s="4"/>
      <c r="I597" s="4"/>
      <c r="J597" s="4">
        <f>SUM(G597:I597)</f>
        <v>174838</v>
      </c>
      <c r="K597" t="s">
        <v>1659</v>
      </c>
      <c r="L597" t="s">
        <v>1659</v>
      </c>
      <c r="M597" t="s">
        <v>1094</v>
      </c>
      <c r="N597" t="s">
        <v>1132</v>
      </c>
      <c r="O597" t="s">
        <v>1132</v>
      </c>
      <c r="P597" t="str">
        <f>IFERROR(VLOOKUP(F597,Sheet1!$A$2:$B$54,2,FALSE),"")</f>
        <v/>
      </c>
    </row>
    <row r="598" spans="1:16" x14ac:dyDescent="0.2">
      <c r="A598" s="1">
        <v>2020</v>
      </c>
      <c r="B598" t="s">
        <v>72</v>
      </c>
      <c r="C598" s="10" t="s">
        <v>1678</v>
      </c>
      <c r="D598" s="10" t="s">
        <v>1679</v>
      </c>
      <c r="E598" s="10" t="s">
        <v>1682</v>
      </c>
      <c r="F598" t="s">
        <v>569</v>
      </c>
      <c r="G598" s="4">
        <v>220061</v>
      </c>
      <c r="H598" s="4"/>
      <c r="I598" s="4"/>
      <c r="J598" s="4">
        <f>SUM(G598:I598)</f>
        <v>220061</v>
      </c>
      <c r="K598" t="s">
        <v>1659</v>
      </c>
      <c r="L598" t="s">
        <v>1659</v>
      </c>
      <c r="M598" t="s">
        <v>1094</v>
      </c>
      <c r="N598" t="s">
        <v>1132</v>
      </c>
      <c r="O598" t="s">
        <v>1132</v>
      </c>
      <c r="P598" t="str">
        <f>IFERROR(VLOOKUP(F598,Sheet1!$A$2:$B$54,2,FALSE),"")</f>
        <v/>
      </c>
    </row>
    <row r="599" spans="1:16" x14ac:dyDescent="0.2">
      <c r="A599" s="1">
        <v>2021</v>
      </c>
      <c r="B599" t="s">
        <v>72</v>
      </c>
      <c r="C599" s="10" t="s">
        <v>1678</v>
      </c>
      <c r="D599" s="10" t="s">
        <v>1679</v>
      </c>
      <c r="E599" s="10" t="s">
        <v>1682</v>
      </c>
      <c r="F599" t="s">
        <v>569</v>
      </c>
      <c r="G599" s="4">
        <v>231930</v>
      </c>
      <c r="H599" s="4"/>
      <c r="I599" s="4"/>
      <c r="J599" s="4">
        <f>SUM(G599:I599)</f>
        <v>231930</v>
      </c>
      <c r="K599" t="s">
        <v>1659</v>
      </c>
      <c r="L599" t="s">
        <v>1659</v>
      </c>
      <c r="M599" t="s">
        <v>569</v>
      </c>
      <c r="N599" t="s">
        <v>1132</v>
      </c>
      <c r="O599" t="s">
        <v>1132</v>
      </c>
      <c r="P599" t="str">
        <f>IFERROR(VLOOKUP(F599,Sheet1!$A$2:$B$54,2,FALSE),"")</f>
        <v/>
      </c>
    </row>
    <row r="600" spans="1:16" x14ac:dyDescent="0.2">
      <c r="A600" s="1">
        <v>2022</v>
      </c>
      <c r="B600" t="s">
        <v>72</v>
      </c>
      <c r="C600" s="10" t="s">
        <v>1678</v>
      </c>
      <c r="D600" s="10" t="s">
        <v>1679</v>
      </c>
      <c r="E600" s="10" t="s">
        <v>1682</v>
      </c>
      <c r="F600" t="s">
        <v>569</v>
      </c>
      <c r="G600" s="4">
        <v>260581</v>
      </c>
      <c r="H600" s="4"/>
      <c r="I600" s="4"/>
      <c r="J600" s="4">
        <f>SUM(G600:I600)</f>
        <v>260581</v>
      </c>
      <c r="K600" t="s">
        <v>1659</v>
      </c>
      <c r="L600" t="s">
        <v>1659</v>
      </c>
      <c r="M600" t="s">
        <v>569</v>
      </c>
      <c r="N600" t="s">
        <v>1132</v>
      </c>
      <c r="O600" t="s">
        <v>1132</v>
      </c>
      <c r="P600" t="str">
        <f>IFERROR(VLOOKUP(F600,Sheet1!$A$2:$B$54,2,FALSE),"")</f>
        <v/>
      </c>
    </row>
    <row r="601" spans="1:16" x14ac:dyDescent="0.2">
      <c r="A601" s="1">
        <v>2023</v>
      </c>
      <c r="B601" t="s">
        <v>72</v>
      </c>
      <c r="C601" s="10" t="s">
        <v>1678</v>
      </c>
      <c r="D601" s="10" t="s">
        <v>1679</v>
      </c>
      <c r="E601" s="10" t="s">
        <v>1682</v>
      </c>
      <c r="F601" t="s">
        <v>569</v>
      </c>
      <c r="G601" s="4">
        <v>315416</v>
      </c>
      <c r="H601" s="4"/>
      <c r="I601" s="4"/>
      <c r="J601" s="4">
        <f>SUM(G601:I601)</f>
        <v>315416</v>
      </c>
      <c r="K601" t="s">
        <v>1659</v>
      </c>
      <c r="L601" t="s">
        <v>1659</v>
      </c>
      <c r="M601" t="s">
        <v>569</v>
      </c>
      <c r="N601" t="s">
        <v>1132</v>
      </c>
      <c r="O601" t="s">
        <v>1132</v>
      </c>
      <c r="P601" t="str">
        <f>IFERROR(VLOOKUP(F601,Sheet1!$A$2:$B$54,2,FALSE),"")</f>
        <v/>
      </c>
    </row>
    <row r="602" spans="1:16" x14ac:dyDescent="0.2">
      <c r="A602" s="1">
        <v>2015</v>
      </c>
      <c r="B602" t="s">
        <v>73</v>
      </c>
      <c r="C602" s="10" t="s">
        <v>1678</v>
      </c>
      <c r="D602" s="10" t="s">
        <v>1679</v>
      </c>
      <c r="E602" s="10" t="s">
        <v>1682</v>
      </c>
      <c r="F602" t="s">
        <v>570</v>
      </c>
      <c r="G602" s="4">
        <v>16525</v>
      </c>
      <c r="H602" s="4"/>
      <c r="I602" s="4"/>
      <c r="J602" s="4">
        <f>SUM(G602:I602)</f>
        <v>16525</v>
      </c>
      <c r="K602" t="s">
        <v>1659</v>
      </c>
      <c r="L602" t="s">
        <v>1659</v>
      </c>
      <c r="M602" t="s">
        <v>1095</v>
      </c>
      <c r="N602" t="s">
        <v>1132</v>
      </c>
      <c r="O602" t="s">
        <v>1132</v>
      </c>
      <c r="P602" t="str">
        <f>IFERROR(VLOOKUP(F602,Sheet1!$A$2:$B$54,2,FALSE),"")</f>
        <v/>
      </c>
    </row>
    <row r="603" spans="1:16" x14ac:dyDescent="0.2">
      <c r="A603" s="1">
        <v>2016</v>
      </c>
      <c r="B603" t="s">
        <v>73</v>
      </c>
      <c r="C603" s="10" t="s">
        <v>1678</v>
      </c>
      <c r="D603" s="10" t="s">
        <v>1679</v>
      </c>
      <c r="E603" s="10" t="s">
        <v>1682</v>
      </c>
      <c r="F603" t="s">
        <v>570</v>
      </c>
      <c r="G603" s="4">
        <v>16769</v>
      </c>
      <c r="H603" s="4"/>
      <c r="I603" s="4"/>
      <c r="J603" s="4">
        <f>SUM(G603:I603)</f>
        <v>16769</v>
      </c>
      <c r="K603" t="s">
        <v>1659</v>
      </c>
      <c r="L603" t="s">
        <v>1659</v>
      </c>
      <c r="M603" t="s">
        <v>1095</v>
      </c>
      <c r="N603" t="s">
        <v>1132</v>
      </c>
      <c r="O603" t="s">
        <v>1132</v>
      </c>
      <c r="P603" t="str">
        <f>IFERROR(VLOOKUP(F603,Sheet1!$A$2:$B$54,2,FALSE),"")</f>
        <v/>
      </c>
    </row>
    <row r="604" spans="1:16" x14ac:dyDescent="0.2">
      <c r="A604" s="1">
        <v>2017</v>
      </c>
      <c r="B604" t="s">
        <v>73</v>
      </c>
      <c r="C604" s="10" t="s">
        <v>1678</v>
      </c>
      <c r="D604" s="10" t="s">
        <v>1679</v>
      </c>
      <c r="E604" s="10" t="s">
        <v>1682</v>
      </c>
      <c r="F604" t="s">
        <v>570</v>
      </c>
      <c r="G604" s="4">
        <v>25946</v>
      </c>
      <c r="H604" s="4"/>
      <c r="I604" s="4"/>
      <c r="J604" s="4">
        <f>SUM(G604:I604)</f>
        <v>25946</v>
      </c>
      <c r="K604" t="s">
        <v>1659</v>
      </c>
      <c r="L604" t="s">
        <v>1659</v>
      </c>
      <c r="M604" t="s">
        <v>1095</v>
      </c>
      <c r="N604" t="s">
        <v>1132</v>
      </c>
      <c r="O604" t="s">
        <v>1132</v>
      </c>
      <c r="P604" t="str">
        <f>IFERROR(VLOOKUP(F604,Sheet1!$A$2:$B$54,2,FALSE),"")</f>
        <v/>
      </c>
    </row>
    <row r="605" spans="1:16" x14ac:dyDescent="0.2">
      <c r="A605" s="1">
        <v>2018</v>
      </c>
      <c r="B605" t="s">
        <v>73</v>
      </c>
      <c r="C605" s="10" t="s">
        <v>1678</v>
      </c>
      <c r="D605" s="10" t="s">
        <v>1679</v>
      </c>
      <c r="E605" s="10" t="s">
        <v>1682</v>
      </c>
      <c r="F605" t="s">
        <v>570</v>
      </c>
      <c r="G605" s="4">
        <v>33140</v>
      </c>
      <c r="H605" s="4"/>
      <c r="I605" s="4"/>
      <c r="J605" s="4">
        <f>SUM(G605:I605)</f>
        <v>33140</v>
      </c>
      <c r="K605" t="s">
        <v>1659</v>
      </c>
      <c r="L605" t="s">
        <v>1659</v>
      </c>
      <c r="M605" t="s">
        <v>1095</v>
      </c>
      <c r="N605" t="s">
        <v>1132</v>
      </c>
      <c r="O605" t="s">
        <v>1132</v>
      </c>
      <c r="P605" t="str">
        <f>IFERROR(VLOOKUP(F605,Sheet1!$A$2:$B$54,2,FALSE),"")</f>
        <v/>
      </c>
    </row>
    <row r="606" spans="1:16" x14ac:dyDescent="0.2">
      <c r="A606" s="1">
        <v>2019</v>
      </c>
      <c r="B606" t="s">
        <v>73</v>
      </c>
      <c r="C606" s="10" t="s">
        <v>1678</v>
      </c>
      <c r="D606" s="10" t="s">
        <v>1679</v>
      </c>
      <c r="E606" s="10" t="s">
        <v>1682</v>
      </c>
      <c r="F606" t="s">
        <v>570</v>
      </c>
      <c r="G606" s="4">
        <v>43810</v>
      </c>
      <c r="H606" s="4"/>
      <c r="I606" s="4"/>
      <c r="J606" s="4">
        <f>SUM(G606:I606)</f>
        <v>43810</v>
      </c>
      <c r="K606" t="s">
        <v>1659</v>
      </c>
      <c r="L606" t="s">
        <v>1659</v>
      </c>
      <c r="M606" t="s">
        <v>1095</v>
      </c>
      <c r="N606" t="s">
        <v>1132</v>
      </c>
      <c r="O606" t="s">
        <v>1132</v>
      </c>
      <c r="P606" t="str">
        <f>IFERROR(VLOOKUP(F606,Sheet1!$A$2:$B$54,2,FALSE),"")</f>
        <v/>
      </c>
    </row>
    <row r="607" spans="1:16" x14ac:dyDescent="0.2">
      <c r="A607" s="1">
        <v>2020</v>
      </c>
      <c r="B607" t="s">
        <v>73</v>
      </c>
      <c r="C607" s="10" t="s">
        <v>1678</v>
      </c>
      <c r="D607" s="10" t="s">
        <v>1679</v>
      </c>
      <c r="E607" s="10" t="s">
        <v>1682</v>
      </c>
      <c r="F607" t="s">
        <v>570</v>
      </c>
      <c r="G607" s="4">
        <v>46518</v>
      </c>
      <c r="H607" s="4"/>
      <c r="I607" s="4"/>
      <c r="J607" s="4">
        <f>SUM(G607:I607)</f>
        <v>46518</v>
      </c>
      <c r="K607" t="s">
        <v>1659</v>
      </c>
      <c r="L607" t="s">
        <v>1659</v>
      </c>
      <c r="M607" t="s">
        <v>1095</v>
      </c>
      <c r="N607" t="s">
        <v>1132</v>
      </c>
      <c r="O607" t="s">
        <v>1132</v>
      </c>
      <c r="P607" t="str">
        <f>IFERROR(VLOOKUP(F607,Sheet1!$A$2:$B$54,2,FALSE),"")</f>
        <v/>
      </c>
    </row>
    <row r="608" spans="1:16" x14ac:dyDescent="0.2">
      <c r="A608" s="1">
        <v>2021</v>
      </c>
      <c r="B608" t="s">
        <v>73</v>
      </c>
      <c r="C608" s="10" t="s">
        <v>1678</v>
      </c>
      <c r="D608" s="10" t="s">
        <v>1679</v>
      </c>
      <c r="E608" s="10" t="s">
        <v>1682</v>
      </c>
      <c r="F608" t="s">
        <v>570</v>
      </c>
      <c r="G608" s="4">
        <v>67126</v>
      </c>
      <c r="H608" s="4"/>
      <c r="I608" s="4"/>
      <c r="J608" s="4">
        <f>SUM(G608:I608)</f>
        <v>67126</v>
      </c>
      <c r="K608" t="s">
        <v>1659</v>
      </c>
      <c r="L608" t="s">
        <v>1659</v>
      </c>
      <c r="M608" t="s">
        <v>570</v>
      </c>
      <c r="N608" t="s">
        <v>1132</v>
      </c>
      <c r="O608" t="s">
        <v>1132</v>
      </c>
      <c r="P608" t="str">
        <f>IFERROR(VLOOKUP(F608,Sheet1!$A$2:$B$54,2,FALSE),"")</f>
        <v/>
      </c>
    </row>
    <row r="609" spans="1:16" x14ac:dyDescent="0.2">
      <c r="A609" s="1">
        <v>2022</v>
      </c>
      <c r="B609" t="s">
        <v>73</v>
      </c>
      <c r="C609" s="10" t="s">
        <v>1678</v>
      </c>
      <c r="D609" s="10" t="s">
        <v>1679</v>
      </c>
      <c r="E609" s="10" t="s">
        <v>1682</v>
      </c>
      <c r="F609" t="s">
        <v>570</v>
      </c>
      <c r="G609" s="4">
        <v>105944</v>
      </c>
      <c r="H609" s="4"/>
      <c r="I609" s="4"/>
      <c r="J609" s="4">
        <f>SUM(G609:I609)</f>
        <v>105944</v>
      </c>
      <c r="K609" t="s">
        <v>1659</v>
      </c>
      <c r="L609" t="s">
        <v>1659</v>
      </c>
      <c r="M609" t="s">
        <v>570</v>
      </c>
      <c r="N609" t="s">
        <v>1132</v>
      </c>
      <c r="O609" t="s">
        <v>1132</v>
      </c>
      <c r="P609" t="str">
        <f>IFERROR(VLOOKUP(F609,Sheet1!$A$2:$B$54,2,FALSE),"")</f>
        <v/>
      </c>
    </row>
    <row r="610" spans="1:16" x14ac:dyDescent="0.2">
      <c r="A610" s="1">
        <v>2023</v>
      </c>
      <c r="B610" t="s">
        <v>73</v>
      </c>
      <c r="C610" s="10" t="s">
        <v>1678</v>
      </c>
      <c r="D610" s="10" t="s">
        <v>1679</v>
      </c>
      <c r="E610" s="10" t="s">
        <v>1682</v>
      </c>
      <c r="F610" t="s">
        <v>570</v>
      </c>
      <c r="G610" s="4">
        <v>128842</v>
      </c>
      <c r="H610" s="4"/>
      <c r="I610" s="4"/>
      <c r="J610" s="4">
        <f>SUM(G610:I610)</f>
        <v>128842</v>
      </c>
      <c r="K610" t="s">
        <v>1659</v>
      </c>
      <c r="L610" t="s">
        <v>1659</v>
      </c>
      <c r="M610" t="s">
        <v>570</v>
      </c>
      <c r="N610" t="s">
        <v>1132</v>
      </c>
      <c r="O610" t="s">
        <v>1132</v>
      </c>
      <c r="P610" t="str">
        <f>IFERROR(VLOOKUP(F610,Sheet1!$A$2:$B$54,2,FALSE),"")</f>
        <v/>
      </c>
    </row>
    <row r="611" spans="1:16" x14ac:dyDescent="0.2">
      <c r="A611" s="1">
        <v>2015</v>
      </c>
      <c r="B611" t="s">
        <v>74</v>
      </c>
      <c r="C611" s="10" t="s">
        <v>1678</v>
      </c>
      <c r="D611" s="10" t="s">
        <v>1679</v>
      </c>
      <c r="E611" s="10" t="s">
        <v>1682</v>
      </c>
      <c r="F611" t="s">
        <v>571</v>
      </c>
      <c r="G611" s="4">
        <v>47613</v>
      </c>
      <c r="H611" s="4"/>
      <c r="I611" s="4"/>
      <c r="J611" s="4">
        <f>SUM(G611:I611)</f>
        <v>47613</v>
      </c>
      <c r="K611" t="s">
        <v>1659</v>
      </c>
      <c r="L611" t="s">
        <v>1659</v>
      </c>
      <c r="M611" t="s">
        <v>1096</v>
      </c>
      <c r="N611" t="s">
        <v>1132</v>
      </c>
      <c r="O611" t="s">
        <v>1132</v>
      </c>
      <c r="P611" t="str">
        <f>IFERROR(VLOOKUP(F611,Sheet1!$A$2:$B$54,2,FALSE),"")</f>
        <v/>
      </c>
    </row>
    <row r="612" spans="1:16" x14ac:dyDescent="0.2">
      <c r="A612" s="1">
        <v>2016</v>
      </c>
      <c r="B612" t="s">
        <v>74</v>
      </c>
      <c r="C612" s="10" t="s">
        <v>1678</v>
      </c>
      <c r="D612" s="10" t="s">
        <v>1679</v>
      </c>
      <c r="E612" s="10" t="s">
        <v>1682</v>
      </c>
      <c r="F612" t="s">
        <v>571</v>
      </c>
      <c r="G612" s="4">
        <v>76913</v>
      </c>
      <c r="H612" s="4"/>
      <c r="I612" s="4"/>
      <c r="J612" s="4">
        <f>SUM(G612:I612)</f>
        <v>76913</v>
      </c>
      <c r="K612" t="s">
        <v>1659</v>
      </c>
      <c r="L612" t="s">
        <v>1659</v>
      </c>
      <c r="M612" t="s">
        <v>1096</v>
      </c>
      <c r="N612" t="s">
        <v>1132</v>
      </c>
      <c r="O612" t="s">
        <v>1132</v>
      </c>
      <c r="P612" t="str">
        <f>IFERROR(VLOOKUP(F612,Sheet1!$A$2:$B$54,2,FALSE),"")</f>
        <v/>
      </c>
    </row>
    <row r="613" spans="1:16" x14ac:dyDescent="0.2">
      <c r="A613" s="1">
        <v>2017</v>
      </c>
      <c r="B613" t="s">
        <v>74</v>
      </c>
      <c r="C613" s="10" t="s">
        <v>1678</v>
      </c>
      <c r="D613" s="10" t="s">
        <v>1679</v>
      </c>
      <c r="E613" s="10" t="s">
        <v>1682</v>
      </c>
      <c r="F613" t="s">
        <v>571</v>
      </c>
      <c r="G613" s="4">
        <v>110007</v>
      </c>
      <c r="H613" s="4"/>
      <c r="I613" s="4"/>
      <c r="J613" s="4">
        <f>SUM(G613:I613)</f>
        <v>110007</v>
      </c>
      <c r="K613" t="s">
        <v>1659</v>
      </c>
      <c r="L613" t="s">
        <v>1659</v>
      </c>
      <c r="M613" t="s">
        <v>1096</v>
      </c>
      <c r="N613" t="s">
        <v>1132</v>
      </c>
      <c r="O613" t="s">
        <v>1132</v>
      </c>
      <c r="P613" t="str">
        <f>IFERROR(VLOOKUP(F613,Sheet1!$A$2:$B$54,2,FALSE),"")</f>
        <v/>
      </c>
    </row>
    <row r="614" spans="1:16" x14ac:dyDescent="0.2">
      <c r="A614" s="1">
        <v>2018</v>
      </c>
      <c r="B614" t="s">
        <v>74</v>
      </c>
      <c r="C614" s="10" t="s">
        <v>1678</v>
      </c>
      <c r="D614" s="10" t="s">
        <v>1679</v>
      </c>
      <c r="E614" s="10" t="s">
        <v>1682</v>
      </c>
      <c r="F614" t="s">
        <v>571</v>
      </c>
      <c r="G614" s="4">
        <v>128133</v>
      </c>
      <c r="H614" s="4"/>
      <c r="I614" s="4"/>
      <c r="J614" s="4">
        <f>SUM(G614:I614)</f>
        <v>128133</v>
      </c>
      <c r="K614" t="s">
        <v>1659</v>
      </c>
      <c r="L614" t="s">
        <v>1659</v>
      </c>
      <c r="M614" t="s">
        <v>1096</v>
      </c>
      <c r="N614" t="s">
        <v>1132</v>
      </c>
      <c r="O614" t="s">
        <v>1132</v>
      </c>
      <c r="P614" t="str">
        <f>IFERROR(VLOOKUP(F614,Sheet1!$A$2:$B$54,2,FALSE),"")</f>
        <v/>
      </c>
    </row>
    <row r="615" spans="1:16" x14ac:dyDescent="0.2">
      <c r="A615" s="1">
        <v>2019</v>
      </c>
      <c r="B615" t="s">
        <v>74</v>
      </c>
      <c r="C615" s="10" t="s">
        <v>1678</v>
      </c>
      <c r="D615" s="10" t="s">
        <v>1679</v>
      </c>
      <c r="E615" s="10" t="s">
        <v>1682</v>
      </c>
      <c r="F615" t="s">
        <v>571</v>
      </c>
      <c r="G615" s="4">
        <v>163427</v>
      </c>
      <c r="H615" s="4"/>
      <c r="I615" s="4"/>
      <c r="J615" s="4">
        <f>SUM(G615:I615)</f>
        <v>163427</v>
      </c>
      <c r="K615" t="s">
        <v>1659</v>
      </c>
      <c r="L615" t="s">
        <v>1659</v>
      </c>
      <c r="M615" t="s">
        <v>1096</v>
      </c>
      <c r="N615" t="s">
        <v>1132</v>
      </c>
      <c r="O615" t="s">
        <v>1132</v>
      </c>
      <c r="P615" t="str">
        <f>IFERROR(VLOOKUP(F615,Sheet1!$A$2:$B$54,2,FALSE),"")</f>
        <v/>
      </c>
    </row>
    <row r="616" spans="1:16" x14ac:dyDescent="0.2">
      <c r="A616" s="1">
        <v>2020</v>
      </c>
      <c r="B616" t="s">
        <v>74</v>
      </c>
      <c r="C616" s="10" t="s">
        <v>1678</v>
      </c>
      <c r="D616" s="10" t="s">
        <v>1679</v>
      </c>
      <c r="E616" s="10" t="s">
        <v>1682</v>
      </c>
      <c r="F616" t="s">
        <v>571</v>
      </c>
      <c r="G616" s="4">
        <v>209788</v>
      </c>
      <c r="H616" s="4"/>
      <c r="I616" s="4"/>
      <c r="J616" s="4">
        <f>SUM(G616:I616)</f>
        <v>209788</v>
      </c>
      <c r="K616" t="s">
        <v>1659</v>
      </c>
      <c r="L616" t="s">
        <v>1659</v>
      </c>
      <c r="M616" t="s">
        <v>1096</v>
      </c>
      <c r="N616" t="s">
        <v>1132</v>
      </c>
      <c r="O616" t="s">
        <v>1132</v>
      </c>
      <c r="P616" t="str">
        <f>IFERROR(VLOOKUP(F616,Sheet1!$A$2:$B$54,2,FALSE),"")</f>
        <v/>
      </c>
    </row>
    <row r="617" spans="1:16" x14ac:dyDescent="0.2">
      <c r="A617" s="1">
        <v>2021</v>
      </c>
      <c r="B617" t="s">
        <v>74</v>
      </c>
      <c r="C617" s="10" t="s">
        <v>1678</v>
      </c>
      <c r="D617" s="10" t="s">
        <v>1679</v>
      </c>
      <c r="E617" s="10" t="s">
        <v>1682</v>
      </c>
      <c r="F617" t="s">
        <v>571</v>
      </c>
      <c r="G617" s="4">
        <v>250500</v>
      </c>
      <c r="H617" s="4"/>
      <c r="I617" s="4"/>
      <c r="J617" s="4">
        <f>SUM(G617:I617)</f>
        <v>250500</v>
      </c>
      <c r="K617" t="s">
        <v>1659</v>
      </c>
      <c r="L617" t="s">
        <v>1659</v>
      </c>
      <c r="M617" t="s">
        <v>571</v>
      </c>
      <c r="N617" t="s">
        <v>1132</v>
      </c>
      <c r="O617" t="s">
        <v>1132</v>
      </c>
      <c r="P617" t="str">
        <f>IFERROR(VLOOKUP(F617,Sheet1!$A$2:$B$54,2,FALSE),"")</f>
        <v/>
      </c>
    </row>
    <row r="618" spans="1:16" x14ac:dyDescent="0.2">
      <c r="A618" s="1">
        <v>2022</v>
      </c>
      <c r="B618" t="s">
        <v>74</v>
      </c>
      <c r="C618" s="10" t="s">
        <v>1678</v>
      </c>
      <c r="D618" s="10" t="s">
        <v>1679</v>
      </c>
      <c r="E618" s="10" t="s">
        <v>1682</v>
      </c>
      <c r="F618" t="s">
        <v>571</v>
      </c>
      <c r="G618" s="4">
        <v>348951</v>
      </c>
      <c r="H618" s="4"/>
      <c r="I618" s="4"/>
      <c r="J618" s="4">
        <f>SUM(G618:I618)</f>
        <v>348951</v>
      </c>
      <c r="K618" t="s">
        <v>1659</v>
      </c>
      <c r="L618" t="s">
        <v>1659</v>
      </c>
      <c r="M618" t="s">
        <v>571</v>
      </c>
      <c r="N618" t="s">
        <v>1132</v>
      </c>
      <c r="O618" t="s">
        <v>1132</v>
      </c>
      <c r="P618" t="str">
        <f>IFERROR(VLOOKUP(F618,Sheet1!$A$2:$B$54,2,FALSE),"")</f>
        <v/>
      </c>
    </row>
    <row r="619" spans="1:16" x14ac:dyDescent="0.2">
      <c r="A619" s="1">
        <v>2023</v>
      </c>
      <c r="B619" t="s">
        <v>74</v>
      </c>
      <c r="C619" s="10" t="s">
        <v>1678</v>
      </c>
      <c r="D619" s="10" t="s">
        <v>1679</v>
      </c>
      <c r="E619" s="10" t="s">
        <v>1682</v>
      </c>
      <c r="F619" t="s">
        <v>571</v>
      </c>
      <c r="G619" s="4">
        <v>422671</v>
      </c>
      <c r="H619" s="4"/>
      <c r="I619" s="4"/>
      <c r="J619" s="4">
        <f>SUM(G619:I619)</f>
        <v>422671</v>
      </c>
      <c r="K619" t="s">
        <v>1659</v>
      </c>
      <c r="L619" t="s">
        <v>1659</v>
      </c>
      <c r="M619" t="s">
        <v>571</v>
      </c>
      <c r="N619" t="s">
        <v>1132</v>
      </c>
      <c r="O619" t="s">
        <v>1132</v>
      </c>
      <c r="P619" t="str">
        <f>IFERROR(VLOOKUP(F619,Sheet1!$A$2:$B$54,2,FALSE),"")</f>
        <v/>
      </c>
    </row>
    <row r="620" spans="1:16" x14ac:dyDescent="0.2">
      <c r="A620" s="1">
        <v>2015</v>
      </c>
      <c r="B620" t="s">
        <v>75</v>
      </c>
      <c r="C620" s="10" t="s">
        <v>1678</v>
      </c>
      <c r="D620" s="10" t="s">
        <v>1679</v>
      </c>
      <c r="E620" s="10" t="s">
        <v>1682</v>
      </c>
      <c r="F620" t="s">
        <v>572</v>
      </c>
      <c r="G620" s="4">
        <v>128393</v>
      </c>
      <c r="H620" s="4"/>
      <c r="I620" s="4"/>
      <c r="J620" s="4">
        <f>SUM(G620:I620)</f>
        <v>128393</v>
      </c>
      <c r="K620" t="s">
        <v>1659</v>
      </c>
      <c r="L620" t="s">
        <v>1659</v>
      </c>
      <c r="M620" t="s">
        <v>1097</v>
      </c>
      <c r="N620" t="s">
        <v>1132</v>
      </c>
      <c r="O620" t="s">
        <v>1132</v>
      </c>
      <c r="P620" t="str">
        <f>IFERROR(VLOOKUP(F620,Sheet1!$A$2:$B$54,2,FALSE),"")</f>
        <v/>
      </c>
    </row>
    <row r="621" spans="1:16" x14ac:dyDescent="0.2">
      <c r="A621" s="1">
        <v>2016</v>
      </c>
      <c r="B621" t="s">
        <v>75</v>
      </c>
      <c r="C621" s="10" t="s">
        <v>1678</v>
      </c>
      <c r="D621" s="10" t="s">
        <v>1679</v>
      </c>
      <c r="E621" s="10" t="s">
        <v>1682</v>
      </c>
      <c r="F621" t="s">
        <v>572</v>
      </c>
      <c r="G621" s="4">
        <v>158894</v>
      </c>
      <c r="H621" s="4"/>
      <c r="I621" s="4"/>
      <c r="J621" s="4">
        <f>SUM(G621:I621)</f>
        <v>158894</v>
      </c>
      <c r="K621" t="s">
        <v>1659</v>
      </c>
      <c r="L621" t="s">
        <v>1659</v>
      </c>
      <c r="M621" t="s">
        <v>1097</v>
      </c>
      <c r="N621" t="s">
        <v>1132</v>
      </c>
      <c r="O621" t="s">
        <v>1132</v>
      </c>
      <c r="P621" t="str">
        <f>IFERROR(VLOOKUP(F621,Sheet1!$A$2:$B$54,2,FALSE),"")</f>
        <v/>
      </c>
    </row>
    <row r="622" spans="1:16" x14ac:dyDescent="0.2">
      <c r="A622" s="1">
        <v>2017</v>
      </c>
      <c r="B622" t="s">
        <v>75</v>
      </c>
      <c r="C622" s="10" t="s">
        <v>1678</v>
      </c>
      <c r="D622" s="10" t="s">
        <v>1679</v>
      </c>
      <c r="E622" s="10" t="s">
        <v>1682</v>
      </c>
      <c r="F622" t="s">
        <v>572</v>
      </c>
      <c r="G622" s="4">
        <v>201919</v>
      </c>
      <c r="H622" s="4"/>
      <c r="I622" s="4"/>
      <c r="J622" s="4">
        <f>SUM(G622:I622)</f>
        <v>201919</v>
      </c>
      <c r="K622" t="s">
        <v>1659</v>
      </c>
      <c r="L622" t="s">
        <v>1659</v>
      </c>
      <c r="M622" t="s">
        <v>1097</v>
      </c>
      <c r="N622" t="s">
        <v>1132</v>
      </c>
      <c r="O622" t="s">
        <v>1132</v>
      </c>
      <c r="P622" t="str">
        <f>IFERROR(VLOOKUP(F622,Sheet1!$A$2:$B$54,2,FALSE),"")</f>
        <v/>
      </c>
    </row>
    <row r="623" spans="1:16" x14ac:dyDescent="0.2">
      <c r="A623" s="1">
        <v>2018</v>
      </c>
      <c r="B623" t="s">
        <v>75</v>
      </c>
      <c r="C623" s="10" t="s">
        <v>1678</v>
      </c>
      <c r="D623" s="10" t="s">
        <v>1679</v>
      </c>
      <c r="E623" s="10" t="s">
        <v>1682</v>
      </c>
      <c r="F623" t="s">
        <v>572</v>
      </c>
      <c r="G623" s="4">
        <v>264502</v>
      </c>
      <c r="H623" s="4"/>
      <c r="I623" s="4"/>
      <c r="J623" s="4">
        <f>SUM(G623:I623)</f>
        <v>264502</v>
      </c>
      <c r="K623" t="s">
        <v>1659</v>
      </c>
      <c r="L623" t="s">
        <v>1659</v>
      </c>
      <c r="M623" t="s">
        <v>1097</v>
      </c>
      <c r="N623" t="s">
        <v>1132</v>
      </c>
      <c r="O623" t="s">
        <v>1132</v>
      </c>
      <c r="P623" t="str">
        <f>IFERROR(VLOOKUP(F623,Sheet1!$A$2:$B$54,2,FALSE),"")</f>
        <v/>
      </c>
    </row>
    <row r="624" spans="1:16" x14ac:dyDescent="0.2">
      <c r="A624" s="1">
        <v>2019</v>
      </c>
      <c r="B624" t="s">
        <v>75</v>
      </c>
      <c r="C624" s="10" t="s">
        <v>1678</v>
      </c>
      <c r="D624" s="10" t="s">
        <v>1679</v>
      </c>
      <c r="E624" s="10" t="s">
        <v>1682</v>
      </c>
      <c r="F624" t="s">
        <v>572</v>
      </c>
      <c r="G624" s="4">
        <v>319940</v>
      </c>
      <c r="H624" s="4"/>
      <c r="I624" s="4"/>
      <c r="J624" s="4">
        <f>SUM(G624:I624)</f>
        <v>319940</v>
      </c>
      <c r="K624" t="s">
        <v>1659</v>
      </c>
      <c r="L624" t="s">
        <v>1659</v>
      </c>
      <c r="M624" t="s">
        <v>1097</v>
      </c>
      <c r="N624" t="s">
        <v>1132</v>
      </c>
      <c r="O624" t="s">
        <v>1132</v>
      </c>
      <c r="P624" t="str">
        <f>IFERROR(VLOOKUP(F624,Sheet1!$A$2:$B$54,2,FALSE),"")</f>
        <v/>
      </c>
    </row>
    <row r="625" spans="1:16" x14ac:dyDescent="0.2">
      <c r="A625" s="1">
        <v>2020</v>
      </c>
      <c r="B625" t="s">
        <v>75</v>
      </c>
      <c r="C625" s="10" t="s">
        <v>1678</v>
      </c>
      <c r="D625" s="10" t="s">
        <v>1679</v>
      </c>
      <c r="E625" s="10" t="s">
        <v>1682</v>
      </c>
      <c r="F625" t="s">
        <v>572</v>
      </c>
      <c r="G625" s="4">
        <v>351459</v>
      </c>
      <c r="H625" s="4"/>
      <c r="I625" s="4"/>
      <c r="J625" s="4">
        <f>SUM(G625:I625)</f>
        <v>351459</v>
      </c>
      <c r="K625" t="s">
        <v>1659</v>
      </c>
      <c r="L625" t="s">
        <v>1659</v>
      </c>
      <c r="M625" t="s">
        <v>1097</v>
      </c>
      <c r="N625" t="s">
        <v>1132</v>
      </c>
      <c r="O625" t="s">
        <v>1132</v>
      </c>
      <c r="P625" t="str">
        <f>IFERROR(VLOOKUP(F625,Sheet1!$A$2:$B$54,2,FALSE),"")</f>
        <v/>
      </c>
    </row>
    <row r="626" spans="1:16" x14ac:dyDescent="0.2">
      <c r="A626" s="1">
        <v>2021</v>
      </c>
      <c r="B626" t="s">
        <v>75</v>
      </c>
      <c r="C626" s="10" t="s">
        <v>1678</v>
      </c>
      <c r="D626" s="10" t="s">
        <v>1679</v>
      </c>
      <c r="E626" s="10" t="s">
        <v>1682</v>
      </c>
      <c r="F626" t="s">
        <v>572</v>
      </c>
      <c r="G626" s="4">
        <v>425519</v>
      </c>
      <c r="H626" s="4"/>
      <c r="I626" s="4"/>
      <c r="J626" s="4">
        <f>SUM(G626:I626)</f>
        <v>425519</v>
      </c>
      <c r="K626" t="s">
        <v>1659</v>
      </c>
      <c r="L626" t="s">
        <v>1659</v>
      </c>
      <c r="M626" t="s">
        <v>572</v>
      </c>
      <c r="N626" t="s">
        <v>1132</v>
      </c>
      <c r="O626" t="s">
        <v>1132</v>
      </c>
      <c r="P626" t="str">
        <f>IFERROR(VLOOKUP(F626,Sheet1!$A$2:$B$54,2,FALSE),"")</f>
        <v/>
      </c>
    </row>
    <row r="627" spans="1:16" x14ac:dyDescent="0.2">
      <c r="A627" s="1">
        <v>2022</v>
      </c>
      <c r="B627" t="s">
        <v>75</v>
      </c>
      <c r="C627" s="10" t="s">
        <v>1678</v>
      </c>
      <c r="D627" s="10" t="s">
        <v>1679</v>
      </c>
      <c r="E627" s="10" t="s">
        <v>1682</v>
      </c>
      <c r="F627" t="s">
        <v>572</v>
      </c>
      <c r="G627" s="4">
        <v>555833</v>
      </c>
      <c r="H627" s="4"/>
      <c r="I627" s="4"/>
      <c r="J627" s="4">
        <f>SUM(G627:I627)</f>
        <v>555833</v>
      </c>
      <c r="K627" t="s">
        <v>1659</v>
      </c>
      <c r="L627" t="s">
        <v>1659</v>
      </c>
      <c r="M627" t="s">
        <v>572</v>
      </c>
      <c r="N627" t="s">
        <v>1132</v>
      </c>
      <c r="O627" t="s">
        <v>1132</v>
      </c>
      <c r="P627" t="str">
        <f>IFERROR(VLOOKUP(F627,Sheet1!$A$2:$B$54,2,FALSE),"")</f>
        <v/>
      </c>
    </row>
    <row r="628" spans="1:16" x14ac:dyDescent="0.2">
      <c r="A628" s="1">
        <v>2023</v>
      </c>
      <c r="B628" t="s">
        <v>75</v>
      </c>
      <c r="C628" s="10" t="s">
        <v>1678</v>
      </c>
      <c r="D628" s="10" t="s">
        <v>1679</v>
      </c>
      <c r="E628" s="10" t="s">
        <v>1682</v>
      </c>
      <c r="F628" t="s">
        <v>572</v>
      </c>
      <c r="G628" s="4">
        <v>724516</v>
      </c>
      <c r="H628" s="4"/>
      <c r="I628" s="4"/>
      <c r="J628" s="4">
        <f>SUM(G628:I628)</f>
        <v>724516</v>
      </c>
      <c r="K628" t="s">
        <v>1659</v>
      </c>
      <c r="L628" t="s">
        <v>1659</v>
      </c>
      <c r="M628" t="s">
        <v>572</v>
      </c>
      <c r="N628" t="s">
        <v>1132</v>
      </c>
      <c r="O628" t="s">
        <v>1132</v>
      </c>
      <c r="P628" t="str">
        <f>IFERROR(VLOOKUP(F628,Sheet1!$A$2:$B$54,2,FALSE),"")</f>
        <v/>
      </c>
    </row>
    <row r="629" spans="1:16" x14ac:dyDescent="0.2">
      <c r="A629" s="1">
        <v>2015</v>
      </c>
      <c r="B629" t="s">
        <v>76</v>
      </c>
      <c r="C629" s="10" t="s">
        <v>1678</v>
      </c>
      <c r="D629" s="10" t="s">
        <v>1679</v>
      </c>
      <c r="E629" s="10" t="s">
        <v>1682</v>
      </c>
      <c r="F629" t="s">
        <v>573</v>
      </c>
      <c r="G629" s="4">
        <v>79793</v>
      </c>
      <c r="H629" s="4"/>
      <c r="I629" s="4"/>
      <c r="J629" s="4">
        <f>SUM(G629:I629)</f>
        <v>79793</v>
      </c>
      <c r="K629" t="s">
        <v>1659</v>
      </c>
      <c r="L629" t="s">
        <v>1659</v>
      </c>
      <c r="M629" t="s">
        <v>1098</v>
      </c>
      <c r="N629" t="s">
        <v>1132</v>
      </c>
      <c r="O629" t="s">
        <v>1132</v>
      </c>
      <c r="P629" t="str">
        <f>IFERROR(VLOOKUP(F629,Sheet1!$A$2:$B$54,2,FALSE),"")</f>
        <v/>
      </c>
    </row>
    <row r="630" spans="1:16" x14ac:dyDescent="0.2">
      <c r="A630" s="1">
        <v>2016</v>
      </c>
      <c r="B630" t="s">
        <v>76</v>
      </c>
      <c r="C630" s="10" t="s">
        <v>1678</v>
      </c>
      <c r="D630" s="10" t="s">
        <v>1679</v>
      </c>
      <c r="E630" s="10" t="s">
        <v>1682</v>
      </c>
      <c r="F630" t="s">
        <v>573</v>
      </c>
      <c r="G630" s="4">
        <v>124828</v>
      </c>
      <c r="H630" s="4"/>
      <c r="I630" s="4"/>
      <c r="J630" s="4">
        <f>SUM(G630:I630)</f>
        <v>124828</v>
      </c>
      <c r="K630" t="s">
        <v>1659</v>
      </c>
      <c r="L630" t="s">
        <v>1659</v>
      </c>
      <c r="M630" t="s">
        <v>1098</v>
      </c>
      <c r="N630" t="s">
        <v>1132</v>
      </c>
      <c r="O630" t="s">
        <v>1132</v>
      </c>
      <c r="P630" t="str">
        <f>IFERROR(VLOOKUP(F630,Sheet1!$A$2:$B$54,2,FALSE),"")</f>
        <v/>
      </c>
    </row>
    <row r="631" spans="1:16" x14ac:dyDescent="0.2">
      <c r="A631" s="1">
        <v>2017</v>
      </c>
      <c r="B631" t="s">
        <v>76</v>
      </c>
      <c r="C631" s="10" t="s">
        <v>1678</v>
      </c>
      <c r="D631" s="10" t="s">
        <v>1679</v>
      </c>
      <c r="E631" s="10" t="s">
        <v>1682</v>
      </c>
      <c r="F631" t="s">
        <v>573</v>
      </c>
      <c r="G631" s="4">
        <v>141219</v>
      </c>
      <c r="H631" s="4"/>
      <c r="I631" s="4"/>
      <c r="J631" s="4">
        <f>SUM(G631:I631)</f>
        <v>141219</v>
      </c>
      <c r="K631" t="s">
        <v>1659</v>
      </c>
      <c r="L631" t="s">
        <v>1659</v>
      </c>
      <c r="M631" t="s">
        <v>1098</v>
      </c>
      <c r="N631" t="s">
        <v>1132</v>
      </c>
      <c r="O631" t="s">
        <v>1132</v>
      </c>
      <c r="P631" t="str">
        <f>IFERROR(VLOOKUP(F631,Sheet1!$A$2:$B$54,2,FALSE),"")</f>
        <v/>
      </c>
    </row>
    <row r="632" spans="1:16" x14ac:dyDescent="0.2">
      <c r="A632" s="1">
        <v>2018</v>
      </c>
      <c r="B632" t="s">
        <v>76</v>
      </c>
      <c r="C632" s="10" t="s">
        <v>1678</v>
      </c>
      <c r="D632" s="10" t="s">
        <v>1679</v>
      </c>
      <c r="E632" s="10" t="s">
        <v>1682</v>
      </c>
      <c r="F632" t="s">
        <v>573</v>
      </c>
      <c r="G632" s="4">
        <v>164878</v>
      </c>
      <c r="H632" s="4"/>
      <c r="I632" s="4"/>
      <c r="J632" s="4">
        <f>SUM(G632:I632)</f>
        <v>164878</v>
      </c>
      <c r="K632" t="s">
        <v>1659</v>
      </c>
      <c r="L632" t="s">
        <v>1659</v>
      </c>
      <c r="M632" t="s">
        <v>1098</v>
      </c>
      <c r="N632" t="s">
        <v>1132</v>
      </c>
      <c r="O632" t="s">
        <v>1132</v>
      </c>
      <c r="P632" t="str">
        <f>IFERROR(VLOOKUP(F632,Sheet1!$A$2:$B$54,2,FALSE),"")</f>
        <v/>
      </c>
    </row>
    <row r="633" spans="1:16" x14ac:dyDescent="0.2">
      <c r="A633" s="1">
        <v>2019</v>
      </c>
      <c r="B633" t="s">
        <v>76</v>
      </c>
      <c r="C633" s="10" t="s">
        <v>1678</v>
      </c>
      <c r="D633" s="10" t="s">
        <v>1679</v>
      </c>
      <c r="E633" s="10" t="s">
        <v>1682</v>
      </c>
      <c r="F633" t="s">
        <v>573</v>
      </c>
      <c r="G633" s="4">
        <v>198822</v>
      </c>
      <c r="H633" s="4"/>
      <c r="I633" s="4"/>
      <c r="J633" s="4">
        <f>SUM(G633:I633)</f>
        <v>198822</v>
      </c>
      <c r="K633" t="s">
        <v>1659</v>
      </c>
      <c r="L633" t="s">
        <v>1659</v>
      </c>
      <c r="M633" t="s">
        <v>1098</v>
      </c>
      <c r="N633" t="s">
        <v>1132</v>
      </c>
      <c r="O633" t="s">
        <v>1132</v>
      </c>
      <c r="P633" t="str">
        <f>IFERROR(VLOOKUP(F633,Sheet1!$A$2:$B$54,2,FALSE),"")</f>
        <v/>
      </c>
    </row>
    <row r="634" spans="1:16" x14ac:dyDescent="0.2">
      <c r="A634" s="1">
        <v>2020</v>
      </c>
      <c r="B634" t="s">
        <v>76</v>
      </c>
      <c r="C634" s="10" t="s">
        <v>1678</v>
      </c>
      <c r="D634" s="10" t="s">
        <v>1679</v>
      </c>
      <c r="E634" s="10" t="s">
        <v>1682</v>
      </c>
      <c r="F634" t="s">
        <v>573</v>
      </c>
      <c r="G634" s="4">
        <v>227921</v>
      </c>
      <c r="H634" s="4"/>
      <c r="I634" s="4"/>
      <c r="J634" s="4">
        <f>SUM(G634:I634)</f>
        <v>227921</v>
      </c>
      <c r="K634" t="s">
        <v>1659</v>
      </c>
      <c r="L634" t="s">
        <v>1659</v>
      </c>
      <c r="M634" t="s">
        <v>1098</v>
      </c>
      <c r="N634" t="s">
        <v>1132</v>
      </c>
      <c r="O634" t="s">
        <v>1132</v>
      </c>
      <c r="P634" t="str">
        <f>IFERROR(VLOOKUP(F634,Sheet1!$A$2:$B$54,2,FALSE),"")</f>
        <v/>
      </c>
    </row>
    <row r="635" spans="1:16" x14ac:dyDescent="0.2">
      <c r="A635" s="1">
        <v>2021</v>
      </c>
      <c r="B635" t="s">
        <v>76</v>
      </c>
      <c r="C635" s="10" t="s">
        <v>1678</v>
      </c>
      <c r="D635" s="10" t="s">
        <v>1679</v>
      </c>
      <c r="E635" s="10" t="s">
        <v>1682</v>
      </c>
      <c r="F635" t="s">
        <v>573</v>
      </c>
      <c r="G635" s="4">
        <v>297203</v>
      </c>
      <c r="H635" s="4"/>
      <c r="I635" s="4"/>
      <c r="J635" s="4">
        <f>SUM(G635:I635)</f>
        <v>297203</v>
      </c>
      <c r="K635" t="s">
        <v>1659</v>
      </c>
      <c r="L635" t="s">
        <v>1659</v>
      </c>
      <c r="M635" t="s">
        <v>573</v>
      </c>
      <c r="N635" t="s">
        <v>1132</v>
      </c>
      <c r="O635" t="s">
        <v>1132</v>
      </c>
      <c r="P635" t="str">
        <f>IFERROR(VLOOKUP(F635,Sheet1!$A$2:$B$54,2,FALSE),"")</f>
        <v/>
      </c>
    </row>
    <row r="636" spans="1:16" x14ac:dyDescent="0.2">
      <c r="A636" s="1">
        <v>2022</v>
      </c>
      <c r="B636" t="s">
        <v>76</v>
      </c>
      <c r="C636" s="10" t="s">
        <v>1678</v>
      </c>
      <c r="D636" s="10" t="s">
        <v>1679</v>
      </c>
      <c r="E636" s="10" t="s">
        <v>1682</v>
      </c>
      <c r="F636" t="s">
        <v>573</v>
      </c>
      <c r="G636" s="4">
        <v>408802</v>
      </c>
      <c r="H636" s="4"/>
      <c r="I636" s="4"/>
      <c r="J636" s="4">
        <f>SUM(G636:I636)</f>
        <v>408802</v>
      </c>
      <c r="K636" t="s">
        <v>1659</v>
      </c>
      <c r="L636" t="s">
        <v>1659</v>
      </c>
      <c r="M636" t="s">
        <v>573</v>
      </c>
      <c r="N636" t="s">
        <v>1132</v>
      </c>
      <c r="O636" t="s">
        <v>1132</v>
      </c>
      <c r="P636" t="str">
        <f>IFERROR(VLOOKUP(F636,Sheet1!$A$2:$B$54,2,FALSE),"")</f>
        <v/>
      </c>
    </row>
    <row r="637" spans="1:16" x14ac:dyDescent="0.2">
      <c r="A637" s="1">
        <v>2023</v>
      </c>
      <c r="B637" t="s">
        <v>76</v>
      </c>
      <c r="C637" s="10" t="s">
        <v>1678</v>
      </c>
      <c r="D637" s="10" t="s">
        <v>1679</v>
      </c>
      <c r="E637" s="10" t="s">
        <v>1682</v>
      </c>
      <c r="F637" t="s">
        <v>573</v>
      </c>
      <c r="G637" s="4">
        <v>611138</v>
      </c>
      <c r="H637" s="4"/>
      <c r="I637" s="4"/>
      <c r="J637" s="4">
        <f>SUM(G637:I637)</f>
        <v>611138</v>
      </c>
      <c r="K637" t="s">
        <v>1659</v>
      </c>
      <c r="L637" t="s">
        <v>1659</v>
      </c>
      <c r="M637" t="s">
        <v>573</v>
      </c>
      <c r="N637" t="s">
        <v>1132</v>
      </c>
      <c r="O637" t="s">
        <v>1132</v>
      </c>
      <c r="P637" t="str">
        <f>IFERROR(VLOOKUP(F637,Sheet1!$A$2:$B$54,2,FALSE),"")</f>
        <v/>
      </c>
    </row>
    <row r="638" spans="1:16" x14ac:dyDescent="0.2">
      <c r="A638" s="1">
        <v>2015</v>
      </c>
      <c r="B638" t="s">
        <v>77</v>
      </c>
      <c r="C638" s="10" t="s">
        <v>1678</v>
      </c>
      <c r="D638" s="10" t="s">
        <v>1679</v>
      </c>
      <c r="E638" s="10" t="s">
        <v>1682</v>
      </c>
      <c r="F638" t="s">
        <v>574</v>
      </c>
      <c r="G638" s="4">
        <v>351392</v>
      </c>
      <c r="H638" s="4"/>
      <c r="I638" s="4"/>
      <c r="J638" s="4">
        <f>SUM(G638:I638)</f>
        <v>351392</v>
      </c>
      <c r="K638" t="s">
        <v>1659</v>
      </c>
      <c r="L638" t="s">
        <v>1659</v>
      </c>
      <c r="M638" t="s">
        <v>1099</v>
      </c>
      <c r="N638" t="s">
        <v>1132</v>
      </c>
      <c r="O638" t="s">
        <v>1132</v>
      </c>
      <c r="P638" t="str">
        <f>IFERROR(VLOOKUP(F638,Sheet1!$A$2:$B$54,2,FALSE),"")</f>
        <v/>
      </c>
    </row>
    <row r="639" spans="1:16" x14ac:dyDescent="0.2">
      <c r="A639" s="1">
        <v>2016</v>
      </c>
      <c r="B639" t="s">
        <v>77</v>
      </c>
      <c r="C639" s="10" t="s">
        <v>1678</v>
      </c>
      <c r="D639" s="10" t="s">
        <v>1679</v>
      </c>
      <c r="E639" s="10" t="s">
        <v>1682</v>
      </c>
      <c r="F639" t="s">
        <v>574</v>
      </c>
      <c r="G639" s="4">
        <v>474093</v>
      </c>
      <c r="H639" s="4"/>
      <c r="I639" s="4"/>
      <c r="J639" s="4">
        <f>SUM(G639:I639)</f>
        <v>474093</v>
      </c>
      <c r="K639" t="s">
        <v>1659</v>
      </c>
      <c r="L639" t="s">
        <v>1659</v>
      </c>
      <c r="M639" t="s">
        <v>1099</v>
      </c>
      <c r="N639" t="s">
        <v>1132</v>
      </c>
      <c r="O639" t="s">
        <v>1132</v>
      </c>
      <c r="P639" t="str">
        <f>IFERROR(VLOOKUP(F639,Sheet1!$A$2:$B$54,2,FALSE),"")</f>
        <v/>
      </c>
    </row>
    <row r="640" spans="1:16" x14ac:dyDescent="0.2">
      <c r="A640" s="1">
        <v>2017</v>
      </c>
      <c r="B640" t="s">
        <v>77</v>
      </c>
      <c r="C640" s="10" t="s">
        <v>1678</v>
      </c>
      <c r="D640" s="10" t="s">
        <v>1679</v>
      </c>
      <c r="E640" s="10" t="s">
        <v>1682</v>
      </c>
      <c r="F640" t="s">
        <v>574</v>
      </c>
      <c r="G640" s="4">
        <v>542804</v>
      </c>
      <c r="H640" s="4"/>
      <c r="I640" s="4"/>
      <c r="J640" s="4">
        <f>SUM(G640:I640)</f>
        <v>542804</v>
      </c>
      <c r="K640" t="s">
        <v>1659</v>
      </c>
      <c r="L640" t="s">
        <v>1659</v>
      </c>
      <c r="M640" t="s">
        <v>1099</v>
      </c>
      <c r="N640" t="s">
        <v>1132</v>
      </c>
      <c r="O640" t="s">
        <v>1132</v>
      </c>
      <c r="P640" t="str">
        <f>IFERROR(VLOOKUP(F640,Sheet1!$A$2:$B$54,2,FALSE),"")</f>
        <v/>
      </c>
    </row>
    <row r="641" spans="1:16" x14ac:dyDescent="0.2">
      <c r="A641" s="1">
        <v>2018</v>
      </c>
      <c r="B641" t="s">
        <v>77</v>
      </c>
      <c r="C641" s="10" t="s">
        <v>1678</v>
      </c>
      <c r="D641" s="10" t="s">
        <v>1679</v>
      </c>
      <c r="E641" s="10" t="s">
        <v>1682</v>
      </c>
      <c r="F641" t="s">
        <v>574</v>
      </c>
      <c r="G641" s="4">
        <v>670899</v>
      </c>
      <c r="H641" s="4"/>
      <c r="I641" s="4"/>
      <c r="J641" s="4">
        <f>SUM(G641:I641)</f>
        <v>670899</v>
      </c>
      <c r="K641" t="s">
        <v>1659</v>
      </c>
      <c r="L641" t="s">
        <v>1659</v>
      </c>
      <c r="M641" t="s">
        <v>1099</v>
      </c>
      <c r="N641" t="s">
        <v>1132</v>
      </c>
      <c r="O641" t="s">
        <v>1132</v>
      </c>
      <c r="P641" t="str">
        <f>IFERROR(VLOOKUP(F641,Sheet1!$A$2:$B$54,2,FALSE),"")</f>
        <v/>
      </c>
    </row>
    <row r="642" spans="1:16" x14ac:dyDescent="0.2">
      <c r="A642" s="1">
        <v>2019</v>
      </c>
      <c r="B642" t="s">
        <v>77</v>
      </c>
      <c r="C642" s="10" t="s">
        <v>1678</v>
      </c>
      <c r="D642" s="10" t="s">
        <v>1679</v>
      </c>
      <c r="E642" s="10" t="s">
        <v>1682</v>
      </c>
      <c r="F642" t="s">
        <v>574</v>
      </c>
      <c r="G642" s="4">
        <v>832349</v>
      </c>
      <c r="H642" s="4"/>
      <c r="I642" s="4"/>
      <c r="J642" s="4">
        <f>SUM(G642:I642)</f>
        <v>832349</v>
      </c>
      <c r="K642" t="s">
        <v>1659</v>
      </c>
      <c r="L642" t="s">
        <v>1659</v>
      </c>
      <c r="M642" t="s">
        <v>1099</v>
      </c>
      <c r="N642" t="s">
        <v>1132</v>
      </c>
      <c r="O642" t="s">
        <v>1132</v>
      </c>
      <c r="P642" t="str">
        <f>IFERROR(VLOOKUP(F642,Sheet1!$A$2:$B$54,2,FALSE),"")</f>
        <v/>
      </c>
    </row>
    <row r="643" spans="1:16" x14ac:dyDescent="0.2">
      <c r="A643" s="1">
        <v>2020</v>
      </c>
      <c r="B643" t="s">
        <v>77</v>
      </c>
      <c r="C643" s="10" t="s">
        <v>1678</v>
      </c>
      <c r="D643" s="10" t="s">
        <v>1679</v>
      </c>
      <c r="E643" s="10" t="s">
        <v>1682</v>
      </c>
      <c r="F643" t="s">
        <v>574</v>
      </c>
      <c r="G643" s="4">
        <v>961535</v>
      </c>
      <c r="H643" s="4"/>
      <c r="I643" s="4"/>
      <c r="J643" s="4">
        <f>SUM(G643:I643)</f>
        <v>961535</v>
      </c>
      <c r="K643" t="s">
        <v>1659</v>
      </c>
      <c r="L643" t="s">
        <v>1659</v>
      </c>
      <c r="M643" t="s">
        <v>1099</v>
      </c>
      <c r="N643" t="s">
        <v>1132</v>
      </c>
      <c r="O643" t="s">
        <v>1132</v>
      </c>
      <c r="P643" t="str">
        <f>IFERROR(VLOOKUP(F643,Sheet1!$A$2:$B$54,2,FALSE),"")</f>
        <v/>
      </c>
    </row>
    <row r="644" spans="1:16" x14ac:dyDescent="0.2">
      <c r="A644" s="1">
        <v>2021</v>
      </c>
      <c r="B644" t="s">
        <v>77</v>
      </c>
      <c r="C644" s="10" t="s">
        <v>1678</v>
      </c>
      <c r="D644" s="10" t="s">
        <v>1679</v>
      </c>
      <c r="E644" s="10" t="s">
        <v>1682</v>
      </c>
      <c r="F644" t="s">
        <v>574</v>
      </c>
      <c r="G644" s="4">
        <v>1124424</v>
      </c>
      <c r="H644" s="4"/>
      <c r="I644" s="4"/>
      <c r="J644" s="4">
        <f>SUM(G644:I644)</f>
        <v>1124424</v>
      </c>
      <c r="K644" t="s">
        <v>1659</v>
      </c>
      <c r="L644" t="s">
        <v>1659</v>
      </c>
      <c r="M644" t="s">
        <v>574</v>
      </c>
      <c r="N644" t="s">
        <v>1132</v>
      </c>
      <c r="O644" t="s">
        <v>1132</v>
      </c>
      <c r="P644" t="str">
        <f>IFERROR(VLOOKUP(F644,Sheet1!$A$2:$B$54,2,FALSE),"")</f>
        <v/>
      </c>
    </row>
    <row r="645" spans="1:16" x14ac:dyDescent="0.2">
      <c r="A645" s="1">
        <v>2022</v>
      </c>
      <c r="B645" t="s">
        <v>77</v>
      </c>
      <c r="C645" s="10" t="s">
        <v>1678</v>
      </c>
      <c r="D645" s="10" t="s">
        <v>1679</v>
      </c>
      <c r="E645" s="10" t="s">
        <v>1682</v>
      </c>
      <c r="F645" t="s">
        <v>574</v>
      </c>
      <c r="G645" s="4">
        <v>1413830</v>
      </c>
      <c r="H645" s="4"/>
      <c r="I645" s="4"/>
      <c r="J645" s="4">
        <f>SUM(G645:I645)</f>
        <v>1413830</v>
      </c>
      <c r="K645" t="s">
        <v>1659</v>
      </c>
      <c r="L645" t="s">
        <v>1659</v>
      </c>
      <c r="M645" t="s">
        <v>574</v>
      </c>
      <c r="N645" t="s">
        <v>1132</v>
      </c>
      <c r="O645" t="s">
        <v>1132</v>
      </c>
      <c r="P645" t="str">
        <f>IFERROR(VLOOKUP(F645,Sheet1!$A$2:$B$54,2,FALSE),"")</f>
        <v/>
      </c>
    </row>
    <row r="646" spans="1:16" x14ac:dyDescent="0.2">
      <c r="A646" s="1">
        <v>2023</v>
      </c>
      <c r="B646" t="s">
        <v>77</v>
      </c>
      <c r="C646" s="10" t="s">
        <v>1678</v>
      </c>
      <c r="D646" s="10" t="s">
        <v>1679</v>
      </c>
      <c r="E646" s="10" t="s">
        <v>1682</v>
      </c>
      <c r="F646" t="s">
        <v>574</v>
      </c>
      <c r="G646" s="4">
        <v>1714204</v>
      </c>
      <c r="H646" s="4"/>
      <c r="I646" s="4"/>
      <c r="J646" s="4">
        <f>SUM(G646:I646)</f>
        <v>1714204</v>
      </c>
      <c r="K646" t="s">
        <v>1659</v>
      </c>
      <c r="L646" t="s">
        <v>1659</v>
      </c>
      <c r="M646" t="s">
        <v>574</v>
      </c>
      <c r="N646" t="s">
        <v>1132</v>
      </c>
      <c r="O646" t="s">
        <v>1132</v>
      </c>
      <c r="P646" t="str">
        <f>IFERROR(VLOOKUP(F646,Sheet1!$A$2:$B$54,2,FALSE),"")</f>
        <v/>
      </c>
    </row>
    <row r="647" spans="1:16" x14ac:dyDescent="0.2">
      <c r="A647" s="1">
        <v>2015</v>
      </c>
      <c r="B647" t="s">
        <v>78</v>
      </c>
      <c r="C647" s="10" t="s">
        <v>1678</v>
      </c>
      <c r="D647" s="10" t="s">
        <v>1679</v>
      </c>
      <c r="E647" s="10" t="s">
        <v>1682</v>
      </c>
      <c r="F647" t="s">
        <v>575</v>
      </c>
      <c r="G647" s="4">
        <v>30868</v>
      </c>
      <c r="H647" s="4"/>
      <c r="I647" s="4"/>
      <c r="J647" s="4">
        <f>SUM(G647:I647)</f>
        <v>30868</v>
      </c>
      <c r="K647" t="s">
        <v>1659</v>
      </c>
      <c r="L647" t="s">
        <v>1659</v>
      </c>
      <c r="M647" t="s">
        <v>1100</v>
      </c>
      <c r="N647" t="s">
        <v>1132</v>
      </c>
      <c r="O647" t="s">
        <v>1132</v>
      </c>
      <c r="P647" t="str">
        <f>IFERROR(VLOOKUP(F647,Sheet1!$A$2:$B$54,2,FALSE),"")</f>
        <v/>
      </c>
    </row>
    <row r="648" spans="1:16" x14ac:dyDescent="0.2">
      <c r="A648" s="1">
        <v>2016</v>
      </c>
      <c r="B648" t="s">
        <v>78</v>
      </c>
      <c r="C648" s="10" t="s">
        <v>1678</v>
      </c>
      <c r="D648" s="10" t="s">
        <v>1679</v>
      </c>
      <c r="E648" s="10" t="s">
        <v>1682</v>
      </c>
      <c r="F648" t="s">
        <v>575</v>
      </c>
      <c r="G648" s="4">
        <v>35272</v>
      </c>
      <c r="H648" s="4"/>
      <c r="I648" s="4"/>
      <c r="J648" s="4">
        <f>SUM(G648:I648)</f>
        <v>35272</v>
      </c>
      <c r="K648" t="s">
        <v>1659</v>
      </c>
      <c r="L648" t="s">
        <v>1659</v>
      </c>
      <c r="M648" t="s">
        <v>1100</v>
      </c>
      <c r="N648" t="s">
        <v>1132</v>
      </c>
      <c r="O648" t="s">
        <v>1132</v>
      </c>
      <c r="P648" t="str">
        <f>IFERROR(VLOOKUP(F648,Sheet1!$A$2:$B$54,2,FALSE),"")</f>
        <v/>
      </c>
    </row>
    <row r="649" spans="1:16" x14ac:dyDescent="0.2">
      <c r="A649" s="1">
        <v>2017</v>
      </c>
      <c r="B649" t="s">
        <v>78</v>
      </c>
      <c r="C649" s="10" t="s">
        <v>1678</v>
      </c>
      <c r="D649" s="10" t="s">
        <v>1679</v>
      </c>
      <c r="E649" s="10" t="s">
        <v>1682</v>
      </c>
      <c r="F649" t="s">
        <v>575</v>
      </c>
      <c r="G649" s="4">
        <v>34606</v>
      </c>
      <c r="H649" s="4"/>
      <c r="I649" s="4"/>
      <c r="J649" s="4">
        <f>SUM(G649:I649)</f>
        <v>34606</v>
      </c>
      <c r="K649" t="s">
        <v>1659</v>
      </c>
      <c r="L649" t="s">
        <v>1659</v>
      </c>
      <c r="M649" t="s">
        <v>1100</v>
      </c>
      <c r="N649" t="s">
        <v>1132</v>
      </c>
      <c r="O649" t="s">
        <v>1132</v>
      </c>
      <c r="P649" t="str">
        <f>IFERROR(VLOOKUP(F649,Sheet1!$A$2:$B$54,2,FALSE),"")</f>
        <v/>
      </c>
    </row>
    <row r="650" spans="1:16" x14ac:dyDescent="0.2">
      <c r="A650" s="1">
        <v>2018</v>
      </c>
      <c r="B650" t="s">
        <v>78</v>
      </c>
      <c r="C650" s="10" t="s">
        <v>1678</v>
      </c>
      <c r="D650" s="10" t="s">
        <v>1679</v>
      </c>
      <c r="E650" s="10" t="s">
        <v>1682</v>
      </c>
      <c r="F650" t="s">
        <v>575</v>
      </c>
      <c r="G650" s="4">
        <v>49019</v>
      </c>
      <c r="H650" s="4"/>
      <c r="I650" s="4"/>
      <c r="J650" s="4">
        <f>SUM(G650:I650)</f>
        <v>49019</v>
      </c>
      <c r="K650" t="s">
        <v>1659</v>
      </c>
      <c r="L650" t="s">
        <v>1659</v>
      </c>
      <c r="M650" t="s">
        <v>1100</v>
      </c>
      <c r="N650" t="s">
        <v>1132</v>
      </c>
      <c r="O650" t="s">
        <v>1132</v>
      </c>
      <c r="P650" t="str">
        <f>IFERROR(VLOOKUP(F650,Sheet1!$A$2:$B$54,2,FALSE),"")</f>
        <v/>
      </c>
    </row>
    <row r="651" spans="1:16" x14ac:dyDescent="0.2">
      <c r="A651" s="1">
        <v>2019</v>
      </c>
      <c r="B651" t="s">
        <v>78</v>
      </c>
      <c r="C651" s="10" t="s">
        <v>1678</v>
      </c>
      <c r="D651" s="10" t="s">
        <v>1679</v>
      </c>
      <c r="E651" s="10" t="s">
        <v>1682</v>
      </c>
      <c r="F651" t="s">
        <v>575</v>
      </c>
      <c r="G651" s="4">
        <v>56408</v>
      </c>
      <c r="H651" s="4"/>
      <c r="I651" s="4"/>
      <c r="J651" s="4">
        <f>SUM(G651:I651)</f>
        <v>56408</v>
      </c>
      <c r="K651" t="s">
        <v>1659</v>
      </c>
      <c r="L651" t="s">
        <v>1659</v>
      </c>
      <c r="M651" t="s">
        <v>1100</v>
      </c>
      <c r="N651" t="s">
        <v>1132</v>
      </c>
      <c r="O651" t="s">
        <v>1132</v>
      </c>
      <c r="P651" t="str">
        <f>IFERROR(VLOOKUP(F651,Sheet1!$A$2:$B$54,2,FALSE),"")</f>
        <v/>
      </c>
    </row>
    <row r="652" spans="1:16" x14ac:dyDescent="0.2">
      <c r="A652" s="1">
        <v>2020</v>
      </c>
      <c r="B652" t="s">
        <v>78</v>
      </c>
      <c r="C652" s="10" t="s">
        <v>1678</v>
      </c>
      <c r="D652" s="10" t="s">
        <v>1679</v>
      </c>
      <c r="E652" s="10" t="s">
        <v>1682</v>
      </c>
      <c r="F652" t="s">
        <v>575</v>
      </c>
      <c r="G652" s="4">
        <v>60233</v>
      </c>
      <c r="H652" s="4"/>
      <c r="I652" s="4"/>
      <c r="J652" s="4">
        <f>SUM(G652:I652)</f>
        <v>60233</v>
      </c>
      <c r="K652" t="s">
        <v>1659</v>
      </c>
      <c r="L652" t="s">
        <v>1659</v>
      </c>
      <c r="M652" t="s">
        <v>1100</v>
      </c>
      <c r="N652" t="s">
        <v>1132</v>
      </c>
      <c r="O652" t="s">
        <v>1132</v>
      </c>
      <c r="P652" t="str">
        <f>IFERROR(VLOOKUP(F652,Sheet1!$A$2:$B$54,2,FALSE),"")</f>
        <v/>
      </c>
    </row>
    <row r="653" spans="1:16" x14ac:dyDescent="0.2">
      <c r="A653" s="1">
        <v>2021</v>
      </c>
      <c r="B653" t="s">
        <v>78</v>
      </c>
      <c r="C653" s="10" t="s">
        <v>1678</v>
      </c>
      <c r="D653" s="10" t="s">
        <v>1679</v>
      </c>
      <c r="E653" s="10" t="s">
        <v>1682</v>
      </c>
      <c r="F653" t="s">
        <v>575</v>
      </c>
      <c r="G653" s="4">
        <v>69405</v>
      </c>
      <c r="H653" s="4"/>
      <c r="I653" s="4"/>
      <c r="J653" s="4">
        <f>SUM(G653:I653)</f>
        <v>69405</v>
      </c>
      <c r="K653" t="s">
        <v>1659</v>
      </c>
      <c r="L653" t="s">
        <v>1659</v>
      </c>
      <c r="M653" t="s">
        <v>575</v>
      </c>
      <c r="N653" t="s">
        <v>1132</v>
      </c>
      <c r="O653" t="s">
        <v>1132</v>
      </c>
      <c r="P653" t="str">
        <f>IFERROR(VLOOKUP(F653,Sheet1!$A$2:$B$54,2,FALSE),"")</f>
        <v/>
      </c>
    </row>
    <row r="654" spans="1:16" x14ac:dyDescent="0.2">
      <c r="A654" s="1">
        <v>2022</v>
      </c>
      <c r="B654" t="s">
        <v>78</v>
      </c>
      <c r="C654" s="10" t="s">
        <v>1678</v>
      </c>
      <c r="D654" s="10" t="s">
        <v>1679</v>
      </c>
      <c r="E654" s="10" t="s">
        <v>1682</v>
      </c>
      <c r="F654" t="s">
        <v>575</v>
      </c>
      <c r="G654" s="4">
        <v>84366</v>
      </c>
      <c r="H654" s="4"/>
      <c r="I654" s="4"/>
      <c r="J654" s="4">
        <f>SUM(G654:I654)</f>
        <v>84366</v>
      </c>
      <c r="K654" t="s">
        <v>1659</v>
      </c>
      <c r="L654" t="s">
        <v>1659</v>
      </c>
      <c r="M654" t="s">
        <v>575</v>
      </c>
      <c r="N654" t="s">
        <v>1132</v>
      </c>
      <c r="O654" t="s">
        <v>1132</v>
      </c>
      <c r="P654" t="str">
        <f>IFERROR(VLOOKUP(F654,Sheet1!$A$2:$B$54,2,FALSE),"")</f>
        <v/>
      </c>
    </row>
    <row r="655" spans="1:16" x14ac:dyDescent="0.2">
      <c r="A655" s="1">
        <v>2023</v>
      </c>
      <c r="B655" t="s">
        <v>78</v>
      </c>
      <c r="C655" s="10" t="s">
        <v>1678</v>
      </c>
      <c r="D655" s="10" t="s">
        <v>1679</v>
      </c>
      <c r="E655" s="10" t="s">
        <v>1682</v>
      </c>
      <c r="F655" t="s">
        <v>575</v>
      </c>
      <c r="G655" s="4">
        <v>125842</v>
      </c>
      <c r="H655" s="4"/>
      <c r="I655" s="4"/>
      <c r="J655" s="4">
        <f>SUM(G655:I655)</f>
        <v>125842</v>
      </c>
      <c r="K655" t="s">
        <v>1659</v>
      </c>
      <c r="L655" t="s">
        <v>1659</v>
      </c>
      <c r="M655" t="s">
        <v>575</v>
      </c>
      <c r="N655" t="s">
        <v>1132</v>
      </c>
      <c r="O655" t="s">
        <v>1132</v>
      </c>
      <c r="P655" t="str">
        <f>IFERROR(VLOOKUP(F655,Sheet1!$A$2:$B$54,2,FALSE),"")</f>
        <v/>
      </c>
    </row>
    <row r="656" spans="1:16" x14ac:dyDescent="0.2">
      <c r="A656" s="1">
        <v>2015</v>
      </c>
      <c r="B656" t="s">
        <v>79</v>
      </c>
      <c r="C656" s="10" t="s">
        <v>1678</v>
      </c>
      <c r="D656" s="10" t="s">
        <v>1679</v>
      </c>
      <c r="E656" s="10" t="s">
        <v>1682</v>
      </c>
      <c r="F656" t="s">
        <v>576</v>
      </c>
      <c r="G656" s="4">
        <v>3479</v>
      </c>
      <c r="H656" s="4"/>
      <c r="I656" s="4"/>
      <c r="J656" s="4">
        <f>SUM(G656:I656)</f>
        <v>3479</v>
      </c>
      <c r="K656" t="s">
        <v>1659</v>
      </c>
      <c r="L656" t="s">
        <v>1659</v>
      </c>
      <c r="M656" t="s">
        <v>1101</v>
      </c>
      <c r="N656" t="s">
        <v>1132</v>
      </c>
      <c r="O656" t="s">
        <v>1132</v>
      </c>
      <c r="P656" t="str">
        <f>IFERROR(VLOOKUP(F656,Sheet1!$A$2:$B$54,2,FALSE),"")</f>
        <v/>
      </c>
    </row>
    <row r="657" spans="1:16" x14ac:dyDescent="0.2">
      <c r="A657" s="1">
        <v>2016</v>
      </c>
      <c r="B657" t="s">
        <v>79</v>
      </c>
      <c r="C657" s="10" t="s">
        <v>1678</v>
      </c>
      <c r="D657" s="10" t="s">
        <v>1679</v>
      </c>
      <c r="E657" s="10" t="s">
        <v>1682</v>
      </c>
      <c r="F657" t="s">
        <v>576</v>
      </c>
      <c r="G657" s="4">
        <v>3301</v>
      </c>
      <c r="H657" s="4"/>
      <c r="I657" s="4"/>
      <c r="J657" s="4">
        <f>SUM(G657:I657)</f>
        <v>3301</v>
      </c>
      <c r="K657" t="s">
        <v>1659</v>
      </c>
      <c r="L657" t="s">
        <v>1659</v>
      </c>
      <c r="M657" t="s">
        <v>1101</v>
      </c>
      <c r="N657" t="s">
        <v>1132</v>
      </c>
      <c r="O657" t="s">
        <v>1132</v>
      </c>
      <c r="P657" t="str">
        <f>IFERROR(VLOOKUP(F657,Sheet1!$A$2:$B$54,2,FALSE),"")</f>
        <v/>
      </c>
    </row>
    <row r="658" spans="1:16" x14ac:dyDescent="0.2">
      <c r="A658" s="1">
        <v>2018</v>
      </c>
      <c r="B658" t="s">
        <v>79</v>
      </c>
      <c r="C658" s="10" t="s">
        <v>1678</v>
      </c>
      <c r="D658" s="10" t="s">
        <v>1679</v>
      </c>
      <c r="E658" s="10" t="s">
        <v>1682</v>
      </c>
      <c r="F658" t="s">
        <v>576</v>
      </c>
      <c r="G658" s="4">
        <v>295</v>
      </c>
      <c r="H658" s="4"/>
      <c r="I658" s="4"/>
      <c r="J658" s="4">
        <f>SUM(G658:I658)</f>
        <v>295</v>
      </c>
      <c r="K658" t="s">
        <v>1659</v>
      </c>
      <c r="L658" t="s">
        <v>1659</v>
      </c>
      <c r="M658" t="s">
        <v>1101</v>
      </c>
      <c r="N658" t="s">
        <v>1132</v>
      </c>
      <c r="O658" t="s">
        <v>1132</v>
      </c>
      <c r="P658" t="str">
        <f>IFERROR(VLOOKUP(F658,Sheet1!$A$2:$B$54,2,FALSE),"")</f>
        <v/>
      </c>
    </row>
    <row r="659" spans="1:16" x14ac:dyDescent="0.2">
      <c r="A659" s="1">
        <v>2019</v>
      </c>
      <c r="B659" t="s">
        <v>79</v>
      </c>
      <c r="C659" s="10" t="s">
        <v>1678</v>
      </c>
      <c r="D659" s="10" t="s">
        <v>1679</v>
      </c>
      <c r="E659" s="10" t="s">
        <v>1682</v>
      </c>
      <c r="F659" t="s">
        <v>576</v>
      </c>
      <c r="G659" s="4">
        <v>607</v>
      </c>
      <c r="H659" s="4"/>
      <c r="I659" s="4"/>
      <c r="J659" s="4">
        <f>SUM(G659:I659)</f>
        <v>607</v>
      </c>
      <c r="K659" t="s">
        <v>1659</v>
      </c>
      <c r="L659" t="s">
        <v>1659</v>
      </c>
      <c r="M659" t="s">
        <v>1101</v>
      </c>
      <c r="N659" t="s">
        <v>1132</v>
      </c>
      <c r="O659" t="s">
        <v>1132</v>
      </c>
      <c r="P659" t="str">
        <f>IFERROR(VLOOKUP(F659,Sheet1!$A$2:$B$54,2,FALSE),"")</f>
        <v/>
      </c>
    </row>
    <row r="660" spans="1:16" x14ac:dyDescent="0.2">
      <c r="A660" s="1">
        <v>2020</v>
      </c>
      <c r="B660" t="s">
        <v>79</v>
      </c>
      <c r="C660" s="10" t="s">
        <v>1678</v>
      </c>
      <c r="D660" s="10" t="s">
        <v>1679</v>
      </c>
      <c r="E660" s="10" t="s">
        <v>1682</v>
      </c>
      <c r="F660" t="s">
        <v>576</v>
      </c>
      <c r="G660" s="4">
        <v>0</v>
      </c>
      <c r="H660" s="4"/>
      <c r="I660" s="4"/>
      <c r="J660" s="4">
        <f>SUM(G660:I660)</f>
        <v>0</v>
      </c>
      <c r="K660" t="s">
        <v>1659</v>
      </c>
      <c r="L660" t="s">
        <v>1659</v>
      </c>
      <c r="M660" t="s">
        <v>1101</v>
      </c>
      <c r="N660" t="s">
        <v>1132</v>
      </c>
      <c r="O660" t="s">
        <v>1132</v>
      </c>
      <c r="P660" t="str">
        <f>IFERROR(VLOOKUP(F660,Sheet1!$A$2:$B$54,2,FALSE),"")</f>
        <v/>
      </c>
    </row>
    <row r="661" spans="1:16" x14ac:dyDescent="0.2">
      <c r="A661" s="1">
        <v>2021</v>
      </c>
      <c r="B661" t="s">
        <v>79</v>
      </c>
      <c r="C661" s="10" t="s">
        <v>1678</v>
      </c>
      <c r="D661" s="10" t="s">
        <v>1679</v>
      </c>
      <c r="E661" s="10" t="s">
        <v>1682</v>
      </c>
      <c r="F661" t="s">
        <v>576</v>
      </c>
      <c r="G661" s="4">
        <v>1114</v>
      </c>
      <c r="H661" s="4"/>
      <c r="I661" s="4"/>
      <c r="J661" s="4">
        <f>SUM(G661:I661)</f>
        <v>1114</v>
      </c>
      <c r="K661" t="s">
        <v>1659</v>
      </c>
      <c r="L661" t="s">
        <v>1659</v>
      </c>
      <c r="M661" t="s">
        <v>576</v>
      </c>
      <c r="N661" t="s">
        <v>1132</v>
      </c>
      <c r="O661" t="s">
        <v>1132</v>
      </c>
      <c r="P661" t="str">
        <f>IFERROR(VLOOKUP(F661,Sheet1!$A$2:$B$54,2,FALSE),"")</f>
        <v/>
      </c>
    </row>
    <row r="662" spans="1:16" x14ac:dyDescent="0.2">
      <c r="A662" s="1">
        <v>2022</v>
      </c>
      <c r="B662" t="s">
        <v>79</v>
      </c>
      <c r="C662" s="10" t="s">
        <v>1678</v>
      </c>
      <c r="D662" s="10" t="s">
        <v>1679</v>
      </c>
      <c r="E662" s="10" t="s">
        <v>1682</v>
      </c>
      <c r="F662" t="s">
        <v>576</v>
      </c>
      <c r="G662" s="4">
        <v>4810</v>
      </c>
      <c r="H662" s="4"/>
      <c r="I662" s="4"/>
      <c r="J662" s="4">
        <f>SUM(G662:I662)</f>
        <v>4810</v>
      </c>
      <c r="K662" t="s">
        <v>1659</v>
      </c>
      <c r="L662" t="s">
        <v>1659</v>
      </c>
      <c r="M662" t="s">
        <v>576</v>
      </c>
      <c r="N662" t="s">
        <v>1132</v>
      </c>
      <c r="O662" t="s">
        <v>1132</v>
      </c>
      <c r="P662" t="str">
        <f>IFERROR(VLOOKUP(F662,Sheet1!$A$2:$B$54,2,FALSE),"")</f>
        <v/>
      </c>
    </row>
    <row r="663" spans="1:16" x14ac:dyDescent="0.2">
      <c r="A663" s="1">
        <v>2023</v>
      </c>
      <c r="B663" t="s">
        <v>79</v>
      </c>
      <c r="C663" s="10" t="s">
        <v>1678</v>
      </c>
      <c r="D663" s="10" t="s">
        <v>1679</v>
      </c>
      <c r="E663" s="10" t="s">
        <v>1682</v>
      </c>
      <c r="F663" t="s">
        <v>576</v>
      </c>
      <c r="G663" s="4">
        <v>6459</v>
      </c>
      <c r="H663" s="4"/>
      <c r="I663" s="4"/>
      <c r="J663" s="4">
        <f>SUM(G663:I663)</f>
        <v>6459</v>
      </c>
      <c r="K663" t="s">
        <v>1659</v>
      </c>
      <c r="L663" t="s">
        <v>1659</v>
      </c>
      <c r="M663" t="s">
        <v>576</v>
      </c>
      <c r="N663" t="s">
        <v>1132</v>
      </c>
      <c r="O663" t="s">
        <v>1132</v>
      </c>
      <c r="P663" t="str">
        <f>IFERROR(VLOOKUP(F663,Sheet1!$A$2:$B$54,2,FALSE),"")</f>
        <v/>
      </c>
    </row>
    <row r="664" spans="1:16" x14ac:dyDescent="0.2">
      <c r="A664" s="1">
        <v>2015</v>
      </c>
      <c r="B664" t="s">
        <v>80</v>
      </c>
      <c r="C664" s="10" t="s">
        <v>1678</v>
      </c>
      <c r="D664" s="10" t="s">
        <v>1679</v>
      </c>
      <c r="E664" s="10" t="s">
        <v>1682</v>
      </c>
      <c r="F664" t="s">
        <v>577</v>
      </c>
      <c r="G664" s="4">
        <v>7656</v>
      </c>
      <c r="H664" s="4"/>
      <c r="I664" s="4"/>
      <c r="J664" s="4">
        <f>SUM(G664:I664)</f>
        <v>7656</v>
      </c>
      <c r="K664" t="s">
        <v>1659</v>
      </c>
      <c r="L664" t="s">
        <v>1659</v>
      </c>
      <c r="M664" t="s">
        <v>1102</v>
      </c>
      <c r="N664" t="s">
        <v>1132</v>
      </c>
      <c r="O664" t="s">
        <v>1132</v>
      </c>
      <c r="P664" t="str">
        <f>IFERROR(VLOOKUP(F664,Sheet1!$A$2:$B$54,2,FALSE),"")</f>
        <v/>
      </c>
    </row>
    <row r="665" spans="1:16" x14ac:dyDescent="0.2">
      <c r="A665" s="1">
        <v>2016</v>
      </c>
      <c r="B665" t="s">
        <v>80</v>
      </c>
      <c r="C665" s="10" t="s">
        <v>1678</v>
      </c>
      <c r="D665" s="10" t="s">
        <v>1679</v>
      </c>
      <c r="E665" s="10" t="s">
        <v>1682</v>
      </c>
      <c r="F665" t="s">
        <v>577</v>
      </c>
      <c r="G665" s="4">
        <v>9444</v>
      </c>
      <c r="H665" s="4"/>
      <c r="I665" s="4"/>
      <c r="J665" s="4">
        <f>SUM(G665:I665)</f>
        <v>9444</v>
      </c>
      <c r="K665" t="s">
        <v>1659</v>
      </c>
      <c r="L665" t="s">
        <v>1659</v>
      </c>
      <c r="M665" t="s">
        <v>1102</v>
      </c>
      <c r="N665" t="s">
        <v>1132</v>
      </c>
      <c r="O665" t="s">
        <v>1132</v>
      </c>
      <c r="P665" t="str">
        <f>IFERROR(VLOOKUP(F665,Sheet1!$A$2:$B$54,2,FALSE),"")</f>
        <v/>
      </c>
    </row>
    <row r="666" spans="1:16" x14ac:dyDescent="0.2">
      <c r="A666" s="1">
        <v>2017</v>
      </c>
      <c r="B666" t="s">
        <v>80</v>
      </c>
      <c r="C666" s="10" t="s">
        <v>1678</v>
      </c>
      <c r="D666" s="10" t="s">
        <v>1679</v>
      </c>
      <c r="E666" s="10" t="s">
        <v>1682</v>
      </c>
      <c r="F666" t="s">
        <v>577</v>
      </c>
      <c r="G666" s="4">
        <v>9945</v>
      </c>
      <c r="H666" s="4"/>
      <c r="I666" s="4"/>
      <c r="J666" s="4">
        <f>SUM(G666:I666)</f>
        <v>9945</v>
      </c>
      <c r="K666" t="s">
        <v>1659</v>
      </c>
      <c r="L666" t="s">
        <v>1659</v>
      </c>
      <c r="M666" t="s">
        <v>1102</v>
      </c>
      <c r="N666" t="s">
        <v>1132</v>
      </c>
      <c r="O666" t="s">
        <v>1132</v>
      </c>
      <c r="P666" t="str">
        <f>IFERROR(VLOOKUP(F666,Sheet1!$A$2:$B$54,2,FALSE),"")</f>
        <v/>
      </c>
    </row>
    <row r="667" spans="1:16" x14ac:dyDescent="0.2">
      <c r="A667" s="1">
        <v>2018</v>
      </c>
      <c r="B667" t="s">
        <v>80</v>
      </c>
      <c r="C667" s="10" t="s">
        <v>1678</v>
      </c>
      <c r="D667" s="10" t="s">
        <v>1679</v>
      </c>
      <c r="E667" s="10" t="s">
        <v>1682</v>
      </c>
      <c r="F667" t="s">
        <v>577</v>
      </c>
      <c r="G667" s="4">
        <v>12048</v>
      </c>
      <c r="H667" s="4"/>
      <c r="I667" s="4"/>
      <c r="J667" s="4">
        <f>SUM(G667:I667)</f>
        <v>12048</v>
      </c>
      <c r="K667" t="s">
        <v>1659</v>
      </c>
      <c r="L667" t="s">
        <v>1659</v>
      </c>
      <c r="M667" t="s">
        <v>1102</v>
      </c>
      <c r="N667" t="s">
        <v>1132</v>
      </c>
      <c r="O667" t="s">
        <v>1132</v>
      </c>
      <c r="P667" t="str">
        <f>IFERROR(VLOOKUP(F667,Sheet1!$A$2:$B$54,2,FALSE),"")</f>
        <v/>
      </c>
    </row>
    <row r="668" spans="1:16" x14ac:dyDescent="0.2">
      <c r="A668" s="1">
        <v>2019</v>
      </c>
      <c r="B668" t="s">
        <v>80</v>
      </c>
      <c r="C668" s="10" t="s">
        <v>1678</v>
      </c>
      <c r="D668" s="10" t="s">
        <v>1679</v>
      </c>
      <c r="E668" s="10" t="s">
        <v>1682</v>
      </c>
      <c r="F668" t="s">
        <v>577</v>
      </c>
      <c r="G668" s="4">
        <v>18054</v>
      </c>
      <c r="H668" s="4"/>
      <c r="I668" s="4"/>
      <c r="J668" s="4">
        <f>SUM(G668:I668)</f>
        <v>18054</v>
      </c>
      <c r="K668" t="s">
        <v>1659</v>
      </c>
      <c r="L668" t="s">
        <v>1659</v>
      </c>
      <c r="M668" t="s">
        <v>1102</v>
      </c>
      <c r="N668" t="s">
        <v>1132</v>
      </c>
      <c r="O668" t="s">
        <v>1132</v>
      </c>
      <c r="P668" t="str">
        <f>IFERROR(VLOOKUP(F668,Sheet1!$A$2:$B$54,2,FALSE),"")</f>
        <v/>
      </c>
    </row>
    <row r="669" spans="1:16" x14ac:dyDescent="0.2">
      <c r="A669" s="1">
        <v>2020</v>
      </c>
      <c r="B669" t="s">
        <v>80</v>
      </c>
      <c r="C669" s="10" t="s">
        <v>1678</v>
      </c>
      <c r="D669" s="10" t="s">
        <v>1679</v>
      </c>
      <c r="E669" s="10" t="s">
        <v>1682</v>
      </c>
      <c r="F669" t="s">
        <v>577</v>
      </c>
      <c r="G669" s="4">
        <v>30223</v>
      </c>
      <c r="H669" s="4"/>
      <c r="I669" s="4"/>
      <c r="J669" s="4">
        <f>SUM(G669:I669)</f>
        <v>30223</v>
      </c>
      <c r="K669" t="s">
        <v>1659</v>
      </c>
      <c r="L669" t="s">
        <v>1659</v>
      </c>
      <c r="M669" t="s">
        <v>1102</v>
      </c>
      <c r="N669" t="s">
        <v>1132</v>
      </c>
      <c r="O669" t="s">
        <v>1132</v>
      </c>
      <c r="P669" t="str">
        <f>IFERROR(VLOOKUP(F669,Sheet1!$A$2:$B$54,2,FALSE),"")</f>
        <v/>
      </c>
    </row>
    <row r="670" spans="1:16" x14ac:dyDescent="0.2">
      <c r="A670" s="1">
        <v>2021</v>
      </c>
      <c r="B670" t="s">
        <v>80</v>
      </c>
      <c r="C670" s="10" t="s">
        <v>1678</v>
      </c>
      <c r="D670" s="10" t="s">
        <v>1679</v>
      </c>
      <c r="E670" s="10" t="s">
        <v>1682</v>
      </c>
      <c r="F670" t="s">
        <v>577</v>
      </c>
      <c r="G670" s="4">
        <v>30302</v>
      </c>
      <c r="H670" s="4"/>
      <c r="I670" s="4"/>
      <c r="J670" s="4">
        <f>SUM(G670:I670)</f>
        <v>30302</v>
      </c>
      <c r="K670" t="s">
        <v>1659</v>
      </c>
      <c r="L670" t="s">
        <v>1659</v>
      </c>
      <c r="M670" t="s">
        <v>577</v>
      </c>
      <c r="N670" t="s">
        <v>1132</v>
      </c>
      <c r="O670" t="s">
        <v>1132</v>
      </c>
      <c r="P670" t="str">
        <f>IFERROR(VLOOKUP(F670,Sheet1!$A$2:$B$54,2,FALSE),"")</f>
        <v/>
      </c>
    </row>
    <row r="671" spans="1:16" x14ac:dyDescent="0.2">
      <c r="A671" s="1">
        <v>2022</v>
      </c>
      <c r="B671" t="s">
        <v>80</v>
      </c>
      <c r="C671" s="10" t="s">
        <v>1678</v>
      </c>
      <c r="D671" s="10" t="s">
        <v>1679</v>
      </c>
      <c r="E671" s="10" t="s">
        <v>1682</v>
      </c>
      <c r="F671" t="s">
        <v>577</v>
      </c>
      <c r="G671" s="4">
        <v>32472</v>
      </c>
      <c r="H671" s="4"/>
      <c r="I671" s="4"/>
      <c r="J671" s="4">
        <f>SUM(G671:I671)</f>
        <v>32472</v>
      </c>
      <c r="K671" t="s">
        <v>1659</v>
      </c>
      <c r="L671" t="s">
        <v>1659</v>
      </c>
      <c r="M671" t="s">
        <v>577</v>
      </c>
      <c r="N671" t="s">
        <v>1132</v>
      </c>
      <c r="O671" t="s">
        <v>1132</v>
      </c>
      <c r="P671" t="str">
        <f>IFERROR(VLOOKUP(F671,Sheet1!$A$2:$B$54,2,FALSE),"")</f>
        <v/>
      </c>
    </row>
    <row r="672" spans="1:16" x14ac:dyDescent="0.2">
      <c r="A672" s="1">
        <v>2023</v>
      </c>
      <c r="B672" t="s">
        <v>80</v>
      </c>
      <c r="C672" s="10" t="s">
        <v>1678</v>
      </c>
      <c r="D672" s="10" t="s">
        <v>1679</v>
      </c>
      <c r="E672" s="10" t="s">
        <v>1682</v>
      </c>
      <c r="F672" t="s">
        <v>577</v>
      </c>
      <c r="G672" s="4">
        <v>36921</v>
      </c>
      <c r="H672" s="4"/>
      <c r="I672" s="4"/>
      <c r="J672" s="4">
        <f>SUM(G672:I672)</f>
        <v>36921</v>
      </c>
      <c r="K672" t="s">
        <v>1659</v>
      </c>
      <c r="L672" t="s">
        <v>1659</v>
      </c>
      <c r="M672" t="s">
        <v>577</v>
      </c>
      <c r="N672" t="s">
        <v>1132</v>
      </c>
      <c r="O672" t="s">
        <v>1132</v>
      </c>
      <c r="P672" t="str">
        <f>IFERROR(VLOOKUP(F672,Sheet1!$A$2:$B$54,2,FALSE),"")</f>
        <v/>
      </c>
    </row>
    <row r="673" spans="1:16" x14ac:dyDescent="0.2">
      <c r="A673" s="1">
        <v>2015</v>
      </c>
      <c r="B673" t="s">
        <v>81</v>
      </c>
      <c r="C673" s="10" t="s">
        <v>1678</v>
      </c>
      <c r="D673" s="10" t="s">
        <v>1679</v>
      </c>
      <c r="E673" s="10" t="s">
        <v>1682</v>
      </c>
      <c r="F673" t="s">
        <v>578</v>
      </c>
      <c r="G673" s="4">
        <v>4630</v>
      </c>
      <c r="H673" s="4"/>
      <c r="I673" s="4"/>
      <c r="J673" s="4">
        <f>SUM(G673:I673)</f>
        <v>4630</v>
      </c>
      <c r="K673" t="s">
        <v>1659</v>
      </c>
      <c r="L673" t="s">
        <v>1659</v>
      </c>
      <c r="M673" t="s">
        <v>1103</v>
      </c>
      <c r="N673" t="s">
        <v>1132</v>
      </c>
      <c r="O673" t="s">
        <v>1132</v>
      </c>
      <c r="P673" t="str">
        <f>IFERROR(VLOOKUP(F673,Sheet1!$A$2:$B$54,2,FALSE),"")</f>
        <v/>
      </c>
    </row>
    <row r="674" spans="1:16" x14ac:dyDescent="0.2">
      <c r="A674" s="1">
        <v>2016</v>
      </c>
      <c r="B674" t="s">
        <v>81</v>
      </c>
      <c r="C674" s="10" t="s">
        <v>1678</v>
      </c>
      <c r="D674" s="10" t="s">
        <v>1679</v>
      </c>
      <c r="E674" s="10" t="s">
        <v>1682</v>
      </c>
      <c r="F674" t="s">
        <v>578</v>
      </c>
      <c r="G674" s="4">
        <v>6523</v>
      </c>
      <c r="H674" s="4"/>
      <c r="I674" s="4"/>
      <c r="J674" s="4">
        <f>SUM(G674:I674)</f>
        <v>6523</v>
      </c>
      <c r="K674" t="s">
        <v>1659</v>
      </c>
      <c r="L674" t="s">
        <v>1659</v>
      </c>
      <c r="M674" t="s">
        <v>1103</v>
      </c>
      <c r="N674" t="s">
        <v>1132</v>
      </c>
      <c r="O674" t="s">
        <v>1132</v>
      </c>
      <c r="P674" t="str">
        <f>IFERROR(VLOOKUP(F674,Sheet1!$A$2:$B$54,2,FALSE),"")</f>
        <v/>
      </c>
    </row>
    <row r="675" spans="1:16" x14ac:dyDescent="0.2">
      <c r="A675" s="1">
        <v>2017</v>
      </c>
      <c r="B675" t="s">
        <v>81</v>
      </c>
      <c r="C675" s="10" t="s">
        <v>1678</v>
      </c>
      <c r="D675" s="10" t="s">
        <v>1679</v>
      </c>
      <c r="E675" s="10" t="s">
        <v>1682</v>
      </c>
      <c r="F675" t="s">
        <v>578</v>
      </c>
      <c r="G675" s="4">
        <v>20236</v>
      </c>
      <c r="H675" s="4"/>
      <c r="I675" s="4"/>
      <c r="J675" s="4">
        <f>SUM(G675:I675)</f>
        <v>20236</v>
      </c>
      <c r="K675" t="s">
        <v>1659</v>
      </c>
      <c r="L675" t="s">
        <v>1659</v>
      </c>
      <c r="M675" t="s">
        <v>1103</v>
      </c>
      <c r="N675" t="s">
        <v>1132</v>
      </c>
      <c r="O675" t="s">
        <v>1132</v>
      </c>
      <c r="P675" t="str">
        <f>IFERROR(VLOOKUP(F675,Sheet1!$A$2:$B$54,2,FALSE),"")</f>
        <v/>
      </c>
    </row>
    <row r="676" spans="1:16" x14ac:dyDescent="0.2">
      <c r="A676" s="1">
        <v>2018</v>
      </c>
      <c r="B676" t="s">
        <v>81</v>
      </c>
      <c r="C676" s="10" t="s">
        <v>1678</v>
      </c>
      <c r="D676" s="10" t="s">
        <v>1679</v>
      </c>
      <c r="E676" s="10" t="s">
        <v>1682</v>
      </c>
      <c r="F676" t="s">
        <v>578</v>
      </c>
      <c r="G676" s="4">
        <v>20045</v>
      </c>
      <c r="H676" s="4"/>
      <c r="I676" s="4"/>
      <c r="J676" s="4">
        <f>SUM(G676:I676)</f>
        <v>20045</v>
      </c>
      <c r="K676" t="s">
        <v>1659</v>
      </c>
      <c r="L676" t="s">
        <v>1659</v>
      </c>
      <c r="M676" t="s">
        <v>1103</v>
      </c>
      <c r="N676" t="s">
        <v>1132</v>
      </c>
      <c r="O676" t="s">
        <v>1132</v>
      </c>
      <c r="P676" t="str">
        <f>IFERROR(VLOOKUP(F676,Sheet1!$A$2:$B$54,2,FALSE),"")</f>
        <v/>
      </c>
    </row>
    <row r="677" spans="1:16" x14ac:dyDescent="0.2">
      <c r="A677" s="1">
        <v>2019</v>
      </c>
      <c r="B677" t="s">
        <v>81</v>
      </c>
      <c r="C677" s="10" t="s">
        <v>1678</v>
      </c>
      <c r="D677" s="10" t="s">
        <v>1679</v>
      </c>
      <c r="E677" s="10" t="s">
        <v>1682</v>
      </c>
      <c r="F677" t="s">
        <v>578</v>
      </c>
      <c r="G677" s="4">
        <v>11871</v>
      </c>
      <c r="H677" s="4"/>
      <c r="I677" s="4"/>
      <c r="J677" s="4">
        <f>SUM(G677:I677)</f>
        <v>11871</v>
      </c>
      <c r="K677" t="s">
        <v>1659</v>
      </c>
      <c r="L677" t="s">
        <v>1659</v>
      </c>
      <c r="M677" t="s">
        <v>1103</v>
      </c>
      <c r="N677" t="s">
        <v>1132</v>
      </c>
      <c r="O677" t="s">
        <v>1132</v>
      </c>
      <c r="P677" t="str">
        <f>IFERROR(VLOOKUP(F677,Sheet1!$A$2:$B$54,2,FALSE),"")</f>
        <v/>
      </c>
    </row>
    <row r="678" spans="1:16" x14ac:dyDescent="0.2">
      <c r="A678" s="1">
        <v>2020</v>
      </c>
      <c r="B678" t="s">
        <v>81</v>
      </c>
      <c r="C678" s="10" t="s">
        <v>1678</v>
      </c>
      <c r="D678" s="10" t="s">
        <v>1679</v>
      </c>
      <c r="E678" s="10" t="s">
        <v>1682</v>
      </c>
      <c r="F678" t="s">
        <v>578</v>
      </c>
      <c r="G678" s="4">
        <v>13556</v>
      </c>
      <c r="H678" s="4"/>
      <c r="I678" s="4"/>
      <c r="J678" s="4">
        <f>SUM(G678:I678)</f>
        <v>13556</v>
      </c>
      <c r="K678" t="s">
        <v>1659</v>
      </c>
      <c r="L678" t="s">
        <v>1659</v>
      </c>
      <c r="M678" t="s">
        <v>1103</v>
      </c>
      <c r="N678" t="s">
        <v>1132</v>
      </c>
      <c r="O678" t="s">
        <v>1132</v>
      </c>
      <c r="P678" t="str">
        <f>IFERROR(VLOOKUP(F678,Sheet1!$A$2:$B$54,2,FALSE),"")</f>
        <v/>
      </c>
    </row>
    <row r="679" spans="1:16" x14ac:dyDescent="0.2">
      <c r="A679" s="1">
        <v>2021</v>
      </c>
      <c r="B679" t="s">
        <v>81</v>
      </c>
      <c r="C679" s="10" t="s">
        <v>1678</v>
      </c>
      <c r="D679" s="10" t="s">
        <v>1679</v>
      </c>
      <c r="E679" s="10" t="s">
        <v>1682</v>
      </c>
      <c r="F679" t="s">
        <v>578</v>
      </c>
      <c r="G679" s="4">
        <v>15406</v>
      </c>
      <c r="H679" s="4"/>
      <c r="I679" s="4"/>
      <c r="J679" s="4">
        <f>SUM(G679:I679)</f>
        <v>15406</v>
      </c>
      <c r="K679" t="s">
        <v>1659</v>
      </c>
      <c r="L679" t="s">
        <v>1659</v>
      </c>
      <c r="M679" t="s">
        <v>578</v>
      </c>
      <c r="N679" t="s">
        <v>1132</v>
      </c>
      <c r="O679" t="s">
        <v>1132</v>
      </c>
      <c r="P679" t="str">
        <f>IFERROR(VLOOKUP(F679,Sheet1!$A$2:$B$54,2,FALSE),"")</f>
        <v/>
      </c>
    </row>
    <row r="680" spans="1:16" x14ac:dyDescent="0.2">
      <c r="A680" s="1">
        <v>2022</v>
      </c>
      <c r="B680" t="s">
        <v>81</v>
      </c>
      <c r="C680" s="10" t="s">
        <v>1678</v>
      </c>
      <c r="D680" s="10" t="s">
        <v>1679</v>
      </c>
      <c r="E680" s="10" t="s">
        <v>1682</v>
      </c>
      <c r="F680" t="s">
        <v>578</v>
      </c>
      <c r="G680" s="4">
        <v>21686</v>
      </c>
      <c r="H680" s="4"/>
      <c r="I680" s="4"/>
      <c r="J680" s="4">
        <f>SUM(G680:I680)</f>
        <v>21686</v>
      </c>
      <c r="K680" t="s">
        <v>1659</v>
      </c>
      <c r="L680" t="s">
        <v>1659</v>
      </c>
      <c r="M680" t="s">
        <v>578</v>
      </c>
      <c r="N680" t="s">
        <v>1132</v>
      </c>
      <c r="O680" t="s">
        <v>1132</v>
      </c>
      <c r="P680" t="str">
        <f>IFERROR(VLOOKUP(F680,Sheet1!$A$2:$B$54,2,FALSE),"")</f>
        <v/>
      </c>
    </row>
    <row r="681" spans="1:16" x14ac:dyDescent="0.2">
      <c r="A681" s="1">
        <v>2023</v>
      </c>
      <c r="B681" t="s">
        <v>81</v>
      </c>
      <c r="C681" s="10" t="s">
        <v>1678</v>
      </c>
      <c r="D681" s="10" t="s">
        <v>1679</v>
      </c>
      <c r="E681" s="10" t="s">
        <v>1682</v>
      </c>
      <c r="F681" t="s">
        <v>578</v>
      </c>
      <c r="G681" s="4">
        <v>21254</v>
      </c>
      <c r="H681" s="4"/>
      <c r="I681" s="4"/>
      <c r="J681" s="4">
        <f>SUM(G681:I681)</f>
        <v>21254</v>
      </c>
      <c r="K681" t="s">
        <v>1659</v>
      </c>
      <c r="L681" t="s">
        <v>1659</v>
      </c>
      <c r="M681" t="s">
        <v>578</v>
      </c>
      <c r="N681" t="s">
        <v>1132</v>
      </c>
      <c r="O681" t="s">
        <v>1132</v>
      </c>
      <c r="P681" t="str">
        <f>IFERROR(VLOOKUP(F681,Sheet1!$A$2:$B$54,2,FALSE),"")</f>
        <v/>
      </c>
    </row>
    <row r="682" spans="1:16" x14ac:dyDescent="0.2">
      <c r="A682" s="1">
        <v>2015</v>
      </c>
      <c r="B682" t="s">
        <v>82</v>
      </c>
      <c r="C682" s="10" t="s">
        <v>1678</v>
      </c>
      <c r="D682" s="10" t="s">
        <v>1679</v>
      </c>
      <c r="E682" s="10" t="s">
        <v>1682</v>
      </c>
      <c r="F682" t="s">
        <v>579</v>
      </c>
      <c r="G682" s="4">
        <v>8714</v>
      </c>
      <c r="H682" s="4"/>
      <c r="I682" s="4"/>
      <c r="J682" s="4">
        <f>SUM(G682:I682)</f>
        <v>8714</v>
      </c>
      <c r="K682" t="s">
        <v>1659</v>
      </c>
      <c r="L682" t="s">
        <v>1659</v>
      </c>
      <c r="M682" t="s">
        <v>1104</v>
      </c>
      <c r="N682" t="s">
        <v>1132</v>
      </c>
      <c r="O682" t="s">
        <v>1132</v>
      </c>
      <c r="P682" t="str">
        <f>IFERROR(VLOOKUP(F682,Sheet1!$A$2:$B$54,2,FALSE),"")</f>
        <v/>
      </c>
    </row>
    <row r="683" spans="1:16" x14ac:dyDescent="0.2">
      <c r="A683" s="1">
        <v>2016</v>
      </c>
      <c r="B683" t="s">
        <v>82</v>
      </c>
      <c r="C683" s="10" t="s">
        <v>1678</v>
      </c>
      <c r="D683" s="10" t="s">
        <v>1679</v>
      </c>
      <c r="E683" s="10" t="s">
        <v>1682</v>
      </c>
      <c r="F683" t="s">
        <v>579</v>
      </c>
      <c r="G683" s="4">
        <v>10497</v>
      </c>
      <c r="H683" s="4"/>
      <c r="I683" s="4"/>
      <c r="J683" s="4">
        <f>SUM(G683:I683)</f>
        <v>10497</v>
      </c>
      <c r="K683" t="s">
        <v>1659</v>
      </c>
      <c r="L683" t="s">
        <v>1659</v>
      </c>
      <c r="M683" t="s">
        <v>1104</v>
      </c>
      <c r="N683" t="s">
        <v>1132</v>
      </c>
      <c r="O683" t="s">
        <v>1132</v>
      </c>
      <c r="P683" t="str">
        <f>IFERROR(VLOOKUP(F683,Sheet1!$A$2:$B$54,2,FALSE),"")</f>
        <v/>
      </c>
    </row>
    <row r="684" spans="1:16" x14ac:dyDescent="0.2">
      <c r="A684" s="1">
        <v>2017</v>
      </c>
      <c r="B684" t="s">
        <v>82</v>
      </c>
      <c r="C684" s="10" t="s">
        <v>1678</v>
      </c>
      <c r="D684" s="10" t="s">
        <v>1679</v>
      </c>
      <c r="E684" s="10" t="s">
        <v>1682</v>
      </c>
      <c r="F684" t="s">
        <v>579</v>
      </c>
      <c r="G684" s="4">
        <v>16163</v>
      </c>
      <c r="H684" s="4"/>
      <c r="I684" s="4"/>
      <c r="J684" s="4">
        <f>SUM(G684:I684)</f>
        <v>16163</v>
      </c>
      <c r="K684" t="s">
        <v>1659</v>
      </c>
      <c r="L684" t="s">
        <v>1659</v>
      </c>
      <c r="M684" t="s">
        <v>1104</v>
      </c>
      <c r="N684" t="s">
        <v>1132</v>
      </c>
      <c r="O684" t="s">
        <v>1132</v>
      </c>
      <c r="P684" t="str">
        <f>IFERROR(VLOOKUP(F684,Sheet1!$A$2:$B$54,2,FALSE),"")</f>
        <v/>
      </c>
    </row>
    <row r="685" spans="1:16" x14ac:dyDescent="0.2">
      <c r="A685" s="1">
        <v>2018</v>
      </c>
      <c r="B685" t="s">
        <v>82</v>
      </c>
      <c r="C685" s="10" t="s">
        <v>1678</v>
      </c>
      <c r="D685" s="10" t="s">
        <v>1679</v>
      </c>
      <c r="E685" s="10" t="s">
        <v>1682</v>
      </c>
      <c r="F685" t="s">
        <v>579</v>
      </c>
      <c r="G685" s="4">
        <v>19536</v>
      </c>
      <c r="H685" s="4"/>
      <c r="I685" s="4"/>
      <c r="J685" s="4">
        <f>SUM(G685:I685)</f>
        <v>19536</v>
      </c>
      <c r="K685" t="s">
        <v>1659</v>
      </c>
      <c r="L685" t="s">
        <v>1659</v>
      </c>
      <c r="M685" t="s">
        <v>1104</v>
      </c>
      <c r="N685" t="s">
        <v>1132</v>
      </c>
      <c r="O685" t="s">
        <v>1132</v>
      </c>
      <c r="P685" t="str">
        <f>IFERROR(VLOOKUP(F685,Sheet1!$A$2:$B$54,2,FALSE),"")</f>
        <v/>
      </c>
    </row>
    <row r="686" spans="1:16" x14ac:dyDescent="0.2">
      <c r="A686" s="1">
        <v>2019</v>
      </c>
      <c r="B686" t="s">
        <v>82</v>
      </c>
      <c r="C686" s="10" t="s">
        <v>1678</v>
      </c>
      <c r="D686" s="10" t="s">
        <v>1679</v>
      </c>
      <c r="E686" s="10" t="s">
        <v>1682</v>
      </c>
      <c r="F686" t="s">
        <v>579</v>
      </c>
      <c r="G686" s="4">
        <v>26903</v>
      </c>
      <c r="H686" s="4"/>
      <c r="I686" s="4"/>
      <c r="J686" s="4">
        <f>SUM(G686:I686)</f>
        <v>26903</v>
      </c>
      <c r="K686" t="s">
        <v>1659</v>
      </c>
      <c r="L686" t="s">
        <v>1659</v>
      </c>
      <c r="M686" t="s">
        <v>1104</v>
      </c>
      <c r="N686" t="s">
        <v>1132</v>
      </c>
      <c r="O686" t="s">
        <v>1132</v>
      </c>
      <c r="P686" t="str">
        <f>IFERROR(VLOOKUP(F686,Sheet1!$A$2:$B$54,2,FALSE),"")</f>
        <v/>
      </c>
    </row>
    <row r="687" spans="1:16" x14ac:dyDescent="0.2">
      <c r="A687" s="1">
        <v>2020</v>
      </c>
      <c r="B687" t="s">
        <v>82</v>
      </c>
      <c r="C687" s="10" t="s">
        <v>1678</v>
      </c>
      <c r="D687" s="10" t="s">
        <v>1679</v>
      </c>
      <c r="E687" s="10" t="s">
        <v>1682</v>
      </c>
      <c r="F687" t="s">
        <v>579</v>
      </c>
      <c r="G687" s="4">
        <v>35426</v>
      </c>
      <c r="H687" s="4"/>
      <c r="I687" s="4"/>
      <c r="J687" s="4">
        <f>SUM(G687:I687)</f>
        <v>35426</v>
      </c>
      <c r="K687" t="s">
        <v>1659</v>
      </c>
      <c r="L687" t="s">
        <v>1659</v>
      </c>
      <c r="M687" t="s">
        <v>1104</v>
      </c>
      <c r="N687" t="s">
        <v>1132</v>
      </c>
      <c r="O687" t="s">
        <v>1132</v>
      </c>
      <c r="P687" t="str">
        <f>IFERROR(VLOOKUP(F687,Sheet1!$A$2:$B$54,2,FALSE),"")</f>
        <v/>
      </c>
    </row>
    <row r="688" spans="1:16" x14ac:dyDescent="0.2">
      <c r="A688" s="1">
        <v>2021</v>
      </c>
      <c r="B688" t="s">
        <v>82</v>
      </c>
      <c r="C688" s="10" t="s">
        <v>1678</v>
      </c>
      <c r="D688" s="10" t="s">
        <v>1679</v>
      </c>
      <c r="E688" s="10" t="s">
        <v>1682</v>
      </c>
      <c r="F688" t="s">
        <v>579</v>
      </c>
      <c r="G688" s="4">
        <v>56637</v>
      </c>
      <c r="H688" s="4"/>
      <c r="I688" s="4"/>
      <c r="J688" s="4">
        <f>SUM(G688:I688)</f>
        <v>56637</v>
      </c>
      <c r="K688" t="s">
        <v>1659</v>
      </c>
      <c r="L688" t="s">
        <v>1659</v>
      </c>
      <c r="M688" t="s">
        <v>579</v>
      </c>
      <c r="N688" t="s">
        <v>1132</v>
      </c>
      <c r="O688" t="s">
        <v>1132</v>
      </c>
      <c r="P688" t="str">
        <f>IFERROR(VLOOKUP(F688,Sheet1!$A$2:$B$54,2,FALSE),"")</f>
        <v/>
      </c>
    </row>
    <row r="689" spans="1:16" x14ac:dyDescent="0.2">
      <c r="A689" s="1">
        <v>2022</v>
      </c>
      <c r="B689" t="s">
        <v>82</v>
      </c>
      <c r="C689" s="10" t="s">
        <v>1678</v>
      </c>
      <c r="D689" s="10" t="s">
        <v>1679</v>
      </c>
      <c r="E689" s="10" t="s">
        <v>1682</v>
      </c>
      <c r="F689" t="s">
        <v>579</v>
      </c>
      <c r="G689" s="4">
        <v>82112</v>
      </c>
      <c r="H689" s="4"/>
      <c r="I689" s="4"/>
      <c r="J689" s="4">
        <f>SUM(G689:I689)</f>
        <v>82112</v>
      </c>
      <c r="K689" t="s">
        <v>1659</v>
      </c>
      <c r="L689" t="s">
        <v>1659</v>
      </c>
      <c r="M689" t="s">
        <v>579</v>
      </c>
      <c r="N689" t="s">
        <v>1132</v>
      </c>
      <c r="O689" t="s">
        <v>1132</v>
      </c>
      <c r="P689" t="str">
        <f>IFERROR(VLOOKUP(F689,Sheet1!$A$2:$B$54,2,FALSE),"")</f>
        <v/>
      </c>
    </row>
    <row r="690" spans="1:16" x14ac:dyDescent="0.2">
      <c r="A690" s="1">
        <v>2023</v>
      </c>
      <c r="B690" t="s">
        <v>82</v>
      </c>
      <c r="C690" s="10" t="s">
        <v>1678</v>
      </c>
      <c r="D690" s="10" t="s">
        <v>1679</v>
      </c>
      <c r="E690" s="10" t="s">
        <v>1682</v>
      </c>
      <c r="F690" t="s">
        <v>579</v>
      </c>
      <c r="G690" s="4">
        <v>78343</v>
      </c>
      <c r="H690" s="4"/>
      <c r="I690" s="4"/>
      <c r="J690" s="4">
        <f>SUM(G690:I690)</f>
        <v>78343</v>
      </c>
      <c r="K690" t="s">
        <v>1659</v>
      </c>
      <c r="L690" t="s">
        <v>1659</v>
      </c>
      <c r="M690" t="s">
        <v>579</v>
      </c>
      <c r="N690" t="s">
        <v>1132</v>
      </c>
      <c r="O690" t="s">
        <v>1132</v>
      </c>
      <c r="P690" t="str">
        <f>IFERROR(VLOOKUP(F690,Sheet1!$A$2:$B$54,2,FALSE),"")</f>
        <v/>
      </c>
    </row>
    <row r="691" spans="1:16" x14ac:dyDescent="0.2">
      <c r="A691" s="1">
        <v>2015</v>
      </c>
      <c r="B691" t="s">
        <v>83</v>
      </c>
      <c r="C691" s="10" t="s">
        <v>1678</v>
      </c>
      <c r="D691" s="10" t="s">
        <v>1679</v>
      </c>
      <c r="E691" s="10" t="s">
        <v>1682</v>
      </c>
      <c r="F691" t="s">
        <v>580</v>
      </c>
      <c r="G691" s="4">
        <v>145295</v>
      </c>
      <c r="H691" s="4"/>
      <c r="I691" s="4"/>
      <c r="J691" s="4">
        <f>SUM(G691:I691)</f>
        <v>145295</v>
      </c>
      <c r="K691" t="s">
        <v>1659</v>
      </c>
      <c r="L691" t="s">
        <v>1659</v>
      </c>
      <c r="M691" t="s">
        <v>1105</v>
      </c>
      <c r="N691" t="s">
        <v>1132</v>
      </c>
      <c r="O691" t="s">
        <v>1132</v>
      </c>
      <c r="P691" t="str">
        <f>IFERROR(VLOOKUP(F691,Sheet1!$A$2:$B$54,2,FALSE),"")</f>
        <v/>
      </c>
    </row>
    <row r="692" spans="1:16" x14ac:dyDescent="0.2">
      <c r="A692" s="1">
        <v>2016</v>
      </c>
      <c r="B692" t="s">
        <v>83</v>
      </c>
      <c r="C692" s="10" t="s">
        <v>1678</v>
      </c>
      <c r="D692" s="10" t="s">
        <v>1679</v>
      </c>
      <c r="E692" s="10" t="s">
        <v>1682</v>
      </c>
      <c r="F692" t="s">
        <v>580</v>
      </c>
      <c r="G692" s="4">
        <v>200679</v>
      </c>
      <c r="H692" s="4"/>
      <c r="I692" s="4"/>
      <c r="J692" s="4">
        <f>SUM(G692:I692)</f>
        <v>200679</v>
      </c>
      <c r="K692" t="s">
        <v>1659</v>
      </c>
      <c r="L692" t="s">
        <v>1659</v>
      </c>
      <c r="M692" t="s">
        <v>1105</v>
      </c>
      <c r="N692" t="s">
        <v>1132</v>
      </c>
      <c r="O692" t="s">
        <v>1132</v>
      </c>
      <c r="P692" t="str">
        <f>IFERROR(VLOOKUP(F692,Sheet1!$A$2:$B$54,2,FALSE),"")</f>
        <v/>
      </c>
    </row>
    <row r="693" spans="1:16" x14ac:dyDescent="0.2">
      <c r="A693" s="1">
        <v>2017</v>
      </c>
      <c r="B693" t="s">
        <v>83</v>
      </c>
      <c r="C693" s="10" t="s">
        <v>1678</v>
      </c>
      <c r="D693" s="10" t="s">
        <v>1679</v>
      </c>
      <c r="E693" s="10" t="s">
        <v>1682</v>
      </c>
      <c r="F693" t="s">
        <v>580</v>
      </c>
      <c r="G693" s="4">
        <v>283889</v>
      </c>
      <c r="H693" s="4"/>
      <c r="I693" s="4"/>
      <c r="J693" s="4">
        <f>SUM(G693:I693)</f>
        <v>283889</v>
      </c>
      <c r="K693" t="s">
        <v>1659</v>
      </c>
      <c r="L693" t="s">
        <v>1659</v>
      </c>
      <c r="M693" t="s">
        <v>1105</v>
      </c>
      <c r="N693" t="s">
        <v>1132</v>
      </c>
      <c r="O693" t="s">
        <v>1132</v>
      </c>
      <c r="P693" t="str">
        <f>IFERROR(VLOOKUP(F693,Sheet1!$A$2:$B$54,2,FALSE),"")</f>
        <v/>
      </c>
    </row>
    <row r="694" spans="1:16" x14ac:dyDescent="0.2">
      <c r="A694" s="1">
        <v>2018</v>
      </c>
      <c r="B694" t="s">
        <v>83</v>
      </c>
      <c r="C694" s="10" t="s">
        <v>1678</v>
      </c>
      <c r="D694" s="10" t="s">
        <v>1679</v>
      </c>
      <c r="E694" s="10" t="s">
        <v>1682</v>
      </c>
      <c r="F694" t="s">
        <v>580</v>
      </c>
      <c r="G694" s="4">
        <v>370041</v>
      </c>
      <c r="H694" s="4"/>
      <c r="I694" s="4"/>
      <c r="J694" s="4">
        <f>SUM(G694:I694)</f>
        <v>370041</v>
      </c>
      <c r="K694" t="s">
        <v>1659</v>
      </c>
      <c r="L694" t="s">
        <v>1659</v>
      </c>
      <c r="M694" t="s">
        <v>1105</v>
      </c>
      <c r="N694" t="s">
        <v>1132</v>
      </c>
      <c r="O694" t="s">
        <v>1132</v>
      </c>
      <c r="P694" t="str">
        <f>IFERROR(VLOOKUP(F694,Sheet1!$A$2:$B$54,2,FALSE),"")</f>
        <v/>
      </c>
    </row>
    <row r="695" spans="1:16" x14ac:dyDescent="0.2">
      <c r="A695" s="1">
        <v>2019</v>
      </c>
      <c r="B695" t="s">
        <v>83</v>
      </c>
      <c r="C695" s="10" t="s">
        <v>1678</v>
      </c>
      <c r="D695" s="10" t="s">
        <v>1679</v>
      </c>
      <c r="E695" s="10" t="s">
        <v>1682</v>
      </c>
      <c r="F695" t="s">
        <v>580</v>
      </c>
      <c r="G695" s="4">
        <v>427706</v>
      </c>
      <c r="H695" s="4"/>
      <c r="I695" s="4"/>
      <c r="J695" s="4">
        <f>SUM(G695:I695)</f>
        <v>427706</v>
      </c>
      <c r="K695" t="s">
        <v>1659</v>
      </c>
      <c r="L695" t="s">
        <v>1659</v>
      </c>
      <c r="M695" t="s">
        <v>1105</v>
      </c>
      <c r="N695" t="s">
        <v>1132</v>
      </c>
      <c r="O695" t="s">
        <v>1132</v>
      </c>
      <c r="P695" t="str">
        <f>IFERROR(VLOOKUP(F695,Sheet1!$A$2:$B$54,2,FALSE),"")</f>
        <v/>
      </c>
    </row>
    <row r="696" spans="1:16" x14ac:dyDescent="0.2">
      <c r="A696" s="1">
        <v>2020</v>
      </c>
      <c r="B696" t="s">
        <v>83</v>
      </c>
      <c r="C696" s="10" t="s">
        <v>1678</v>
      </c>
      <c r="D696" s="10" t="s">
        <v>1679</v>
      </c>
      <c r="E696" s="10" t="s">
        <v>1682</v>
      </c>
      <c r="F696" t="s">
        <v>580</v>
      </c>
      <c r="G696" s="4">
        <v>453930</v>
      </c>
      <c r="H696" s="4"/>
      <c r="I696" s="4"/>
      <c r="J696" s="4">
        <f>SUM(G696:I696)</f>
        <v>453930</v>
      </c>
      <c r="K696" t="s">
        <v>1659</v>
      </c>
      <c r="L696" t="s">
        <v>1659</v>
      </c>
      <c r="M696" t="s">
        <v>1105</v>
      </c>
      <c r="N696" t="s">
        <v>1132</v>
      </c>
      <c r="O696" t="s">
        <v>1132</v>
      </c>
      <c r="P696" t="str">
        <f>IFERROR(VLOOKUP(F696,Sheet1!$A$2:$B$54,2,FALSE),"")</f>
        <v/>
      </c>
    </row>
    <row r="697" spans="1:16" x14ac:dyDescent="0.2">
      <c r="A697" s="1">
        <v>2021</v>
      </c>
      <c r="B697" t="s">
        <v>83</v>
      </c>
      <c r="C697" s="10" t="s">
        <v>1678</v>
      </c>
      <c r="D697" s="10" t="s">
        <v>1679</v>
      </c>
      <c r="E697" s="10" t="s">
        <v>1682</v>
      </c>
      <c r="F697" t="s">
        <v>580</v>
      </c>
      <c r="G697" s="4">
        <v>498845</v>
      </c>
      <c r="H697" s="4"/>
      <c r="I697" s="4"/>
      <c r="J697" s="4">
        <f>SUM(G697:I697)</f>
        <v>498845</v>
      </c>
      <c r="K697" t="s">
        <v>1659</v>
      </c>
      <c r="L697" t="s">
        <v>1659</v>
      </c>
      <c r="M697" t="s">
        <v>580</v>
      </c>
      <c r="N697" t="s">
        <v>1132</v>
      </c>
      <c r="O697" t="s">
        <v>1132</v>
      </c>
      <c r="P697" t="str">
        <f>IFERROR(VLOOKUP(F697,Sheet1!$A$2:$B$54,2,FALSE),"")</f>
        <v/>
      </c>
    </row>
    <row r="698" spans="1:16" x14ac:dyDescent="0.2">
      <c r="A698" s="1">
        <v>2022</v>
      </c>
      <c r="B698" t="s">
        <v>83</v>
      </c>
      <c r="C698" s="10" t="s">
        <v>1678</v>
      </c>
      <c r="D698" s="10" t="s">
        <v>1679</v>
      </c>
      <c r="E698" s="10" t="s">
        <v>1682</v>
      </c>
      <c r="F698" t="s">
        <v>580</v>
      </c>
      <c r="G698" s="4">
        <v>642556</v>
      </c>
      <c r="H698" s="4"/>
      <c r="I698" s="4"/>
      <c r="J698" s="4">
        <f>SUM(G698:I698)</f>
        <v>642556</v>
      </c>
      <c r="K698" t="s">
        <v>1659</v>
      </c>
      <c r="L698" t="s">
        <v>1659</v>
      </c>
      <c r="M698" t="s">
        <v>580</v>
      </c>
      <c r="N698" t="s">
        <v>1132</v>
      </c>
      <c r="O698" t="s">
        <v>1132</v>
      </c>
      <c r="P698" t="str">
        <f>IFERROR(VLOOKUP(F698,Sheet1!$A$2:$B$54,2,FALSE),"")</f>
        <v/>
      </c>
    </row>
    <row r="699" spans="1:16" x14ac:dyDescent="0.2">
      <c r="A699" s="1">
        <v>2023</v>
      </c>
      <c r="B699" t="s">
        <v>83</v>
      </c>
      <c r="C699" s="10" t="s">
        <v>1678</v>
      </c>
      <c r="D699" s="10" t="s">
        <v>1679</v>
      </c>
      <c r="E699" s="10" t="s">
        <v>1682</v>
      </c>
      <c r="F699" t="s">
        <v>580</v>
      </c>
      <c r="G699" s="4">
        <v>788496</v>
      </c>
      <c r="H699" s="4"/>
      <c r="I699" s="4"/>
      <c r="J699" s="4">
        <f>SUM(G699:I699)</f>
        <v>788496</v>
      </c>
      <c r="K699" t="s">
        <v>1659</v>
      </c>
      <c r="L699" t="s">
        <v>1659</v>
      </c>
      <c r="M699" t="s">
        <v>580</v>
      </c>
      <c r="N699" t="s">
        <v>1132</v>
      </c>
      <c r="O699" t="s">
        <v>1132</v>
      </c>
      <c r="P699" t="str">
        <f>IFERROR(VLOOKUP(F699,Sheet1!$A$2:$B$54,2,FALSE),"")</f>
        <v/>
      </c>
    </row>
    <row r="700" spans="1:16" x14ac:dyDescent="0.2">
      <c r="A700" s="1">
        <v>2017</v>
      </c>
      <c r="B700" t="s">
        <v>84</v>
      </c>
      <c r="C700" s="10" t="s">
        <v>1678</v>
      </c>
      <c r="D700" s="10" t="s">
        <v>1679</v>
      </c>
      <c r="E700" s="10" t="s">
        <v>1682</v>
      </c>
      <c r="F700" t="s">
        <v>581</v>
      </c>
      <c r="G700" s="4">
        <v>3893</v>
      </c>
      <c r="H700" s="4"/>
      <c r="I700" s="4"/>
      <c r="J700" s="4">
        <f>SUM(G700:I700)</f>
        <v>3893</v>
      </c>
      <c r="K700" t="s">
        <v>1659</v>
      </c>
      <c r="L700" t="s">
        <v>1659</v>
      </c>
      <c r="M700" t="s">
        <v>1106</v>
      </c>
      <c r="N700" t="s">
        <v>1132</v>
      </c>
      <c r="O700" t="s">
        <v>1132</v>
      </c>
      <c r="P700" t="str">
        <f>IFERROR(VLOOKUP(F700,Sheet1!$A$2:$B$54,2,FALSE),"")</f>
        <v/>
      </c>
    </row>
    <row r="701" spans="1:16" x14ac:dyDescent="0.2">
      <c r="A701" s="1">
        <v>2018</v>
      </c>
      <c r="B701" t="s">
        <v>84</v>
      </c>
      <c r="C701" s="10" t="s">
        <v>1678</v>
      </c>
      <c r="D701" s="10" t="s">
        <v>1679</v>
      </c>
      <c r="E701" s="10" t="s">
        <v>1682</v>
      </c>
      <c r="F701" t="s">
        <v>581</v>
      </c>
      <c r="G701" s="4">
        <v>6595</v>
      </c>
      <c r="H701" s="4"/>
      <c r="I701" s="4"/>
      <c r="J701" s="4">
        <f>SUM(G701:I701)</f>
        <v>6595</v>
      </c>
      <c r="K701" t="s">
        <v>1659</v>
      </c>
      <c r="L701" t="s">
        <v>1659</v>
      </c>
      <c r="M701" t="s">
        <v>1106</v>
      </c>
      <c r="N701" t="s">
        <v>1132</v>
      </c>
      <c r="O701" t="s">
        <v>1132</v>
      </c>
      <c r="P701" t="str">
        <f>IFERROR(VLOOKUP(F701,Sheet1!$A$2:$B$54,2,FALSE),"")</f>
        <v/>
      </c>
    </row>
    <row r="702" spans="1:16" x14ac:dyDescent="0.2">
      <c r="A702" s="1">
        <v>2019</v>
      </c>
      <c r="B702" t="s">
        <v>84</v>
      </c>
      <c r="C702" s="10" t="s">
        <v>1678</v>
      </c>
      <c r="D702" s="10" t="s">
        <v>1679</v>
      </c>
      <c r="E702" s="10" t="s">
        <v>1682</v>
      </c>
      <c r="F702" t="s">
        <v>581</v>
      </c>
      <c r="G702" s="4">
        <v>6826</v>
      </c>
      <c r="H702" s="4"/>
      <c r="I702" s="4"/>
      <c r="J702" s="4">
        <f>SUM(G702:I702)</f>
        <v>6826</v>
      </c>
      <c r="K702" t="s">
        <v>1659</v>
      </c>
      <c r="L702" t="s">
        <v>1659</v>
      </c>
      <c r="M702" t="s">
        <v>1106</v>
      </c>
      <c r="N702" t="s">
        <v>1132</v>
      </c>
      <c r="O702" t="s">
        <v>1132</v>
      </c>
      <c r="P702" t="str">
        <f>IFERROR(VLOOKUP(F702,Sheet1!$A$2:$B$54,2,FALSE),"")</f>
        <v/>
      </c>
    </row>
    <row r="703" spans="1:16" x14ac:dyDescent="0.2">
      <c r="A703" s="1">
        <v>2020</v>
      </c>
      <c r="B703" t="s">
        <v>84</v>
      </c>
      <c r="C703" s="10" t="s">
        <v>1678</v>
      </c>
      <c r="D703" s="10" t="s">
        <v>1679</v>
      </c>
      <c r="E703" s="10" t="s">
        <v>1682</v>
      </c>
      <c r="F703" t="s">
        <v>581</v>
      </c>
      <c r="G703" s="4">
        <v>7285</v>
      </c>
      <c r="H703" s="4"/>
      <c r="I703" s="4"/>
      <c r="J703" s="4">
        <f>SUM(G703:I703)</f>
        <v>7285</v>
      </c>
      <c r="K703" t="s">
        <v>1659</v>
      </c>
      <c r="L703" t="s">
        <v>1659</v>
      </c>
      <c r="M703" t="s">
        <v>1106</v>
      </c>
      <c r="N703" t="s">
        <v>1132</v>
      </c>
      <c r="O703" t="s">
        <v>1132</v>
      </c>
      <c r="P703" t="str">
        <f>IFERROR(VLOOKUP(F703,Sheet1!$A$2:$B$54,2,FALSE),"")</f>
        <v/>
      </c>
    </row>
    <row r="704" spans="1:16" x14ac:dyDescent="0.2">
      <c r="A704" s="1">
        <v>2021</v>
      </c>
      <c r="B704" t="s">
        <v>84</v>
      </c>
      <c r="C704" s="10" t="s">
        <v>1678</v>
      </c>
      <c r="D704" s="10" t="s">
        <v>1679</v>
      </c>
      <c r="E704" s="10" t="s">
        <v>1682</v>
      </c>
      <c r="F704" t="s">
        <v>581</v>
      </c>
      <c r="G704" s="4">
        <v>7878</v>
      </c>
      <c r="H704" s="4"/>
      <c r="I704" s="4"/>
      <c r="J704" s="4">
        <f>SUM(G704:I704)</f>
        <v>7878</v>
      </c>
      <c r="K704" t="s">
        <v>1659</v>
      </c>
      <c r="L704" t="s">
        <v>1659</v>
      </c>
      <c r="M704" t="s">
        <v>581</v>
      </c>
      <c r="N704" t="s">
        <v>1132</v>
      </c>
      <c r="O704" t="s">
        <v>1132</v>
      </c>
      <c r="P704" t="str">
        <f>IFERROR(VLOOKUP(F704,Sheet1!$A$2:$B$54,2,FALSE),"")</f>
        <v/>
      </c>
    </row>
    <row r="705" spans="1:16" x14ac:dyDescent="0.2">
      <c r="A705" s="1">
        <v>2022</v>
      </c>
      <c r="B705" t="s">
        <v>84</v>
      </c>
      <c r="C705" s="10" t="s">
        <v>1678</v>
      </c>
      <c r="D705" s="10" t="s">
        <v>1679</v>
      </c>
      <c r="E705" s="10" t="s">
        <v>1682</v>
      </c>
      <c r="F705" t="s">
        <v>581</v>
      </c>
      <c r="G705" s="4">
        <v>8921</v>
      </c>
      <c r="H705" s="4"/>
      <c r="I705" s="4"/>
      <c r="J705" s="4">
        <f>SUM(G705:I705)</f>
        <v>8921</v>
      </c>
      <c r="K705" t="s">
        <v>1659</v>
      </c>
      <c r="L705" t="s">
        <v>1659</v>
      </c>
      <c r="M705" t="s">
        <v>581</v>
      </c>
      <c r="N705" t="s">
        <v>1132</v>
      </c>
      <c r="O705" t="s">
        <v>1132</v>
      </c>
      <c r="P705" t="str">
        <f>IFERROR(VLOOKUP(F705,Sheet1!$A$2:$B$54,2,FALSE),"")</f>
        <v/>
      </c>
    </row>
    <row r="706" spans="1:16" x14ac:dyDescent="0.2">
      <c r="A706" s="1">
        <v>2023</v>
      </c>
      <c r="B706" t="s">
        <v>84</v>
      </c>
      <c r="C706" s="10" t="s">
        <v>1678</v>
      </c>
      <c r="D706" s="10" t="s">
        <v>1679</v>
      </c>
      <c r="E706" s="10" t="s">
        <v>1682</v>
      </c>
      <c r="F706" t="s">
        <v>581</v>
      </c>
      <c r="G706" s="4">
        <v>3720</v>
      </c>
      <c r="H706" s="4"/>
      <c r="I706" s="4"/>
      <c r="J706" s="4">
        <f>SUM(G706:I706)</f>
        <v>3720</v>
      </c>
      <c r="K706" t="s">
        <v>1659</v>
      </c>
      <c r="L706" t="s">
        <v>1659</v>
      </c>
      <c r="M706" t="s">
        <v>581</v>
      </c>
      <c r="N706" t="s">
        <v>1132</v>
      </c>
      <c r="O706" t="s">
        <v>1132</v>
      </c>
      <c r="P706" t="str">
        <f>IFERROR(VLOOKUP(F706,Sheet1!$A$2:$B$54,2,FALSE),"")</f>
        <v/>
      </c>
    </row>
    <row r="707" spans="1:16" x14ac:dyDescent="0.2">
      <c r="A707" s="1">
        <v>2015</v>
      </c>
      <c r="B707" t="s">
        <v>85</v>
      </c>
      <c r="C707" s="10" t="s">
        <v>1678</v>
      </c>
      <c r="D707" s="10" t="s">
        <v>1679</v>
      </c>
      <c r="E707" s="10" t="s">
        <v>1682</v>
      </c>
      <c r="F707" t="s">
        <v>582</v>
      </c>
      <c r="G707" s="4">
        <v>50947</v>
      </c>
      <c r="H707" s="4"/>
      <c r="I707" s="4"/>
      <c r="J707" s="4">
        <f>SUM(G707:I707)</f>
        <v>50947</v>
      </c>
      <c r="K707" t="s">
        <v>1659</v>
      </c>
      <c r="L707" t="s">
        <v>1659</v>
      </c>
      <c r="M707" t="s">
        <v>1107</v>
      </c>
      <c r="N707" t="s">
        <v>1132</v>
      </c>
      <c r="O707" t="s">
        <v>1132</v>
      </c>
      <c r="P707" t="str">
        <f>IFERROR(VLOOKUP(F707,Sheet1!$A$2:$B$54,2,FALSE),"")</f>
        <v/>
      </c>
    </row>
    <row r="708" spans="1:16" x14ac:dyDescent="0.2">
      <c r="A708" s="1">
        <v>2016</v>
      </c>
      <c r="B708" t="s">
        <v>85</v>
      </c>
      <c r="C708" s="10" t="s">
        <v>1678</v>
      </c>
      <c r="D708" s="10" t="s">
        <v>1679</v>
      </c>
      <c r="E708" s="10" t="s">
        <v>1682</v>
      </c>
      <c r="F708" t="s">
        <v>582</v>
      </c>
      <c r="G708" s="4">
        <v>67615</v>
      </c>
      <c r="H708" s="4"/>
      <c r="I708" s="4"/>
      <c r="J708" s="4">
        <f>SUM(G708:I708)</f>
        <v>67615</v>
      </c>
      <c r="K708" t="s">
        <v>1659</v>
      </c>
      <c r="L708" t="s">
        <v>1659</v>
      </c>
      <c r="M708" t="s">
        <v>1107</v>
      </c>
      <c r="N708" t="s">
        <v>1132</v>
      </c>
      <c r="O708" t="s">
        <v>1132</v>
      </c>
      <c r="P708" t="str">
        <f>IFERROR(VLOOKUP(F708,Sheet1!$A$2:$B$54,2,FALSE),"")</f>
        <v/>
      </c>
    </row>
    <row r="709" spans="1:16" x14ac:dyDescent="0.2">
      <c r="A709" s="1">
        <v>2017</v>
      </c>
      <c r="B709" t="s">
        <v>85</v>
      </c>
      <c r="C709" s="10" t="s">
        <v>1678</v>
      </c>
      <c r="D709" s="10" t="s">
        <v>1679</v>
      </c>
      <c r="E709" s="10" t="s">
        <v>1682</v>
      </c>
      <c r="F709" t="s">
        <v>582</v>
      </c>
      <c r="G709" s="4">
        <v>96661</v>
      </c>
      <c r="H709" s="4"/>
      <c r="I709" s="4"/>
      <c r="J709" s="4">
        <f>SUM(G709:I709)</f>
        <v>96661</v>
      </c>
      <c r="K709" t="s">
        <v>1659</v>
      </c>
      <c r="L709" t="s">
        <v>1659</v>
      </c>
      <c r="M709" t="s">
        <v>1107</v>
      </c>
      <c r="N709" t="s">
        <v>1132</v>
      </c>
      <c r="O709" t="s">
        <v>1132</v>
      </c>
      <c r="P709" t="str">
        <f>IFERROR(VLOOKUP(F709,Sheet1!$A$2:$B$54,2,FALSE),"")</f>
        <v/>
      </c>
    </row>
    <row r="710" spans="1:16" x14ac:dyDescent="0.2">
      <c r="A710" s="1">
        <v>2018</v>
      </c>
      <c r="B710" t="s">
        <v>85</v>
      </c>
      <c r="C710" s="10" t="s">
        <v>1678</v>
      </c>
      <c r="D710" s="10" t="s">
        <v>1679</v>
      </c>
      <c r="E710" s="10" t="s">
        <v>1682</v>
      </c>
      <c r="F710" t="s">
        <v>582</v>
      </c>
      <c r="G710" s="4">
        <v>106482</v>
      </c>
      <c r="H710" s="4"/>
      <c r="I710" s="4"/>
      <c r="J710" s="4">
        <f>SUM(G710:I710)</f>
        <v>106482</v>
      </c>
      <c r="K710" t="s">
        <v>1659</v>
      </c>
      <c r="L710" t="s">
        <v>1659</v>
      </c>
      <c r="M710" t="s">
        <v>1107</v>
      </c>
      <c r="N710" t="s">
        <v>1132</v>
      </c>
      <c r="O710" t="s">
        <v>1132</v>
      </c>
      <c r="P710" t="str">
        <f>IFERROR(VLOOKUP(F710,Sheet1!$A$2:$B$54,2,FALSE),"")</f>
        <v/>
      </c>
    </row>
    <row r="711" spans="1:16" x14ac:dyDescent="0.2">
      <c r="A711" s="1">
        <v>2019</v>
      </c>
      <c r="B711" t="s">
        <v>85</v>
      </c>
      <c r="C711" s="10" t="s">
        <v>1678</v>
      </c>
      <c r="D711" s="10" t="s">
        <v>1679</v>
      </c>
      <c r="E711" s="10" t="s">
        <v>1682</v>
      </c>
      <c r="F711" t="s">
        <v>582</v>
      </c>
      <c r="G711" s="4">
        <v>125925</v>
      </c>
      <c r="H711" s="4"/>
      <c r="I711" s="4"/>
      <c r="J711" s="4">
        <f>SUM(G711:I711)</f>
        <v>125925</v>
      </c>
      <c r="K711" t="s">
        <v>1659</v>
      </c>
      <c r="L711" t="s">
        <v>1659</v>
      </c>
      <c r="M711" t="s">
        <v>1107</v>
      </c>
      <c r="N711" t="s">
        <v>1132</v>
      </c>
      <c r="O711" t="s">
        <v>1132</v>
      </c>
      <c r="P711" t="str">
        <f>IFERROR(VLOOKUP(F711,Sheet1!$A$2:$B$54,2,FALSE),"")</f>
        <v/>
      </c>
    </row>
    <row r="712" spans="1:16" x14ac:dyDescent="0.2">
      <c r="A712" s="1">
        <v>2020</v>
      </c>
      <c r="B712" t="s">
        <v>85</v>
      </c>
      <c r="C712" s="10" t="s">
        <v>1678</v>
      </c>
      <c r="D712" s="10" t="s">
        <v>1679</v>
      </c>
      <c r="E712" s="10" t="s">
        <v>1682</v>
      </c>
      <c r="F712" t="s">
        <v>582</v>
      </c>
      <c r="G712" s="4">
        <v>132481</v>
      </c>
      <c r="H712" s="4"/>
      <c r="I712" s="4"/>
      <c r="J712" s="4">
        <f>SUM(G712:I712)</f>
        <v>132481</v>
      </c>
      <c r="K712" t="s">
        <v>1659</v>
      </c>
      <c r="L712" t="s">
        <v>1659</v>
      </c>
      <c r="M712" t="s">
        <v>1107</v>
      </c>
      <c r="N712" t="s">
        <v>1132</v>
      </c>
      <c r="O712" t="s">
        <v>1132</v>
      </c>
      <c r="P712" t="str">
        <f>IFERROR(VLOOKUP(F712,Sheet1!$A$2:$B$54,2,FALSE),"")</f>
        <v/>
      </c>
    </row>
    <row r="713" spans="1:16" x14ac:dyDescent="0.2">
      <c r="A713" s="1">
        <v>2021</v>
      </c>
      <c r="B713" t="s">
        <v>85</v>
      </c>
      <c r="C713" s="10" t="s">
        <v>1678</v>
      </c>
      <c r="D713" s="10" t="s">
        <v>1679</v>
      </c>
      <c r="E713" s="10" t="s">
        <v>1682</v>
      </c>
      <c r="F713" t="s">
        <v>582</v>
      </c>
      <c r="G713" s="4">
        <v>158789</v>
      </c>
      <c r="H713" s="4"/>
      <c r="I713" s="4"/>
      <c r="J713" s="4">
        <f>SUM(G713:I713)</f>
        <v>158789</v>
      </c>
      <c r="K713" t="s">
        <v>1659</v>
      </c>
      <c r="L713" t="s">
        <v>1659</v>
      </c>
      <c r="M713" t="s">
        <v>582</v>
      </c>
      <c r="N713" t="s">
        <v>1132</v>
      </c>
      <c r="O713" t="s">
        <v>1132</v>
      </c>
      <c r="P713" t="str">
        <f>IFERROR(VLOOKUP(F713,Sheet1!$A$2:$B$54,2,FALSE),"")</f>
        <v/>
      </c>
    </row>
    <row r="714" spans="1:16" x14ac:dyDescent="0.2">
      <c r="A714" s="1">
        <v>2022</v>
      </c>
      <c r="B714" t="s">
        <v>85</v>
      </c>
      <c r="C714" s="10" t="s">
        <v>1678</v>
      </c>
      <c r="D714" s="10" t="s">
        <v>1679</v>
      </c>
      <c r="E714" s="10" t="s">
        <v>1682</v>
      </c>
      <c r="F714" t="s">
        <v>582</v>
      </c>
      <c r="G714" s="4">
        <v>227324</v>
      </c>
      <c r="H714" s="4"/>
      <c r="I714" s="4"/>
      <c r="J714" s="4">
        <f>SUM(G714:I714)</f>
        <v>227324</v>
      </c>
      <c r="K714" t="s">
        <v>1659</v>
      </c>
      <c r="L714" t="s">
        <v>1659</v>
      </c>
      <c r="M714" t="s">
        <v>582</v>
      </c>
      <c r="N714" t="s">
        <v>1132</v>
      </c>
      <c r="O714" t="s">
        <v>1132</v>
      </c>
      <c r="P714" t="str">
        <f>IFERROR(VLOOKUP(F714,Sheet1!$A$2:$B$54,2,FALSE),"")</f>
        <v/>
      </c>
    </row>
    <row r="715" spans="1:16" x14ac:dyDescent="0.2">
      <c r="A715" s="1">
        <v>2023</v>
      </c>
      <c r="B715" t="s">
        <v>85</v>
      </c>
      <c r="C715" s="10" t="s">
        <v>1678</v>
      </c>
      <c r="D715" s="10" t="s">
        <v>1679</v>
      </c>
      <c r="E715" s="10" t="s">
        <v>1682</v>
      </c>
      <c r="F715" t="s">
        <v>582</v>
      </c>
      <c r="G715" s="4">
        <v>233207</v>
      </c>
      <c r="H715" s="4"/>
      <c r="I715" s="4"/>
      <c r="J715" s="4">
        <f>SUM(G715:I715)</f>
        <v>233207</v>
      </c>
      <c r="K715" t="s">
        <v>1659</v>
      </c>
      <c r="L715" t="s">
        <v>1659</v>
      </c>
      <c r="M715" t="s">
        <v>582</v>
      </c>
      <c r="N715" t="s">
        <v>1132</v>
      </c>
      <c r="O715" t="s">
        <v>1132</v>
      </c>
      <c r="P715" t="str">
        <f>IFERROR(VLOOKUP(F715,Sheet1!$A$2:$B$54,2,FALSE),"")</f>
        <v/>
      </c>
    </row>
    <row r="716" spans="1:16" x14ac:dyDescent="0.2">
      <c r="A716" s="1">
        <v>2015</v>
      </c>
      <c r="B716" t="s">
        <v>86</v>
      </c>
      <c r="C716" s="10" t="s">
        <v>1678</v>
      </c>
      <c r="D716" s="10" t="s">
        <v>1679</v>
      </c>
      <c r="E716" s="10" t="s">
        <v>1682</v>
      </c>
      <c r="F716" t="s">
        <v>583</v>
      </c>
      <c r="G716" s="4">
        <v>2065</v>
      </c>
      <c r="H716" s="4"/>
      <c r="I716" s="4"/>
      <c r="J716" s="4">
        <f>SUM(G716:I716)</f>
        <v>2065</v>
      </c>
      <c r="K716" t="s">
        <v>1659</v>
      </c>
      <c r="L716" t="s">
        <v>1659</v>
      </c>
      <c r="M716" t="s">
        <v>1108</v>
      </c>
      <c r="N716" t="s">
        <v>1132</v>
      </c>
      <c r="O716" t="s">
        <v>1132</v>
      </c>
      <c r="P716" t="str">
        <f>IFERROR(VLOOKUP(F716,Sheet1!$A$2:$B$54,2,FALSE),"")</f>
        <v/>
      </c>
    </row>
    <row r="717" spans="1:16" x14ac:dyDescent="0.2">
      <c r="A717" s="1">
        <v>2016</v>
      </c>
      <c r="B717" t="s">
        <v>86</v>
      </c>
      <c r="C717" s="10" t="s">
        <v>1678</v>
      </c>
      <c r="D717" s="10" t="s">
        <v>1679</v>
      </c>
      <c r="E717" s="10" t="s">
        <v>1682</v>
      </c>
      <c r="F717" t="s">
        <v>583</v>
      </c>
      <c r="G717" s="4">
        <v>1892</v>
      </c>
      <c r="H717" s="4"/>
      <c r="I717" s="4"/>
      <c r="J717" s="4">
        <f>SUM(G717:I717)</f>
        <v>1892</v>
      </c>
      <c r="K717" t="s">
        <v>1659</v>
      </c>
      <c r="L717" t="s">
        <v>1659</v>
      </c>
      <c r="M717" t="s">
        <v>1108</v>
      </c>
      <c r="N717" t="s">
        <v>1132</v>
      </c>
      <c r="O717" t="s">
        <v>1132</v>
      </c>
      <c r="P717" t="str">
        <f>IFERROR(VLOOKUP(F717,Sheet1!$A$2:$B$54,2,FALSE),"")</f>
        <v/>
      </c>
    </row>
    <row r="718" spans="1:16" x14ac:dyDescent="0.2">
      <c r="A718" s="1">
        <v>2017</v>
      </c>
      <c r="B718" t="s">
        <v>86</v>
      </c>
      <c r="C718" s="10" t="s">
        <v>1678</v>
      </c>
      <c r="D718" s="10" t="s">
        <v>1679</v>
      </c>
      <c r="E718" s="10" t="s">
        <v>1682</v>
      </c>
      <c r="F718" t="s">
        <v>583</v>
      </c>
      <c r="G718" s="4">
        <v>2623</v>
      </c>
      <c r="H718" s="4"/>
      <c r="I718" s="4"/>
      <c r="J718" s="4">
        <f>SUM(G718:I718)</f>
        <v>2623</v>
      </c>
      <c r="K718" t="s">
        <v>1659</v>
      </c>
      <c r="L718" t="s">
        <v>1659</v>
      </c>
      <c r="M718" t="s">
        <v>1108</v>
      </c>
      <c r="N718" t="s">
        <v>1132</v>
      </c>
      <c r="O718" t="s">
        <v>1132</v>
      </c>
      <c r="P718" t="str">
        <f>IFERROR(VLOOKUP(F718,Sheet1!$A$2:$B$54,2,FALSE),"")</f>
        <v/>
      </c>
    </row>
    <row r="719" spans="1:16" x14ac:dyDescent="0.2">
      <c r="A719" s="1">
        <v>2018</v>
      </c>
      <c r="B719" t="s">
        <v>86</v>
      </c>
      <c r="C719" s="10" t="s">
        <v>1678</v>
      </c>
      <c r="D719" s="10" t="s">
        <v>1679</v>
      </c>
      <c r="E719" s="10" t="s">
        <v>1682</v>
      </c>
      <c r="F719" t="s">
        <v>583</v>
      </c>
      <c r="G719" s="4">
        <v>2755</v>
      </c>
      <c r="H719" s="4"/>
      <c r="I719" s="4"/>
      <c r="J719" s="4">
        <f>SUM(G719:I719)</f>
        <v>2755</v>
      </c>
      <c r="K719" t="s">
        <v>1659</v>
      </c>
      <c r="L719" t="s">
        <v>1659</v>
      </c>
      <c r="M719" t="s">
        <v>1108</v>
      </c>
      <c r="N719" t="s">
        <v>1132</v>
      </c>
      <c r="O719" t="s">
        <v>1132</v>
      </c>
      <c r="P719" t="str">
        <f>IFERROR(VLOOKUP(F719,Sheet1!$A$2:$B$54,2,FALSE),"")</f>
        <v/>
      </c>
    </row>
    <row r="720" spans="1:16" x14ac:dyDescent="0.2">
      <c r="A720" s="1">
        <v>2019</v>
      </c>
      <c r="B720" t="s">
        <v>86</v>
      </c>
      <c r="C720" s="10" t="s">
        <v>1678</v>
      </c>
      <c r="D720" s="10" t="s">
        <v>1679</v>
      </c>
      <c r="E720" s="10" t="s">
        <v>1682</v>
      </c>
      <c r="F720" t="s">
        <v>583</v>
      </c>
      <c r="G720" s="4">
        <v>2273</v>
      </c>
      <c r="H720" s="4"/>
      <c r="I720" s="4"/>
      <c r="J720" s="4">
        <f>SUM(G720:I720)</f>
        <v>2273</v>
      </c>
      <c r="K720" t="s">
        <v>1659</v>
      </c>
      <c r="L720" t="s">
        <v>1659</v>
      </c>
      <c r="M720" t="s">
        <v>1108</v>
      </c>
      <c r="N720" t="s">
        <v>1132</v>
      </c>
      <c r="O720" t="s">
        <v>1132</v>
      </c>
      <c r="P720" t="str">
        <f>IFERROR(VLOOKUP(F720,Sheet1!$A$2:$B$54,2,FALSE),"")</f>
        <v/>
      </c>
    </row>
    <row r="721" spans="1:16" x14ac:dyDescent="0.2">
      <c r="A721" s="1">
        <v>2020</v>
      </c>
      <c r="B721" t="s">
        <v>86</v>
      </c>
      <c r="C721" s="10" t="s">
        <v>1678</v>
      </c>
      <c r="D721" s="10" t="s">
        <v>1679</v>
      </c>
      <c r="E721" s="10" t="s">
        <v>1682</v>
      </c>
      <c r="F721" t="s">
        <v>583</v>
      </c>
      <c r="G721" s="4">
        <v>2772</v>
      </c>
      <c r="H721" s="4"/>
      <c r="I721" s="4"/>
      <c r="J721" s="4">
        <f>SUM(G721:I721)</f>
        <v>2772</v>
      </c>
      <c r="K721" t="s">
        <v>1659</v>
      </c>
      <c r="L721" t="s">
        <v>1659</v>
      </c>
      <c r="M721" t="s">
        <v>1108</v>
      </c>
      <c r="N721" t="s">
        <v>1132</v>
      </c>
      <c r="O721" t="s">
        <v>1132</v>
      </c>
      <c r="P721" t="str">
        <f>IFERROR(VLOOKUP(F721,Sheet1!$A$2:$B$54,2,FALSE),"")</f>
        <v/>
      </c>
    </row>
    <row r="722" spans="1:16" x14ac:dyDescent="0.2">
      <c r="A722" s="1">
        <v>2021</v>
      </c>
      <c r="B722" t="s">
        <v>86</v>
      </c>
      <c r="C722" s="10" t="s">
        <v>1678</v>
      </c>
      <c r="D722" s="10" t="s">
        <v>1679</v>
      </c>
      <c r="E722" s="10" t="s">
        <v>1682</v>
      </c>
      <c r="F722" t="s">
        <v>583</v>
      </c>
      <c r="G722" s="4">
        <v>2183</v>
      </c>
      <c r="H722" s="4"/>
      <c r="I722" s="4"/>
      <c r="J722" s="4">
        <f>SUM(G722:I722)</f>
        <v>2183</v>
      </c>
      <c r="K722" t="s">
        <v>1659</v>
      </c>
      <c r="L722" t="s">
        <v>1659</v>
      </c>
      <c r="M722" t="s">
        <v>583</v>
      </c>
      <c r="N722" t="s">
        <v>1132</v>
      </c>
      <c r="O722" t="s">
        <v>1132</v>
      </c>
      <c r="P722" t="str">
        <f>IFERROR(VLOOKUP(F722,Sheet1!$A$2:$B$54,2,FALSE),"")</f>
        <v/>
      </c>
    </row>
    <row r="723" spans="1:16" x14ac:dyDescent="0.2">
      <c r="A723" s="1">
        <v>2022</v>
      </c>
      <c r="B723" t="s">
        <v>86</v>
      </c>
      <c r="C723" s="10" t="s">
        <v>1678</v>
      </c>
      <c r="D723" s="10" t="s">
        <v>1679</v>
      </c>
      <c r="E723" s="10" t="s">
        <v>1682</v>
      </c>
      <c r="F723" t="s">
        <v>583</v>
      </c>
      <c r="G723" s="4">
        <v>3222</v>
      </c>
      <c r="H723" s="4"/>
      <c r="I723" s="4"/>
      <c r="J723" s="4">
        <f>SUM(G723:I723)</f>
        <v>3222</v>
      </c>
      <c r="K723" t="s">
        <v>1659</v>
      </c>
      <c r="L723" t="s">
        <v>1659</v>
      </c>
      <c r="M723" t="s">
        <v>583</v>
      </c>
      <c r="N723" t="s">
        <v>1132</v>
      </c>
      <c r="O723" t="s">
        <v>1132</v>
      </c>
      <c r="P723" t="str">
        <f>IFERROR(VLOOKUP(F723,Sheet1!$A$2:$B$54,2,FALSE),"")</f>
        <v/>
      </c>
    </row>
    <row r="724" spans="1:16" x14ac:dyDescent="0.2">
      <c r="A724" s="1">
        <v>2023</v>
      </c>
      <c r="B724" t="s">
        <v>86</v>
      </c>
      <c r="C724" s="10" t="s">
        <v>1678</v>
      </c>
      <c r="D724" s="10" t="s">
        <v>1679</v>
      </c>
      <c r="E724" s="10" t="s">
        <v>1682</v>
      </c>
      <c r="F724" t="s">
        <v>583</v>
      </c>
      <c r="G724" s="4">
        <v>380</v>
      </c>
      <c r="H724" s="4"/>
      <c r="I724" s="4"/>
      <c r="J724" s="4">
        <f>SUM(G724:I724)</f>
        <v>380</v>
      </c>
      <c r="K724" t="s">
        <v>1660</v>
      </c>
      <c r="L724" t="s">
        <v>1659</v>
      </c>
      <c r="M724" t="s">
        <v>583</v>
      </c>
      <c r="N724" t="s">
        <v>583</v>
      </c>
      <c r="O724" t="s">
        <v>1132</v>
      </c>
      <c r="P724" t="str">
        <f>IFERROR(VLOOKUP(F724,Sheet1!$A$2:$B$54,2,FALSE),"")</f>
        <v/>
      </c>
    </row>
    <row r="725" spans="1:16" x14ac:dyDescent="0.2">
      <c r="A725" s="1">
        <v>2015</v>
      </c>
      <c r="B725" t="s">
        <v>87</v>
      </c>
      <c r="C725" s="10" t="s">
        <v>1678</v>
      </c>
      <c r="D725" s="10" t="s">
        <v>1679</v>
      </c>
      <c r="E725" s="10" t="s">
        <v>1682</v>
      </c>
      <c r="F725" t="s">
        <v>584</v>
      </c>
      <c r="G725" s="4">
        <v>11242</v>
      </c>
      <c r="H725" s="4"/>
      <c r="I725" s="4"/>
      <c r="J725" s="4">
        <f>SUM(G725:I725)</f>
        <v>11242</v>
      </c>
      <c r="K725" t="s">
        <v>1659</v>
      </c>
      <c r="L725" t="s">
        <v>1659</v>
      </c>
      <c r="M725" t="s">
        <v>1109</v>
      </c>
      <c r="N725" t="s">
        <v>1132</v>
      </c>
      <c r="O725" t="s">
        <v>1132</v>
      </c>
      <c r="P725" t="str">
        <f>IFERROR(VLOOKUP(F725,Sheet1!$A$2:$B$54,2,FALSE),"")</f>
        <v/>
      </c>
    </row>
    <row r="726" spans="1:16" x14ac:dyDescent="0.2">
      <c r="A726" s="1">
        <v>2016</v>
      </c>
      <c r="B726" t="s">
        <v>87</v>
      </c>
      <c r="C726" s="10" t="s">
        <v>1678</v>
      </c>
      <c r="D726" s="10" t="s">
        <v>1679</v>
      </c>
      <c r="E726" s="10" t="s">
        <v>1682</v>
      </c>
      <c r="F726" t="s">
        <v>584</v>
      </c>
      <c r="G726" s="4">
        <v>19084</v>
      </c>
      <c r="H726" s="4"/>
      <c r="I726" s="4"/>
      <c r="J726" s="4">
        <f>SUM(G726:I726)</f>
        <v>19084</v>
      </c>
      <c r="K726" t="s">
        <v>1659</v>
      </c>
      <c r="L726" t="s">
        <v>1659</v>
      </c>
      <c r="M726" t="s">
        <v>1109</v>
      </c>
      <c r="N726" t="s">
        <v>1132</v>
      </c>
      <c r="O726" t="s">
        <v>1132</v>
      </c>
      <c r="P726" t="str">
        <f>IFERROR(VLOOKUP(F726,Sheet1!$A$2:$B$54,2,FALSE),"")</f>
        <v/>
      </c>
    </row>
    <row r="727" spans="1:16" x14ac:dyDescent="0.2">
      <c r="A727" s="1">
        <v>2017</v>
      </c>
      <c r="B727" t="s">
        <v>87</v>
      </c>
      <c r="C727" s="10" t="s">
        <v>1678</v>
      </c>
      <c r="D727" s="10" t="s">
        <v>1679</v>
      </c>
      <c r="E727" s="10" t="s">
        <v>1682</v>
      </c>
      <c r="F727" t="s">
        <v>584</v>
      </c>
      <c r="G727" s="4">
        <v>22246</v>
      </c>
      <c r="H727" s="4"/>
      <c r="I727" s="4"/>
      <c r="J727" s="4">
        <f>SUM(G727:I727)</f>
        <v>22246</v>
      </c>
      <c r="K727" t="s">
        <v>1659</v>
      </c>
      <c r="L727" t="s">
        <v>1659</v>
      </c>
      <c r="M727" t="s">
        <v>1109</v>
      </c>
      <c r="N727" t="s">
        <v>1132</v>
      </c>
      <c r="O727" t="s">
        <v>1132</v>
      </c>
      <c r="P727" t="str">
        <f>IFERROR(VLOOKUP(F727,Sheet1!$A$2:$B$54,2,FALSE),"")</f>
        <v/>
      </c>
    </row>
    <row r="728" spans="1:16" x14ac:dyDescent="0.2">
      <c r="A728" s="1">
        <v>2018</v>
      </c>
      <c r="B728" t="s">
        <v>87</v>
      </c>
      <c r="C728" s="10" t="s">
        <v>1678</v>
      </c>
      <c r="D728" s="10" t="s">
        <v>1679</v>
      </c>
      <c r="E728" s="10" t="s">
        <v>1682</v>
      </c>
      <c r="F728" t="s">
        <v>584</v>
      </c>
      <c r="G728" s="4">
        <v>29508</v>
      </c>
      <c r="H728" s="4"/>
      <c r="I728" s="4"/>
      <c r="J728" s="4">
        <f>SUM(G728:I728)</f>
        <v>29508</v>
      </c>
      <c r="K728" t="s">
        <v>1659</v>
      </c>
      <c r="L728" t="s">
        <v>1659</v>
      </c>
      <c r="M728" t="s">
        <v>1109</v>
      </c>
      <c r="N728" t="s">
        <v>1132</v>
      </c>
      <c r="O728" t="s">
        <v>1132</v>
      </c>
      <c r="P728" t="str">
        <f>IFERROR(VLOOKUP(F728,Sheet1!$A$2:$B$54,2,FALSE),"")</f>
        <v/>
      </c>
    </row>
    <row r="729" spans="1:16" x14ac:dyDescent="0.2">
      <c r="A729" s="1">
        <v>2019</v>
      </c>
      <c r="B729" t="s">
        <v>87</v>
      </c>
      <c r="C729" s="10" t="s">
        <v>1678</v>
      </c>
      <c r="D729" s="10" t="s">
        <v>1679</v>
      </c>
      <c r="E729" s="10" t="s">
        <v>1682</v>
      </c>
      <c r="F729" t="s">
        <v>584</v>
      </c>
      <c r="G729" s="4">
        <v>35665</v>
      </c>
      <c r="H729" s="4"/>
      <c r="I729" s="4"/>
      <c r="J729" s="4">
        <f>SUM(G729:I729)</f>
        <v>35665</v>
      </c>
      <c r="K729" t="s">
        <v>1659</v>
      </c>
      <c r="L729" t="s">
        <v>1659</v>
      </c>
      <c r="M729" t="s">
        <v>1109</v>
      </c>
      <c r="N729" t="s">
        <v>1132</v>
      </c>
      <c r="O729" t="s">
        <v>1132</v>
      </c>
      <c r="P729" t="str">
        <f>IFERROR(VLOOKUP(F729,Sheet1!$A$2:$B$54,2,FALSE),"")</f>
        <v/>
      </c>
    </row>
    <row r="730" spans="1:16" x14ac:dyDescent="0.2">
      <c r="A730" s="1">
        <v>2020</v>
      </c>
      <c r="B730" t="s">
        <v>87</v>
      </c>
      <c r="C730" s="10" t="s">
        <v>1678</v>
      </c>
      <c r="D730" s="10" t="s">
        <v>1679</v>
      </c>
      <c r="E730" s="10" t="s">
        <v>1682</v>
      </c>
      <c r="F730" t="s">
        <v>584</v>
      </c>
      <c r="G730" s="4">
        <v>35982</v>
      </c>
      <c r="H730" s="4"/>
      <c r="I730" s="4"/>
      <c r="J730" s="4">
        <f>SUM(G730:I730)</f>
        <v>35982</v>
      </c>
      <c r="K730" t="s">
        <v>1659</v>
      </c>
      <c r="L730" t="s">
        <v>1659</v>
      </c>
      <c r="M730" t="s">
        <v>1109</v>
      </c>
      <c r="N730" t="s">
        <v>1132</v>
      </c>
      <c r="O730" t="s">
        <v>1132</v>
      </c>
      <c r="P730" t="str">
        <f>IFERROR(VLOOKUP(F730,Sheet1!$A$2:$B$54,2,FALSE),"")</f>
        <v/>
      </c>
    </row>
    <row r="731" spans="1:16" x14ac:dyDescent="0.2">
      <c r="A731" s="1">
        <v>2021</v>
      </c>
      <c r="B731" t="s">
        <v>87</v>
      </c>
      <c r="C731" s="10" t="s">
        <v>1678</v>
      </c>
      <c r="D731" s="10" t="s">
        <v>1679</v>
      </c>
      <c r="E731" s="10" t="s">
        <v>1682</v>
      </c>
      <c r="F731" t="s">
        <v>584</v>
      </c>
      <c r="G731" s="4">
        <v>43595</v>
      </c>
      <c r="H731" s="4"/>
      <c r="I731" s="4"/>
      <c r="J731" s="4">
        <f>SUM(G731:I731)</f>
        <v>43595</v>
      </c>
      <c r="K731" t="s">
        <v>1659</v>
      </c>
      <c r="L731" t="s">
        <v>1659</v>
      </c>
      <c r="M731" t="s">
        <v>584</v>
      </c>
      <c r="N731" t="s">
        <v>1132</v>
      </c>
      <c r="O731" t="s">
        <v>1132</v>
      </c>
      <c r="P731" t="str">
        <f>IFERROR(VLOOKUP(F731,Sheet1!$A$2:$B$54,2,FALSE),"")</f>
        <v/>
      </c>
    </row>
    <row r="732" spans="1:16" x14ac:dyDescent="0.2">
      <c r="A732" s="1">
        <v>2022</v>
      </c>
      <c r="B732" t="s">
        <v>87</v>
      </c>
      <c r="C732" s="10" t="s">
        <v>1678</v>
      </c>
      <c r="D732" s="10" t="s">
        <v>1679</v>
      </c>
      <c r="E732" s="10" t="s">
        <v>1682</v>
      </c>
      <c r="F732" t="s">
        <v>584</v>
      </c>
      <c r="G732" s="4">
        <v>66950</v>
      </c>
      <c r="H732" s="4"/>
      <c r="I732" s="4"/>
      <c r="J732" s="4">
        <f>SUM(G732:I732)</f>
        <v>66950</v>
      </c>
      <c r="K732" t="s">
        <v>1659</v>
      </c>
      <c r="L732" t="s">
        <v>1659</v>
      </c>
      <c r="M732" t="s">
        <v>584</v>
      </c>
      <c r="N732" t="s">
        <v>1132</v>
      </c>
      <c r="O732" t="s">
        <v>1132</v>
      </c>
      <c r="P732" t="str">
        <f>IFERROR(VLOOKUP(F732,Sheet1!$A$2:$B$54,2,FALSE),"")</f>
        <v/>
      </c>
    </row>
    <row r="733" spans="1:16" x14ac:dyDescent="0.2">
      <c r="A733" s="1">
        <v>2023</v>
      </c>
      <c r="B733" t="s">
        <v>87</v>
      </c>
      <c r="C733" s="10" t="s">
        <v>1678</v>
      </c>
      <c r="D733" s="10" t="s">
        <v>1679</v>
      </c>
      <c r="E733" s="10" t="s">
        <v>1682</v>
      </c>
      <c r="F733" t="s">
        <v>584</v>
      </c>
      <c r="G733" s="4">
        <v>78604</v>
      </c>
      <c r="H733" s="4"/>
      <c r="I733" s="4"/>
      <c r="J733" s="4">
        <f>SUM(G733:I733)</f>
        <v>78604</v>
      </c>
      <c r="K733" t="s">
        <v>1659</v>
      </c>
      <c r="L733" t="s">
        <v>1659</v>
      </c>
      <c r="M733" t="s">
        <v>584</v>
      </c>
      <c r="N733" t="s">
        <v>1132</v>
      </c>
      <c r="O733" t="s">
        <v>1132</v>
      </c>
      <c r="P733" t="str">
        <f>IFERROR(VLOOKUP(F733,Sheet1!$A$2:$B$54,2,FALSE),"")</f>
        <v/>
      </c>
    </row>
    <row r="734" spans="1:16" x14ac:dyDescent="0.2">
      <c r="A734" s="1">
        <v>2015</v>
      </c>
      <c r="B734" t="s">
        <v>88</v>
      </c>
      <c r="C734" s="10" t="s">
        <v>1678</v>
      </c>
      <c r="D734" s="10" t="s">
        <v>1679</v>
      </c>
      <c r="E734" s="10" t="s">
        <v>1682</v>
      </c>
      <c r="F734" t="s">
        <v>585</v>
      </c>
      <c r="G734" s="4">
        <v>7136</v>
      </c>
      <c r="H734" s="4"/>
      <c r="I734" s="4"/>
      <c r="J734" s="4">
        <f>SUM(G734:I734)</f>
        <v>7136</v>
      </c>
      <c r="K734" t="s">
        <v>1659</v>
      </c>
      <c r="L734" t="s">
        <v>1659</v>
      </c>
      <c r="M734" t="s">
        <v>1110</v>
      </c>
      <c r="N734" t="s">
        <v>1132</v>
      </c>
      <c r="O734" t="s">
        <v>1132</v>
      </c>
      <c r="P734" t="str">
        <f>IFERROR(VLOOKUP(F734,Sheet1!$A$2:$B$54,2,FALSE),"")</f>
        <v/>
      </c>
    </row>
    <row r="735" spans="1:16" x14ac:dyDescent="0.2">
      <c r="A735" s="1">
        <v>2016</v>
      </c>
      <c r="B735" t="s">
        <v>88</v>
      </c>
      <c r="C735" s="10" t="s">
        <v>1678</v>
      </c>
      <c r="D735" s="10" t="s">
        <v>1679</v>
      </c>
      <c r="E735" s="10" t="s">
        <v>1682</v>
      </c>
      <c r="F735" t="s">
        <v>585</v>
      </c>
      <c r="G735" s="4">
        <v>8422</v>
      </c>
      <c r="H735" s="4"/>
      <c r="I735" s="4"/>
      <c r="J735" s="4">
        <f>SUM(G735:I735)</f>
        <v>8422</v>
      </c>
      <c r="K735" t="s">
        <v>1659</v>
      </c>
      <c r="L735" t="s">
        <v>1659</v>
      </c>
      <c r="M735" t="s">
        <v>1110</v>
      </c>
      <c r="N735" t="s">
        <v>1132</v>
      </c>
      <c r="O735" t="s">
        <v>1132</v>
      </c>
      <c r="P735" t="str">
        <f>IFERROR(VLOOKUP(F735,Sheet1!$A$2:$B$54,2,FALSE),"")</f>
        <v/>
      </c>
    </row>
    <row r="736" spans="1:16" x14ac:dyDescent="0.2">
      <c r="A736" s="1">
        <v>2017</v>
      </c>
      <c r="B736" t="s">
        <v>88</v>
      </c>
      <c r="C736" s="10" t="s">
        <v>1678</v>
      </c>
      <c r="D736" s="10" t="s">
        <v>1679</v>
      </c>
      <c r="E736" s="10" t="s">
        <v>1682</v>
      </c>
      <c r="F736" t="s">
        <v>585</v>
      </c>
      <c r="G736" s="4">
        <v>9102</v>
      </c>
      <c r="H736" s="4"/>
      <c r="I736" s="4"/>
      <c r="J736" s="4">
        <f>SUM(G736:I736)</f>
        <v>9102</v>
      </c>
      <c r="K736" t="s">
        <v>1659</v>
      </c>
      <c r="L736" t="s">
        <v>1659</v>
      </c>
      <c r="M736" t="s">
        <v>1110</v>
      </c>
      <c r="N736" t="s">
        <v>1132</v>
      </c>
      <c r="O736" t="s">
        <v>1132</v>
      </c>
      <c r="P736" t="str">
        <f>IFERROR(VLOOKUP(F736,Sheet1!$A$2:$B$54,2,FALSE),"")</f>
        <v/>
      </c>
    </row>
    <row r="737" spans="1:16" x14ac:dyDescent="0.2">
      <c r="A737" s="1">
        <v>2018</v>
      </c>
      <c r="B737" t="s">
        <v>88</v>
      </c>
      <c r="C737" s="10" t="s">
        <v>1678</v>
      </c>
      <c r="D737" s="10" t="s">
        <v>1679</v>
      </c>
      <c r="E737" s="10" t="s">
        <v>1682</v>
      </c>
      <c r="F737" t="s">
        <v>585</v>
      </c>
      <c r="G737" s="4">
        <v>9805</v>
      </c>
      <c r="H737" s="4"/>
      <c r="I737" s="4"/>
      <c r="J737" s="4">
        <f>SUM(G737:I737)</f>
        <v>9805</v>
      </c>
      <c r="K737" t="s">
        <v>1659</v>
      </c>
      <c r="L737" t="s">
        <v>1659</v>
      </c>
      <c r="M737" t="s">
        <v>1110</v>
      </c>
      <c r="N737" t="s">
        <v>1132</v>
      </c>
      <c r="O737" t="s">
        <v>1132</v>
      </c>
      <c r="P737" t="str">
        <f>IFERROR(VLOOKUP(F737,Sheet1!$A$2:$B$54,2,FALSE),"")</f>
        <v/>
      </c>
    </row>
    <row r="738" spans="1:16" x14ac:dyDescent="0.2">
      <c r="A738" s="1">
        <v>2019</v>
      </c>
      <c r="B738" t="s">
        <v>88</v>
      </c>
      <c r="C738" s="10" t="s">
        <v>1678</v>
      </c>
      <c r="D738" s="10" t="s">
        <v>1679</v>
      </c>
      <c r="E738" s="10" t="s">
        <v>1682</v>
      </c>
      <c r="F738" t="s">
        <v>585</v>
      </c>
      <c r="G738" s="4">
        <v>9937</v>
      </c>
      <c r="H738" s="4"/>
      <c r="I738" s="4"/>
      <c r="J738" s="4">
        <f>SUM(G738:I738)</f>
        <v>9937</v>
      </c>
      <c r="K738" t="s">
        <v>1659</v>
      </c>
      <c r="L738" t="s">
        <v>1659</v>
      </c>
      <c r="M738" t="s">
        <v>1110</v>
      </c>
      <c r="N738" t="s">
        <v>1132</v>
      </c>
      <c r="O738" t="s">
        <v>1132</v>
      </c>
      <c r="P738" t="str">
        <f>IFERROR(VLOOKUP(F738,Sheet1!$A$2:$B$54,2,FALSE),"")</f>
        <v/>
      </c>
    </row>
    <row r="739" spans="1:16" x14ac:dyDescent="0.2">
      <c r="A739" s="1">
        <v>2020</v>
      </c>
      <c r="B739" t="s">
        <v>88</v>
      </c>
      <c r="C739" s="10" t="s">
        <v>1678</v>
      </c>
      <c r="D739" s="10" t="s">
        <v>1679</v>
      </c>
      <c r="E739" s="10" t="s">
        <v>1682</v>
      </c>
      <c r="F739" t="s">
        <v>585</v>
      </c>
      <c r="G739" s="4">
        <v>13360</v>
      </c>
      <c r="H739" s="4"/>
      <c r="I739" s="4"/>
      <c r="J739" s="4">
        <f>SUM(G739:I739)</f>
        <v>13360</v>
      </c>
      <c r="K739" t="s">
        <v>1659</v>
      </c>
      <c r="L739" t="s">
        <v>1659</v>
      </c>
      <c r="M739" t="s">
        <v>1110</v>
      </c>
      <c r="N739" t="s">
        <v>1132</v>
      </c>
      <c r="O739" t="s">
        <v>1132</v>
      </c>
      <c r="P739" t="str">
        <f>IFERROR(VLOOKUP(F739,Sheet1!$A$2:$B$54,2,FALSE),"")</f>
        <v/>
      </c>
    </row>
    <row r="740" spans="1:16" x14ac:dyDescent="0.2">
      <c r="A740" s="1">
        <v>2021</v>
      </c>
      <c r="B740" t="s">
        <v>88</v>
      </c>
      <c r="C740" s="10" t="s">
        <v>1678</v>
      </c>
      <c r="D740" s="10" t="s">
        <v>1679</v>
      </c>
      <c r="E740" s="10" t="s">
        <v>1682</v>
      </c>
      <c r="F740" t="s">
        <v>585</v>
      </c>
      <c r="G740" s="4">
        <v>14424</v>
      </c>
      <c r="H740" s="4"/>
      <c r="I740" s="4"/>
      <c r="J740" s="4">
        <f>SUM(G740:I740)</f>
        <v>14424</v>
      </c>
      <c r="K740" t="s">
        <v>1659</v>
      </c>
      <c r="L740" t="s">
        <v>1659</v>
      </c>
      <c r="M740" t="s">
        <v>585</v>
      </c>
      <c r="N740" t="s">
        <v>1132</v>
      </c>
      <c r="O740" t="s">
        <v>1132</v>
      </c>
      <c r="P740" t="str">
        <f>IFERROR(VLOOKUP(F740,Sheet1!$A$2:$B$54,2,FALSE),"")</f>
        <v/>
      </c>
    </row>
    <row r="741" spans="1:16" x14ac:dyDescent="0.2">
      <c r="A741" s="1">
        <v>2022</v>
      </c>
      <c r="B741" t="s">
        <v>88</v>
      </c>
      <c r="C741" s="10" t="s">
        <v>1678</v>
      </c>
      <c r="D741" s="10" t="s">
        <v>1679</v>
      </c>
      <c r="E741" s="10" t="s">
        <v>1682</v>
      </c>
      <c r="F741" t="s">
        <v>585</v>
      </c>
      <c r="G741" s="4">
        <v>18419</v>
      </c>
      <c r="H741" s="4"/>
      <c r="I741" s="4"/>
      <c r="J741" s="4">
        <f>SUM(G741:I741)</f>
        <v>18419</v>
      </c>
      <c r="K741" t="s">
        <v>1659</v>
      </c>
      <c r="L741" t="s">
        <v>1659</v>
      </c>
      <c r="M741" t="s">
        <v>585</v>
      </c>
      <c r="N741" t="s">
        <v>1132</v>
      </c>
      <c r="O741" t="s">
        <v>1132</v>
      </c>
      <c r="P741" t="str">
        <f>IFERROR(VLOOKUP(F741,Sheet1!$A$2:$B$54,2,FALSE),"")</f>
        <v/>
      </c>
    </row>
    <row r="742" spans="1:16" x14ac:dyDescent="0.2">
      <c r="A742" s="1">
        <v>2023</v>
      </c>
      <c r="B742" t="s">
        <v>88</v>
      </c>
      <c r="C742" s="10" t="s">
        <v>1678</v>
      </c>
      <c r="D742" s="10" t="s">
        <v>1679</v>
      </c>
      <c r="E742" s="10" t="s">
        <v>1682</v>
      </c>
      <c r="F742" t="s">
        <v>585</v>
      </c>
      <c r="G742" s="4">
        <v>26625</v>
      </c>
      <c r="H742" s="4"/>
      <c r="I742" s="4"/>
      <c r="J742" s="4">
        <f>SUM(G742:I742)</f>
        <v>26625</v>
      </c>
      <c r="K742" t="s">
        <v>1659</v>
      </c>
      <c r="L742" t="s">
        <v>1659</v>
      </c>
      <c r="M742" t="s">
        <v>585</v>
      </c>
      <c r="N742" t="s">
        <v>1132</v>
      </c>
      <c r="O742" t="s">
        <v>1132</v>
      </c>
      <c r="P742" t="str">
        <f>IFERROR(VLOOKUP(F742,Sheet1!$A$2:$B$54,2,FALSE),"")</f>
        <v/>
      </c>
    </row>
    <row r="743" spans="1:16" x14ac:dyDescent="0.2">
      <c r="A743" s="1">
        <v>2015</v>
      </c>
      <c r="B743" t="s">
        <v>89</v>
      </c>
      <c r="C743" s="10" t="s">
        <v>1678</v>
      </c>
      <c r="D743" s="10" t="s">
        <v>1679</v>
      </c>
      <c r="E743" s="10" t="s">
        <v>1682</v>
      </c>
      <c r="F743" t="s">
        <v>586</v>
      </c>
      <c r="G743" s="4">
        <v>1314</v>
      </c>
      <c r="H743" s="4">
        <v>1571</v>
      </c>
      <c r="I743" s="4"/>
      <c r="J743" s="4">
        <f>SUM(G743:I743)</f>
        <v>2885</v>
      </c>
      <c r="K743" t="s">
        <v>1660</v>
      </c>
      <c r="L743" t="s">
        <v>1659</v>
      </c>
      <c r="M743" t="s">
        <v>1111</v>
      </c>
      <c r="N743" t="s">
        <v>1111</v>
      </c>
      <c r="O743" t="s">
        <v>1132</v>
      </c>
      <c r="P743" t="str">
        <f>IFERROR(VLOOKUP(F743,Sheet1!$A$2:$B$54,2,FALSE),"")</f>
        <v/>
      </c>
    </row>
    <row r="744" spans="1:16" x14ac:dyDescent="0.2">
      <c r="A744" s="1">
        <v>2016</v>
      </c>
      <c r="B744" t="s">
        <v>89</v>
      </c>
      <c r="C744" s="10" t="s">
        <v>1678</v>
      </c>
      <c r="D744" s="10" t="s">
        <v>1679</v>
      </c>
      <c r="E744" s="10" t="s">
        <v>1682</v>
      </c>
      <c r="F744" t="s">
        <v>586</v>
      </c>
      <c r="G744" s="4">
        <v>1463</v>
      </c>
      <c r="H744" s="4">
        <v>9437</v>
      </c>
      <c r="I744" s="4"/>
      <c r="J744" s="4">
        <f>SUM(G744:I744)</f>
        <v>10900</v>
      </c>
      <c r="K744" t="s">
        <v>1660</v>
      </c>
      <c r="L744" t="s">
        <v>1659</v>
      </c>
      <c r="M744" t="s">
        <v>1111</v>
      </c>
      <c r="N744" t="s">
        <v>1111</v>
      </c>
      <c r="O744" t="s">
        <v>1132</v>
      </c>
      <c r="P744" t="str">
        <f>IFERROR(VLOOKUP(F744,Sheet1!$A$2:$B$54,2,FALSE),"")</f>
        <v/>
      </c>
    </row>
    <row r="745" spans="1:16" x14ac:dyDescent="0.2">
      <c r="A745" s="1">
        <v>2017</v>
      </c>
      <c r="B745" t="s">
        <v>89</v>
      </c>
      <c r="C745" s="10" t="s">
        <v>1678</v>
      </c>
      <c r="D745" s="10" t="s">
        <v>1679</v>
      </c>
      <c r="E745" s="10" t="s">
        <v>1682</v>
      </c>
      <c r="F745" t="s">
        <v>586</v>
      </c>
      <c r="G745" s="4">
        <v>1524</v>
      </c>
      <c r="H745" s="4">
        <v>17519</v>
      </c>
      <c r="I745" s="4"/>
      <c r="J745" s="4">
        <f>SUM(G745:I745)</f>
        <v>19043</v>
      </c>
      <c r="K745" t="s">
        <v>1660</v>
      </c>
      <c r="L745" t="s">
        <v>1659</v>
      </c>
      <c r="M745" t="s">
        <v>1111</v>
      </c>
      <c r="N745" t="s">
        <v>1111</v>
      </c>
      <c r="O745" t="s">
        <v>1132</v>
      </c>
      <c r="P745" t="str">
        <f>IFERROR(VLOOKUP(F745,Sheet1!$A$2:$B$54,2,FALSE),"")</f>
        <v/>
      </c>
    </row>
    <row r="746" spans="1:16" x14ac:dyDescent="0.2">
      <c r="A746" s="1">
        <v>2018</v>
      </c>
      <c r="B746" t="s">
        <v>89</v>
      </c>
      <c r="C746" s="10" t="s">
        <v>1678</v>
      </c>
      <c r="D746" s="10" t="s">
        <v>1679</v>
      </c>
      <c r="E746" s="10" t="s">
        <v>1682</v>
      </c>
      <c r="F746" t="s">
        <v>586</v>
      </c>
      <c r="G746" s="4">
        <v>1639</v>
      </c>
      <c r="H746" s="4">
        <v>18394</v>
      </c>
      <c r="I746" s="4"/>
      <c r="J746" s="4">
        <f>SUM(G746:I746)</f>
        <v>20033</v>
      </c>
      <c r="K746" t="s">
        <v>1660</v>
      </c>
      <c r="L746" t="s">
        <v>1659</v>
      </c>
      <c r="M746" t="s">
        <v>1111</v>
      </c>
      <c r="N746" t="s">
        <v>1111</v>
      </c>
      <c r="O746" t="s">
        <v>1132</v>
      </c>
      <c r="P746" t="str">
        <f>IFERROR(VLOOKUP(F746,Sheet1!$A$2:$B$54,2,FALSE),"")</f>
        <v/>
      </c>
    </row>
    <row r="747" spans="1:16" x14ac:dyDescent="0.2">
      <c r="A747" s="1">
        <v>2019</v>
      </c>
      <c r="B747" t="s">
        <v>89</v>
      </c>
      <c r="C747" s="10" t="s">
        <v>1678</v>
      </c>
      <c r="D747" s="10" t="s">
        <v>1679</v>
      </c>
      <c r="E747" s="10" t="s">
        <v>1682</v>
      </c>
      <c r="F747" t="s">
        <v>586</v>
      </c>
      <c r="G747" s="4">
        <v>1785</v>
      </c>
      <c r="H747" s="4">
        <v>19651</v>
      </c>
      <c r="I747" s="4"/>
      <c r="J747" s="4">
        <f>SUM(G747:I747)</f>
        <v>21436</v>
      </c>
      <c r="K747" t="s">
        <v>1660</v>
      </c>
      <c r="L747" t="s">
        <v>1659</v>
      </c>
      <c r="M747" t="s">
        <v>1111</v>
      </c>
      <c r="N747" t="s">
        <v>1111</v>
      </c>
      <c r="O747" t="s">
        <v>1132</v>
      </c>
      <c r="P747" t="str">
        <f>IFERROR(VLOOKUP(F747,Sheet1!$A$2:$B$54,2,FALSE),"")</f>
        <v/>
      </c>
    </row>
    <row r="748" spans="1:16" x14ac:dyDescent="0.2">
      <c r="A748" s="1">
        <v>2020</v>
      </c>
      <c r="B748" t="s">
        <v>89</v>
      </c>
      <c r="C748" s="10" t="s">
        <v>1678</v>
      </c>
      <c r="D748" s="10" t="s">
        <v>1679</v>
      </c>
      <c r="E748" s="10" t="s">
        <v>1682</v>
      </c>
      <c r="F748" t="s">
        <v>586</v>
      </c>
      <c r="G748" s="4">
        <v>1930</v>
      </c>
      <c r="H748" s="4">
        <v>21158</v>
      </c>
      <c r="I748" s="4"/>
      <c r="J748" s="4">
        <f>SUM(G748:I748)</f>
        <v>23088</v>
      </c>
      <c r="K748" t="s">
        <v>1660</v>
      </c>
      <c r="L748" t="s">
        <v>1659</v>
      </c>
      <c r="M748" t="s">
        <v>1111</v>
      </c>
      <c r="N748" t="s">
        <v>1111</v>
      </c>
      <c r="O748" t="s">
        <v>1132</v>
      </c>
      <c r="P748" t="str">
        <f>IFERROR(VLOOKUP(F748,Sheet1!$A$2:$B$54,2,FALSE),"")</f>
        <v/>
      </c>
    </row>
    <row r="749" spans="1:16" x14ac:dyDescent="0.2">
      <c r="A749" s="1">
        <v>2021</v>
      </c>
      <c r="B749" t="s">
        <v>89</v>
      </c>
      <c r="C749" s="10" t="s">
        <v>1678</v>
      </c>
      <c r="D749" s="10" t="s">
        <v>1679</v>
      </c>
      <c r="E749" s="10" t="s">
        <v>1682</v>
      </c>
      <c r="F749" t="s">
        <v>586</v>
      </c>
      <c r="G749" s="4">
        <v>2127</v>
      </c>
      <c r="H749" s="4">
        <v>22989</v>
      </c>
      <c r="I749" s="4"/>
      <c r="J749" s="4">
        <f>SUM(G749:I749)</f>
        <v>25116</v>
      </c>
      <c r="K749" t="s">
        <v>1660</v>
      </c>
      <c r="L749" t="s">
        <v>1659</v>
      </c>
      <c r="M749" t="s">
        <v>586</v>
      </c>
      <c r="N749" t="s">
        <v>586</v>
      </c>
      <c r="O749" t="s">
        <v>1132</v>
      </c>
      <c r="P749" t="str">
        <f>IFERROR(VLOOKUP(F749,Sheet1!$A$2:$B$54,2,FALSE),"")</f>
        <v/>
      </c>
    </row>
    <row r="750" spans="1:16" x14ac:dyDescent="0.2">
      <c r="A750" s="1">
        <v>2022</v>
      </c>
      <c r="B750" t="s">
        <v>89</v>
      </c>
      <c r="C750" s="10" t="s">
        <v>1678</v>
      </c>
      <c r="D750" s="10" t="s">
        <v>1679</v>
      </c>
      <c r="E750" s="10" t="s">
        <v>1682</v>
      </c>
      <c r="F750" t="s">
        <v>586</v>
      </c>
      <c r="G750" s="4">
        <v>2387</v>
      </c>
      <c r="H750" s="4">
        <v>25481</v>
      </c>
      <c r="I750" s="4"/>
      <c r="J750" s="4">
        <f>SUM(G750:I750)</f>
        <v>27868</v>
      </c>
      <c r="K750" t="s">
        <v>1660</v>
      </c>
      <c r="L750" t="s">
        <v>1659</v>
      </c>
      <c r="M750" t="s">
        <v>586</v>
      </c>
      <c r="N750" t="s">
        <v>586</v>
      </c>
      <c r="O750" t="s">
        <v>1132</v>
      </c>
      <c r="P750" t="str">
        <f>IFERROR(VLOOKUP(F750,Sheet1!$A$2:$B$54,2,FALSE),"")</f>
        <v/>
      </c>
    </row>
    <row r="751" spans="1:16" x14ac:dyDescent="0.2">
      <c r="A751" s="1">
        <v>2023</v>
      </c>
      <c r="B751" t="s">
        <v>89</v>
      </c>
      <c r="C751" s="10" t="s">
        <v>1678</v>
      </c>
      <c r="D751" s="10" t="s">
        <v>1679</v>
      </c>
      <c r="E751" s="10" t="s">
        <v>1682</v>
      </c>
      <c r="F751" t="s">
        <v>586</v>
      </c>
      <c r="G751" s="4">
        <v>2686</v>
      </c>
      <c r="H751" s="4">
        <v>27829</v>
      </c>
      <c r="I751" s="4"/>
      <c r="J751" s="4">
        <f>SUM(G751:I751)</f>
        <v>30515</v>
      </c>
      <c r="K751" t="s">
        <v>1660</v>
      </c>
      <c r="L751" t="s">
        <v>1659</v>
      </c>
      <c r="M751" t="s">
        <v>586</v>
      </c>
      <c r="N751" t="s">
        <v>586</v>
      </c>
      <c r="O751" t="s">
        <v>1132</v>
      </c>
      <c r="P751" t="str">
        <f>IFERROR(VLOOKUP(F751,Sheet1!$A$2:$B$54,2,FALSE),"")</f>
        <v/>
      </c>
    </row>
    <row r="752" spans="1:16" x14ac:dyDescent="0.2">
      <c r="A752" s="1">
        <v>2015</v>
      </c>
      <c r="B752" t="s">
        <v>90</v>
      </c>
      <c r="C752" s="10" t="s">
        <v>1678</v>
      </c>
      <c r="D752" s="10" t="s">
        <v>1679</v>
      </c>
      <c r="E752" s="10" t="s">
        <v>1682</v>
      </c>
      <c r="F752" t="s">
        <v>587</v>
      </c>
      <c r="G752" s="4">
        <v>21974</v>
      </c>
      <c r="H752" s="4"/>
      <c r="I752" s="4"/>
      <c r="J752" s="4">
        <f>SUM(G752:I752)</f>
        <v>21974</v>
      </c>
      <c r="K752" t="s">
        <v>1659</v>
      </c>
      <c r="L752" t="s">
        <v>1659</v>
      </c>
      <c r="M752" t="s">
        <v>1112</v>
      </c>
      <c r="N752" t="s">
        <v>1132</v>
      </c>
      <c r="O752" t="s">
        <v>1132</v>
      </c>
      <c r="P752" t="str">
        <f>IFERROR(VLOOKUP(F752,Sheet1!$A$2:$B$54,2,FALSE),"")</f>
        <v/>
      </c>
    </row>
    <row r="753" spans="1:16" x14ac:dyDescent="0.2">
      <c r="A753" s="1">
        <v>2016</v>
      </c>
      <c r="B753" t="s">
        <v>90</v>
      </c>
      <c r="C753" s="10" t="s">
        <v>1678</v>
      </c>
      <c r="D753" s="10" t="s">
        <v>1679</v>
      </c>
      <c r="E753" s="10" t="s">
        <v>1682</v>
      </c>
      <c r="F753" t="s">
        <v>587</v>
      </c>
      <c r="G753" s="4">
        <v>37117</v>
      </c>
      <c r="H753" s="4"/>
      <c r="I753" s="4"/>
      <c r="J753" s="4">
        <f>SUM(G753:I753)</f>
        <v>37117</v>
      </c>
      <c r="K753" t="s">
        <v>1659</v>
      </c>
      <c r="L753" t="s">
        <v>1659</v>
      </c>
      <c r="M753" t="s">
        <v>1112</v>
      </c>
      <c r="N753" t="s">
        <v>1132</v>
      </c>
      <c r="O753" t="s">
        <v>1132</v>
      </c>
      <c r="P753" t="str">
        <f>IFERROR(VLOOKUP(F753,Sheet1!$A$2:$B$54,2,FALSE),"")</f>
        <v/>
      </c>
    </row>
    <row r="754" spans="1:16" x14ac:dyDescent="0.2">
      <c r="A754" s="1">
        <v>2017</v>
      </c>
      <c r="B754" t="s">
        <v>90</v>
      </c>
      <c r="C754" s="10" t="s">
        <v>1678</v>
      </c>
      <c r="D754" s="10" t="s">
        <v>1679</v>
      </c>
      <c r="E754" s="10" t="s">
        <v>1682</v>
      </c>
      <c r="F754" t="s">
        <v>587</v>
      </c>
      <c r="G754" s="4">
        <v>59546</v>
      </c>
      <c r="H754" s="4"/>
      <c r="I754" s="4"/>
      <c r="J754" s="4">
        <f>SUM(G754:I754)</f>
        <v>59546</v>
      </c>
      <c r="K754" t="s">
        <v>1659</v>
      </c>
      <c r="L754" t="s">
        <v>1659</v>
      </c>
      <c r="M754" t="s">
        <v>1112</v>
      </c>
      <c r="N754" t="s">
        <v>1132</v>
      </c>
      <c r="O754" t="s">
        <v>1132</v>
      </c>
      <c r="P754" t="str">
        <f>IFERROR(VLOOKUP(F754,Sheet1!$A$2:$B$54,2,FALSE),"")</f>
        <v/>
      </c>
    </row>
    <row r="755" spans="1:16" x14ac:dyDescent="0.2">
      <c r="A755" s="1">
        <v>2018</v>
      </c>
      <c r="B755" t="s">
        <v>90</v>
      </c>
      <c r="C755" s="10" t="s">
        <v>1678</v>
      </c>
      <c r="D755" s="10" t="s">
        <v>1679</v>
      </c>
      <c r="E755" s="10" t="s">
        <v>1682</v>
      </c>
      <c r="F755" t="s">
        <v>587</v>
      </c>
      <c r="G755" s="4">
        <v>69884</v>
      </c>
      <c r="H755" s="4"/>
      <c r="I755" s="4"/>
      <c r="J755" s="4">
        <f>SUM(G755:I755)</f>
        <v>69884</v>
      </c>
      <c r="K755" t="s">
        <v>1659</v>
      </c>
      <c r="L755" t="s">
        <v>1659</v>
      </c>
      <c r="M755" t="s">
        <v>1112</v>
      </c>
      <c r="N755" t="s">
        <v>1132</v>
      </c>
      <c r="O755" t="s">
        <v>1132</v>
      </c>
      <c r="P755" t="str">
        <f>IFERROR(VLOOKUP(F755,Sheet1!$A$2:$B$54,2,FALSE),"")</f>
        <v/>
      </c>
    </row>
    <row r="756" spans="1:16" x14ac:dyDescent="0.2">
      <c r="A756" s="1">
        <v>2019</v>
      </c>
      <c r="B756" t="s">
        <v>90</v>
      </c>
      <c r="C756" s="10" t="s">
        <v>1678</v>
      </c>
      <c r="D756" s="10" t="s">
        <v>1679</v>
      </c>
      <c r="E756" s="10" t="s">
        <v>1682</v>
      </c>
      <c r="F756" t="s">
        <v>587</v>
      </c>
      <c r="G756" s="4">
        <v>93006</v>
      </c>
      <c r="H756" s="4"/>
      <c r="I756" s="4"/>
      <c r="J756" s="4">
        <f>SUM(G756:I756)</f>
        <v>93006</v>
      </c>
      <c r="K756" t="s">
        <v>1659</v>
      </c>
      <c r="L756" t="s">
        <v>1659</v>
      </c>
      <c r="M756" t="s">
        <v>1112</v>
      </c>
      <c r="N756" t="s">
        <v>1132</v>
      </c>
      <c r="O756" t="s">
        <v>1132</v>
      </c>
      <c r="P756" t="str">
        <f>IFERROR(VLOOKUP(F756,Sheet1!$A$2:$B$54,2,FALSE),"")</f>
        <v/>
      </c>
    </row>
    <row r="757" spans="1:16" x14ac:dyDescent="0.2">
      <c r="A757" s="1">
        <v>2020</v>
      </c>
      <c r="B757" t="s">
        <v>90</v>
      </c>
      <c r="C757" s="10" t="s">
        <v>1678</v>
      </c>
      <c r="D757" s="10" t="s">
        <v>1679</v>
      </c>
      <c r="E757" s="10" t="s">
        <v>1682</v>
      </c>
      <c r="F757" t="s">
        <v>587</v>
      </c>
      <c r="G757" s="4">
        <v>107484</v>
      </c>
      <c r="H757" s="4"/>
      <c r="I757" s="4"/>
      <c r="J757" s="4">
        <f>SUM(G757:I757)</f>
        <v>107484</v>
      </c>
      <c r="K757" t="s">
        <v>1659</v>
      </c>
      <c r="L757" t="s">
        <v>1659</v>
      </c>
      <c r="M757" t="s">
        <v>1112</v>
      </c>
      <c r="N757" t="s">
        <v>1132</v>
      </c>
      <c r="O757" t="s">
        <v>1132</v>
      </c>
      <c r="P757" t="str">
        <f>IFERROR(VLOOKUP(F757,Sheet1!$A$2:$B$54,2,FALSE),"")</f>
        <v/>
      </c>
    </row>
    <row r="758" spans="1:16" x14ac:dyDescent="0.2">
      <c r="A758" s="1">
        <v>2021</v>
      </c>
      <c r="B758" t="s">
        <v>90</v>
      </c>
      <c r="C758" s="10" t="s">
        <v>1678</v>
      </c>
      <c r="D758" s="10" t="s">
        <v>1679</v>
      </c>
      <c r="E758" s="10" t="s">
        <v>1682</v>
      </c>
      <c r="F758" t="s">
        <v>587</v>
      </c>
      <c r="G758" s="4">
        <v>143133</v>
      </c>
      <c r="H758" s="4"/>
      <c r="I758" s="4"/>
      <c r="J758" s="4">
        <f>SUM(G758:I758)</f>
        <v>143133</v>
      </c>
      <c r="K758" t="s">
        <v>1659</v>
      </c>
      <c r="L758" t="s">
        <v>1659</v>
      </c>
      <c r="M758" t="s">
        <v>587</v>
      </c>
      <c r="N758" t="s">
        <v>1132</v>
      </c>
      <c r="O758" t="s">
        <v>1132</v>
      </c>
      <c r="P758" t="str">
        <f>IFERROR(VLOOKUP(F758,Sheet1!$A$2:$B$54,2,FALSE),"")</f>
        <v/>
      </c>
    </row>
    <row r="759" spans="1:16" x14ac:dyDescent="0.2">
      <c r="A759" s="1">
        <v>2022</v>
      </c>
      <c r="B759" t="s">
        <v>90</v>
      </c>
      <c r="C759" s="10" t="s">
        <v>1678</v>
      </c>
      <c r="D759" s="10" t="s">
        <v>1679</v>
      </c>
      <c r="E759" s="10" t="s">
        <v>1682</v>
      </c>
      <c r="F759" t="s">
        <v>587</v>
      </c>
      <c r="G759" s="4">
        <v>178498</v>
      </c>
      <c r="H759" s="4"/>
      <c r="I759" s="4"/>
      <c r="J759" s="4">
        <f>SUM(G759:I759)</f>
        <v>178498</v>
      </c>
      <c r="K759" t="s">
        <v>1659</v>
      </c>
      <c r="L759" t="s">
        <v>1659</v>
      </c>
      <c r="M759" t="s">
        <v>587</v>
      </c>
      <c r="N759" t="s">
        <v>1132</v>
      </c>
      <c r="O759" t="s">
        <v>1132</v>
      </c>
      <c r="P759" t="str">
        <f>IFERROR(VLOOKUP(F759,Sheet1!$A$2:$B$54,2,FALSE),"")</f>
        <v/>
      </c>
    </row>
    <row r="760" spans="1:16" x14ac:dyDescent="0.2">
      <c r="A760" s="1">
        <v>2023</v>
      </c>
      <c r="B760" t="s">
        <v>90</v>
      </c>
      <c r="C760" s="10" t="s">
        <v>1678</v>
      </c>
      <c r="D760" s="10" t="s">
        <v>1679</v>
      </c>
      <c r="E760" s="10" t="s">
        <v>1682</v>
      </c>
      <c r="F760" t="s">
        <v>587</v>
      </c>
      <c r="G760" s="4">
        <v>197160</v>
      </c>
      <c r="H760" s="4"/>
      <c r="I760" s="4"/>
      <c r="J760" s="4">
        <f>SUM(G760:I760)</f>
        <v>197160</v>
      </c>
      <c r="K760" t="s">
        <v>1659</v>
      </c>
      <c r="L760" t="s">
        <v>1659</v>
      </c>
      <c r="M760" t="s">
        <v>587</v>
      </c>
      <c r="N760" t="s">
        <v>1132</v>
      </c>
      <c r="O760" t="s">
        <v>1132</v>
      </c>
      <c r="P760" t="str">
        <f>IFERROR(VLOOKUP(F760,Sheet1!$A$2:$B$54,2,FALSE),"")</f>
        <v/>
      </c>
    </row>
    <row r="761" spans="1:16" x14ac:dyDescent="0.2">
      <c r="A761" s="1">
        <v>2015</v>
      </c>
      <c r="B761" t="s">
        <v>91</v>
      </c>
      <c r="C761" s="10" t="s">
        <v>1678</v>
      </c>
      <c r="D761" s="10" t="s">
        <v>1679</v>
      </c>
      <c r="E761" s="10" t="s">
        <v>1682</v>
      </c>
      <c r="F761" t="s">
        <v>588</v>
      </c>
      <c r="G761" s="4">
        <v>8928</v>
      </c>
      <c r="H761" s="4"/>
      <c r="I761" s="4"/>
      <c r="J761" s="4">
        <f>SUM(G761:I761)</f>
        <v>8928</v>
      </c>
      <c r="K761" t="s">
        <v>1659</v>
      </c>
      <c r="L761" t="s">
        <v>1659</v>
      </c>
      <c r="M761" t="s">
        <v>1113</v>
      </c>
      <c r="N761" t="s">
        <v>1132</v>
      </c>
      <c r="O761" t="s">
        <v>1132</v>
      </c>
      <c r="P761" t="str">
        <f>IFERROR(VLOOKUP(F761,Sheet1!$A$2:$B$54,2,FALSE),"")</f>
        <v/>
      </c>
    </row>
    <row r="762" spans="1:16" x14ac:dyDescent="0.2">
      <c r="A762" s="1">
        <v>2016</v>
      </c>
      <c r="B762" t="s">
        <v>91</v>
      </c>
      <c r="C762" s="10" t="s">
        <v>1678</v>
      </c>
      <c r="D762" s="10" t="s">
        <v>1679</v>
      </c>
      <c r="E762" s="10" t="s">
        <v>1682</v>
      </c>
      <c r="F762" t="s">
        <v>588</v>
      </c>
      <c r="G762" s="4">
        <v>12194</v>
      </c>
      <c r="H762" s="4"/>
      <c r="I762" s="4"/>
      <c r="J762" s="4">
        <f>SUM(G762:I762)</f>
        <v>12194</v>
      </c>
      <c r="K762" t="s">
        <v>1659</v>
      </c>
      <c r="L762" t="s">
        <v>1659</v>
      </c>
      <c r="M762" t="s">
        <v>1114</v>
      </c>
      <c r="N762" t="s">
        <v>1132</v>
      </c>
      <c r="O762" t="s">
        <v>1132</v>
      </c>
      <c r="P762" t="str">
        <f>IFERROR(VLOOKUP(F762,Sheet1!$A$2:$B$54,2,FALSE),"")</f>
        <v/>
      </c>
    </row>
    <row r="763" spans="1:16" x14ac:dyDescent="0.2">
      <c r="A763" s="1">
        <v>2017</v>
      </c>
      <c r="B763" t="s">
        <v>91</v>
      </c>
      <c r="C763" s="10" t="s">
        <v>1678</v>
      </c>
      <c r="D763" s="10" t="s">
        <v>1679</v>
      </c>
      <c r="E763" s="10" t="s">
        <v>1682</v>
      </c>
      <c r="F763" t="s">
        <v>588</v>
      </c>
      <c r="G763" s="4">
        <v>18673</v>
      </c>
      <c r="H763" s="4"/>
      <c r="I763" s="4"/>
      <c r="J763" s="4">
        <f>SUM(G763:I763)</f>
        <v>18673</v>
      </c>
      <c r="K763" t="s">
        <v>1659</v>
      </c>
      <c r="L763" t="s">
        <v>1659</v>
      </c>
      <c r="M763" t="s">
        <v>1114</v>
      </c>
      <c r="N763" t="s">
        <v>1132</v>
      </c>
      <c r="O763" t="s">
        <v>1132</v>
      </c>
      <c r="P763" t="str">
        <f>IFERROR(VLOOKUP(F763,Sheet1!$A$2:$B$54,2,FALSE),"")</f>
        <v/>
      </c>
    </row>
    <row r="764" spans="1:16" x14ac:dyDescent="0.2">
      <c r="A764" s="1">
        <v>2018</v>
      </c>
      <c r="B764" t="s">
        <v>91</v>
      </c>
      <c r="C764" s="10" t="s">
        <v>1678</v>
      </c>
      <c r="D764" s="10" t="s">
        <v>1679</v>
      </c>
      <c r="E764" s="10" t="s">
        <v>1682</v>
      </c>
      <c r="F764" t="s">
        <v>588</v>
      </c>
      <c r="G764" s="4">
        <v>22448</v>
      </c>
      <c r="H764" s="4"/>
      <c r="I764" s="4"/>
      <c r="J764" s="4">
        <f>SUM(G764:I764)</f>
        <v>22448</v>
      </c>
      <c r="K764" t="s">
        <v>1659</v>
      </c>
      <c r="L764" t="s">
        <v>1659</v>
      </c>
      <c r="M764" t="s">
        <v>1114</v>
      </c>
      <c r="N764" t="s">
        <v>1132</v>
      </c>
      <c r="O764" t="s">
        <v>1132</v>
      </c>
      <c r="P764" t="str">
        <f>IFERROR(VLOOKUP(F764,Sheet1!$A$2:$B$54,2,FALSE),"")</f>
        <v/>
      </c>
    </row>
    <row r="765" spans="1:16" x14ac:dyDescent="0.2">
      <c r="A765" s="1">
        <v>2019</v>
      </c>
      <c r="B765" t="s">
        <v>91</v>
      </c>
      <c r="C765" s="10" t="s">
        <v>1678</v>
      </c>
      <c r="D765" s="10" t="s">
        <v>1679</v>
      </c>
      <c r="E765" s="10" t="s">
        <v>1682</v>
      </c>
      <c r="F765" t="s">
        <v>588</v>
      </c>
      <c r="G765" s="4">
        <v>29167</v>
      </c>
      <c r="H765" s="4"/>
      <c r="I765" s="4"/>
      <c r="J765" s="4">
        <f>SUM(G765:I765)</f>
        <v>29167</v>
      </c>
      <c r="K765" t="s">
        <v>1659</v>
      </c>
      <c r="L765" t="s">
        <v>1659</v>
      </c>
      <c r="M765" t="s">
        <v>1114</v>
      </c>
      <c r="N765" t="s">
        <v>1132</v>
      </c>
      <c r="O765" t="s">
        <v>1132</v>
      </c>
      <c r="P765" t="str">
        <f>IFERROR(VLOOKUP(F765,Sheet1!$A$2:$B$54,2,FALSE),"")</f>
        <v/>
      </c>
    </row>
    <row r="766" spans="1:16" x14ac:dyDescent="0.2">
      <c r="A766" s="1">
        <v>2020</v>
      </c>
      <c r="B766" t="s">
        <v>91</v>
      </c>
      <c r="C766" s="10" t="s">
        <v>1678</v>
      </c>
      <c r="D766" s="10" t="s">
        <v>1679</v>
      </c>
      <c r="E766" s="10" t="s">
        <v>1682</v>
      </c>
      <c r="F766" t="s">
        <v>588</v>
      </c>
      <c r="G766" s="4">
        <v>31603</v>
      </c>
      <c r="H766" s="4"/>
      <c r="I766" s="4"/>
      <c r="J766" s="4">
        <f>SUM(G766:I766)</f>
        <v>31603</v>
      </c>
      <c r="K766" t="s">
        <v>1659</v>
      </c>
      <c r="L766" t="s">
        <v>1659</v>
      </c>
      <c r="M766" t="s">
        <v>1114</v>
      </c>
      <c r="N766" t="s">
        <v>1132</v>
      </c>
      <c r="O766" t="s">
        <v>1132</v>
      </c>
      <c r="P766" t="str">
        <f>IFERROR(VLOOKUP(F766,Sheet1!$A$2:$B$54,2,FALSE),"")</f>
        <v/>
      </c>
    </row>
    <row r="767" spans="1:16" x14ac:dyDescent="0.2">
      <c r="A767" s="1">
        <v>2021</v>
      </c>
      <c r="B767" t="s">
        <v>91</v>
      </c>
      <c r="C767" s="10" t="s">
        <v>1678</v>
      </c>
      <c r="D767" s="10" t="s">
        <v>1679</v>
      </c>
      <c r="E767" s="10" t="s">
        <v>1682</v>
      </c>
      <c r="F767" t="s">
        <v>588</v>
      </c>
      <c r="G767" s="4">
        <v>35005</v>
      </c>
      <c r="H767" s="4"/>
      <c r="I767" s="4"/>
      <c r="J767" s="4">
        <f>SUM(G767:I767)</f>
        <v>35005</v>
      </c>
      <c r="K767" t="s">
        <v>1659</v>
      </c>
      <c r="L767" t="s">
        <v>1659</v>
      </c>
      <c r="M767" t="s">
        <v>588</v>
      </c>
      <c r="N767" t="s">
        <v>1132</v>
      </c>
      <c r="O767" t="s">
        <v>1132</v>
      </c>
      <c r="P767" t="str">
        <f>IFERROR(VLOOKUP(F767,Sheet1!$A$2:$B$54,2,FALSE),"")</f>
        <v/>
      </c>
    </row>
    <row r="768" spans="1:16" x14ac:dyDescent="0.2">
      <c r="A768" s="1">
        <v>2022</v>
      </c>
      <c r="B768" t="s">
        <v>91</v>
      </c>
      <c r="C768" s="10" t="s">
        <v>1678</v>
      </c>
      <c r="D768" s="10" t="s">
        <v>1679</v>
      </c>
      <c r="E768" s="10" t="s">
        <v>1682</v>
      </c>
      <c r="F768" t="s">
        <v>588</v>
      </c>
      <c r="G768" s="4">
        <v>55782</v>
      </c>
      <c r="H768" s="4"/>
      <c r="I768" s="4"/>
      <c r="J768" s="4">
        <f>SUM(G768:I768)</f>
        <v>55782</v>
      </c>
      <c r="K768" t="s">
        <v>1659</v>
      </c>
      <c r="L768" t="s">
        <v>1659</v>
      </c>
      <c r="M768" t="s">
        <v>588</v>
      </c>
      <c r="N768" t="s">
        <v>1132</v>
      </c>
      <c r="O768" t="s">
        <v>1132</v>
      </c>
      <c r="P768" t="str">
        <f>IFERROR(VLOOKUP(F768,Sheet1!$A$2:$B$54,2,FALSE),"")</f>
        <v/>
      </c>
    </row>
    <row r="769" spans="1:16" x14ac:dyDescent="0.2">
      <c r="A769" s="1">
        <v>2023</v>
      </c>
      <c r="B769" t="s">
        <v>91</v>
      </c>
      <c r="C769" s="10" t="s">
        <v>1678</v>
      </c>
      <c r="D769" s="10" t="s">
        <v>1679</v>
      </c>
      <c r="E769" s="10" t="s">
        <v>1682</v>
      </c>
      <c r="F769" t="s">
        <v>588</v>
      </c>
      <c r="G769" s="4">
        <v>68343</v>
      </c>
      <c r="H769" s="4"/>
      <c r="I769" s="4"/>
      <c r="J769" s="4">
        <f>SUM(G769:I769)</f>
        <v>68343</v>
      </c>
      <c r="K769" t="s">
        <v>1659</v>
      </c>
      <c r="L769" t="s">
        <v>1659</v>
      </c>
      <c r="M769" t="s">
        <v>588</v>
      </c>
      <c r="N769" t="s">
        <v>1132</v>
      </c>
      <c r="O769" t="s">
        <v>1132</v>
      </c>
      <c r="P769" t="str">
        <f>IFERROR(VLOOKUP(F769,Sheet1!$A$2:$B$54,2,FALSE),"")</f>
        <v/>
      </c>
    </row>
    <row r="770" spans="1:16" x14ac:dyDescent="0.2">
      <c r="A770" s="1">
        <v>2015</v>
      </c>
      <c r="B770" t="s">
        <v>92</v>
      </c>
      <c r="C770" s="10" t="s">
        <v>1678</v>
      </c>
      <c r="D770" s="10" t="s">
        <v>1679</v>
      </c>
      <c r="E770" s="10" t="s">
        <v>1682</v>
      </c>
      <c r="F770" t="s">
        <v>589</v>
      </c>
      <c r="G770" s="4">
        <v>8084</v>
      </c>
      <c r="H770" s="4"/>
      <c r="I770" s="4"/>
      <c r="J770" s="4">
        <f>SUM(G770:I770)</f>
        <v>8084</v>
      </c>
      <c r="K770" t="s">
        <v>1659</v>
      </c>
      <c r="L770" t="s">
        <v>1659</v>
      </c>
      <c r="M770" t="s">
        <v>1115</v>
      </c>
      <c r="N770" t="s">
        <v>1132</v>
      </c>
      <c r="O770" t="s">
        <v>1132</v>
      </c>
      <c r="P770" t="str">
        <f>IFERROR(VLOOKUP(F770,Sheet1!$A$2:$B$54,2,FALSE),"")</f>
        <v/>
      </c>
    </row>
    <row r="771" spans="1:16" x14ac:dyDescent="0.2">
      <c r="A771" s="1">
        <v>2016</v>
      </c>
      <c r="B771" t="s">
        <v>92</v>
      </c>
      <c r="C771" s="10" t="s">
        <v>1678</v>
      </c>
      <c r="D771" s="10" t="s">
        <v>1679</v>
      </c>
      <c r="E771" s="10" t="s">
        <v>1682</v>
      </c>
      <c r="F771" t="s">
        <v>589</v>
      </c>
      <c r="G771" s="4">
        <v>14419</v>
      </c>
      <c r="H771" s="4"/>
      <c r="I771" s="4"/>
      <c r="J771" s="4">
        <f>SUM(G771:I771)</f>
        <v>14419</v>
      </c>
      <c r="K771" t="s">
        <v>1659</v>
      </c>
      <c r="L771" t="s">
        <v>1659</v>
      </c>
      <c r="M771" t="s">
        <v>1116</v>
      </c>
      <c r="N771" t="s">
        <v>1132</v>
      </c>
      <c r="O771" t="s">
        <v>1132</v>
      </c>
      <c r="P771" t="str">
        <f>IFERROR(VLOOKUP(F771,Sheet1!$A$2:$B$54,2,FALSE),"")</f>
        <v/>
      </c>
    </row>
    <row r="772" spans="1:16" x14ac:dyDescent="0.2">
      <c r="A772" s="1">
        <v>2017</v>
      </c>
      <c r="B772" t="s">
        <v>92</v>
      </c>
      <c r="C772" s="10" t="s">
        <v>1678</v>
      </c>
      <c r="D772" s="10" t="s">
        <v>1679</v>
      </c>
      <c r="E772" s="10" t="s">
        <v>1682</v>
      </c>
      <c r="F772" t="s">
        <v>589</v>
      </c>
      <c r="G772" s="4">
        <v>19350</v>
      </c>
      <c r="H772" s="4"/>
      <c r="I772" s="4"/>
      <c r="J772" s="4">
        <f>SUM(G772:I772)</f>
        <v>19350</v>
      </c>
      <c r="K772" t="s">
        <v>1659</v>
      </c>
      <c r="L772" t="s">
        <v>1659</v>
      </c>
      <c r="M772" t="s">
        <v>1115</v>
      </c>
      <c r="N772" t="s">
        <v>1132</v>
      </c>
      <c r="O772" t="s">
        <v>1132</v>
      </c>
      <c r="P772" t="str">
        <f>IFERROR(VLOOKUP(F772,Sheet1!$A$2:$B$54,2,FALSE),"")</f>
        <v/>
      </c>
    </row>
    <row r="773" spans="1:16" x14ac:dyDescent="0.2">
      <c r="A773" s="1">
        <v>2018</v>
      </c>
      <c r="B773" t="s">
        <v>92</v>
      </c>
      <c r="C773" s="10" t="s">
        <v>1678</v>
      </c>
      <c r="D773" s="10" t="s">
        <v>1679</v>
      </c>
      <c r="E773" s="10" t="s">
        <v>1682</v>
      </c>
      <c r="F773" t="s">
        <v>589</v>
      </c>
      <c r="G773" s="4">
        <v>22878</v>
      </c>
      <c r="H773" s="4"/>
      <c r="I773" s="4"/>
      <c r="J773" s="4">
        <f>SUM(G773:I773)</f>
        <v>22878</v>
      </c>
      <c r="K773" t="s">
        <v>1659</v>
      </c>
      <c r="L773" t="s">
        <v>1659</v>
      </c>
      <c r="M773" t="s">
        <v>1115</v>
      </c>
      <c r="N773" t="s">
        <v>1132</v>
      </c>
      <c r="O773" t="s">
        <v>1132</v>
      </c>
      <c r="P773" t="str">
        <f>IFERROR(VLOOKUP(F773,Sheet1!$A$2:$B$54,2,FALSE),"")</f>
        <v/>
      </c>
    </row>
    <row r="774" spans="1:16" x14ac:dyDescent="0.2">
      <c r="A774" s="1">
        <v>2019</v>
      </c>
      <c r="B774" t="s">
        <v>92</v>
      </c>
      <c r="C774" s="10" t="s">
        <v>1678</v>
      </c>
      <c r="D774" s="10" t="s">
        <v>1679</v>
      </c>
      <c r="E774" s="10" t="s">
        <v>1682</v>
      </c>
      <c r="F774" t="s">
        <v>589</v>
      </c>
      <c r="G774" s="4">
        <v>25767</v>
      </c>
      <c r="H774" s="4"/>
      <c r="I774" s="4"/>
      <c r="J774" s="4">
        <f>SUM(G774:I774)</f>
        <v>25767</v>
      </c>
      <c r="K774" t="s">
        <v>1659</v>
      </c>
      <c r="L774" t="s">
        <v>1659</v>
      </c>
      <c r="M774" t="s">
        <v>1115</v>
      </c>
      <c r="N774" t="s">
        <v>1132</v>
      </c>
      <c r="O774" t="s">
        <v>1132</v>
      </c>
      <c r="P774" t="str">
        <f>IFERROR(VLOOKUP(F774,Sheet1!$A$2:$B$54,2,FALSE),"")</f>
        <v/>
      </c>
    </row>
    <row r="775" spans="1:16" x14ac:dyDescent="0.2">
      <c r="A775" s="1">
        <v>2020</v>
      </c>
      <c r="B775" t="s">
        <v>92</v>
      </c>
      <c r="C775" s="10" t="s">
        <v>1678</v>
      </c>
      <c r="D775" s="10" t="s">
        <v>1679</v>
      </c>
      <c r="E775" s="10" t="s">
        <v>1682</v>
      </c>
      <c r="F775" t="s">
        <v>589</v>
      </c>
      <c r="G775" s="4">
        <v>31984</v>
      </c>
      <c r="H775" s="4"/>
      <c r="I775" s="4"/>
      <c r="J775" s="4">
        <f>SUM(G775:I775)</f>
        <v>31984</v>
      </c>
      <c r="K775" t="s">
        <v>1659</v>
      </c>
      <c r="L775" t="s">
        <v>1659</v>
      </c>
      <c r="M775" t="s">
        <v>1115</v>
      </c>
      <c r="N775" t="s">
        <v>1132</v>
      </c>
      <c r="O775" t="s">
        <v>1132</v>
      </c>
      <c r="P775" t="str">
        <f>IFERROR(VLOOKUP(F775,Sheet1!$A$2:$B$54,2,FALSE),"")</f>
        <v/>
      </c>
    </row>
    <row r="776" spans="1:16" x14ac:dyDescent="0.2">
      <c r="A776" s="1">
        <v>2021</v>
      </c>
      <c r="B776" t="s">
        <v>92</v>
      </c>
      <c r="C776" s="10" t="s">
        <v>1678</v>
      </c>
      <c r="D776" s="10" t="s">
        <v>1679</v>
      </c>
      <c r="E776" s="10" t="s">
        <v>1682</v>
      </c>
      <c r="F776" t="s">
        <v>589</v>
      </c>
      <c r="G776" s="4">
        <v>41498</v>
      </c>
      <c r="H776" s="4"/>
      <c r="I776" s="4"/>
      <c r="J776" s="4">
        <f>SUM(G776:I776)</f>
        <v>41498</v>
      </c>
      <c r="K776" t="s">
        <v>1659</v>
      </c>
      <c r="L776" t="s">
        <v>1659</v>
      </c>
      <c r="M776" t="s">
        <v>589</v>
      </c>
      <c r="N776" t="s">
        <v>1132</v>
      </c>
      <c r="O776" t="s">
        <v>1132</v>
      </c>
      <c r="P776" t="str">
        <f>IFERROR(VLOOKUP(F776,Sheet1!$A$2:$B$54,2,FALSE),"")</f>
        <v/>
      </c>
    </row>
    <row r="777" spans="1:16" x14ac:dyDescent="0.2">
      <c r="A777" s="1">
        <v>2022</v>
      </c>
      <c r="B777" t="s">
        <v>92</v>
      </c>
      <c r="C777" s="10" t="s">
        <v>1678</v>
      </c>
      <c r="D777" s="10" t="s">
        <v>1679</v>
      </c>
      <c r="E777" s="10" t="s">
        <v>1682</v>
      </c>
      <c r="F777" t="s">
        <v>589</v>
      </c>
      <c r="G777" s="4">
        <v>61844</v>
      </c>
      <c r="H777" s="4"/>
      <c r="I777" s="4"/>
      <c r="J777" s="4">
        <f>SUM(G777:I777)</f>
        <v>61844</v>
      </c>
      <c r="K777" t="s">
        <v>1659</v>
      </c>
      <c r="L777" t="s">
        <v>1659</v>
      </c>
      <c r="M777" t="s">
        <v>589</v>
      </c>
      <c r="N777" t="s">
        <v>1132</v>
      </c>
      <c r="O777" t="s">
        <v>1132</v>
      </c>
      <c r="P777" t="str">
        <f>IFERROR(VLOOKUP(F777,Sheet1!$A$2:$B$54,2,FALSE),"")</f>
        <v/>
      </c>
    </row>
    <row r="778" spans="1:16" x14ac:dyDescent="0.2">
      <c r="A778" s="1">
        <v>2023</v>
      </c>
      <c r="B778" t="s">
        <v>92</v>
      </c>
      <c r="C778" s="10" t="s">
        <v>1678</v>
      </c>
      <c r="D778" s="10" t="s">
        <v>1679</v>
      </c>
      <c r="E778" s="10" t="s">
        <v>1682</v>
      </c>
      <c r="F778" t="s">
        <v>589</v>
      </c>
      <c r="G778" s="4">
        <v>72325</v>
      </c>
      <c r="H778" s="4"/>
      <c r="I778" s="4"/>
      <c r="J778" s="4">
        <f>SUM(G778:I778)</f>
        <v>72325</v>
      </c>
      <c r="K778" t="s">
        <v>1659</v>
      </c>
      <c r="L778" t="s">
        <v>1659</v>
      </c>
      <c r="M778" t="s">
        <v>589</v>
      </c>
      <c r="N778" t="s">
        <v>1132</v>
      </c>
      <c r="O778" t="s">
        <v>1132</v>
      </c>
      <c r="P778" t="str">
        <f>IFERROR(VLOOKUP(F778,Sheet1!$A$2:$B$54,2,FALSE),"")</f>
        <v/>
      </c>
    </row>
    <row r="779" spans="1:16" x14ac:dyDescent="0.2">
      <c r="A779" s="1">
        <v>2015</v>
      </c>
      <c r="B779" t="s">
        <v>93</v>
      </c>
      <c r="C779" s="10" t="s">
        <v>1678</v>
      </c>
      <c r="D779" s="10" t="s">
        <v>1679</v>
      </c>
      <c r="E779" s="10" t="s">
        <v>1682</v>
      </c>
      <c r="F779" t="s">
        <v>590</v>
      </c>
      <c r="G779" s="4">
        <v>4012</v>
      </c>
      <c r="H779" s="4"/>
      <c r="I779" s="4"/>
      <c r="J779" s="4">
        <f>SUM(G779:I779)</f>
        <v>4012</v>
      </c>
      <c r="K779" t="s">
        <v>1659</v>
      </c>
      <c r="L779" t="s">
        <v>1659</v>
      </c>
      <c r="M779" t="s">
        <v>1117</v>
      </c>
      <c r="N779" t="s">
        <v>1132</v>
      </c>
      <c r="O779" t="s">
        <v>1132</v>
      </c>
      <c r="P779" t="str">
        <f>IFERROR(VLOOKUP(F779,Sheet1!$A$2:$B$54,2,FALSE),"")</f>
        <v/>
      </c>
    </row>
    <row r="780" spans="1:16" x14ac:dyDescent="0.2">
      <c r="A780" s="1">
        <v>2016</v>
      </c>
      <c r="B780" t="s">
        <v>93</v>
      </c>
      <c r="C780" s="10" t="s">
        <v>1678</v>
      </c>
      <c r="D780" s="10" t="s">
        <v>1679</v>
      </c>
      <c r="E780" s="10" t="s">
        <v>1682</v>
      </c>
      <c r="F780" t="s">
        <v>590</v>
      </c>
      <c r="G780" s="4">
        <v>4372</v>
      </c>
      <c r="H780" s="4"/>
      <c r="I780" s="4"/>
      <c r="J780" s="4">
        <f>SUM(G780:I780)</f>
        <v>4372</v>
      </c>
      <c r="K780" t="s">
        <v>1659</v>
      </c>
      <c r="L780" t="s">
        <v>1659</v>
      </c>
      <c r="M780" t="s">
        <v>1118</v>
      </c>
      <c r="N780" t="s">
        <v>1132</v>
      </c>
      <c r="O780" t="s">
        <v>1132</v>
      </c>
      <c r="P780" t="str">
        <f>IFERROR(VLOOKUP(F780,Sheet1!$A$2:$B$54,2,FALSE),"")</f>
        <v/>
      </c>
    </row>
    <row r="781" spans="1:16" x14ac:dyDescent="0.2">
      <c r="A781" s="1">
        <v>2017</v>
      </c>
      <c r="B781" t="s">
        <v>93</v>
      </c>
      <c r="C781" s="10" t="s">
        <v>1678</v>
      </c>
      <c r="D781" s="10" t="s">
        <v>1679</v>
      </c>
      <c r="E781" s="10" t="s">
        <v>1682</v>
      </c>
      <c r="F781" t="s">
        <v>590</v>
      </c>
      <c r="G781" s="4">
        <v>4229</v>
      </c>
      <c r="H781" s="4"/>
      <c r="I781" s="4"/>
      <c r="J781" s="4">
        <f>SUM(G781:I781)</f>
        <v>4229</v>
      </c>
      <c r="K781" t="s">
        <v>1659</v>
      </c>
      <c r="L781" t="s">
        <v>1659</v>
      </c>
      <c r="M781" t="s">
        <v>1118</v>
      </c>
      <c r="N781" t="s">
        <v>1132</v>
      </c>
      <c r="O781" t="s">
        <v>1132</v>
      </c>
      <c r="P781" t="str">
        <f>IFERROR(VLOOKUP(F781,Sheet1!$A$2:$B$54,2,FALSE),"")</f>
        <v/>
      </c>
    </row>
    <row r="782" spans="1:16" x14ac:dyDescent="0.2">
      <c r="A782" s="1">
        <v>2018</v>
      </c>
      <c r="B782" t="s">
        <v>93</v>
      </c>
      <c r="C782" s="10" t="s">
        <v>1678</v>
      </c>
      <c r="D782" s="10" t="s">
        <v>1679</v>
      </c>
      <c r="E782" s="10" t="s">
        <v>1682</v>
      </c>
      <c r="F782" t="s">
        <v>590</v>
      </c>
      <c r="G782" s="4">
        <v>5243</v>
      </c>
      <c r="H782" s="4"/>
      <c r="I782" s="4"/>
      <c r="J782" s="4">
        <f>SUM(G782:I782)</f>
        <v>5243</v>
      </c>
      <c r="K782" t="s">
        <v>1659</v>
      </c>
      <c r="L782" t="s">
        <v>1659</v>
      </c>
      <c r="M782" t="s">
        <v>1118</v>
      </c>
      <c r="N782" t="s">
        <v>1132</v>
      </c>
      <c r="O782" t="s">
        <v>1132</v>
      </c>
      <c r="P782" t="str">
        <f>IFERROR(VLOOKUP(F782,Sheet1!$A$2:$B$54,2,FALSE),"")</f>
        <v/>
      </c>
    </row>
    <row r="783" spans="1:16" x14ac:dyDescent="0.2">
      <c r="A783" s="1">
        <v>2019</v>
      </c>
      <c r="B783" t="s">
        <v>93</v>
      </c>
      <c r="C783" s="10" t="s">
        <v>1678</v>
      </c>
      <c r="D783" s="10" t="s">
        <v>1679</v>
      </c>
      <c r="E783" s="10" t="s">
        <v>1682</v>
      </c>
      <c r="F783" t="s">
        <v>590</v>
      </c>
      <c r="G783" s="4">
        <v>9133</v>
      </c>
      <c r="H783" s="4"/>
      <c r="I783" s="4"/>
      <c r="J783" s="4">
        <f>SUM(G783:I783)</f>
        <v>9133</v>
      </c>
      <c r="K783" t="s">
        <v>1659</v>
      </c>
      <c r="L783" t="s">
        <v>1659</v>
      </c>
      <c r="M783" t="s">
        <v>1118</v>
      </c>
      <c r="N783" t="s">
        <v>1132</v>
      </c>
      <c r="O783" t="s">
        <v>1132</v>
      </c>
      <c r="P783" t="str">
        <f>IFERROR(VLOOKUP(F783,Sheet1!$A$2:$B$54,2,FALSE),"")</f>
        <v/>
      </c>
    </row>
    <row r="784" spans="1:16" x14ac:dyDescent="0.2">
      <c r="A784" s="1">
        <v>2020</v>
      </c>
      <c r="B784" t="s">
        <v>93</v>
      </c>
      <c r="C784" s="10" t="s">
        <v>1678</v>
      </c>
      <c r="D784" s="10" t="s">
        <v>1679</v>
      </c>
      <c r="E784" s="10" t="s">
        <v>1682</v>
      </c>
      <c r="F784" t="s">
        <v>590</v>
      </c>
      <c r="G784" s="4">
        <v>11249</v>
      </c>
      <c r="H784" s="4"/>
      <c r="I784" s="4"/>
      <c r="J784" s="4">
        <f>SUM(G784:I784)</f>
        <v>11249</v>
      </c>
      <c r="K784" t="s">
        <v>1659</v>
      </c>
      <c r="L784" t="s">
        <v>1659</v>
      </c>
      <c r="M784" t="s">
        <v>1118</v>
      </c>
      <c r="N784" t="s">
        <v>1132</v>
      </c>
      <c r="O784" t="s">
        <v>1132</v>
      </c>
      <c r="P784" t="str">
        <f>IFERROR(VLOOKUP(F784,Sheet1!$A$2:$B$54,2,FALSE),"")</f>
        <v/>
      </c>
    </row>
    <row r="785" spans="1:16" x14ac:dyDescent="0.2">
      <c r="A785" s="1">
        <v>2021</v>
      </c>
      <c r="B785" t="s">
        <v>93</v>
      </c>
      <c r="C785" s="10" t="s">
        <v>1678</v>
      </c>
      <c r="D785" s="10" t="s">
        <v>1679</v>
      </c>
      <c r="E785" s="10" t="s">
        <v>1682</v>
      </c>
      <c r="F785" t="s">
        <v>590</v>
      </c>
      <c r="G785" s="4">
        <v>4172</v>
      </c>
      <c r="H785" s="4"/>
      <c r="I785" s="4"/>
      <c r="J785" s="4">
        <f>SUM(G785:I785)</f>
        <v>4172</v>
      </c>
      <c r="K785" t="s">
        <v>1659</v>
      </c>
      <c r="L785" t="s">
        <v>1659</v>
      </c>
      <c r="M785" t="s">
        <v>590</v>
      </c>
      <c r="N785" t="s">
        <v>1132</v>
      </c>
      <c r="O785" t="s">
        <v>1132</v>
      </c>
      <c r="P785" t="str">
        <f>IFERROR(VLOOKUP(F785,Sheet1!$A$2:$B$54,2,FALSE),"")</f>
        <v/>
      </c>
    </row>
    <row r="786" spans="1:16" x14ac:dyDescent="0.2">
      <c r="A786" s="1">
        <v>2022</v>
      </c>
      <c r="B786" t="s">
        <v>93</v>
      </c>
      <c r="C786" s="10" t="s">
        <v>1678</v>
      </c>
      <c r="D786" s="10" t="s">
        <v>1679</v>
      </c>
      <c r="E786" s="10" t="s">
        <v>1682</v>
      </c>
      <c r="F786" t="s">
        <v>590</v>
      </c>
      <c r="G786" s="4">
        <v>6736</v>
      </c>
      <c r="H786" s="4"/>
      <c r="I786" s="4"/>
      <c r="J786" s="4">
        <f>SUM(G786:I786)</f>
        <v>6736</v>
      </c>
      <c r="K786" t="s">
        <v>1659</v>
      </c>
      <c r="L786" t="s">
        <v>1659</v>
      </c>
      <c r="M786" t="s">
        <v>590</v>
      </c>
      <c r="N786" t="s">
        <v>1132</v>
      </c>
      <c r="O786" t="s">
        <v>1132</v>
      </c>
      <c r="P786" t="str">
        <f>IFERROR(VLOOKUP(F786,Sheet1!$A$2:$B$54,2,FALSE),"")</f>
        <v/>
      </c>
    </row>
    <row r="787" spans="1:16" x14ac:dyDescent="0.2">
      <c r="A787" s="1">
        <v>2023</v>
      </c>
      <c r="B787" t="s">
        <v>93</v>
      </c>
      <c r="C787" s="10" t="s">
        <v>1678</v>
      </c>
      <c r="D787" s="10" t="s">
        <v>1679</v>
      </c>
      <c r="E787" s="10" t="s">
        <v>1682</v>
      </c>
      <c r="F787" t="s">
        <v>590</v>
      </c>
      <c r="G787" s="4">
        <v>8131</v>
      </c>
      <c r="H787" s="4"/>
      <c r="I787" s="4"/>
      <c r="J787" s="4">
        <f>SUM(G787:I787)</f>
        <v>8131</v>
      </c>
      <c r="K787" t="s">
        <v>1659</v>
      </c>
      <c r="L787" t="s">
        <v>1659</v>
      </c>
      <c r="M787" t="s">
        <v>590</v>
      </c>
      <c r="N787" t="s">
        <v>1132</v>
      </c>
      <c r="O787" t="s">
        <v>1132</v>
      </c>
      <c r="P787" t="str">
        <f>IFERROR(VLOOKUP(F787,Sheet1!$A$2:$B$54,2,FALSE),"")</f>
        <v/>
      </c>
    </row>
    <row r="788" spans="1:16" x14ac:dyDescent="0.2">
      <c r="A788" s="1">
        <v>2015</v>
      </c>
      <c r="B788" t="s">
        <v>94</v>
      </c>
      <c r="C788" s="10" t="s">
        <v>1678</v>
      </c>
      <c r="D788" s="10" t="s">
        <v>1679</v>
      </c>
      <c r="E788" s="10" t="s">
        <v>1682</v>
      </c>
      <c r="F788" t="s">
        <v>591</v>
      </c>
      <c r="G788" s="4">
        <v>12489</v>
      </c>
      <c r="H788" s="4"/>
      <c r="I788" s="4"/>
      <c r="J788" s="4">
        <f>SUM(G788:I788)</f>
        <v>12489</v>
      </c>
      <c r="K788" t="s">
        <v>1659</v>
      </c>
      <c r="L788" t="s">
        <v>1659</v>
      </c>
      <c r="M788" t="s">
        <v>1119</v>
      </c>
      <c r="N788" t="s">
        <v>1132</v>
      </c>
      <c r="O788" t="s">
        <v>1132</v>
      </c>
      <c r="P788" t="str">
        <f>IFERROR(VLOOKUP(F788,Sheet1!$A$2:$B$54,2,FALSE),"")</f>
        <v/>
      </c>
    </row>
    <row r="789" spans="1:16" x14ac:dyDescent="0.2">
      <c r="A789" s="1">
        <v>2016</v>
      </c>
      <c r="B789" t="s">
        <v>94</v>
      </c>
      <c r="C789" s="10" t="s">
        <v>1678</v>
      </c>
      <c r="D789" s="10" t="s">
        <v>1679</v>
      </c>
      <c r="E789" s="10" t="s">
        <v>1682</v>
      </c>
      <c r="F789" t="s">
        <v>591</v>
      </c>
      <c r="G789" s="4">
        <v>8000</v>
      </c>
      <c r="H789" s="4"/>
      <c r="I789" s="4"/>
      <c r="J789" s="4">
        <f>SUM(G789:I789)</f>
        <v>8000</v>
      </c>
      <c r="K789" t="s">
        <v>1659</v>
      </c>
      <c r="L789" t="s">
        <v>1659</v>
      </c>
      <c r="M789" t="s">
        <v>1119</v>
      </c>
      <c r="N789" t="s">
        <v>1132</v>
      </c>
      <c r="O789" t="s">
        <v>1132</v>
      </c>
      <c r="P789" t="str">
        <f>IFERROR(VLOOKUP(F789,Sheet1!$A$2:$B$54,2,FALSE),"")</f>
        <v/>
      </c>
    </row>
    <row r="790" spans="1:16" x14ac:dyDescent="0.2">
      <c r="A790" s="1">
        <v>2017</v>
      </c>
      <c r="B790" t="s">
        <v>94</v>
      </c>
      <c r="C790" s="10" t="s">
        <v>1678</v>
      </c>
      <c r="D790" s="10" t="s">
        <v>1679</v>
      </c>
      <c r="E790" s="10" t="s">
        <v>1682</v>
      </c>
      <c r="F790" t="s">
        <v>591</v>
      </c>
      <c r="G790" s="4">
        <v>8678</v>
      </c>
      <c r="H790" s="4"/>
      <c r="I790" s="4"/>
      <c r="J790" s="4">
        <f>SUM(G790:I790)</f>
        <v>8678</v>
      </c>
      <c r="K790" t="s">
        <v>1659</v>
      </c>
      <c r="L790" t="s">
        <v>1659</v>
      </c>
      <c r="M790" t="s">
        <v>1119</v>
      </c>
      <c r="N790" t="s">
        <v>1132</v>
      </c>
      <c r="O790" t="s">
        <v>1132</v>
      </c>
      <c r="P790" t="str">
        <f>IFERROR(VLOOKUP(F790,Sheet1!$A$2:$B$54,2,FALSE),"")</f>
        <v/>
      </c>
    </row>
    <row r="791" spans="1:16" x14ac:dyDescent="0.2">
      <c r="A791" s="1">
        <v>2018</v>
      </c>
      <c r="B791" t="s">
        <v>94</v>
      </c>
      <c r="C791" s="10" t="s">
        <v>1678</v>
      </c>
      <c r="D791" s="10" t="s">
        <v>1679</v>
      </c>
      <c r="E791" s="10" t="s">
        <v>1682</v>
      </c>
      <c r="F791" t="s">
        <v>591</v>
      </c>
      <c r="G791" s="4">
        <v>16963</v>
      </c>
      <c r="H791" s="4"/>
      <c r="I791" s="4"/>
      <c r="J791" s="4">
        <f>SUM(G791:I791)</f>
        <v>16963</v>
      </c>
      <c r="K791" t="s">
        <v>1659</v>
      </c>
      <c r="L791" t="s">
        <v>1659</v>
      </c>
      <c r="M791" t="s">
        <v>1119</v>
      </c>
      <c r="N791" t="s">
        <v>1132</v>
      </c>
      <c r="O791" t="s">
        <v>1132</v>
      </c>
      <c r="P791" t="str">
        <f>IFERROR(VLOOKUP(F791,Sheet1!$A$2:$B$54,2,FALSE),"")</f>
        <v/>
      </c>
    </row>
    <row r="792" spans="1:16" x14ac:dyDescent="0.2">
      <c r="A792" s="1">
        <v>2019</v>
      </c>
      <c r="B792" t="s">
        <v>94</v>
      </c>
      <c r="C792" s="10" t="s">
        <v>1678</v>
      </c>
      <c r="D792" s="10" t="s">
        <v>1679</v>
      </c>
      <c r="E792" s="10" t="s">
        <v>1682</v>
      </c>
      <c r="F792" t="s">
        <v>591</v>
      </c>
      <c r="G792" s="4">
        <v>19470</v>
      </c>
      <c r="H792" s="4"/>
      <c r="I792" s="4"/>
      <c r="J792" s="4">
        <f>SUM(G792:I792)</f>
        <v>19470</v>
      </c>
      <c r="K792" t="s">
        <v>1659</v>
      </c>
      <c r="L792" t="s">
        <v>1659</v>
      </c>
      <c r="M792" t="s">
        <v>1119</v>
      </c>
      <c r="N792" t="s">
        <v>1132</v>
      </c>
      <c r="O792" t="s">
        <v>1132</v>
      </c>
      <c r="P792" t="str">
        <f>IFERROR(VLOOKUP(F792,Sheet1!$A$2:$B$54,2,FALSE),"")</f>
        <v/>
      </c>
    </row>
    <row r="793" spans="1:16" x14ac:dyDescent="0.2">
      <c r="A793" s="1">
        <v>2020</v>
      </c>
      <c r="B793" t="s">
        <v>94</v>
      </c>
      <c r="C793" s="10" t="s">
        <v>1678</v>
      </c>
      <c r="D793" s="10" t="s">
        <v>1679</v>
      </c>
      <c r="E793" s="10" t="s">
        <v>1682</v>
      </c>
      <c r="F793" t="s">
        <v>591</v>
      </c>
      <c r="G793" s="4">
        <v>19815</v>
      </c>
      <c r="H793" s="4"/>
      <c r="I793" s="4"/>
      <c r="J793" s="4">
        <f>SUM(G793:I793)</f>
        <v>19815</v>
      </c>
      <c r="K793" t="s">
        <v>1659</v>
      </c>
      <c r="L793" t="s">
        <v>1659</v>
      </c>
      <c r="M793" t="s">
        <v>1119</v>
      </c>
      <c r="N793" t="s">
        <v>1132</v>
      </c>
      <c r="O793" t="s">
        <v>1132</v>
      </c>
      <c r="P793" t="str">
        <f>IFERROR(VLOOKUP(F793,Sheet1!$A$2:$B$54,2,FALSE),"")</f>
        <v/>
      </c>
    </row>
    <row r="794" spans="1:16" x14ac:dyDescent="0.2">
      <c r="A794" s="1">
        <v>2021</v>
      </c>
      <c r="B794" t="s">
        <v>94</v>
      </c>
      <c r="C794" s="10" t="s">
        <v>1678</v>
      </c>
      <c r="D794" s="10" t="s">
        <v>1679</v>
      </c>
      <c r="E794" s="10" t="s">
        <v>1682</v>
      </c>
      <c r="F794" t="s">
        <v>591</v>
      </c>
      <c r="G794" s="4">
        <v>25544</v>
      </c>
      <c r="H794" s="4"/>
      <c r="I794" s="4"/>
      <c r="J794" s="4">
        <f>SUM(G794:I794)</f>
        <v>25544</v>
      </c>
      <c r="K794" t="s">
        <v>1659</v>
      </c>
      <c r="L794" t="s">
        <v>1659</v>
      </c>
      <c r="M794" t="s">
        <v>591</v>
      </c>
      <c r="N794" t="s">
        <v>1132</v>
      </c>
      <c r="O794" t="s">
        <v>1132</v>
      </c>
      <c r="P794" t="str">
        <f>IFERROR(VLOOKUP(F794,Sheet1!$A$2:$B$54,2,FALSE),"")</f>
        <v/>
      </c>
    </row>
    <row r="795" spans="1:16" x14ac:dyDescent="0.2">
      <c r="A795" s="1">
        <v>2022</v>
      </c>
      <c r="B795" t="s">
        <v>94</v>
      </c>
      <c r="C795" s="10" t="s">
        <v>1678</v>
      </c>
      <c r="D795" s="10" t="s">
        <v>1679</v>
      </c>
      <c r="E795" s="10" t="s">
        <v>1682</v>
      </c>
      <c r="F795" t="s">
        <v>591</v>
      </c>
      <c r="G795" s="4">
        <v>39740</v>
      </c>
      <c r="H795" s="4"/>
      <c r="I795" s="4"/>
      <c r="J795" s="4">
        <f>SUM(G795:I795)</f>
        <v>39740</v>
      </c>
      <c r="K795" t="s">
        <v>1659</v>
      </c>
      <c r="L795" t="s">
        <v>1659</v>
      </c>
      <c r="M795" t="s">
        <v>591</v>
      </c>
      <c r="N795" t="s">
        <v>1132</v>
      </c>
      <c r="O795" t="s">
        <v>1132</v>
      </c>
      <c r="P795" t="str">
        <f>IFERROR(VLOOKUP(F795,Sheet1!$A$2:$B$54,2,FALSE),"")</f>
        <v/>
      </c>
    </row>
    <row r="796" spans="1:16" x14ac:dyDescent="0.2">
      <c r="A796" s="1">
        <v>2023</v>
      </c>
      <c r="B796" t="s">
        <v>94</v>
      </c>
      <c r="C796" s="10" t="s">
        <v>1678</v>
      </c>
      <c r="D796" s="10" t="s">
        <v>1679</v>
      </c>
      <c r="E796" s="10" t="s">
        <v>1682</v>
      </c>
      <c r="F796" t="s">
        <v>591</v>
      </c>
      <c r="G796" s="4">
        <v>51297</v>
      </c>
      <c r="H796" s="4"/>
      <c r="I796" s="4"/>
      <c r="J796" s="4">
        <f>SUM(G796:I796)</f>
        <v>51297</v>
      </c>
      <c r="K796" t="s">
        <v>1659</v>
      </c>
      <c r="L796" t="s">
        <v>1659</v>
      </c>
      <c r="M796" t="s">
        <v>591</v>
      </c>
      <c r="N796" t="s">
        <v>1132</v>
      </c>
      <c r="O796" t="s">
        <v>1132</v>
      </c>
      <c r="P796" t="str">
        <f>IFERROR(VLOOKUP(F796,Sheet1!$A$2:$B$54,2,FALSE),"")</f>
        <v/>
      </c>
    </row>
    <row r="797" spans="1:16" x14ac:dyDescent="0.2">
      <c r="A797" s="1">
        <v>2015</v>
      </c>
      <c r="B797" t="s">
        <v>95</v>
      </c>
      <c r="C797" s="10" t="s">
        <v>1678</v>
      </c>
      <c r="D797" s="10" t="s">
        <v>1679</v>
      </c>
      <c r="E797" s="10" t="s">
        <v>1682</v>
      </c>
      <c r="F797" t="s">
        <v>592</v>
      </c>
      <c r="G797" s="4">
        <v>13846</v>
      </c>
      <c r="H797" s="4">
        <v>293828</v>
      </c>
      <c r="I797" s="4">
        <v>0</v>
      </c>
      <c r="J797" s="4">
        <f>SUM(G797:I797)</f>
        <v>307674</v>
      </c>
      <c r="K797" t="s">
        <v>1660</v>
      </c>
      <c r="L797" t="s">
        <v>1660</v>
      </c>
      <c r="M797" t="s">
        <v>1120</v>
      </c>
      <c r="N797" t="s">
        <v>1120</v>
      </c>
      <c r="O797" t="s">
        <v>1120</v>
      </c>
      <c r="P797">
        <f>IFERROR(VLOOKUP(F797,Sheet1!$A$2:$B$54,2,FALSE),"")</f>
        <v>4900180</v>
      </c>
    </row>
    <row r="798" spans="1:16" x14ac:dyDescent="0.2">
      <c r="A798" s="1">
        <v>2016</v>
      </c>
      <c r="B798" t="s">
        <v>95</v>
      </c>
      <c r="C798" s="10" t="s">
        <v>1678</v>
      </c>
      <c r="D798" s="10" t="s">
        <v>1679</v>
      </c>
      <c r="E798" s="10" t="s">
        <v>1682</v>
      </c>
      <c r="F798" t="s">
        <v>592</v>
      </c>
      <c r="G798" s="4">
        <v>23145</v>
      </c>
      <c r="H798" s="4">
        <v>311662</v>
      </c>
      <c r="I798" s="4"/>
      <c r="J798" s="4">
        <f>SUM(G798:I798)</f>
        <v>334807</v>
      </c>
      <c r="K798" t="s">
        <v>1660</v>
      </c>
      <c r="L798" t="s">
        <v>1659</v>
      </c>
      <c r="M798" t="s">
        <v>1120</v>
      </c>
      <c r="N798" t="s">
        <v>1120</v>
      </c>
      <c r="O798" t="s">
        <v>1132</v>
      </c>
      <c r="P798">
        <f>IFERROR(VLOOKUP(F798,Sheet1!$A$2:$B$54,2,FALSE),"")</f>
        <v>4900180</v>
      </c>
    </row>
    <row r="799" spans="1:16" x14ac:dyDescent="0.2">
      <c r="A799" s="1">
        <v>2017</v>
      </c>
      <c r="B799" t="s">
        <v>95</v>
      </c>
      <c r="C799" s="10" t="s">
        <v>1678</v>
      </c>
      <c r="D799" s="10" t="s">
        <v>1679</v>
      </c>
      <c r="E799" s="10" t="s">
        <v>1682</v>
      </c>
      <c r="F799" t="s">
        <v>592</v>
      </c>
      <c r="G799" s="4">
        <v>28296</v>
      </c>
      <c r="H799" s="4">
        <v>334402</v>
      </c>
      <c r="I799" s="4"/>
      <c r="J799" s="4">
        <f>SUM(G799:I799)</f>
        <v>362698</v>
      </c>
      <c r="K799" t="s">
        <v>1660</v>
      </c>
      <c r="L799" t="s">
        <v>1659</v>
      </c>
      <c r="M799" t="s">
        <v>1120</v>
      </c>
      <c r="N799" t="s">
        <v>1120</v>
      </c>
      <c r="O799" t="s">
        <v>1132</v>
      </c>
      <c r="P799">
        <f>IFERROR(VLOOKUP(F799,Sheet1!$A$2:$B$54,2,FALSE),"")</f>
        <v>4900180</v>
      </c>
    </row>
    <row r="800" spans="1:16" x14ac:dyDescent="0.2">
      <c r="A800" s="1">
        <v>2018</v>
      </c>
      <c r="B800" t="s">
        <v>95</v>
      </c>
      <c r="C800" s="10" t="s">
        <v>1678</v>
      </c>
      <c r="D800" s="10" t="s">
        <v>1679</v>
      </c>
      <c r="E800" s="10" t="s">
        <v>1682</v>
      </c>
      <c r="F800" t="s">
        <v>592</v>
      </c>
      <c r="G800" s="4">
        <v>32094</v>
      </c>
      <c r="H800" s="4">
        <v>323056</v>
      </c>
      <c r="I800" s="4"/>
      <c r="J800" s="4">
        <f>SUM(G800:I800)</f>
        <v>355150</v>
      </c>
      <c r="K800" t="s">
        <v>1660</v>
      </c>
      <c r="L800" t="s">
        <v>1659</v>
      </c>
      <c r="M800" t="s">
        <v>1120</v>
      </c>
      <c r="N800" t="s">
        <v>1120</v>
      </c>
      <c r="O800" t="s">
        <v>1132</v>
      </c>
      <c r="P800">
        <f>IFERROR(VLOOKUP(F800,Sheet1!$A$2:$B$54,2,FALSE),"")</f>
        <v>4900180</v>
      </c>
    </row>
    <row r="801" spans="1:16" x14ac:dyDescent="0.2">
      <c r="A801" s="1">
        <v>2019</v>
      </c>
      <c r="B801" t="s">
        <v>95</v>
      </c>
      <c r="C801" s="10" t="s">
        <v>1678</v>
      </c>
      <c r="D801" s="10" t="s">
        <v>1679</v>
      </c>
      <c r="E801" s="10" t="s">
        <v>1682</v>
      </c>
      <c r="F801" t="s">
        <v>592</v>
      </c>
      <c r="G801" s="4">
        <v>34585</v>
      </c>
      <c r="H801" s="4">
        <v>315590</v>
      </c>
      <c r="I801" s="4"/>
      <c r="J801" s="4">
        <f>SUM(G801:I801)</f>
        <v>350175</v>
      </c>
      <c r="K801" t="s">
        <v>1660</v>
      </c>
      <c r="L801" t="s">
        <v>1659</v>
      </c>
      <c r="M801" t="s">
        <v>1120</v>
      </c>
      <c r="N801" t="s">
        <v>1120</v>
      </c>
      <c r="O801" t="s">
        <v>1132</v>
      </c>
      <c r="P801">
        <f>IFERROR(VLOOKUP(F801,Sheet1!$A$2:$B$54,2,FALSE),"")</f>
        <v>4900180</v>
      </c>
    </row>
    <row r="802" spans="1:16" x14ac:dyDescent="0.2">
      <c r="A802" s="1">
        <v>2020</v>
      </c>
      <c r="B802" t="s">
        <v>95</v>
      </c>
      <c r="C802" s="10" t="s">
        <v>1678</v>
      </c>
      <c r="D802" s="10" t="s">
        <v>1679</v>
      </c>
      <c r="E802" s="10" t="s">
        <v>1682</v>
      </c>
      <c r="F802" t="s">
        <v>592</v>
      </c>
      <c r="G802" s="4">
        <v>42679</v>
      </c>
      <c r="H802" s="4">
        <v>331202</v>
      </c>
      <c r="I802" s="4"/>
      <c r="J802" s="4">
        <f>SUM(G802:I802)</f>
        <v>373881</v>
      </c>
      <c r="K802" t="s">
        <v>1660</v>
      </c>
      <c r="L802" t="s">
        <v>1659</v>
      </c>
      <c r="M802" t="s">
        <v>1120</v>
      </c>
      <c r="N802" t="s">
        <v>1120</v>
      </c>
      <c r="O802" t="s">
        <v>1132</v>
      </c>
      <c r="P802">
        <f>IFERROR(VLOOKUP(F802,Sheet1!$A$2:$B$54,2,FALSE),"")</f>
        <v>4900180</v>
      </c>
    </row>
    <row r="803" spans="1:16" x14ac:dyDescent="0.2">
      <c r="A803" s="1">
        <v>2021</v>
      </c>
      <c r="B803" t="s">
        <v>95</v>
      </c>
      <c r="C803" s="10" t="s">
        <v>1678</v>
      </c>
      <c r="D803" s="10" t="s">
        <v>1679</v>
      </c>
      <c r="E803" s="10" t="s">
        <v>1682</v>
      </c>
      <c r="F803" t="s">
        <v>592</v>
      </c>
      <c r="G803" s="4">
        <v>57721</v>
      </c>
      <c r="H803" s="4">
        <v>361116</v>
      </c>
      <c r="I803" s="4"/>
      <c r="J803" s="4">
        <f>SUM(G803:I803)</f>
        <v>418837</v>
      </c>
      <c r="K803" t="s">
        <v>1660</v>
      </c>
      <c r="L803" t="s">
        <v>1659</v>
      </c>
      <c r="M803" t="s">
        <v>592</v>
      </c>
      <c r="N803" t="s">
        <v>592</v>
      </c>
      <c r="O803" t="s">
        <v>1132</v>
      </c>
      <c r="P803">
        <f>IFERROR(VLOOKUP(F803,Sheet1!$A$2:$B$54,2,FALSE),"")</f>
        <v>4900180</v>
      </c>
    </row>
    <row r="804" spans="1:16" x14ac:dyDescent="0.2">
      <c r="A804" s="1">
        <v>2022</v>
      </c>
      <c r="B804" t="s">
        <v>95</v>
      </c>
      <c r="C804" s="10" t="s">
        <v>1678</v>
      </c>
      <c r="D804" s="10" t="s">
        <v>1679</v>
      </c>
      <c r="E804" s="10" t="s">
        <v>1682</v>
      </c>
      <c r="F804" t="s">
        <v>592</v>
      </c>
      <c r="G804" s="4">
        <v>73644</v>
      </c>
      <c r="H804" s="4">
        <v>358368</v>
      </c>
      <c r="I804" s="4"/>
      <c r="J804" s="4">
        <f>SUM(G804:I804)</f>
        <v>432012</v>
      </c>
      <c r="K804" t="s">
        <v>1660</v>
      </c>
      <c r="L804" t="s">
        <v>1659</v>
      </c>
      <c r="M804" t="s">
        <v>592</v>
      </c>
      <c r="N804" t="s">
        <v>592</v>
      </c>
      <c r="O804" t="s">
        <v>1132</v>
      </c>
      <c r="P804">
        <f>IFERROR(VLOOKUP(F804,Sheet1!$A$2:$B$54,2,FALSE),"")</f>
        <v>4900180</v>
      </c>
    </row>
    <row r="805" spans="1:16" x14ac:dyDescent="0.2">
      <c r="A805" s="1">
        <v>2023</v>
      </c>
      <c r="B805" t="s">
        <v>95</v>
      </c>
      <c r="C805" s="10" t="s">
        <v>1678</v>
      </c>
      <c r="D805" s="10" t="s">
        <v>1679</v>
      </c>
      <c r="E805" s="10" t="s">
        <v>1682</v>
      </c>
      <c r="F805" t="s">
        <v>592</v>
      </c>
      <c r="G805" s="4">
        <v>80418</v>
      </c>
      <c r="H805" s="4">
        <v>398896</v>
      </c>
      <c r="I805" s="4"/>
      <c r="J805" s="4">
        <f>SUM(G805:I805)</f>
        <v>479314</v>
      </c>
      <c r="K805" t="s">
        <v>1660</v>
      </c>
      <c r="L805" t="s">
        <v>1659</v>
      </c>
      <c r="M805" t="s">
        <v>592</v>
      </c>
      <c r="N805" t="s">
        <v>592</v>
      </c>
      <c r="O805" t="s">
        <v>1132</v>
      </c>
      <c r="P805">
        <f>IFERROR(VLOOKUP(F805,Sheet1!$A$2:$B$54,2,FALSE),"")</f>
        <v>4900180</v>
      </c>
    </row>
    <row r="806" spans="1:16" x14ac:dyDescent="0.2">
      <c r="A806" s="1">
        <v>2015</v>
      </c>
      <c r="B806" t="s">
        <v>96</v>
      </c>
      <c r="C806" s="10" t="s">
        <v>1678</v>
      </c>
      <c r="D806" s="10" t="s">
        <v>1679</v>
      </c>
      <c r="E806" s="10" t="s">
        <v>1682</v>
      </c>
      <c r="F806" t="s">
        <v>593</v>
      </c>
      <c r="G806" s="4">
        <v>3362</v>
      </c>
      <c r="H806" s="4"/>
      <c r="I806" s="4"/>
      <c r="J806" s="4">
        <f>SUM(G806:I806)</f>
        <v>3362</v>
      </c>
      <c r="K806" t="s">
        <v>1659</v>
      </c>
      <c r="L806" t="s">
        <v>1659</v>
      </c>
      <c r="M806" t="s">
        <v>1121</v>
      </c>
      <c r="N806" t="s">
        <v>1132</v>
      </c>
      <c r="O806" t="s">
        <v>1132</v>
      </c>
      <c r="P806" t="str">
        <f>IFERROR(VLOOKUP(F806,Sheet1!$A$2:$B$54,2,FALSE),"")</f>
        <v/>
      </c>
    </row>
    <row r="807" spans="1:16" x14ac:dyDescent="0.2">
      <c r="A807" s="1">
        <v>2016</v>
      </c>
      <c r="B807" t="s">
        <v>96</v>
      </c>
      <c r="C807" s="10" t="s">
        <v>1678</v>
      </c>
      <c r="D807" s="10" t="s">
        <v>1679</v>
      </c>
      <c r="E807" s="10" t="s">
        <v>1682</v>
      </c>
      <c r="F807" t="s">
        <v>593</v>
      </c>
      <c r="G807" s="4">
        <v>13202</v>
      </c>
      <c r="H807" s="4"/>
      <c r="I807" s="4"/>
      <c r="J807" s="4">
        <f>SUM(G807:I807)</f>
        <v>13202</v>
      </c>
      <c r="K807" t="s">
        <v>1659</v>
      </c>
      <c r="L807" t="s">
        <v>1659</v>
      </c>
      <c r="M807" t="s">
        <v>1122</v>
      </c>
      <c r="N807" t="s">
        <v>1132</v>
      </c>
      <c r="O807" t="s">
        <v>1132</v>
      </c>
      <c r="P807" t="str">
        <f>IFERROR(VLOOKUP(F807,Sheet1!$A$2:$B$54,2,FALSE),"")</f>
        <v/>
      </c>
    </row>
    <row r="808" spans="1:16" x14ac:dyDescent="0.2">
      <c r="A808" s="1">
        <v>2017</v>
      </c>
      <c r="B808" t="s">
        <v>96</v>
      </c>
      <c r="C808" s="10" t="s">
        <v>1678</v>
      </c>
      <c r="D808" s="10" t="s">
        <v>1679</v>
      </c>
      <c r="E808" s="10" t="s">
        <v>1682</v>
      </c>
      <c r="F808" t="s">
        <v>593</v>
      </c>
      <c r="G808" s="4">
        <v>6783</v>
      </c>
      <c r="H808" s="4"/>
      <c r="I808" s="4"/>
      <c r="J808" s="4">
        <f>SUM(G808:I808)</f>
        <v>6783</v>
      </c>
      <c r="K808" t="s">
        <v>1659</v>
      </c>
      <c r="L808" t="s">
        <v>1659</v>
      </c>
      <c r="M808" t="s">
        <v>1122</v>
      </c>
      <c r="N808" t="s">
        <v>1132</v>
      </c>
      <c r="O808" t="s">
        <v>1132</v>
      </c>
      <c r="P808" t="str">
        <f>IFERROR(VLOOKUP(F808,Sheet1!$A$2:$B$54,2,FALSE),"")</f>
        <v/>
      </c>
    </row>
    <row r="809" spans="1:16" x14ac:dyDescent="0.2">
      <c r="A809" s="1">
        <v>2018</v>
      </c>
      <c r="B809" t="s">
        <v>96</v>
      </c>
      <c r="C809" s="10" t="s">
        <v>1678</v>
      </c>
      <c r="D809" s="10" t="s">
        <v>1679</v>
      </c>
      <c r="E809" s="10" t="s">
        <v>1682</v>
      </c>
      <c r="F809" t="s">
        <v>593</v>
      </c>
      <c r="G809" s="4">
        <v>3998</v>
      </c>
      <c r="H809" s="4"/>
      <c r="I809" s="4"/>
      <c r="J809" s="4">
        <f>SUM(G809:I809)</f>
        <v>3998</v>
      </c>
      <c r="K809" t="s">
        <v>1659</v>
      </c>
      <c r="L809" t="s">
        <v>1659</v>
      </c>
      <c r="M809" t="s">
        <v>1122</v>
      </c>
      <c r="N809" t="s">
        <v>1132</v>
      </c>
      <c r="O809" t="s">
        <v>1132</v>
      </c>
      <c r="P809" t="str">
        <f>IFERROR(VLOOKUP(F809,Sheet1!$A$2:$B$54,2,FALSE),"")</f>
        <v/>
      </c>
    </row>
    <row r="810" spans="1:16" x14ac:dyDescent="0.2">
      <c r="A810" s="1">
        <v>2019</v>
      </c>
      <c r="B810" t="s">
        <v>96</v>
      </c>
      <c r="C810" s="10" t="s">
        <v>1678</v>
      </c>
      <c r="D810" s="10" t="s">
        <v>1679</v>
      </c>
      <c r="E810" s="10" t="s">
        <v>1682</v>
      </c>
      <c r="F810" t="s">
        <v>593</v>
      </c>
      <c r="G810" s="4">
        <v>6796</v>
      </c>
      <c r="H810" s="4"/>
      <c r="I810" s="4"/>
      <c r="J810" s="4">
        <f>SUM(G810:I810)</f>
        <v>6796</v>
      </c>
      <c r="K810" t="s">
        <v>1659</v>
      </c>
      <c r="L810" t="s">
        <v>1659</v>
      </c>
      <c r="M810" t="s">
        <v>1122</v>
      </c>
      <c r="N810" t="s">
        <v>1132</v>
      </c>
      <c r="O810" t="s">
        <v>1132</v>
      </c>
      <c r="P810" t="str">
        <f>IFERROR(VLOOKUP(F810,Sheet1!$A$2:$B$54,2,FALSE),"")</f>
        <v/>
      </c>
    </row>
    <row r="811" spans="1:16" x14ac:dyDescent="0.2">
      <c r="A811" s="1">
        <v>2020</v>
      </c>
      <c r="B811" t="s">
        <v>96</v>
      </c>
      <c r="C811" s="10" t="s">
        <v>1678</v>
      </c>
      <c r="D811" s="10" t="s">
        <v>1679</v>
      </c>
      <c r="E811" s="10" t="s">
        <v>1682</v>
      </c>
      <c r="F811" t="s">
        <v>593</v>
      </c>
      <c r="G811" s="4">
        <v>9746</v>
      </c>
      <c r="H811" s="4"/>
      <c r="I811" s="4"/>
      <c r="J811" s="4">
        <f>SUM(G811:I811)</f>
        <v>9746</v>
      </c>
      <c r="K811" t="s">
        <v>1659</v>
      </c>
      <c r="L811" t="s">
        <v>1659</v>
      </c>
      <c r="M811" t="s">
        <v>1122</v>
      </c>
      <c r="N811" t="s">
        <v>1132</v>
      </c>
      <c r="O811" t="s">
        <v>1132</v>
      </c>
      <c r="P811" t="str">
        <f>IFERROR(VLOOKUP(F811,Sheet1!$A$2:$B$54,2,FALSE),"")</f>
        <v/>
      </c>
    </row>
    <row r="812" spans="1:16" x14ac:dyDescent="0.2">
      <c r="A812" s="1">
        <v>2021</v>
      </c>
      <c r="B812" t="s">
        <v>96</v>
      </c>
      <c r="C812" s="10" t="s">
        <v>1678</v>
      </c>
      <c r="D812" s="10" t="s">
        <v>1679</v>
      </c>
      <c r="E812" s="10" t="s">
        <v>1682</v>
      </c>
      <c r="F812" t="s">
        <v>593</v>
      </c>
      <c r="G812" s="4">
        <v>9027</v>
      </c>
      <c r="H812" s="4"/>
      <c r="I812" s="4"/>
      <c r="J812" s="4">
        <f>SUM(G812:I812)</f>
        <v>9027</v>
      </c>
      <c r="K812" t="s">
        <v>1659</v>
      </c>
      <c r="L812" t="s">
        <v>1659</v>
      </c>
      <c r="M812" t="s">
        <v>593</v>
      </c>
      <c r="N812" t="s">
        <v>1132</v>
      </c>
      <c r="O812" t="s">
        <v>1132</v>
      </c>
      <c r="P812" t="str">
        <f>IFERROR(VLOOKUP(F812,Sheet1!$A$2:$B$54,2,FALSE),"")</f>
        <v/>
      </c>
    </row>
    <row r="813" spans="1:16" x14ac:dyDescent="0.2">
      <c r="A813" s="1">
        <v>2022</v>
      </c>
      <c r="B813" t="s">
        <v>96</v>
      </c>
      <c r="C813" s="10" t="s">
        <v>1678</v>
      </c>
      <c r="D813" s="10" t="s">
        <v>1679</v>
      </c>
      <c r="E813" s="10" t="s">
        <v>1682</v>
      </c>
      <c r="F813" t="s">
        <v>593</v>
      </c>
      <c r="G813" s="4">
        <v>19904</v>
      </c>
      <c r="H813" s="4"/>
      <c r="I813" s="4"/>
      <c r="J813" s="4">
        <f>SUM(G813:I813)</f>
        <v>19904</v>
      </c>
      <c r="K813" t="s">
        <v>1659</v>
      </c>
      <c r="L813" t="s">
        <v>1659</v>
      </c>
      <c r="M813" t="s">
        <v>593</v>
      </c>
      <c r="N813" t="s">
        <v>1132</v>
      </c>
      <c r="O813" t="s">
        <v>1132</v>
      </c>
      <c r="P813" t="str">
        <f>IFERROR(VLOOKUP(F813,Sheet1!$A$2:$B$54,2,FALSE),"")</f>
        <v/>
      </c>
    </row>
    <row r="814" spans="1:16" x14ac:dyDescent="0.2">
      <c r="A814" s="1">
        <v>2023</v>
      </c>
      <c r="B814" t="s">
        <v>96</v>
      </c>
      <c r="C814" s="10" t="s">
        <v>1678</v>
      </c>
      <c r="D814" s="10" t="s">
        <v>1679</v>
      </c>
      <c r="E814" s="10" t="s">
        <v>1682</v>
      </c>
      <c r="F814" t="s">
        <v>593</v>
      </c>
      <c r="G814" s="4">
        <v>23642</v>
      </c>
      <c r="H814" s="4"/>
      <c r="I814" s="4"/>
      <c r="J814" s="4">
        <f>SUM(G814:I814)</f>
        <v>23642</v>
      </c>
      <c r="K814" t="s">
        <v>1659</v>
      </c>
      <c r="L814" t="s">
        <v>1659</v>
      </c>
      <c r="M814" t="s">
        <v>593</v>
      </c>
      <c r="N814" t="s">
        <v>1132</v>
      </c>
      <c r="O814" t="s">
        <v>1132</v>
      </c>
      <c r="P814" t="str">
        <f>IFERROR(VLOOKUP(F814,Sheet1!$A$2:$B$54,2,FALSE),"")</f>
        <v/>
      </c>
    </row>
    <row r="815" spans="1:16" x14ac:dyDescent="0.2">
      <c r="A815" s="1">
        <v>2015</v>
      </c>
      <c r="B815" t="s">
        <v>97</v>
      </c>
      <c r="C815" s="10" t="s">
        <v>1678</v>
      </c>
      <c r="D815" s="10" t="s">
        <v>1679</v>
      </c>
      <c r="E815" s="10" t="s">
        <v>1682</v>
      </c>
      <c r="F815" t="s">
        <v>594</v>
      </c>
      <c r="G815" s="4">
        <v>132481</v>
      </c>
      <c r="H815" s="4"/>
      <c r="I815" s="4"/>
      <c r="J815" s="4">
        <f>SUM(G815:I815)</f>
        <v>132481</v>
      </c>
      <c r="K815" t="s">
        <v>1659</v>
      </c>
      <c r="L815" t="s">
        <v>1659</v>
      </c>
      <c r="M815" t="s">
        <v>1123</v>
      </c>
      <c r="N815" t="s">
        <v>1132</v>
      </c>
      <c r="O815" t="s">
        <v>1132</v>
      </c>
      <c r="P815" t="str">
        <f>IFERROR(VLOOKUP(F815,Sheet1!$A$2:$B$54,2,FALSE),"")</f>
        <v/>
      </c>
    </row>
    <row r="816" spans="1:16" x14ac:dyDescent="0.2">
      <c r="A816" s="1">
        <v>2016</v>
      </c>
      <c r="B816" t="s">
        <v>97</v>
      </c>
      <c r="C816" s="10" t="s">
        <v>1678</v>
      </c>
      <c r="D816" s="10" t="s">
        <v>1679</v>
      </c>
      <c r="E816" s="10" t="s">
        <v>1682</v>
      </c>
      <c r="F816" t="s">
        <v>594</v>
      </c>
      <c r="G816" s="4">
        <v>196323</v>
      </c>
      <c r="H816" s="4"/>
      <c r="I816" s="4"/>
      <c r="J816" s="4">
        <f>SUM(G816:I816)</f>
        <v>196323</v>
      </c>
      <c r="K816" t="s">
        <v>1659</v>
      </c>
      <c r="L816" t="s">
        <v>1659</v>
      </c>
      <c r="M816" t="s">
        <v>1123</v>
      </c>
      <c r="N816" t="s">
        <v>1132</v>
      </c>
      <c r="O816" t="s">
        <v>1132</v>
      </c>
      <c r="P816" t="str">
        <f>IFERROR(VLOOKUP(F816,Sheet1!$A$2:$B$54,2,FALSE),"")</f>
        <v/>
      </c>
    </row>
    <row r="817" spans="1:16" x14ac:dyDescent="0.2">
      <c r="A817" s="1">
        <v>2017</v>
      </c>
      <c r="B817" t="s">
        <v>97</v>
      </c>
      <c r="C817" s="10" t="s">
        <v>1678</v>
      </c>
      <c r="D817" s="10" t="s">
        <v>1679</v>
      </c>
      <c r="E817" s="10" t="s">
        <v>1682</v>
      </c>
      <c r="F817" t="s">
        <v>594</v>
      </c>
      <c r="G817" s="4">
        <v>235682</v>
      </c>
      <c r="H817" s="4"/>
      <c r="I817" s="4"/>
      <c r="J817" s="4">
        <f>SUM(G817:I817)</f>
        <v>235682</v>
      </c>
      <c r="K817" t="s">
        <v>1659</v>
      </c>
      <c r="L817" t="s">
        <v>1659</v>
      </c>
      <c r="M817" t="s">
        <v>1123</v>
      </c>
      <c r="N817" t="s">
        <v>1132</v>
      </c>
      <c r="O817" t="s">
        <v>1132</v>
      </c>
      <c r="P817" t="str">
        <f>IFERROR(VLOOKUP(F817,Sheet1!$A$2:$B$54,2,FALSE),"")</f>
        <v/>
      </c>
    </row>
    <row r="818" spans="1:16" x14ac:dyDescent="0.2">
      <c r="A818" s="1">
        <v>2018</v>
      </c>
      <c r="B818" t="s">
        <v>97</v>
      </c>
      <c r="C818" s="10" t="s">
        <v>1678</v>
      </c>
      <c r="D818" s="10" t="s">
        <v>1679</v>
      </c>
      <c r="E818" s="10" t="s">
        <v>1682</v>
      </c>
      <c r="F818" t="s">
        <v>594</v>
      </c>
      <c r="G818" s="4">
        <v>323510</v>
      </c>
      <c r="H818" s="4"/>
      <c r="I818" s="4"/>
      <c r="J818" s="4">
        <f>SUM(G818:I818)</f>
        <v>323510</v>
      </c>
      <c r="K818" t="s">
        <v>1659</v>
      </c>
      <c r="L818" t="s">
        <v>1659</v>
      </c>
      <c r="M818" t="s">
        <v>1123</v>
      </c>
      <c r="N818" t="s">
        <v>1132</v>
      </c>
      <c r="O818" t="s">
        <v>1132</v>
      </c>
      <c r="P818" t="str">
        <f>IFERROR(VLOOKUP(F818,Sheet1!$A$2:$B$54,2,FALSE),"")</f>
        <v/>
      </c>
    </row>
    <row r="819" spans="1:16" x14ac:dyDescent="0.2">
      <c r="A819" s="1">
        <v>2019</v>
      </c>
      <c r="B819" t="s">
        <v>97</v>
      </c>
      <c r="C819" s="10" t="s">
        <v>1678</v>
      </c>
      <c r="D819" s="10" t="s">
        <v>1679</v>
      </c>
      <c r="E819" s="10" t="s">
        <v>1682</v>
      </c>
      <c r="F819" t="s">
        <v>594</v>
      </c>
      <c r="G819" s="4">
        <v>387533</v>
      </c>
      <c r="H819" s="4"/>
      <c r="I819" s="4"/>
      <c r="J819" s="4">
        <f>SUM(G819:I819)</f>
        <v>387533</v>
      </c>
      <c r="K819" t="s">
        <v>1659</v>
      </c>
      <c r="L819" t="s">
        <v>1659</v>
      </c>
      <c r="M819" t="s">
        <v>1123</v>
      </c>
      <c r="N819" t="s">
        <v>1132</v>
      </c>
      <c r="O819" t="s">
        <v>1132</v>
      </c>
      <c r="P819" t="str">
        <f>IFERROR(VLOOKUP(F819,Sheet1!$A$2:$B$54,2,FALSE),"")</f>
        <v/>
      </c>
    </row>
    <row r="820" spans="1:16" x14ac:dyDescent="0.2">
      <c r="A820" s="1">
        <v>2020</v>
      </c>
      <c r="B820" t="s">
        <v>97</v>
      </c>
      <c r="C820" s="10" t="s">
        <v>1678</v>
      </c>
      <c r="D820" s="10" t="s">
        <v>1679</v>
      </c>
      <c r="E820" s="10" t="s">
        <v>1682</v>
      </c>
      <c r="F820" t="s">
        <v>594</v>
      </c>
      <c r="G820" s="4">
        <v>487748</v>
      </c>
      <c r="H820" s="4"/>
      <c r="I820" s="4"/>
      <c r="J820" s="4">
        <f>SUM(G820:I820)</f>
        <v>487748</v>
      </c>
      <c r="K820" t="s">
        <v>1659</v>
      </c>
      <c r="L820" t="s">
        <v>1659</v>
      </c>
      <c r="M820" t="s">
        <v>1123</v>
      </c>
      <c r="N820" t="s">
        <v>1132</v>
      </c>
      <c r="O820" t="s">
        <v>1132</v>
      </c>
      <c r="P820" t="str">
        <f>IFERROR(VLOOKUP(F820,Sheet1!$A$2:$B$54,2,FALSE),"")</f>
        <v/>
      </c>
    </row>
    <row r="821" spans="1:16" x14ac:dyDescent="0.2">
      <c r="A821" s="1">
        <v>2021</v>
      </c>
      <c r="B821" t="s">
        <v>97</v>
      </c>
      <c r="C821" s="10" t="s">
        <v>1678</v>
      </c>
      <c r="D821" s="10" t="s">
        <v>1679</v>
      </c>
      <c r="E821" s="10" t="s">
        <v>1682</v>
      </c>
      <c r="F821" t="s">
        <v>594</v>
      </c>
      <c r="G821" s="4">
        <v>592659</v>
      </c>
      <c r="H821" s="4"/>
      <c r="I821" s="4"/>
      <c r="J821" s="4">
        <f>SUM(G821:I821)</f>
        <v>592659</v>
      </c>
      <c r="K821" t="s">
        <v>1659</v>
      </c>
      <c r="L821" t="s">
        <v>1659</v>
      </c>
      <c r="M821" t="s">
        <v>594</v>
      </c>
      <c r="N821" t="s">
        <v>1132</v>
      </c>
      <c r="O821" t="s">
        <v>1132</v>
      </c>
      <c r="P821" t="str">
        <f>IFERROR(VLOOKUP(F821,Sheet1!$A$2:$B$54,2,FALSE),"")</f>
        <v/>
      </c>
    </row>
    <row r="822" spans="1:16" x14ac:dyDescent="0.2">
      <c r="A822" s="1">
        <v>2022</v>
      </c>
      <c r="B822" t="s">
        <v>97</v>
      </c>
      <c r="C822" s="10" t="s">
        <v>1678</v>
      </c>
      <c r="D822" s="10" t="s">
        <v>1679</v>
      </c>
      <c r="E822" s="10" t="s">
        <v>1682</v>
      </c>
      <c r="F822" t="s">
        <v>594</v>
      </c>
      <c r="G822" s="4">
        <v>711532</v>
      </c>
      <c r="H822" s="4"/>
      <c r="I822" s="4"/>
      <c r="J822" s="4">
        <f>SUM(G822:I822)</f>
        <v>711532</v>
      </c>
      <c r="K822" t="s">
        <v>1659</v>
      </c>
      <c r="L822" t="s">
        <v>1659</v>
      </c>
      <c r="M822" t="s">
        <v>594</v>
      </c>
      <c r="N822" t="s">
        <v>1132</v>
      </c>
      <c r="O822" t="s">
        <v>1132</v>
      </c>
      <c r="P822" t="str">
        <f>IFERROR(VLOOKUP(F822,Sheet1!$A$2:$B$54,2,FALSE),"")</f>
        <v/>
      </c>
    </row>
    <row r="823" spans="1:16" x14ac:dyDescent="0.2">
      <c r="A823" s="1">
        <v>2023</v>
      </c>
      <c r="B823" t="s">
        <v>97</v>
      </c>
      <c r="C823" s="10" t="s">
        <v>1678</v>
      </c>
      <c r="D823" s="10" t="s">
        <v>1679</v>
      </c>
      <c r="E823" s="10" t="s">
        <v>1682</v>
      </c>
      <c r="F823" t="s">
        <v>594</v>
      </c>
      <c r="G823" s="4">
        <v>811895</v>
      </c>
      <c r="H823" s="4"/>
      <c r="I823" s="4"/>
      <c r="J823" s="4">
        <f>SUM(G823:I823)</f>
        <v>811895</v>
      </c>
      <c r="K823" t="s">
        <v>1659</v>
      </c>
      <c r="L823" t="s">
        <v>1659</v>
      </c>
      <c r="M823" t="s">
        <v>594</v>
      </c>
      <c r="N823" t="s">
        <v>1132</v>
      </c>
      <c r="O823" t="s">
        <v>1132</v>
      </c>
      <c r="P823" t="str">
        <f>IFERROR(VLOOKUP(F823,Sheet1!$A$2:$B$54,2,FALSE),"")</f>
        <v/>
      </c>
    </row>
    <row r="824" spans="1:16" x14ac:dyDescent="0.2">
      <c r="A824" s="1">
        <v>2015</v>
      </c>
      <c r="B824" t="s">
        <v>98</v>
      </c>
      <c r="C824" s="10" t="s">
        <v>1678</v>
      </c>
      <c r="D824" s="10" t="s">
        <v>1679</v>
      </c>
      <c r="E824" s="10" t="s">
        <v>1682</v>
      </c>
      <c r="F824" t="s">
        <v>595</v>
      </c>
      <c r="G824" s="4">
        <v>7961</v>
      </c>
      <c r="H824" s="4"/>
      <c r="I824" s="4"/>
      <c r="J824" s="4">
        <f>SUM(G824:I824)</f>
        <v>7961</v>
      </c>
      <c r="K824" t="s">
        <v>1659</v>
      </c>
      <c r="L824" t="s">
        <v>1659</v>
      </c>
      <c r="M824" t="s">
        <v>1124</v>
      </c>
      <c r="N824" t="s">
        <v>1132</v>
      </c>
      <c r="O824" t="s">
        <v>1132</v>
      </c>
      <c r="P824" t="str">
        <f>IFERROR(VLOOKUP(F824,Sheet1!$A$2:$B$54,2,FALSE),"")</f>
        <v/>
      </c>
    </row>
    <row r="825" spans="1:16" x14ac:dyDescent="0.2">
      <c r="A825" s="1">
        <v>2016</v>
      </c>
      <c r="B825" t="s">
        <v>98</v>
      </c>
      <c r="C825" s="10" t="s">
        <v>1678</v>
      </c>
      <c r="D825" s="10" t="s">
        <v>1679</v>
      </c>
      <c r="E825" s="10" t="s">
        <v>1682</v>
      </c>
      <c r="F825" t="s">
        <v>595</v>
      </c>
      <c r="G825" s="4">
        <v>8063</v>
      </c>
      <c r="H825" s="4"/>
      <c r="I825" s="4"/>
      <c r="J825" s="4">
        <f>SUM(G825:I825)</f>
        <v>8063</v>
      </c>
      <c r="K825" t="s">
        <v>1659</v>
      </c>
      <c r="L825" t="s">
        <v>1659</v>
      </c>
      <c r="M825" t="s">
        <v>1125</v>
      </c>
      <c r="N825" t="s">
        <v>1132</v>
      </c>
      <c r="O825" t="s">
        <v>1132</v>
      </c>
      <c r="P825" t="str">
        <f>IFERROR(VLOOKUP(F825,Sheet1!$A$2:$B$54,2,FALSE),"")</f>
        <v/>
      </c>
    </row>
    <row r="826" spans="1:16" x14ac:dyDescent="0.2">
      <c r="A826" s="1">
        <v>2017</v>
      </c>
      <c r="B826" t="s">
        <v>98</v>
      </c>
      <c r="C826" s="10" t="s">
        <v>1678</v>
      </c>
      <c r="D826" s="10" t="s">
        <v>1679</v>
      </c>
      <c r="E826" s="10" t="s">
        <v>1682</v>
      </c>
      <c r="F826" t="s">
        <v>595</v>
      </c>
      <c r="G826" s="4">
        <v>9972</v>
      </c>
      <c r="H826" s="4"/>
      <c r="I826" s="4"/>
      <c r="J826" s="4">
        <f>SUM(G826:I826)</f>
        <v>9972</v>
      </c>
      <c r="K826" t="s">
        <v>1659</v>
      </c>
      <c r="L826" t="s">
        <v>1659</v>
      </c>
      <c r="M826" t="s">
        <v>1125</v>
      </c>
      <c r="N826" t="s">
        <v>1132</v>
      </c>
      <c r="O826" t="s">
        <v>1132</v>
      </c>
      <c r="P826" t="str">
        <f>IFERROR(VLOOKUP(F826,Sheet1!$A$2:$B$54,2,FALSE),"")</f>
        <v/>
      </c>
    </row>
    <row r="827" spans="1:16" x14ac:dyDescent="0.2">
      <c r="A827" s="1">
        <v>2018</v>
      </c>
      <c r="B827" t="s">
        <v>98</v>
      </c>
      <c r="C827" s="10" t="s">
        <v>1678</v>
      </c>
      <c r="D827" s="10" t="s">
        <v>1679</v>
      </c>
      <c r="E827" s="10" t="s">
        <v>1682</v>
      </c>
      <c r="F827" t="s">
        <v>595</v>
      </c>
      <c r="G827" s="4">
        <v>10662</v>
      </c>
      <c r="H827" s="4"/>
      <c r="I827" s="4"/>
      <c r="J827" s="4">
        <f>SUM(G827:I827)</f>
        <v>10662</v>
      </c>
      <c r="K827" t="s">
        <v>1659</v>
      </c>
      <c r="L827" t="s">
        <v>1659</v>
      </c>
      <c r="M827" t="s">
        <v>1125</v>
      </c>
      <c r="N827" t="s">
        <v>1132</v>
      </c>
      <c r="O827" t="s">
        <v>1132</v>
      </c>
      <c r="P827" t="str">
        <f>IFERROR(VLOOKUP(F827,Sheet1!$A$2:$B$54,2,FALSE),"")</f>
        <v/>
      </c>
    </row>
    <row r="828" spans="1:16" x14ac:dyDescent="0.2">
      <c r="A828" s="1">
        <v>2019</v>
      </c>
      <c r="B828" t="s">
        <v>98</v>
      </c>
      <c r="C828" s="10" t="s">
        <v>1678</v>
      </c>
      <c r="D828" s="10" t="s">
        <v>1679</v>
      </c>
      <c r="E828" s="10" t="s">
        <v>1682</v>
      </c>
      <c r="F828" t="s">
        <v>595</v>
      </c>
      <c r="G828" s="4">
        <v>10875</v>
      </c>
      <c r="H828" s="4"/>
      <c r="I828" s="4"/>
      <c r="J828" s="4">
        <f>SUM(G828:I828)</f>
        <v>10875</v>
      </c>
      <c r="K828" t="s">
        <v>1659</v>
      </c>
      <c r="L828" t="s">
        <v>1659</v>
      </c>
      <c r="M828" t="s">
        <v>1125</v>
      </c>
      <c r="N828" t="s">
        <v>1132</v>
      </c>
      <c r="O828" t="s">
        <v>1132</v>
      </c>
      <c r="P828" t="str">
        <f>IFERROR(VLOOKUP(F828,Sheet1!$A$2:$B$54,2,FALSE),"")</f>
        <v/>
      </c>
    </row>
    <row r="829" spans="1:16" x14ac:dyDescent="0.2">
      <c r="A829" s="1">
        <v>2020</v>
      </c>
      <c r="B829" t="s">
        <v>98</v>
      </c>
      <c r="C829" s="10" t="s">
        <v>1678</v>
      </c>
      <c r="D829" s="10" t="s">
        <v>1679</v>
      </c>
      <c r="E829" s="10" t="s">
        <v>1682</v>
      </c>
      <c r="F829" t="s">
        <v>595</v>
      </c>
      <c r="G829" s="4">
        <v>13557</v>
      </c>
      <c r="H829" s="4"/>
      <c r="I829" s="4"/>
      <c r="J829" s="4">
        <f>SUM(G829:I829)</f>
        <v>13557</v>
      </c>
      <c r="K829" t="s">
        <v>1659</v>
      </c>
      <c r="L829" t="s">
        <v>1659</v>
      </c>
      <c r="M829" t="s">
        <v>1125</v>
      </c>
      <c r="N829" t="s">
        <v>1132</v>
      </c>
      <c r="O829" t="s">
        <v>1132</v>
      </c>
      <c r="P829" t="str">
        <f>IFERROR(VLOOKUP(F829,Sheet1!$A$2:$B$54,2,FALSE),"")</f>
        <v/>
      </c>
    </row>
    <row r="830" spans="1:16" x14ac:dyDescent="0.2">
      <c r="A830" s="1">
        <v>2021</v>
      </c>
      <c r="B830" t="s">
        <v>98</v>
      </c>
      <c r="C830" s="10" t="s">
        <v>1678</v>
      </c>
      <c r="D830" s="10" t="s">
        <v>1679</v>
      </c>
      <c r="E830" s="10" t="s">
        <v>1682</v>
      </c>
      <c r="F830" t="s">
        <v>595</v>
      </c>
      <c r="G830" s="4">
        <v>16214</v>
      </c>
      <c r="H830" s="4"/>
      <c r="I830" s="4"/>
      <c r="J830" s="4">
        <f>SUM(G830:I830)</f>
        <v>16214</v>
      </c>
      <c r="K830" t="s">
        <v>1659</v>
      </c>
      <c r="L830" t="s">
        <v>1659</v>
      </c>
      <c r="M830" t="s">
        <v>595</v>
      </c>
      <c r="N830" t="s">
        <v>1132</v>
      </c>
      <c r="O830" t="s">
        <v>1132</v>
      </c>
      <c r="P830" t="str">
        <f>IFERROR(VLOOKUP(F830,Sheet1!$A$2:$B$54,2,FALSE),"")</f>
        <v/>
      </c>
    </row>
    <row r="831" spans="1:16" x14ac:dyDescent="0.2">
      <c r="A831" s="1">
        <v>2022</v>
      </c>
      <c r="B831" t="s">
        <v>98</v>
      </c>
      <c r="C831" s="10" t="s">
        <v>1678</v>
      </c>
      <c r="D831" s="10" t="s">
        <v>1679</v>
      </c>
      <c r="E831" s="10" t="s">
        <v>1682</v>
      </c>
      <c r="F831" t="s">
        <v>595</v>
      </c>
      <c r="G831" s="4">
        <v>24074</v>
      </c>
      <c r="H831" s="4"/>
      <c r="I831" s="4"/>
      <c r="J831" s="4">
        <f>SUM(G831:I831)</f>
        <v>24074</v>
      </c>
      <c r="K831" t="s">
        <v>1659</v>
      </c>
      <c r="L831" t="s">
        <v>1659</v>
      </c>
      <c r="M831" t="s">
        <v>595</v>
      </c>
      <c r="N831" t="s">
        <v>1132</v>
      </c>
      <c r="O831" t="s">
        <v>1132</v>
      </c>
      <c r="P831" t="str">
        <f>IFERROR(VLOOKUP(F831,Sheet1!$A$2:$B$54,2,FALSE),"")</f>
        <v/>
      </c>
    </row>
    <row r="832" spans="1:16" x14ac:dyDescent="0.2">
      <c r="A832" s="1">
        <v>2023</v>
      </c>
      <c r="B832" t="s">
        <v>98</v>
      </c>
      <c r="C832" s="10" t="s">
        <v>1678</v>
      </c>
      <c r="D832" s="10" t="s">
        <v>1679</v>
      </c>
      <c r="E832" s="10" t="s">
        <v>1682</v>
      </c>
      <c r="F832" t="s">
        <v>595</v>
      </c>
      <c r="G832" s="4">
        <v>31993</v>
      </c>
      <c r="H832" s="4"/>
      <c r="I832" s="4"/>
      <c r="J832" s="4">
        <f>SUM(G832:I832)</f>
        <v>31993</v>
      </c>
      <c r="K832" t="s">
        <v>1659</v>
      </c>
      <c r="L832" t="s">
        <v>1659</v>
      </c>
      <c r="M832" t="s">
        <v>595</v>
      </c>
      <c r="N832" t="s">
        <v>1132</v>
      </c>
      <c r="O832" t="s">
        <v>1132</v>
      </c>
      <c r="P832" t="str">
        <f>IFERROR(VLOOKUP(F832,Sheet1!$A$2:$B$54,2,FALSE),"")</f>
        <v/>
      </c>
    </row>
    <row r="833" spans="1:16" x14ac:dyDescent="0.2">
      <c r="A833" s="1">
        <v>2015</v>
      </c>
      <c r="B833" t="s">
        <v>99</v>
      </c>
      <c r="C833" s="10" t="s">
        <v>1678</v>
      </c>
      <c r="D833" s="10" t="s">
        <v>1679</v>
      </c>
      <c r="E833" s="10" t="s">
        <v>1682</v>
      </c>
      <c r="F833" t="s">
        <v>596</v>
      </c>
      <c r="G833" s="4">
        <v>1913</v>
      </c>
      <c r="H833" s="4"/>
      <c r="I833" s="4"/>
      <c r="J833" s="4">
        <f>SUM(G833:I833)</f>
        <v>1913</v>
      </c>
      <c r="K833" t="s">
        <v>1659</v>
      </c>
      <c r="L833" t="s">
        <v>1659</v>
      </c>
      <c r="M833" t="s">
        <v>1126</v>
      </c>
      <c r="N833" t="s">
        <v>1132</v>
      </c>
      <c r="O833" t="s">
        <v>1132</v>
      </c>
      <c r="P833" t="str">
        <f>IFERROR(VLOOKUP(F833,Sheet1!$A$2:$B$54,2,FALSE),"")</f>
        <v/>
      </c>
    </row>
    <row r="834" spans="1:16" x14ac:dyDescent="0.2">
      <c r="A834" s="1">
        <v>2016</v>
      </c>
      <c r="B834" t="s">
        <v>99</v>
      </c>
      <c r="C834" s="10" t="s">
        <v>1678</v>
      </c>
      <c r="D834" s="10" t="s">
        <v>1679</v>
      </c>
      <c r="E834" s="10" t="s">
        <v>1682</v>
      </c>
      <c r="F834" t="s">
        <v>596</v>
      </c>
      <c r="G834" s="4">
        <v>0</v>
      </c>
      <c r="H834" s="4"/>
      <c r="I834" s="4"/>
      <c r="J834" s="4">
        <f>SUM(G834:I834)</f>
        <v>0</v>
      </c>
      <c r="K834" t="s">
        <v>1659</v>
      </c>
      <c r="L834" t="s">
        <v>1659</v>
      </c>
      <c r="M834" t="s">
        <v>1126</v>
      </c>
      <c r="N834" t="s">
        <v>1132</v>
      </c>
      <c r="O834" t="s">
        <v>1132</v>
      </c>
      <c r="P834" t="str">
        <f>IFERROR(VLOOKUP(F834,Sheet1!$A$2:$B$54,2,FALSE),"")</f>
        <v/>
      </c>
    </row>
    <row r="835" spans="1:16" x14ac:dyDescent="0.2">
      <c r="A835" s="1">
        <v>2017</v>
      </c>
      <c r="B835" t="s">
        <v>99</v>
      </c>
      <c r="C835" s="10" t="s">
        <v>1678</v>
      </c>
      <c r="D835" s="10" t="s">
        <v>1679</v>
      </c>
      <c r="E835" s="10" t="s">
        <v>1682</v>
      </c>
      <c r="F835" t="s">
        <v>596</v>
      </c>
      <c r="G835" s="4">
        <v>0</v>
      </c>
      <c r="H835" s="4"/>
      <c r="I835" s="4"/>
      <c r="J835" s="4">
        <f>SUM(G835:I835)</f>
        <v>0</v>
      </c>
      <c r="K835" t="s">
        <v>1659</v>
      </c>
      <c r="L835" t="s">
        <v>1659</v>
      </c>
      <c r="M835" t="s">
        <v>1126</v>
      </c>
      <c r="N835" t="s">
        <v>1132</v>
      </c>
      <c r="O835" t="s">
        <v>1132</v>
      </c>
      <c r="P835" t="str">
        <f>IFERROR(VLOOKUP(F835,Sheet1!$A$2:$B$54,2,FALSE),"")</f>
        <v/>
      </c>
    </row>
    <row r="836" spans="1:16" x14ac:dyDescent="0.2">
      <c r="A836" s="1">
        <v>2018</v>
      </c>
      <c r="B836" t="s">
        <v>99</v>
      </c>
      <c r="C836" s="10" t="s">
        <v>1678</v>
      </c>
      <c r="D836" s="10" t="s">
        <v>1679</v>
      </c>
      <c r="E836" s="10" t="s">
        <v>1682</v>
      </c>
      <c r="F836" t="s">
        <v>596</v>
      </c>
      <c r="G836" s="4">
        <v>2795</v>
      </c>
      <c r="H836" s="4"/>
      <c r="I836" s="4"/>
      <c r="J836" s="4">
        <f>SUM(G836:I836)</f>
        <v>2795</v>
      </c>
      <c r="K836" t="s">
        <v>1659</v>
      </c>
      <c r="L836" t="s">
        <v>1659</v>
      </c>
      <c r="M836" t="s">
        <v>1127</v>
      </c>
      <c r="N836" t="s">
        <v>1132</v>
      </c>
      <c r="O836" t="s">
        <v>1132</v>
      </c>
      <c r="P836" t="str">
        <f>IFERROR(VLOOKUP(F836,Sheet1!$A$2:$B$54,2,FALSE),"")</f>
        <v/>
      </c>
    </row>
    <row r="837" spans="1:16" x14ac:dyDescent="0.2">
      <c r="A837" s="1">
        <v>2019</v>
      </c>
      <c r="B837" t="s">
        <v>99</v>
      </c>
      <c r="C837" s="10" t="s">
        <v>1678</v>
      </c>
      <c r="D837" s="10" t="s">
        <v>1679</v>
      </c>
      <c r="E837" s="10" t="s">
        <v>1682</v>
      </c>
      <c r="F837" t="s">
        <v>596</v>
      </c>
      <c r="G837" s="4">
        <v>3602</v>
      </c>
      <c r="H837" s="4"/>
      <c r="I837" s="4"/>
      <c r="J837" s="4">
        <f>SUM(G837:I837)</f>
        <v>3602</v>
      </c>
      <c r="K837" t="s">
        <v>1659</v>
      </c>
      <c r="L837" t="s">
        <v>1659</v>
      </c>
      <c r="M837" t="s">
        <v>1127</v>
      </c>
      <c r="N837" t="s">
        <v>1132</v>
      </c>
      <c r="O837" t="s">
        <v>1132</v>
      </c>
      <c r="P837" t="str">
        <f>IFERROR(VLOOKUP(F837,Sheet1!$A$2:$B$54,2,FALSE),"")</f>
        <v/>
      </c>
    </row>
    <row r="838" spans="1:16" x14ac:dyDescent="0.2">
      <c r="A838" s="1">
        <v>2020</v>
      </c>
      <c r="B838" t="s">
        <v>99</v>
      </c>
      <c r="C838" s="10" t="s">
        <v>1678</v>
      </c>
      <c r="D838" s="10" t="s">
        <v>1679</v>
      </c>
      <c r="E838" s="10" t="s">
        <v>1682</v>
      </c>
      <c r="F838" t="s">
        <v>596</v>
      </c>
      <c r="G838" s="4">
        <v>3332</v>
      </c>
      <c r="H838" s="4"/>
      <c r="I838" s="4"/>
      <c r="J838" s="4">
        <f>SUM(G838:I838)</f>
        <v>3332</v>
      </c>
      <c r="K838" t="s">
        <v>1659</v>
      </c>
      <c r="L838" t="s">
        <v>1659</v>
      </c>
      <c r="M838" t="s">
        <v>1127</v>
      </c>
      <c r="N838" t="s">
        <v>1132</v>
      </c>
      <c r="O838" t="s">
        <v>1132</v>
      </c>
      <c r="P838" t="str">
        <f>IFERROR(VLOOKUP(F838,Sheet1!$A$2:$B$54,2,FALSE),"")</f>
        <v/>
      </c>
    </row>
    <row r="839" spans="1:16" x14ac:dyDescent="0.2">
      <c r="A839" s="1">
        <v>2021</v>
      </c>
      <c r="B839" t="s">
        <v>99</v>
      </c>
      <c r="C839" s="10" t="s">
        <v>1678</v>
      </c>
      <c r="D839" s="10" t="s">
        <v>1679</v>
      </c>
      <c r="E839" s="10" t="s">
        <v>1682</v>
      </c>
      <c r="F839" t="s">
        <v>596</v>
      </c>
      <c r="G839" s="4">
        <v>2831</v>
      </c>
      <c r="H839" s="4"/>
      <c r="I839" s="4"/>
      <c r="J839" s="4">
        <f>SUM(G839:I839)</f>
        <v>2831</v>
      </c>
      <c r="K839" t="s">
        <v>1659</v>
      </c>
      <c r="L839" t="s">
        <v>1659</v>
      </c>
      <c r="M839" t="s">
        <v>596</v>
      </c>
      <c r="N839" t="s">
        <v>1132</v>
      </c>
      <c r="O839" t="s">
        <v>1132</v>
      </c>
      <c r="P839" t="str">
        <f>IFERROR(VLOOKUP(F839,Sheet1!$A$2:$B$54,2,FALSE),"")</f>
        <v/>
      </c>
    </row>
    <row r="840" spans="1:16" x14ac:dyDescent="0.2">
      <c r="A840" s="1">
        <v>2022</v>
      </c>
      <c r="B840" t="s">
        <v>99</v>
      </c>
      <c r="C840" s="10" t="s">
        <v>1678</v>
      </c>
      <c r="D840" s="10" t="s">
        <v>1679</v>
      </c>
      <c r="E840" s="10" t="s">
        <v>1682</v>
      </c>
      <c r="F840" t="s">
        <v>596</v>
      </c>
      <c r="G840" s="4">
        <v>4259</v>
      </c>
      <c r="H840" s="4"/>
      <c r="I840" s="4"/>
      <c r="J840" s="4">
        <f>SUM(G840:I840)</f>
        <v>4259</v>
      </c>
      <c r="K840" t="s">
        <v>1659</v>
      </c>
      <c r="L840" t="s">
        <v>1659</v>
      </c>
      <c r="M840" t="s">
        <v>596</v>
      </c>
      <c r="N840" t="s">
        <v>1132</v>
      </c>
      <c r="O840" t="s">
        <v>1132</v>
      </c>
      <c r="P840" t="str">
        <f>IFERROR(VLOOKUP(F840,Sheet1!$A$2:$B$54,2,FALSE),"")</f>
        <v/>
      </c>
    </row>
    <row r="841" spans="1:16" x14ac:dyDescent="0.2">
      <c r="A841" s="1">
        <v>2023</v>
      </c>
      <c r="B841" t="s">
        <v>99</v>
      </c>
      <c r="C841" s="10" t="s">
        <v>1678</v>
      </c>
      <c r="D841" s="10" t="s">
        <v>1679</v>
      </c>
      <c r="E841" s="10" t="s">
        <v>1682</v>
      </c>
      <c r="F841" t="s">
        <v>596</v>
      </c>
      <c r="G841" s="4">
        <v>7226</v>
      </c>
      <c r="H841" s="4"/>
      <c r="I841" s="4"/>
      <c r="J841" s="4">
        <f>SUM(G841:I841)</f>
        <v>7226</v>
      </c>
      <c r="K841" t="s">
        <v>1659</v>
      </c>
      <c r="L841" t="s">
        <v>1659</v>
      </c>
      <c r="M841" t="s">
        <v>596</v>
      </c>
      <c r="N841" t="s">
        <v>1132</v>
      </c>
      <c r="O841" t="s">
        <v>1132</v>
      </c>
      <c r="P841" t="str">
        <f>IFERROR(VLOOKUP(F841,Sheet1!$A$2:$B$54,2,FALSE),"")</f>
        <v/>
      </c>
    </row>
    <row r="842" spans="1:16" x14ac:dyDescent="0.2">
      <c r="A842" s="1">
        <v>2015</v>
      </c>
      <c r="B842" t="s">
        <v>100</v>
      </c>
      <c r="C842" s="10" t="s">
        <v>1678</v>
      </c>
      <c r="D842" s="10" t="s">
        <v>1679</v>
      </c>
      <c r="E842" s="10" t="s">
        <v>1682</v>
      </c>
      <c r="F842" t="s">
        <v>597</v>
      </c>
      <c r="G842" s="4">
        <v>248449</v>
      </c>
      <c r="H842" s="4"/>
      <c r="I842" s="4"/>
      <c r="J842" s="4">
        <f>SUM(G842:I842)</f>
        <v>248449</v>
      </c>
      <c r="K842" t="s">
        <v>1659</v>
      </c>
      <c r="L842" t="s">
        <v>1659</v>
      </c>
      <c r="M842" t="s">
        <v>1128</v>
      </c>
      <c r="N842" t="s">
        <v>1132</v>
      </c>
      <c r="O842" t="s">
        <v>1132</v>
      </c>
      <c r="P842" t="str">
        <f>IFERROR(VLOOKUP(F842,Sheet1!$A$2:$B$54,2,FALSE),"")</f>
        <v/>
      </c>
    </row>
    <row r="843" spans="1:16" x14ac:dyDescent="0.2">
      <c r="A843" s="1">
        <v>2016</v>
      </c>
      <c r="B843" t="s">
        <v>100</v>
      </c>
      <c r="C843" s="10" t="s">
        <v>1678</v>
      </c>
      <c r="D843" s="10" t="s">
        <v>1679</v>
      </c>
      <c r="E843" s="10" t="s">
        <v>1682</v>
      </c>
      <c r="F843" t="s">
        <v>597</v>
      </c>
      <c r="G843" s="4">
        <v>319737</v>
      </c>
      <c r="H843" s="4"/>
      <c r="I843" s="4"/>
      <c r="J843" s="4">
        <f>SUM(G843:I843)</f>
        <v>319737</v>
      </c>
      <c r="K843" t="s">
        <v>1659</v>
      </c>
      <c r="L843" t="s">
        <v>1659</v>
      </c>
      <c r="M843" t="s">
        <v>1128</v>
      </c>
      <c r="N843" t="s">
        <v>1132</v>
      </c>
      <c r="O843" t="s">
        <v>1132</v>
      </c>
      <c r="P843" t="str">
        <f>IFERROR(VLOOKUP(F843,Sheet1!$A$2:$B$54,2,FALSE),"")</f>
        <v/>
      </c>
    </row>
    <row r="844" spans="1:16" x14ac:dyDescent="0.2">
      <c r="A844" s="1">
        <v>2017</v>
      </c>
      <c r="B844" t="s">
        <v>100</v>
      </c>
      <c r="C844" s="10" t="s">
        <v>1678</v>
      </c>
      <c r="D844" s="10" t="s">
        <v>1679</v>
      </c>
      <c r="E844" s="10" t="s">
        <v>1682</v>
      </c>
      <c r="F844" t="s">
        <v>597</v>
      </c>
      <c r="G844" s="4">
        <v>393943</v>
      </c>
      <c r="H844" s="4"/>
      <c r="I844" s="4"/>
      <c r="J844" s="4">
        <f>SUM(G844:I844)</f>
        <v>393943</v>
      </c>
      <c r="K844" t="s">
        <v>1659</v>
      </c>
      <c r="L844" t="s">
        <v>1659</v>
      </c>
      <c r="M844" t="s">
        <v>1128</v>
      </c>
      <c r="N844" t="s">
        <v>1132</v>
      </c>
      <c r="O844" t="s">
        <v>1132</v>
      </c>
      <c r="P844" t="str">
        <f>IFERROR(VLOOKUP(F844,Sheet1!$A$2:$B$54,2,FALSE),"")</f>
        <v/>
      </c>
    </row>
    <row r="845" spans="1:16" x14ac:dyDescent="0.2">
      <c r="A845" s="1">
        <v>2018</v>
      </c>
      <c r="B845" t="s">
        <v>100</v>
      </c>
      <c r="C845" s="10" t="s">
        <v>1678</v>
      </c>
      <c r="D845" s="10" t="s">
        <v>1679</v>
      </c>
      <c r="E845" s="10" t="s">
        <v>1682</v>
      </c>
      <c r="F845" t="s">
        <v>597</v>
      </c>
      <c r="G845" s="4">
        <v>534748</v>
      </c>
      <c r="H845" s="4"/>
      <c r="I845" s="4"/>
      <c r="J845" s="4">
        <f>SUM(G845:I845)</f>
        <v>534748</v>
      </c>
      <c r="K845" t="s">
        <v>1659</v>
      </c>
      <c r="L845" t="s">
        <v>1659</v>
      </c>
      <c r="M845" t="s">
        <v>1128</v>
      </c>
      <c r="N845" t="s">
        <v>1132</v>
      </c>
      <c r="O845" t="s">
        <v>1132</v>
      </c>
      <c r="P845" t="str">
        <f>IFERROR(VLOOKUP(F845,Sheet1!$A$2:$B$54,2,FALSE),"")</f>
        <v/>
      </c>
    </row>
    <row r="846" spans="1:16" x14ac:dyDescent="0.2">
      <c r="A846" s="1">
        <v>2019</v>
      </c>
      <c r="B846" t="s">
        <v>100</v>
      </c>
      <c r="C846" s="10" t="s">
        <v>1678</v>
      </c>
      <c r="D846" s="10" t="s">
        <v>1679</v>
      </c>
      <c r="E846" s="10" t="s">
        <v>1682</v>
      </c>
      <c r="F846" t="s">
        <v>597</v>
      </c>
      <c r="G846" s="4">
        <v>690159</v>
      </c>
      <c r="H846" s="4"/>
      <c r="I846" s="4"/>
      <c r="J846" s="4">
        <f>SUM(G846:I846)</f>
        <v>690159</v>
      </c>
      <c r="K846" t="s">
        <v>1659</v>
      </c>
      <c r="L846" t="s">
        <v>1659</v>
      </c>
      <c r="M846" t="s">
        <v>1128</v>
      </c>
      <c r="N846" t="s">
        <v>1132</v>
      </c>
      <c r="O846" t="s">
        <v>1132</v>
      </c>
      <c r="P846" t="str">
        <f>IFERROR(VLOOKUP(F846,Sheet1!$A$2:$B$54,2,FALSE),"")</f>
        <v/>
      </c>
    </row>
    <row r="847" spans="1:16" x14ac:dyDescent="0.2">
      <c r="A847" s="1">
        <v>2020</v>
      </c>
      <c r="B847" t="s">
        <v>100</v>
      </c>
      <c r="C847" s="10" t="s">
        <v>1678</v>
      </c>
      <c r="D847" s="10" t="s">
        <v>1679</v>
      </c>
      <c r="E847" s="10" t="s">
        <v>1682</v>
      </c>
      <c r="F847" t="s">
        <v>597</v>
      </c>
      <c r="G847" s="4">
        <v>887485</v>
      </c>
      <c r="H847" s="4"/>
      <c r="I847" s="4"/>
      <c r="J847" s="4">
        <f>SUM(G847:I847)</f>
        <v>887485</v>
      </c>
      <c r="K847" t="s">
        <v>1659</v>
      </c>
      <c r="L847" t="s">
        <v>1659</v>
      </c>
      <c r="M847" t="s">
        <v>1128</v>
      </c>
      <c r="N847" t="s">
        <v>1132</v>
      </c>
      <c r="O847" t="s">
        <v>1132</v>
      </c>
      <c r="P847" t="str">
        <f>IFERROR(VLOOKUP(F847,Sheet1!$A$2:$B$54,2,FALSE),"")</f>
        <v/>
      </c>
    </row>
    <row r="848" spans="1:16" x14ac:dyDescent="0.2">
      <c r="A848" s="1">
        <v>2021</v>
      </c>
      <c r="B848" t="s">
        <v>100</v>
      </c>
      <c r="C848" s="10" t="s">
        <v>1678</v>
      </c>
      <c r="D848" s="10" t="s">
        <v>1679</v>
      </c>
      <c r="E848" s="10" t="s">
        <v>1682</v>
      </c>
      <c r="F848" t="s">
        <v>597</v>
      </c>
      <c r="G848" s="4">
        <v>1111243</v>
      </c>
      <c r="H848" s="4"/>
      <c r="I848" s="4"/>
      <c r="J848" s="4">
        <f>SUM(G848:I848)</f>
        <v>1111243</v>
      </c>
      <c r="K848" t="s">
        <v>1659</v>
      </c>
      <c r="L848" t="s">
        <v>1659</v>
      </c>
      <c r="M848" t="s">
        <v>597</v>
      </c>
      <c r="N848" t="s">
        <v>1132</v>
      </c>
      <c r="O848" t="s">
        <v>1132</v>
      </c>
      <c r="P848" t="str">
        <f>IFERROR(VLOOKUP(F848,Sheet1!$A$2:$B$54,2,FALSE),"")</f>
        <v/>
      </c>
    </row>
    <row r="849" spans="1:16" x14ac:dyDescent="0.2">
      <c r="A849" s="1">
        <v>2022</v>
      </c>
      <c r="B849" t="s">
        <v>100</v>
      </c>
      <c r="C849" s="10" t="s">
        <v>1678</v>
      </c>
      <c r="D849" s="10" t="s">
        <v>1679</v>
      </c>
      <c r="E849" s="10" t="s">
        <v>1682</v>
      </c>
      <c r="F849" t="s">
        <v>597</v>
      </c>
      <c r="G849" s="4">
        <v>1376649</v>
      </c>
      <c r="H849" s="4"/>
      <c r="I849" s="4"/>
      <c r="J849" s="4">
        <f>SUM(G849:I849)</f>
        <v>1376649</v>
      </c>
      <c r="K849" t="s">
        <v>1659</v>
      </c>
      <c r="L849" t="s">
        <v>1659</v>
      </c>
      <c r="M849" t="s">
        <v>597</v>
      </c>
      <c r="N849" t="s">
        <v>1132</v>
      </c>
      <c r="O849" t="s">
        <v>1132</v>
      </c>
      <c r="P849" t="str">
        <f>IFERROR(VLOOKUP(F849,Sheet1!$A$2:$B$54,2,FALSE),"")</f>
        <v/>
      </c>
    </row>
    <row r="850" spans="1:16" x14ac:dyDescent="0.2">
      <c r="A850" s="1">
        <v>2023</v>
      </c>
      <c r="B850" t="s">
        <v>100</v>
      </c>
      <c r="C850" s="10" t="s">
        <v>1678</v>
      </c>
      <c r="D850" s="10" t="s">
        <v>1679</v>
      </c>
      <c r="E850" s="10" t="s">
        <v>1682</v>
      </c>
      <c r="F850" t="s">
        <v>597</v>
      </c>
      <c r="G850" s="4">
        <v>1596280</v>
      </c>
      <c r="H850" s="4"/>
      <c r="I850" s="4"/>
      <c r="J850" s="4">
        <f>SUM(G850:I850)</f>
        <v>1596280</v>
      </c>
      <c r="K850" t="s">
        <v>1659</v>
      </c>
      <c r="L850" t="s">
        <v>1659</v>
      </c>
      <c r="M850" t="s">
        <v>597</v>
      </c>
      <c r="N850" t="s">
        <v>1132</v>
      </c>
      <c r="O850" t="s">
        <v>1132</v>
      </c>
      <c r="P850" t="str">
        <f>IFERROR(VLOOKUP(F850,Sheet1!$A$2:$B$54,2,FALSE),"")</f>
        <v/>
      </c>
    </row>
    <row r="851" spans="1:16" x14ac:dyDescent="0.2">
      <c r="A851" s="1">
        <v>2015</v>
      </c>
      <c r="B851" t="s">
        <v>101</v>
      </c>
      <c r="C851" s="10" t="s">
        <v>1678</v>
      </c>
      <c r="D851" s="10" t="s">
        <v>1679</v>
      </c>
      <c r="E851" s="10" t="s">
        <v>1682</v>
      </c>
      <c r="F851" t="s">
        <v>598</v>
      </c>
      <c r="G851" s="4">
        <v>2187382</v>
      </c>
      <c r="H851" s="4">
        <v>47008849</v>
      </c>
      <c r="I851" s="4">
        <v>304518</v>
      </c>
      <c r="J851" s="4">
        <f>SUM(G851:I851)</f>
        <v>49500749</v>
      </c>
      <c r="K851" t="s">
        <v>1660</v>
      </c>
      <c r="L851" t="s">
        <v>1660</v>
      </c>
      <c r="M851" t="s">
        <v>1129</v>
      </c>
      <c r="N851" t="s">
        <v>1129</v>
      </c>
      <c r="O851" t="s">
        <v>1129</v>
      </c>
      <c r="P851">
        <f>IFERROR(VLOOKUP(F851,Sheet1!$A$2:$B$54,2,FALSE),"")</f>
        <v>4900210</v>
      </c>
    </row>
    <row r="852" spans="1:16" x14ac:dyDescent="0.2">
      <c r="A852" s="1">
        <v>2016</v>
      </c>
      <c r="B852" t="s">
        <v>101</v>
      </c>
      <c r="C852" s="10" t="s">
        <v>1678</v>
      </c>
      <c r="D852" s="10" t="s">
        <v>1679</v>
      </c>
      <c r="E852" s="10" t="s">
        <v>1682</v>
      </c>
      <c r="F852" t="s">
        <v>598</v>
      </c>
      <c r="G852" s="4">
        <v>2988330</v>
      </c>
      <c r="H852" s="4">
        <v>48912472</v>
      </c>
      <c r="I852" s="4">
        <v>246959</v>
      </c>
      <c r="J852" s="4">
        <f>SUM(G852:I852)</f>
        <v>52147761</v>
      </c>
      <c r="K852" t="s">
        <v>1660</v>
      </c>
      <c r="L852" t="s">
        <v>1660</v>
      </c>
      <c r="M852" t="s">
        <v>1129</v>
      </c>
      <c r="N852" t="s">
        <v>1129</v>
      </c>
      <c r="O852" t="s">
        <v>1129</v>
      </c>
      <c r="P852">
        <f>IFERROR(VLOOKUP(F852,Sheet1!$A$2:$B$54,2,FALSE),"")</f>
        <v>4900210</v>
      </c>
    </row>
    <row r="853" spans="1:16" x14ac:dyDescent="0.2">
      <c r="A853" s="1">
        <v>2017</v>
      </c>
      <c r="B853" t="s">
        <v>101</v>
      </c>
      <c r="C853" s="10" t="s">
        <v>1678</v>
      </c>
      <c r="D853" s="10" t="s">
        <v>1679</v>
      </c>
      <c r="E853" s="10" t="s">
        <v>1682</v>
      </c>
      <c r="F853" t="s">
        <v>598</v>
      </c>
      <c r="G853" s="4">
        <v>4005178</v>
      </c>
      <c r="H853" s="4">
        <v>50590431</v>
      </c>
      <c r="I853" s="4">
        <v>207476</v>
      </c>
      <c r="J853" s="4">
        <f>SUM(G853:I853)</f>
        <v>54803085</v>
      </c>
      <c r="K853" t="s">
        <v>1660</v>
      </c>
      <c r="L853" t="s">
        <v>1660</v>
      </c>
      <c r="M853" t="s">
        <v>1129</v>
      </c>
      <c r="N853" t="s">
        <v>1129</v>
      </c>
      <c r="O853" t="s">
        <v>1129</v>
      </c>
      <c r="P853">
        <f>IFERROR(VLOOKUP(F853,Sheet1!$A$2:$B$54,2,FALSE),"")</f>
        <v>4900210</v>
      </c>
    </row>
    <row r="854" spans="1:16" x14ac:dyDescent="0.2">
      <c r="A854" s="1">
        <v>2018</v>
      </c>
      <c r="B854" t="s">
        <v>101</v>
      </c>
      <c r="C854" s="10" t="s">
        <v>1678</v>
      </c>
      <c r="D854" s="10" t="s">
        <v>1679</v>
      </c>
      <c r="E854" s="10" t="s">
        <v>1682</v>
      </c>
      <c r="F854" t="s">
        <v>598</v>
      </c>
      <c r="G854" s="4">
        <v>5087749</v>
      </c>
      <c r="H854" s="4">
        <v>52159690</v>
      </c>
      <c r="I854" s="4">
        <v>199060</v>
      </c>
      <c r="J854" s="4">
        <f>SUM(G854:I854)</f>
        <v>57446499</v>
      </c>
      <c r="K854" t="s">
        <v>1660</v>
      </c>
      <c r="L854" t="s">
        <v>1660</v>
      </c>
      <c r="M854" t="s">
        <v>1129</v>
      </c>
      <c r="N854" t="s">
        <v>1129</v>
      </c>
      <c r="O854" t="s">
        <v>1129</v>
      </c>
      <c r="P854">
        <f>IFERROR(VLOOKUP(F854,Sheet1!$A$2:$B$54,2,FALSE),"")</f>
        <v>4900210</v>
      </c>
    </row>
    <row r="855" spans="1:16" x14ac:dyDescent="0.2">
      <c r="A855" s="1">
        <v>2019</v>
      </c>
      <c r="B855" t="s">
        <v>101</v>
      </c>
      <c r="C855" s="10" t="s">
        <v>1678</v>
      </c>
      <c r="D855" s="10" t="s">
        <v>1679</v>
      </c>
      <c r="E855" s="10" t="s">
        <v>1682</v>
      </c>
      <c r="F855" t="s">
        <v>598</v>
      </c>
      <c r="G855" s="4">
        <v>6242405</v>
      </c>
      <c r="H855" s="4">
        <v>52570333</v>
      </c>
      <c r="I855" s="4">
        <v>171169</v>
      </c>
      <c r="J855" s="4">
        <f>SUM(G855:I855)</f>
        <v>58983907</v>
      </c>
      <c r="K855" t="s">
        <v>1660</v>
      </c>
      <c r="L855" t="s">
        <v>1660</v>
      </c>
      <c r="M855" t="s">
        <v>1129</v>
      </c>
      <c r="N855" t="s">
        <v>1129</v>
      </c>
      <c r="O855" t="s">
        <v>1129</v>
      </c>
      <c r="P855">
        <f>IFERROR(VLOOKUP(F855,Sheet1!$A$2:$B$54,2,FALSE),"")</f>
        <v>4900210</v>
      </c>
    </row>
    <row r="856" spans="1:16" x14ac:dyDescent="0.2">
      <c r="A856" s="1">
        <v>2020</v>
      </c>
      <c r="B856" t="s">
        <v>101</v>
      </c>
      <c r="C856" s="10" t="s">
        <v>1678</v>
      </c>
      <c r="D856" s="10" t="s">
        <v>1679</v>
      </c>
      <c r="E856" s="10" t="s">
        <v>1682</v>
      </c>
      <c r="F856" t="s">
        <v>598</v>
      </c>
      <c r="G856" s="4">
        <v>7810327</v>
      </c>
      <c r="H856" s="4">
        <v>55858154</v>
      </c>
      <c r="I856" s="4">
        <v>149854</v>
      </c>
      <c r="J856" s="4">
        <f>SUM(G856:I856)</f>
        <v>63818335</v>
      </c>
      <c r="K856" t="s">
        <v>1660</v>
      </c>
      <c r="L856" t="s">
        <v>1660</v>
      </c>
      <c r="M856" t="s">
        <v>1129</v>
      </c>
      <c r="N856" t="s">
        <v>1129</v>
      </c>
      <c r="O856" t="s">
        <v>1129</v>
      </c>
      <c r="P856">
        <f>IFERROR(VLOOKUP(F856,Sheet1!$A$2:$B$54,2,FALSE),"")</f>
        <v>4900210</v>
      </c>
    </row>
    <row r="857" spans="1:16" x14ac:dyDescent="0.2">
      <c r="A857" s="1">
        <v>2021</v>
      </c>
      <c r="B857" t="s">
        <v>101</v>
      </c>
      <c r="C857" s="10" t="s">
        <v>1678</v>
      </c>
      <c r="D857" s="10" t="s">
        <v>1679</v>
      </c>
      <c r="E857" s="10" t="s">
        <v>1682</v>
      </c>
      <c r="F857" t="s">
        <v>598</v>
      </c>
      <c r="G857" s="4">
        <v>9295414</v>
      </c>
      <c r="H857" s="4">
        <v>57151099</v>
      </c>
      <c r="I857" s="4">
        <v>134525</v>
      </c>
      <c r="J857" s="4">
        <f>SUM(G857:I857)</f>
        <v>66581038</v>
      </c>
      <c r="K857" t="s">
        <v>1660</v>
      </c>
      <c r="L857" t="s">
        <v>1660</v>
      </c>
      <c r="M857" t="s">
        <v>598</v>
      </c>
      <c r="N857" t="s">
        <v>598</v>
      </c>
      <c r="O857" t="s">
        <v>598</v>
      </c>
      <c r="P857">
        <f>IFERROR(VLOOKUP(F857,Sheet1!$A$2:$B$54,2,FALSE),"")</f>
        <v>4900210</v>
      </c>
    </row>
    <row r="858" spans="1:16" x14ac:dyDescent="0.2">
      <c r="A858" s="1">
        <v>2022</v>
      </c>
      <c r="B858" t="s">
        <v>101</v>
      </c>
      <c r="C858" s="10" t="s">
        <v>1678</v>
      </c>
      <c r="D858" s="10" t="s">
        <v>1679</v>
      </c>
      <c r="E858" s="10" t="s">
        <v>1682</v>
      </c>
      <c r="F858" t="s">
        <v>598</v>
      </c>
      <c r="G858" s="4">
        <v>11650412</v>
      </c>
      <c r="H858" s="4">
        <v>61226682</v>
      </c>
      <c r="I858" s="4">
        <v>84527</v>
      </c>
      <c r="J858" s="4">
        <f>SUM(G858:I858)</f>
        <v>72961621</v>
      </c>
      <c r="K858" t="s">
        <v>1660</v>
      </c>
      <c r="L858" t="s">
        <v>1660</v>
      </c>
      <c r="M858" t="s">
        <v>598</v>
      </c>
      <c r="N858" t="s">
        <v>598</v>
      </c>
      <c r="O858" t="s">
        <v>598</v>
      </c>
      <c r="P858">
        <f>IFERROR(VLOOKUP(F858,Sheet1!$A$2:$B$54,2,FALSE),"")</f>
        <v>4900210</v>
      </c>
    </row>
    <row r="859" spans="1:16" x14ac:dyDescent="0.2">
      <c r="A859" s="1">
        <v>2023</v>
      </c>
      <c r="B859" t="s">
        <v>101</v>
      </c>
      <c r="C859" s="10" t="s">
        <v>1678</v>
      </c>
      <c r="D859" s="10" t="s">
        <v>1679</v>
      </c>
      <c r="E859" s="10" t="s">
        <v>1682</v>
      </c>
      <c r="F859" t="s">
        <v>598</v>
      </c>
      <c r="G859" s="4">
        <v>13955335</v>
      </c>
      <c r="H859" s="4">
        <v>63935307</v>
      </c>
      <c r="I859" s="4">
        <v>53620</v>
      </c>
      <c r="J859" s="4">
        <f>SUM(G859:I859)</f>
        <v>77944262</v>
      </c>
      <c r="K859" t="s">
        <v>1660</v>
      </c>
      <c r="L859" t="s">
        <v>1660</v>
      </c>
      <c r="M859" t="s">
        <v>598</v>
      </c>
      <c r="N859" t="s">
        <v>598</v>
      </c>
      <c r="O859" t="s">
        <v>598</v>
      </c>
      <c r="P859">
        <f>IFERROR(VLOOKUP(F859,Sheet1!$A$2:$B$54,2,FALSE),"")</f>
        <v>4900210</v>
      </c>
    </row>
    <row r="860" spans="1:16" x14ac:dyDescent="0.2">
      <c r="A860" s="1">
        <v>2015</v>
      </c>
      <c r="B860" t="s">
        <v>102</v>
      </c>
      <c r="C860" s="10" t="s">
        <v>1678</v>
      </c>
      <c r="D860" s="10" t="s">
        <v>1679</v>
      </c>
      <c r="E860" s="10" t="s">
        <v>1682</v>
      </c>
      <c r="F860" t="s">
        <v>599</v>
      </c>
      <c r="G860" s="4">
        <v>17510</v>
      </c>
      <c r="H860" s="4">
        <v>741184</v>
      </c>
      <c r="I860" s="4"/>
      <c r="J860" s="4">
        <f>SUM(G860:I860)</f>
        <v>758694</v>
      </c>
      <c r="K860" t="s">
        <v>1660</v>
      </c>
      <c r="L860" t="s">
        <v>1659</v>
      </c>
      <c r="M860" t="s">
        <v>1130</v>
      </c>
      <c r="N860" t="s">
        <v>1130</v>
      </c>
      <c r="O860" t="s">
        <v>1132</v>
      </c>
      <c r="P860" t="str">
        <f>IFERROR(VLOOKUP(F860,Sheet1!$A$2:$B$54,2,FALSE),"")</f>
        <v/>
      </c>
    </row>
    <row r="861" spans="1:16" x14ac:dyDescent="0.2">
      <c r="A861" s="1">
        <v>2016</v>
      </c>
      <c r="B861" t="s">
        <v>102</v>
      </c>
      <c r="C861" s="10" t="s">
        <v>1678</v>
      </c>
      <c r="D861" s="10" t="s">
        <v>1679</v>
      </c>
      <c r="E861" s="10" t="s">
        <v>1682</v>
      </c>
      <c r="F861" t="s">
        <v>599</v>
      </c>
      <c r="G861" s="4">
        <v>43965</v>
      </c>
      <c r="H861" s="4">
        <v>801552</v>
      </c>
      <c r="I861" s="4"/>
      <c r="J861" s="4">
        <f>SUM(G861:I861)</f>
        <v>845517</v>
      </c>
      <c r="K861" t="s">
        <v>1660</v>
      </c>
      <c r="L861" t="s">
        <v>1659</v>
      </c>
      <c r="M861" t="s">
        <v>1130</v>
      </c>
      <c r="N861" t="s">
        <v>1130</v>
      </c>
      <c r="O861" t="s">
        <v>1132</v>
      </c>
      <c r="P861" t="str">
        <f>IFERROR(VLOOKUP(F861,Sheet1!$A$2:$B$54,2,FALSE),"")</f>
        <v/>
      </c>
    </row>
    <row r="862" spans="1:16" x14ac:dyDescent="0.2">
      <c r="A862" s="1">
        <v>2017</v>
      </c>
      <c r="B862" t="s">
        <v>102</v>
      </c>
      <c r="C862" s="10" t="s">
        <v>1678</v>
      </c>
      <c r="D862" s="10" t="s">
        <v>1679</v>
      </c>
      <c r="E862" s="10" t="s">
        <v>1682</v>
      </c>
      <c r="F862" t="s">
        <v>599</v>
      </c>
      <c r="G862" s="4">
        <v>57993</v>
      </c>
      <c r="H862" s="4">
        <v>824759</v>
      </c>
      <c r="I862" s="4"/>
      <c r="J862" s="4">
        <f>SUM(G862:I862)</f>
        <v>882752</v>
      </c>
      <c r="K862" t="s">
        <v>1660</v>
      </c>
      <c r="L862" t="s">
        <v>1659</v>
      </c>
      <c r="M862" t="s">
        <v>1131</v>
      </c>
      <c r="N862" t="s">
        <v>1131</v>
      </c>
      <c r="O862" t="s">
        <v>1132</v>
      </c>
      <c r="P862" t="str">
        <f>IFERROR(VLOOKUP(F862,Sheet1!$A$2:$B$54,2,FALSE),"")</f>
        <v/>
      </c>
    </row>
    <row r="863" spans="1:16" x14ac:dyDescent="0.2">
      <c r="A863" s="1">
        <v>2018</v>
      </c>
      <c r="B863" t="s">
        <v>102</v>
      </c>
      <c r="C863" s="10" t="s">
        <v>1678</v>
      </c>
      <c r="D863" s="10" t="s">
        <v>1679</v>
      </c>
      <c r="E863" s="10" t="s">
        <v>1682</v>
      </c>
      <c r="F863" t="s">
        <v>599</v>
      </c>
      <c r="G863" s="4">
        <v>73518</v>
      </c>
      <c r="H863" s="4">
        <v>871106</v>
      </c>
      <c r="I863" s="4"/>
      <c r="J863" s="4">
        <f>SUM(G863:I863)</f>
        <v>944624</v>
      </c>
      <c r="K863" t="s">
        <v>1660</v>
      </c>
      <c r="L863" t="s">
        <v>1659</v>
      </c>
      <c r="M863" t="s">
        <v>1131</v>
      </c>
      <c r="N863" t="s">
        <v>1131</v>
      </c>
      <c r="O863" t="s">
        <v>1132</v>
      </c>
      <c r="P863" t="str">
        <f>IFERROR(VLOOKUP(F863,Sheet1!$A$2:$B$54,2,FALSE),"")</f>
        <v/>
      </c>
    </row>
    <row r="864" spans="1:16" x14ac:dyDescent="0.2">
      <c r="A864" s="1">
        <v>2019</v>
      </c>
      <c r="B864" t="s">
        <v>102</v>
      </c>
      <c r="C864" s="10" t="s">
        <v>1678</v>
      </c>
      <c r="D864" s="10" t="s">
        <v>1679</v>
      </c>
      <c r="E864" s="10" t="s">
        <v>1682</v>
      </c>
      <c r="F864" t="s">
        <v>599</v>
      </c>
      <c r="G864" s="4">
        <v>98309</v>
      </c>
      <c r="H864" s="4">
        <v>888025</v>
      </c>
      <c r="I864" s="4"/>
      <c r="J864" s="4">
        <f>SUM(G864:I864)</f>
        <v>986334</v>
      </c>
      <c r="K864" t="s">
        <v>1660</v>
      </c>
      <c r="L864" t="s">
        <v>1659</v>
      </c>
      <c r="M864" t="s">
        <v>1131</v>
      </c>
      <c r="N864" t="s">
        <v>1131</v>
      </c>
      <c r="O864" t="s">
        <v>1132</v>
      </c>
      <c r="P864" t="str">
        <f>IFERROR(VLOOKUP(F864,Sheet1!$A$2:$B$54,2,FALSE),"")</f>
        <v/>
      </c>
    </row>
    <row r="865" spans="1:16" x14ac:dyDescent="0.2">
      <c r="A865" s="1">
        <v>2020</v>
      </c>
      <c r="B865" t="s">
        <v>102</v>
      </c>
      <c r="C865" s="10" t="s">
        <v>1678</v>
      </c>
      <c r="D865" s="10" t="s">
        <v>1679</v>
      </c>
      <c r="E865" s="10" t="s">
        <v>1682</v>
      </c>
      <c r="F865" t="s">
        <v>599</v>
      </c>
      <c r="G865" s="4">
        <v>142144</v>
      </c>
      <c r="H865" s="4">
        <v>989617</v>
      </c>
      <c r="I865" s="4"/>
      <c r="J865" s="4">
        <f>SUM(G865:I865)</f>
        <v>1131761</v>
      </c>
      <c r="K865" t="s">
        <v>1660</v>
      </c>
      <c r="L865" t="s">
        <v>1659</v>
      </c>
      <c r="M865" t="s">
        <v>1131</v>
      </c>
      <c r="N865" t="s">
        <v>1131</v>
      </c>
      <c r="O865" t="s">
        <v>1132</v>
      </c>
      <c r="P865" t="str">
        <f>IFERROR(VLOOKUP(F865,Sheet1!$A$2:$B$54,2,FALSE),"")</f>
        <v/>
      </c>
    </row>
    <row r="866" spans="1:16" x14ac:dyDescent="0.2">
      <c r="A866" s="1">
        <v>2021</v>
      </c>
      <c r="B866" t="s">
        <v>102</v>
      </c>
      <c r="C866" s="10" t="s">
        <v>1678</v>
      </c>
      <c r="D866" s="10" t="s">
        <v>1679</v>
      </c>
      <c r="E866" s="10" t="s">
        <v>1682</v>
      </c>
      <c r="F866" t="s">
        <v>599</v>
      </c>
      <c r="G866" s="4">
        <v>145302</v>
      </c>
      <c r="H866" s="4">
        <v>918362</v>
      </c>
      <c r="I866" s="4"/>
      <c r="J866" s="4">
        <f>SUM(G866:I866)</f>
        <v>1063664</v>
      </c>
      <c r="K866" t="s">
        <v>1660</v>
      </c>
      <c r="L866" t="s">
        <v>1659</v>
      </c>
      <c r="M866" t="s">
        <v>599</v>
      </c>
      <c r="N866" t="s">
        <v>599</v>
      </c>
      <c r="O866" t="s">
        <v>1132</v>
      </c>
      <c r="P866" t="str">
        <f>IFERROR(VLOOKUP(F866,Sheet1!$A$2:$B$54,2,FALSE),"")</f>
        <v/>
      </c>
    </row>
    <row r="867" spans="1:16" x14ac:dyDescent="0.2">
      <c r="A867" s="1">
        <v>2022</v>
      </c>
      <c r="B867" t="s">
        <v>102</v>
      </c>
      <c r="C867" s="10" t="s">
        <v>1678</v>
      </c>
      <c r="D867" s="10" t="s">
        <v>1679</v>
      </c>
      <c r="E867" s="10" t="s">
        <v>1682</v>
      </c>
      <c r="F867" t="s">
        <v>599</v>
      </c>
      <c r="G867" s="4">
        <v>169495</v>
      </c>
      <c r="H867" s="4">
        <v>941187</v>
      </c>
      <c r="I867" s="4"/>
      <c r="J867" s="4">
        <f>SUM(G867:I867)</f>
        <v>1110682</v>
      </c>
      <c r="K867" t="s">
        <v>1660</v>
      </c>
      <c r="L867" t="s">
        <v>1659</v>
      </c>
      <c r="M867" t="s">
        <v>599</v>
      </c>
      <c r="N867" t="s">
        <v>599</v>
      </c>
      <c r="O867" t="s">
        <v>1132</v>
      </c>
      <c r="P867" t="str">
        <f>IFERROR(VLOOKUP(F867,Sheet1!$A$2:$B$54,2,FALSE),"")</f>
        <v/>
      </c>
    </row>
    <row r="868" spans="1:16" x14ac:dyDescent="0.2">
      <c r="A868" s="1">
        <v>2023</v>
      </c>
      <c r="B868" t="s">
        <v>102</v>
      </c>
      <c r="C868" s="10" t="s">
        <v>1678</v>
      </c>
      <c r="D868" s="10" t="s">
        <v>1679</v>
      </c>
      <c r="E868" s="10" t="s">
        <v>1682</v>
      </c>
      <c r="F868" t="s">
        <v>599</v>
      </c>
      <c r="G868" s="4">
        <v>223300</v>
      </c>
      <c r="H868" s="4">
        <v>980841</v>
      </c>
      <c r="I868" s="4"/>
      <c r="J868" s="4">
        <f>SUM(G868:I868)</f>
        <v>1204141</v>
      </c>
      <c r="K868" t="s">
        <v>1660</v>
      </c>
      <c r="L868" t="s">
        <v>1659</v>
      </c>
      <c r="M868" t="s">
        <v>599</v>
      </c>
      <c r="N868" t="s">
        <v>599</v>
      </c>
      <c r="O868" t="s">
        <v>1132</v>
      </c>
      <c r="P868" t="str">
        <f>IFERROR(VLOOKUP(F868,Sheet1!$A$2:$B$54,2,FALSE),"")</f>
        <v/>
      </c>
    </row>
    <row r="869" spans="1:16" x14ac:dyDescent="0.2">
      <c r="A869" s="1">
        <v>2015</v>
      </c>
      <c r="B869" t="s">
        <v>103</v>
      </c>
      <c r="C869" s="10" t="s">
        <v>1678</v>
      </c>
      <c r="D869" s="10" t="s">
        <v>1679</v>
      </c>
      <c r="E869" s="10" t="s">
        <v>1682</v>
      </c>
      <c r="F869" t="s">
        <v>600</v>
      </c>
      <c r="G869" s="4"/>
      <c r="H869" s="4">
        <v>19476</v>
      </c>
      <c r="I869" s="4"/>
      <c r="J869" s="4">
        <f>SUM(G869:I869)</f>
        <v>19476</v>
      </c>
      <c r="K869" t="s">
        <v>1661</v>
      </c>
      <c r="L869" t="s">
        <v>1659</v>
      </c>
      <c r="M869" t="s">
        <v>1132</v>
      </c>
      <c r="N869" t="s">
        <v>1640</v>
      </c>
      <c r="O869" t="s">
        <v>1132</v>
      </c>
      <c r="P869" t="str">
        <f>IFERROR(VLOOKUP(F869,Sheet1!$A$2:$B$54,2,FALSE),"")</f>
        <v/>
      </c>
    </row>
    <row r="870" spans="1:16" x14ac:dyDescent="0.2">
      <c r="A870" s="1">
        <v>2016</v>
      </c>
      <c r="B870" t="s">
        <v>103</v>
      </c>
      <c r="C870" s="10" t="s">
        <v>1678</v>
      </c>
      <c r="D870" s="10" t="s">
        <v>1679</v>
      </c>
      <c r="E870" s="10" t="s">
        <v>1682</v>
      </c>
      <c r="F870" t="s">
        <v>600</v>
      </c>
      <c r="G870" s="4"/>
      <c r="H870" s="4">
        <v>12432</v>
      </c>
      <c r="I870" s="4"/>
      <c r="J870" s="4">
        <f>SUM(G870:I870)</f>
        <v>12432</v>
      </c>
      <c r="K870" t="s">
        <v>1661</v>
      </c>
      <c r="L870" t="s">
        <v>1659</v>
      </c>
      <c r="M870" t="s">
        <v>1132</v>
      </c>
      <c r="N870" t="s">
        <v>1640</v>
      </c>
      <c r="O870" t="s">
        <v>1132</v>
      </c>
      <c r="P870" t="str">
        <f>IFERROR(VLOOKUP(F870,Sheet1!$A$2:$B$54,2,FALSE),"")</f>
        <v/>
      </c>
    </row>
    <row r="871" spans="1:16" x14ac:dyDescent="0.2">
      <c r="A871" s="1">
        <v>2017</v>
      </c>
      <c r="B871" t="s">
        <v>103</v>
      </c>
      <c r="C871" s="10" t="s">
        <v>1678</v>
      </c>
      <c r="D871" s="10" t="s">
        <v>1679</v>
      </c>
      <c r="E871" s="10" t="s">
        <v>1682</v>
      </c>
      <c r="F871" t="s">
        <v>600</v>
      </c>
      <c r="G871" s="4"/>
      <c r="H871" s="4">
        <v>12693</v>
      </c>
      <c r="I871" s="4"/>
      <c r="J871" s="4">
        <f>SUM(G871:I871)</f>
        <v>12693</v>
      </c>
      <c r="K871" t="s">
        <v>1661</v>
      </c>
      <c r="L871" t="s">
        <v>1659</v>
      </c>
      <c r="M871" t="s">
        <v>1132</v>
      </c>
      <c r="N871" t="s">
        <v>1640</v>
      </c>
      <c r="O871" t="s">
        <v>1132</v>
      </c>
      <c r="P871" t="str">
        <f>IFERROR(VLOOKUP(F871,Sheet1!$A$2:$B$54,2,FALSE),"")</f>
        <v/>
      </c>
    </row>
    <row r="872" spans="1:16" x14ac:dyDescent="0.2">
      <c r="A872" s="1">
        <v>2018</v>
      </c>
      <c r="B872" t="s">
        <v>103</v>
      </c>
      <c r="C872" s="10" t="s">
        <v>1678</v>
      </c>
      <c r="D872" s="10" t="s">
        <v>1679</v>
      </c>
      <c r="E872" s="10" t="s">
        <v>1682</v>
      </c>
      <c r="F872" t="s">
        <v>600</v>
      </c>
      <c r="G872" s="4"/>
      <c r="H872" s="4">
        <v>13095</v>
      </c>
      <c r="I872" s="4"/>
      <c r="J872" s="4">
        <f>SUM(G872:I872)</f>
        <v>13095</v>
      </c>
      <c r="K872" t="s">
        <v>1661</v>
      </c>
      <c r="L872" t="s">
        <v>1659</v>
      </c>
      <c r="M872" t="s">
        <v>1132</v>
      </c>
      <c r="N872" t="s">
        <v>1640</v>
      </c>
      <c r="O872" t="s">
        <v>1132</v>
      </c>
      <c r="P872" t="str">
        <f>IFERROR(VLOOKUP(F872,Sheet1!$A$2:$B$54,2,FALSE),"")</f>
        <v/>
      </c>
    </row>
    <row r="873" spans="1:16" x14ac:dyDescent="0.2">
      <c r="A873" s="1">
        <v>2019</v>
      </c>
      <c r="B873" t="s">
        <v>103</v>
      </c>
      <c r="C873" s="10" t="s">
        <v>1678</v>
      </c>
      <c r="D873" s="10" t="s">
        <v>1679</v>
      </c>
      <c r="E873" s="10" t="s">
        <v>1682</v>
      </c>
      <c r="F873" t="s">
        <v>600</v>
      </c>
      <c r="G873" s="4"/>
      <c r="H873" s="4">
        <v>13609</v>
      </c>
      <c r="I873" s="4"/>
      <c r="J873" s="4">
        <f>SUM(G873:I873)</f>
        <v>13609</v>
      </c>
      <c r="K873" t="s">
        <v>1661</v>
      </c>
      <c r="L873" t="s">
        <v>1659</v>
      </c>
      <c r="M873" t="s">
        <v>1132</v>
      </c>
      <c r="N873" t="s">
        <v>1640</v>
      </c>
      <c r="O873" t="s">
        <v>1132</v>
      </c>
      <c r="P873" t="str">
        <f>IFERROR(VLOOKUP(F873,Sheet1!$A$2:$B$54,2,FALSE),"")</f>
        <v/>
      </c>
    </row>
    <row r="874" spans="1:16" x14ac:dyDescent="0.2">
      <c r="A874" s="1">
        <v>2020</v>
      </c>
      <c r="B874" t="s">
        <v>103</v>
      </c>
      <c r="C874" s="10" t="s">
        <v>1678</v>
      </c>
      <c r="D874" s="10" t="s">
        <v>1679</v>
      </c>
      <c r="E874" s="10" t="s">
        <v>1682</v>
      </c>
      <c r="F874" t="s">
        <v>600</v>
      </c>
      <c r="G874" s="4"/>
      <c r="H874" s="4">
        <v>14160</v>
      </c>
      <c r="I874" s="4"/>
      <c r="J874" s="4">
        <f>SUM(G874:I874)</f>
        <v>14160</v>
      </c>
      <c r="K874" t="s">
        <v>1661</v>
      </c>
      <c r="L874" t="s">
        <v>1659</v>
      </c>
      <c r="M874" t="s">
        <v>1132</v>
      </c>
      <c r="N874" t="s">
        <v>1640</v>
      </c>
      <c r="O874" t="s">
        <v>1132</v>
      </c>
      <c r="P874" t="str">
        <f>IFERROR(VLOOKUP(F874,Sheet1!$A$2:$B$54,2,FALSE),"")</f>
        <v/>
      </c>
    </row>
    <row r="875" spans="1:16" x14ac:dyDescent="0.2">
      <c r="A875" s="1">
        <v>2021</v>
      </c>
      <c r="B875" t="s">
        <v>103</v>
      </c>
      <c r="C875" s="10" t="s">
        <v>1678</v>
      </c>
      <c r="D875" s="10" t="s">
        <v>1679</v>
      </c>
      <c r="E875" s="10" t="s">
        <v>1682</v>
      </c>
      <c r="F875" t="s">
        <v>600</v>
      </c>
      <c r="G875" s="4"/>
      <c r="H875" s="4">
        <v>38250</v>
      </c>
      <c r="I875" s="4"/>
      <c r="J875" s="4">
        <f>SUM(G875:I875)</f>
        <v>38250</v>
      </c>
      <c r="K875" t="s">
        <v>1661</v>
      </c>
      <c r="L875" t="s">
        <v>1659</v>
      </c>
      <c r="M875" t="s">
        <v>1132</v>
      </c>
      <c r="N875" t="s">
        <v>600</v>
      </c>
      <c r="O875" t="s">
        <v>1132</v>
      </c>
      <c r="P875" t="str">
        <f>IFERROR(VLOOKUP(F875,Sheet1!$A$2:$B$54,2,FALSE),"")</f>
        <v/>
      </c>
    </row>
    <row r="876" spans="1:16" x14ac:dyDescent="0.2">
      <c r="A876" s="1">
        <v>2022</v>
      </c>
      <c r="B876" t="s">
        <v>103</v>
      </c>
      <c r="C876" s="10" t="s">
        <v>1678</v>
      </c>
      <c r="D876" s="10" t="s">
        <v>1679</v>
      </c>
      <c r="E876" s="10" t="s">
        <v>1682</v>
      </c>
      <c r="F876" t="s">
        <v>600</v>
      </c>
      <c r="G876" s="4"/>
      <c r="H876" s="4">
        <v>42548</v>
      </c>
      <c r="I876" s="4"/>
      <c r="J876" s="4">
        <f>SUM(G876:I876)</f>
        <v>42548</v>
      </c>
      <c r="K876" t="s">
        <v>1661</v>
      </c>
      <c r="L876" t="s">
        <v>1659</v>
      </c>
      <c r="M876" t="s">
        <v>1132</v>
      </c>
      <c r="N876" t="s">
        <v>600</v>
      </c>
      <c r="O876" t="s">
        <v>1132</v>
      </c>
      <c r="P876" t="str">
        <f>IFERROR(VLOOKUP(F876,Sheet1!$A$2:$B$54,2,FALSE),"")</f>
        <v/>
      </c>
    </row>
    <row r="877" spans="1:16" x14ac:dyDescent="0.2">
      <c r="A877" s="1">
        <v>2023</v>
      </c>
      <c r="B877" t="s">
        <v>103</v>
      </c>
      <c r="C877" s="10" t="s">
        <v>1678</v>
      </c>
      <c r="D877" s="10" t="s">
        <v>1679</v>
      </c>
      <c r="E877" s="10" t="s">
        <v>1682</v>
      </c>
      <c r="F877" t="s">
        <v>600</v>
      </c>
      <c r="G877" s="4">
        <v>2013</v>
      </c>
      <c r="H877" s="4">
        <v>34144</v>
      </c>
      <c r="I877" s="4"/>
      <c r="J877" s="4">
        <f>SUM(G877:I877)</f>
        <v>36157</v>
      </c>
      <c r="K877" t="s">
        <v>1660</v>
      </c>
      <c r="L877" t="s">
        <v>1659</v>
      </c>
      <c r="M877" t="s">
        <v>600</v>
      </c>
      <c r="N877" t="s">
        <v>600</v>
      </c>
      <c r="O877" t="s">
        <v>1132</v>
      </c>
      <c r="P877" t="str">
        <f>IFERROR(VLOOKUP(F877,Sheet1!$A$2:$B$54,2,FALSE),"")</f>
        <v/>
      </c>
    </row>
    <row r="878" spans="1:16" x14ac:dyDescent="0.2">
      <c r="A878" s="1">
        <v>2015</v>
      </c>
      <c r="B878" t="s">
        <v>104</v>
      </c>
      <c r="C878" s="10" t="s">
        <v>1678</v>
      </c>
      <c r="D878" s="10" t="s">
        <v>1679</v>
      </c>
      <c r="E878" s="10" t="s">
        <v>1682</v>
      </c>
      <c r="F878" t="s">
        <v>601</v>
      </c>
      <c r="G878" s="4">
        <v>92541</v>
      </c>
      <c r="H878" s="4"/>
      <c r="I878" s="4"/>
      <c r="J878" s="4">
        <f>SUM(G878:I878)</f>
        <v>92541</v>
      </c>
      <c r="K878" t="s">
        <v>1659</v>
      </c>
      <c r="L878" t="s">
        <v>1659</v>
      </c>
      <c r="M878" t="s">
        <v>1133</v>
      </c>
      <c r="N878" t="s">
        <v>1132</v>
      </c>
      <c r="O878" t="s">
        <v>1132</v>
      </c>
      <c r="P878" t="str">
        <f>IFERROR(VLOOKUP(F878,Sheet1!$A$2:$B$54,2,FALSE),"")</f>
        <v/>
      </c>
    </row>
    <row r="879" spans="1:16" x14ac:dyDescent="0.2">
      <c r="A879" s="1">
        <v>2016</v>
      </c>
      <c r="B879" t="s">
        <v>104</v>
      </c>
      <c r="C879" s="10" t="s">
        <v>1678</v>
      </c>
      <c r="D879" s="10" t="s">
        <v>1679</v>
      </c>
      <c r="E879" s="10" t="s">
        <v>1682</v>
      </c>
      <c r="F879" t="s">
        <v>601</v>
      </c>
      <c r="G879" s="4">
        <v>123687</v>
      </c>
      <c r="H879" s="4"/>
      <c r="I879" s="4"/>
      <c r="J879" s="4">
        <f>SUM(G879:I879)</f>
        <v>123687</v>
      </c>
      <c r="K879" t="s">
        <v>1659</v>
      </c>
      <c r="L879" t="s">
        <v>1659</v>
      </c>
      <c r="M879" t="s">
        <v>1134</v>
      </c>
      <c r="N879" t="s">
        <v>1132</v>
      </c>
      <c r="O879" t="s">
        <v>1132</v>
      </c>
      <c r="P879" t="str">
        <f>IFERROR(VLOOKUP(F879,Sheet1!$A$2:$B$54,2,FALSE),"")</f>
        <v/>
      </c>
    </row>
    <row r="880" spans="1:16" x14ac:dyDescent="0.2">
      <c r="A880" s="1">
        <v>2017</v>
      </c>
      <c r="B880" t="s">
        <v>104</v>
      </c>
      <c r="C880" s="10" t="s">
        <v>1678</v>
      </c>
      <c r="D880" s="10" t="s">
        <v>1679</v>
      </c>
      <c r="E880" s="10" t="s">
        <v>1682</v>
      </c>
      <c r="F880" t="s">
        <v>601</v>
      </c>
      <c r="G880" s="4">
        <v>129256</v>
      </c>
      <c r="H880" s="4"/>
      <c r="I880" s="4"/>
      <c r="J880" s="4">
        <f>SUM(G880:I880)</f>
        <v>129256</v>
      </c>
      <c r="K880" t="s">
        <v>1659</v>
      </c>
      <c r="L880" t="s">
        <v>1659</v>
      </c>
      <c r="M880" t="s">
        <v>1133</v>
      </c>
      <c r="N880" t="s">
        <v>1132</v>
      </c>
      <c r="O880" t="s">
        <v>1132</v>
      </c>
      <c r="P880" t="str">
        <f>IFERROR(VLOOKUP(F880,Sheet1!$A$2:$B$54,2,FALSE),"")</f>
        <v/>
      </c>
    </row>
    <row r="881" spans="1:16" x14ac:dyDescent="0.2">
      <c r="A881" s="1">
        <v>2018</v>
      </c>
      <c r="B881" t="s">
        <v>104</v>
      </c>
      <c r="C881" s="10" t="s">
        <v>1678</v>
      </c>
      <c r="D881" s="10" t="s">
        <v>1679</v>
      </c>
      <c r="E881" s="10" t="s">
        <v>1682</v>
      </c>
      <c r="F881" t="s">
        <v>601</v>
      </c>
      <c r="G881" s="4">
        <v>156047</v>
      </c>
      <c r="H881" s="4"/>
      <c r="I881" s="4"/>
      <c r="J881" s="4">
        <f>SUM(G881:I881)</f>
        <v>156047</v>
      </c>
      <c r="K881" t="s">
        <v>1659</v>
      </c>
      <c r="L881" t="s">
        <v>1659</v>
      </c>
      <c r="M881" t="s">
        <v>1133</v>
      </c>
      <c r="N881" t="s">
        <v>1132</v>
      </c>
      <c r="O881" t="s">
        <v>1132</v>
      </c>
      <c r="P881" t="str">
        <f>IFERROR(VLOOKUP(F881,Sheet1!$A$2:$B$54,2,FALSE),"")</f>
        <v/>
      </c>
    </row>
    <row r="882" spans="1:16" x14ac:dyDescent="0.2">
      <c r="A882" s="1">
        <v>2019</v>
      </c>
      <c r="B882" t="s">
        <v>104</v>
      </c>
      <c r="C882" s="10" t="s">
        <v>1678</v>
      </c>
      <c r="D882" s="10" t="s">
        <v>1679</v>
      </c>
      <c r="E882" s="10" t="s">
        <v>1682</v>
      </c>
      <c r="F882" t="s">
        <v>601</v>
      </c>
      <c r="G882" s="4">
        <v>175339</v>
      </c>
      <c r="H882" s="4"/>
      <c r="I882" s="4"/>
      <c r="J882" s="4">
        <f>SUM(G882:I882)</f>
        <v>175339</v>
      </c>
      <c r="K882" t="s">
        <v>1659</v>
      </c>
      <c r="L882" t="s">
        <v>1659</v>
      </c>
      <c r="M882" t="s">
        <v>1133</v>
      </c>
      <c r="N882" t="s">
        <v>1132</v>
      </c>
      <c r="O882" t="s">
        <v>1132</v>
      </c>
      <c r="P882" t="str">
        <f>IFERROR(VLOOKUP(F882,Sheet1!$A$2:$B$54,2,FALSE),"")</f>
        <v/>
      </c>
    </row>
    <row r="883" spans="1:16" x14ac:dyDescent="0.2">
      <c r="A883" s="1">
        <v>2020</v>
      </c>
      <c r="B883" t="s">
        <v>104</v>
      </c>
      <c r="C883" s="10" t="s">
        <v>1678</v>
      </c>
      <c r="D883" s="10" t="s">
        <v>1679</v>
      </c>
      <c r="E883" s="10" t="s">
        <v>1682</v>
      </c>
      <c r="F883" t="s">
        <v>601</v>
      </c>
      <c r="G883" s="4">
        <v>176804</v>
      </c>
      <c r="H883" s="4"/>
      <c r="I883" s="4"/>
      <c r="J883" s="4">
        <f>SUM(G883:I883)</f>
        <v>176804</v>
      </c>
      <c r="K883" t="s">
        <v>1659</v>
      </c>
      <c r="L883" t="s">
        <v>1659</v>
      </c>
      <c r="M883" t="s">
        <v>1133</v>
      </c>
      <c r="N883" t="s">
        <v>1132</v>
      </c>
      <c r="O883" t="s">
        <v>1132</v>
      </c>
      <c r="P883" t="str">
        <f>IFERROR(VLOOKUP(F883,Sheet1!$A$2:$B$54,2,FALSE),"")</f>
        <v/>
      </c>
    </row>
    <row r="884" spans="1:16" x14ac:dyDescent="0.2">
      <c r="A884" s="1">
        <v>2021</v>
      </c>
      <c r="B884" t="s">
        <v>104</v>
      </c>
      <c r="C884" s="10" t="s">
        <v>1678</v>
      </c>
      <c r="D884" s="10" t="s">
        <v>1679</v>
      </c>
      <c r="E884" s="10" t="s">
        <v>1682</v>
      </c>
      <c r="F884" t="s">
        <v>601</v>
      </c>
      <c r="G884" s="4">
        <v>204264</v>
      </c>
      <c r="H884" s="4"/>
      <c r="I884" s="4"/>
      <c r="J884" s="4">
        <f>SUM(G884:I884)</f>
        <v>204264</v>
      </c>
      <c r="K884" t="s">
        <v>1659</v>
      </c>
      <c r="L884" t="s">
        <v>1659</v>
      </c>
      <c r="M884" t="s">
        <v>601</v>
      </c>
      <c r="N884" t="s">
        <v>1132</v>
      </c>
      <c r="O884" t="s">
        <v>1132</v>
      </c>
      <c r="P884" t="str">
        <f>IFERROR(VLOOKUP(F884,Sheet1!$A$2:$B$54,2,FALSE),"")</f>
        <v/>
      </c>
    </row>
    <row r="885" spans="1:16" x14ac:dyDescent="0.2">
      <c r="A885" s="1">
        <v>2022</v>
      </c>
      <c r="B885" t="s">
        <v>104</v>
      </c>
      <c r="C885" s="10" t="s">
        <v>1678</v>
      </c>
      <c r="D885" s="10" t="s">
        <v>1679</v>
      </c>
      <c r="E885" s="10" t="s">
        <v>1682</v>
      </c>
      <c r="F885" t="s">
        <v>601</v>
      </c>
      <c r="G885" s="4">
        <v>234937</v>
      </c>
      <c r="H885" s="4"/>
      <c r="I885" s="4"/>
      <c r="J885" s="4">
        <f>SUM(G885:I885)</f>
        <v>234937</v>
      </c>
      <c r="K885" t="s">
        <v>1659</v>
      </c>
      <c r="L885" t="s">
        <v>1659</v>
      </c>
      <c r="M885" t="s">
        <v>601</v>
      </c>
      <c r="N885" t="s">
        <v>1132</v>
      </c>
      <c r="O885" t="s">
        <v>1132</v>
      </c>
      <c r="P885" t="str">
        <f>IFERROR(VLOOKUP(F885,Sheet1!$A$2:$B$54,2,FALSE),"")</f>
        <v/>
      </c>
    </row>
    <row r="886" spans="1:16" x14ac:dyDescent="0.2">
      <c r="A886" s="1">
        <v>2023</v>
      </c>
      <c r="B886" t="s">
        <v>104</v>
      </c>
      <c r="C886" s="10" t="s">
        <v>1678</v>
      </c>
      <c r="D886" s="10" t="s">
        <v>1679</v>
      </c>
      <c r="E886" s="10" t="s">
        <v>1682</v>
      </c>
      <c r="F886" t="s">
        <v>601</v>
      </c>
      <c r="G886" s="4">
        <v>257633</v>
      </c>
      <c r="H886" s="4"/>
      <c r="I886" s="4"/>
      <c r="J886" s="4">
        <f>SUM(G886:I886)</f>
        <v>257633</v>
      </c>
      <c r="K886" t="s">
        <v>1659</v>
      </c>
      <c r="L886" t="s">
        <v>1659</v>
      </c>
      <c r="M886" t="s">
        <v>601</v>
      </c>
      <c r="N886" t="s">
        <v>1132</v>
      </c>
      <c r="O886" t="s">
        <v>1132</v>
      </c>
      <c r="P886" t="str">
        <f>IFERROR(VLOOKUP(F886,Sheet1!$A$2:$B$54,2,FALSE),"")</f>
        <v/>
      </c>
    </row>
    <row r="887" spans="1:16" x14ac:dyDescent="0.2">
      <c r="A887" s="1">
        <v>2015</v>
      </c>
      <c r="B887" t="s">
        <v>105</v>
      </c>
      <c r="C887" s="10" t="s">
        <v>1678</v>
      </c>
      <c r="D887" s="10" t="s">
        <v>1679</v>
      </c>
      <c r="E887" s="10" t="s">
        <v>1682</v>
      </c>
      <c r="F887" t="s">
        <v>602</v>
      </c>
      <c r="G887" s="4">
        <v>9658</v>
      </c>
      <c r="H887" s="4"/>
      <c r="I887" s="4"/>
      <c r="J887" s="4">
        <f>SUM(G887:I887)</f>
        <v>9658</v>
      </c>
      <c r="K887" t="s">
        <v>1659</v>
      </c>
      <c r="L887" t="s">
        <v>1659</v>
      </c>
      <c r="M887" t="s">
        <v>1135</v>
      </c>
      <c r="N887" t="s">
        <v>1132</v>
      </c>
      <c r="O887" t="s">
        <v>1132</v>
      </c>
      <c r="P887" t="str">
        <f>IFERROR(VLOOKUP(F887,Sheet1!$A$2:$B$54,2,FALSE),"")</f>
        <v/>
      </c>
    </row>
    <row r="888" spans="1:16" x14ac:dyDescent="0.2">
      <c r="A888" s="1">
        <v>2016</v>
      </c>
      <c r="B888" t="s">
        <v>105</v>
      </c>
      <c r="C888" s="10" t="s">
        <v>1678</v>
      </c>
      <c r="D888" s="10" t="s">
        <v>1679</v>
      </c>
      <c r="E888" s="10" t="s">
        <v>1682</v>
      </c>
      <c r="F888" t="s">
        <v>602</v>
      </c>
      <c r="G888" s="4">
        <v>13006</v>
      </c>
      <c r="H888" s="4"/>
      <c r="I888" s="4"/>
      <c r="J888" s="4">
        <f>SUM(G888:I888)</f>
        <v>13006</v>
      </c>
      <c r="K888" t="s">
        <v>1659</v>
      </c>
      <c r="L888" t="s">
        <v>1659</v>
      </c>
      <c r="M888" t="s">
        <v>1135</v>
      </c>
      <c r="N888" t="s">
        <v>1132</v>
      </c>
      <c r="O888" t="s">
        <v>1132</v>
      </c>
      <c r="P888" t="str">
        <f>IFERROR(VLOOKUP(F888,Sheet1!$A$2:$B$54,2,FALSE),"")</f>
        <v/>
      </c>
    </row>
    <row r="889" spans="1:16" x14ac:dyDescent="0.2">
      <c r="A889" s="1">
        <v>2017</v>
      </c>
      <c r="B889" t="s">
        <v>105</v>
      </c>
      <c r="C889" s="10" t="s">
        <v>1678</v>
      </c>
      <c r="D889" s="10" t="s">
        <v>1679</v>
      </c>
      <c r="E889" s="10" t="s">
        <v>1682</v>
      </c>
      <c r="F889" t="s">
        <v>602</v>
      </c>
      <c r="G889" s="4">
        <v>13955</v>
      </c>
      <c r="H889" s="4"/>
      <c r="I889" s="4"/>
      <c r="J889" s="4">
        <f>SUM(G889:I889)</f>
        <v>13955</v>
      </c>
      <c r="K889" t="s">
        <v>1659</v>
      </c>
      <c r="L889" t="s">
        <v>1659</v>
      </c>
      <c r="M889" t="s">
        <v>1135</v>
      </c>
      <c r="N889" t="s">
        <v>1132</v>
      </c>
      <c r="O889" t="s">
        <v>1132</v>
      </c>
      <c r="P889" t="str">
        <f>IFERROR(VLOOKUP(F889,Sheet1!$A$2:$B$54,2,FALSE),"")</f>
        <v/>
      </c>
    </row>
    <row r="890" spans="1:16" x14ac:dyDescent="0.2">
      <c r="A890" s="1">
        <v>2018</v>
      </c>
      <c r="B890" t="s">
        <v>105</v>
      </c>
      <c r="C890" s="10" t="s">
        <v>1678</v>
      </c>
      <c r="D890" s="10" t="s">
        <v>1679</v>
      </c>
      <c r="E890" s="10" t="s">
        <v>1682</v>
      </c>
      <c r="F890" t="s">
        <v>602</v>
      </c>
      <c r="G890" s="4">
        <v>16999</v>
      </c>
      <c r="H890" s="4"/>
      <c r="I890" s="4"/>
      <c r="J890" s="4">
        <f>SUM(G890:I890)</f>
        <v>16999</v>
      </c>
      <c r="K890" t="s">
        <v>1659</v>
      </c>
      <c r="L890" t="s">
        <v>1659</v>
      </c>
      <c r="M890" t="s">
        <v>1135</v>
      </c>
      <c r="N890" t="s">
        <v>1132</v>
      </c>
      <c r="O890" t="s">
        <v>1132</v>
      </c>
      <c r="P890" t="str">
        <f>IFERROR(VLOOKUP(F890,Sheet1!$A$2:$B$54,2,FALSE),"")</f>
        <v/>
      </c>
    </row>
    <row r="891" spans="1:16" x14ac:dyDescent="0.2">
      <c r="A891" s="1">
        <v>2019</v>
      </c>
      <c r="B891" t="s">
        <v>105</v>
      </c>
      <c r="C891" s="10" t="s">
        <v>1678</v>
      </c>
      <c r="D891" s="10" t="s">
        <v>1679</v>
      </c>
      <c r="E891" s="10" t="s">
        <v>1682</v>
      </c>
      <c r="F891" t="s">
        <v>602</v>
      </c>
      <c r="G891" s="4">
        <v>20415</v>
      </c>
      <c r="H891" s="4"/>
      <c r="I891" s="4"/>
      <c r="J891" s="4">
        <f>SUM(G891:I891)</f>
        <v>20415</v>
      </c>
      <c r="K891" t="s">
        <v>1659</v>
      </c>
      <c r="L891" t="s">
        <v>1659</v>
      </c>
      <c r="M891" t="s">
        <v>1135</v>
      </c>
      <c r="N891" t="s">
        <v>1132</v>
      </c>
      <c r="O891" t="s">
        <v>1132</v>
      </c>
      <c r="P891" t="str">
        <f>IFERROR(VLOOKUP(F891,Sheet1!$A$2:$B$54,2,FALSE),"")</f>
        <v/>
      </c>
    </row>
    <row r="892" spans="1:16" x14ac:dyDescent="0.2">
      <c r="A892" s="1">
        <v>2020</v>
      </c>
      <c r="B892" t="s">
        <v>105</v>
      </c>
      <c r="C892" s="10" t="s">
        <v>1678</v>
      </c>
      <c r="D892" s="10" t="s">
        <v>1679</v>
      </c>
      <c r="E892" s="10" t="s">
        <v>1682</v>
      </c>
      <c r="F892" t="s">
        <v>602</v>
      </c>
      <c r="G892" s="4">
        <v>20845</v>
      </c>
      <c r="H892" s="4"/>
      <c r="I892" s="4"/>
      <c r="J892" s="4">
        <f>SUM(G892:I892)</f>
        <v>20845</v>
      </c>
      <c r="K892" t="s">
        <v>1659</v>
      </c>
      <c r="L892" t="s">
        <v>1659</v>
      </c>
      <c r="M892" t="s">
        <v>1135</v>
      </c>
      <c r="N892" t="s">
        <v>1132</v>
      </c>
      <c r="O892" t="s">
        <v>1132</v>
      </c>
      <c r="P892" t="str">
        <f>IFERROR(VLOOKUP(F892,Sheet1!$A$2:$B$54,2,FALSE),"")</f>
        <v/>
      </c>
    </row>
    <row r="893" spans="1:16" x14ac:dyDescent="0.2">
      <c r="A893" s="1">
        <v>2021</v>
      </c>
      <c r="B893" t="s">
        <v>105</v>
      </c>
      <c r="C893" s="10" t="s">
        <v>1678</v>
      </c>
      <c r="D893" s="10" t="s">
        <v>1679</v>
      </c>
      <c r="E893" s="10" t="s">
        <v>1682</v>
      </c>
      <c r="F893" t="s">
        <v>602</v>
      </c>
      <c r="G893" s="4">
        <v>21462</v>
      </c>
      <c r="H893" s="4"/>
      <c r="I893" s="4"/>
      <c r="J893" s="4">
        <f>SUM(G893:I893)</f>
        <v>21462</v>
      </c>
      <c r="K893" t="s">
        <v>1659</v>
      </c>
      <c r="L893" t="s">
        <v>1659</v>
      </c>
      <c r="M893" t="s">
        <v>602</v>
      </c>
      <c r="N893" t="s">
        <v>1132</v>
      </c>
      <c r="O893" t="s">
        <v>1132</v>
      </c>
      <c r="P893" t="str">
        <f>IFERROR(VLOOKUP(F893,Sheet1!$A$2:$B$54,2,FALSE),"")</f>
        <v/>
      </c>
    </row>
    <row r="894" spans="1:16" x14ac:dyDescent="0.2">
      <c r="A894" s="1">
        <v>2022</v>
      </c>
      <c r="B894" t="s">
        <v>105</v>
      </c>
      <c r="C894" s="10" t="s">
        <v>1678</v>
      </c>
      <c r="D894" s="10" t="s">
        <v>1679</v>
      </c>
      <c r="E894" s="10" t="s">
        <v>1682</v>
      </c>
      <c r="F894" t="s">
        <v>602</v>
      </c>
      <c r="G894" s="4">
        <v>25416</v>
      </c>
      <c r="H894" s="4"/>
      <c r="I894" s="4"/>
      <c r="J894" s="4">
        <f>SUM(G894:I894)</f>
        <v>25416</v>
      </c>
      <c r="K894" t="s">
        <v>1659</v>
      </c>
      <c r="L894" t="s">
        <v>1659</v>
      </c>
      <c r="M894" t="s">
        <v>602</v>
      </c>
      <c r="N894" t="s">
        <v>1132</v>
      </c>
      <c r="O894" t="s">
        <v>1132</v>
      </c>
      <c r="P894" t="str">
        <f>IFERROR(VLOOKUP(F894,Sheet1!$A$2:$B$54,2,FALSE),"")</f>
        <v/>
      </c>
    </row>
    <row r="895" spans="1:16" x14ac:dyDescent="0.2">
      <c r="A895" s="1">
        <v>2023</v>
      </c>
      <c r="B895" t="s">
        <v>105</v>
      </c>
      <c r="C895" s="10" t="s">
        <v>1678</v>
      </c>
      <c r="D895" s="10" t="s">
        <v>1679</v>
      </c>
      <c r="E895" s="10" t="s">
        <v>1682</v>
      </c>
      <c r="F895" t="s">
        <v>602</v>
      </c>
      <c r="G895" s="4">
        <v>27928</v>
      </c>
      <c r="H895" s="4"/>
      <c r="I895" s="4"/>
      <c r="J895" s="4">
        <f>SUM(G895:I895)</f>
        <v>27928</v>
      </c>
      <c r="K895" t="s">
        <v>1659</v>
      </c>
      <c r="L895" t="s">
        <v>1659</v>
      </c>
      <c r="M895" t="s">
        <v>602</v>
      </c>
      <c r="N895" t="s">
        <v>1132</v>
      </c>
      <c r="O895" t="s">
        <v>1132</v>
      </c>
      <c r="P895" t="str">
        <f>IFERROR(VLOOKUP(F895,Sheet1!$A$2:$B$54,2,FALSE),"")</f>
        <v/>
      </c>
    </row>
    <row r="896" spans="1:16" x14ac:dyDescent="0.2">
      <c r="A896" s="1">
        <v>2015</v>
      </c>
      <c r="B896" t="s">
        <v>106</v>
      </c>
      <c r="C896" s="10" t="s">
        <v>1678</v>
      </c>
      <c r="D896" s="10" t="s">
        <v>1679</v>
      </c>
      <c r="E896" s="10" t="s">
        <v>1682</v>
      </c>
      <c r="F896" t="s">
        <v>603</v>
      </c>
      <c r="G896" s="4"/>
      <c r="H896" s="4">
        <v>50415</v>
      </c>
      <c r="I896" s="4"/>
      <c r="J896" s="4">
        <f>SUM(G896:I896)</f>
        <v>50415</v>
      </c>
      <c r="K896" t="s">
        <v>1661</v>
      </c>
      <c r="L896" t="s">
        <v>1659</v>
      </c>
      <c r="M896" t="s">
        <v>1132</v>
      </c>
      <c r="N896" t="s">
        <v>1641</v>
      </c>
      <c r="O896" t="s">
        <v>1132</v>
      </c>
      <c r="P896" t="str">
        <f>IFERROR(VLOOKUP(F896,Sheet1!$A$2:$B$54,2,FALSE),"")</f>
        <v/>
      </c>
    </row>
    <row r="897" spans="1:16" x14ac:dyDescent="0.2">
      <c r="A897" s="1">
        <v>2016</v>
      </c>
      <c r="B897" t="s">
        <v>106</v>
      </c>
      <c r="C897" s="10" t="s">
        <v>1678</v>
      </c>
      <c r="D897" s="10" t="s">
        <v>1679</v>
      </c>
      <c r="E897" s="10" t="s">
        <v>1682</v>
      </c>
      <c r="F897" t="s">
        <v>603</v>
      </c>
      <c r="G897" s="4"/>
      <c r="H897" s="4">
        <v>72600</v>
      </c>
      <c r="I897" s="4"/>
      <c r="J897" s="4">
        <f>SUM(G897:I897)</f>
        <v>72600</v>
      </c>
      <c r="K897" t="s">
        <v>1661</v>
      </c>
      <c r="L897" t="s">
        <v>1659</v>
      </c>
      <c r="M897" t="s">
        <v>1132</v>
      </c>
      <c r="N897" t="s">
        <v>1641</v>
      </c>
      <c r="O897" t="s">
        <v>1132</v>
      </c>
      <c r="P897" t="str">
        <f>IFERROR(VLOOKUP(F897,Sheet1!$A$2:$B$54,2,FALSE),"")</f>
        <v/>
      </c>
    </row>
    <row r="898" spans="1:16" x14ac:dyDescent="0.2">
      <c r="A898" s="1">
        <v>2017</v>
      </c>
      <c r="B898" t="s">
        <v>106</v>
      </c>
      <c r="C898" s="10" t="s">
        <v>1678</v>
      </c>
      <c r="D898" s="10" t="s">
        <v>1679</v>
      </c>
      <c r="E898" s="10" t="s">
        <v>1682</v>
      </c>
      <c r="F898" t="s">
        <v>603</v>
      </c>
      <c r="G898" s="4"/>
      <c r="H898" s="4">
        <v>84198</v>
      </c>
      <c r="I898" s="4"/>
      <c r="J898" s="4">
        <f>SUM(G898:I898)</f>
        <v>84198</v>
      </c>
      <c r="K898" t="s">
        <v>1661</v>
      </c>
      <c r="L898" t="s">
        <v>1659</v>
      </c>
      <c r="M898" t="s">
        <v>1132</v>
      </c>
      <c r="N898" t="s">
        <v>1136</v>
      </c>
      <c r="O898" t="s">
        <v>1132</v>
      </c>
      <c r="P898" t="str">
        <f>IFERROR(VLOOKUP(F898,Sheet1!$A$2:$B$54,2,FALSE),"")</f>
        <v/>
      </c>
    </row>
    <row r="899" spans="1:16" x14ac:dyDescent="0.2">
      <c r="A899" s="1">
        <v>2018</v>
      </c>
      <c r="B899" t="s">
        <v>106</v>
      </c>
      <c r="C899" s="10" t="s">
        <v>1678</v>
      </c>
      <c r="D899" s="10" t="s">
        <v>1679</v>
      </c>
      <c r="E899" s="10" t="s">
        <v>1682</v>
      </c>
      <c r="F899" t="s">
        <v>603</v>
      </c>
      <c r="G899" s="4">
        <v>2868</v>
      </c>
      <c r="H899" s="4">
        <v>139213</v>
      </c>
      <c r="I899" s="4"/>
      <c r="J899" s="4">
        <f>SUM(G899:I899)</f>
        <v>142081</v>
      </c>
      <c r="K899" t="s">
        <v>1660</v>
      </c>
      <c r="L899" t="s">
        <v>1659</v>
      </c>
      <c r="M899" t="s">
        <v>1136</v>
      </c>
      <c r="N899" t="s">
        <v>1136</v>
      </c>
      <c r="O899" t="s">
        <v>1132</v>
      </c>
      <c r="P899" t="str">
        <f>IFERROR(VLOOKUP(F899,Sheet1!$A$2:$B$54,2,FALSE),"")</f>
        <v/>
      </c>
    </row>
    <row r="900" spans="1:16" x14ac:dyDescent="0.2">
      <c r="A900" s="1">
        <v>2019</v>
      </c>
      <c r="B900" t="s">
        <v>106</v>
      </c>
      <c r="C900" s="10" t="s">
        <v>1678</v>
      </c>
      <c r="D900" s="10" t="s">
        <v>1679</v>
      </c>
      <c r="E900" s="10" t="s">
        <v>1682</v>
      </c>
      <c r="F900" t="s">
        <v>603</v>
      </c>
      <c r="G900" s="4">
        <v>5311</v>
      </c>
      <c r="H900" s="4"/>
      <c r="I900" s="4"/>
      <c r="J900" s="4">
        <f>SUM(G900:I900)</f>
        <v>5311</v>
      </c>
      <c r="K900" t="s">
        <v>1659</v>
      </c>
      <c r="L900" t="s">
        <v>1659</v>
      </c>
      <c r="M900" t="s">
        <v>1137</v>
      </c>
      <c r="N900" t="s">
        <v>1132</v>
      </c>
      <c r="O900" t="s">
        <v>1132</v>
      </c>
      <c r="P900" t="str">
        <f>IFERROR(VLOOKUP(F900,Sheet1!$A$2:$B$54,2,FALSE),"")</f>
        <v/>
      </c>
    </row>
    <row r="901" spans="1:16" x14ac:dyDescent="0.2">
      <c r="A901" s="1">
        <v>2020</v>
      </c>
      <c r="B901" t="s">
        <v>106</v>
      </c>
      <c r="C901" s="10" t="s">
        <v>1678</v>
      </c>
      <c r="D901" s="10" t="s">
        <v>1679</v>
      </c>
      <c r="E901" s="10" t="s">
        <v>1682</v>
      </c>
      <c r="F901" t="s">
        <v>603</v>
      </c>
      <c r="G901" s="4">
        <v>5575</v>
      </c>
      <c r="H901" s="4"/>
      <c r="I901" s="4"/>
      <c r="J901" s="4">
        <f>SUM(G901:I901)</f>
        <v>5575</v>
      </c>
      <c r="K901" t="s">
        <v>1659</v>
      </c>
      <c r="L901" t="s">
        <v>1659</v>
      </c>
      <c r="M901" t="s">
        <v>1137</v>
      </c>
      <c r="N901" t="s">
        <v>1132</v>
      </c>
      <c r="O901" t="s">
        <v>1132</v>
      </c>
      <c r="P901" t="str">
        <f>IFERROR(VLOOKUP(F901,Sheet1!$A$2:$B$54,2,FALSE),"")</f>
        <v/>
      </c>
    </row>
    <row r="902" spans="1:16" x14ac:dyDescent="0.2">
      <c r="A902" s="1">
        <v>2021</v>
      </c>
      <c r="B902" t="s">
        <v>106</v>
      </c>
      <c r="C902" s="10" t="s">
        <v>1678</v>
      </c>
      <c r="D902" s="10" t="s">
        <v>1679</v>
      </c>
      <c r="E902" s="10" t="s">
        <v>1682</v>
      </c>
      <c r="F902" t="s">
        <v>603</v>
      </c>
      <c r="G902" s="4">
        <v>11133</v>
      </c>
      <c r="H902" s="4"/>
      <c r="I902" s="4"/>
      <c r="J902" s="4">
        <f>SUM(G902:I902)</f>
        <v>11133</v>
      </c>
      <c r="K902" t="s">
        <v>1659</v>
      </c>
      <c r="L902" t="s">
        <v>1659</v>
      </c>
      <c r="M902" t="s">
        <v>603</v>
      </c>
      <c r="N902" t="s">
        <v>1132</v>
      </c>
      <c r="O902" t="s">
        <v>1132</v>
      </c>
      <c r="P902" t="str">
        <f>IFERROR(VLOOKUP(F902,Sheet1!$A$2:$B$54,2,FALSE),"")</f>
        <v/>
      </c>
    </row>
    <row r="903" spans="1:16" x14ac:dyDescent="0.2">
      <c r="A903" s="1">
        <v>2022</v>
      </c>
      <c r="B903" t="s">
        <v>106</v>
      </c>
      <c r="C903" s="10" t="s">
        <v>1678</v>
      </c>
      <c r="D903" s="10" t="s">
        <v>1679</v>
      </c>
      <c r="E903" s="10" t="s">
        <v>1682</v>
      </c>
      <c r="F903" t="s">
        <v>603</v>
      </c>
      <c r="G903" s="4">
        <v>21035</v>
      </c>
      <c r="H903" s="4"/>
      <c r="I903" s="4"/>
      <c r="J903" s="4">
        <f>SUM(G903:I903)</f>
        <v>21035</v>
      </c>
      <c r="K903" t="s">
        <v>1659</v>
      </c>
      <c r="L903" t="s">
        <v>1659</v>
      </c>
      <c r="M903" t="s">
        <v>603</v>
      </c>
      <c r="N903" t="s">
        <v>1132</v>
      </c>
      <c r="O903" t="s">
        <v>1132</v>
      </c>
      <c r="P903" t="str">
        <f>IFERROR(VLOOKUP(F903,Sheet1!$A$2:$B$54,2,FALSE),"")</f>
        <v/>
      </c>
    </row>
    <row r="904" spans="1:16" x14ac:dyDescent="0.2">
      <c r="A904" s="1">
        <v>2023</v>
      </c>
      <c r="B904" t="s">
        <v>106</v>
      </c>
      <c r="C904" s="10" t="s">
        <v>1678</v>
      </c>
      <c r="D904" s="10" t="s">
        <v>1679</v>
      </c>
      <c r="E904" s="10" t="s">
        <v>1682</v>
      </c>
      <c r="F904" t="s">
        <v>603</v>
      </c>
      <c r="G904" s="4">
        <v>29019</v>
      </c>
      <c r="H904" s="4"/>
      <c r="I904" s="4"/>
      <c r="J904" s="4">
        <f>SUM(G904:I904)</f>
        <v>29019</v>
      </c>
      <c r="K904" t="s">
        <v>1659</v>
      </c>
      <c r="L904" t="s">
        <v>1659</v>
      </c>
      <c r="M904" t="s">
        <v>603</v>
      </c>
      <c r="N904" t="s">
        <v>1132</v>
      </c>
      <c r="O904" t="s">
        <v>1132</v>
      </c>
      <c r="P904" t="str">
        <f>IFERROR(VLOOKUP(F904,Sheet1!$A$2:$B$54,2,FALSE),"")</f>
        <v/>
      </c>
    </row>
    <row r="905" spans="1:16" x14ac:dyDescent="0.2">
      <c r="A905" s="1">
        <v>2018</v>
      </c>
      <c r="B905" t="s">
        <v>107</v>
      </c>
      <c r="C905" s="10" t="s">
        <v>1678</v>
      </c>
      <c r="D905" s="10" t="s">
        <v>1679</v>
      </c>
      <c r="E905" s="10" t="s">
        <v>1682</v>
      </c>
      <c r="F905" t="s">
        <v>604</v>
      </c>
      <c r="G905" s="4">
        <v>2016</v>
      </c>
      <c r="H905" s="4"/>
      <c r="I905" s="4"/>
      <c r="J905" s="4">
        <f>SUM(G905:I905)</f>
        <v>2016</v>
      </c>
      <c r="K905" t="s">
        <v>1659</v>
      </c>
      <c r="L905" t="s">
        <v>1659</v>
      </c>
      <c r="M905" t="s">
        <v>1138</v>
      </c>
      <c r="N905" t="s">
        <v>1132</v>
      </c>
      <c r="O905" t="s">
        <v>1132</v>
      </c>
      <c r="P905" t="str">
        <f>IFERROR(VLOOKUP(F905,Sheet1!$A$2:$B$54,2,FALSE),"")</f>
        <v/>
      </c>
    </row>
    <row r="906" spans="1:16" x14ac:dyDescent="0.2">
      <c r="A906" s="1">
        <v>2019</v>
      </c>
      <c r="B906" t="s">
        <v>107</v>
      </c>
      <c r="C906" s="10" t="s">
        <v>1678</v>
      </c>
      <c r="D906" s="10" t="s">
        <v>1679</v>
      </c>
      <c r="E906" s="10" t="s">
        <v>1682</v>
      </c>
      <c r="F906" t="s">
        <v>604</v>
      </c>
      <c r="G906" s="4">
        <v>3865</v>
      </c>
      <c r="H906" s="4"/>
      <c r="I906" s="4"/>
      <c r="J906" s="4">
        <f>SUM(G906:I906)</f>
        <v>3865</v>
      </c>
      <c r="K906" t="s">
        <v>1659</v>
      </c>
      <c r="L906" t="s">
        <v>1659</v>
      </c>
      <c r="M906" t="s">
        <v>1139</v>
      </c>
      <c r="N906" t="s">
        <v>1132</v>
      </c>
      <c r="O906" t="s">
        <v>1132</v>
      </c>
      <c r="P906" t="str">
        <f>IFERROR(VLOOKUP(F906,Sheet1!$A$2:$B$54,2,FALSE),"")</f>
        <v/>
      </c>
    </row>
    <row r="907" spans="1:16" x14ac:dyDescent="0.2">
      <c r="A907" s="1">
        <v>2020</v>
      </c>
      <c r="B907" t="s">
        <v>107</v>
      </c>
      <c r="C907" s="10" t="s">
        <v>1678</v>
      </c>
      <c r="D907" s="10" t="s">
        <v>1679</v>
      </c>
      <c r="E907" s="10" t="s">
        <v>1682</v>
      </c>
      <c r="F907" t="s">
        <v>604</v>
      </c>
      <c r="G907" s="4">
        <v>4146</v>
      </c>
      <c r="H907" s="4"/>
      <c r="I907" s="4"/>
      <c r="J907" s="4">
        <f>SUM(G907:I907)</f>
        <v>4146</v>
      </c>
      <c r="K907" t="s">
        <v>1659</v>
      </c>
      <c r="L907" t="s">
        <v>1659</v>
      </c>
      <c r="M907" t="s">
        <v>1138</v>
      </c>
      <c r="N907" t="s">
        <v>1132</v>
      </c>
      <c r="O907" t="s">
        <v>1132</v>
      </c>
      <c r="P907" t="str">
        <f>IFERROR(VLOOKUP(F907,Sheet1!$A$2:$B$54,2,FALSE),"")</f>
        <v/>
      </c>
    </row>
    <row r="908" spans="1:16" x14ac:dyDescent="0.2">
      <c r="A908" s="1">
        <v>2021</v>
      </c>
      <c r="B908" t="s">
        <v>107</v>
      </c>
      <c r="C908" s="10" t="s">
        <v>1678</v>
      </c>
      <c r="D908" s="10" t="s">
        <v>1679</v>
      </c>
      <c r="E908" s="10" t="s">
        <v>1682</v>
      </c>
      <c r="F908" t="s">
        <v>604</v>
      </c>
      <c r="G908" s="4">
        <v>4435</v>
      </c>
      <c r="H908" s="4"/>
      <c r="I908" s="4"/>
      <c r="J908" s="4">
        <f>SUM(G908:I908)</f>
        <v>4435</v>
      </c>
      <c r="K908" t="s">
        <v>1659</v>
      </c>
      <c r="L908" t="s">
        <v>1659</v>
      </c>
      <c r="M908" t="s">
        <v>604</v>
      </c>
      <c r="N908" t="s">
        <v>1132</v>
      </c>
      <c r="O908" t="s">
        <v>1132</v>
      </c>
      <c r="P908" t="str">
        <f>IFERROR(VLOOKUP(F908,Sheet1!$A$2:$B$54,2,FALSE),"")</f>
        <v/>
      </c>
    </row>
    <row r="909" spans="1:16" x14ac:dyDescent="0.2">
      <c r="A909" s="1">
        <v>2022</v>
      </c>
      <c r="B909" t="s">
        <v>107</v>
      </c>
      <c r="C909" s="10" t="s">
        <v>1678</v>
      </c>
      <c r="D909" s="10" t="s">
        <v>1679</v>
      </c>
      <c r="E909" s="10" t="s">
        <v>1682</v>
      </c>
      <c r="F909" t="s">
        <v>604</v>
      </c>
      <c r="G909" s="4">
        <v>4361</v>
      </c>
      <c r="H909" s="4"/>
      <c r="I909" s="4"/>
      <c r="J909" s="4">
        <f>SUM(G909:I909)</f>
        <v>4361</v>
      </c>
      <c r="K909" t="s">
        <v>1659</v>
      </c>
      <c r="L909" t="s">
        <v>1659</v>
      </c>
      <c r="M909" t="s">
        <v>604</v>
      </c>
      <c r="N909" t="s">
        <v>1132</v>
      </c>
      <c r="O909" t="s">
        <v>1132</v>
      </c>
      <c r="P909" t="str">
        <f>IFERROR(VLOOKUP(F909,Sheet1!$A$2:$B$54,2,FALSE),"")</f>
        <v/>
      </c>
    </row>
    <row r="910" spans="1:16" x14ac:dyDescent="0.2">
      <c r="A910" s="1">
        <v>2023</v>
      </c>
      <c r="B910" t="s">
        <v>107</v>
      </c>
      <c r="C910" s="10" t="s">
        <v>1678</v>
      </c>
      <c r="D910" s="10" t="s">
        <v>1679</v>
      </c>
      <c r="E910" s="10" t="s">
        <v>1682</v>
      </c>
      <c r="F910" t="s">
        <v>604</v>
      </c>
      <c r="G910" s="4">
        <v>4996</v>
      </c>
      <c r="H910" s="4"/>
      <c r="I910" s="4"/>
      <c r="J910" s="4">
        <f>SUM(G910:I910)</f>
        <v>4996</v>
      </c>
      <c r="K910" t="s">
        <v>1659</v>
      </c>
      <c r="L910" t="s">
        <v>1659</v>
      </c>
      <c r="M910" t="s">
        <v>604</v>
      </c>
      <c r="N910" t="s">
        <v>1132</v>
      </c>
      <c r="O910" t="s">
        <v>1132</v>
      </c>
      <c r="P910" t="str">
        <f>IFERROR(VLOOKUP(F910,Sheet1!$A$2:$B$54,2,FALSE),"")</f>
        <v/>
      </c>
    </row>
    <row r="911" spans="1:16" x14ac:dyDescent="0.2">
      <c r="A911" s="1">
        <v>2015</v>
      </c>
      <c r="B911" t="s">
        <v>108</v>
      </c>
      <c r="C911" s="10" t="s">
        <v>1678</v>
      </c>
      <c r="D911" s="10" t="s">
        <v>1679</v>
      </c>
      <c r="E911" s="10" t="s">
        <v>1682</v>
      </c>
      <c r="F911" t="s">
        <v>605</v>
      </c>
      <c r="G911" s="4">
        <v>75870</v>
      </c>
      <c r="H911" s="4"/>
      <c r="I911" s="4"/>
      <c r="J911" s="4">
        <f>SUM(G911:I911)</f>
        <v>75870</v>
      </c>
      <c r="K911" t="s">
        <v>1659</v>
      </c>
      <c r="L911" t="s">
        <v>1659</v>
      </c>
      <c r="M911" t="s">
        <v>1140</v>
      </c>
      <c r="N911" t="s">
        <v>1132</v>
      </c>
      <c r="O911" t="s">
        <v>1132</v>
      </c>
      <c r="P911" t="str">
        <f>IFERROR(VLOOKUP(F911,Sheet1!$A$2:$B$54,2,FALSE),"")</f>
        <v/>
      </c>
    </row>
    <row r="912" spans="1:16" x14ac:dyDescent="0.2">
      <c r="A912" s="1">
        <v>2016</v>
      </c>
      <c r="B912" t="s">
        <v>108</v>
      </c>
      <c r="C912" s="10" t="s">
        <v>1678</v>
      </c>
      <c r="D912" s="10" t="s">
        <v>1679</v>
      </c>
      <c r="E912" s="10" t="s">
        <v>1682</v>
      </c>
      <c r="F912" t="s">
        <v>605</v>
      </c>
      <c r="G912" s="4">
        <v>86668</v>
      </c>
      <c r="H912" s="4"/>
      <c r="I912" s="4"/>
      <c r="J912" s="4">
        <f>SUM(G912:I912)</f>
        <v>86668</v>
      </c>
      <c r="K912" t="s">
        <v>1659</v>
      </c>
      <c r="L912" t="s">
        <v>1659</v>
      </c>
      <c r="M912" t="s">
        <v>1140</v>
      </c>
      <c r="N912" t="s">
        <v>1132</v>
      </c>
      <c r="O912" t="s">
        <v>1132</v>
      </c>
      <c r="P912" t="str">
        <f>IFERROR(VLOOKUP(F912,Sheet1!$A$2:$B$54,2,FALSE),"")</f>
        <v/>
      </c>
    </row>
    <row r="913" spans="1:16" x14ac:dyDescent="0.2">
      <c r="A913" s="1">
        <v>2017</v>
      </c>
      <c r="B913" t="s">
        <v>108</v>
      </c>
      <c r="C913" s="10" t="s">
        <v>1678</v>
      </c>
      <c r="D913" s="10" t="s">
        <v>1679</v>
      </c>
      <c r="E913" s="10" t="s">
        <v>1682</v>
      </c>
      <c r="F913" t="s">
        <v>605</v>
      </c>
      <c r="G913" s="4">
        <v>101924</v>
      </c>
      <c r="H913" s="4"/>
      <c r="I913" s="4"/>
      <c r="J913" s="4">
        <f>SUM(G913:I913)</f>
        <v>101924</v>
      </c>
      <c r="K913" t="s">
        <v>1659</v>
      </c>
      <c r="L913" t="s">
        <v>1659</v>
      </c>
      <c r="M913" t="s">
        <v>1140</v>
      </c>
      <c r="N913" t="s">
        <v>1132</v>
      </c>
      <c r="O913" t="s">
        <v>1132</v>
      </c>
      <c r="P913" t="str">
        <f>IFERROR(VLOOKUP(F913,Sheet1!$A$2:$B$54,2,FALSE),"")</f>
        <v/>
      </c>
    </row>
    <row r="914" spans="1:16" x14ac:dyDescent="0.2">
      <c r="A914" s="1">
        <v>2018</v>
      </c>
      <c r="B914" t="s">
        <v>108</v>
      </c>
      <c r="C914" s="10" t="s">
        <v>1678</v>
      </c>
      <c r="D914" s="10" t="s">
        <v>1679</v>
      </c>
      <c r="E914" s="10" t="s">
        <v>1682</v>
      </c>
      <c r="F914" t="s">
        <v>605</v>
      </c>
      <c r="G914" s="4">
        <v>141924</v>
      </c>
      <c r="H914" s="4"/>
      <c r="I914" s="4"/>
      <c r="J914" s="4">
        <f>SUM(G914:I914)</f>
        <v>141924</v>
      </c>
      <c r="K914" t="s">
        <v>1659</v>
      </c>
      <c r="L914" t="s">
        <v>1659</v>
      </c>
      <c r="M914" t="s">
        <v>1140</v>
      </c>
      <c r="N914" t="s">
        <v>1132</v>
      </c>
      <c r="O914" t="s">
        <v>1132</v>
      </c>
      <c r="P914" t="str">
        <f>IFERROR(VLOOKUP(F914,Sheet1!$A$2:$B$54,2,FALSE),"")</f>
        <v/>
      </c>
    </row>
    <row r="915" spans="1:16" x14ac:dyDescent="0.2">
      <c r="A915" s="1">
        <v>2019</v>
      </c>
      <c r="B915" t="s">
        <v>108</v>
      </c>
      <c r="C915" s="10" t="s">
        <v>1678</v>
      </c>
      <c r="D915" s="10" t="s">
        <v>1679</v>
      </c>
      <c r="E915" s="10" t="s">
        <v>1682</v>
      </c>
      <c r="F915" t="s">
        <v>605</v>
      </c>
      <c r="G915" s="4">
        <v>136314</v>
      </c>
      <c r="H915" s="4"/>
      <c r="I915" s="4"/>
      <c r="J915" s="4">
        <f>SUM(G915:I915)</f>
        <v>136314</v>
      </c>
      <c r="K915" t="s">
        <v>1659</v>
      </c>
      <c r="L915" t="s">
        <v>1659</v>
      </c>
      <c r="M915" t="s">
        <v>1140</v>
      </c>
      <c r="N915" t="s">
        <v>1132</v>
      </c>
      <c r="O915" t="s">
        <v>1132</v>
      </c>
      <c r="P915" t="str">
        <f>IFERROR(VLOOKUP(F915,Sheet1!$A$2:$B$54,2,FALSE),"")</f>
        <v/>
      </c>
    </row>
    <row r="916" spans="1:16" x14ac:dyDescent="0.2">
      <c r="A916" s="1">
        <v>2020</v>
      </c>
      <c r="B916" t="s">
        <v>108</v>
      </c>
      <c r="C916" s="10" t="s">
        <v>1678</v>
      </c>
      <c r="D916" s="10" t="s">
        <v>1679</v>
      </c>
      <c r="E916" s="10" t="s">
        <v>1682</v>
      </c>
      <c r="F916" t="s">
        <v>605</v>
      </c>
      <c r="G916" s="4">
        <v>149569</v>
      </c>
      <c r="H916" s="4"/>
      <c r="I916" s="4"/>
      <c r="J916" s="4">
        <f>SUM(G916:I916)</f>
        <v>149569</v>
      </c>
      <c r="K916" t="s">
        <v>1659</v>
      </c>
      <c r="L916" t="s">
        <v>1659</v>
      </c>
      <c r="M916" t="s">
        <v>1140</v>
      </c>
      <c r="N916" t="s">
        <v>1132</v>
      </c>
      <c r="O916" t="s">
        <v>1132</v>
      </c>
      <c r="P916" t="str">
        <f>IFERROR(VLOOKUP(F916,Sheet1!$A$2:$B$54,2,FALSE),"")</f>
        <v/>
      </c>
    </row>
    <row r="917" spans="1:16" x14ac:dyDescent="0.2">
      <c r="A917" s="1">
        <v>2021</v>
      </c>
      <c r="B917" t="s">
        <v>108</v>
      </c>
      <c r="C917" s="10" t="s">
        <v>1678</v>
      </c>
      <c r="D917" s="10" t="s">
        <v>1679</v>
      </c>
      <c r="E917" s="10" t="s">
        <v>1682</v>
      </c>
      <c r="F917" t="s">
        <v>605</v>
      </c>
      <c r="G917" s="4">
        <v>156709</v>
      </c>
      <c r="H917" s="4"/>
      <c r="I917" s="4"/>
      <c r="J917" s="4">
        <f>SUM(G917:I917)</f>
        <v>156709</v>
      </c>
      <c r="K917" t="s">
        <v>1659</v>
      </c>
      <c r="L917" t="s">
        <v>1659</v>
      </c>
      <c r="M917" t="s">
        <v>605</v>
      </c>
      <c r="N917" t="s">
        <v>1132</v>
      </c>
      <c r="O917" t="s">
        <v>1132</v>
      </c>
      <c r="P917" t="str">
        <f>IFERROR(VLOOKUP(F917,Sheet1!$A$2:$B$54,2,FALSE),"")</f>
        <v/>
      </c>
    </row>
    <row r="918" spans="1:16" x14ac:dyDescent="0.2">
      <c r="A918" s="1">
        <v>2022</v>
      </c>
      <c r="B918" t="s">
        <v>108</v>
      </c>
      <c r="C918" s="10" t="s">
        <v>1678</v>
      </c>
      <c r="D918" s="10" t="s">
        <v>1679</v>
      </c>
      <c r="E918" s="10" t="s">
        <v>1682</v>
      </c>
      <c r="F918" t="s">
        <v>605</v>
      </c>
      <c r="G918" s="4">
        <v>198533</v>
      </c>
      <c r="H918" s="4"/>
      <c r="I918" s="4"/>
      <c r="J918" s="4">
        <f>SUM(G918:I918)</f>
        <v>198533</v>
      </c>
      <c r="K918" t="s">
        <v>1659</v>
      </c>
      <c r="L918" t="s">
        <v>1659</v>
      </c>
      <c r="M918" t="s">
        <v>605</v>
      </c>
      <c r="N918" t="s">
        <v>1132</v>
      </c>
      <c r="O918" t="s">
        <v>1132</v>
      </c>
      <c r="P918" t="str">
        <f>IFERROR(VLOOKUP(F918,Sheet1!$A$2:$B$54,2,FALSE),"")</f>
        <v/>
      </c>
    </row>
    <row r="919" spans="1:16" x14ac:dyDescent="0.2">
      <c r="A919" s="1">
        <v>2023</v>
      </c>
      <c r="B919" t="s">
        <v>108</v>
      </c>
      <c r="C919" s="10" t="s">
        <v>1678</v>
      </c>
      <c r="D919" s="10" t="s">
        <v>1679</v>
      </c>
      <c r="E919" s="10" t="s">
        <v>1682</v>
      </c>
      <c r="F919" t="s">
        <v>605</v>
      </c>
      <c r="G919" s="4">
        <v>229867</v>
      </c>
      <c r="H919" s="4"/>
      <c r="I919" s="4"/>
      <c r="J919" s="4">
        <f>SUM(G919:I919)</f>
        <v>229867</v>
      </c>
      <c r="K919" t="s">
        <v>1659</v>
      </c>
      <c r="L919" t="s">
        <v>1659</v>
      </c>
      <c r="M919" t="s">
        <v>605</v>
      </c>
      <c r="N919" t="s">
        <v>1132</v>
      </c>
      <c r="O919" t="s">
        <v>1132</v>
      </c>
      <c r="P919" t="str">
        <f>IFERROR(VLOOKUP(F919,Sheet1!$A$2:$B$54,2,FALSE),"")</f>
        <v/>
      </c>
    </row>
    <row r="920" spans="1:16" x14ac:dyDescent="0.2">
      <c r="A920" s="1">
        <v>2015</v>
      </c>
      <c r="B920" t="s">
        <v>109</v>
      </c>
      <c r="C920" s="10" t="s">
        <v>1678</v>
      </c>
      <c r="D920" s="10" t="s">
        <v>1679</v>
      </c>
      <c r="E920" s="10" t="s">
        <v>1682</v>
      </c>
      <c r="F920" t="s">
        <v>606</v>
      </c>
      <c r="G920" s="4">
        <v>307772</v>
      </c>
      <c r="H920" s="4">
        <v>3461773</v>
      </c>
      <c r="I920" s="4">
        <v>44483</v>
      </c>
      <c r="J920" s="4">
        <f>SUM(G920:I920)</f>
        <v>3814028</v>
      </c>
      <c r="K920" t="s">
        <v>1660</v>
      </c>
      <c r="L920" t="s">
        <v>1660</v>
      </c>
      <c r="M920" t="s">
        <v>1141</v>
      </c>
      <c r="N920" t="s">
        <v>1141</v>
      </c>
      <c r="O920" t="s">
        <v>1141</v>
      </c>
      <c r="P920">
        <f>IFERROR(VLOOKUP(F920,Sheet1!$A$2:$B$54,2,FALSE),"")</f>
        <v>4900240</v>
      </c>
    </row>
    <row r="921" spans="1:16" x14ac:dyDescent="0.2">
      <c r="A921" s="1">
        <v>2016</v>
      </c>
      <c r="B921" t="s">
        <v>109</v>
      </c>
      <c r="C921" s="10" t="s">
        <v>1678</v>
      </c>
      <c r="D921" s="10" t="s">
        <v>1679</v>
      </c>
      <c r="E921" s="10" t="s">
        <v>1682</v>
      </c>
      <c r="F921" t="s">
        <v>606</v>
      </c>
      <c r="G921" s="4">
        <v>362491</v>
      </c>
      <c r="H921" s="4">
        <v>3534146</v>
      </c>
      <c r="I921" s="4">
        <v>39037</v>
      </c>
      <c r="J921" s="4">
        <f>SUM(G921:I921)</f>
        <v>3935674</v>
      </c>
      <c r="K921" t="s">
        <v>1660</v>
      </c>
      <c r="L921" t="s">
        <v>1660</v>
      </c>
      <c r="M921" t="s">
        <v>1141</v>
      </c>
      <c r="N921" t="s">
        <v>1141</v>
      </c>
      <c r="O921" t="s">
        <v>1141</v>
      </c>
      <c r="P921">
        <f>IFERROR(VLOOKUP(F921,Sheet1!$A$2:$B$54,2,FALSE),"")</f>
        <v>4900240</v>
      </c>
    </row>
    <row r="922" spans="1:16" x14ac:dyDescent="0.2">
      <c r="A922" s="1">
        <v>2017</v>
      </c>
      <c r="B922" t="s">
        <v>109</v>
      </c>
      <c r="C922" s="10" t="s">
        <v>1678</v>
      </c>
      <c r="D922" s="10" t="s">
        <v>1679</v>
      </c>
      <c r="E922" s="10" t="s">
        <v>1682</v>
      </c>
      <c r="F922" t="s">
        <v>606</v>
      </c>
      <c r="G922" s="4">
        <v>420078</v>
      </c>
      <c r="H922" s="4">
        <v>3534151</v>
      </c>
      <c r="I922" s="4">
        <v>34432</v>
      </c>
      <c r="J922" s="4">
        <f>SUM(G922:I922)</f>
        <v>3988661</v>
      </c>
      <c r="K922" t="s">
        <v>1660</v>
      </c>
      <c r="L922" t="s">
        <v>1660</v>
      </c>
      <c r="M922" t="s">
        <v>1141</v>
      </c>
      <c r="N922" t="s">
        <v>1141</v>
      </c>
      <c r="O922" t="s">
        <v>1141</v>
      </c>
      <c r="P922">
        <f>IFERROR(VLOOKUP(F922,Sheet1!$A$2:$B$54,2,FALSE),"")</f>
        <v>4900240</v>
      </c>
    </row>
    <row r="923" spans="1:16" x14ac:dyDescent="0.2">
      <c r="A923" s="1">
        <v>2018</v>
      </c>
      <c r="B923" t="s">
        <v>109</v>
      </c>
      <c r="C923" s="10" t="s">
        <v>1678</v>
      </c>
      <c r="D923" s="10" t="s">
        <v>1679</v>
      </c>
      <c r="E923" s="10" t="s">
        <v>1682</v>
      </c>
      <c r="F923" t="s">
        <v>606</v>
      </c>
      <c r="G923" s="4">
        <v>538363</v>
      </c>
      <c r="H923" s="4">
        <v>3645779</v>
      </c>
      <c r="I923" s="4">
        <v>30996</v>
      </c>
      <c r="J923" s="4">
        <f>SUM(G923:I923)</f>
        <v>4215138</v>
      </c>
      <c r="K923" t="s">
        <v>1660</v>
      </c>
      <c r="L923" t="s">
        <v>1660</v>
      </c>
      <c r="M923" t="s">
        <v>1141</v>
      </c>
      <c r="N923" t="s">
        <v>1141</v>
      </c>
      <c r="O923" t="s">
        <v>1141</v>
      </c>
      <c r="P923">
        <f>IFERROR(VLOOKUP(F923,Sheet1!$A$2:$B$54,2,FALSE),"")</f>
        <v>4900240</v>
      </c>
    </row>
    <row r="924" spans="1:16" x14ac:dyDescent="0.2">
      <c r="A924" s="1">
        <v>2019</v>
      </c>
      <c r="B924" t="s">
        <v>109</v>
      </c>
      <c r="C924" s="10" t="s">
        <v>1678</v>
      </c>
      <c r="D924" s="10" t="s">
        <v>1679</v>
      </c>
      <c r="E924" s="10" t="s">
        <v>1682</v>
      </c>
      <c r="F924" t="s">
        <v>606</v>
      </c>
      <c r="G924" s="4">
        <v>668839</v>
      </c>
      <c r="H924" s="4">
        <v>3832704</v>
      </c>
      <c r="I924" s="4">
        <v>16123</v>
      </c>
      <c r="J924" s="4">
        <f>SUM(G924:I924)</f>
        <v>4517666</v>
      </c>
      <c r="K924" t="s">
        <v>1660</v>
      </c>
      <c r="L924" t="s">
        <v>1660</v>
      </c>
      <c r="M924" t="s">
        <v>1141</v>
      </c>
      <c r="N924" t="s">
        <v>1141</v>
      </c>
      <c r="O924" t="s">
        <v>1141</v>
      </c>
      <c r="P924">
        <f>IFERROR(VLOOKUP(F924,Sheet1!$A$2:$B$54,2,FALSE),"")</f>
        <v>4900240</v>
      </c>
    </row>
    <row r="925" spans="1:16" x14ac:dyDescent="0.2">
      <c r="A925" s="1">
        <v>2020</v>
      </c>
      <c r="B925" t="s">
        <v>109</v>
      </c>
      <c r="C925" s="10" t="s">
        <v>1678</v>
      </c>
      <c r="D925" s="10" t="s">
        <v>1679</v>
      </c>
      <c r="E925" s="10" t="s">
        <v>1682</v>
      </c>
      <c r="F925" t="s">
        <v>606</v>
      </c>
      <c r="G925" s="4">
        <v>795171</v>
      </c>
      <c r="H925" s="4">
        <v>4048795</v>
      </c>
      <c r="I925" s="4">
        <v>15573</v>
      </c>
      <c r="J925" s="4">
        <f>SUM(G925:I925)</f>
        <v>4859539</v>
      </c>
      <c r="K925" t="s">
        <v>1660</v>
      </c>
      <c r="L925" t="s">
        <v>1660</v>
      </c>
      <c r="M925" t="s">
        <v>1141</v>
      </c>
      <c r="N925" t="s">
        <v>1141</v>
      </c>
      <c r="O925" t="s">
        <v>1141</v>
      </c>
      <c r="P925">
        <f>IFERROR(VLOOKUP(F925,Sheet1!$A$2:$B$54,2,FALSE),"")</f>
        <v>4900240</v>
      </c>
    </row>
    <row r="926" spans="1:16" x14ac:dyDescent="0.2">
      <c r="A926" s="1">
        <v>2021</v>
      </c>
      <c r="B926" t="s">
        <v>109</v>
      </c>
      <c r="C926" s="10" t="s">
        <v>1678</v>
      </c>
      <c r="D926" s="10" t="s">
        <v>1679</v>
      </c>
      <c r="E926" s="10" t="s">
        <v>1682</v>
      </c>
      <c r="F926" t="s">
        <v>606</v>
      </c>
      <c r="G926" s="4">
        <v>912589</v>
      </c>
      <c r="H926" s="4">
        <v>4241348</v>
      </c>
      <c r="I926" s="4">
        <v>12753</v>
      </c>
      <c r="J926" s="4">
        <f>SUM(G926:I926)</f>
        <v>5166690</v>
      </c>
      <c r="K926" t="s">
        <v>1660</v>
      </c>
      <c r="L926" t="s">
        <v>1660</v>
      </c>
      <c r="M926" t="s">
        <v>606</v>
      </c>
      <c r="N926" t="s">
        <v>606</v>
      </c>
      <c r="O926" t="s">
        <v>606</v>
      </c>
      <c r="P926">
        <f>IFERROR(VLOOKUP(F926,Sheet1!$A$2:$B$54,2,FALSE),"")</f>
        <v>4900240</v>
      </c>
    </row>
    <row r="927" spans="1:16" x14ac:dyDescent="0.2">
      <c r="A927" s="1">
        <v>2022</v>
      </c>
      <c r="B927" t="s">
        <v>109</v>
      </c>
      <c r="C927" s="10" t="s">
        <v>1678</v>
      </c>
      <c r="D927" s="10" t="s">
        <v>1679</v>
      </c>
      <c r="E927" s="10" t="s">
        <v>1682</v>
      </c>
      <c r="F927" t="s">
        <v>606</v>
      </c>
      <c r="G927" s="4">
        <v>1070524</v>
      </c>
      <c r="H927" s="4">
        <v>4251380</v>
      </c>
      <c r="I927" s="4">
        <v>13338</v>
      </c>
      <c r="J927" s="4">
        <f>SUM(G927:I927)</f>
        <v>5335242</v>
      </c>
      <c r="K927" t="s">
        <v>1660</v>
      </c>
      <c r="L927" t="s">
        <v>1660</v>
      </c>
      <c r="M927" t="s">
        <v>606</v>
      </c>
      <c r="N927" t="s">
        <v>606</v>
      </c>
      <c r="O927" t="s">
        <v>606</v>
      </c>
      <c r="P927">
        <f>IFERROR(VLOOKUP(F927,Sheet1!$A$2:$B$54,2,FALSE),"")</f>
        <v>4900240</v>
      </c>
    </row>
    <row r="928" spans="1:16" x14ac:dyDescent="0.2">
      <c r="A928" s="1">
        <v>2023</v>
      </c>
      <c r="B928" t="s">
        <v>109</v>
      </c>
      <c r="C928" s="10" t="s">
        <v>1678</v>
      </c>
      <c r="D928" s="10" t="s">
        <v>1679</v>
      </c>
      <c r="E928" s="10" t="s">
        <v>1682</v>
      </c>
      <c r="F928" t="s">
        <v>606</v>
      </c>
      <c r="G928" s="4">
        <v>1356321</v>
      </c>
      <c r="H928" s="4">
        <v>4641436</v>
      </c>
      <c r="I928" s="4">
        <v>14022</v>
      </c>
      <c r="J928" s="4">
        <f>SUM(G928:I928)</f>
        <v>6011779</v>
      </c>
      <c r="K928" t="s">
        <v>1660</v>
      </c>
      <c r="L928" t="s">
        <v>1660</v>
      </c>
      <c r="M928" t="s">
        <v>606</v>
      </c>
      <c r="N928" t="s">
        <v>606</v>
      </c>
      <c r="O928" t="s">
        <v>606</v>
      </c>
      <c r="P928">
        <f>IFERROR(VLOOKUP(F928,Sheet1!$A$2:$B$54,2,FALSE),"")</f>
        <v>4900240</v>
      </c>
    </row>
    <row r="929" spans="1:16" x14ac:dyDescent="0.2">
      <c r="A929" s="1">
        <v>2023</v>
      </c>
      <c r="B929" t="s">
        <v>110</v>
      </c>
      <c r="C929" s="10" t="s">
        <v>1678</v>
      </c>
      <c r="D929" s="10" t="s">
        <v>1679</v>
      </c>
      <c r="E929" s="10" t="s">
        <v>1682</v>
      </c>
      <c r="F929" t="s">
        <v>607</v>
      </c>
      <c r="G929" s="4">
        <v>2023</v>
      </c>
      <c r="H929" s="4"/>
      <c r="I929" s="4"/>
      <c r="J929" s="4">
        <f>SUM(G929:I929)</f>
        <v>2023</v>
      </c>
      <c r="K929" t="s">
        <v>1659</v>
      </c>
      <c r="L929" t="s">
        <v>1659</v>
      </c>
      <c r="M929" t="s">
        <v>607</v>
      </c>
      <c r="N929" t="s">
        <v>1132</v>
      </c>
      <c r="O929" t="s">
        <v>1132</v>
      </c>
      <c r="P929" t="str">
        <f>IFERROR(VLOOKUP(F929,Sheet1!$A$2:$B$54,2,FALSE),"")</f>
        <v/>
      </c>
    </row>
    <row r="930" spans="1:16" x14ac:dyDescent="0.2">
      <c r="A930" s="1">
        <v>2015</v>
      </c>
      <c r="B930" t="s">
        <v>111</v>
      </c>
      <c r="C930" s="10" t="s">
        <v>1678</v>
      </c>
      <c r="D930" s="10" t="s">
        <v>1679</v>
      </c>
      <c r="E930" s="10" t="s">
        <v>1682</v>
      </c>
      <c r="F930" t="s">
        <v>608</v>
      </c>
      <c r="G930" s="4">
        <v>51233</v>
      </c>
      <c r="H930" s="4"/>
      <c r="I930" s="4"/>
      <c r="J930" s="4">
        <f>SUM(G930:I930)</f>
        <v>51233</v>
      </c>
      <c r="K930" t="s">
        <v>1659</v>
      </c>
      <c r="L930" t="s">
        <v>1659</v>
      </c>
      <c r="M930" t="s">
        <v>1142</v>
      </c>
      <c r="N930" t="s">
        <v>1132</v>
      </c>
      <c r="O930" t="s">
        <v>1132</v>
      </c>
      <c r="P930" t="str">
        <f>IFERROR(VLOOKUP(F930,Sheet1!$A$2:$B$54,2,FALSE),"")</f>
        <v/>
      </c>
    </row>
    <row r="931" spans="1:16" x14ac:dyDescent="0.2">
      <c r="A931" s="1">
        <v>2016</v>
      </c>
      <c r="B931" t="s">
        <v>111</v>
      </c>
      <c r="C931" s="10" t="s">
        <v>1678</v>
      </c>
      <c r="D931" s="10" t="s">
        <v>1679</v>
      </c>
      <c r="E931" s="10" t="s">
        <v>1682</v>
      </c>
      <c r="F931" t="s">
        <v>608</v>
      </c>
      <c r="G931" s="4">
        <v>67342</v>
      </c>
      <c r="H931" s="4"/>
      <c r="I931" s="4"/>
      <c r="J931" s="4">
        <f>SUM(G931:I931)</f>
        <v>67342</v>
      </c>
      <c r="K931" t="s">
        <v>1659</v>
      </c>
      <c r="L931" t="s">
        <v>1659</v>
      </c>
      <c r="M931" t="s">
        <v>1142</v>
      </c>
      <c r="N931" t="s">
        <v>1132</v>
      </c>
      <c r="O931" t="s">
        <v>1132</v>
      </c>
      <c r="P931" t="str">
        <f>IFERROR(VLOOKUP(F931,Sheet1!$A$2:$B$54,2,FALSE),"")</f>
        <v/>
      </c>
    </row>
    <row r="932" spans="1:16" x14ac:dyDescent="0.2">
      <c r="A932" s="1">
        <v>2017</v>
      </c>
      <c r="B932" t="s">
        <v>111</v>
      </c>
      <c r="C932" s="10" t="s">
        <v>1678</v>
      </c>
      <c r="D932" s="10" t="s">
        <v>1679</v>
      </c>
      <c r="E932" s="10" t="s">
        <v>1682</v>
      </c>
      <c r="F932" t="s">
        <v>608</v>
      </c>
      <c r="G932" s="4">
        <v>84802</v>
      </c>
      <c r="H932" s="4"/>
      <c r="I932" s="4"/>
      <c r="J932" s="4">
        <f>SUM(G932:I932)</f>
        <v>84802</v>
      </c>
      <c r="K932" t="s">
        <v>1659</v>
      </c>
      <c r="L932" t="s">
        <v>1659</v>
      </c>
      <c r="M932" t="s">
        <v>1142</v>
      </c>
      <c r="N932" t="s">
        <v>1132</v>
      </c>
      <c r="O932" t="s">
        <v>1132</v>
      </c>
      <c r="P932" t="str">
        <f>IFERROR(VLOOKUP(F932,Sheet1!$A$2:$B$54,2,FALSE),"")</f>
        <v/>
      </c>
    </row>
    <row r="933" spans="1:16" x14ac:dyDescent="0.2">
      <c r="A933" s="1">
        <v>2018</v>
      </c>
      <c r="B933" t="s">
        <v>111</v>
      </c>
      <c r="C933" s="10" t="s">
        <v>1678</v>
      </c>
      <c r="D933" s="10" t="s">
        <v>1679</v>
      </c>
      <c r="E933" s="10" t="s">
        <v>1682</v>
      </c>
      <c r="F933" t="s">
        <v>608</v>
      </c>
      <c r="G933" s="4">
        <v>100292</v>
      </c>
      <c r="H933" s="4"/>
      <c r="I933" s="4"/>
      <c r="J933" s="4">
        <f>SUM(G933:I933)</f>
        <v>100292</v>
      </c>
      <c r="K933" t="s">
        <v>1659</v>
      </c>
      <c r="L933" t="s">
        <v>1659</v>
      </c>
      <c r="M933" t="s">
        <v>1142</v>
      </c>
      <c r="N933" t="s">
        <v>1132</v>
      </c>
      <c r="O933" t="s">
        <v>1132</v>
      </c>
      <c r="P933" t="str">
        <f>IFERROR(VLOOKUP(F933,Sheet1!$A$2:$B$54,2,FALSE),"")</f>
        <v/>
      </c>
    </row>
    <row r="934" spans="1:16" x14ac:dyDescent="0.2">
      <c r="A934" s="1">
        <v>2019</v>
      </c>
      <c r="B934" t="s">
        <v>111</v>
      </c>
      <c r="C934" s="10" t="s">
        <v>1678</v>
      </c>
      <c r="D934" s="10" t="s">
        <v>1679</v>
      </c>
      <c r="E934" s="10" t="s">
        <v>1682</v>
      </c>
      <c r="F934" t="s">
        <v>608</v>
      </c>
      <c r="G934" s="4">
        <v>136971</v>
      </c>
      <c r="H934" s="4"/>
      <c r="I934" s="4"/>
      <c r="J934" s="4">
        <f>SUM(G934:I934)</f>
        <v>136971</v>
      </c>
      <c r="K934" t="s">
        <v>1659</v>
      </c>
      <c r="L934" t="s">
        <v>1659</v>
      </c>
      <c r="M934" t="s">
        <v>1142</v>
      </c>
      <c r="N934" t="s">
        <v>1132</v>
      </c>
      <c r="O934" t="s">
        <v>1132</v>
      </c>
      <c r="P934" t="str">
        <f>IFERROR(VLOOKUP(F934,Sheet1!$A$2:$B$54,2,FALSE),"")</f>
        <v/>
      </c>
    </row>
    <row r="935" spans="1:16" x14ac:dyDescent="0.2">
      <c r="A935" s="1">
        <v>2020</v>
      </c>
      <c r="B935" t="s">
        <v>111</v>
      </c>
      <c r="C935" s="10" t="s">
        <v>1678</v>
      </c>
      <c r="D935" s="10" t="s">
        <v>1679</v>
      </c>
      <c r="E935" s="10" t="s">
        <v>1682</v>
      </c>
      <c r="F935" t="s">
        <v>608</v>
      </c>
      <c r="G935" s="4">
        <v>174332</v>
      </c>
      <c r="H935" s="4"/>
      <c r="I935" s="4"/>
      <c r="J935" s="4">
        <f>SUM(G935:I935)</f>
        <v>174332</v>
      </c>
      <c r="K935" t="s">
        <v>1659</v>
      </c>
      <c r="L935" t="s">
        <v>1659</v>
      </c>
      <c r="M935" t="s">
        <v>1142</v>
      </c>
      <c r="N935" t="s">
        <v>1132</v>
      </c>
      <c r="O935" t="s">
        <v>1132</v>
      </c>
      <c r="P935" t="str">
        <f>IFERROR(VLOOKUP(F935,Sheet1!$A$2:$B$54,2,FALSE),"")</f>
        <v/>
      </c>
    </row>
    <row r="936" spans="1:16" x14ac:dyDescent="0.2">
      <c r="A936" s="1">
        <v>2021</v>
      </c>
      <c r="B936" t="s">
        <v>111</v>
      </c>
      <c r="C936" s="10" t="s">
        <v>1678</v>
      </c>
      <c r="D936" s="10" t="s">
        <v>1679</v>
      </c>
      <c r="E936" s="10" t="s">
        <v>1682</v>
      </c>
      <c r="F936" t="s">
        <v>608</v>
      </c>
      <c r="G936" s="4">
        <v>216613</v>
      </c>
      <c r="H936" s="4"/>
      <c r="I936" s="4"/>
      <c r="J936" s="4">
        <f>SUM(G936:I936)</f>
        <v>216613</v>
      </c>
      <c r="K936" t="s">
        <v>1659</v>
      </c>
      <c r="L936" t="s">
        <v>1659</v>
      </c>
      <c r="M936" t="s">
        <v>608</v>
      </c>
      <c r="N936" t="s">
        <v>1132</v>
      </c>
      <c r="O936" t="s">
        <v>1132</v>
      </c>
      <c r="P936" t="str">
        <f>IFERROR(VLOOKUP(F936,Sheet1!$A$2:$B$54,2,FALSE),"")</f>
        <v/>
      </c>
    </row>
    <row r="937" spans="1:16" x14ac:dyDescent="0.2">
      <c r="A937" s="1">
        <v>2022</v>
      </c>
      <c r="B937" t="s">
        <v>111</v>
      </c>
      <c r="C937" s="10" t="s">
        <v>1678</v>
      </c>
      <c r="D937" s="10" t="s">
        <v>1679</v>
      </c>
      <c r="E937" s="10" t="s">
        <v>1682</v>
      </c>
      <c r="F937" t="s">
        <v>608</v>
      </c>
      <c r="G937" s="4">
        <v>289069</v>
      </c>
      <c r="H937" s="4"/>
      <c r="I937" s="4"/>
      <c r="J937" s="4">
        <f>SUM(G937:I937)</f>
        <v>289069</v>
      </c>
      <c r="K937" t="s">
        <v>1659</v>
      </c>
      <c r="L937" t="s">
        <v>1659</v>
      </c>
      <c r="M937" t="s">
        <v>608</v>
      </c>
      <c r="N937" t="s">
        <v>1132</v>
      </c>
      <c r="O937" t="s">
        <v>1132</v>
      </c>
      <c r="P937" t="str">
        <f>IFERROR(VLOOKUP(F937,Sheet1!$A$2:$B$54,2,FALSE),"")</f>
        <v/>
      </c>
    </row>
    <row r="938" spans="1:16" x14ac:dyDescent="0.2">
      <c r="A938" s="1">
        <v>2023</v>
      </c>
      <c r="B938" t="s">
        <v>111</v>
      </c>
      <c r="C938" s="10" t="s">
        <v>1678</v>
      </c>
      <c r="D938" s="10" t="s">
        <v>1679</v>
      </c>
      <c r="E938" s="10" t="s">
        <v>1682</v>
      </c>
      <c r="F938" t="s">
        <v>608</v>
      </c>
      <c r="G938" s="4">
        <v>337565</v>
      </c>
      <c r="H938" s="4"/>
      <c r="I938" s="4"/>
      <c r="J938" s="4">
        <f>SUM(G938:I938)</f>
        <v>337565</v>
      </c>
      <c r="K938" t="s">
        <v>1659</v>
      </c>
      <c r="L938" t="s">
        <v>1659</v>
      </c>
      <c r="M938" t="s">
        <v>608</v>
      </c>
      <c r="N938" t="s">
        <v>1132</v>
      </c>
      <c r="O938" t="s">
        <v>1132</v>
      </c>
      <c r="P938" t="str">
        <f>IFERROR(VLOOKUP(F938,Sheet1!$A$2:$B$54,2,FALSE),"")</f>
        <v/>
      </c>
    </row>
    <row r="939" spans="1:16" x14ac:dyDescent="0.2">
      <c r="A939" s="1">
        <v>2015</v>
      </c>
      <c r="B939" t="s">
        <v>112</v>
      </c>
      <c r="C939" s="10" t="s">
        <v>1678</v>
      </c>
      <c r="D939" s="10" t="s">
        <v>1679</v>
      </c>
      <c r="E939" s="10" t="s">
        <v>1682</v>
      </c>
      <c r="F939" t="s">
        <v>609</v>
      </c>
      <c r="G939" s="4">
        <v>5302</v>
      </c>
      <c r="H939" s="4"/>
      <c r="I939" s="4"/>
      <c r="J939" s="4">
        <f>SUM(G939:I939)</f>
        <v>5302</v>
      </c>
      <c r="K939" t="s">
        <v>1659</v>
      </c>
      <c r="L939" t="s">
        <v>1659</v>
      </c>
      <c r="M939" t="s">
        <v>1143</v>
      </c>
      <c r="N939" t="s">
        <v>1132</v>
      </c>
      <c r="O939" t="s">
        <v>1132</v>
      </c>
      <c r="P939" t="str">
        <f>IFERROR(VLOOKUP(F939,Sheet1!$A$2:$B$54,2,FALSE),"")</f>
        <v/>
      </c>
    </row>
    <row r="940" spans="1:16" x14ac:dyDescent="0.2">
      <c r="A940" s="1">
        <v>2016</v>
      </c>
      <c r="B940" t="s">
        <v>112</v>
      </c>
      <c r="C940" s="10" t="s">
        <v>1678</v>
      </c>
      <c r="D940" s="10" t="s">
        <v>1679</v>
      </c>
      <c r="E940" s="10" t="s">
        <v>1682</v>
      </c>
      <c r="F940" t="s">
        <v>609</v>
      </c>
      <c r="G940" s="4">
        <v>5220</v>
      </c>
      <c r="H940" s="4"/>
      <c r="I940" s="4"/>
      <c r="J940" s="4">
        <f>SUM(G940:I940)</f>
        <v>5220</v>
      </c>
      <c r="K940" t="s">
        <v>1659</v>
      </c>
      <c r="L940" t="s">
        <v>1659</v>
      </c>
      <c r="M940" t="s">
        <v>1143</v>
      </c>
      <c r="N940" t="s">
        <v>1132</v>
      </c>
      <c r="O940" t="s">
        <v>1132</v>
      </c>
      <c r="P940" t="str">
        <f>IFERROR(VLOOKUP(F940,Sheet1!$A$2:$B$54,2,FALSE),"")</f>
        <v/>
      </c>
    </row>
    <row r="941" spans="1:16" x14ac:dyDescent="0.2">
      <c r="A941" s="1">
        <v>2017</v>
      </c>
      <c r="B941" t="s">
        <v>112</v>
      </c>
      <c r="C941" s="10" t="s">
        <v>1678</v>
      </c>
      <c r="D941" s="10" t="s">
        <v>1679</v>
      </c>
      <c r="E941" s="10" t="s">
        <v>1682</v>
      </c>
      <c r="F941" t="s">
        <v>609</v>
      </c>
      <c r="G941" s="4">
        <v>6346</v>
      </c>
      <c r="H941" s="4"/>
      <c r="I941" s="4"/>
      <c r="J941" s="4">
        <f>SUM(G941:I941)</f>
        <v>6346</v>
      </c>
      <c r="K941" t="s">
        <v>1659</v>
      </c>
      <c r="L941" t="s">
        <v>1659</v>
      </c>
      <c r="M941" t="s">
        <v>1143</v>
      </c>
      <c r="N941" t="s">
        <v>1132</v>
      </c>
      <c r="O941" t="s">
        <v>1132</v>
      </c>
      <c r="P941" t="str">
        <f>IFERROR(VLOOKUP(F941,Sheet1!$A$2:$B$54,2,FALSE),"")</f>
        <v/>
      </c>
    </row>
    <row r="942" spans="1:16" x14ac:dyDescent="0.2">
      <c r="A942" s="1">
        <v>2018</v>
      </c>
      <c r="B942" t="s">
        <v>112</v>
      </c>
      <c r="C942" s="10" t="s">
        <v>1678</v>
      </c>
      <c r="D942" s="10" t="s">
        <v>1679</v>
      </c>
      <c r="E942" s="10" t="s">
        <v>1682</v>
      </c>
      <c r="F942" t="s">
        <v>609</v>
      </c>
      <c r="G942" s="4">
        <v>7533</v>
      </c>
      <c r="H942" s="4"/>
      <c r="I942" s="4"/>
      <c r="J942" s="4">
        <f>SUM(G942:I942)</f>
        <v>7533</v>
      </c>
      <c r="K942" t="s">
        <v>1659</v>
      </c>
      <c r="L942" t="s">
        <v>1659</v>
      </c>
      <c r="M942" t="s">
        <v>1143</v>
      </c>
      <c r="N942" t="s">
        <v>1132</v>
      </c>
      <c r="O942" t="s">
        <v>1132</v>
      </c>
      <c r="P942" t="str">
        <f>IFERROR(VLOOKUP(F942,Sheet1!$A$2:$B$54,2,FALSE),"")</f>
        <v/>
      </c>
    </row>
    <row r="943" spans="1:16" x14ac:dyDescent="0.2">
      <c r="A943" s="1">
        <v>2019</v>
      </c>
      <c r="B943" t="s">
        <v>112</v>
      </c>
      <c r="C943" s="10" t="s">
        <v>1678</v>
      </c>
      <c r="D943" s="10" t="s">
        <v>1679</v>
      </c>
      <c r="E943" s="10" t="s">
        <v>1682</v>
      </c>
      <c r="F943" t="s">
        <v>609</v>
      </c>
      <c r="G943" s="4">
        <v>7981</v>
      </c>
      <c r="H943" s="4"/>
      <c r="I943" s="4"/>
      <c r="J943" s="4">
        <f>SUM(G943:I943)</f>
        <v>7981</v>
      </c>
      <c r="K943" t="s">
        <v>1659</v>
      </c>
      <c r="L943" t="s">
        <v>1659</v>
      </c>
      <c r="M943" t="s">
        <v>1143</v>
      </c>
      <c r="N943" t="s">
        <v>1132</v>
      </c>
      <c r="O943" t="s">
        <v>1132</v>
      </c>
      <c r="P943" t="str">
        <f>IFERROR(VLOOKUP(F943,Sheet1!$A$2:$B$54,2,FALSE),"")</f>
        <v/>
      </c>
    </row>
    <row r="944" spans="1:16" x14ac:dyDescent="0.2">
      <c r="A944" s="1">
        <v>2020</v>
      </c>
      <c r="B944" t="s">
        <v>112</v>
      </c>
      <c r="C944" s="10" t="s">
        <v>1678</v>
      </c>
      <c r="D944" s="10" t="s">
        <v>1679</v>
      </c>
      <c r="E944" s="10" t="s">
        <v>1682</v>
      </c>
      <c r="F944" t="s">
        <v>609</v>
      </c>
      <c r="G944" s="4">
        <v>9185</v>
      </c>
      <c r="H944" s="4"/>
      <c r="I944" s="4"/>
      <c r="J944" s="4">
        <f>SUM(G944:I944)</f>
        <v>9185</v>
      </c>
      <c r="K944" t="s">
        <v>1659</v>
      </c>
      <c r="L944" t="s">
        <v>1659</v>
      </c>
      <c r="M944" t="s">
        <v>1143</v>
      </c>
      <c r="N944" t="s">
        <v>1132</v>
      </c>
      <c r="O944" t="s">
        <v>1132</v>
      </c>
      <c r="P944" t="str">
        <f>IFERROR(VLOOKUP(F944,Sheet1!$A$2:$B$54,2,FALSE),"")</f>
        <v/>
      </c>
    </row>
    <row r="945" spans="1:16" x14ac:dyDescent="0.2">
      <c r="A945" s="1">
        <v>2021</v>
      </c>
      <c r="B945" t="s">
        <v>112</v>
      </c>
      <c r="C945" s="10" t="s">
        <v>1678</v>
      </c>
      <c r="D945" s="10" t="s">
        <v>1679</v>
      </c>
      <c r="E945" s="10" t="s">
        <v>1682</v>
      </c>
      <c r="F945" t="s">
        <v>609</v>
      </c>
      <c r="G945" s="4">
        <v>12472</v>
      </c>
      <c r="H945" s="4"/>
      <c r="I945" s="4"/>
      <c r="J945" s="4">
        <f>SUM(G945:I945)</f>
        <v>12472</v>
      </c>
      <c r="K945" t="s">
        <v>1659</v>
      </c>
      <c r="L945" t="s">
        <v>1659</v>
      </c>
      <c r="M945" t="s">
        <v>609</v>
      </c>
      <c r="N945" t="s">
        <v>1132</v>
      </c>
      <c r="O945" t="s">
        <v>1132</v>
      </c>
      <c r="P945" t="str">
        <f>IFERROR(VLOOKUP(F945,Sheet1!$A$2:$B$54,2,FALSE),"")</f>
        <v/>
      </c>
    </row>
    <row r="946" spans="1:16" x14ac:dyDescent="0.2">
      <c r="A946" s="1">
        <v>2022</v>
      </c>
      <c r="B946" t="s">
        <v>112</v>
      </c>
      <c r="C946" s="10" t="s">
        <v>1678</v>
      </c>
      <c r="D946" s="10" t="s">
        <v>1679</v>
      </c>
      <c r="E946" s="10" t="s">
        <v>1682</v>
      </c>
      <c r="F946" t="s">
        <v>609</v>
      </c>
      <c r="G946" s="4">
        <v>10295</v>
      </c>
      <c r="H946" s="4"/>
      <c r="I946" s="4"/>
      <c r="J946" s="4">
        <f>SUM(G946:I946)</f>
        <v>10295</v>
      </c>
      <c r="K946" t="s">
        <v>1659</v>
      </c>
      <c r="L946" t="s">
        <v>1659</v>
      </c>
      <c r="M946" t="s">
        <v>609</v>
      </c>
      <c r="N946" t="s">
        <v>1132</v>
      </c>
      <c r="O946" t="s">
        <v>1132</v>
      </c>
      <c r="P946" t="str">
        <f>IFERROR(VLOOKUP(F946,Sheet1!$A$2:$B$54,2,FALSE),"")</f>
        <v/>
      </c>
    </row>
    <row r="947" spans="1:16" x14ac:dyDescent="0.2">
      <c r="A947" s="1">
        <v>2023</v>
      </c>
      <c r="B947" t="s">
        <v>112</v>
      </c>
      <c r="C947" s="10" t="s">
        <v>1678</v>
      </c>
      <c r="D947" s="10" t="s">
        <v>1679</v>
      </c>
      <c r="E947" s="10" t="s">
        <v>1682</v>
      </c>
      <c r="F947" t="s">
        <v>609</v>
      </c>
      <c r="G947" s="4">
        <v>13313</v>
      </c>
      <c r="H947" s="4"/>
      <c r="I947" s="4"/>
      <c r="J947" s="4">
        <f>SUM(G947:I947)</f>
        <v>13313</v>
      </c>
      <c r="K947" t="s">
        <v>1659</v>
      </c>
      <c r="L947" t="s">
        <v>1659</v>
      </c>
      <c r="M947" t="s">
        <v>609</v>
      </c>
      <c r="N947" t="s">
        <v>1132</v>
      </c>
      <c r="O947" t="s">
        <v>1132</v>
      </c>
      <c r="P947" t="str">
        <f>IFERROR(VLOOKUP(F947,Sheet1!$A$2:$B$54,2,FALSE),"")</f>
        <v/>
      </c>
    </row>
    <row r="948" spans="1:16" x14ac:dyDescent="0.2">
      <c r="A948" s="1">
        <v>2015</v>
      </c>
      <c r="B948" t="s">
        <v>113</v>
      </c>
      <c r="C948" s="10" t="s">
        <v>1678</v>
      </c>
      <c r="D948" s="10" t="s">
        <v>1679</v>
      </c>
      <c r="E948" s="10" t="s">
        <v>1682</v>
      </c>
      <c r="F948" t="s">
        <v>610</v>
      </c>
      <c r="G948" s="4">
        <v>29523</v>
      </c>
      <c r="H948" s="4">
        <v>160728</v>
      </c>
      <c r="I948" s="4"/>
      <c r="J948" s="4">
        <f>SUM(G948:I948)</f>
        <v>190251</v>
      </c>
      <c r="K948" t="s">
        <v>1660</v>
      </c>
      <c r="L948" t="s">
        <v>1659</v>
      </c>
      <c r="M948" t="s">
        <v>1144</v>
      </c>
      <c r="N948" t="s">
        <v>1144</v>
      </c>
      <c r="O948" t="s">
        <v>1132</v>
      </c>
      <c r="P948" t="str">
        <f>IFERROR(VLOOKUP(F948,Sheet1!$A$2:$B$54,2,FALSE),"")</f>
        <v/>
      </c>
    </row>
    <row r="949" spans="1:16" x14ac:dyDescent="0.2">
      <c r="A949" s="1">
        <v>2016</v>
      </c>
      <c r="B949" t="s">
        <v>113</v>
      </c>
      <c r="C949" s="10" t="s">
        <v>1678</v>
      </c>
      <c r="D949" s="10" t="s">
        <v>1679</v>
      </c>
      <c r="E949" s="10" t="s">
        <v>1682</v>
      </c>
      <c r="F949" t="s">
        <v>610</v>
      </c>
      <c r="G949" s="4">
        <v>34171</v>
      </c>
      <c r="H949" s="4">
        <v>169291</v>
      </c>
      <c r="I949" s="4"/>
      <c r="J949" s="4">
        <f>SUM(G949:I949)</f>
        <v>203462</v>
      </c>
      <c r="K949" t="s">
        <v>1660</v>
      </c>
      <c r="L949" t="s">
        <v>1659</v>
      </c>
      <c r="M949" t="s">
        <v>1144</v>
      </c>
      <c r="N949" t="s">
        <v>1144</v>
      </c>
      <c r="O949" t="s">
        <v>1132</v>
      </c>
      <c r="P949" t="str">
        <f>IFERROR(VLOOKUP(F949,Sheet1!$A$2:$B$54,2,FALSE),"")</f>
        <v/>
      </c>
    </row>
    <row r="950" spans="1:16" x14ac:dyDescent="0.2">
      <c r="A950" s="1">
        <v>2017</v>
      </c>
      <c r="B950" t="s">
        <v>113</v>
      </c>
      <c r="C950" s="10" t="s">
        <v>1678</v>
      </c>
      <c r="D950" s="10" t="s">
        <v>1679</v>
      </c>
      <c r="E950" s="10" t="s">
        <v>1682</v>
      </c>
      <c r="F950" t="s">
        <v>610</v>
      </c>
      <c r="G950" s="4">
        <v>36036</v>
      </c>
      <c r="H950" s="4">
        <v>193689</v>
      </c>
      <c r="I950" s="4"/>
      <c r="J950" s="4">
        <f>SUM(G950:I950)</f>
        <v>229725</v>
      </c>
      <c r="K950" t="s">
        <v>1660</v>
      </c>
      <c r="L950" t="s">
        <v>1659</v>
      </c>
      <c r="M950" t="s">
        <v>1144</v>
      </c>
      <c r="N950" t="s">
        <v>1144</v>
      </c>
      <c r="O950" t="s">
        <v>1132</v>
      </c>
      <c r="P950" t="str">
        <f>IFERROR(VLOOKUP(F950,Sheet1!$A$2:$B$54,2,FALSE),"")</f>
        <v/>
      </c>
    </row>
    <row r="951" spans="1:16" x14ac:dyDescent="0.2">
      <c r="A951" s="1">
        <v>2018</v>
      </c>
      <c r="B951" t="s">
        <v>113</v>
      </c>
      <c r="C951" s="10" t="s">
        <v>1678</v>
      </c>
      <c r="D951" s="10" t="s">
        <v>1679</v>
      </c>
      <c r="E951" s="10" t="s">
        <v>1682</v>
      </c>
      <c r="F951" t="s">
        <v>610</v>
      </c>
      <c r="G951" s="4">
        <v>44886</v>
      </c>
      <c r="H951" s="4">
        <v>221212</v>
      </c>
      <c r="I951" s="4"/>
      <c r="J951" s="4">
        <f>SUM(G951:I951)</f>
        <v>266098</v>
      </c>
      <c r="K951" t="s">
        <v>1660</v>
      </c>
      <c r="L951" t="s">
        <v>1659</v>
      </c>
      <c r="M951" t="s">
        <v>1144</v>
      </c>
      <c r="N951" t="s">
        <v>1144</v>
      </c>
      <c r="O951" t="s">
        <v>1132</v>
      </c>
      <c r="P951" t="str">
        <f>IFERROR(VLOOKUP(F951,Sheet1!$A$2:$B$54,2,FALSE),"")</f>
        <v/>
      </c>
    </row>
    <row r="952" spans="1:16" x14ac:dyDescent="0.2">
      <c r="A952" s="1">
        <v>2019</v>
      </c>
      <c r="B952" t="s">
        <v>113</v>
      </c>
      <c r="C952" s="10" t="s">
        <v>1678</v>
      </c>
      <c r="D952" s="10" t="s">
        <v>1679</v>
      </c>
      <c r="E952" s="10" t="s">
        <v>1682</v>
      </c>
      <c r="F952" t="s">
        <v>610</v>
      </c>
      <c r="G952" s="4">
        <v>54671</v>
      </c>
      <c r="H952" s="4">
        <v>229105</v>
      </c>
      <c r="I952" s="4"/>
      <c r="J952" s="4">
        <f>SUM(G952:I952)</f>
        <v>283776</v>
      </c>
      <c r="K952" t="s">
        <v>1660</v>
      </c>
      <c r="L952" t="s">
        <v>1659</v>
      </c>
      <c r="M952" t="s">
        <v>1144</v>
      </c>
      <c r="N952" t="s">
        <v>1144</v>
      </c>
      <c r="O952" t="s">
        <v>1132</v>
      </c>
      <c r="P952" t="str">
        <f>IFERROR(VLOOKUP(F952,Sheet1!$A$2:$B$54,2,FALSE),"")</f>
        <v/>
      </c>
    </row>
    <row r="953" spans="1:16" x14ac:dyDescent="0.2">
      <c r="A953" s="1">
        <v>2020</v>
      </c>
      <c r="B953" t="s">
        <v>113</v>
      </c>
      <c r="C953" s="10" t="s">
        <v>1678</v>
      </c>
      <c r="D953" s="10" t="s">
        <v>1679</v>
      </c>
      <c r="E953" s="10" t="s">
        <v>1682</v>
      </c>
      <c r="F953" t="s">
        <v>610</v>
      </c>
      <c r="G953" s="4">
        <v>46019</v>
      </c>
      <c r="H953" s="4">
        <v>227051</v>
      </c>
      <c r="I953" s="4"/>
      <c r="J953" s="4">
        <f>SUM(G953:I953)</f>
        <v>273070</v>
      </c>
      <c r="K953" t="s">
        <v>1660</v>
      </c>
      <c r="L953" t="s">
        <v>1659</v>
      </c>
      <c r="M953" t="s">
        <v>1144</v>
      </c>
      <c r="N953" t="s">
        <v>1144</v>
      </c>
      <c r="O953" t="s">
        <v>1132</v>
      </c>
      <c r="P953" t="str">
        <f>IFERROR(VLOOKUP(F953,Sheet1!$A$2:$B$54,2,FALSE),"")</f>
        <v/>
      </c>
    </row>
    <row r="954" spans="1:16" x14ac:dyDescent="0.2">
      <c r="A954" s="1">
        <v>2021</v>
      </c>
      <c r="B954" t="s">
        <v>113</v>
      </c>
      <c r="C954" s="10" t="s">
        <v>1678</v>
      </c>
      <c r="D954" s="10" t="s">
        <v>1679</v>
      </c>
      <c r="E954" s="10" t="s">
        <v>1682</v>
      </c>
      <c r="F954" t="s">
        <v>610</v>
      </c>
      <c r="G954" s="4">
        <v>50240</v>
      </c>
      <c r="H954" s="4">
        <v>230961</v>
      </c>
      <c r="I954" s="4"/>
      <c r="J954" s="4">
        <f>SUM(G954:I954)</f>
        <v>281201</v>
      </c>
      <c r="K954" t="s">
        <v>1660</v>
      </c>
      <c r="L954" t="s">
        <v>1659</v>
      </c>
      <c r="M954" t="s">
        <v>610</v>
      </c>
      <c r="N954" t="s">
        <v>610</v>
      </c>
      <c r="O954" t="s">
        <v>1132</v>
      </c>
      <c r="P954" t="str">
        <f>IFERROR(VLOOKUP(F954,Sheet1!$A$2:$B$54,2,FALSE),"")</f>
        <v/>
      </c>
    </row>
    <row r="955" spans="1:16" x14ac:dyDescent="0.2">
      <c r="A955" s="1">
        <v>2022</v>
      </c>
      <c r="B955" t="s">
        <v>113</v>
      </c>
      <c r="C955" s="10" t="s">
        <v>1678</v>
      </c>
      <c r="D955" s="10" t="s">
        <v>1679</v>
      </c>
      <c r="E955" s="10" t="s">
        <v>1682</v>
      </c>
      <c r="F955" t="s">
        <v>610</v>
      </c>
      <c r="G955" s="4">
        <v>68121</v>
      </c>
      <c r="H955" s="4">
        <v>220858</v>
      </c>
      <c r="I955" s="4"/>
      <c r="J955" s="4">
        <f>SUM(G955:I955)</f>
        <v>288979</v>
      </c>
      <c r="K955" t="s">
        <v>1660</v>
      </c>
      <c r="L955" t="s">
        <v>1659</v>
      </c>
      <c r="M955" t="s">
        <v>610</v>
      </c>
      <c r="N955" t="s">
        <v>610</v>
      </c>
      <c r="O955" t="s">
        <v>1132</v>
      </c>
      <c r="P955" t="str">
        <f>IFERROR(VLOOKUP(F955,Sheet1!$A$2:$B$54,2,FALSE),"")</f>
        <v/>
      </c>
    </row>
    <row r="956" spans="1:16" x14ac:dyDescent="0.2">
      <c r="A956" s="1">
        <v>2023</v>
      </c>
      <c r="B956" t="s">
        <v>113</v>
      </c>
      <c r="C956" s="10" t="s">
        <v>1678</v>
      </c>
      <c r="D956" s="10" t="s">
        <v>1679</v>
      </c>
      <c r="E956" s="10" t="s">
        <v>1682</v>
      </c>
      <c r="F956" t="s">
        <v>610</v>
      </c>
      <c r="G956" s="4">
        <v>90157</v>
      </c>
      <c r="H956" s="4">
        <v>259864</v>
      </c>
      <c r="I956" s="4"/>
      <c r="J956" s="4">
        <f>SUM(G956:I956)</f>
        <v>350021</v>
      </c>
      <c r="K956" t="s">
        <v>1660</v>
      </c>
      <c r="L956" t="s">
        <v>1659</v>
      </c>
      <c r="M956" t="s">
        <v>610</v>
      </c>
      <c r="N956" t="s">
        <v>610</v>
      </c>
      <c r="O956" t="s">
        <v>1132</v>
      </c>
      <c r="P956" t="str">
        <f>IFERROR(VLOOKUP(F956,Sheet1!$A$2:$B$54,2,FALSE),"")</f>
        <v/>
      </c>
    </row>
    <row r="957" spans="1:16" x14ac:dyDescent="0.2">
      <c r="A957" s="1">
        <v>2015</v>
      </c>
      <c r="B957" t="s">
        <v>114</v>
      </c>
      <c r="C957" s="10" t="s">
        <v>1678</v>
      </c>
      <c r="D957" s="10" t="s">
        <v>1679</v>
      </c>
      <c r="E957" s="10" t="s">
        <v>1682</v>
      </c>
      <c r="F957" t="s">
        <v>611</v>
      </c>
      <c r="G957" s="4">
        <v>27658</v>
      </c>
      <c r="H957" s="4">
        <v>1386841</v>
      </c>
      <c r="I957" s="4">
        <v>34723</v>
      </c>
      <c r="J957" s="4">
        <f>SUM(G957:I957)</f>
        <v>1449222</v>
      </c>
      <c r="K957" t="s">
        <v>1660</v>
      </c>
      <c r="L957" t="s">
        <v>1660</v>
      </c>
      <c r="M957" t="s">
        <v>1145</v>
      </c>
      <c r="N957" t="s">
        <v>1145</v>
      </c>
      <c r="O957" t="s">
        <v>1145</v>
      </c>
      <c r="P957" t="str">
        <f>IFERROR(VLOOKUP(F957,Sheet1!$A$2:$B$54,2,FALSE),"")</f>
        <v/>
      </c>
    </row>
    <row r="958" spans="1:16" x14ac:dyDescent="0.2">
      <c r="A958" s="1">
        <v>2016</v>
      </c>
      <c r="B958" t="s">
        <v>114</v>
      </c>
      <c r="C958" s="10" t="s">
        <v>1678</v>
      </c>
      <c r="D958" s="10" t="s">
        <v>1679</v>
      </c>
      <c r="E958" s="10" t="s">
        <v>1682</v>
      </c>
      <c r="F958" t="s">
        <v>611</v>
      </c>
      <c r="G958" s="4">
        <v>29352</v>
      </c>
      <c r="H958" s="4">
        <v>1445270</v>
      </c>
      <c r="I958" s="4">
        <v>36832</v>
      </c>
      <c r="J958" s="4">
        <f>SUM(G958:I958)</f>
        <v>1511454</v>
      </c>
      <c r="K958" t="s">
        <v>1660</v>
      </c>
      <c r="L958" t="s">
        <v>1660</v>
      </c>
      <c r="M958" t="s">
        <v>1145</v>
      </c>
      <c r="N958" t="s">
        <v>1145</v>
      </c>
      <c r="O958" t="s">
        <v>1145</v>
      </c>
      <c r="P958" t="str">
        <f>IFERROR(VLOOKUP(F958,Sheet1!$A$2:$B$54,2,FALSE),"")</f>
        <v/>
      </c>
    </row>
    <row r="959" spans="1:16" x14ac:dyDescent="0.2">
      <c r="A959" s="1">
        <v>2017</v>
      </c>
      <c r="B959" t="s">
        <v>114</v>
      </c>
      <c r="C959" s="10" t="s">
        <v>1678</v>
      </c>
      <c r="D959" s="10" t="s">
        <v>1679</v>
      </c>
      <c r="E959" s="10" t="s">
        <v>1682</v>
      </c>
      <c r="F959" t="s">
        <v>611</v>
      </c>
      <c r="G959" s="4">
        <v>29639</v>
      </c>
      <c r="H959" s="4">
        <v>1381057</v>
      </c>
      <c r="I959" s="4">
        <v>28792</v>
      </c>
      <c r="J959" s="4">
        <f>SUM(G959:I959)</f>
        <v>1439488</v>
      </c>
      <c r="K959" t="s">
        <v>1660</v>
      </c>
      <c r="L959" t="s">
        <v>1660</v>
      </c>
      <c r="M959" t="s">
        <v>1145</v>
      </c>
      <c r="N959" t="s">
        <v>1145</v>
      </c>
      <c r="O959" t="s">
        <v>1145</v>
      </c>
      <c r="P959" t="str">
        <f>IFERROR(VLOOKUP(F959,Sheet1!$A$2:$B$54,2,FALSE),"")</f>
        <v/>
      </c>
    </row>
    <row r="960" spans="1:16" x14ac:dyDescent="0.2">
      <c r="A960" s="1">
        <v>2018</v>
      </c>
      <c r="B960" t="s">
        <v>114</v>
      </c>
      <c r="C960" s="10" t="s">
        <v>1678</v>
      </c>
      <c r="D960" s="10" t="s">
        <v>1679</v>
      </c>
      <c r="E960" s="10" t="s">
        <v>1682</v>
      </c>
      <c r="F960" t="s">
        <v>611</v>
      </c>
      <c r="G960" s="4">
        <v>28980</v>
      </c>
      <c r="H960" s="4">
        <v>1424343</v>
      </c>
      <c r="I960" s="4">
        <v>24482</v>
      </c>
      <c r="J960" s="4">
        <f>SUM(G960:I960)</f>
        <v>1477805</v>
      </c>
      <c r="K960" t="s">
        <v>1660</v>
      </c>
      <c r="L960" t="s">
        <v>1660</v>
      </c>
      <c r="M960" t="s">
        <v>1145</v>
      </c>
      <c r="N960" t="s">
        <v>1145</v>
      </c>
      <c r="O960" t="s">
        <v>1145</v>
      </c>
      <c r="P960" t="str">
        <f>IFERROR(VLOOKUP(F960,Sheet1!$A$2:$B$54,2,FALSE),"")</f>
        <v/>
      </c>
    </row>
    <row r="961" spans="1:16" x14ac:dyDescent="0.2">
      <c r="A961" s="1">
        <v>2019</v>
      </c>
      <c r="B961" t="s">
        <v>114</v>
      </c>
      <c r="C961" s="10" t="s">
        <v>1678</v>
      </c>
      <c r="D961" s="10" t="s">
        <v>1679</v>
      </c>
      <c r="E961" s="10" t="s">
        <v>1682</v>
      </c>
      <c r="F961" t="s">
        <v>611</v>
      </c>
      <c r="G961" s="4">
        <v>30193</v>
      </c>
      <c r="H961" s="4">
        <v>1400001</v>
      </c>
      <c r="I961" s="4">
        <v>25041</v>
      </c>
      <c r="J961" s="4">
        <f>SUM(G961:I961)</f>
        <v>1455235</v>
      </c>
      <c r="K961" t="s">
        <v>1660</v>
      </c>
      <c r="L961" t="s">
        <v>1660</v>
      </c>
      <c r="M961" t="s">
        <v>1145</v>
      </c>
      <c r="N961" t="s">
        <v>1145</v>
      </c>
      <c r="O961" t="s">
        <v>1145</v>
      </c>
      <c r="P961" t="str">
        <f>IFERROR(VLOOKUP(F961,Sheet1!$A$2:$B$54,2,FALSE),"")</f>
        <v/>
      </c>
    </row>
    <row r="962" spans="1:16" x14ac:dyDescent="0.2">
      <c r="A962" s="1">
        <v>2020</v>
      </c>
      <c r="B962" t="s">
        <v>114</v>
      </c>
      <c r="C962" s="10" t="s">
        <v>1678</v>
      </c>
      <c r="D962" s="10" t="s">
        <v>1679</v>
      </c>
      <c r="E962" s="10" t="s">
        <v>1682</v>
      </c>
      <c r="F962" t="s">
        <v>611</v>
      </c>
      <c r="G962" s="4">
        <v>26276</v>
      </c>
      <c r="H962" s="4">
        <v>1420489</v>
      </c>
      <c r="I962" s="4">
        <v>8069</v>
      </c>
      <c r="J962" s="4">
        <f>SUM(G962:I962)</f>
        <v>1454834</v>
      </c>
      <c r="K962" t="s">
        <v>1660</v>
      </c>
      <c r="L962" t="s">
        <v>1660</v>
      </c>
      <c r="M962" t="s">
        <v>1145</v>
      </c>
      <c r="N962" t="s">
        <v>1145</v>
      </c>
      <c r="O962" t="s">
        <v>1145</v>
      </c>
      <c r="P962" t="str">
        <f>IFERROR(VLOOKUP(F962,Sheet1!$A$2:$B$54,2,FALSE),"")</f>
        <v/>
      </c>
    </row>
    <row r="963" spans="1:16" x14ac:dyDescent="0.2">
      <c r="A963" s="1">
        <v>2021</v>
      </c>
      <c r="B963" t="s">
        <v>114</v>
      </c>
      <c r="C963" s="10" t="s">
        <v>1678</v>
      </c>
      <c r="D963" s="10" t="s">
        <v>1679</v>
      </c>
      <c r="E963" s="10" t="s">
        <v>1682</v>
      </c>
      <c r="F963" t="s">
        <v>611</v>
      </c>
      <c r="G963" s="4">
        <v>22050</v>
      </c>
      <c r="H963" s="4">
        <v>1346411</v>
      </c>
      <c r="I963" s="4">
        <v>0</v>
      </c>
      <c r="J963" s="4">
        <f>SUM(G963:I963)</f>
        <v>1368461</v>
      </c>
      <c r="K963" t="s">
        <v>1660</v>
      </c>
      <c r="L963" t="s">
        <v>1660</v>
      </c>
      <c r="M963" t="s">
        <v>611</v>
      </c>
      <c r="N963" t="s">
        <v>611</v>
      </c>
      <c r="O963" t="s">
        <v>611</v>
      </c>
      <c r="P963" t="str">
        <f>IFERROR(VLOOKUP(F963,Sheet1!$A$2:$B$54,2,FALSE),"")</f>
        <v/>
      </c>
    </row>
    <row r="964" spans="1:16" x14ac:dyDescent="0.2">
      <c r="A964" s="1">
        <v>2022</v>
      </c>
      <c r="B964" t="s">
        <v>114</v>
      </c>
      <c r="C964" s="10" t="s">
        <v>1678</v>
      </c>
      <c r="D964" s="10" t="s">
        <v>1679</v>
      </c>
      <c r="E964" s="10" t="s">
        <v>1682</v>
      </c>
      <c r="F964" t="s">
        <v>611</v>
      </c>
      <c r="G964" s="4">
        <v>21594</v>
      </c>
      <c r="H964" s="4">
        <v>1295042</v>
      </c>
      <c r="I964" s="4">
        <v>0</v>
      </c>
      <c r="J964" s="4">
        <f>SUM(G964:I964)</f>
        <v>1316636</v>
      </c>
      <c r="K964" t="s">
        <v>1660</v>
      </c>
      <c r="L964" t="s">
        <v>1660</v>
      </c>
      <c r="M964" t="s">
        <v>611</v>
      </c>
      <c r="N964" t="s">
        <v>611</v>
      </c>
      <c r="O964" t="s">
        <v>611</v>
      </c>
      <c r="P964" t="str">
        <f>IFERROR(VLOOKUP(F964,Sheet1!$A$2:$B$54,2,FALSE),"")</f>
        <v/>
      </c>
    </row>
    <row r="965" spans="1:16" x14ac:dyDescent="0.2">
      <c r="A965" s="1">
        <v>2023</v>
      </c>
      <c r="B965" t="s">
        <v>114</v>
      </c>
      <c r="C965" s="10" t="s">
        <v>1678</v>
      </c>
      <c r="D965" s="10" t="s">
        <v>1679</v>
      </c>
      <c r="E965" s="10" t="s">
        <v>1682</v>
      </c>
      <c r="F965" t="s">
        <v>611</v>
      </c>
      <c r="G965" s="4">
        <v>18584</v>
      </c>
      <c r="H965" s="4">
        <v>1216953</v>
      </c>
      <c r="I965" s="4"/>
      <c r="J965" s="4">
        <f>SUM(G965:I965)</f>
        <v>1235537</v>
      </c>
      <c r="K965" t="s">
        <v>1660</v>
      </c>
      <c r="L965" t="s">
        <v>1659</v>
      </c>
      <c r="M965" t="s">
        <v>611</v>
      </c>
      <c r="N965" t="s">
        <v>611</v>
      </c>
      <c r="O965" t="s">
        <v>1132</v>
      </c>
      <c r="P965" t="str">
        <f>IFERROR(VLOOKUP(F965,Sheet1!$A$2:$B$54,2,FALSE),"")</f>
        <v/>
      </c>
    </row>
    <row r="966" spans="1:16" x14ac:dyDescent="0.2">
      <c r="A966" s="1">
        <v>2015</v>
      </c>
      <c r="B966" t="s">
        <v>115</v>
      </c>
      <c r="C966" s="10" t="s">
        <v>1678</v>
      </c>
      <c r="D966" s="10" t="s">
        <v>1679</v>
      </c>
      <c r="E966" s="10" t="s">
        <v>1682</v>
      </c>
      <c r="F966" t="s">
        <v>612</v>
      </c>
      <c r="G966" s="4">
        <v>12125</v>
      </c>
      <c r="H966" s="4"/>
      <c r="I966" s="4"/>
      <c r="J966" s="4">
        <f>SUM(G966:I966)</f>
        <v>12125</v>
      </c>
      <c r="K966" t="s">
        <v>1659</v>
      </c>
      <c r="L966" t="s">
        <v>1659</v>
      </c>
      <c r="M966" t="s">
        <v>1146</v>
      </c>
      <c r="N966" t="s">
        <v>1132</v>
      </c>
      <c r="O966" t="s">
        <v>1132</v>
      </c>
      <c r="P966" t="str">
        <f>IFERROR(VLOOKUP(F966,Sheet1!$A$2:$B$54,2,FALSE),"")</f>
        <v/>
      </c>
    </row>
    <row r="967" spans="1:16" x14ac:dyDescent="0.2">
      <c r="A967" s="1">
        <v>2016</v>
      </c>
      <c r="B967" t="s">
        <v>115</v>
      </c>
      <c r="C967" s="10" t="s">
        <v>1678</v>
      </c>
      <c r="D967" s="10" t="s">
        <v>1679</v>
      </c>
      <c r="E967" s="10" t="s">
        <v>1682</v>
      </c>
      <c r="F967" t="s">
        <v>612</v>
      </c>
      <c r="G967" s="4">
        <v>17194</v>
      </c>
      <c r="H967" s="4"/>
      <c r="I967" s="4"/>
      <c r="J967" s="4">
        <f>SUM(G967:I967)</f>
        <v>17194</v>
      </c>
      <c r="K967" t="s">
        <v>1659</v>
      </c>
      <c r="L967" t="s">
        <v>1659</v>
      </c>
      <c r="M967" t="s">
        <v>1146</v>
      </c>
      <c r="N967" t="s">
        <v>1132</v>
      </c>
      <c r="O967" t="s">
        <v>1132</v>
      </c>
      <c r="P967" t="str">
        <f>IFERROR(VLOOKUP(F967,Sheet1!$A$2:$B$54,2,FALSE),"")</f>
        <v/>
      </c>
    </row>
    <row r="968" spans="1:16" x14ac:dyDescent="0.2">
      <c r="A968" s="1">
        <v>2017</v>
      </c>
      <c r="B968" t="s">
        <v>115</v>
      </c>
      <c r="C968" s="10" t="s">
        <v>1678</v>
      </c>
      <c r="D968" s="10" t="s">
        <v>1679</v>
      </c>
      <c r="E968" s="10" t="s">
        <v>1682</v>
      </c>
      <c r="F968" t="s">
        <v>612</v>
      </c>
      <c r="G968" s="4">
        <v>17224</v>
      </c>
      <c r="H968" s="4"/>
      <c r="I968" s="4"/>
      <c r="J968" s="4">
        <f>SUM(G968:I968)</f>
        <v>17224</v>
      </c>
      <c r="K968" t="s">
        <v>1659</v>
      </c>
      <c r="L968" t="s">
        <v>1659</v>
      </c>
      <c r="M968" t="s">
        <v>1146</v>
      </c>
      <c r="N968" t="s">
        <v>1132</v>
      </c>
      <c r="O968" t="s">
        <v>1132</v>
      </c>
      <c r="P968" t="str">
        <f>IFERROR(VLOOKUP(F968,Sheet1!$A$2:$B$54,2,FALSE),"")</f>
        <v/>
      </c>
    </row>
    <row r="969" spans="1:16" x14ac:dyDescent="0.2">
      <c r="A969" s="1">
        <v>2018</v>
      </c>
      <c r="B969" t="s">
        <v>115</v>
      </c>
      <c r="C969" s="10" t="s">
        <v>1678</v>
      </c>
      <c r="D969" s="10" t="s">
        <v>1679</v>
      </c>
      <c r="E969" s="10" t="s">
        <v>1682</v>
      </c>
      <c r="F969" t="s">
        <v>612</v>
      </c>
      <c r="G969" s="4">
        <v>16548</v>
      </c>
      <c r="H969" s="4"/>
      <c r="I969" s="4"/>
      <c r="J969" s="4">
        <f>SUM(G969:I969)</f>
        <v>16548</v>
      </c>
      <c r="K969" t="s">
        <v>1659</v>
      </c>
      <c r="L969" t="s">
        <v>1659</v>
      </c>
      <c r="M969" t="s">
        <v>1146</v>
      </c>
      <c r="N969" t="s">
        <v>1132</v>
      </c>
      <c r="O969" t="s">
        <v>1132</v>
      </c>
      <c r="P969" t="str">
        <f>IFERROR(VLOOKUP(F969,Sheet1!$A$2:$B$54,2,FALSE),"")</f>
        <v/>
      </c>
    </row>
    <row r="970" spans="1:16" x14ac:dyDescent="0.2">
      <c r="A970" s="1">
        <v>2019</v>
      </c>
      <c r="B970" t="s">
        <v>115</v>
      </c>
      <c r="C970" s="10" t="s">
        <v>1678</v>
      </c>
      <c r="D970" s="10" t="s">
        <v>1679</v>
      </c>
      <c r="E970" s="10" t="s">
        <v>1682</v>
      </c>
      <c r="F970" t="s">
        <v>612</v>
      </c>
      <c r="G970" s="4">
        <v>18357</v>
      </c>
      <c r="H970" s="4"/>
      <c r="I970" s="4"/>
      <c r="J970" s="4">
        <f>SUM(G970:I970)</f>
        <v>18357</v>
      </c>
      <c r="K970" t="s">
        <v>1659</v>
      </c>
      <c r="L970" t="s">
        <v>1659</v>
      </c>
      <c r="M970" t="s">
        <v>1146</v>
      </c>
      <c r="N970" t="s">
        <v>1132</v>
      </c>
      <c r="O970" t="s">
        <v>1132</v>
      </c>
      <c r="P970" t="str">
        <f>IFERROR(VLOOKUP(F970,Sheet1!$A$2:$B$54,2,FALSE),"")</f>
        <v/>
      </c>
    </row>
    <row r="971" spans="1:16" x14ac:dyDescent="0.2">
      <c r="A971" s="1">
        <v>2020</v>
      </c>
      <c r="B971" t="s">
        <v>115</v>
      </c>
      <c r="C971" s="10" t="s">
        <v>1678</v>
      </c>
      <c r="D971" s="10" t="s">
        <v>1679</v>
      </c>
      <c r="E971" s="10" t="s">
        <v>1682</v>
      </c>
      <c r="F971" t="s">
        <v>612</v>
      </c>
      <c r="G971" s="4">
        <v>20049</v>
      </c>
      <c r="H971" s="4"/>
      <c r="I971" s="4"/>
      <c r="J971" s="4">
        <f>SUM(G971:I971)</f>
        <v>20049</v>
      </c>
      <c r="K971" t="s">
        <v>1659</v>
      </c>
      <c r="L971" t="s">
        <v>1659</v>
      </c>
      <c r="M971" t="s">
        <v>1146</v>
      </c>
      <c r="N971" t="s">
        <v>1132</v>
      </c>
      <c r="O971" t="s">
        <v>1132</v>
      </c>
      <c r="P971" t="str">
        <f>IFERROR(VLOOKUP(F971,Sheet1!$A$2:$B$54,2,FALSE),"")</f>
        <v/>
      </c>
    </row>
    <row r="972" spans="1:16" x14ac:dyDescent="0.2">
      <c r="A972" s="1">
        <v>2021</v>
      </c>
      <c r="B972" t="s">
        <v>115</v>
      </c>
      <c r="C972" s="10" t="s">
        <v>1678</v>
      </c>
      <c r="D972" s="10" t="s">
        <v>1679</v>
      </c>
      <c r="E972" s="10" t="s">
        <v>1682</v>
      </c>
      <c r="F972" t="s">
        <v>612</v>
      </c>
      <c r="G972" s="4">
        <v>25185</v>
      </c>
      <c r="H972" s="4"/>
      <c r="I972" s="4"/>
      <c r="J972" s="4">
        <f>SUM(G972:I972)</f>
        <v>25185</v>
      </c>
      <c r="K972" t="s">
        <v>1659</v>
      </c>
      <c r="L972" t="s">
        <v>1659</v>
      </c>
      <c r="M972" t="s">
        <v>612</v>
      </c>
      <c r="N972" t="s">
        <v>1132</v>
      </c>
      <c r="O972" t="s">
        <v>1132</v>
      </c>
      <c r="P972" t="str">
        <f>IFERROR(VLOOKUP(F972,Sheet1!$A$2:$B$54,2,FALSE),"")</f>
        <v/>
      </c>
    </row>
    <row r="973" spans="1:16" x14ac:dyDescent="0.2">
      <c r="A973" s="1">
        <v>2022</v>
      </c>
      <c r="B973" t="s">
        <v>115</v>
      </c>
      <c r="C973" s="10" t="s">
        <v>1678</v>
      </c>
      <c r="D973" s="10" t="s">
        <v>1679</v>
      </c>
      <c r="E973" s="10" t="s">
        <v>1682</v>
      </c>
      <c r="F973" t="s">
        <v>612</v>
      </c>
      <c r="G973" s="4">
        <v>33802</v>
      </c>
      <c r="H973" s="4"/>
      <c r="I973" s="4"/>
      <c r="J973" s="4">
        <f>SUM(G973:I973)</f>
        <v>33802</v>
      </c>
      <c r="K973" t="s">
        <v>1659</v>
      </c>
      <c r="L973" t="s">
        <v>1659</v>
      </c>
      <c r="M973" t="s">
        <v>612</v>
      </c>
      <c r="N973" t="s">
        <v>1132</v>
      </c>
      <c r="O973" t="s">
        <v>1132</v>
      </c>
      <c r="P973" t="str">
        <f>IFERROR(VLOOKUP(F973,Sheet1!$A$2:$B$54,2,FALSE),"")</f>
        <v/>
      </c>
    </row>
    <row r="974" spans="1:16" x14ac:dyDescent="0.2">
      <c r="A974" s="1">
        <v>2023</v>
      </c>
      <c r="B974" t="s">
        <v>115</v>
      </c>
      <c r="C974" s="10" t="s">
        <v>1678</v>
      </c>
      <c r="D974" s="10" t="s">
        <v>1679</v>
      </c>
      <c r="E974" s="10" t="s">
        <v>1682</v>
      </c>
      <c r="F974" t="s">
        <v>612</v>
      </c>
      <c r="G974" s="4">
        <v>32687</v>
      </c>
      <c r="H974" s="4"/>
      <c r="I974" s="4"/>
      <c r="J974" s="4">
        <f>SUM(G974:I974)</f>
        <v>32687</v>
      </c>
      <c r="K974" t="s">
        <v>1659</v>
      </c>
      <c r="L974" t="s">
        <v>1659</v>
      </c>
      <c r="M974" t="s">
        <v>612</v>
      </c>
      <c r="N974" t="s">
        <v>1132</v>
      </c>
      <c r="O974" t="s">
        <v>1132</v>
      </c>
      <c r="P974" t="str">
        <f>IFERROR(VLOOKUP(F974,Sheet1!$A$2:$B$54,2,FALSE),"")</f>
        <v/>
      </c>
    </row>
    <row r="975" spans="1:16" x14ac:dyDescent="0.2">
      <c r="A975" s="1">
        <v>2020</v>
      </c>
      <c r="B975" t="s">
        <v>116</v>
      </c>
      <c r="C975" s="10" t="s">
        <v>1678</v>
      </c>
      <c r="D975" s="10" t="s">
        <v>1679</v>
      </c>
      <c r="E975" s="10" t="s">
        <v>1682</v>
      </c>
      <c r="F975" t="s">
        <v>613</v>
      </c>
      <c r="G975" s="4">
        <v>4643</v>
      </c>
      <c r="H975" s="4"/>
      <c r="I975" s="4"/>
      <c r="J975" s="4">
        <f>SUM(G975:I975)</f>
        <v>4643</v>
      </c>
      <c r="K975" t="s">
        <v>1659</v>
      </c>
      <c r="L975" t="s">
        <v>1659</v>
      </c>
      <c r="M975" t="s">
        <v>1147</v>
      </c>
      <c r="N975" t="s">
        <v>1132</v>
      </c>
      <c r="O975" t="s">
        <v>1132</v>
      </c>
      <c r="P975" t="str">
        <f>IFERROR(VLOOKUP(F975,Sheet1!$A$2:$B$54,2,FALSE),"")</f>
        <v/>
      </c>
    </row>
    <row r="976" spans="1:16" x14ac:dyDescent="0.2">
      <c r="A976" s="1">
        <v>2021</v>
      </c>
      <c r="B976" t="s">
        <v>116</v>
      </c>
      <c r="C976" s="10" t="s">
        <v>1678</v>
      </c>
      <c r="D976" s="10" t="s">
        <v>1679</v>
      </c>
      <c r="E976" s="10" t="s">
        <v>1682</v>
      </c>
      <c r="F976" t="s">
        <v>613</v>
      </c>
      <c r="G976" s="4">
        <v>9767</v>
      </c>
      <c r="H976" s="4"/>
      <c r="I976" s="4"/>
      <c r="J976" s="4">
        <f>SUM(G976:I976)</f>
        <v>9767</v>
      </c>
      <c r="K976" t="s">
        <v>1659</v>
      </c>
      <c r="L976" t="s">
        <v>1659</v>
      </c>
      <c r="M976" t="s">
        <v>613</v>
      </c>
      <c r="N976" t="s">
        <v>1132</v>
      </c>
      <c r="O976" t="s">
        <v>1132</v>
      </c>
      <c r="P976" t="str">
        <f>IFERROR(VLOOKUP(F976,Sheet1!$A$2:$B$54,2,FALSE),"")</f>
        <v/>
      </c>
    </row>
    <row r="977" spans="1:16" x14ac:dyDescent="0.2">
      <c r="A977" s="1">
        <v>2022</v>
      </c>
      <c r="B977" t="s">
        <v>116</v>
      </c>
      <c r="C977" s="10" t="s">
        <v>1678</v>
      </c>
      <c r="D977" s="10" t="s">
        <v>1679</v>
      </c>
      <c r="E977" s="10" t="s">
        <v>1682</v>
      </c>
      <c r="F977" t="s">
        <v>613</v>
      </c>
      <c r="G977" s="4">
        <v>11104</v>
      </c>
      <c r="H977" s="4"/>
      <c r="I977" s="4"/>
      <c r="J977" s="4">
        <f>SUM(G977:I977)</f>
        <v>11104</v>
      </c>
      <c r="K977" t="s">
        <v>1659</v>
      </c>
      <c r="L977" t="s">
        <v>1659</v>
      </c>
      <c r="M977" t="s">
        <v>613</v>
      </c>
      <c r="N977" t="s">
        <v>1132</v>
      </c>
      <c r="O977" t="s">
        <v>1132</v>
      </c>
      <c r="P977" t="str">
        <f>IFERROR(VLOOKUP(F977,Sheet1!$A$2:$B$54,2,FALSE),"")</f>
        <v/>
      </c>
    </row>
    <row r="978" spans="1:16" x14ac:dyDescent="0.2">
      <c r="A978" s="1">
        <v>2023</v>
      </c>
      <c r="B978" t="s">
        <v>116</v>
      </c>
      <c r="C978" s="10" t="s">
        <v>1678</v>
      </c>
      <c r="D978" s="10" t="s">
        <v>1679</v>
      </c>
      <c r="E978" s="10" t="s">
        <v>1682</v>
      </c>
      <c r="F978" t="s">
        <v>613</v>
      </c>
      <c r="G978" s="4">
        <v>12964</v>
      </c>
      <c r="H978" s="4"/>
      <c r="I978" s="4"/>
      <c r="J978" s="4">
        <f>SUM(G978:I978)</f>
        <v>12964</v>
      </c>
      <c r="K978" t="s">
        <v>1659</v>
      </c>
      <c r="L978" t="s">
        <v>1659</v>
      </c>
      <c r="M978" t="s">
        <v>613</v>
      </c>
      <c r="N978" t="s">
        <v>1132</v>
      </c>
      <c r="O978" t="s">
        <v>1132</v>
      </c>
      <c r="P978" t="str">
        <f>IFERROR(VLOOKUP(F978,Sheet1!$A$2:$B$54,2,FALSE),"")</f>
        <v/>
      </c>
    </row>
    <row r="979" spans="1:16" x14ac:dyDescent="0.2">
      <c r="A979" s="1">
        <v>2015</v>
      </c>
      <c r="B979" t="s">
        <v>117</v>
      </c>
      <c r="C979" s="10" t="s">
        <v>1678</v>
      </c>
      <c r="D979" s="10" t="s">
        <v>1679</v>
      </c>
      <c r="E979" s="10" t="s">
        <v>1682</v>
      </c>
      <c r="F979" t="s">
        <v>614</v>
      </c>
      <c r="G979" s="4">
        <v>16099</v>
      </c>
      <c r="H979" s="4"/>
      <c r="I979" s="4"/>
      <c r="J979" s="4">
        <f>SUM(G979:I979)</f>
        <v>16099</v>
      </c>
      <c r="K979" t="s">
        <v>1659</v>
      </c>
      <c r="L979" t="s">
        <v>1659</v>
      </c>
      <c r="M979" t="s">
        <v>1148</v>
      </c>
      <c r="N979" t="s">
        <v>1132</v>
      </c>
      <c r="O979" t="s">
        <v>1132</v>
      </c>
      <c r="P979" t="str">
        <f>IFERROR(VLOOKUP(F979,Sheet1!$A$2:$B$54,2,FALSE),"")</f>
        <v/>
      </c>
    </row>
    <row r="980" spans="1:16" x14ac:dyDescent="0.2">
      <c r="A980" s="1">
        <v>2016</v>
      </c>
      <c r="B980" t="s">
        <v>117</v>
      </c>
      <c r="C980" s="10" t="s">
        <v>1678</v>
      </c>
      <c r="D980" s="10" t="s">
        <v>1679</v>
      </c>
      <c r="E980" s="10" t="s">
        <v>1682</v>
      </c>
      <c r="F980" t="s">
        <v>614</v>
      </c>
      <c r="G980" s="4">
        <v>17161</v>
      </c>
      <c r="H980" s="4"/>
      <c r="I980" s="4"/>
      <c r="J980" s="4">
        <f>SUM(G980:I980)</f>
        <v>17161</v>
      </c>
      <c r="K980" t="s">
        <v>1659</v>
      </c>
      <c r="L980" t="s">
        <v>1659</v>
      </c>
      <c r="M980" t="s">
        <v>1149</v>
      </c>
      <c r="N980" t="s">
        <v>1132</v>
      </c>
      <c r="O980" t="s">
        <v>1132</v>
      </c>
      <c r="P980" t="str">
        <f>IFERROR(VLOOKUP(F980,Sheet1!$A$2:$B$54,2,FALSE),"")</f>
        <v/>
      </c>
    </row>
    <row r="981" spans="1:16" x14ac:dyDescent="0.2">
      <c r="A981" s="1">
        <v>2017</v>
      </c>
      <c r="B981" t="s">
        <v>117</v>
      </c>
      <c r="C981" s="10" t="s">
        <v>1678</v>
      </c>
      <c r="D981" s="10" t="s">
        <v>1679</v>
      </c>
      <c r="E981" s="10" t="s">
        <v>1682</v>
      </c>
      <c r="F981" t="s">
        <v>614</v>
      </c>
      <c r="G981" s="4">
        <v>15803</v>
      </c>
      <c r="H981" s="4"/>
      <c r="I981" s="4"/>
      <c r="J981" s="4">
        <f>SUM(G981:I981)</f>
        <v>15803</v>
      </c>
      <c r="K981" t="s">
        <v>1659</v>
      </c>
      <c r="L981" t="s">
        <v>1659</v>
      </c>
      <c r="M981" t="s">
        <v>1150</v>
      </c>
      <c r="N981" t="s">
        <v>1132</v>
      </c>
      <c r="O981" t="s">
        <v>1132</v>
      </c>
      <c r="P981" t="str">
        <f>IFERROR(VLOOKUP(F981,Sheet1!$A$2:$B$54,2,FALSE),"")</f>
        <v/>
      </c>
    </row>
    <row r="982" spans="1:16" x14ac:dyDescent="0.2">
      <c r="A982" s="1">
        <v>2018</v>
      </c>
      <c r="B982" t="s">
        <v>117</v>
      </c>
      <c r="C982" s="10" t="s">
        <v>1678</v>
      </c>
      <c r="D982" s="10" t="s">
        <v>1679</v>
      </c>
      <c r="E982" s="10" t="s">
        <v>1682</v>
      </c>
      <c r="F982" t="s">
        <v>614</v>
      </c>
      <c r="G982" s="4">
        <v>24115</v>
      </c>
      <c r="H982" s="4"/>
      <c r="I982" s="4"/>
      <c r="J982" s="4">
        <f>SUM(G982:I982)</f>
        <v>24115</v>
      </c>
      <c r="K982" t="s">
        <v>1659</v>
      </c>
      <c r="L982" t="s">
        <v>1659</v>
      </c>
      <c r="M982" t="s">
        <v>1150</v>
      </c>
      <c r="N982" t="s">
        <v>1132</v>
      </c>
      <c r="O982" t="s">
        <v>1132</v>
      </c>
      <c r="P982" t="str">
        <f>IFERROR(VLOOKUP(F982,Sheet1!$A$2:$B$54,2,FALSE),"")</f>
        <v/>
      </c>
    </row>
    <row r="983" spans="1:16" x14ac:dyDescent="0.2">
      <c r="A983" s="1">
        <v>2019</v>
      </c>
      <c r="B983" t="s">
        <v>117</v>
      </c>
      <c r="C983" s="10" t="s">
        <v>1678</v>
      </c>
      <c r="D983" s="10" t="s">
        <v>1679</v>
      </c>
      <c r="E983" s="10" t="s">
        <v>1682</v>
      </c>
      <c r="F983" t="s">
        <v>614</v>
      </c>
      <c r="G983" s="4">
        <v>28690</v>
      </c>
      <c r="H983" s="4"/>
      <c r="I983" s="4"/>
      <c r="J983" s="4">
        <f>SUM(G983:I983)</f>
        <v>28690</v>
      </c>
      <c r="K983" t="s">
        <v>1659</v>
      </c>
      <c r="L983" t="s">
        <v>1659</v>
      </c>
      <c r="M983" t="s">
        <v>1150</v>
      </c>
      <c r="N983" t="s">
        <v>1132</v>
      </c>
      <c r="O983" t="s">
        <v>1132</v>
      </c>
      <c r="P983" t="str">
        <f>IFERROR(VLOOKUP(F983,Sheet1!$A$2:$B$54,2,FALSE),"")</f>
        <v/>
      </c>
    </row>
    <row r="984" spans="1:16" x14ac:dyDescent="0.2">
      <c r="A984" s="1">
        <v>2020</v>
      </c>
      <c r="B984" t="s">
        <v>117</v>
      </c>
      <c r="C984" s="10" t="s">
        <v>1678</v>
      </c>
      <c r="D984" s="10" t="s">
        <v>1679</v>
      </c>
      <c r="E984" s="10" t="s">
        <v>1682</v>
      </c>
      <c r="F984" t="s">
        <v>614</v>
      </c>
      <c r="G984" s="4">
        <v>40088</v>
      </c>
      <c r="H984" s="4"/>
      <c r="I984" s="4"/>
      <c r="J984" s="4">
        <f>SUM(G984:I984)</f>
        <v>40088</v>
      </c>
      <c r="K984" t="s">
        <v>1659</v>
      </c>
      <c r="L984" t="s">
        <v>1659</v>
      </c>
      <c r="M984" t="s">
        <v>1150</v>
      </c>
      <c r="N984" t="s">
        <v>1132</v>
      </c>
      <c r="O984" t="s">
        <v>1132</v>
      </c>
      <c r="P984" t="str">
        <f>IFERROR(VLOOKUP(F984,Sheet1!$A$2:$B$54,2,FALSE),"")</f>
        <v/>
      </c>
    </row>
    <row r="985" spans="1:16" x14ac:dyDescent="0.2">
      <c r="A985" s="1">
        <v>2021</v>
      </c>
      <c r="B985" t="s">
        <v>117</v>
      </c>
      <c r="C985" s="10" t="s">
        <v>1678</v>
      </c>
      <c r="D985" s="10" t="s">
        <v>1679</v>
      </c>
      <c r="E985" s="10" t="s">
        <v>1682</v>
      </c>
      <c r="F985" t="s">
        <v>614</v>
      </c>
      <c r="G985" s="4">
        <v>64039</v>
      </c>
      <c r="H985" s="4"/>
      <c r="I985" s="4"/>
      <c r="J985" s="4">
        <f>SUM(G985:I985)</f>
        <v>64039</v>
      </c>
      <c r="K985" t="s">
        <v>1659</v>
      </c>
      <c r="L985" t="s">
        <v>1659</v>
      </c>
      <c r="M985" t="s">
        <v>614</v>
      </c>
      <c r="N985" t="s">
        <v>1132</v>
      </c>
      <c r="O985" t="s">
        <v>1132</v>
      </c>
      <c r="P985" t="str">
        <f>IFERROR(VLOOKUP(F985,Sheet1!$A$2:$B$54,2,FALSE),"")</f>
        <v/>
      </c>
    </row>
    <row r="986" spans="1:16" x14ac:dyDescent="0.2">
      <c r="A986" s="1">
        <v>2022</v>
      </c>
      <c r="B986" t="s">
        <v>117</v>
      </c>
      <c r="C986" s="10" t="s">
        <v>1678</v>
      </c>
      <c r="D986" s="10" t="s">
        <v>1679</v>
      </c>
      <c r="E986" s="10" t="s">
        <v>1682</v>
      </c>
      <c r="F986" t="s">
        <v>614</v>
      </c>
      <c r="G986" s="4">
        <v>78300</v>
      </c>
      <c r="H986" s="4"/>
      <c r="I986" s="4"/>
      <c r="J986" s="4">
        <f>SUM(G986:I986)</f>
        <v>78300</v>
      </c>
      <c r="K986" t="s">
        <v>1659</v>
      </c>
      <c r="L986" t="s">
        <v>1659</v>
      </c>
      <c r="M986" t="s">
        <v>614</v>
      </c>
      <c r="N986" t="s">
        <v>1132</v>
      </c>
      <c r="O986" t="s">
        <v>1132</v>
      </c>
      <c r="P986" t="str">
        <f>IFERROR(VLOOKUP(F986,Sheet1!$A$2:$B$54,2,FALSE),"")</f>
        <v/>
      </c>
    </row>
    <row r="987" spans="1:16" x14ac:dyDescent="0.2">
      <c r="A987" s="1">
        <v>2023</v>
      </c>
      <c r="B987" t="s">
        <v>117</v>
      </c>
      <c r="C987" s="10" t="s">
        <v>1678</v>
      </c>
      <c r="D987" s="10" t="s">
        <v>1679</v>
      </c>
      <c r="E987" s="10" t="s">
        <v>1682</v>
      </c>
      <c r="F987" t="s">
        <v>614</v>
      </c>
      <c r="G987" s="4">
        <v>104630</v>
      </c>
      <c r="H987" s="4"/>
      <c r="I987" s="4"/>
      <c r="J987" s="4">
        <f>SUM(G987:I987)</f>
        <v>104630</v>
      </c>
      <c r="K987" t="s">
        <v>1659</v>
      </c>
      <c r="L987" t="s">
        <v>1659</v>
      </c>
      <c r="M987" t="s">
        <v>614</v>
      </c>
      <c r="N987" t="s">
        <v>1132</v>
      </c>
      <c r="O987" t="s">
        <v>1132</v>
      </c>
      <c r="P987" t="str">
        <f>IFERROR(VLOOKUP(F987,Sheet1!$A$2:$B$54,2,FALSE),"")</f>
        <v/>
      </c>
    </row>
    <row r="988" spans="1:16" x14ac:dyDescent="0.2">
      <c r="A988" s="1">
        <v>2015</v>
      </c>
      <c r="B988" t="s">
        <v>118</v>
      </c>
      <c r="C988" s="10" t="s">
        <v>1678</v>
      </c>
      <c r="D988" s="10" t="s">
        <v>1679</v>
      </c>
      <c r="E988" s="10" t="s">
        <v>1682</v>
      </c>
      <c r="F988" t="s">
        <v>615</v>
      </c>
      <c r="G988" s="4">
        <v>29866</v>
      </c>
      <c r="H988" s="4"/>
      <c r="I988" s="4"/>
      <c r="J988" s="4">
        <f>SUM(G988:I988)</f>
        <v>29866</v>
      </c>
      <c r="K988" t="s">
        <v>1659</v>
      </c>
      <c r="L988" t="s">
        <v>1659</v>
      </c>
      <c r="M988" t="s">
        <v>1151</v>
      </c>
      <c r="N988" t="s">
        <v>1132</v>
      </c>
      <c r="O988" t="s">
        <v>1132</v>
      </c>
      <c r="P988" t="str">
        <f>IFERROR(VLOOKUP(F988,Sheet1!$A$2:$B$54,2,FALSE),"")</f>
        <v/>
      </c>
    </row>
    <row r="989" spans="1:16" x14ac:dyDescent="0.2">
      <c r="A989" s="1">
        <v>2016</v>
      </c>
      <c r="B989" t="s">
        <v>118</v>
      </c>
      <c r="C989" s="10" t="s">
        <v>1678</v>
      </c>
      <c r="D989" s="10" t="s">
        <v>1679</v>
      </c>
      <c r="E989" s="10" t="s">
        <v>1682</v>
      </c>
      <c r="F989" t="s">
        <v>615</v>
      </c>
      <c r="G989" s="4">
        <v>29962</v>
      </c>
      <c r="H989" s="4"/>
      <c r="I989" s="4"/>
      <c r="J989" s="4">
        <f>SUM(G989:I989)</f>
        <v>29962</v>
      </c>
      <c r="K989" t="s">
        <v>1659</v>
      </c>
      <c r="L989" t="s">
        <v>1659</v>
      </c>
      <c r="M989" t="s">
        <v>1151</v>
      </c>
      <c r="N989" t="s">
        <v>1132</v>
      </c>
      <c r="O989" t="s">
        <v>1132</v>
      </c>
      <c r="P989" t="str">
        <f>IFERROR(VLOOKUP(F989,Sheet1!$A$2:$B$54,2,FALSE),"")</f>
        <v/>
      </c>
    </row>
    <row r="990" spans="1:16" x14ac:dyDescent="0.2">
      <c r="A990" s="1">
        <v>2017</v>
      </c>
      <c r="B990" t="s">
        <v>118</v>
      </c>
      <c r="C990" s="10" t="s">
        <v>1678</v>
      </c>
      <c r="D990" s="10" t="s">
        <v>1679</v>
      </c>
      <c r="E990" s="10" t="s">
        <v>1682</v>
      </c>
      <c r="F990" t="s">
        <v>615</v>
      </c>
      <c r="G990" s="4">
        <v>40793</v>
      </c>
      <c r="H990" s="4"/>
      <c r="I990" s="4"/>
      <c r="J990" s="4">
        <f>SUM(G990:I990)</f>
        <v>40793</v>
      </c>
      <c r="K990" t="s">
        <v>1659</v>
      </c>
      <c r="L990" t="s">
        <v>1659</v>
      </c>
      <c r="M990" t="s">
        <v>1151</v>
      </c>
      <c r="N990" t="s">
        <v>1132</v>
      </c>
      <c r="O990" t="s">
        <v>1132</v>
      </c>
      <c r="P990" t="str">
        <f>IFERROR(VLOOKUP(F990,Sheet1!$A$2:$B$54,2,FALSE),"")</f>
        <v/>
      </c>
    </row>
    <row r="991" spans="1:16" x14ac:dyDescent="0.2">
      <c r="A991" s="1">
        <v>2018</v>
      </c>
      <c r="B991" t="s">
        <v>118</v>
      </c>
      <c r="C991" s="10" t="s">
        <v>1678</v>
      </c>
      <c r="D991" s="10" t="s">
        <v>1679</v>
      </c>
      <c r="E991" s="10" t="s">
        <v>1682</v>
      </c>
      <c r="F991" t="s">
        <v>615</v>
      </c>
      <c r="G991" s="4">
        <v>49148</v>
      </c>
      <c r="H991" s="4"/>
      <c r="I991" s="4"/>
      <c r="J991" s="4">
        <f>SUM(G991:I991)</f>
        <v>49148</v>
      </c>
      <c r="K991" t="s">
        <v>1659</v>
      </c>
      <c r="L991" t="s">
        <v>1659</v>
      </c>
      <c r="M991" t="s">
        <v>1151</v>
      </c>
      <c r="N991" t="s">
        <v>1132</v>
      </c>
      <c r="O991" t="s">
        <v>1132</v>
      </c>
      <c r="P991" t="str">
        <f>IFERROR(VLOOKUP(F991,Sheet1!$A$2:$B$54,2,FALSE),"")</f>
        <v/>
      </c>
    </row>
    <row r="992" spans="1:16" x14ac:dyDescent="0.2">
      <c r="A992" s="1">
        <v>2019</v>
      </c>
      <c r="B992" t="s">
        <v>118</v>
      </c>
      <c r="C992" s="10" t="s">
        <v>1678</v>
      </c>
      <c r="D992" s="10" t="s">
        <v>1679</v>
      </c>
      <c r="E992" s="10" t="s">
        <v>1682</v>
      </c>
      <c r="F992" t="s">
        <v>615</v>
      </c>
      <c r="G992" s="4">
        <v>67451</v>
      </c>
      <c r="H992" s="4"/>
      <c r="I992" s="4"/>
      <c r="J992" s="4">
        <f>SUM(G992:I992)</f>
        <v>67451</v>
      </c>
      <c r="K992" t="s">
        <v>1659</v>
      </c>
      <c r="L992" t="s">
        <v>1659</v>
      </c>
      <c r="M992" t="s">
        <v>1151</v>
      </c>
      <c r="N992" t="s">
        <v>1132</v>
      </c>
      <c r="O992" t="s">
        <v>1132</v>
      </c>
      <c r="P992" t="str">
        <f>IFERROR(VLOOKUP(F992,Sheet1!$A$2:$B$54,2,FALSE),"")</f>
        <v/>
      </c>
    </row>
    <row r="993" spans="1:16" x14ac:dyDescent="0.2">
      <c r="A993" s="1">
        <v>2020</v>
      </c>
      <c r="B993" t="s">
        <v>118</v>
      </c>
      <c r="C993" s="10" t="s">
        <v>1678</v>
      </c>
      <c r="D993" s="10" t="s">
        <v>1679</v>
      </c>
      <c r="E993" s="10" t="s">
        <v>1682</v>
      </c>
      <c r="F993" t="s">
        <v>615</v>
      </c>
      <c r="G993" s="4">
        <v>71305</v>
      </c>
      <c r="H993" s="4"/>
      <c r="I993" s="4"/>
      <c r="J993" s="4">
        <f>SUM(G993:I993)</f>
        <v>71305</v>
      </c>
      <c r="K993" t="s">
        <v>1659</v>
      </c>
      <c r="L993" t="s">
        <v>1659</v>
      </c>
      <c r="M993" t="s">
        <v>1151</v>
      </c>
      <c r="N993" t="s">
        <v>1132</v>
      </c>
      <c r="O993" t="s">
        <v>1132</v>
      </c>
      <c r="P993" t="str">
        <f>IFERROR(VLOOKUP(F993,Sheet1!$A$2:$B$54,2,FALSE),"")</f>
        <v/>
      </c>
    </row>
    <row r="994" spans="1:16" x14ac:dyDescent="0.2">
      <c r="A994" s="1">
        <v>2021</v>
      </c>
      <c r="B994" t="s">
        <v>118</v>
      </c>
      <c r="C994" s="10" t="s">
        <v>1678</v>
      </c>
      <c r="D994" s="10" t="s">
        <v>1679</v>
      </c>
      <c r="E994" s="10" t="s">
        <v>1682</v>
      </c>
      <c r="F994" t="s">
        <v>615</v>
      </c>
      <c r="G994" s="4">
        <v>81459</v>
      </c>
      <c r="H994" s="4"/>
      <c r="I994" s="4"/>
      <c r="J994" s="4">
        <f>SUM(G994:I994)</f>
        <v>81459</v>
      </c>
      <c r="K994" t="s">
        <v>1659</v>
      </c>
      <c r="L994" t="s">
        <v>1659</v>
      </c>
      <c r="M994" t="s">
        <v>615</v>
      </c>
      <c r="N994" t="s">
        <v>1132</v>
      </c>
      <c r="O994" t="s">
        <v>1132</v>
      </c>
      <c r="P994" t="str">
        <f>IFERROR(VLOOKUP(F994,Sheet1!$A$2:$B$54,2,FALSE),"")</f>
        <v/>
      </c>
    </row>
    <row r="995" spans="1:16" x14ac:dyDescent="0.2">
      <c r="A995" s="1">
        <v>2022</v>
      </c>
      <c r="B995" t="s">
        <v>118</v>
      </c>
      <c r="C995" s="10" t="s">
        <v>1678</v>
      </c>
      <c r="D995" s="10" t="s">
        <v>1679</v>
      </c>
      <c r="E995" s="10" t="s">
        <v>1682</v>
      </c>
      <c r="F995" t="s">
        <v>615</v>
      </c>
      <c r="G995" s="4">
        <v>119580</v>
      </c>
      <c r="H995" s="4"/>
      <c r="I995" s="4"/>
      <c r="J995" s="4">
        <f>SUM(G995:I995)</f>
        <v>119580</v>
      </c>
      <c r="K995" t="s">
        <v>1659</v>
      </c>
      <c r="L995" t="s">
        <v>1659</v>
      </c>
      <c r="M995" t="s">
        <v>615</v>
      </c>
      <c r="N995" t="s">
        <v>1132</v>
      </c>
      <c r="O995" t="s">
        <v>1132</v>
      </c>
      <c r="P995" t="str">
        <f>IFERROR(VLOOKUP(F995,Sheet1!$A$2:$B$54,2,FALSE),"")</f>
        <v/>
      </c>
    </row>
    <row r="996" spans="1:16" x14ac:dyDescent="0.2">
      <c r="A996" s="1">
        <v>2023</v>
      </c>
      <c r="B996" t="s">
        <v>118</v>
      </c>
      <c r="C996" s="10" t="s">
        <v>1678</v>
      </c>
      <c r="D996" s="10" t="s">
        <v>1679</v>
      </c>
      <c r="E996" s="10" t="s">
        <v>1682</v>
      </c>
      <c r="F996" t="s">
        <v>615</v>
      </c>
      <c r="G996" s="4">
        <v>138942</v>
      </c>
      <c r="H996" s="4"/>
      <c r="I996" s="4"/>
      <c r="J996" s="4">
        <f>SUM(G996:I996)</f>
        <v>138942</v>
      </c>
      <c r="K996" t="s">
        <v>1659</v>
      </c>
      <c r="L996" t="s">
        <v>1659</v>
      </c>
      <c r="M996" t="s">
        <v>615</v>
      </c>
      <c r="N996" t="s">
        <v>1132</v>
      </c>
      <c r="O996" t="s">
        <v>1132</v>
      </c>
      <c r="P996" t="str">
        <f>IFERROR(VLOOKUP(F996,Sheet1!$A$2:$B$54,2,FALSE),"")</f>
        <v/>
      </c>
    </row>
    <row r="997" spans="1:16" x14ac:dyDescent="0.2">
      <c r="A997" s="1">
        <v>2015</v>
      </c>
      <c r="B997" t="s">
        <v>119</v>
      </c>
      <c r="C997" s="10" t="s">
        <v>1678</v>
      </c>
      <c r="D997" s="10" t="s">
        <v>1679</v>
      </c>
      <c r="E997" s="10" t="s">
        <v>1682</v>
      </c>
      <c r="F997" t="s">
        <v>616</v>
      </c>
      <c r="G997" s="4">
        <v>5617</v>
      </c>
      <c r="H997" s="4"/>
      <c r="I997" s="4"/>
      <c r="J997" s="4">
        <f>SUM(G997:I997)</f>
        <v>5617</v>
      </c>
      <c r="K997" t="s">
        <v>1659</v>
      </c>
      <c r="L997" t="s">
        <v>1659</v>
      </c>
      <c r="M997" t="s">
        <v>1152</v>
      </c>
      <c r="N997" t="s">
        <v>1132</v>
      </c>
      <c r="O997" t="s">
        <v>1132</v>
      </c>
      <c r="P997" t="str">
        <f>IFERROR(VLOOKUP(F997,Sheet1!$A$2:$B$54,2,FALSE),"")</f>
        <v/>
      </c>
    </row>
    <row r="998" spans="1:16" x14ac:dyDescent="0.2">
      <c r="A998" s="1">
        <v>2016</v>
      </c>
      <c r="B998" t="s">
        <v>119</v>
      </c>
      <c r="C998" s="10" t="s">
        <v>1678</v>
      </c>
      <c r="D998" s="10" t="s">
        <v>1679</v>
      </c>
      <c r="E998" s="10" t="s">
        <v>1682</v>
      </c>
      <c r="F998" t="s">
        <v>616</v>
      </c>
      <c r="G998" s="4">
        <v>4083</v>
      </c>
      <c r="H998" s="4"/>
      <c r="I998" s="4"/>
      <c r="J998" s="4">
        <f>SUM(G998:I998)</f>
        <v>4083</v>
      </c>
      <c r="K998" t="s">
        <v>1659</v>
      </c>
      <c r="L998" t="s">
        <v>1659</v>
      </c>
      <c r="M998" t="s">
        <v>1152</v>
      </c>
      <c r="N998" t="s">
        <v>1132</v>
      </c>
      <c r="O998" t="s">
        <v>1132</v>
      </c>
      <c r="P998" t="str">
        <f>IFERROR(VLOOKUP(F998,Sheet1!$A$2:$B$54,2,FALSE),"")</f>
        <v/>
      </c>
    </row>
    <row r="999" spans="1:16" x14ac:dyDescent="0.2">
      <c r="A999" s="1">
        <v>2017</v>
      </c>
      <c r="B999" t="s">
        <v>119</v>
      </c>
      <c r="C999" s="10" t="s">
        <v>1678</v>
      </c>
      <c r="D999" s="10" t="s">
        <v>1679</v>
      </c>
      <c r="E999" s="10" t="s">
        <v>1682</v>
      </c>
      <c r="F999" t="s">
        <v>616</v>
      </c>
      <c r="G999" s="4">
        <v>3579</v>
      </c>
      <c r="H999" s="4"/>
      <c r="I999" s="4"/>
      <c r="J999" s="4">
        <f>SUM(G999:I999)</f>
        <v>3579</v>
      </c>
      <c r="K999" t="s">
        <v>1659</v>
      </c>
      <c r="L999" t="s">
        <v>1659</v>
      </c>
      <c r="M999" t="s">
        <v>1153</v>
      </c>
      <c r="N999" t="s">
        <v>1132</v>
      </c>
      <c r="O999" t="s">
        <v>1132</v>
      </c>
      <c r="P999" t="str">
        <f>IFERROR(VLOOKUP(F999,Sheet1!$A$2:$B$54,2,FALSE),"")</f>
        <v/>
      </c>
    </row>
    <row r="1000" spans="1:16" x14ac:dyDescent="0.2">
      <c r="A1000" s="1">
        <v>2018</v>
      </c>
      <c r="B1000" t="s">
        <v>119</v>
      </c>
      <c r="C1000" s="10" t="s">
        <v>1678</v>
      </c>
      <c r="D1000" s="10" t="s">
        <v>1679</v>
      </c>
      <c r="E1000" s="10" t="s">
        <v>1682</v>
      </c>
      <c r="F1000" t="s">
        <v>616</v>
      </c>
      <c r="G1000" s="4">
        <v>3680</v>
      </c>
      <c r="H1000" s="4"/>
      <c r="I1000" s="4"/>
      <c r="J1000" s="4">
        <f>SUM(G1000:I1000)</f>
        <v>3680</v>
      </c>
      <c r="K1000" t="s">
        <v>1659</v>
      </c>
      <c r="L1000" t="s">
        <v>1659</v>
      </c>
      <c r="M1000" t="s">
        <v>1153</v>
      </c>
      <c r="N1000" t="s">
        <v>1132</v>
      </c>
      <c r="O1000" t="s">
        <v>1132</v>
      </c>
      <c r="P1000" t="str">
        <f>IFERROR(VLOOKUP(F1000,Sheet1!$A$2:$B$54,2,FALSE),"")</f>
        <v/>
      </c>
    </row>
    <row r="1001" spans="1:16" x14ac:dyDescent="0.2">
      <c r="A1001" s="1">
        <v>2019</v>
      </c>
      <c r="B1001" t="s">
        <v>119</v>
      </c>
      <c r="C1001" s="10" t="s">
        <v>1678</v>
      </c>
      <c r="D1001" s="10" t="s">
        <v>1679</v>
      </c>
      <c r="E1001" s="10" t="s">
        <v>1682</v>
      </c>
      <c r="F1001" t="s">
        <v>616</v>
      </c>
      <c r="G1001" s="4">
        <v>3777</v>
      </c>
      <c r="H1001" s="4"/>
      <c r="I1001" s="4"/>
      <c r="J1001" s="4">
        <f>SUM(G1001:I1001)</f>
        <v>3777</v>
      </c>
      <c r="K1001" t="s">
        <v>1659</v>
      </c>
      <c r="L1001" t="s">
        <v>1659</v>
      </c>
      <c r="M1001" t="s">
        <v>1153</v>
      </c>
      <c r="N1001" t="s">
        <v>1132</v>
      </c>
      <c r="O1001" t="s">
        <v>1132</v>
      </c>
      <c r="P1001" t="str">
        <f>IFERROR(VLOOKUP(F1001,Sheet1!$A$2:$B$54,2,FALSE),"")</f>
        <v/>
      </c>
    </row>
    <row r="1002" spans="1:16" x14ac:dyDescent="0.2">
      <c r="A1002" s="1">
        <v>2020</v>
      </c>
      <c r="B1002" t="s">
        <v>119</v>
      </c>
      <c r="C1002" s="10" t="s">
        <v>1678</v>
      </c>
      <c r="D1002" s="10" t="s">
        <v>1679</v>
      </c>
      <c r="E1002" s="10" t="s">
        <v>1682</v>
      </c>
      <c r="F1002" t="s">
        <v>616</v>
      </c>
      <c r="G1002" s="4">
        <v>4049</v>
      </c>
      <c r="H1002" s="4"/>
      <c r="I1002" s="4"/>
      <c r="J1002" s="4">
        <f>SUM(G1002:I1002)</f>
        <v>4049</v>
      </c>
      <c r="K1002" t="s">
        <v>1659</v>
      </c>
      <c r="L1002" t="s">
        <v>1659</v>
      </c>
      <c r="M1002" t="s">
        <v>1153</v>
      </c>
      <c r="N1002" t="s">
        <v>1132</v>
      </c>
      <c r="O1002" t="s">
        <v>1132</v>
      </c>
      <c r="P1002" t="str">
        <f>IFERROR(VLOOKUP(F1002,Sheet1!$A$2:$B$54,2,FALSE),"")</f>
        <v/>
      </c>
    </row>
    <row r="1003" spans="1:16" x14ac:dyDescent="0.2">
      <c r="A1003" s="1">
        <v>2021</v>
      </c>
      <c r="B1003" t="s">
        <v>119</v>
      </c>
      <c r="C1003" s="10" t="s">
        <v>1678</v>
      </c>
      <c r="D1003" s="10" t="s">
        <v>1679</v>
      </c>
      <c r="E1003" s="10" t="s">
        <v>1682</v>
      </c>
      <c r="F1003" t="s">
        <v>616</v>
      </c>
      <c r="G1003" s="4">
        <v>3951</v>
      </c>
      <c r="H1003" s="4"/>
      <c r="I1003" s="4"/>
      <c r="J1003" s="4">
        <f>SUM(G1003:I1003)</f>
        <v>3951</v>
      </c>
      <c r="K1003" t="s">
        <v>1659</v>
      </c>
      <c r="L1003" t="s">
        <v>1659</v>
      </c>
      <c r="M1003" t="s">
        <v>616</v>
      </c>
      <c r="N1003" t="s">
        <v>1132</v>
      </c>
      <c r="O1003" t="s">
        <v>1132</v>
      </c>
      <c r="P1003" t="str">
        <f>IFERROR(VLOOKUP(F1003,Sheet1!$A$2:$B$54,2,FALSE),"")</f>
        <v/>
      </c>
    </row>
    <row r="1004" spans="1:16" x14ac:dyDescent="0.2">
      <c r="A1004" s="1">
        <v>2022</v>
      </c>
      <c r="B1004" t="s">
        <v>119</v>
      </c>
      <c r="C1004" s="10" t="s">
        <v>1678</v>
      </c>
      <c r="D1004" s="10" t="s">
        <v>1679</v>
      </c>
      <c r="E1004" s="10" t="s">
        <v>1682</v>
      </c>
      <c r="F1004" t="s">
        <v>616</v>
      </c>
      <c r="G1004" s="4">
        <v>4494</v>
      </c>
      <c r="H1004" s="4"/>
      <c r="I1004" s="4"/>
      <c r="J1004" s="4">
        <f>SUM(G1004:I1004)</f>
        <v>4494</v>
      </c>
      <c r="K1004" t="s">
        <v>1659</v>
      </c>
      <c r="L1004" t="s">
        <v>1659</v>
      </c>
      <c r="M1004" t="s">
        <v>616</v>
      </c>
      <c r="N1004" t="s">
        <v>1132</v>
      </c>
      <c r="O1004" t="s">
        <v>1132</v>
      </c>
      <c r="P1004" t="str">
        <f>IFERROR(VLOOKUP(F1004,Sheet1!$A$2:$B$54,2,FALSE),"")</f>
        <v/>
      </c>
    </row>
    <row r="1005" spans="1:16" x14ac:dyDescent="0.2">
      <c r="A1005" s="1">
        <v>2023</v>
      </c>
      <c r="B1005" t="s">
        <v>119</v>
      </c>
      <c r="C1005" s="10" t="s">
        <v>1678</v>
      </c>
      <c r="D1005" s="10" t="s">
        <v>1679</v>
      </c>
      <c r="E1005" s="10" t="s">
        <v>1682</v>
      </c>
      <c r="F1005" t="s">
        <v>616</v>
      </c>
      <c r="G1005" s="4">
        <v>9428</v>
      </c>
      <c r="H1005" s="4"/>
      <c r="I1005" s="4"/>
      <c r="J1005" s="4">
        <f>SUM(G1005:I1005)</f>
        <v>9428</v>
      </c>
      <c r="K1005" t="s">
        <v>1659</v>
      </c>
      <c r="L1005" t="s">
        <v>1659</v>
      </c>
      <c r="M1005" t="s">
        <v>616</v>
      </c>
      <c r="N1005" t="s">
        <v>1132</v>
      </c>
      <c r="O1005" t="s">
        <v>1132</v>
      </c>
      <c r="P1005" t="str">
        <f>IFERROR(VLOOKUP(F1005,Sheet1!$A$2:$B$54,2,FALSE),"")</f>
        <v/>
      </c>
    </row>
    <row r="1006" spans="1:16" x14ac:dyDescent="0.2">
      <c r="A1006" s="1">
        <v>2015</v>
      </c>
      <c r="B1006" t="s">
        <v>120</v>
      </c>
      <c r="C1006" s="10" t="s">
        <v>1678</v>
      </c>
      <c r="D1006" s="10" t="s">
        <v>1679</v>
      </c>
      <c r="E1006" s="10" t="s">
        <v>1682</v>
      </c>
      <c r="F1006" t="s">
        <v>617</v>
      </c>
      <c r="G1006" s="4">
        <v>82891</v>
      </c>
      <c r="H1006" s="4">
        <v>2466787</v>
      </c>
      <c r="I1006" s="4">
        <v>16860</v>
      </c>
      <c r="J1006" s="4">
        <f>SUM(G1006:I1006)</f>
        <v>2566538</v>
      </c>
      <c r="K1006" t="s">
        <v>1660</v>
      </c>
      <c r="L1006" t="s">
        <v>1660</v>
      </c>
      <c r="M1006" t="s">
        <v>1154</v>
      </c>
      <c r="N1006" t="s">
        <v>1154</v>
      </c>
      <c r="O1006" t="s">
        <v>1154</v>
      </c>
      <c r="P1006">
        <f>IFERROR(VLOOKUP(F1006,Sheet1!$A$2:$B$54,2,FALSE),"")</f>
        <v>4900270</v>
      </c>
    </row>
    <row r="1007" spans="1:16" x14ac:dyDescent="0.2">
      <c r="A1007" s="1">
        <v>2016</v>
      </c>
      <c r="B1007" t="s">
        <v>120</v>
      </c>
      <c r="C1007" s="10" t="s">
        <v>1678</v>
      </c>
      <c r="D1007" s="10" t="s">
        <v>1679</v>
      </c>
      <c r="E1007" s="10" t="s">
        <v>1682</v>
      </c>
      <c r="F1007" t="s">
        <v>617</v>
      </c>
      <c r="G1007" s="4">
        <v>106481</v>
      </c>
      <c r="H1007" s="4">
        <v>2410420</v>
      </c>
      <c r="I1007" s="4">
        <v>12569</v>
      </c>
      <c r="J1007" s="4">
        <f>SUM(G1007:I1007)</f>
        <v>2529470</v>
      </c>
      <c r="K1007" t="s">
        <v>1660</v>
      </c>
      <c r="L1007" t="s">
        <v>1660</v>
      </c>
      <c r="M1007" t="s">
        <v>1154</v>
      </c>
      <c r="N1007" t="s">
        <v>1154</v>
      </c>
      <c r="O1007" t="s">
        <v>1154</v>
      </c>
      <c r="P1007">
        <f>IFERROR(VLOOKUP(F1007,Sheet1!$A$2:$B$54,2,FALSE),"")</f>
        <v>4900270</v>
      </c>
    </row>
    <row r="1008" spans="1:16" x14ac:dyDescent="0.2">
      <c r="A1008" s="1">
        <v>2017</v>
      </c>
      <c r="B1008" t="s">
        <v>120</v>
      </c>
      <c r="C1008" s="10" t="s">
        <v>1678</v>
      </c>
      <c r="D1008" s="10" t="s">
        <v>1679</v>
      </c>
      <c r="E1008" s="10" t="s">
        <v>1682</v>
      </c>
      <c r="F1008" t="s">
        <v>617</v>
      </c>
      <c r="G1008" s="4">
        <v>130015</v>
      </c>
      <c r="H1008" s="4">
        <v>2399743</v>
      </c>
      <c r="I1008" s="4">
        <v>12407</v>
      </c>
      <c r="J1008" s="4">
        <f>SUM(G1008:I1008)</f>
        <v>2542165</v>
      </c>
      <c r="K1008" t="s">
        <v>1660</v>
      </c>
      <c r="L1008" t="s">
        <v>1660</v>
      </c>
      <c r="M1008" t="s">
        <v>1154</v>
      </c>
      <c r="N1008" t="s">
        <v>1154</v>
      </c>
      <c r="O1008" t="s">
        <v>1154</v>
      </c>
      <c r="P1008">
        <f>IFERROR(VLOOKUP(F1008,Sheet1!$A$2:$B$54,2,FALSE),"")</f>
        <v>4900270</v>
      </c>
    </row>
    <row r="1009" spans="1:16" x14ac:dyDescent="0.2">
      <c r="A1009" s="1">
        <v>2018</v>
      </c>
      <c r="B1009" t="s">
        <v>120</v>
      </c>
      <c r="C1009" s="10" t="s">
        <v>1678</v>
      </c>
      <c r="D1009" s="10" t="s">
        <v>1679</v>
      </c>
      <c r="E1009" s="10" t="s">
        <v>1682</v>
      </c>
      <c r="F1009" t="s">
        <v>617</v>
      </c>
      <c r="G1009" s="4">
        <v>172294</v>
      </c>
      <c r="H1009" s="4">
        <v>2428640</v>
      </c>
      <c r="I1009" s="4">
        <v>12853</v>
      </c>
      <c r="J1009" s="4">
        <f>SUM(G1009:I1009)</f>
        <v>2613787</v>
      </c>
      <c r="K1009" t="s">
        <v>1660</v>
      </c>
      <c r="L1009" t="s">
        <v>1660</v>
      </c>
      <c r="M1009" t="s">
        <v>1154</v>
      </c>
      <c r="N1009" t="s">
        <v>1154</v>
      </c>
      <c r="O1009" t="s">
        <v>1154</v>
      </c>
      <c r="P1009">
        <f>IFERROR(VLOOKUP(F1009,Sheet1!$A$2:$B$54,2,FALSE),"")</f>
        <v>4900270</v>
      </c>
    </row>
    <row r="1010" spans="1:16" x14ac:dyDescent="0.2">
      <c r="A1010" s="1">
        <v>2019</v>
      </c>
      <c r="B1010" t="s">
        <v>120</v>
      </c>
      <c r="C1010" s="10" t="s">
        <v>1678</v>
      </c>
      <c r="D1010" s="10" t="s">
        <v>1679</v>
      </c>
      <c r="E1010" s="10" t="s">
        <v>1682</v>
      </c>
      <c r="F1010" t="s">
        <v>617</v>
      </c>
      <c r="G1010" s="4">
        <v>214594</v>
      </c>
      <c r="H1010" s="4">
        <v>2389515</v>
      </c>
      <c r="I1010" s="4">
        <v>13869</v>
      </c>
      <c r="J1010" s="4">
        <f>SUM(G1010:I1010)</f>
        <v>2617978</v>
      </c>
      <c r="K1010" t="s">
        <v>1660</v>
      </c>
      <c r="L1010" t="s">
        <v>1660</v>
      </c>
      <c r="M1010" t="s">
        <v>1154</v>
      </c>
      <c r="N1010" t="s">
        <v>1154</v>
      </c>
      <c r="O1010" t="s">
        <v>1154</v>
      </c>
      <c r="P1010">
        <f>IFERROR(VLOOKUP(F1010,Sheet1!$A$2:$B$54,2,FALSE),"")</f>
        <v>4900270</v>
      </c>
    </row>
    <row r="1011" spans="1:16" x14ac:dyDescent="0.2">
      <c r="A1011" s="1">
        <v>2020</v>
      </c>
      <c r="B1011" t="s">
        <v>120</v>
      </c>
      <c r="C1011" s="10" t="s">
        <v>1678</v>
      </c>
      <c r="D1011" s="10" t="s">
        <v>1679</v>
      </c>
      <c r="E1011" s="10" t="s">
        <v>1682</v>
      </c>
      <c r="F1011" t="s">
        <v>617</v>
      </c>
      <c r="G1011" s="4">
        <v>267639</v>
      </c>
      <c r="H1011" s="4">
        <v>2475341</v>
      </c>
      <c r="I1011" s="4">
        <v>15151</v>
      </c>
      <c r="J1011" s="4">
        <f>SUM(G1011:I1011)</f>
        <v>2758131</v>
      </c>
      <c r="K1011" t="s">
        <v>1660</v>
      </c>
      <c r="L1011" t="s">
        <v>1660</v>
      </c>
      <c r="M1011" t="s">
        <v>1154</v>
      </c>
      <c r="N1011" t="s">
        <v>1154</v>
      </c>
      <c r="O1011" t="s">
        <v>1154</v>
      </c>
      <c r="P1011">
        <f>IFERROR(VLOOKUP(F1011,Sheet1!$A$2:$B$54,2,FALSE),"")</f>
        <v>4900270</v>
      </c>
    </row>
    <row r="1012" spans="1:16" x14ac:dyDescent="0.2">
      <c r="A1012" s="1">
        <v>2021</v>
      </c>
      <c r="B1012" t="s">
        <v>120</v>
      </c>
      <c r="C1012" s="10" t="s">
        <v>1678</v>
      </c>
      <c r="D1012" s="10" t="s">
        <v>1679</v>
      </c>
      <c r="E1012" s="10" t="s">
        <v>1682</v>
      </c>
      <c r="F1012" t="s">
        <v>617</v>
      </c>
      <c r="G1012" s="4">
        <v>327107</v>
      </c>
      <c r="H1012" s="4">
        <v>2540737</v>
      </c>
      <c r="I1012" s="4">
        <v>14958</v>
      </c>
      <c r="J1012" s="4">
        <f>SUM(G1012:I1012)</f>
        <v>2882802</v>
      </c>
      <c r="K1012" t="s">
        <v>1660</v>
      </c>
      <c r="L1012" t="s">
        <v>1660</v>
      </c>
      <c r="M1012" t="s">
        <v>617</v>
      </c>
      <c r="N1012" t="s">
        <v>617</v>
      </c>
      <c r="O1012" t="s">
        <v>617</v>
      </c>
      <c r="P1012">
        <f>IFERROR(VLOOKUP(F1012,Sheet1!$A$2:$B$54,2,FALSE),"")</f>
        <v>4900270</v>
      </c>
    </row>
    <row r="1013" spans="1:16" x14ac:dyDescent="0.2">
      <c r="A1013" s="1">
        <v>2022</v>
      </c>
      <c r="B1013" t="s">
        <v>120</v>
      </c>
      <c r="C1013" s="10" t="s">
        <v>1678</v>
      </c>
      <c r="D1013" s="10" t="s">
        <v>1679</v>
      </c>
      <c r="E1013" s="10" t="s">
        <v>1682</v>
      </c>
      <c r="F1013" t="s">
        <v>617</v>
      </c>
      <c r="G1013" s="4">
        <v>392214</v>
      </c>
      <c r="H1013" s="4">
        <v>2517428</v>
      </c>
      <c r="I1013" s="4">
        <v>10119</v>
      </c>
      <c r="J1013" s="4">
        <f>SUM(G1013:I1013)</f>
        <v>2919761</v>
      </c>
      <c r="K1013" t="s">
        <v>1660</v>
      </c>
      <c r="L1013" t="s">
        <v>1660</v>
      </c>
      <c r="M1013" t="s">
        <v>617</v>
      </c>
      <c r="N1013" t="s">
        <v>617</v>
      </c>
      <c r="O1013" t="s">
        <v>617</v>
      </c>
      <c r="P1013">
        <f>IFERROR(VLOOKUP(F1013,Sheet1!$A$2:$B$54,2,FALSE),"")</f>
        <v>4900270</v>
      </c>
    </row>
    <row r="1014" spans="1:16" x14ac:dyDescent="0.2">
      <c r="A1014" s="1">
        <v>2023</v>
      </c>
      <c r="B1014" t="s">
        <v>120</v>
      </c>
      <c r="C1014" s="10" t="s">
        <v>1678</v>
      </c>
      <c r="D1014" s="10" t="s">
        <v>1679</v>
      </c>
      <c r="E1014" s="10" t="s">
        <v>1682</v>
      </c>
      <c r="F1014" t="s">
        <v>617</v>
      </c>
      <c r="G1014" s="4">
        <v>457523</v>
      </c>
      <c r="H1014" s="4">
        <v>2658297</v>
      </c>
      <c r="I1014" s="4">
        <v>0</v>
      </c>
      <c r="J1014" s="4">
        <f>SUM(G1014:I1014)</f>
        <v>3115820</v>
      </c>
      <c r="K1014" t="s">
        <v>1660</v>
      </c>
      <c r="L1014" t="s">
        <v>1660</v>
      </c>
      <c r="M1014" t="s">
        <v>617</v>
      </c>
      <c r="N1014" t="s">
        <v>617</v>
      </c>
      <c r="O1014" t="s">
        <v>617</v>
      </c>
      <c r="P1014">
        <f>IFERROR(VLOOKUP(F1014,Sheet1!$A$2:$B$54,2,FALSE),"")</f>
        <v>4900270</v>
      </c>
    </row>
    <row r="1015" spans="1:16" x14ac:dyDescent="0.2">
      <c r="A1015" s="1">
        <v>2020</v>
      </c>
      <c r="B1015" t="s">
        <v>121</v>
      </c>
      <c r="C1015" s="10" t="s">
        <v>1678</v>
      </c>
      <c r="D1015" s="10" t="s">
        <v>1679</v>
      </c>
      <c r="E1015" s="10" t="s">
        <v>1682</v>
      </c>
      <c r="F1015" t="s">
        <v>618</v>
      </c>
      <c r="G1015" s="4">
        <v>2120</v>
      </c>
      <c r="H1015" s="4"/>
      <c r="I1015" s="4"/>
      <c r="J1015" s="4">
        <f>SUM(G1015:I1015)</f>
        <v>2120</v>
      </c>
      <c r="K1015" t="s">
        <v>1659</v>
      </c>
      <c r="L1015" t="s">
        <v>1659</v>
      </c>
      <c r="M1015" t="s">
        <v>1155</v>
      </c>
      <c r="N1015" t="s">
        <v>1132</v>
      </c>
      <c r="O1015" t="s">
        <v>1132</v>
      </c>
      <c r="P1015" t="str">
        <f>IFERROR(VLOOKUP(F1015,Sheet1!$A$2:$B$54,2,FALSE),"")</f>
        <v/>
      </c>
    </row>
    <row r="1016" spans="1:16" x14ac:dyDescent="0.2">
      <c r="A1016" s="1">
        <v>2021</v>
      </c>
      <c r="B1016" t="s">
        <v>121</v>
      </c>
      <c r="C1016" s="10" t="s">
        <v>1678</v>
      </c>
      <c r="D1016" s="10" t="s">
        <v>1679</v>
      </c>
      <c r="E1016" s="10" t="s">
        <v>1682</v>
      </c>
      <c r="F1016" t="s">
        <v>618</v>
      </c>
      <c r="G1016" s="4">
        <v>3838</v>
      </c>
      <c r="H1016" s="4"/>
      <c r="I1016" s="4"/>
      <c r="J1016" s="4">
        <f>SUM(G1016:I1016)</f>
        <v>3838</v>
      </c>
      <c r="K1016" t="s">
        <v>1659</v>
      </c>
      <c r="L1016" t="s">
        <v>1659</v>
      </c>
      <c r="M1016" t="s">
        <v>618</v>
      </c>
      <c r="N1016" t="s">
        <v>1132</v>
      </c>
      <c r="O1016" t="s">
        <v>1132</v>
      </c>
      <c r="P1016" t="str">
        <f>IFERROR(VLOOKUP(F1016,Sheet1!$A$2:$B$54,2,FALSE),"")</f>
        <v/>
      </c>
    </row>
    <row r="1017" spans="1:16" x14ac:dyDescent="0.2">
      <c r="A1017" s="1">
        <v>2022</v>
      </c>
      <c r="B1017" t="s">
        <v>121</v>
      </c>
      <c r="C1017" s="10" t="s">
        <v>1678</v>
      </c>
      <c r="D1017" s="10" t="s">
        <v>1679</v>
      </c>
      <c r="E1017" s="10" t="s">
        <v>1682</v>
      </c>
      <c r="F1017" t="s">
        <v>618</v>
      </c>
      <c r="G1017" s="4">
        <v>3649</v>
      </c>
      <c r="H1017" s="4"/>
      <c r="I1017" s="4"/>
      <c r="J1017" s="4">
        <f>SUM(G1017:I1017)</f>
        <v>3649</v>
      </c>
      <c r="K1017" t="s">
        <v>1659</v>
      </c>
      <c r="L1017" t="s">
        <v>1659</v>
      </c>
      <c r="M1017" t="s">
        <v>618</v>
      </c>
      <c r="N1017" t="s">
        <v>1132</v>
      </c>
      <c r="O1017" t="s">
        <v>1132</v>
      </c>
      <c r="P1017" t="str">
        <f>IFERROR(VLOOKUP(F1017,Sheet1!$A$2:$B$54,2,FALSE),"")</f>
        <v/>
      </c>
    </row>
    <row r="1018" spans="1:16" x14ac:dyDescent="0.2">
      <c r="A1018" s="1">
        <v>2023</v>
      </c>
      <c r="B1018" t="s">
        <v>121</v>
      </c>
      <c r="C1018" s="10" t="s">
        <v>1678</v>
      </c>
      <c r="D1018" s="10" t="s">
        <v>1679</v>
      </c>
      <c r="E1018" s="10" t="s">
        <v>1682</v>
      </c>
      <c r="F1018" t="s">
        <v>618</v>
      </c>
      <c r="G1018" s="4">
        <v>4158</v>
      </c>
      <c r="H1018" s="4"/>
      <c r="I1018" s="4"/>
      <c r="J1018" s="4">
        <f>SUM(G1018:I1018)</f>
        <v>4158</v>
      </c>
      <c r="K1018" t="s">
        <v>1659</v>
      </c>
      <c r="L1018" t="s">
        <v>1659</v>
      </c>
      <c r="M1018" t="s">
        <v>618</v>
      </c>
      <c r="N1018" t="s">
        <v>1132</v>
      </c>
      <c r="O1018" t="s">
        <v>1132</v>
      </c>
      <c r="P1018" t="str">
        <f>IFERROR(VLOOKUP(F1018,Sheet1!$A$2:$B$54,2,FALSE),"")</f>
        <v/>
      </c>
    </row>
    <row r="1019" spans="1:16" x14ac:dyDescent="0.2">
      <c r="A1019" s="1">
        <v>2015</v>
      </c>
      <c r="B1019" t="s">
        <v>122</v>
      </c>
      <c r="C1019" s="10" t="s">
        <v>1678</v>
      </c>
      <c r="D1019" s="10" t="s">
        <v>1679</v>
      </c>
      <c r="E1019" s="10" t="s">
        <v>1682</v>
      </c>
      <c r="F1019" t="s">
        <v>619</v>
      </c>
      <c r="G1019" s="4">
        <v>7483</v>
      </c>
      <c r="H1019" s="4"/>
      <c r="I1019" s="4"/>
      <c r="J1019" s="4">
        <f>SUM(G1019:I1019)</f>
        <v>7483</v>
      </c>
      <c r="K1019" t="s">
        <v>1659</v>
      </c>
      <c r="L1019" t="s">
        <v>1659</v>
      </c>
      <c r="M1019" t="s">
        <v>1156</v>
      </c>
      <c r="N1019" t="s">
        <v>1132</v>
      </c>
      <c r="O1019" t="s">
        <v>1132</v>
      </c>
      <c r="P1019" t="str">
        <f>IFERROR(VLOOKUP(F1019,Sheet1!$A$2:$B$54,2,FALSE),"")</f>
        <v/>
      </c>
    </row>
    <row r="1020" spans="1:16" x14ac:dyDescent="0.2">
      <c r="A1020" s="1">
        <v>2016</v>
      </c>
      <c r="B1020" t="s">
        <v>122</v>
      </c>
      <c r="C1020" s="10" t="s">
        <v>1678</v>
      </c>
      <c r="D1020" s="10" t="s">
        <v>1679</v>
      </c>
      <c r="E1020" s="10" t="s">
        <v>1682</v>
      </c>
      <c r="F1020" t="s">
        <v>619</v>
      </c>
      <c r="G1020" s="4">
        <v>8488</v>
      </c>
      <c r="H1020" s="4"/>
      <c r="I1020" s="4"/>
      <c r="J1020" s="4">
        <f>SUM(G1020:I1020)</f>
        <v>8488</v>
      </c>
      <c r="K1020" t="s">
        <v>1659</v>
      </c>
      <c r="L1020" t="s">
        <v>1659</v>
      </c>
      <c r="M1020" t="s">
        <v>1156</v>
      </c>
      <c r="N1020" t="s">
        <v>1132</v>
      </c>
      <c r="O1020" t="s">
        <v>1132</v>
      </c>
      <c r="P1020" t="str">
        <f>IFERROR(VLOOKUP(F1020,Sheet1!$A$2:$B$54,2,FALSE),"")</f>
        <v/>
      </c>
    </row>
    <row r="1021" spans="1:16" x14ac:dyDescent="0.2">
      <c r="A1021" s="1">
        <v>2017</v>
      </c>
      <c r="B1021" t="s">
        <v>122</v>
      </c>
      <c r="C1021" s="10" t="s">
        <v>1678</v>
      </c>
      <c r="D1021" s="10" t="s">
        <v>1679</v>
      </c>
      <c r="E1021" s="10" t="s">
        <v>1682</v>
      </c>
      <c r="F1021" t="s">
        <v>619</v>
      </c>
      <c r="G1021" s="4">
        <v>12463</v>
      </c>
      <c r="H1021" s="4"/>
      <c r="I1021" s="4"/>
      <c r="J1021" s="4">
        <f>SUM(G1021:I1021)</f>
        <v>12463</v>
      </c>
      <c r="K1021" t="s">
        <v>1659</v>
      </c>
      <c r="L1021" t="s">
        <v>1659</v>
      </c>
      <c r="M1021" t="s">
        <v>1157</v>
      </c>
      <c r="N1021" t="s">
        <v>1132</v>
      </c>
      <c r="O1021" t="s">
        <v>1132</v>
      </c>
      <c r="P1021" t="str">
        <f>IFERROR(VLOOKUP(F1021,Sheet1!$A$2:$B$54,2,FALSE),"")</f>
        <v/>
      </c>
    </row>
    <row r="1022" spans="1:16" x14ac:dyDescent="0.2">
      <c r="A1022" s="1">
        <v>2018</v>
      </c>
      <c r="B1022" t="s">
        <v>122</v>
      </c>
      <c r="C1022" s="10" t="s">
        <v>1678</v>
      </c>
      <c r="D1022" s="10" t="s">
        <v>1679</v>
      </c>
      <c r="E1022" s="10" t="s">
        <v>1682</v>
      </c>
      <c r="F1022" t="s">
        <v>619</v>
      </c>
      <c r="G1022" s="4">
        <v>12938</v>
      </c>
      <c r="H1022" s="4"/>
      <c r="I1022" s="4"/>
      <c r="J1022" s="4">
        <f>SUM(G1022:I1022)</f>
        <v>12938</v>
      </c>
      <c r="K1022" t="s">
        <v>1659</v>
      </c>
      <c r="L1022" t="s">
        <v>1659</v>
      </c>
      <c r="M1022" t="s">
        <v>1157</v>
      </c>
      <c r="N1022" t="s">
        <v>1132</v>
      </c>
      <c r="O1022" t="s">
        <v>1132</v>
      </c>
      <c r="P1022" t="str">
        <f>IFERROR(VLOOKUP(F1022,Sheet1!$A$2:$B$54,2,FALSE),"")</f>
        <v/>
      </c>
    </row>
    <row r="1023" spans="1:16" x14ac:dyDescent="0.2">
      <c r="A1023" s="1">
        <v>2019</v>
      </c>
      <c r="B1023" t="s">
        <v>122</v>
      </c>
      <c r="C1023" s="10" t="s">
        <v>1678</v>
      </c>
      <c r="D1023" s="10" t="s">
        <v>1679</v>
      </c>
      <c r="E1023" s="10" t="s">
        <v>1682</v>
      </c>
      <c r="F1023" t="s">
        <v>619</v>
      </c>
      <c r="G1023" s="4">
        <v>11984</v>
      </c>
      <c r="H1023" s="4"/>
      <c r="I1023" s="4"/>
      <c r="J1023" s="4">
        <f>SUM(G1023:I1023)</f>
        <v>11984</v>
      </c>
      <c r="K1023" t="s">
        <v>1659</v>
      </c>
      <c r="L1023" t="s">
        <v>1659</v>
      </c>
      <c r="M1023" t="s">
        <v>1158</v>
      </c>
      <c r="N1023" t="s">
        <v>1132</v>
      </c>
      <c r="O1023" t="s">
        <v>1132</v>
      </c>
      <c r="P1023" t="str">
        <f>IFERROR(VLOOKUP(F1023,Sheet1!$A$2:$B$54,2,FALSE),"")</f>
        <v/>
      </c>
    </row>
    <row r="1024" spans="1:16" x14ac:dyDescent="0.2">
      <c r="A1024" s="1">
        <v>2020</v>
      </c>
      <c r="B1024" t="s">
        <v>122</v>
      </c>
      <c r="C1024" s="10" t="s">
        <v>1678</v>
      </c>
      <c r="D1024" s="10" t="s">
        <v>1679</v>
      </c>
      <c r="E1024" s="10" t="s">
        <v>1682</v>
      </c>
      <c r="F1024" t="s">
        <v>619</v>
      </c>
      <c r="G1024" s="4">
        <v>12998</v>
      </c>
      <c r="H1024" s="4"/>
      <c r="I1024" s="4"/>
      <c r="J1024" s="4">
        <f>SUM(G1024:I1024)</f>
        <v>12998</v>
      </c>
      <c r="K1024" t="s">
        <v>1659</v>
      </c>
      <c r="L1024" t="s">
        <v>1659</v>
      </c>
      <c r="M1024" t="s">
        <v>1157</v>
      </c>
      <c r="N1024" t="s">
        <v>1132</v>
      </c>
      <c r="O1024" t="s">
        <v>1132</v>
      </c>
      <c r="P1024" t="str">
        <f>IFERROR(VLOOKUP(F1024,Sheet1!$A$2:$B$54,2,FALSE),"")</f>
        <v/>
      </c>
    </row>
    <row r="1025" spans="1:16" x14ac:dyDescent="0.2">
      <c r="A1025" s="1">
        <v>2021</v>
      </c>
      <c r="B1025" t="s">
        <v>122</v>
      </c>
      <c r="C1025" s="10" t="s">
        <v>1678</v>
      </c>
      <c r="D1025" s="10" t="s">
        <v>1679</v>
      </c>
      <c r="E1025" s="10" t="s">
        <v>1682</v>
      </c>
      <c r="F1025" t="s">
        <v>619</v>
      </c>
      <c r="G1025" s="4">
        <v>14133</v>
      </c>
      <c r="H1025" s="4"/>
      <c r="I1025" s="4"/>
      <c r="J1025" s="4">
        <f>SUM(G1025:I1025)</f>
        <v>14133</v>
      </c>
      <c r="K1025" t="s">
        <v>1659</v>
      </c>
      <c r="L1025" t="s">
        <v>1659</v>
      </c>
      <c r="M1025" t="s">
        <v>619</v>
      </c>
      <c r="N1025" t="s">
        <v>1132</v>
      </c>
      <c r="O1025" t="s">
        <v>1132</v>
      </c>
      <c r="P1025" t="str">
        <f>IFERROR(VLOOKUP(F1025,Sheet1!$A$2:$B$54,2,FALSE),"")</f>
        <v/>
      </c>
    </row>
    <row r="1026" spans="1:16" x14ac:dyDescent="0.2">
      <c r="A1026" s="1">
        <v>2022</v>
      </c>
      <c r="B1026" t="s">
        <v>122</v>
      </c>
      <c r="C1026" s="10" t="s">
        <v>1678</v>
      </c>
      <c r="D1026" s="10" t="s">
        <v>1679</v>
      </c>
      <c r="E1026" s="10" t="s">
        <v>1682</v>
      </c>
      <c r="F1026" t="s">
        <v>619</v>
      </c>
      <c r="G1026" s="4">
        <v>18489</v>
      </c>
      <c r="H1026" s="4"/>
      <c r="I1026" s="4"/>
      <c r="J1026" s="4">
        <f>SUM(G1026:I1026)</f>
        <v>18489</v>
      </c>
      <c r="K1026" t="s">
        <v>1659</v>
      </c>
      <c r="L1026" t="s">
        <v>1659</v>
      </c>
      <c r="M1026" t="s">
        <v>619</v>
      </c>
      <c r="N1026" t="s">
        <v>1132</v>
      </c>
      <c r="O1026" t="s">
        <v>1132</v>
      </c>
      <c r="P1026" t="str">
        <f>IFERROR(VLOOKUP(F1026,Sheet1!$A$2:$B$54,2,FALSE),"")</f>
        <v/>
      </c>
    </row>
    <row r="1027" spans="1:16" x14ac:dyDescent="0.2">
      <c r="A1027" s="1">
        <v>2023</v>
      </c>
      <c r="B1027" t="s">
        <v>122</v>
      </c>
      <c r="C1027" s="10" t="s">
        <v>1678</v>
      </c>
      <c r="D1027" s="10" t="s">
        <v>1679</v>
      </c>
      <c r="E1027" s="10" t="s">
        <v>1682</v>
      </c>
      <c r="F1027" t="s">
        <v>619</v>
      </c>
      <c r="G1027" s="4">
        <v>20806</v>
      </c>
      <c r="H1027" s="4"/>
      <c r="I1027" s="4"/>
      <c r="J1027" s="4">
        <f>SUM(G1027:I1027)</f>
        <v>20806</v>
      </c>
      <c r="K1027" t="s">
        <v>1659</v>
      </c>
      <c r="L1027" t="s">
        <v>1659</v>
      </c>
      <c r="M1027" t="s">
        <v>619</v>
      </c>
      <c r="N1027" t="s">
        <v>1132</v>
      </c>
      <c r="O1027" t="s">
        <v>1132</v>
      </c>
      <c r="P1027" t="str">
        <f>IFERROR(VLOOKUP(F1027,Sheet1!$A$2:$B$54,2,FALSE),"")</f>
        <v/>
      </c>
    </row>
    <row r="1028" spans="1:16" x14ac:dyDescent="0.2">
      <c r="A1028" s="1">
        <v>2015</v>
      </c>
      <c r="B1028" t="s">
        <v>123</v>
      </c>
      <c r="C1028" s="10" t="s">
        <v>1678</v>
      </c>
      <c r="D1028" s="10" t="s">
        <v>1679</v>
      </c>
      <c r="E1028" s="10" t="s">
        <v>1682</v>
      </c>
      <c r="F1028" t="s">
        <v>620</v>
      </c>
      <c r="G1028" s="4">
        <v>6880</v>
      </c>
      <c r="H1028" s="4"/>
      <c r="I1028" s="4"/>
      <c r="J1028" s="4">
        <f>SUM(G1028:I1028)</f>
        <v>6880</v>
      </c>
      <c r="K1028" t="s">
        <v>1659</v>
      </c>
      <c r="L1028" t="s">
        <v>1659</v>
      </c>
      <c r="M1028" t="s">
        <v>1159</v>
      </c>
      <c r="N1028" t="s">
        <v>1132</v>
      </c>
      <c r="O1028" t="s">
        <v>1132</v>
      </c>
      <c r="P1028" t="str">
        <f>IFERROR(VLOOKUP(F1028,Sheet1!$A$2:$B$54,2,FALSE),"")</f>
        <v/>
      </c>
    </row>
    <row r="1029" spans="1:16" x14ac:dyDescent="0.2">
      <c r="A1029" s="1">
        <v>2016</v>
      </c>
      <c r="B1029" t="s">
        <v>123</v>
      </c>
      <c r="C1029" s="10" t="s">
        <v>1678</v>
      </c>
      <c r="D1029" s="10" t="s">
        <v>1679</v>
      </c>
      <c r="E1029" s="10" t="s">
        <v>1682</v>
      </c>
      <c r="F1029" t="s">
        <v>620</v>
      </c>
      <c r="G1029" s="4">
        <v>8374</v>
      </c>
      <c r="H1029" s="4"/>
      <c r="I1029" s="4"/>
      <c r="J1029" s="4">
        <f>SUM(G1029:I1029)</f>
        <v>8374</v>
      </c>
      <c r="K1029" t="s">
        <v>1659</v>
      </c>
      <c r="L1029" t="s">
        <v>1659</v>
      </c>
      <c r="M1029" t="s">
        <v>1159</v>
      </c>
      <c r="N1029" t="s">
        <v>1132</v>
      </c>
      <c r="O1029" t="s">
        <v>1132</v>
      </c>
      <c r="P1029" t="str">
        <f>IFERROR(VLOOKUP(F1029,Sheet1!$A$2:$B$54,2,FALSE),"")</f>
        <v/>
      </c>
    </row>
    <row r="1030" spans="1:16" x14ac:dyDescent="0.2">
      <c r="A1030" s="1">
        <v>2017</v>
      </c>
      <c r="B1030" t="s">
        <v>123</v>
      </c>
      <c r="C1030" s="10" t="s">
        <v>1678</v>
      </c>
      <c r="D1030" s="10" t="s">
        <v>1679</v>
      </c>
      <c r="E1030" s="10" t="s">
        <v>1682</v>
      </c>
      <c r="F1030" t="s">
        <v>620</v>
      </c>
      <c r="G1030" s="4">
        <v>16133</v>
      </c>
      <c r="H1030" s="4"/>
      <c r="I1030" s="4"/>
      <c r="J1030" s="4">
        <f>SUM(G1030:I1030)</f>
        <v>16133</v>
      </c>
      <c r="K1030" t="s">
        <v>1659</v>
      </c>
      <c r="L1030" t="s">
        <v>1659</v>
      </c>
      <c r="M1030" t="s">
        <v>1159</v>
      </c>
      <c r="N1030" t="s">
        <v>1132</v>
      </c>
      <c r="O1030" t="s">
        <v>1132</v>
      </c>
      <c r="P1030" t="str">
        <f>IFERROR(VLOOKUP(F1030,Sheet1!$A$2:$B$54,2,FALSE),"")</f>
        <v/>
      </c>
    </row>
    <row r="1031" spans="1:16" x14ac:dyDescent="0.2">
      <c r="A1031" s="1">
        <v>2018</v>
      </c>
      <c r="B1031" t="s">
        <v>123</v>
      </c>
      <c r="C1031" s="10" t="s">
        <v>1678</v>
      </c>
      <c r="D1031" s="10" t="s">
        <v>1679</v>
      </c>
      <c r="E1031" s="10" t="s">
        <v>1682</v>
      </c>
      <c r="F1031" t="s">
        <v>620</v>
      </c>
      <c r="G1031" s="4">
        <v>20736</v>
      </c>
      <c r="H1031" s="4"/>
      <c r="I1031" s="4"/>
      <c r="J1031" s="4">
        <f>SUM(G1031:I1031)</f>
        <v>20736</v>
      </c>
      <c r="K1031" t="s">
        <v>1659</v>
      </c>
      <c r="L1031" t="s">
        <v>1659</v>
      </c>
      <c r="M1031" t="s">
        <v>1159</v>
      </c>
      <c r="N1031" t="s">
        <v>1132</v>
      </c>
      <c r="O1031" t="s">
        <v>1132</v>
      </c>
      <c r="P1031" t="str">
        <f>IFERROR(VLOOKUP(F1031,Sheet1!$A$2:$B$54,2,FALSE),"")</f>
        <v/>
      </c>
    </row>
    <row r="1032" spans="1:16" x14ac:dyDescent="0.2">
      <c r="A1032" s="1">
        <v>2019</v>
      </c>
      <c r="B1032" t="s">
        <v>123</v>
      </c>
      <c r="C1032" s="10" t="s">
        <v>1678</v>
      </c>
      <c r="D1032" s="10" t="s">
        <v>1679</v>
      </c>
      <c r="E1032" s="10" t="s">
        <v>1682</v>
      </c>
      <c r="F1032" t="s">
        <v>620</v>
      </c>
      <c r="G1032" s="4">
        <v>22672</v>
      </c>
      <c r="H1032" s="4"/>
      <c r="I1032" s="4"/>
      <c r="J1032" s="4">
        <f>SUM(G1032:I1032)</f>
        <v>22672</v>
      </c>
      <c r="K1032" t="s">
        <v>1659</v>
      </c>
      <c r="L1032" t="s">
        <v>1659</v>
      </c>
      <c r="M1032" t="s">
        <v>1159</v>
      </c>
      <c r="N1032" t="s">
        <v>1132</v>
      </c>
      <c r="O1032" t="s">
        <v>1132</v>
      </c>
      <c r="P1032" t="str">
        <f>IFERROR(VLOOKUP(F1032,Sheet1!$A$2:$B$54,2,FALSE),"")</f>
        <v/>
      </c>
    </row>
    <row r="1033" spans="1:16" x14ac:dyDescent="0.2">
      <c r="A1033" s="1">
        <v>2020</v>
      </c>
      <c r="B1033" t="s">
        <v>123</v>
      </c>
      <c r="C1033" s="10" t="s">
        <v>1678</v>
      </c>
      <c r="D1033" s="10" t="s">
        <v>1679</v>
      </c>
      <c r="E1033" s="10" t="s">
        <v>1682</v>
      </c>
      <c r="F1033" t="s">
        <v>620</v>
      </c>
      <c r="G1033" s="4">
        <v>28319</v>
      </c>
      <c r="H1033" s="4"/>
      <c r="I1033" s="4"/>
      <c r="J1033" s="4">
        <f>SUM(G1033:I1033)</f>
        <v>28319</v>
      </c>
      <c r="K1033" t="s">
        <v>1659</v>
      </c>
      <c r="L1033" t="s">
        <v>1659</v>
      </c>
      <c r="M1033" t="s">
        <v>1159</v>
      </c>
      <c r="N1033" t="s">
        <v>1132</v>
      </c>
      <c r="O1033" t="s">
        <v>1132</v>
      </c>
      <c r="P1033" t="str">
        <f>IFERROR(VLOOKUP(F1033,Sheet1!$A$2:$B$54,2,FALSE),"")</f>
        <v/>
      </c>
    </row>
    <row r="1034" spans="1:16" x14ac:dyDescent="0.2">
      <c r="A1034" s="1">
        <v>2021</v>
      </c>
      <c r="B1034" t="s">
        <v>123</v>
      </c>
      <c r="C1034" s="10" t="s">
        <v>1678</v>
      </c>
      <c r="D1034" s="10" t="s">
        <v>1679</v>
      </c>
      <c r="E1034" s="10" t="s">
        <v>1682</v>
      </c>
      <c r="F1034" t="s">
        <v>620</v>
      </c>
      <c r="G1034" s="4">
        <v>37542</v>
      </c>
      <c r="H1034" s="4"/>
      <c r="I1034" s="4"/>
      <c r="J1034" s="4">
        <f>SUM(G1034:I1034)</f>
        <v>37542</v>
      </c>
      <c r="K1034" t="s">
        <v>1659</v>
      </c>
      <c r="L1034" t="s">
        <v>1659</v>
      </c>
      <c r="M1034" t="s">
        <v>620</v>
      </c>
      <c r="N1034" t="s">
        <v>1132</v>
      </c>
      <c r="O1034" t="s">
        <v>1132</v>
      </c>
      <c r="P1034" t="str">
        <f>IFERROR(VLOOKUP(F1034,Sheet1!$A$2:$B$54,2,FALSE),"")</f>
        <v/>
      </c>
    </row>
    <row r="1035" spans="1:16" x14ac:dyDescent="0.2">
      <c r="A1035" s="1">
        <v>2022</v>
      </c>
      <c r="B1035" t="s">
        <v>123</v>
      </c>
      <c r="C1035" s="10" t="s">
        <v>1678</v>
      </c>
      <c r="D1035" s="10" t="s">
        <v>1679</v>
      </c>
      <c r="E1035" s="10" t="s">
        <v>1682</v>
      </c>
      <c r="F1035" t="s">
        <v>620</v>
      </c>
      <c r="G1035" s="4">
        <v>45720</v>
      </c>
      <c r="H1035" s="4"/>
      <c r="I1035" s="4"/>
      <c r="J1035" s="4">
        <f>SUM(G1035:I1035)</f>
        <v>45720</v>
      </c>
      <c r="K1035" t="s">
        <v>1659</v>
      </c>
      <c r="L1035" t="s">
        <v>1659</v>
      </c>
      <c r="M1035" t="s">
        <v>620</v>
      </c>
      <c r="N1035" t="s">
        <v>1132</v>
      </c>
      <c r="O1035" t="s">
        <v>1132</v>
      </c>
      <c r="P1035" t="str">
        <f>IFERROR(VLOOKUP(F1035,Sheet1!$A$2:$B$54,2,FALSE),"")</f>
        <v/>
      </c>
    </row>
    <row r="1036" spans="1:16" x14ac:dyDescent="0.2">
      <c r="A1036" s="1">
        <v>2023</v>
      </c>
      <c r="B1036" t="s">
        <v>123</v>
      </c>
      <c r="C1036" s="10" t="s">
        <v>1678</v>
      </c>
      <c r="D1036" s="10" t="s">
        <v>1679</v>
      </c>
      <c r="E1036" s="10" t="s">
        <v>1682</v>
      </c>
      <c r="F1036" t="s">
        <v>620</v>
      </c>
      <c r="G1036" s="4">
        <v>63887</v>
      </c>
      <c r="H1036" s="4"/>
      <c r="I1036" s="4"/>
      <c r="J1036" s="4">
        <f>SUM(G1036:I1036)</f>
        <v>63887</v>
      </c>
      <c r="K1036" t="s">
        <v>1659</v>
      </c>
      <c r="L1036" t="s">
        <v>1659</v>
      </c>
      <c r="M1036" t="s">
        <v>620</v>
      </c>
      <c r="N1036" t="s">
        <v>1132</v>
      </c>
      <c r="O1036" t="s">
        <v>1132</v>
      </c>
      <c r="P1036" t="str">
        <f>IFERROR(VLOOKUP(F1036,Sheet1!$A$2:$B$54,2,FALSE),"")</f>
        <v/>
      </c>
    </row>
    <row r="1037" spans="1:16" x14ac:dyDescent="0.2">
      <c r="A1037" s="1">
        <v>2015</v>
      </c>
      <c r="B1037" t="s">
        <v>124</v>
      </c>
      <c r="C1037" s="10" t="s">
        <v>1678</v>
      </c>
      <c r="D1037" s="10" t="s">
        <v>1679</v>
      </c>
      <c r="E1037" s="10" t="s">
        <v>1682</v>
      </c>
      <c r="F1037" t="s">
        <v>621</v>
      </c>
      <c r="G1037" s="4">
        <v>11593</v>
      </c>
      <c r="H1037" s="4"/>
      <c r="I1037" s="4"/>
      <c r="J1037" s="4">
        <f>SUM(G1037:I1037)</f>
        <v>11593</v>
      </c>
      <c r="K1037" t="s">
        <v>1659</v>
      </c>
      <c r="L1037" t="s">
        <v>1659</v>
      </c>
      <c r="M1037" t="s">
        <v>1160</v>
      </c>
      <c r="N1037" t="s">
        <v>1132</v>
      </c>
      <c r="O1037" t="s">
        <v>1132</v>
      </c>
      <c r="P1037" t="str">
        <f>IFERROR(VLOOKUP(F1037,Sheet1!$A$2:$B$54,2,FALSE),"")</f>
        <v/>
      </c>
    </row>
    <row r="1038" spans="1:16" x14ac:dyDescent="0.2">
      <c r="A1038" s="1">
        <v>2016</v>
      </c>
      <c r="B1038" t="s">
        <v>124</v>
      </c>
      <c r="C1038" s="10" t="s">
        <v>1678</v>
      </c>
      <c r="D1038" s="10" t="s">
        <v>1679</v>
      </c>
      <c r="E1038" s="10" t="s">
        <v>1682</v>
      </c>
      <c r="F1038" t="s">
        <v>621</v>
      </c>
      <c r="G1038" s="4">
        <v>16714</v>
      </c>
      <c r="H1038" s="4"/>
      <c r="I1038" s="4"/>
      <c r="J1038" s="4">
        <f>SUM(G1038:I1038)</f>
        <v>16714</v>
      </c>
      <c r="K1038" t="s">
        <v>1659</v>
      </c>
      <c r="L1038" t="s">
        <v>1659</v>
      </c>
      <c r="M1038" t="s">
        <v>1160</v>
      </c>
      <c r="N1038" t="s">
        <v>1132</v>
      </c>
      <c r="O1038" t="s">
        <v>1132</v>
      </c>
      <c r="P1038" t="str">
        <f>IFERROR(VLOOKUP(F1038,Sheet1!$A$2:$B$54,2,FALSE),"")</f>
        <v/>
      </c>
    </row>
    <row r="1039" spans="1:16" x14ac:dyDescent="0.2">
      <c r="A1039" s="1">
        <v>2017</v>
      </c>
      <c r="B1039" t="s">
        <v>124</v>
      </c>
      <c r="C1039" s="10" t="s">
        <v>1678</v>
      </c>
      <c r="D1039" s="10" t="s">
        <v>1679</v>
      </c>
      <c r="E1039" s="10" t="s">
        <v>1682</v>
      </c>
      <c r="F1039" t="s">
        <v>621</v>
      </c>
      <c r="G1039" s="4">
        <v>22607</v>
      </c>
      <c r="H1039" s="4"/>
      <c r="I1039" s="4"/>
      <c r="J1039" s="4">
        <f>SUM(G1039:I1039)</f>
        <v>22607</v>
      </c>
      <c r="K1039" t="s">
        <v>1659</v>
      </c>
      <c r="L1039" t="s">
        <v>1659</v>
      </c>
      <c r="M1039" t="s">
        <v>1160</v>
      </c>
      <c r="N1039" t="s">
        <v>1132</v>
      </c>
      <c r="O1039" t="s">
        <v>1132</v>
      </c>
      <c r="P1039" t="str">
        <f>IFERROR(VLOOKUP(F1039,Sheet1!$A$2:$B$54,2,FALSE),"")</f>
        <v/>
      </c>
    </row>
    <row r="1040" spans="1:16" x14ac:dyDescent="0.2">
      <c r="A1040" s="1">
        <v>2018</v>
      </c>
      <c r="B1040" t="s">
        <v>124</v>
      </c>
      <c r="C1040" s="10" t="s">
        <v>1678</v>
      </c>
      <c r="D1040" s="10" t="s">
        <v>1679</v>
      </c>
      <c r="E1040" s="10" t="s">
        <v>1682</v>
      </c>
      <c r="F1040" t="s">
        <v>621</v>
      </c>
      <c r="G1040" s="4">
        <v>28318</v>
      </c>
      <c r="H1040" s="4"/>
      <c r="I1040" s="4"/>
      <c r="J1040" s="4">
        <f>SUM(G1040:I1040)</f>
        <v>28318</v>
      </c>
      <c r="K1040" t="s">
        <v>1659</v>
      </c>
      <c r="L1040" t="s">
        <v>1659</v>
      </c>
      <c r="M1040" t="s">
        <v>1160</v>
      </c>
      <c r="N1040" t="s">
        <v>1132</v>
      </c>
      <c r="O1040" t="s">
        <v>1132</v>
      </c>
      <c r="P1040" t="str">
        <f>IFERROR(VLOOKUP(F1040,Sheet1!$A$2:$B$54,2,FALSE),"")</f>
        <v/>
      </c>
    </row>
    <row r="1041" spans="1:16" x14ac:dyDescent="0.2">
      <c r="A1041" s="1">
        <v>2019</v>
      </c>
      <c r="B1041" t="s">
        <v>124</v>
      </c>
      <c r="C1041" s="10" t="s">
        <v>1678</v>
      </c>
      <c r="D1041" s="10" t="s">
        <v>1679</v>
      </c>
      <c r="E1041" s="10" t="s">
        <v>1682</v>
      </c>
      <c r="F1041" t="s">
        <v>621</v>
      </c>
      <c r="G1041" s="4">
        <v>38419</v>
      </c>
      <c r="H1041" s="4"/>
      <c r="I1041" s="4"/>
      <c r="J1041" s="4">
        <f>SUM(G1041:I1041)</f>
        <v>38419</v>
      </c>
      <c r="K1041" t="s">
        <v>1659</v>
      </c>
      <c r="L1041" t="s">
        <v>1659</v>
      </c>
      <c r="M1041" t="s">
        <v>1160</v>
      </c>
      <c r="N1041" t="s">
        <v>1132</v>
      </c>
      <c r="O1041" t="s">
        <v>1132</v>
      </c>
      <c r="P1041" t="str">
        <f>IFERROR(VLOOKUP(F1041,Sheet1!$A$2:$B$54,2,FALSE),"")</f>
        <v/>
      </c>
    </row>
    <row r="1042" spans="1:16" x14ac:dyDescent="0.2">
      <c r="A1042" s="1">
        <v>2020</v>
      </c>
      <c r="B1042" t="s">
        <v>124</v>
      </c>
      <c r="C1042" s="10" t="s">
        <v>1678</v>
      </c>
      <c r="D1042" s="10" t="s">
        <v>1679</v>
      </c>
      <c r="E1042" s="10" t="s">
        <v>1682</v>
      </c>
      <c r="F1042" t="s">
        <v>621</v>
      </c>
      <c r="G1042" s="4">
        <v>47306</v>
      </c>
      <c r="H1042" s="4"/>
      <c r="I1042" s="4"/>
      <c r="J1042" s="4">
        <f>SUM(G1042:I1042)</f>
        <v>47306</v>
      </c>
      <c r="K1042" t="s">
        <v>1659</v>
      </c>
      <c r="L1042" t="s">
        <v>1659</v>
      </c>
      <c r="M1042" t="s">
        <v>1160</v>
      </c>
      <c r="N1042" t="s">
        <v>1132</v>
      </c>
      <c r="O1042" t="s">
        <v>1132</v>
      </c>
      <c r="P1042" t="str">
        <f>IFERROR(VLOOKUP(F1042,Sheet1!$A$2:$B$54,2,FALSE),"")</f>
        <v/>
      </c>
    </row>
    <row r="1043" spans="1:16" x14ac:dyDescent="0.2">
      <c r="A1043" s="1">
        <v>2021</v>
      </c>
      <c r="B1043" t="s">
        <v>124</v>
      </c>
      <c r="C1043" s="10" t="s">
        <v>1678</v>
      </c>
      <c r="D1043" s="10" t="s">
        <v>1679</v>
      </c>
      <c r="E1043" s="10" t="s">
        <v>1682</v>
      </c>
      <c r="F1043" t="s">
        <v>621</v>
      </c>
      <c r="G1043" s="4">
        <v>61206</v>
      </c>
      <c r="H1043" s="4"/>
      <c r="I1043" s="4"/>
      <c r="J1043" s="4">
        <f>SUM(G1043:I1043)</f>
        <v>61206</v>
      </c>
      <c r="K1043" t="s">
        <v>1659</v>
      </c>
      <c r="L1043" t="s">
        <v>1659</v>
      </c>
      <c r="M1043" t="s">
        <v>621</v>
      </c>
      <c r="N1043" t="s">
        <v>1132</v>
      </c>
      <c r="O1043" t="s">
        <v>1132</v>
      </c>
      <c r="P1043" t="str">
        <f>IFERROR(VLOOKUP(F1043,Sheet1!$A$2:$B$54,2,FALSE),"")</f>
        <v/>
      </c>
    </row>
    <row r="1044" spans="1:16" x14ac:dyDescent="0.2">
      <c r="A1044" s="1">
        <v>2022</v>
      </c>
      <c r="B1044" t="s">
        <v>124</v>
      </c>
      <c r="C1044" s="10" t="s">
        <v>1678</v>
      </c>
      <c r="D1044" s="10" t="s">
        <v>1679</v>
      </c>
      <c r="E1044" s="10" t="s">
        <v>1682</v>
      </c>
      <c r="F1044" t="s">
        <v>621</v>
      </c>
      <c r="G1044" s="4">
        <v>79377</v>
      </c>
      <c r="H1044" s="4"/>
      <c r="I1044" s="4"/>
      <c r="J1044" s="4">
        <f>SUM(G1044:I1044)</f>
        <v>79377</v>
      </c>
      <c r="K1044" t="s">
        <v>1659</v>
      </c>
      <c r="L1044" t="s">
        <v>1659</v>
      </c>
      <c r="M1044" t="s">
        <v>621</v>
      </c>
      <c r="N1044" t="s">
        <v>1132</v>
      </c>
      <c r="O1044" t="s">
        <v>1132</v>
      </c>
      <c r="P1044" t="str">
        <f>IFERROR(VLOOKUP(F1044,Sheet1!$A$2:$B$54,2,FALSE),"")</f>
        <v/>
      </c>
    </row>
    <row r="1045" spans="1:16" x14ac:dyDescent="0.2">
      <c r="A1045" s="1">
        <v>2023</v>
      </c>
      <c r="B1045" t="s">
        <v>124</v>
      </c>
      <c r="C1045" s="10" t="s">
        <v>1678</v>
      </c>
      <c r="D1045" s="10" t="s">
        <v>1679</v>
      </c>
      <c r="E1045" s="10" t="s">
        <v>1682</v>
      </c>
      <c r="F1045" t="s">
        <v>621</v>
      </c>
      <c r="G1045" s="4">
        <v>81059</v>
      </c>
      <c r="H1045" s="4"/>
      <c r="I1045" s="4"/>
      <c r="J1045" s="4">
        <f>SUM(G1045:I1045)</f>
        <v>81059</v>
      </c>
      <c r="K1045" t="s">
        <v>1659</v>
      </c>
      <c r="L1045" t="s">
        <v>1659</v>
      </c>
      <c r="M1045" t="s">
        <v>621</v>
      </c>
      <c r="N1045" t="s">
        <v>1132</v>
      </c>
      <c r="O1045" t="s">
        <v>1132</v>
      </c>
      <c r="P1045" t="str">
        <f>IFERROR(VLOOKUP(F1045,Sheet1!$A$2:$B$54,2,FALSE),"")</f>
        <v/>
      </c>
    </row>
    <row r="1046" spans="1:16" x14ac:dyDescent="0.2">
      <c r="A1046" s="1">
        <v>2021</v>
      </c>
      <c r="B1046" t="s">
        <v>125</v>
      </c>
      <c r="C1046" s="10" t="s">
        <v>1678</v>
      </c>
      <c r="D1046" s="10" t="s">
        <v>1679</v>
      </c>
      <c r="E1046" s="10" t="s">
        <v>1682</v>
      </c>
      <c r="F1046" t="s">
        <v>622</v>
      </c>
      <c r="G1046" s="4">
        <v>3402</v>
      </c>
      <c r="H1046" s="4"/>
      <c r="I1046" s="4"/>
      <c r="J1046" s="4">
        <f>SUM(G1046:I1046)</f>
        <v>3402</v>
      </c>
      <c r="K1046" t="s">
        <v>1659</v>
      </c>
      <c r="L1046" t="s">
        <v>1659</v>
      </c>
      <c r="M1046" t="s">
        <v>622</v>
      </c>
      <c r="N1046" t="s">
        <v>1132</v>
      </c>
      <c r="O1046" t="s">
        <v>1132</v>
      </c>
      <c r="P1046" t="str">
        <f>IFERROR(VLOOKUP(F1046,Sheet1!$A$2:$B$54,2,FALSE),"")</f>
        <v/>
      </c>
    </row>
    <row r="1047" spans="1:16" x14ac:dyDescent="0.2">
      <c r="A1047" s="1">
        <v>2022</v>
      </c>
      <c r="B1047" t="s">
        <v>125</v>
      </c>
      <c r="C1047" s="10" t="s">
        <v>1678</v>
      </c>
      <c r="D1047" s="10" t="s">
        <v>1679</v>
      </c>
      <c r="E1047" s="10" t="s">
        <v>1682</v>
      </c>
      <c r="F1047" t="s">
        <v>622</v>
      </c>
      <c r="G1047" s="4">
        <v>6067</v>
      </c>
      <c r="H1047" s="4"/>
      <c r="I1047" s="4"/>
      <c r="J1047" s="4">
        <f>SUM(G1047:I1047)</f>
        <v>6067</v>
      </c>
      <c r="K1047" t="s">
        <v>1659</v>
      </c>
      <c r="L1047" t="s">
        <v>1659</v>
      </c>
      <c r="M1047" t="s">
        <v>622</v>
      </c>
      <c r="N1047" t="s">
        <v>1132</v>
      </c>
      <c r="O1047" t="s">
        <v>1132</v>
      </c>
      <c r="P1047" t="str">
        <f>IFERROR(VLOOKUP(F1047,Sheet1!$A$2:$B$54,2,FALSE),"")</f>
        <v/>
      </c>
    </row>
    <row r="1048" spans="1:16" x14ac:dyDescent="0.2">
      <c r="A1048" s="1">
        <v>2023</v>
      </c>
      <c r="B1048" t="s">
        <v>125</v>
      </c>
      <c r="C1048" s="10" t="s">
        <v>1678</v>
      </c>
      <c r="D1048" s="10" t="s">
        <v>1679</v>
      </c>
      <c r="E1048" s="10" t="s">
        <v>1682</v>
      </c>
      <c r="F1048" t="s">
        <v>622</v>
      </c>
      <c r="G1048" s="4">
        <v>6404</v>
      </c>
      <c r="H1048" s="4"/>
      <c r="I1048" s="4"/>
      <c r="J1048" s="4">
        <f>SUM(G1048:I1048)</f>
        <v>6404</v>
      </c>
      <c r="K1048" t="s">
        <v>1659</v>
      </c>
      <c r="L1048" t="s">
        <v>1659</v>
      </c>
      <c r="M1048" t="s">
        <v>622</v>
      </c>
      <c r="N1048" t="s">
        <v>1132</v>
      </c>
      <c r="O1048" t="s">
        <v>1132</v>
      </c>
      <c r="P1048" t="str">
        <f>IFERROR(VLOOKUP(F1048,Sheet1!$A$2:$B$54,2,FALSE),"")</f>
        <v/>
      </c>
    </row>
    <row r="1049" spans="1:16" x14ac:dyDescent="0.2">
      <c r="A1049" s="1">
        <v>2021</v>
      </c>
      <c r="B1049" t="s">
        <v>126</v>
      </c>
      <c r="C1049" s="10" t="s">
        <v>1678</v>
      </c>
      <c r="D1049" s="10" t="s">
        <v>1679</v>
      </c>
      <c r="E1049" s="10" t="s">
        <v>1682</v>
      </c>
      <c r="F1049" t="s">
        <v>623</v>
      </c>
      <c r="G1049" s="4">
        <v>22167</v>
      </c>
      <c r="H1049" s="4">
        <v>50866</v>
      </c>
      <c r="I1049" s="4"/>
      <c r="J1049" s="4">
        <f>SUM(G1049:I1049)</f>
        <v>73033</v>
      </c>
      <c r="K1049" t="s">
        <v>1660</v>
      </c>
      <c r="L1049" t="s">
        <v>1659</v>
      </c>
      <c r="M1049" t="s">
        <v>623</v>
      </c>
      <c r="N1049" t="s">
        <v>623</v>
      </c>
      <c r="O1049" t="s">
        <v>1132</v>
      </c>
      <c r="P1049" t="str">
        <f>IFERROR(VLOOKUP(F1049,Sheet1!$A$2:$B$54,2,FALSE),"")</f>
        <v/>
      </c>
    </row>
    <row r="1050" spans="1:16" x14ac:dyDescent="0.2">
      <c r="A1050" s="1">
        <v>2022</v>
      </c>
      <c r="B1050" t="s">
        <v>126</v>
      </c>
      <c r="C1050" s="10" t="s">
        <v>1678</v>
      </c>
      <c r="D1050" s="10" t="s">
        <v>1679</v>
      </c>
      <c r="E1050" s="10" t="s">
        <v>1682</v>
      </c>
      <c r="F1050" t="s">
        <v>623</v>
      </c>
      <c r="G1050" s="4">
        <v>117223</v>
      </c>
      <c r="H1050" s="4">
        <v>239333</v>
      </c>
      <c r="I1050" s="4"/>
      <c r="J1050" s="4">
        <f>SUM(G1050:I1050)</f>
        <v>356556</v>
      </c>
      <c r="K1050" t="s">
        <v>1660</v>
      </c>
      <c r="L1050" t="s">
        <v>1659</v>
      </c>
      <c r="M1050" t="s">
        <v>623</v>
      </c>
      <c r="N1050" t="s">
        <v>623</v>
      </c>
      <c r="O1050" t="s">
        <v>1132</v>
      </c>
      <c r="P1050" t="str">
        <f>IFERROR(VLOOKUP(F1050,Sheet1!$A$2:$B$54,2,FALSE),"")</f>
        <v/>
      </c>
    </row>
    <row r="1051" spans="1:16" x14ac:dyDescent="0.2">
      <c r="A1051" s="1">
        <v>2023</v>
      </c>
      <c r="B1051" t="s">
        <v>126</v>
      </c>
      <c r="C1051" s="10" t="s">
        <v>1678</v>
      </c>
      <c r="D1051" s="10" t="s">
        <v>1679</v>
      </c>
      <c r="E1051" s="10" t="s">
        <v>1682</v>
      </c>
      <c r="F1051" t="s">
        <v>623</v>
      </c>
      <c r="G1051" s="4">
        <v>151418</v>
      </c>
      <c r="H1051" s="4">
        <v>285699</v>
      </c>
      <c r="I1051" s="4"/>
      <c r="J1051" s="4">
        <f>SUM(G1051:I1051)</f>
        <v>437117</v>
      </c>
      <c r="K1051" t="s">
        <v>1660</v>
      </c>
      <c r="L1051" t="s">
        <v>1659</v>
      </c>
      <c r="M1051" t="s">
        <v>623</v>
      </c>
      <c r="N1051" t="s">
        <v>623</v>
      </c>
      <c r="O1051" t="s">
        <v>1132</v>
      </c>
      <c r="P1051" t="str">
        <f>IFERROR(VLOOKUP(F1051,Sheet1!$A$2:$B$54,2,FALSE),"")</f>
        <v/>
      </c>
    </row>
    <row r="1052" spans="1:16" x14ac:dyDescent="0.2">
      <c r="A1052" s="1">
        <v>2019</v>
      </c>
      <c r="B1052" t="s">
        <v>127</v>
      </c>
      <c r="C1052" s="10" t="s">
        <v>1678</v>
      </c>
      <c r="D1052" s="10" t="s">
        <v>1679</v>
      </c>
      <c r="E1052" s="10" t="s">
        <v>1682</v>
      </c>
      <c r="F1052" t="s">
        <v>624</v>
      </c>
      <c r="G1052" s="4">
        <v>1079</v>
      </c>
      <c r="H1052" s="4"/>
      <c r="I1052" s="4"/>
      <c r="J1052" s="4">
        <f>SUM(G1052:I1052)</f>
        <v>1079</v>
      </c>
      <c r="K1052" t="s">
        <v>1659</v>
      </c>
      <c r="L1052" t="s">
        <v>1659</v>
      </c>
      <c r="M1052" t="s">
        <v>1161</v>
      </c>
      <c r="N1052" t="s">
        <v>1132</v>
      </c>
      <c r="O1052" t="s">
        <v>1132</v>
      </c>
      <c r="P1052" t="str">
        <f>IFERROR(VLOOKUP(F1052,Sheet1!$A$2:$B$54,2,FALSE),"")</f>
        <v/>
      </c>
    </row>
    <row r="1053" spans="1:16" x14ac:dyDescent="0.2">
      <c r="A1053" s="1">
        <v>2020</v>
      </c>
      <c r="B1053" t="s">
        <v>127</v>
      </c>
      <c r="C1053" s="10" t="s">
        <v>1678</v>
      </c>
      <c r="D1053" s="10" t="s">
        <v>1679</v>
      </c>
      <c r="E1053" s="10" t="s">
        <v>1682</v>
      </c>
      <c r="F1053" t="s">
        <v>624</v>
      </c>
      <c r="G1053" s="4">
        <v>2451</v>
      </c>
      <c r="H1053" s="4"/>
      <c r="I1053" s="4"/>
      <c r="J1053" s="4">
        <f>SUM(G1053:I1053)</f>
        <v>2451</v>
      </c>
      <c r="K1053" t="s">
        <v>1659</v>
      </c>
      <c r="L1053" t="s">
        <v>1659</v>
      </c>
      <c r="M1053" t="s">
        <v>1161</v>
      </c>
      <c r="N1053" t="s">
        <v>1132</v>
      </c>
      <c r="O1053" t="s">
        <v>1132</v>
      </c>
      <c r="P1053" t="str">
        <f>IFERROR(VLOOKUP(F1053,Sheet1!$A$2:$B$54,2,FALSE),"")</f>
        <v/>
      </c>
    </row>
    <row r="1054" spans="1:16" x14ac:dyDescent="0.2">
      <c r="A1054" s="1">
        <v>2021</v>
      </c>
      <c r="B1054" t="s">
        <v>127</v>
      </c>
      <c r="C1054" s="10" t="s">
        <v>1678</v>
      </c>
      <c r="D1054" s="10" t="s">
        <v>1679</v>
      </c>
      <c r="E1054" s="10" t="s">
        <v>1682</v>
      </c>
      <c r="F1054" t="s">
        <v>624</v>
      </c>
      <c r="G1054" s="4">
        <v>2716</v>
      </c>
      <c r="H1054" s="4"/>
      <c r="I1054" s="4"/>
      <c r="J1054" s="4">
        <f>SUM(G1054:I1054)</f>
        <v>2716</v>
      </c>
      <c r="K1054" t="s">
        <v>1659</v>
      </c>
      <c r="L1054" t="s">
        <v>1659</v>
      </c>
      <c r="M1054" t="s">
        <v>624</v>
      </c>
      <c r="N1054" t="s">
        <v>1132</v>
      </c>
      <c r="O1054" t="s">
        <v>1132</v>
      </c>
      <c r="P1054" t="str">
        <f>IFERROR(VLOOKUP(F1054,Sheet1!$A$2:$B$54,2,FALSE),"")</f>
        <v/>
      </c>
    </row>
    <row r="1055" spans="1:16" x14ac:dyDescent="0.2">
      <c r="A1055" s="1">
        <v>2022</v>
      </c>
      <c r="B1055" t="s">
        <v>127</v>
      </c>
      <c r="C1055" s="10" t="s">
        <v>1678</v>
      </c>
      <c r="D1055" s="10" t="s">
        <v>1679</v>
      </c>
      <c r="E1055" s="10" t="s">
        <v>1682</v>
      </c>
      <c r="F1055" t="s">
        <v>624</v>
      </c>
      <c r="G1055" s="4">
        <v>3351</v>
      </c>
      <c r="H1055" s="4"/>
      <c r="I1055" s="4"/>
      <c r="J1055" s="4">
        <f>SUM(G1055:I1055)</f>
        <v>3351</v>
      </c>
      <c r="K1055" t="s">
        <v>1659</v>
      </c>
      <c r="L1055" t="s">
        <v>1659</v>
      </c>
      <c r="M1055" t="s">
        <v>624</v>
      </c>
      <c r="N1055" t="s">
        <v>1132</v>
      </c>
      <c r="O1055" t="s">
        <v>1132</v>
      </c>
      <c r="P1055" t="str">
        <f>IFERROR(VLOOKUP(F1055,Sheet1!$A$2:$B$54,2,FALSE),"")</f>
        <v/>
      </c>
    </row>
    <row r="1056" spans="1:16" x14ac:dyDescent="0.2">
      <c r="A1056" s="1">
        <v>2023</v>
      </c>
      <c r="B1056" t="s">
        <v>127</v>
      </c>
      <c r="C1056" s="10" t="s">
        <v>1678</v>
      </c>
      <c r="D1056" s="10" t="s">
        <v>1679</v>
      </c>
      <c r="E1056" s="10" t="s">
        <v>1682</v>
      </c>
      <c r="F1056" t="s">
        <v>624</v>
      </c>
      <c r="G1056" s="4">
        <v>8279</v>
      </c>
      <c r="H1056" s="4"/>
      <c r="I1056" s="4"/>
      <c r="J1056" s="4">
        <f>SUM(G1056:I1056)</f>
        <v>8279</v>
      </c>
      <c r="K1056" t="s">
        <v>1659</v>
      </c>
      <c r="L1056" t="s">
        <v>1659</v>
      </c>
      <c r="M1056" t="s">
        <v>624</v>
      </c>
      <c r="N1056" t="s">
        <v>1132</v>
      </c>
      <c r="O1056" t="s">
        <v>1132</v>
      </c>
      <c r="P1056" t="str">
        <f>IFERROR(VLOOKUP(F1056,Sheet1!$A$2:$B$54,2,FALSE),"")</f>
        <v/>
      </c>
    </row>
    <row r="1057" spans="1:16" x14ac:dyDescent="0.2">
      <c r="A1057" s="1">
        <v>2015</v>
      </c>
      <c r="B1057" t="s">
        <v>128</v>
      </c>
      <c r="C1057" s="10" t="s">
        <v>1678</v>
      </c>
      <c r="D1057" s="10" t="s">
        <v>1679</v>
      </c>
      <c r="E1057" s="10" t="s">
        <v>1682</v>
      </c>
      <c r="F1057" t="s">
        <v>625</v>
      </c>
      <c r="G1057" s="4">
        <v>2077</v>
      </c>
      <c r="H1057" s="4"/>
      <c r="I1057" s="4"/>
      <c r="J1057" s="4">
        <f>SUM(G1057:I1057)</f>
        <v>2077</v>
      </c>
      <c r="K1057" t="s">
        <v>1659</v>
      </c>
      <c r="L1057" t="s">
        <v>1659</v>
      </c>
      <c r="M1057" t="s">
        <v>1162</v>
      </c>
      <c r="N1057" t="s">
        <v>1132</v>
      </c>
      <c r="O1057" t="s">
        <v>1132</v>
      </c>
      <c r="P1057" t="str">
        <f>IFERROR(VLOOKUP(F1057,Sheet1!$A$2:$B$54,2,FALSE),"")</f>
        <v/>
      </c>
    </row>
    <row r="1058" spans="1:16" x14ac:dyDescent="0.2">
      <c r="A1058" s="1">
        <v>2016</v>
      </c>
      <c r="B1058" t="s">
        <v>128</v>
      </c>
      <c r="C1058" s="10" t="s">
        <v>1678</v>
      </c>
      <c r="D1058" s="10" t="s">
        <v>1679</v>
      </c>
      <c r="E1058" s="10" t="s">
        <v>1682</v>
      </c>
      <c r="F1058" t="s">
        <v>625</v>
      </c>
      <c r="G1058" s="4">
        <v>2243</v>
      </c>
      <c r="H1058" s="4"/>
      <c r="I1058" s="4"/>
      <c r="J1058" s="4">
        <f>SUM(G1058:I1058)</f>
        <v>2243</v>
      </c>
      <c r="K1058" t="s">
        <v>1659</v>
      </c>
      <c r="L1058" t="s">
        <v>1659</v>
      </c>
      <c r="M1058" t="s">
        <v>1162</v>
      </c>
      <c r="N1058" t="s">
        <v>1132</v>
      </c>
      <c r="O1058" t="s">
        <v>1132</v>
      </c>
      <c r="P1058" t="str">
        <f>IFERROR(VLOOKUP(F1058,Sheet1!$A$2:$B$54,2,FALSE),"")</f>
        <v/>
      </c>
    </row>
    <row r="1059" spans="1:16" x14ac:dyDescent="0.2">
      <c r="A1059" s="1">
        <v>2017</v>
      </c>
      <c r="B1059" t="s">
        <v>128</v>
      </c>
      <c r="C1059" s="10" t="s">
        <v>1678</v>
      </c>
      <c r="D1059" s="10" t="s">
        <v>1679</v>
      </c>
      <c r="E1059" s="10" t="s">
        <v>1682</v>
      </c>
      <c r="F1059" t="s">
        <v>625</v>
      </c>
      <c r="G1059" s="4">
        <v>2808</v>
      </c>
      <c r="H1059" s="4"/>
      <c r="I1059" s="4"/>
      <c r="J1059" s="4">
        <f>SUM(G1059:I1059)</f>
        <v>2808</v>
      </c>
      <c r="K1059" t="s">
        <v>1659</v>
      </c>
      <c r="L1059" t="s">
        <v>1659</v>
      </c>
      <c r="M1059" t="s">
        <v>1162</v>
      </c>
      <c r="N1059" t="s">
        <v>1132</v>
      </c>
      <c r="O1059" t="s">
        <v>1132</v>
      </c>
      <c r="P1059" t="str">
        <f>IFERROR(VLOOKUP(F1059,Sheet1!$A$2:$B$54,2,FALSE),"")</f>
        <v/>
      </c>
    </row>
    <row r="1060" spans="1:16" x14ac:dyDescent="0.2">
      <c r="A1060" s="1">
        <v>2018</v>
      </c>
      <c r="B1060" t="s">
        <v>128</v>
      </c>
      <c r="C1060" s="10" t="s">
        <v>1678</v>
      </c>
      <c r="D1060" s="10" t="s">
        <v>1679</v>
      </c>
      <c r="E1060" s="10" t="s">
        <v>1682</v>
      </c>
      <c r="F1060" t="s">
        <v>625</v>
      </c>
      <c r="G1060" s="4">
        <v>2854</v>
      </c>
      <c r="H1060" s="4"/>
      <c r="I1060" s="4"/>
      <c r="J1060" s="4">
        <f>SUM(G1060:I1060)</f>
        <v>2854</v>
      </c>
      <c r="K1060" t="s">
        <v>1659</v>
      </c>
      <c r="L1060" t="s">
        <v>1659</v>
      </c>
      <c r="M1060" t="s">
        <v>1162</v>
      </c>
      <c r="N1060" t="s">
        <v>1132</v>
      </c>
      <c r="O1060" t="s">
        <v>1132</v>
      </c>
      <c r="P1060" t="str">
        <f>IFERROR(VLOOKUP(F1060,Sheet1!$A$2:$B$54,2,FALSE),"")</f>
        <v/>
      </c>
    </row>
    <row r="1061" spans="1:16" x14ac:dyDescent="0.2">
      <c r="A1061" s="1">
        <v>2019</v>
      </c>
      <c r="B1061" t="s">
        <v>128</v>
      </c>
      <c r="C1061" s="10" t="s">
        <v>1678</v>
      </c>
      <c r="D1061" s="10" t="s">
        <v>1679</v>
      </c>
      <c r="E1061" s="10" t="s">
        <v>1682</v>
      </c>
      <c r="F1061" t="s">
        <v>625</v>
      </c>
      <c r="G1061" s="4">
        <v>4357</v>
      </c>
      <c r="H1061" s="4"/>
      <c r="I1061" s="4"/>
      <c r="J1061" s="4">
        <f>SUM(G1061:I1061)</f>
        <v>4357</v>
      </c>
      <c r="K1061" t="s">
        <v>1659</v>
      </c>
      <c r="L1061" t="s">
        <v>1659</v>
      </c>
      <c r="M1061" t="s">
        <v>1162</v>
      </c>
      <c r="N1061" t="s">
        <v>1132</v>
      </c>
      <c r="O1061" t="s">
        <v>1132</v>
      </c>
      <c r="P1061" t="str">
        <f>IFERROR(VLOOKUP(F1061,Sheet1!$A$2:$B$54,2,FALSE),"")</f>
        <v/>
      </c>
    </row>
    <row r="1062" spans="1:16" x14ac:dyDescent="0.2">
      <c r="A1062" s="1">
        <v>2020</v>
      </c>
      <c r="B1062" t="s">
        <v>128</v>
      </c>
      <c r="C1062" s="10" t="s">
        <v>1678</v>
      </c>
      <c r="D1062" s="10" t="s">
        <v>1679</v>
      </c>
      <c r="E1062" s="10" t="s">
        <v>1682</v>
      </c>
      <c r="F1062" t="s">
        <v>625</v>
      </c>
      <c r="G1062" s="4">
        <v>5962</v>
      </c>
      <c r="H1062" s="4"/>
      <c r="I1062" s="4"/>
      <c r="J1062" s="4">
        <f>SUM(G1062:I1062)</f>
        <v>5962</v>
      </c>
      <c r="K1062" t="s">
        <v>1659</v>
      </c>
      <c r="L1062" t="s">
        <v>1659</v>
      </c>
      <c r="M1062" t="s">
        <v>1162</v>
      </c>
      <c r="N1062" t="s">
        <v>1132</v>
      </c>
      <c r="O1062" t="s">
        <v>1132</v>
      </c>
      <c r="P1062" t="str">
        <f>IFERROR(VLOOKUP(F1062,Sheet1!$A$2:$B$54,2,FALSE),"")</f>
        <v/>
      </c>
    </row>
    <row r="1063" spans="1:16" x14ac:dyDescent="0.2">
      <c r="A1063" s="1">
        <v>2021</v>
      </c>
      <c r="B1063" t="s">
        <v>128</v>
      </c>
      <c r="C1063" s="10" t="s">
        <v>1678</v>
      </c>
      <c r="D1063" s="10" t="s">
        <v>1679</v>
      </c>
      <c r="E1063" s="10" t="s">
        <v>1682</v>
      </c>
      <c r="F1063" t="s">
        <v>625</v>
      </c>
      <c r="G1063" s="4">
        <v>11341</v>
      </c>
      <c r="H1063" s="4"/>
      <c r="I1063" s="4"/>
      <c r="J1063" s="4">
        <f>SUM(G1063:I1063)</f>
        <v>11341</v>
      </c>
      <c r="K1063" t="s">
        <v>1659</v>
      </c>
      <c r="L1063" t="s">
        <v>1659</v>
      </c>
      <c r="M1063" t="s">
        <v>625</v>
      </c>
      <c r="N1063" t="s">
        <v>1132</v>
      </c>
      <c r="O1063" t="s">
        <v>1132</v>
      </c>
      <c r="P1063" t="str">
        <f>IFERROR(VLOOKUP(F1063,Sheet1!$A$2:$B$54,2,FALSE),"")</f>
        <v/>
      </c>
    </row>
    <row r="1064" spans="1:16" x14ac:dyDescent="0.2">
      <c r="A1064" s="1">
        <v>2022</v>
      </c>
      <c r="B1064" t="s">
        <v>128</v>
      </c>
      <c r="C1064" s="10" t="s">
        <v>1678</v>
      </c>
      <c r="D1064" s="10" t="s">
        <v>1679</v>
      </c>
      <c r="E1064" s="10" t="s">
        <v>1682</v>
      </c>
      <c r="F1064" t="s">
        <v>625</v>
      </c>
      <c r="G1064" s="4">
        <v>13655</v>
      </c>
      <c r="H1064" s="4"/>
      <c r="I1064" s="4"/>
      <c r="J1064" s="4">
        <f>SUM(G1064:I1064)</f>
        <v>13655</v>
      </c>
      <c r="K1064" t="s">
        <v>1659</v>
      </c>
      <c r="L1064" t="s">
        <v>1659</v>
      </c>
      <c r="M1064" t="s">
        <v>625</v>
      </c>
      <c r="N1064" t="s">
        <v>1132</v>
      </c>
      <c r="O1064" t="s">
        <v>1132</v>
      </c>
      <c r="P1064" t="str">
        <f>IFERROR(VLOOKUP(F1064,Sheet1!$A$2:$B$54,2,FALSE),"")</f>
        <v/>
      </c>
    </row>
    <row r="1065" spans="1:16" x14ac:dyDescent="0.2">
      <c r="A1065" s="1">
        <v>2023</v>
      </c>
      <c r="B1065" t="s">
        <v>128</v>
      </c>
      <c r="C1065" s="10" t="s">
        <v>1678</v>
      </c>
      <c r="D1065" s="10" t="s">
        <v>1679</v>
      </c>
      <c r="E1065" s="10" t="s">
        <v>1682</v>
      </c>
      <c r="F1065" t="s">
        <v>625</v>
      </c>
      <c r="G1065" s="4">
        <v>9680</v>
      </c>
      <c r="H1065" s="4"/>
      <c r="I1065" s="4"/>
      <c r="J1065" s="4">
        <f>SUM(G1065:I1065)</f>
        <v>9680</v>
      </c>
      <c r="K1065" t="s">
        <v>1659</v>
      </c>
      <c r="L1065" t="s">
        <v>1659</v>
      </c>
      <c r="M1065" t="s">
        <v>625</v>
      </c>
      <c r="N1065" t="s">
        <v>1132</v>
      </c>
      <c r="O1065" t="s">
        <v>1132</v>
      </c>
      <c r="P1065" t="str">
        <f>IFERROR(VLOOKUP(F1065,Sheet1!$A$2:$B$54,2,FALSE),"")</f>
        <v/>
      </c>
    </row>
    <row r="1066" spans="1:16" x14ac:dyDescent="0.2">
      <c r="A1066" s="1">
        <v>2015</v>
      </c>
      <c r="B1066" t="s">
        <v>129</v>
      </c>
      <c r="C1066" s="10" t="s">
        <v>1678</v>
      </c>
      <c r="D1066" s="10" t="s">
        <v>1679</v>
      </c>
      <c r="E1066" s="10" t="s">
        <v>1682</v>
      </c>
      <c r="F1066" t="s">
        <v>626</v>
      </c>
      <c r="G1066" s="4">
        <v>41327</v>
      </c>
      <c r="H1066" s="4"/>
      <c r="I1066" s="4"/>
      <c r="J1066" s="4">
        <f>SUM(G1066:I1066)</f>
        <v>41327</v>
      </c>
      <c r="K1066" t="s">
        <v>1659</v>
      </c>
      <c r="L1066" t="s">
        <v>1659</v>
      </c>
      <c r="M1066" t="s">
        <v>1163</v>
      </c>
      <c r="N1066" t="s">
        <v>1132</v>
      </c>
      <c r="O1066" t="s">
        <v>1132</v>
      </c>
      <c r="P1066" t="str">
        <f>IFERROR(VLOOKUP(F1066,Sheet1!$A$2:$B$54,2,FALSE),"")</f>
        <v/>
      </c>
    </row>
    <row r="1067" spans="1:16" x14ac:dyDescent="0.2">
      <c r="A1067" s="1">
        <v>2016</v>
      </c>
      <c r="B1067" t="s">
        <v>129</v>
      </c>
      <c r="C1067" s="10" t="s">
        <v>1678</v>
      </c>
      <c r="D1067" s="10" t="s">
        <v>1679</v>
      </c>
      <c r="E1067" s="10" t="s">
        <v>1682</v>
      </c>
      <c r="F1067" t="s">
        <v>626</v>
      </c>
      <c r="G1067" s="4">
        <v>60188</v>
      </c>
      <c r="H1067" s="4"/>
      <c r="I1067" s="4"/>
      <c r="J1067" s="4">
        <f>SUM(G1067:I1067)</f>
        <v>60188</v>
      </c>
      <c r="K1067" t="s">
        <v>1659</v>
      </c>
      <c r="L1067" t="s">
        <v>1659</v>
      </c>
      <c r="M1067" t="s">
        <v>1163</v>
      </c>
      <c r="N1067" t="s">
        <v>1132</v>
      </c>
      <c r="O1067" t="s">
        <v>1132</v>
      </c>
      <c r="P1067" t="str">
        <f>IFERROR(VLOOKUP(F1067,Sheet1!$A$2:$B$54,2,FALSE),"")</f>
        <v/>
      </c>
    </row>
    <row r="1068" spans="1:16" x14ac:dyDescent="0.2">
      <c r="A1068" s="1">
        <v>2017</v>
      </c>
      <c r="B1068" t="s">
        <v>129</v>
      </c>
      <c r="C1068" s="10" t="s">
        <v>1678</v>
      </c>
      <c r="D1068" s="10" t="s">
        <v>1679</v>
      </c>
      <c r="E1068" s="10" t="s">
        <v>1682</v>
      </c>
      <c r="F1068" t="s">
        <v>626</v>
      </c>
      <c r="G1068" s="4">
        <v>69401</v>
      </c>
      <c r="H1068" s="4"/>
      <c r="I1068" s="4"/>
      <c r="J1068" s="4">
        <f>SUM(G1068:I1068)</f>
        <v>69401</v>
      </c>
      <c r="K1068" t="s">
        <v>1659</v>
      </c>
      <c r="L1068" t="s">
        <v>1659</v>
      </c>
      <c r="M1068" t="s">
        <v>1163</v>
      </c>
      <c r="N1068" t="s">
        <v>1132</v>
      </c>
      <c r="O1068" t="s">
        <v>1132</v>
      </c>
      <c r="P1068" t="str">
        <f>IFERROR(VLOOKUP(F1068,Sheet1!$A$2:$B$54,2,FALSE),"")</f>
        <v/>
      </c>
    </row>
    <row r="1069" spans="1:16" x14ac:dyDescent="0.2">
      <c r="A1069" s="1">
        <v>2018</v>
      </c>
      <c r="B1069" t="s">
        <v>129</v>
      </c>
      <c r="C1069" s="10" t="s">
        <v>1678</v>
      </c>
      <c r="D1069" s="10" t="s">
        <v>1679</v>
      </c>
      <c r="E1069" s="10" t="s">
        <v>1682</v>
      </c>
      <c r="F1069" t="s">
        <v>626</v>
      </c>
      <c r="G1069" s="4">
        <v>70745</v>
      </c>
      <c r="H1069" s="4"/>
      <c r="I1069" s="4"/>
      <c r="J1069" s="4">
        <f>SUM(G1069:I1069)</f>
        <v>70745</v>
      </c>
      <c r="K1069" t="s">
        <v>1659</v>
      </c>
      <c r="L1069" t="s">
        <v>1659</v>
      </c>
      <c r="M1069" t="s">
        <v>1163</v>
      </c>
      <c r="N1069" t="s">
        <v>1132</v>
      </c>
      <c r="O1069" t="s">
        <v>1132</v>
      </c>
      <c r="P1069" t="str">
        <f>IFERROR(VLOOKUP(F1069,Sheet1!$A$2:$B$54,2,FALSE),"")</f>
        <v/>
      </c>
    </row>
    <row r="1070" spans="1:16" x14ac:dyDescent="0.2">
      <c r="A1070" s="1">
        <v>2019</v>
      </c>
      <c r="B1070" t="s">
        <v>129</v>
      </c>
      <c r="C1070" s="10" t="s">
        <v>1678</v>
      </c>
      <c r="D1070" s="10" t="s">
        <v>1679</v>
      </c>
      <c r="E1070" s="10" t="s">
        <v>1682</v>
      </c>
      <c r="F1070" t="s">
        <v>626</v>
      </c>
      <c r="G1070" s="4">
        <v>75509</v>
      </c>
      <c r="H1070" s="4"/>
      <c r="I1070" s="4"/>
      <c r="J1070" s="4">
        <f>SUM(G1070:I1070)</f>
        <v>75509</v>
      </c>
      <c r="K1070" t="s">
        <v>1659</v>
      </c>
      <c r="L1070" t="s">
        <v>1659</v>
      </c>
      <c r="M1070" t="s">
        <v>1163</v>
      </c>
      <c r="N1070" t="s">
        <v>1132</v>
      </c>
      <c r="O1070" t="s">
        <v>1132</v>
      </c>
      <c r="P1070" t="str">
        <f>IFERROR(VLOOKUP(F1070,Sheet1!$A$2:$B$54,2,FALSE),"")</f>
        <v/>
      </c>
    </row>
    <row r="1071" spans="1:16" x14ac:dyDescent="0.2">
      <c r="A1071" s="1">
        <v>2020</v>
      </c>
      <c r="B1071" t="s">
        <v>129</v>
      </c>
      <c r="C1071" s="10" t="s">
        <v>1678</v>
      </c>
      <c r="D1071" s="10" t="s">
        <v>1679</v>
      </c>
      <c r="E1071" s="10" t="s">
        <v>1682</v>
      </c>
      <c r="F1071" t="s">
        <v>626</v>
      </c>
      <c r="G1071" s="4">
        <v>78185</v>
      </c>
      <c r="H1071" s="4"/>
      <c r="I1071" s="4"/>
      <c r="J1071" s="4">
        <f>SUM(G1071:I1071)</f>
        <v>78185</v>
      </c>
      <c r="K1071" t="s">
        <v>1659</v>
      </c>
      <c r="L1071" t="s">
        <v>1659</v>
      </c>
      <c r="M1071" t="s">
        <v>1163</v>
      </c>
      <c r="N1071" t="s">
        <v>1132</v>
      </c>
      <c r="O1071" t="s">
        <v>1132</v>
      </c>
      <c r="P1071" t="str">
        <f>IFERROR(VLOOKUP(F1071,Sheet1!$A$2:$B$54,2,FALSE),"")</f>
        <v/>
      </c>
    </row>
    <row r="1072" spans="1:16" x14ac:dyDescent="0.2">
      <c r="A1072" s="1">
        <v>2021</v>
      </c>
      <c r="B1072" t="s">
        <v>129</v>
      </c>
      <c r="C1072" s="10" t="s">
        <v>1678</v>
      </c>
      <c r="D1072" s="10" t="s">
        <v>1679</v>
      </c>
      <c r="E1072" s="10" t="s">
        <v>1682</v>
      </c>
      <c r="F1072" t="s">
        <v>626</v>
      </c>
      <c r="G1072" s="4">
        <v>100489</v>
      </c>
      <c r="H1072" s="4"/>
      <c r="I1072" s="4"/>
      <c r="J1072" s="4">
        <f>SUM(G1072:I1072)</f>
        <v>100489</v>
      </c>
      <c r="K1072" t="s">
        <v>1659</v>
      </c>
      <c r="L1072" t="s">
        <v>1659</v>
      </c>
      <c r="M1072" t="s">
        <v>626</v>
      </c>
      <c r="N1072" t="s">
        <v>1132</v>
      </c>
      <c r="O1072" t="s">
        <v>1132</v>
      </c>
      <c r="P1072" t="str">
        <f>IFERROR(VLOOKUP(F1072,Sheet1!$A$2:$B$54,2,FALSE),"")</f>
        <v/>
      </c>
    </row>
    <row r="1073" spans="1:16" x14ac:dyDescent="0.2">
      <c r="A1073" s="1">
        <v>2022</v>
      </c>
      <c r="B1073" t="s">
        <v>129</v>
      </c>
      <c r="C1073" s="10" t="s">
        <v>1678</v>
      </c>
      <c r="D1073" s="10" t="s">
        <v>1679</v>
      </c>
      <c r="E1073" s="10" t="s">
        <v>1682</v>
      </c>
      <c r="F1073" t="s">
        <v>626</v>
      </c>
      <c r="G1073" s="4">
        <v>157225</v>
      </c>
      <c r="H1073" s="4"/>
      <c r="I1073" s="4"/>
      <c r="J1073" s="4">
        <f>SUM(G1073:I1073)</f>
        <v>157225</v>
      </c>
      <c r="K1073" t="s">
        <v>1659</v>
      </c>
      <c r="L1073" t="s">
        <v>1659</v>
      </c>
      <c r="M1073" t="s">
        <v>626</v>
      </c>
      <c r="N1073" t="s">
        <v>1132</v>
      </c>
      <c r="O1073" t="s">
        <v>1132</v>
      </c>
      <c r="P1073" t="str">
        <f>IFERROR(VLOOKUP(F1073,Sheet1!$A$2:$B$54,2,FALSE),"")</f>
        <v/>
      </c>
    </row>
    <row r="1074" spans="1:16" x14ac:dyDescent="0.2">
      <c r="A1074" s="1">
        <v>2023</v>
      </c>
      <c r="B1074" t="s">
        <v>129</v>
      </c>
      <c r="C1074" s="10" t="s">
        <v>1678</v>
      </c>
      <c r="D1074" s="10" t="s">
        <v>1679</v>
      </c>
      <c r="E1074" s="10" t="s">
        <v>1682</v>
      </c>
      <c r="F1074" t="s">
        <v>626</v>
      </c>
      <c r="G1074" s="4">
        <v>203000</v>
      </c>
      <c r="H1074" s="4"/>
      <c r="I1074" s="4"/>
      <c r="J1074" s="4">
        <f>SUM(G1074:I1074)</f>
        <v>203000</v>
      </c>
      <c r="K1074" t="s">
        <v>1659</v>
      </c>
      <c r="L1074" t="s">
        <v>1659</v>
      </c>
      <c r="M1074" t="s">
        <v>626</v>
      </c>
      <c r="N1074" t="s">
        <v>1132</v>
      </c>
      <c r="O1074" t="s">
        <v>1132</v>
      </c>
      <c r="P1074" t="str">
        <f>IFERROR(VLOOKUP(F1074,Sheet1!$A$2:$B$54,2,FALSE),"")</f>
        <v/>
      </c>
    </row>
    <row r="1075" spans="1:16" x14ac:dyDescent="0.2">
      <c r="A1075" s="1">
        <v>2016</v>
      </c>
      <c r="B1075" t="s">
        <v>130</v>
      </c>
      <c r="C1075" s="10" t="s">
        <v>1678</v>
      </c>
      <c r="D1075" s="10" t="s">
        <v>1679</v>
      </c>
      <c r="E1075" s="10" t="s">
        <v>1682</v>
      </c>
      <c r="F1075" t="s">
        <v>627</v>
      </c>
      <c r="G1075" s="4">
        <v>355</v>
      </c>
      <c r="H1075" s="4"/>
      <c r="I1075" s="4"/>
      <c r="J1075" s="4">
        <f>SUM(G1075:I1075)</f>
        <v>355</v>
      </c>
      <c r="K1075" t="s">
        <v>1659</v>
      </c>
      <c r="L1075" t="s">
        <v>1659</v>
      </c>
      <c r="M1075" t="s">
        <v>1164</v>
      </c>
      <c r="N1075" t="s">
        <v>1132</v>
      </c>
      <c r="O1075" t="s">
        <v>1132</v>
      </c>
      <c r="P1075" t="str">
        <f>IFERROR(VLOOKUP(F1075,Sheet1!$A$2:$B$54,2,FALSE),"")</f>
        <v/>
      </c>
    </row>
    <row r="1076" spans="1:16" x14ac:dyDescent="0.2">
      <c r="A1076" s="1">
        <v>2017</v>
      </c>
      <c r="B1076" t="s">
        <v>130</v>
      </c>
      <c r="C1076" s="10" t="s">
        <v>1678</v>
      </c>
      <c r="D1076" s="10" t="s">
        <v>1679</v>
      </c>
      <c r="E1076" s="10" t="s">
        <v>1682</v>
      </c>
      <c r="F1076" t="s">
        <v>627</v>
      </c>
      <c r="G1076" s="4">
        <v>736</v>
      </c>
      <c r="H1076" s="4"/>
      <c r="I1076" s="4"/>
      <c r="J1076" s="4">
        <f>SUM(G1076:I1076)</f>
        <v>736</v>
      </c>
      <c r="K1076" t="s">
        <v>1659</v>
      </c>
      <c r="L1076" t="s">
        <v>1659</v>
      </c>
      <c r="M1076" t="s">
        <v>1164</v>
      </c>
      <c r="N1076" t="s">
        <v>1132</v>
      </c>
      <c r="O1076" t="s">
        <v>1132</v>
      </c>
      <c r="P1076" t="str">
        <f>IFERROR(VLOOKUP(F1076,Sheet1!$A$2:$B$54,2,FALSE),"")</f>
        <v/>
      </c>
    </row>
    <row r="1077" spans="1:16" x14ac:dyDescent="0.2">
      <c r="A1077" s="1">
        <v>2018</v>
      </c>
      <c r="B1077" t="s">
        <v>130</v>
      </c>
      <c r="C1077" s="10" t="s">
        <v>1678</v>
      </c>
      <c r="D1077" s="10" t="s">
        <v>1679</v>
      </c>
      <c r="E1077" s="10" t="s">
        <v>1682</v>
      </c>
      <c r="F1077" t="s">
        <v>627</v>
      </c>
      <c r="G1077" s="4">
        <v>3919</v>
      </c>
      <c r="H1077" s="4"/>
      <c r="I1077" s="4"/>
      <c r="J1077" s="4">
        <f>SUM(G1077:I1077)</f>
        <v>3919</v>
      </c>
      <c r="K1077" t="s">
        <v>1659</v>
      </c>
      <c r="L1077" t="s">
        <v>1659</v>
      </c>
      <c r="M1077" t="s">
        <v>1164</v>
      </c>
      <c r="N1077" t="s">
        <v>1132</v>
      </c>
      <c r="O1077" t="s">
        <v>1132</v>
      </c>
      <c r="P1077" t="str">
        <f>IFERROR(VLOOKUP(F1077,Sheet1!$A$2:$B$54,2,FALSE),"")</f>
        <v/>
      </c>
    </row>
    <row r="1078" spans="1:16" x14ac:dyDescent="0.2">
      <c r="A1078" s="1">
        <v>2019</v>
      </c>
      <c r="B1078" t="s">
        <v>130</v>
      </c>
      <c r="C1078" s="10" t="s">
        <v>1678</v>
      </c>
      <c r="D1078" s="10" t="s">
        <v>1679</v>
      </c>
      <c r="E1078" s="10" t="s">
        <v>1682</v>
      </c>
      <c r="F1078" t="s">
        <v>627</v>
      </c>
      <c r="G1078" s="4">
        <v>9604</v>
      </c>
      <c r="H1078" s="4"/>
      <c r="I1078" s="4"/>
      <c r="J1078" s="4">
        <f>SUM(G1078:I1078)</f>
        <v>9604</v>
      </c>
      <c r="K1078" t="s">
        <v>1659</v>
      </c>
      <c r="L1078" t="s">
        <v>1659</v>
      </c>
      <c r="M1078" t="s">
        <v>1164</v>
      </c>
      <c r="N1078" t="s">
        <v>1132</v>
      </c>
      <c r="O1078" t="s">
        <v>1132</v>
      </c>
      <c r="P1078" t="str">
        <f>IFERROR(VLOOKUP(F1078,Sheet1!$A$2:$B$54,2,FALSE),"")</f>
        <v/>
      </c>
    </row>
    <row r="1079" spans="1:16" x14ac:dyDescent="0.2">
      <c r="A1079" s="1">
        <v>2020</v>
      </c>
      <c r="B1079" t="s">
        <v>130</v>
      </c>
      <c r="C1079" s="10" t="s">
        <v>1678</v>
      </c>
      <c r="D1079" s="10" t="s">
        <v>1679</v>
      </c>
      <c r="E1079" s="10" t="s">
        <v>1682</v>
      </c>
      <c r="F1079" t="s">
        <v>627</v>
      </c>
      <c r="G1079" s="4">
        <v>12799</v>
      </c>
      <c r="H1079" s="4"/>
      <c r="I1079" s="4"/>
      <c r="J1079" s="4">
        <f>SUM(G1079:I1079)</f>
        <v>12799</v>
      </c>
      <c r="K1079" t="s">
        <v>1659</v>
      </c>
      <c r="L1079" t="s">
        <v>1659</v>
      </c>
      <c r="M1079" t="s">
        <v>1164</v>
      </c>
      <c r="N1079" t="s">
        <v>1132</v>
      </c>
      <c r="O1079" t="s">
        <v>1132</v>
      </c>
      <c r="P1079" t="str">
        <f>IFERROR(VLOOKUP(F1079,Sheet1!$A$2:$B$54,2,FALSE),"")</f>
        <v/>
      </c>
    </row>
    <row r="1080" spans="1:16" x14ac:dyDescent="0.2">
      <c r="A1080" s="1">
        <v>2021</v>
      </c>
      <c r="B1080" t="s">
        <v>130</v>
      </c>
      <c r="C1080" s="10" t="s">
        <v>1678</v>
      </c>
      <c r="D1080" s="10" t="s">
        <v>1679</v>
      </c>
      <c r="E1080" s="10" t="s">
        <v>1682</v>
      </c>
      <c r="F1080" t="s">
        <v>627</v>
      </c>
      <c r="G1080" s="4">
        <v>14333</v>
      </c>
      <c r="H1080" s="4"/>
      <c r="I1080" s="4"/>
      <c r="J1080" s="4">
        <f>SUM(G1080:I1080)</f>
        <v>14333</v>
      </c>
      <c r="K1080" t="s">
        <v>1659</v>
      </c>
      <c r="L1080" t="s">
        <v>1659</v>
      </c>
      <c r="M1080" t="s">
        <v>627</v>
      </c>
      <c r="N1080" t="s">
        <v>1132</v>
      </c>
      <c r="O1080" t="s">
        <v>1132</v>
      </c>
      <c r="P1080" t="str">
        <f>IFERROR(VLOOKUP(F1080,Sheet1!$A$2:$B$54,2,FALSE),"")</f>
        <v/>
      </c>
    </row>
    <row r="1081" spans="1:16" x14ac:dyDescent="0.2">
      <c r="A1081" s="1">
        <v>2022</v>
      </c>
      <c r="B1081" t="s">
        <v>130</v>
      </c>
      <c r="C1081" s="10" t="s">
        <v>1678</v>
      </c>
      <c r="D1081" s="10" t="s">
        <v>1679</v>
      </c>
      <c r="E1081" s="10" t="s">
        <v>1682</v>
      </c>
      <c r="F1081" t="s">
        <v>627</v>
      </c>
      <c r="G1081" s="4">
        <v>15696</v>
      </c>
      <c r="H1081" s="4"/>
      <c r="I1081" s="4"/>
      <c r="J1081" s="4">
        <f>SUM(G1081:I1081)</f>
        <v>15696</v>
      </c>
      <c r="K1081" t="s">
        <v>1659</v>
      </c>
      <c r="L1081" t="s">
        <v>1659</v>
      </c>
      <c r="M1081" t="s">
        <v>627</v>
      </c>
      <c r="N1081" t="s">
        <v>1132</v>
      </c>
      <c r="O1081" t="s">
        <v>1132</v>
      </c>
      <c r="P1081" t="str">
        <f>IFERROR(VLOOKUP(F1081,Sheet1!$A$2:$B$54,2,FALSE),"")</f>
        <v/>
      </c>
    </row>
    <row r="1082" spans="1:16" x14ac:dyDescent="0.2">
      <c r="A1082" s="1">
        <v>2023</v>
      </c>
      <c r="B1082" t="s">
        <v>130</v>
      </c>
      <c r="C1082" s="10" t="s">
        <v>1678</v>
      </c>
      <c r="D1082" s="10" t="s">
        <v>1679</v>
      </c>
      <c r="E1082" s="10" t="s">
        <v>1682</v>
      </c>
      <c r="F1082" t="s">
        <v>627</v>
      </c>
      <c r="G1082" s="4">
        <v>17152</v>
      </c>
      <c r="H1082" s="4"/>
      <c r="I1082" s="4"/>
      <c r="J1082" s="4">
        <f>SUM(G1082:I1082)</f>
        <v>17152</v>
      </c>
      <c r="K1082" t="s">
        <v>1659</v>
      </c>
      <c r="L1082" t="s">
        <v>1659</v>
      </c>
      <c r="M1082" t="s">
        <v>627</v>
      </c>
      <c r="N1082" t="s">
        <v>1132</v>
      </c>
      <c r="O1082" t="s">
        <v>1132</v>
      </c>
      <c r="P1082" t="str">
        <f>IFERROR(VLOOKUP(F1082,Sheet1!$A$2:$B$54,2,FALSE),"")</f>
        <v/>
      </c>
    </row>
    <row r="1083" spans="1:16" x14ac:dyDescent="0.2">
      <c r="A1083" s="1">
        <v>2015</v>
      </c>
      <c r="B1083" t="s">
        <v>131</v>
      </c>
      <c r="C1083" s="10" t="s">
        <v>1678</v>
      </c>
      <c r="D1083" s="10" t="s">
        <v>1679</v>
      </c>
      <c r="E1083" s="10" t="s">
        <v>1682</v>
      </c>
      <c r="F1083" t="s">
        <v>628</v>
      </c>
      <c r="G1083" s="4">
        <v>12917</v>
      </c>
      <c r="H1083" s="4">
        <v>155171</v>
      </c>
      <c r="I1083" s="4"/>
      <c r="J1083" s="4">
        <f>SUM(G1083:I1083)</f>
        <v>168088</v>
      </c>
      <c r="K1083" t="s">
        <v>1660</v>
      </c>
      <c r="L1083" t="s">
        <v>1659</v>
      </c>
      <c r="M1083" t="s">
        <v>1165</v>
      </c>
      <c r="N1083" t="s">
        <v>1166</v>
      </c>
      <c r="O1083" t="s">
        <v>1132</v>
      </c>
      <c r="P1083">
        <f>IFERROR(VLOOKUP(F1083,Sheet1!$A$2:$B$54,2,FALSE),"")</f>
        <v>4900019</v>
      </c>
    </row>
    <row r="1084" spans="1:16" x14ac:dyDescent="0.2">
      <c r="A1084" s="1">
        <v>2016</v>
      </c>
      <c r="B1084" t="s">
        <v>131</v>
      </c>
      <c r="C1084" s="10" t="s">
        <v>1678</v>
      </c>
      <c r="D1084" s="10" t="s">
        <v>1679</v>
      </c>
      <c r="E1084" s="10" t="s">
        <v>1682</v>
      </c>
      <c r="F1084" t="s">
        <v>628</v>
      </c>
      <c r="G1084" s="4">
        <v>21618</v>
      </c>
      <c r="H1084" s="4">
        <v>170737</v>
      </c>
      <c r="I1084" s="4"/>
      <c r="J1084" s="4">
        <f>SUM(G1084:I1084)</f>
        <v>192355</v>
      </c>
      <c r="K1084" t="s">
        <v>1660</v>
      </c>
      <c r="L1084" t="s">
        <v>1659</v>
      </c>
      <c r="M1084" t="s">
        <v>1165</v>
      </c>
      <c r="N1084" t="s">
        <v>1165</v>
      </c>
      <c r="O1084" t="s">
        <v>1132</v>
      </c>
      <c r="P1084">
        <f>IFERROR(VLOOKUP(F1084,Sheet1!$A$2:$B$54,2,FALSE),"")</f>
        <v>4900019</v>
      </c>
    </row>
    <row r="1085" spans="1:16" x14ac:dyDescent="0.2">
      <c r="A1085" s="1">
        <v>2017</v>
      </c>
      <c r="B1085" t="s">
        <v>131</v>
      </c>
      <c r="C1085" s="10" t="s">
        <v>1678</v>
      </c>
      <c r="D1085" s="10" t="s">
        <v>1679</v>
      </c>
      <c r="E1085" s="10" t="s">
        <v>1682</v>
      </c>
      <c r="F1085" t="s">
        <v>628</v>
      </c>
      <c r="G1085" s="4">
        <v>31523</v>
      </c>
      <c r="H1085" s="4">
        <v>187915</v>
      </c>
      <c r="I1085" s="4"/>
      <c r="J1085" s="4">
        <f>SUM(G1085:I1085)</f>
        <v>219438</v>
      </c>
      <c r="K1085" t="s">
        <v>1660</v>
      </c>
      <c r="L1085" t="s">
        <v>1659</v>
      </c>
      <c r="M1085" t="s">
        <v>1166</v>
      </c>
      <c r="N1085" t="s">
        <v>1166</v>
      </c>
      <c r="O1085" t="s">
        <v>1132</v>
      </c>
      <c r="P1085">
        <f>IFERROR(VLOOKUP(F1085,Sheet1!$A$2:$B$54,2,FALSE),"")</f>
        <v>4900019</v>
      </c>
    </row>
    <row r="1086" spans="1:16" x14ac:dyDescent="0.2">
      <c r="A1086" s="1">
        <v>2018</v>
      </c>
      <c r="B1086" t="s">
        <v>131</v>
      </c>
      <c r="C1086" s="10" t="s">
        <v>1678</v>
      </c>
      <c r="D1086" s="10" t="s">
        <v>1679</v>
      </c>
      <c r="E1086" s="10" t="s">
        <v>1682</v>
      </c>
      <c r="F1086" t="s">
        <v>628</v>
      </c>
      <c r="G1086" s="4">
        <v>39992</v>
      </c>
      <c r="H1086" s="4">
        <v>198687</v>
      </c>
      <c r="I1086" s="4"/>
      <c r="J1086" s="4">
        <f>SUM(G1086:I1086)</f>
        <v>238679</v>
      </c>
      <c r="K1086" t="s">
        <v>1660</v>
      </c>
      <c r="L1086" t="s">
        <v>1659</v>
      </c>
      <c r="M1086" t="s">
        <v>1166</v>
      </c>
      <c r="N1086" t="s">
        <v>1166</v>
      </c>
      <c r="O1086" t="s">
        <v>1132</v>
      </c>
      <c r="P1086">
        <f>IFERROR(VLOOKUP(F1086,Sheet1!$A$2:$B$54,2,FALSE),"")</f>
        <v>4900019</v>
      </c>
    </row>
    <row r="1087" spans="1:16" x14ac:dyDescent="0.2">
      <c r="A1087" s="1">
        <v>2019</v>
      </c>
      <c r="B1087" t="s">
        <v>131</v>
      </c>
      <c r="C1087" s="10" t="s">
        <v>1678</v>
      </c>
      <c r="D1087" s="10" t="s">
        <v>1679</v>
      </c>
      <c r="E1087" s="10" t="s">
        <v>1682</v>
      </c>
      <c r="F1087" t="s">
        <v>628</v>
      </c>
      <c r="G1087" s="4">
        <v>40616</v>
      </c>
      <c r="H1087" s="4">
        <v>201032</v>
      </c>
      <c r="I1087" s="4"/>
      <c r="J1087" s="4">
        <f>SUM(G1087:I1087)</f>
        <v>241648</v>
      </c>
      <c r="K1087" t="s">
        <v>1660</v>
      </c>
      <c r="L1087" t="s">
        <v>1659</v>
      </c>
      <c r="M1087" t="s">
        <v>1166</v>
      </c>
      <c r="N1087" t="s">
        <v>1166</v>
      </c>
      <c r="O1087" t="s">
        <v>1132</v>
      </c>
      <c r="P1087">
        <f>IFERROR(VLOOKUP(F1087,Sheet1!$A$2:$B$54,2,FALSE),"")</f>
        <v>4900019</v>
      </c>
    </row>
    <row r="1088" spans="1:16" x14ac:dyDescent="0.2">
      <c r="A1088" s="1">
        <v>2020</v>
      </c>
      <c r="B1088" t="s">
        <v>131</v>
      </c>
      <c r="C1088" s="10" t="s">
        <v>1678</v>
      </c>
      <c r="D1088" s="10" t="s">
        <v>1679</v>
      </c>
      <c r="E1088" s="10" t="s">
        <v>1682</v>
      </c>
      <c r="F1088" t="s">
        <v>628</v>
      </c>
      <c r="G1088" s="4">
        <v>43279</v>
      </c>
      <c r="H1088" s="4">
        <v>205794</v>
      </c>
      <c r="I1088" s="4"/>
      <c r="J1088" s="4">
        <f>SUM(G1088:I1088)</f>
        <v>249073</v>
      </c>
      <c r="K1088" t="s">
        <v>1660</v>
      </c>
      <c r="L1088" t="s">
        <v>1659</v>
      </c>
      <c r="M1088" t="s">
        <v>1166</v>
      </c>
      <c r="N1088" t="s">
        <v>1166</v>
      </c>
      <c r="O1088" t="s">
        <v>1132</v>
      </c>
      <c r="P1088">
        <f>IFERROR(VLOOKUP(F1088,Sheet1!$A$2:$B$54,2,FALSE),"")</f>
        <v>4900019</v>
      </c>
    </row>
    <row r="1089" spans="1:16" x14ac:dyDescent="0.2">
      <c r="A1089" s="1">
        <v>2021</v>
      </c>
      <c r="B1089" t="s">
        <v>131</v>
      </c>
      <c r="C1089" s="10" t="s">
        <v>1678</v>
      </c>
      <c r="D1089" s="10" t="s">
        <v>1679</v>
      </c>
      <c r="E1089" s="10" t="s">
        <v>1682</v>
      </c>
      <c r="F1089" t="s">
        <v>628</v>
      </c>
      <c r="G1089" s="4">
        <v>51051</v>
      </c>
      <c r="H1089" s="4">
        <v>227356</v>
      </c>
      <c r="I1089" s="4"/>
      <c r="J1089" s="4">
        <f>SUM(G1089:I1089)</f>
        <v>278407</v>
      </c>
      <c r="K1089" t="s">
        <v>1660</v>
      </c>
      <c r="L1089" t="s">
        <v>1659</v>
      </c>
      <c r="M1089" t="s">
        <v>628</v>
      </c>
      <c r="N1089" t="s">
        <v>628</v>
      </c>
      <c r="O1089" t="s">
        <v>1132</v>
      </c>
      <c r="P1089">
        <f>IFERROR(VLOOKUP(F1089,Sheet1!$A$2:$B$54,2,FALSE),"")</f>
        <v>4900019</v>
      </c>
    </row>
    <row r="1090" spans="1:16" x14ac:dyDescent="0.2">
      <c r="A1090" s="1">
        <v>2022</v>
      </c>
      <c r="B1090" t="s">
        <v>131</v>
      </c>
      <c r="C1090" s="10" t="s">
        <v>1678</v>
      </c>
      <c r="D1090" s="10" t="s">
        <v>1679</v>
      </c>
      <c r="E1090" s="10" t="s">
        <v>1682</v>
      </c>
      <c r="F1090" t="s">
        <v>628</v>
      </c>
      <c r="G1090" s="4">
        <v>50005</v>
      </c>
      <c r="H1090" s="4">
        <v>250430</v>
      </c>
      <c r="I1090" s="4"/>
      <c r="J1090" s="4">
        <f>SUM(G1090:I1090)</f>
        <v>300435</v>
      </c>
      <c r="K1090" t="s">
        <v>1660</v>
      </c>
      <c r="L1090" t="s">
        <v>1659</v>
      </c>
      <c r="M1090" t="s">
        <v>628</v>
      </c>
      <c r="N1090" t="s">
        <v>628</v>
      </c>
      <c r="O1090" t="s">
        <v>1132</v>
      </c>
      <c r="P1090">
        <f>IFERROR(VLOOKUP(F1090,Sheet1!$A$2:$B$54,2,FALSE),"")</f>
        <v>4900019</v>
      </c>
    </row>
    <row r="1091" spans="1:16" x14ac:dyDescent="0.2">
      <c r="A1091" s="1">
        <v>2023</v>
      </c>
      <c r="B1091" t="s">
        <v>131</v>
      </c>
      <c r="C1091" s="10" t="s">
        <v>1678</v>
      </c>
      <c r="D1091" s="10" t="s">
        <v>1679</v>
      </c>
      <c r="E1091" s="10" t="s">
        <v>1682</v>
      </c>
      <c r="F1091" t="s">
        <v>628</v>
      </c>
      <c r="G1091" s="4">
        <v>71650</v>
      </c>
      <c r="H1091" s="4">
        <v>330691</v>
      </c>
      <c r="I1091" s="4"/>
      <c r="J1091" s="4">
        <f>SUM(G1091:I1091)</f>
        <v>402341</v>
      </c>
      <c r="K1091" t="s">
        <v>1660</v>
      </c>
      <c r="L1091" t="s">
        <v>1659</v>
      </c>
      <c r="M1091" t="s">
        <v>628</v>
      </c>
      <c r="N1091" t="s">
        <v>628</v>
      </c>
      <c r="O1091" t="s">
        <v>1132</v>
      </c>
      <c r="P1091">
        <f>IFERROR(VLOOKUP(F1091,Sheet1!$A$2:$B$54,2,FALSE),"")</f>
        <v>4900019</v>
      </c>
    </row>
    <row r="1092" spans="1:16" x14ac:dyDescent="0.2">
      <c r="A1092" s="1">
        <v>2015</v>
      </c>
      <c r="B1092" t="s">
        <v>132</v>
      </c>
      <c r="C1092" s="10" t="s">
        <v>1678</v>
      </c>
      <c r="D1092" s="10" t="s">
        <v>1679</v>
      </c>
      <c r="E1092" s="10" t="s">
        <v>1682</v>
      </c>
      <c r="F1092" t="s">
        <v>629</v>
      </c>
      <c r="G1092" s="4">
        <v>3122</v>
      </c>
      <c r="H1092" s="4"/>
      <c r="I1092" s="4"/>
      <c r="J1092" s="4">
        <f>SUM(G1092:I1092)</f>
        <v>3122</v>
      </c>
      <c r="K1092" t="s">
        <v>1659</v>
      </c>
      <c r="L1092" t="s">
        <v>1659</v>
      </c>
      <c r="M1092" t="s">
        <v>1167</v>
      </c>
      <c r="N1092" t="s">
        <v>1132</v>
      </c>
      <c r="O1092" t="s">
        <v>1132</v>
      </c>
      <c r="P1092" t="str">
        <f>IFERROR(VLOOKUP(F1092,Sheet1!$A$2:$B$54,2,FALSE),"")</f>
        <v/>
      </c>
    </row>
    <row r="1093" spans="1:16" x14ac:dyDescent="0.2">
      <c r="A1093" s="1">
        <v>2016</v>
      </c>
      <c r="B1093" t="s">
        <v>132</v>
      </c>
      <c r="C1093" s="10" t="s">
        <v>1678</v>
      </c>
      <c r="D1093" s="10" t="s">
        <v>1679</v>
      </c>
      <c r="E1093" s="10" t="s">
        <v>1682</v>
      </c>
      <c r="F1093" t="s">
        <v>629</v>
      </c>
      <c r="G1093" s="4">
        <v>1827</v>
      </c>
      <c r="H1093" s="4"/>
      <c r="I1093" s="4"/>
      <c r="J1093" s="4">
        <f>SUM(G1093:I1093)</f>
        <v>1827</v>
      </c>
      <c r="K1093" t="s">
        <v>1659</v>
      </c>
      <c r="L1093" t="s">
        <v>1659</v>
      </c>
      <c r="M1093" t="s">
        <v>1167</v>
      </c>
      <c r="N1093" t="s">
        <v>1132</v>
      </c>
      <c r="O1093" t="s">
        <v>1132</v>
      </c>
      <c r="P1093" t="str">
        <f>IFERROR(VLOOKUP(F1093,Sheet1!$A$2:$B$54,2,FALSE),"")</f>
        <v/>
      </c>
    </row>
    <row r="1094" spans="1:16" x14ac:dyDescent="0.2">
      <c r="A1094" s="1">
        <v>2017</v>
      </c>
      <c r="B1094" t="s">
        <v>132</v>
      </c>
      <c r="C1094" s="10" t="s">
        <v>1678</v>
      </c>
      <c r="D1094" s="10" t="s">
        <v>1679</v>
      </c>
      <c r="E1094" s="10" t="s">
        <v>1682</v>
      </c>
      <c r="F1094" t="s">
        <v>629</v>
      </c>
      <c r="G1094" s="4">
        <v>4653</v>
      </c>
      <c r="H1094" s="4"/>
      <c r="I1094" s="4"/>
      <c r="J1094" s="4">
        <f>SUM(G1094:I1094)</f>
        <v>4653</v>
      </c>
      <c r="K1094" t="s">
        <v>1659</v>
      </c>
      <c r="L1094" t="s">
        <v>1659</v>
      </c>
      <c r="M1094" t="s">
        <v>1167</v>
      </c>
      <c r="N1094" t="s">
        <v>1132</v>
      </c>
      <c r="O1094" t="s">
        <v>1132</v>
      </c>
      <c r="P1094" t="str">
        <f>IFERROR(VLOOKUP(F1094,Sheet1!$A$2:$B$54,2,FALSE),"")</f>
        <v/>
      </c>
    </row>
    <row r="1095" spans="1:16" x14ac:dyDescent="0.2">
      <c r="A1095" s="1">
        <v>2018</v>
      </c>
      <c r="B1095" t="s">
        <v>132</v>
      </c>
      <c r="C1095" s="10" t="s">
        <v>1678</v>
      </c>
      <c r="D1095" s="10" t="s">
        <v>1679</v>
      </c>
      <c r="E1095" s="10" t="s">
        <v>1682</v>
      </c>
      <c r="F1095" t="s">
        <v>629</v>
      </c>
      <c r="G1095" s="4">
        <v>6610</v>
      </c>
      <c r="H1095" s="4"/>
      <c r="I1095" s="4"/>
      <c r="J1095" s="4">
        <f>SUM(G1095:I1095)</f>
        <v>6610</v>
      </c>
      <c r="K1095" t="s">
        <v>1659</v>
      </c>
      <c r="L1095" t="s">
        <v>1659</v>
      </c>
      <c r="M1095" t="s">
        <v>1167</v>
      </c>
      <c r="N1095" t="s">
        <v>1132</v>
      </c>
      <c r="O1095" t="s">
        <v>1132</v>
      </c>
      <c r="P1095" t="str">
        <f>IFERROR(VLOOKUP(F1095,Sheet1!$A$2:$B$54,2,FALSE),"")</f>
        <v/>
      </c>
    </row>
    <row r="1096" spans="1:16" x14ac:dyDescent="0.2">
      <c r="A1096" s="1">
        <v>2019</v>
      </c>
      <c r="B1096" t="s">
        <v>132</v>
      </c>
      <c r="C1096" s="10" t="s">
        <v>1678</v>
      </c>
      <c r="D1096" s="10" t="s">
        <v>1679</v>
      </c>
      <c r="E1096" s="10" t="s">
        <v>1682</v>
      </c>
      <c r="F1096" t="s">
        <v>629</v>
      </c>
      <c r="G1096" s="4">
        <v>6410</v>
      </c>
      <c r="H1096" s="4"/>
      <c r="I1096" s="4"/>
      <c r="J1096" s="4">
        <f>SUM(G1096:I1096)</f>
        <v>6410</v>
      </c>
      <c r="K1096" t="s">
        <v>1659</v>
      </c>
      <c r="L1096" t="s">
        <v>1659</v>
      </c>
      <c r="M1096" t="s">
        <v>1167</v>
      </c>
      <c r="N1096" t="s">
        <v>1132</v>
      </c>
      <c r="O1096" t="s">
        <v>1132</v>
      </c>
      <c r="P1096" t="str">
        <f>IFERROR(VLOOKUP(F1096,Sheet1!$A$2:$B$54,2,FALSE),"")</f>
        <v/>
      </c>
    </row>
    <row r="1097" spans="1:16" x14ac:dyDescent="0.2">
      <c r="A1097" s="1">
        <v>2020</v>
      </c>
      <c r="B1097" t="s">
        <v>132</v>
      </c>
      <c r="C1097" s="10" t="s">
        <v>1678</v>
      </c>
      <c r="D1097" s="10" t="s">
        <v>1679</v>
      </c>
      <c r="E1097" s="10" t="s">
        <v>1682</v>
      </c>
      <c r="F1097" t="s">
        <v>629</v>
      </c>
      <c r="G1097" s="4">
        <v>8491</v>
      </c>
      <c r="H1097" s="4"/>
      <c r="I1097" s="4"/>
      <c r="J1097" s="4">
        <f>SUM(G1097:I1097)</f>
        <v>8491</v>
      </c>
      <c r="K1097" t="s">
        <v>1659</v>
      </c>
      <c r="L1097" t="s">
        <v>1659</v>
      </c>
      <c r="M1097" t="s">
        <v>1167</v>
      </c>
      <c r="N1097" t="s">
        <v>1132</v>
      </c>
      <c r="O1097" t="s">
        <v>1132</v>
      </c>
      <c r="P1097" t="str">
        <f>IFERROR(VLOOKUP(F1097,Sheet1!$A$2:$B$54,2,FALSE),"")</f>
        <v/>
      </c>
    </row>
    <row r="1098" spans="1:16" x14ac:dyDescent="0.2">
      <c r="A1098" s="1">
        <v>2021</v>
      </c>
      <c r="B1098" t="s">
        <v>132</v>
      </c>
      <c r="C1098" s="10" t="s">
        <v>1678</v>
      </c>
      <c r="D1098" s="10" t="s">
        <v>1679</v>
      </c>
      <c r="E1098" s="10" t="s">
        <v>1682</v>
      </c>
      <c r="F1098" t="s">
        <v>629</v>
      </c>
      <c r="G1098" s="4">
        <v>8857</v>
      </c>
      <c r="H1098" s="4"/>
      <c r="I1098" s="4"/>
      <c r="J1098" s="4">
        <f>SUM(G1098:I1098)</f>
        <v>8857</v>
      </c>
      <c r="K1098" t="s">
        <v>1659</v>
      </c>
      <c r="L1098" t="s">
        <v>1659</v>
      </c>
      <c r="M1098" t="s">
        <v>629</v>
      </c>
      <c r="N1098" t="s">
        <v>1132</v>
      </c>
      <c r="O1098" t="s">
        <v>1132</v>
      </c>
      <c r="P1098" t="str">
        <f>IFERROR(VLOOKUP(F1098,Sheet1!$A$2:$B$54,2,FALSE),"")</f>
        <v/>
      </c>
    </row>
    <row r="1099" spans="1:16" x14ac:dyDescent="0.2">
      <c r="A1099" s="1">
        <v>2022</v>
      </c>
      <c r="B1099" t="s">
        <v>132</v>
      </c>
      <c r="C1099" s="10" t="s">
        <v>1678</v>
      </c>
      <c r="D1099" s="10" t="s">
        <v>1679</v>
      </c>
      <c r="E1099" s="10" t="s">
        <v>1682</v>
      </c>
      <c r="F1099" t="s">
        <v>629</v>
      </c>
      <c r="G1099" s="4">
        <v>10408</v>
      </c>
      <c r="H1099" s="4"/>
      <c r="I1099" s="4"/>
      <c r="J1099" s="4">
        <f>SUM(G1099:I1099)</f>
        <v>10408</v>
      </c>
      <c r="K1099" t="s">
        <v>1659</v>
      </c>
      <c r="L1099" t="s">
        <v>1659</v>
      </c>
      <c r="M1099" t="s">
        <v>629</v>
      </c>
      <c r="N1099" t="s">
        <v>1132</v>
      </c>
      <c r="O1099" t="s">
        <v>1132</v>
      </c>
      <c r="P1099" t="str">
        <f>IFERROR(VLOOKUP(F1099,Sheet1!$A$2:$B$54,2,FALSE),"")</f>
        <v/>
      </c>
    </row>
    <row r="1100" spans="1:16" x14ac:dyDescent="0.2">
      <c r="A1100" s="1">
        <v>2023</v>
      </c>
      <c r="B1100" t="s">
        <v>132</v>
      </c>
      <c r="C1100" s="10" t="s">
        <v>1678</v>
      </c>
      <c r="D1100" s="10" t="s">
        <v>1679</v>
      </c>
      <c r="E1100" s="10" t="s">
        <v>1682</v>
      </c>
      <c r="F1100" t="s">
        <v>629</v>
      </c>
      <c r="G1100" s="4">
        <v>10452</v>
      </c>
      <c r="H1100" s="4"/>
      <c r="I1100" s="4"/>
      <c r="J1100" s="4">
        <f>SUM(G1100:I1100)</f>
        <v>10452</v>
      </c>
      <c r="K1100" t="s">
        <v>1659</v>
      </c>
      <c r="L1100" t="s">
        <v>1659</v>
      </c>
      <c r="M1100" t="s">
        <v>629</v>
      </c>
      <c r="N1100" t="s">
        <v>1132</v>
      </c>
      <c r="O1100" t="s">
        <v>1132</v>
      </c>
      <c r="P1100" t="str">
        <f>IFERROR(VLOOKUP(F1100,Sheet1!$A$2:$B$54,2,FALSE),"")</f>
        <v/>
      </c>
    </row>
    <row r="1101" spans="1:16" x14ac:dyDescent="0.2">
      <c r="A1101" s="1">
        <v>2015</v>
      </c>
      <c r="B1101" t="s">
        <v>133</v>
      </c>
      <c r="C1101" s="10" t="s">
        <v>1678</v>
      </c>
      <c r="D1101" s="10" t="s">
        <v>1679</v>
      </c>
      <c r="E1101" s="10" t="s">
        <v>1682</v>
      </c>
      <c r="F1101" t="s">
        <v>630</v>
      </c>
      <c r="G1101" s="4">
        <v>4609</v>
      </c>
      <c r="H1101" s="4"/>
      <c r="I1101" s="4"/>
      <c r="J1101" s="4">
        <f>SUM(G1101:I1101)</f>
        <v>4609</v>
      </c>
      <c r="K1101" t="s">
        <v>1659</v>
      </c>
      <c r="L1101" t="s">
        <v>1659</v>
      </c>
      <c r="M1101" t="s">
        <v>1168</v>
      </c>
      <c r="N1101" t="s">
        <v>1132</v>
      </c>
      <c r="O1101" t="s">
        <v>1132</v>
      </c>
      <c r="P1101" t="str">
        <f>IFERROR(VLOOKUP(F1101,Sheet1!$A$2:$B$54,2,FALSE),"")</f>
        <v/>
      </c>
    </row>
    <row r="1102" spans="1:16" x14ac:dyDescent="0.2">
      <c r="A1102" s="1">
        <v>2016</v>
      </c>
      <c r="B1102" t="s">
        <v>133</v>
      </c>
      <c r="C1102" s="10" t="s">
        <v>1678</v>
      </c>
      <c r="D1102" s="10" t="s">
        <v>1679</v>
      </c>
      <c r="E1102" s="10" t="s">
        <v>1682</v>
      </c>
      <c r="F1102" t="s">
        <v>630</v>
      </c>
      <c r="G1102" s="4">
        <v>9576</v>
      </c>
      <c r="H1102" s="4"/>
      <c r="I1102" s="4"/>
      <c r="J1102" s="4">
        <f>SUM(G1102:I1102)</f>
        <v>9576</v>
      </c>
      <c r="K1102" t="s">
        <v>1659</v>
      </c>
      <c r="L1102" t="s">
        <v>1659</v>
      </c>
      <c r="M1102" t="s">
        <v>1168</v>
      </c>
      <c r="N1102" t="s">
        <v>1132</v>
      </c>
      <c r="O1102" t="s">
        <v>1132</v>
      </c>
      <c r="P1102" t="str">
        <f>IFERROR(VLOOKUP(F1102,Sheet1!$A$2:$B$54,2,FALSE),"")</f>
        <v/>
      </c>
    </row>
    <row r="1103" spans="1:16" x14ac:dyDescent="0.2">
      <c r="A1103" s="1">
        <v>2017</v>
      </c>
      <c r="B1103" t="s">
        <v>133</v>
      </c>
      <c r="C1103" s="10" t="s">
        <v>1678</v>
      </c>
      <c r="D1103" s="10" t="s">
        <v>1679</v>
      </c>
      <c r="E1103" s="10" t="s">
        <v>1682</v>
      </c>
      <c r="F1103" t="s">
        <v>630</v>
      </c>
      <c r="G1103" s="4">
        <v>7523</v>
      </c>
      <c r="H1103" s="4"/>
      <c r="I1103" s="4"/>
      <c r="J1103" s="4">
        <f>SUM(G1103:I1103)</f>
        <v>7523</v>
      </c>
      <c r="K1103" t="s">
        <v>1659</v>
      </c>
      <c r="L1103" t="s">
        <v>1659</v>
      </c>
      <c r="M1103" t="s">
        <v>1168</v>
      </c>
      <c r="N1103" t="s">
        <v>1132</v>
      </c>
      <c r="O1103" t="s">
        <v>1132</v>
      </c>
      <c r="P1103" t="str">
        <f>IFERROR(VLOOKUP(F1103,Sheet1!$A$2:$B$54,2,FALSE),"")</f>
        <v/>
      </c>
    </row>
    <row r="1104" spans="1:16" x14ac:dyDescent="0.2">
      <c r="A1104" s="1">
        <v>2018</v>
      </c>
      <c r="B1104" t="s">
        <v>133</v>
      </c>
      <c r="C1104" s="10" t="s">
        <v>1678</v>
      </c>
      <c r="D1104" s="10" t="s">
        <v>1679</v>
      </c>
      <c r="E1104" s="10" t="s">
        <v>1682</v>
      </c>
      <c r="F1104" t="s">
        <v>630</v>
      </c>
      <c r="G1104" s="4">
        <v>11205</v>
      </c>
      <c r="H1104" s="4"/>
      <c r="I1104" s="4"/>
      <c r="J1104" s="4">
        <f>SUM(G1104:I1104)</f>
        <v>11205</v>
      </c>
      <c r="K1104" t="s">
        <v>1659</v>
      </c>
      <c r="L1104" t="s">
        <v>1659</v>
      </c>
      <c r="M1104" t="s">
        <v>1168</v>
      </c>
      <c r="N1104" t="s">
        <v>1132</v>
      </c>
      <c r="O1104" t="s">
        <v>1132</v>
      </c>
      <c r="P1104" t="str">
        <f>IFERROR(VLOOKUP(F1104,Sheet1!$A$2:$B$54,2,FALSE),"")</f>
        <v/>
      </c>
    </row>
    <row r="1105" spans="1:16" x14ac:dyDescent="0.2">
      <c r="A1105" s="1">
        <v>2019</v>
      </c>
      <c r="B1105" t="s">
        <v>133</v>
      </c>
      <c r="C1105" s="10" t="s">
        <v>1678</v>
      </c>
      <c r="D1105" s="10" t="s">
        <v>1679</v>
      </c>
      <c r="E1105" s="10" t="s">
        <v>1682</v>
      </c>
      <c r="F1105" t="s">
        <v>630</v>
      </c>
      <c r="G1105" s="4">
        <v>11694</v>
      </c>
      <c r="H1105" s="4"/>
      <c r="I1105" s="4"/>
      <c r="J1105" s="4">
        <f>SUM(G1105:I1105)</f>
        <v>11694</v>
      </c>
      <c r="K1105" t="s">
        <v>1659</v>
      </c>
      <c r="L1105" t="s">
        <v>1659</v>
      </c>
      <c r="M1105" t="s">
        <v>1168</v>
      </c>
      <c r="N1105" t="s">
        <v>1132</v>
      </c>
      <c r="O1105" t="s">
        <v>1132</v>
      </c>
      <c r="P1105" t="str">
        <f>IFERROR(VLOOKUP(F1105,Sheet1!$A$2:$B$54,2,FALSE),"")</f>
        <v/>
      </c>
    </row>
    <row r="1106" spans="1:16" x14ac:dyDescent="0.2">
      <c r="A1106" s="1">
        <v>2020</v>
      </c>
      <c r="B1106" t="s">
        <v>133</v>
      </c>
      <c r="C1106" s="10" t="s">
        <v>1678</v>
      </c>
      <c r="D1106" s="10" t="s">
        <v>1679</v>
      </c>
      <c r="E1106" s="10" t="s">
        <v>1682</v>
      </c>
      <c r="F1106" t="s">
        <v>630</v>
      </c>
      <c r="G1106" s="4">
        <v>10976</v>
      </c>
      <c r="H1106" s="4"/>
      <c r="I1106" s="4"/>
      <c r="J1106" s="4">
        <f>SUM(G1106:I1106)</f>
        <v>10976</v>
      </c>
      <c r="K1106" t="s">
        <v>1659</v>
      </c>
      <c r="L1106" t="s">
        <v>1659</v>
      </c>
      <c r="M1106" t="s">
        <v>1168</v>
      </c>
      <c r="N1106" t="s">
        <v>1132</v>
      </c>
      <c r="O1106" t="s">
        <v>1132</v>
      </c>
      <c r="P1106" t="str">
        <f>IFERROR(VLOOKUP(F1106,Sheet1!$A$2:$B$54,2,FALSE),"")</f>
        <v/>
      </c>
    </row>
    <row r="1107" spans="1:16" x14ac:dyDescent="0.2">
      <c r="A1107" s="1">
        <v>2021</v>
      </c>
      <c r="B1107" t="s">
        <v>133</v>
      </c>
      <c r="C1107" s="10" t="s">
        <v>1678</v>
      </c>
      <c r="D1107" s="10" t="s">
        <v>1679</v>
      </c>
      <c r="E1107" s="10" t="s">
        <v>1682</v>
      </c>
      <c r="F1107" t="s">
        <v>630</v>
      </c>
      <c r="G1107" s="4">
        <v>13617</v>
      </c>
      <c r="H1107" s="4"/>
      <c r="I1107" s="4"/>
      <c r="J1107" s="4">
        <f>SUM(G1107:I1107)</f>
        <v>13617</v>
      </c>
      <c r="K1107" t="s">
        <v>1659</v>
      </c>
      <c r="L1107" t="s">
        <v>1659</v>
      </c>
      <c r="M1107" t="s">
        <v>630</v>
      </c>
      <c r="N1107" t="s">
        <v>1132</v>
      </c>
      <c r="O1107" t="s">
        <v>1132</v>
      </c>
      <c r="P1107" t="str">
        <f>IFERROR(VLOOKUP(F1107,Sheet1!$A$2:$B$54,2,FALSE),"")</f>
        <v/>
      </c>
    </row>
    <row r="1108" spans="1:16" x14ac:dyDescent="0.2">
      <c r="A1108" s="1">
        <v>2022</v>
      </c>
      <c r="B1108" t="s">
        <v>133</v>
      </c>
      <c r="C1108" s="10" t="s">
        <v>1678</v>
      </c>
      <c r="D1108" s="10" t="s">
        <v>1679</v>
      </c>
      <c r="E1108" s="10" t="s">
        <v>1682</v>
      </c>
      <c r="F1108" t="s">
        <v>630</v>
      </c>
      <c r="G1108" s="4">
        <v>20548</v>
      </c>
      <c r="H1108" s="4"/>
      <c r="I1108" s="4"/>
      <c r="J1108" s="4">
        <f>SUM(G1108:I1108)</f>
        <v>20548</v>
      </c>
      <c r="K1108" t="s">
        <v>1659</v>
      </c>
      <c r="L1108" t="s">
        <v>1659</v>
      </c>
      <c r="M1108" t="s">
        <v>630</v>
      </c>
      <c r="N1108" t="s">
        <v>1132</v>
      </c>
      <c r="O1108" t="s">
        <v>1132</v>
      </c>
      <c r="P1108" t="str">
        <f>IFERROR(VLOOKUP(F1108,Sheet1!$A$2:$B$54,2,FALSE),"")</f>
        <v/>
      </c>
    </row>
    <row r="1109" spans="1:16" x14ac:dyDescent="0.2">
      <c r="A1109" s="1">
        <v>2023</v>
      </c>
      <c r="B1109" t="s">
        <v>133</v>
      </c>
      <c r="C1109" s="10" t="s">
        <v>1678</v>
      </c>
      <c r="D1109" s="10" t="s">
        <v>1679</v>
      </c>
      <c r="E1109" s="10" t="s">
        <v>1682</v>
      </c>
      <c r="F1109" t="s">
        <v>630</v>
      </c>
      <c r="G1109" s="4">
        <v>27467</v>
      </c>
      <c r="H1109" s="4"/>
      <c r="I1109" s="4"/>
      <c r="J1109" s="4">
        <f>SUM(G1109:I1109)</f>
        <v>27467</v>
      </c>
      <c r="K1109" t="s">
        <v>1659</v>
      </c>
      <c r="L1109" t="s">
        <v>1659</v>
      </c>
      <c r="M1109" t="s">
        <v>630</v>
      </c>
      <c r="N1109" t="s">
        <v>1132</v>
      </c>
      <c r="O1109" t="s">
        <v>1132</v>
      </c>
      <c r="P1109" t="str">
        <f>IFERROR(VLOOKUP(F1109,Sheet1!$A$2:$B$54,2,FALSE),"")</f>
        <v/>
      </c>
    </row>
    <row r="1110" spans="1:16" x14ac:dyDescent="0.2">
      <c r="A1110" s="1">
        <v>2015</v>
      </c>
      <c r="B1110" t="s">
        <v>134</v>
      </c>
      <c r="C1110" s="10" t="s">
        <v>1678</v>
      </c>
      <c r="D1110" s="10" t="s">
        <v>1679</v>
      </c>
      <c r="E1110" s="10" t="s">
        <v>1682</v>
      </c>
      <c r="F1110" t="s">
        <v>631</v>
      </c>
      <c r="G1110" s="4">
        <v>31340</v>
      </c>
      <c r="H1110" s="4"/>
      <c r="I1110" s="4"/>
      <c r="J1110" s="4">
        <f>SUM(G1110:I1110)</f>
        <v>31340</v>
      </c>
      <c r="K1110" t="s">
        <v>1659</v>
      </c>
      <c r="L1110" t="s">
        <v>1659</v>
      </c>
      <c r="M1110" t="s">
        <v>1169</v>
      </c>
      <c r="N1110" t="s">
        <v>1132</v>
      </c>
      <c r="O1110" t="s">
        <v>1132</v>
      </c>
      <c r="P1110" t="str">
        <f>IFERROR(VLOOKUP(F1110,Sheet1!$A$2:$B$54,2,FALSE),"")</f>
        <v/>
      </c>
    </row>
    <row r="1111" spans="1:16" x14ac:dyDescent="0.2">
      <c r="A1111" s="1">
        <v>2016</v>
      </c>
      <c r="B1111" t="s">
        <v>134</v>
      </c>
      <c r="C1111" s="10" t="s">
        <v>1678</v>
      </c>
      <c r="D1111" s="10" t="s">
        <v>1679</v>
      </c>
      <c r="E1111" s="10" t="s">
        <v>1682</v>
      </c>
      <c r="F1111" t="s">
        <v>631</v>
      </c>
      <c r="G1111" s="4">
        <v>42167</v>
      </c>
      <c r="H1111" s="4"/>
      <c r="I1111" s="4"/>
      <c r="J1111" s="4">
        <f>SUM(G1111:I1111)</f>
        <v>42167</v>
      </c>
      <c r="K1111" t="s">
        <v>1659</v>
      </c>
      <c r="L1111" t="s">
        <v>1659</v>
      </c>
      <c r="M1111" t="s">
        <v>1169</v>
      </c>
      <c r="N1111" t="s">
        <v>1132</v>
      </c>
      <c r="O1111" t="s">
        <v>1132</v>
      </c>
      <c r="P1111" t="str">
        <f>IFERROR(VLOOKUP(F1111,Sheet1!$A$2:$B$54,2,FALSE),"")</f>
        <v/>
      </c>
    </row>
    <row r="1112" spans="1:16" x14ac:dyDescent="0.2">
      <c r="A1112" s="1">
        <v>2017</v>
      </c>
      <c r="B1112" t="s">
        <v>134</v>
      </c>
      <c r="C1112" s="10" t="s">
        <v>1678</v>
      </c>
      <c r="D1112" s="10" t="s">
        <v>1679</v>
      </c>
      <c r="E1112" s="10" t="s">
        <v>1682</v>
      </c>
      <c r="F1112" t="s">
        <v>631</v>
      </c>
      <c r="G1112" s="4">
        <v>52122</v>
      </c>
      <c r="H1112" s="4"/>
      <c r="I1112" s="4"/>
      <c r="J1112" s="4">
        <f>SUM(G1112:I1112)</f>
        <v>52122</v>
      </c>
      <c r="K1112" t="s">
        <v>1659</v>
      </c>
      <c r="L1112" t="s">
        <v>1659</v>
      </c>
      <c r="M1112" t="s">
        <v>1170</v>
      </c>
      <c r="N1112" t="s">
        <v>1132</v>
      </c>
      <c r="O1112" t="s">
        <v>1132</v>
      </c>
      <c r="P1112" t="str">
        <f>IFERROR(VLOOKUP(F1112,Sheet1!$A$2:$B$54,2,FALSE),"")</f>
        <v/>
      </c>
    </row>
    <row r="1113" spans="1:16" x14ac:dyDescent="0.2">
      <c r="A1113" s="1">
        <v>2018</v>
      </c>
      <c r="B1113" t="s">
        <v>134</v>
      </c>
      <c r="C1113" s="10" t="s">
        <v>1678</v>
      </c>
      <c r="D1113" s="10" t="s">
        <v>1679</v>
      </c>
      <c r="E1113" s="10" t="s">
        <v>1682</v>
      </c>
      <c r="F1113" t="s">
        <v>631</v>
      </c>
      <c r="G1113" s="4">
        <v>58135</v>
      </c>
      <c r="H1113" s="4"/>
      <c r="I1113" s="4"/>
      <c r="J1113" s="4">
        <f>SUM(G1113:I1113)</f>
        <v>58135</v>
      </c>
      <c r="K1113" t="s">
        <v>1659</v>
      </c>
      <c r="L1113" t="s">
        <v>1659</v>
      </c>
      <c r="M1113" t="s">
        <v>1170</v>
      </c>
      <c r="N1113" t="s">
        <v>1132</v>
      </c>
      <c r="O1113" t="s">
        <v>1132</v>
      </c>
      <c r="P1113" t="str">
        <f>IFERROR(VLOOKUP(F1113,Sheet1!$A$2:$B$54,2,FALSE),"")</f>
        <v/>
      </c>
    </row>
    <row r="1114" spans="1:16" x14ac:dyDescent="0.2">
      <c r="A1114" s="1">
        <v>2019</v>
      </c>
      <c r="B1114" t="s">
        <v>134</v>
      </c>
      <c r="C1114" s="10" t="s">
        <v>1678</v>
      </c>
      <c r="D1114" s="10" t="s">
        <v>1679</v>
      </c>
      <c r="E1114" s="10" t="s">
        <v>1682</v>
      </c>
      <c r="F1114" t="s">
        <v>631</v>
      </c>
      <c r="G1114" s="4">
        <v>72815</v>
      </c>
      <c r="H1114" s="4"/>
      <c r="I1114" s="4"/>
      <c r="J1114" s="4">
        <f>SUM(G1114:I1114)</f>
        <v>72815</v>
      </c>
      <c r="K1114" t="s">
        <v>1659</v>
      </c>
      <c r="L1114" t="s">
        <v>1659</v>
      </c>
      <c r="M1114" t="s">
        <v>1170</v>
      </c>
      <c r="N1114" t="s">
        <v>1132</v>
      </c>
      <c r="O1114" t="s">
        <v>1132</v>
      </c>
      <c r="P1114" t="str">
        <f>IFERROR(VLOOKUP(F1114,Sheet1!$A$2:$B$54,2,FALSE),"")</f>
        <v/>
      </c>
    </row>
    <row r="1115" spans="1:16" x14ac:dyDescent="0.2">
      <c r="A1115" s="1">
        <v>2020</v>
      </c>
      <c r="B1115" t="s">
        <v>134</v>
      </c>
      <c r="C1115" s="10" t="s">
        <v>1678</v>
      </c>
      <c r="D1115" s="10" t="s">
        <v>1679</v>
      </c>
      <c r="E1115" s="10" t="s">
        <v>1682</v>
      </c>
      <c r="F1115" t="s">
        <v>631</v>
      </c>
      <c r="G1115" s="4">
        <v>88870</v>
      </c>
      <c r="H1115" s="4"/>
      <c r="I1115" s="4"/>
      <c r="J1115" s="4">
        <f>SUM(G1115:I1115)</f>
        <v>88870</v>
      </c>
      <c r="K1115" t="s">
        <v>1659</v>
      </c>
      <c r="L1115" t="s">
        <v>1659</v>
      </c>
      <c r="M1115" t="s">
        <v>1170</v>
      </c>
      <c r="N1115" t="s">
        <v>1132</v>
      </c>
      <c r="O1115" t="s">
        <v>1132</v>
      </c>
      <c r="P1115" t="str">
        <f>IFERROR(VLOOKUP(F1115,Sheet1!$A$2:$B$54,2,FALSE),"")</f>
        <v/>
      </c>
    </row>
    <row r="1116" spans="1:16" x14ac:dyDescent="0.2">
      <c r="A1116" s="1">
        <v>2021</v>
      </c>
      <c r="B1116" t="s">
        <v>134</v>
      </c>
      <c r="C1116" s="10" t="s">
        <v>1678</v>
      </c>
      <c r="D1116" s="10" t="s">
        <v>1679</v>
      </c>
      <c r="E1116" s="10" t="s">
        <v>1682</v>
      </c>
      <c r="F1116" t="s">
        <v>631</v>
      </c>
      <c r="G1116" s="4">
        <v>107400</v>
      </c>
      <c r="H1116" s="4"/>
      <c r="I1116" s="4"/>
      <c r="J1116" s="4">
        <f>SUM(G1116:I1116)</f>
        <v>107400</v>
      </c>
      <c r="K1116" t="s">
        <v>1659</v>
      </c>
      <c r="L1116" t="s">
        <v>1659</v>
      </c>
      <c r="M1116" t="s">
        <v>631</v>
      </c>
      <c r="N1116" t="s">
        <v>1132</v>
      </c>
      <c r="O1116" t="s">
        <v>1132</v>
      </c>
      <c r="P1116" t="str">
        <f>IFERROR(VLOOKUP(F1116,Sheet1!$A$2:$B$54,2,FALSE),"")</f>
        <v/>
      </c>
    </row>
    <row r="1117" spans="1:16" x14ac:dyDescent="0.2">
      <c r="A1117" s="1">
        <v>2022</v>
      </c>
      <c r="B1117" t="s">
        <v>134</v>
      </c>
      <c r="C1117" s="10" t="s">
        <v>1678</v>
      </c>
      <c r="D1117" s="10" t="s">
        <v>1679</v>
      </c>
      <c r="E1117" s="10" t="s">
        <v>1682</v>
      </c>
      <c r="F1117" t="s">
        <v>631</v>
      </c>
      <c r="G1117" s="4">
        <v>148240</v>
      </c>
      <c r="H1117" s="4"/>
      <c r="I1117" s="4"/>
      <c r="J1117" s="4">
        <f>SUM(G1117:I1117)</f>
        <v>148240</v>
      </c>
      <c r="K1117" t="s">
        <v>1659</v>
      </c>
      <c r="L1117" t="s">
        <v>1659</v>
      </c>
      <c r="M1117" t="s">
        <v>631</v>
      </c>
      <c r="N1117" t="s">
        <v>1132</v>
      </c>
      <c r="O1117" t="s">
        <v>1132</v>
      </c>
      <c r="P1117" t="str">
        <f>IFERROR(VLOOKUP(F1117,Sheet1!$A$2:$B$54,2,FALSE),"")</f>
        <v/>
      </c>
    </row>
    <row r="1118" spans="1:16" x14ac:dyDescent="0.2">
      <c r="A1118" s="1">
        <v>2023</v>
      </c>
      <c r="B1118" t="s">
        <v>134</v>
      </c>
      <c r="C1118" s="10" t="s">
        <v>1678</v>
      </c>
      <c r="D1118" s="10" t="s">
        <v>1679</v>
      </c>
      <c r="E1118" s="10" t="s">
        <v>1682</v>
      </c>
      <c r="F1118" t="s">
        <v>631</v>
      </c>
      <c r="G1118" s="4">
        <v>158696</v>
      </c>
      <c r="H1118" s="4"/>
      <c r="I1118" s="4"/>
      <c r="J1118" s="4">
        <f>SUM(G1118:I1118)</f>
        <v>158696</v>
      </c>
      <c r="K1118" t="s">
        <v>1659</v>
      </c>
      <c r="L1118" t="s">
        <v>1659</v>
      </c>
      <c r="M1118" t="s">
        <v>631</v>
      </c>
      <c r="N1118" t="s">
        <v>1132</v>
      </c>
      <c r="O1118" t="s">
        <v>1132</v>
      </c>
      <c r="P1118" t="str">
        <f>IFERROR(VLOOKUP(F1118,Sheet1!$A$2:$B$54,2,FALSE),"")</f>
        <v/>
      </c>
    </row>
    <row r="1119" spans="1:16" x14ac:dyDescent="0.2">
      <c r="A1119" s="1">
        <v>2023</v>
      </c>
      <c r="B1119" t="s">
        <v>135</v>
      </c>
      <c r="C1119" s="10" t="s">
        <v>1678</v>
      </c>
      <c r="D1119" s="10" t="s">
        <v>1679</v>
      </c>
      <c r="E1119" s="10" t="s">
        <v>1682</v>
      </c>
      <c r="F1119" t="s">
        <v>632</v>
      </c>
      <c r="G1119" s="4">
        <v>875</v>
      </c>
      <c r="H1119" s="4"/>
      <c r="I1119" s="4"/>
      <c r="J1119" s="4">
        <f>SUM(G1119:I1119)</f>
        <v>875</v>
      </c>
      <c r="K1119" t="s">
        <v>1659</v>
      </c>
      <c r="L1119" t="s">
        <v>1659</v>
      </c>
      <c r="M1119" t="s">
        <v>632</v>
      </c>
      <c r="N1119" t="s">
        <v>1132</v>
      </c>
      <c r="O1119" t="s">
        <v>1132</v>
      </c>
      <c r="P1119" t="str">
        <f>IFERROR(VLOOKUP(F1119,Sheet1!$A$2:$B$54,2,FALSE),"")</f>
        <v/>
      </c>
    </row>
    <row r="1120" spans="1:16" x14ac:dyDescent="0.2">
      <c r="A1120" s="1">
        <v>2018</v>
      </c>
      <c r="B1120" t="s">
        <v>136</v>
      </c>
      <c r="C1120" s="10" t="s">
        <v>1678</v>
      </c>
      <c r="D1120" s="10" t="s">
        <v>1679</v>
      </c>
      <c r="E1120" s="10" t="s">
        <v>1682</v>
      </c>
      <c r="F1120" t="s">
        <v>633</v>
      </c>
      <c r="G1120" s="4">
        <v>4026</v>
      </c>
      <c r="H1120" s="4"/>
      <c r="I1120" s="4"/>
      <c r="J1120" s="4">
        <f>SUM(G1120:I1120)</f>
        <v>4026</v>
      </c>
      <c r="K1120" t="s">
        <v>1659</v>
      </c>
      <c r="L1120" t="s">
        <v>1659</v>
      </c>
      <c r="M1120" t="s">
        <v>1171</v>
      </c>
      <c r="N1120" t="s">
        <v>1132</v>
      </c>
      <c r="O1120" t="s">
        <v>1132</v>
      </c>
      <c r="P1120" t="str">
        <f>IFERROR(VLOOKUP(F1120,Sheet1!$A$2:$B$54,2,FALSE),"")</f>
        <v/>
      </c>
    </row>
    <row r="1121" spans="1:16" x14ac:dyDescent="0.2">
      <c r="A1121" s="1">
        <v>2019</v>
      </c>
      <c r="B1121" t="s">
        <v>136</v>
      </c>
      <c r="C1121" s="10" t="s">
        <v>1678</v>
      </c>
      <c r="D1121" s="10" t="s">
        <v>1679</v>
      </c>
      <c r="E1121" s="10" t="s">
        <v>1682</v>
      </c>
      <c r="F1121" t="s">
        <v>633</v>
      </c>
      <c r="G1121" s="4">
        <v>4273</v>
      </c>
      <c r="H1121" s="4"/>
      <c r="I1121" s="4"/>
      <c r="J1121" s="4">
        <f>SUM(G1121:I1121)</f>
        <v>4273</v>
      </c>
      <c r="K1121" t="s">
        <v>1659</v>
      </c>
      <c r="L1121" t="s">
        <v>1659</v>
      </c>
      <c r="M1121" t="s">
        <v>1171</v>
      </c>
      <c r="N1121" t="s">
        <v>1132</v>
      </c>
      <c r="O1121" t="s">
        <v>1132</v>
      </c>
      <c r="P1121" t="str">
        <f>IFERROR(VLOOKUP(F1121,Sheet1!$A$2:$B$54,2,FALSE),"")</f>
        <v/>
      </c>
    </row>
    <row r="1122" spans="1:16" x14ac:dyDescent="0.2">
      <c r="A1122" s="1">
        <v>2020</v>
      </c>
      <c r="B1122" t="s">
        <v>136</v>
      </c>
      <c r="C1122" s="10" t="s">
        <v>1678</v>
      </c>
      <c r="D1122" s="10" t="s">
        <v>1679</v>
      </c>
      <c r="E1122" s="10" t="s">
        <v>1682</v>
      </c>
      <c r="F1122" t="s">
        <v>633</v>
      </c>
      <c r="G1122" s="4">
        <v>4340</v>
      </c>
      <c r="H1122" s="4"/>
      <c r="I1122" s="4"/>
      <c r="J1122" s="4">
        <f>SUM(G1122:I1122)</f>
        <v>4340</v>
      </c>
      <c r="K1122" t="s">
        <v>1659</v>
      </c>
      <c r="L1122" t="s">
        <v>1659</v>
      </c>
      <c r="M1122" t="s">
        <v>1171</v>
      </c>
      <c r="N1122" t="s">
        <v>1132</v>
      </c>
      <c r="O1122" t="s">
        <v>1132</v>
      </c>
      <c r="P1122" t="str">
        <f>IFERROR(VLOOKUP(F1122,Sheet1!$A$2:$B$54,2,FALSE),"")</f>
        <v/>
      </c>
    </row>
    <row r="1123" spans="1:16" x14ac:dyDescent="0.2">
      <c r="A1123" s="1">
        <v>2021</v>
      </c>
      <c r="B1123" t="s">
        <v>136</v>
      </c>
      <c r="C1123" s="10" t="s">
        <v>1678</v>
      </c>
      <c r="D1123" s="10" t="s">
        <v>1679</v>
      </c>
      <c r="E1123" s="10" t="s">
        <v>1682</v>
      </c>
      <c r="F1123" t="s">
        <v>633</v>
      </c>
      <c r="G1123" s="4">
        <v>15680</v>
      </c>
      <c r="H1123" s="4"/>
      <c r="I1123" s="4"/>
      <c r="J1123" s="4">
        <f>SUM(G1123:I1123)</f>
        <v>15680</v>
      </c>
      <c r="K1123" t="s">
        <v>1659</v>
      </c>
      <c r="L1123" t="s">
        <v>1659</v>
      </c>
      <c r="M1123" t="s">
        <v>633</v>
      </c>
      <c r="N1123" t="s">
        <v>1132</v>
      </c>
      <c r="O1123" t="s">
        <v>1132</v>
      </c>
      <c r="P1123" t="str">
        <f>IFERROR(VLOOKUP(F1123,Sheet1!$A$2:$B$54,2,FALSE),"")</f>
        <v/>
      </c>
    </row>
    <row r="1124" spans="1:16" x14ac:dyDescent="0.2">
      <c r="A1124" s="1">
        <v>2022</v>
      </c>
      <c r="B1124" t="s">
        <v>136</v>
      </c>
      <c r="C1124" s="10" t="s">
        <v>1678</v>
      </c>
      <c r="D1124" s="10" t="s">
        <v>1679</v>
      </c>
      <c r="E1124" s="10" t="s">
        <v>1682</v>
      </c>
      <c r="F1124" t="s">
        <v>633</v>
      </c>
      <c r="G1124" s="4">
        <v>17275</v>
      </c>
      <c r="H1124" s="4"/>
      <c r="I1124" s="4"/>
      <c r="J1124" s="4">
        <f>SUM(G1124:I1124)</f>
        <v>17275</v>
      </c>
      <c r="K1124" t="s">
        <v>1659</v>
      </c>
      <c r="L1124" t="s">
        <v>1659</v>
      </c>
      <c r="M1124" t="s">
        <v>633</v>
      </c>
      <c r="N1124" t="s">
        <v>1132</v>
      </c>
      <c r="O1124" t="s">
        <v>1132</v>
      </c>
      <c r="P1124" t="str">
        <f>IFERROR(VLOOKUP(F1124,Sheet1!$A$2:$B$54,2,FALSE),"")</f>
        <v/>
      </c>
    </row>
    <row r="1125" spans="1:16" x14ac:dyDescent="0.2">
      <c r="A1125" s="1">
        <v>2023</v>
      </c>
      <c r="B1125" t="s">
        <v>136</v>
      </c>
      <c r="C1125" s="10" t="s">
        <v>1678</v>
      </c>
      <c r="D1125" s="10" t="s">
        <v>1679</v>
      </c>
      <c r="E1125" s="10" t="s">
        <v>1682</v>
      </c>
      <c r="F1125" t="s">
        <v>633</v>
      </c>
      <c r="G1125" s="4">
        <v>19054</v>
      </c>
      <c r="H1125" s="4"/>
      <c r="I1125" s="4"/>
      <c r="J1125" s="4">
        <f>SUM(G1125:I1125)</f>
        <v>19054</v>
      </c>
      <c r="K1125" t="s">
        <v>1659</v>
      </c>
      <c r="L1125" t="s">
        <v>1659</v>
      </c>
      <c r="M1125" t="s">
        <v>633</v>
      </c>
      <c r="N1125" t="s">
        <v>1132</v>
      </c>
      <c r="O1125" t="s">
        <v>1132</v>
      </c>
      <c r="P1125" t="str">
        <f>IFERROR(VLOOKUP(F1125,Sheet1!$A$2:$B$54,2,FALSE),"")</f>
        <v/>
      </c>
    </row>
    <row r="1126" spans="1:16" x14ac:dyDescent="0.2">
      <c r="A1126" s="1">
        <v>2017</v>
      </c>
      <c r="B1126" t="s">
        <v>137</v>
      </c>
      <c r="C1126" s="10" t="s">
        <v>1678</v>
      </c>
      <c r="D1126" s="10" t="s">
        <v>1679</v>
      </c>
      <c r="E1126" s="10" t="s">
        <v>1682</v>
      </c>
      <c r="F1126" t="s">
        <v>634</v>
      </c>
      <c r="G1126" s="4">
        <v>1365</v>
      </c>
      <c r="H1126" s="4"/>
      <c r="I1126" s="4"/>
      <c r="J1126" s="4">
        <f>SUM(G1126:I1126)</f>
        <v>1365</v>
      </c>
      <c r="K1126" t="s">
        <v>1659</v>
      </c>
      <c r="L1126" t="s">
        <v>1659</v>
      </c>
      <c r="M1126" t="s">
        <v>1172</v>
      </c>
      <c r="N1126" t="s">
        <v>1132</v>
      </c>
      <c r="O1126" t="s">
        <v>1132</v>
      </c>
      <c r="P1126" t="str">
        <f>IFERROR(VLOOKUP(F1126,Sheet1!$A$2:$B$54,2,FALSE),"")</f>
        <v/>
      </c>
    </row>
    <row r="1127" spans="1:16" x14ac:dyDescent="0.2">
      <c r="A1127" s="1">
        <v>2018</v>
      </c>
      <c r="B1127" t="s">
        <v>137</v>
      </c>
      <c r="C1127" s="10" t="s">
        <v>1678</v>
      </c>
      <c r="D1127" s="10" t="s">
        <v>1679</v>
      </c>
      <c r="E1127" s="10" t="s">
        <v>1682</v>
      </c>
      <c r="F1127" t="s">
        <v>634</v>
      </c>
      <c r="G1127" s="4">
        <v>3488</v>
      </c>
      <c r="H1127" s="4"/>
      <c r="I1127" s="4"/>
      <c r="J1127" s="4">
        <f>SUM(G1127:I1127)</f>
        <v>3488</v>
      </c>
      <c r="K1127" t="s">
        <v>1659</v>
      </c>
      <c r="L1127" t="s">
        <v>1659</v>
      </c>
      <c r="M1127" t="s">
        <v>1172</v>
      </c>
      <c r="N1127" t="s">
        <v>1132</v>
      </c>
      <c r="O1127" t="s">
        <v>1132</v>
      </c>
      <c r="P1127" t="str">
        <f>IFERROR(VLOOKUP(F1127,Sheet1!$A$2:$B$54,2,FALSE),"")</f>
        <v/>
      </c>
    </row>
    <row r="1128" spans="1:16" x14ac:dyDescent="0.2">
      <c r="A1128" s="1">
        <v>2019</v>
      </c>
      <c r="B1128" t="s">
        <v>137</v>
      </c>
      <c r="C1128" s="10" t="s">
        <v>1678</v>
      </c>
      <c r="D1128" s="10" t="s">
        <v>1679</v>
      </c>
      <c r="E1128" s="10" t="s">
        <v>1682</v>
      </c>
      <c r="F1128" t="s">
        <v>634</v>
      </c>
      <c r="G1128" s="4">
        <v>2440</v>
      </c>
      <c r="H1128" s="4"/>
      <c r="I1128" s="4"/>
      <c r="J1128" s="4">
        <f>SUM(G1128:I1128)</f>
        <v>2440</v>
      </c>
      <c r="K1128" t="s">
        <v>1659</v>
      </c>
      <c r="L1128" t="s">
        <v>1659</v>
      </c>
      <c r="M1128" t="s">
        <v>1172</v>
      </c>
      <c r="N1128" t="s">
        <v>1132</v>
      </c>
      <c r="O1128" t="s">
        <v>1132</v>
      </c>
      <c r="P1128" t="str">
        <f>IFERROR(VLOOKUP(F1128,Sheet1!$A$2:$B$54,2,FALSE),"")</f>
        <v/>
      </c>
    </row>
    <row r="1129" spans="1:16" x14ac:dyDescent="0.2">
      <c r="A1129" s="1">
        <v>2020</v>
      </c>
      <c r="B1129" t="s">
        <v>137</v>
      </c>
      <c r="C1129" s="10" t="s">
        <v>1678</v>
      </c>
      <c r="D1129" s="10" t="s">
        <v>1679</v>
      </c>
      <c r="E1129" s="10" t="s">
        <v>1682</v>
      </c>
      <c r="F1129" t="s">
        <v>634</v>
      </c>
      <c r="G1129" s="4">
        <v>2143</v>
      </c>
      <c r="H1129" s="4"/>
      <c r="I1129" s="4"/>
      <c r="J1129" s="4">
        <f>SUM(G1129:I1129)</f>
        <v>2143</v>
      </c>
      <c r="K1129" t="s">
        <v>1659</v>
      </c>
      <c r="L1129" t="s">
        <v>1659</v>
      </c>
      <c r="M1129" t="s">
        <v>1172</v>
      </c>
      <c r="N1129" t="s">
        <v>1132</v>
      </c>
      <c r="O1129" t="s">
        <v>1132</v>
      </c>
      <c r="P1129" t="str">
        <f>IFERROR(VLOOKUP(F1129,Sheet1!$A$2:$B$54,2,FALSE),"")</f>
        <v/>
      </c>
    </row>
    <row r="1130" spans="1:16" x14ac:dyDescent="0.2">
      <c r="A1130" s="1">
        <v>2021</v>
      </c>
      <c r="B1130" t="s">
        <v>137</v>
      </c>
      <c r="C1130" s="10" t="s">
        <v>1678</v>
      </c>
      <c r="D1130" s="10" t="s">
        <v>1679</v>
      </c>
      <c r="E1130" s="10" t="s">
        <v>1682</v>
      </c>
      <c r="F1130" t="s">
        <v>634</v>
      </c>
      <c r="G1130" s="4">
        <v>7050</v>
      </c>
      <c r="H1130" s="4"/>
      <c r="I1130" s="4"/>
      <c r="J1130" s="4">
        <f>SUM(G1130:I1130)</f>
        <v>7050</v>
      </c>
      <c r="K1130" t="s">
        <v>1659</v>
      </c>
      <c r="L1130" t="s">
        <v>1659</v>
      </c>
      <c r="M1130" t="s">
        <v>634</v>
      </c>
      <c r="N1130" t="s">
        <v>1132</v>
      </c>
      <c r="O1130" t="s">
        <v>1132</v>
      </c>
      <c r="P1130" t="str">
        <f>IFERROR(VLOOKUP(F1130,Sheet1!$A$2:$B$54,2,FALSE),"")</f>
        <v/>
      </c>
    </row>
    <row r="1131" spans="1:16" x14ac:dyDescent="0.2">
      <c r="A1131" s="1">
        <v>2022</v>
      </c>
      <c r="B1131" t="s">
        <v>137</v>
      </c>
      <c r="C1131" s="10" t="s">
        <v>1678</v>
      </c>
      <c r="D1131" s="10" t="s">
        <v>1679</v>
      </c>
      <c r="E1131" s="10" t="s">
        <v>1682</v>
      </c>
      <c r="F1131" t="s">
        <v>634</v>
      </c>
      <c r="G1131" s="4">
        <v>9618</v>
      </c>
      <c r="H1131" s="4"/>
      <c r="I1131" s="4"/>
      <c r="J1131" s="4">
        <f>SUM(G1131:I1131)</f>
        <v>9618</v>
      </c>
      <c r="K1131" t="s">
        <v>1659</v>
      </c>
      <c r="L1131" t="s">
        <v>1659</v>
      </c>
      <c r="M1131" t="s">
        <v>634</v>
      </c>
      <c r="N1131" t="s">
        <v>1132</v>
      </c>
      <c r="O1131" t="s">
        <v>1132</v>
      </c>
      <c r="P1131" t="str">
        <f>IFERROR(VLOOKUP(F1131,Sheet1!$A$2:$B$54,2,FALSE),"")</f>
        <v/>
      </c>
    </row>
    <row r="1132" spans="1:16" x14ac:dyDescent="0.2">
      <c r="A1132" s="1">
        <v>2023</v>
      </c>
      <c r="B1132" t="s">
        <v>137</v>
      </c>
      <c r="C1132" s="10" t="s">
        <v>1678</v>
      </c>
      <c r="D1132" s="10" t="s">
        <v>1679</v>
      </c>
      <c r="E1132" s="10" t="s">
        <v>1682</v>
      </c>
      <c r="F1132" t="s">
        <v>634</v>
      </c>
      <c r="G1132" s="4">
        <v>9006</v>
      </c>
      <c r="H1132" s="4"/>
      <c r="I1132" s="4"/>
      <c r="J1132" s="4">
        <f>SUM(G1132:I1132)</f>
        <v>9006</v>
      </c>
      <c r="K1132" t="s">
        <v>1659</v>
      </c>
      <c r="L1132" t="s">
        <v>1659</v>
      </c>
      <c r="M1132" t="s">
        <v>634</v>
      </c>
      <c r="N1132" t="s">
        <v>1132</v>
      </c>
      <c r="O1132" t="s">
        <v>1132</v>
      </c>
      <c r="P1132" t="str">
        <f>IFERROR(VLOOKUP(F1132,Sheet1!$A$2:$B$54,2,FALSE),"")</f>
        <v/>
      </c>
    </row>
    <row r="1133" spans="1:16" x14ac:dyDescent="0.2">
      <c r="A1133" s="1">
        <v>2015</v>
      </c>
      <c r="B1133" t="s">
        <v>138</v>
      </c>
      <c r="C1133" s="10" t="s">
        <v>1678</v>
      </c>
      <c r="D1133" s="10" t="s">
        <v>1679</v>
      </c>
      <c r="E1133" s="10" t="s">
        <v>1682</v>
      </c>
      <c r="F1133" t="s">
        <v>635</v>
      </c>
      <c r="G1133" s="4">
        <v>3882</v>
      </c>
      <c r="H1133" s="4"/>
      <c r="I1133" s="4"/>
      <c r="J1133" s="4">
        <f>SUM(G1133:I1133)</f>
        <v>3882</v>
      </c>
      <c r="K1133" t="s">
        <v>1659</v>
      </c>
      <c r="L1133" t="s">
        <v>1659</v>
      </c>
      <c r="M1133" t="s">
        <v>1173</v>
      </c>
      <c r="N1133" t="s">
        <v>1132</v>
      </c>
      <c r="O1133" t="s">
        <v>1132</v>
      </c>
      <c r="P1133" t="str">
        <f>IFERROR(VLOOKUP(F1133,Sheet1!$A$2:$B$54,2,FALSE),"")</f>
        <v/>
      </c>
    </row>
    <row r="1134" spans="1:16" x14ac:dyDescent="0.2">
      <c r="A1134" s="1">
        <v>2016</v>
      </c>
      <c r="B1134" t="s">
        <v>138</v>
      </c>
      <c r="C1134" s="10" t="s">
        <v>1678</v>
      </c>
      <c r="D1134" s="10" t="s">
        <v>1679</v>
      </c>
      <c r="E1134" s="10" t="s">
        <v>1682</v>
      </c>
      <c r="F1134" t="s">
        <v>635</v>
      </c>
      <c r="G1134" s="4">
        <v>6157</v>
      </c>
      <c r="H1134" s="4"/>
      <c r="I1134" s="4"/>
      <c r="J1134" s="4">
        <f>SUM(G1134:I1134)</f>
        <v>6157</v>
      </c>
      <c r="K1134" t="s">
        <v>1659</v>
      </c>
      <c r="L1134" t="s">
        <v>1659</v>
      </c>
      <c r="M1134" t="s">
        <v>1173</v>
      </c>
      <c r="N1134" t="s">
        <v>1132</v>
      </c>
      <c r="O1134" t="s">
        <v>1132</v>
      </c>
      <c r="P1134" t="str">
        <f>IFERROR(VLOOKUP(F1134,Sheet1!$A$2:$B$54,2,FALSE),"")</f>
        <v/>
      </c>
    </row>
    <row r="1135" spans="1:16" x14ac:dyDescent="0.2">
      <c r="A1135" s="1">
        <v>2017</v>
      </c>
      <c r="B1135" t="s">
        <v>138</v>
      </c>
      <c r="C1135" s="10" t="s">
        <v>1678</v>
      </c>
      <c r="D1135" s="10" t="s">
        <v>1679</v>
      </c>
      <c r="E1135" s="10" t="s">
        <v>1682</v>
      </c>
      <c r="F1135" t="s">
        <v>635</v>
      </c>
      <c r="G1135" s="4">
        <v>7457</v>
      </c>
      <c r="H1135" s="4"/>
      <c r="I1135" s="4"/>
      <c r="J1135" s="4">
        <f>SUM(G1135:I1135)</f>
        <v>7457</v>
      </c>
      <c r="K1135" t="s">
        <v>1659</v>
      </c>
      <c r="L1135" t="s">
        <v>1659</v>
      </c>
      <c r="M1135" t="s">
        <v>1173</v>
      </c>
      <c r="N1135" t="s">
        <v>1132</v>
      </c>
      <c r="O1135" t="s">
        <v>1132</v>
      </c>
      <c r="P1135" t="str">
        <f>IFERROR(VLOOKUP(F1135,Sheet1!$A$2:$B$54,2,FALSE),"")</f>
        <v/>
      </c>
    </row>
    <row r="1136" spans="1:16" x14ac:dyDescent="0.2">
      <c r="A1136" s="1">
        <v>2018</v>
      </c>
      <c r="B1136" t="s">
        <v>138</v>
      </c>
      <c r="C1136" s="10" t="s">
        <v>1678</v>
      </c>
      <c r="D1136" s="10" t="s">
        <v>1679</v>
      </c>
      <c r="E1136" s="10" t="s">
        <v>1682</v>
      </c>
      <c r="F1136" t="s">
        <v>635</v>
      </c>
      <c r="G1136" s="4">
        <v>9098</v>
      </c>
      <c r="H1136" s="4"/>
      <c r="I1136" s="4"/>
      <c r="J1136" s="4">
        <f>SUM(G1136:I1136)</f>
        <v>9098</v>
      </c>
      <c r="K1136" t="s">
        <v>1659</v>
      </c>
      <c r="L1136" t="s">
        <v>1659</v>
      </c>
      <c r="M1136" t="s">
        <v>1173</v>
      </c>
      <c r="N1136" t="s">
        <v>1132</v>
      </c>
      <c r="O1136" t="s">
        <v>1132</v>
      </c>
      <c r="P1136" t="str">
        <f>IFERROR(VLOOKUP(F1136,Sheet1!$A$2:$B$54,2,FALSE),"")</f>
        <v/>
      </c>
    </row>
    <row r="1137" spans="1:16" x14ac:dyDescent="0.2">
      <c r="A1137" s="1">
        <v>2019</v>
      </c>
      <c r="B1137" t="s">
        <v>138</v>
      </c>
      <c r="C1137" s="10" t="s">
        <v>1678</v>
      </c>
      <c r="D1137" s="10" t="s">
        <v>1679</v>
      </c>
      <c r="E1137" s="10" t="s">
        <v>1682</v>
      </c>
      <c r="F1137" t="s">
        <v>635</v>
      </c>
      <c r="G1137" s="4">
        <v>14444</v>
      </c>
      <c r="H1137" s="4"/>
      <c r="I1137" s="4"/>
      <c r="J1137" s="4">
        <f>SUM(G1137:I1137)</f>
        <v>14444</v>
      </c>
      <c r="K1137" t="s">
        <v>1659</v>
      </c>
      <c r="L1137" t="s">
        <v>1659</v>
      </c>
      <c r="M1137" t="s">
        <v>1173</v>
      </c>
      <c r="N1137" t="s">
        <v>1132</v>
      </c>
      <c r="O1137" t="s">
        <v>1132</v>
      </c>
      <c r="P1137" t="str">
        <f>IFERROR(VLOOKUP(F1137,Sheet1!$A$2:$B$54,2,FALSE),"")</f>
        <v/>
      </c>
    </row>
    <row r="1138" spans="1:16" x14ac:dyDescent="0.2">
      <c r="A1138" s="1">
        <v>2020</v>
      </c>
      <c r="B1138" t="s">
        <v>138</v>
      </c>
      <c r="C1138" s="10" t="s">
        <v>1678</v>
      </c>
      <c r="D1138" s="10" t="s">
        <v>1679</v>
      </c>
      <c r="E1138" s="10" t="s">
        <v>1682</v>
      </c>
      <c r="F1138" t="s">
        <v>635</v>
      </c>
      <c r="G1138" s="4">
        <v>11882</v>
      </c>
      <c r="H1138" s="4"/>
      <c r="I1138" s="4"/>
      <c r="J1138" s="4">
        <f>SUM(G1138:I1138)</f>
        <v>11882</v>
      </c>
      <c r="K1138" t="s">
        <v>1659</v>
      </c>
      <c r="L1138" t="s">
        <v>1659</v>
      </c>
      <c r="M1138" t="s">
        <v>1173</v>
      </c>
      <c r="N1138" t="s">
        <v>1132</v>
      </c>
      <c r="O1138" t="s">
        <v>1132</v>
      </c>
      <c r="P1138" t="str">
        <f>IFERROR(VLOOKUP(F1138,Sheet1!$A$2:$B$54,2,FALSE),"")</f>
        <v/>
      </c>
    </row>
    <row r="1139" spans="1:16" x14ac:dyDescent="0.2">
      <c r="A1139" s="1">
        <v>2021</v>
      </c>
      <c r="B1139" t="s">
        <v>138</v>
      </c>
      <c r="C1139" s="10" t="s">
        <v>1678</v>
      </c>
      <c r="D1139" s="10" t="s">
        <v>1679</v>
      </c>
      <c r="E1139" s="10" t="s">
        <v>1682</v>
      </c>
      <c r="F1139" t="s">
        <v>635</v>
      </c>
      <c r="G1139" s="4">
        <v>10354</v>
      </c>
      <c r="H1139" s="4"/>
      <c r="I1139" s="4"/>
      <c r="J1139" s="4">
        <f>SUM(G1139:I1139)</f>
        <v>10354</v>
      </c>
      <c r="K1139" t="s">
        <v>1659</v>
      </c>
      <c r="L1139" t="s">
        <v>1659</v>
      </c>
      <c r="M1139" t="s">
        <v>635</v>
      </c>
      <c r="N1139" t="s">
        <v>1132</v>
      </c>
      <c r="O1139" t="s">
        <v>1132</v>
      </c>
      <c r="P1139" t="str">
        <f>IFERROR(VLOOKUP(F1139,Sheet1!$A$2:$B$54,2,FALSE),"")</f>
        <v/>
      </c>
    </row>
    <row r="1140" spans="1:16" x14ac:dyDescent="0.2">
      <c r="A1140" s="1">
        <v>2022</v>
      </c>
      <c r="B1140" t="s">
        <v>138</v>
      </c>
      <c r="C1140" s="10" t="s">
        <v>1678</v>
      </c>
      <c r="D1140" s="10" t="s">
        <v>1679</v>
      </c>
      <c r="E1140" s="10" t="s">
        <v>1682</v>
      </c>
      <c r="F1140" t="s">
        <v>635</v>
      </c>
      <c r="G1140" s="4">
        <v>13642</v>
      </c>
      <c r="H1140" s="4"/>
      <c r="I1140" s="4"/>
      <c r="J1140" s="4">
        <f>SUM(G1140:I1140)</f>
        <v>13642</v>
      </c>
      <c r="K1140" t="s">
        <v>1659</v>
      </c>
      <c r="L1140" t="s">
        <v>1659</v>
      </c>
      <c r="M1140" t="s">
        <v>635</v>
      </c>
      <c r="N1140" t="s">
        <v>1132</v>
      </c>
      <c r="O1140" t="s">
        <v>1132</v>
      </c>
      <c r="P1140" t="str">
        <f>IFERROR(VLOOKUP(F1140,Sheet1!$A$2:$B$54,2,FALSE),"")</f>
        <v/>
      </c>
    </row>
    <row r="1141" spans="1:16" x14ac:dyDescent="0.2">
      <c r="A1141" s="1">
        <v>2023</v>
      </c>
      <c r="B1141" t="s">
        <v>138</v>
      </c>
      <c r="C1141" s="10" t="s">
        <v>1678</v>
      </c>
      <c r="D1141" s="10" t="s">
        <v>1679</v>
      </c>
      <c r="E1141" s="10" t="s">
        <v>1682</v>
      </c>
      <c r="F1141" t="s">
        <v>635</v>
      </c>
      <c r="G1141" s="4">
        <v>19280</v>
      </c>
      <c r="H1141" s="4"/>
      <c r="I1141" s="4"/>
      <c r="J1141" s="4">
        <f>SUM(G1141:I1141)</f>
        <v>19280</v>
      </c>
      <c r="K1141" t="s">
        <v>1659</v>
      </c>
      <c r="L1141" t="s">
        <v>1659</v>
      </c>
      <c r="M1141" t="s">
        <v>635</v>
      </c>
      <c r="N1141" t="s">
        <v>1132</v>
      </c>
      <c r="O1141" t="s">
        <v>1132</v>
      </c>
      <c r="P1141" t="str">
        <f>IFERROR(VLOOKUP(F1141,Sheet1!$A$2:$B$54,2,FALSE),"")</f>
        <v/>
      </c>
    </row>
    <row r="1142" spans="1:16" x14ac:dyDescent="0.2">
      <c r="A1142" s="1">
        <v>2015</v>
      </c>
      <c r="B1142" t="s">
        <v>139</v>
      </c>
      <c r="C1142" s="10" t="s">
        <v>1678</v>
      </c>
      <c r="D1142" s="10" t="s">
        <v>1679</v>
      </c>
      <c r="E1142" s="10" t="s">
        <v>1682</v>
      </c>
      <c r="F1142" t="s">
        <v>636</v>
      </c>
      <c r="G1142" s="4">
        <v>12312</v>
      </c>
      <c r="H1142" s="4"/>
      <c r="I1142" s="4"/>
      <c r="J1142" s="4">
        <f>SUM(G1142:I1142)</f>
        <v>12312</v>
      </c>
      <c r="K1142" t="s">
        <v>1659</v>
      </c>
      <c r="L1142" t="s">
        <v>1659</v>
      </c>
      <c r="M1142" t="s">
        <v>1174</v>
      </c>
      <c r="N1142" t="s">
        <v>1132</v>
      </c>
      <c r="O1142" t="s">
        <v>1132</v>
      </c>
      <c r="P1142" t="str">
        <f>IFERROR(VLOOKUP(F1142,Sheet1!$A$2:$B$54,2,FALSE),"")</f>
        <v/>
      </c>
    </row>
    <row r="1143" spans="1:16" x14ac:dyDescent="0.2">
      <c r="A1143" s="1">
        <v>2016</v>
      </c>
      <c r="B1143" t="s">
        <v>139</v>
      </c>
      <c r="C1143" s="10" t="s">
        <v>1678</v>
      </c>
      <c r="D1143" s="10" t="s">
        <v>1679</v>
      </c>
      <c r="E1143" s="10" t="s">
        <v>1682</v>
      </c>
      <c r="F1143" t="s">
        <v>636</v>
      </c>
      <c r="G1143" s="4">
        <v>14627</v>
      </c>
      <c r="H1143" s="4"/>
      <c r="I1143" s="4"/>
      <c r="J1143" s="4">
        <f>SUM(G1143:I1143)</f>
        <v>14627</v>
      </c>
      <c r="K1143" t="s">
        <v>1659</v>
      </c>
      <c r="L1143" t="s">
        <v>1659</v>
      </c>
      <c r="M1143" t="s">
        <v>1174</v>
      </c>
      <c r="N1143" t="s">
        <v>1132</v>
      </c>
      <c r="O1143" t="s">
        <v>1132</v>
      </c>
      <c r="P1143" t="str">
        <f>IFERROR(VLOOKUP(F1143,Sheet1!$A$2:$B$54,2,FALSE),"")</f>
        <v/>
      </c>
    </row>
    <row r="1144" spans="1:16" x14ac:dyDescent="0.2">
      <c r="A1144" s="1">
        <v>2017</v>
      </c>
      <c r="B1144" t="s">
        <v>139</v>
      </c>
      <c r="C1144" s="10" t="s">
        <v>1678</v>
      </c>
      <c r="D1144" s="10" t="s">
        <v>1679</v>
      </c>
      <c r="E1144" s="10" t="s">
        <v>1682</v>
      </c>
      <c r="F1144" t="s">
        <v>636</v>
      </c>
      <c r="G1144" s="4">
        <v>26437</v>
      </c>
      <c r="H1144" s="4"/>
      <c r="I1144" s="4"/>
      <c r="J1144" s="4">
        <f>SUM(G1144:I1144)</f>
        <v>26437</v>
      </c>
      <c r="K1144" t="s">
        <v>1659</v>
      </c>
      <c r="L1144" t="s">
        <v>1659</v>
      </c>
      <c r="M1144" t="s">
        <v>1174</v>
      </c>
      <c r="N1144" t="s">
        <v>1132</v>
      </c>
      <c r="O1144" t="s">
        <v>1132</v>
      </c>
      <c r="P1144" t="str">
        <f>IFERROR(VLOOKUP(F1144,Sheet1!$A$2:$B$54,2,FALSE),"")</f>
        <v/>
      </c>
    </row>
    <row r="1145" spans="1:16" x14ac:dyDescent="0.2">
      <c r="A1145" s="1">
        <v>2018</v>
      </c>
      <c r="B1145" t="s">
        <v>139</v>
      </c>
      <c r="C1145" s="10" t="s">
        <v>1678</v>
      </c>
      <c r="D1145" s="10" t="s">
        <v>1679</v>
      </c>
      <c r="E1145" s="10" t="s">
        <v>1682</v>
      </c>
      <c r="F1145" t="s">
        <v>636</v>
      </c>
      <c r="G1145" s="4">
        <v>36045</v>
      </c>
      <c r="H1145" s="4"/>
      <c r="I1145" s="4"/>
      <c r="J1145" s="4">
        <f>SUM(G1145:I1145)</f>
        <v>36045</v>
      </c>
      <c r="K1145" t="s">
        <v>1659</v>
      </c>
      <c r="L1145" t="s">
        <v>1659</v>
      </c>
      <c r="M1145" t="s">
        <v>1174</v>
      </c>
      <c r="N1145" t="s">
        <v>1132</v>
      </c>
      <c r="O1145" t="s">
        <v>1132</v>
      </c>
      <c r="P1145" t="str">
        <f>IFERROR(VLOOKUP(F1145,Sheet1!$A$2:$B$54,2,FALSE),"")</f>
        <v/>
      </c>
    </row>
    <row r="1146" spans="1:16" x14ac:dyDescent="0.2">
      <c r="A1146" s="1">
        <v>2019</v>
      </c>
      <c r="B1146" t="s">
        <v>139</v>
      </c>
      <c r="C1146" s="10" t="s">
        <v>1678</v>
      </c>
      <c r="D1146" s="10" t="s">
        <v>1679</v>
      </c>
      <c r="E1146" s="10" t="s">
        <v>1682</v>
      </c>
      <c r="F1146" t="s">
        <v>636</v>
      </c>
      <c r="G1146" s="4">
        <v>45682</v>
      </c>
      <c r="H1146" s="4"/>
      <c r="I1146" s="4"/>
      <c r="J1146" s="4">
        <f>SUM(G1146:I1146)</f>
        <v>45682</v>
      </c>
      <c r="K1146" t="s">
        <v>1659</v>
      </c>
      <c r="L1146" t="s">
        <v>1659</v>
      </c>
      <c r="M1146" t="s">
        <v>1174</v>
      </c>
      <c r="N1146" t="s">
        <v>1132</v>
      </c>
      <c r="O1146" t="s">
        <v>1132</v>
      </c>
      <c r="P1146" t="str">
        <f>IFERROR(VLOOKUP(F1146,Sheet1!$A$2:$B$54,2,FALSE),"")</f>
        <v/>
      </c>
    </row>
    <row r="1147" spans="1:16" x14ac:dyDescent="0.2">
      <c r="A1147" s="1">
        <v>2020</v>
      </c>
      <c r="B1147" t="s">
        <v>139</v>
      </c>
      <c r="C1147" s="10" t="s">
        <v>1678</v>
      </c>
      <c r="D1147" s="10" t="s">
        <v>1679</v>
      </c>
      <c r="E1147" s="10" t="s">
        <v>1682</v>
      </c>
      <c r="F1147" t="s">
        <v>636</v>
      </c>
      <c r="G1147" s="4">
        <v>52457</v>
      </c>
      <c r="H1147" s="4"/>
      <c r="I1147" s="4"/>
      <c r="J1147" s="4">
        <f>SUM(G1147:I1147)</f>
        <v>52457</v>
      </c>
      <c r="K1147" t="s">
        <v>1659</v>
      </c>
      <c r="L1147" t="s">
        <v>1659</v>
      </c>
      <c r="M1147" t="s">
        <v>1174</v>
      </c>
      <c r="N1147" t="s">
        <v>1132</v>
      </c>
      <c r="O1147" t="s">
        <v>1132</v>
      </c>
      <c r="P1147" t="str">
        <f>IFERROR(VLOOKUP(F1147,Sheet1!$A$2:$B$54,2,FALSE),"")</f>
        <v/>
      </c>
    </row>
    <row r="1148" spans="1:16" x14ac:dyDescent="0.2">
      <c r="A1148" s="1">
        <v>2021</v>
      </c>
      <c r="B1148" t="s">
        <v>139</v>
      </c>
      <c r="C1148" s="10" t="s">
        <v>1678</v>
      </c>
      <c r="D1148" s="10" t="s">
        <v>1679</v>
      </c>
      <c r="E1148" s="10" t="s">
        <v>1682</v>
      </c>
      <c r="F1148" t="s">
        <v>636</v>
      </c>
      <c r="G1148" s="4">
        <v>66827</v>
      </c>
      <c r="H1148" s="4"/>
      <c r="I1148" s="4"/>
      <c r="J1148" s="4">
        <f>SUM(G1148:I1148)</f>
        <v>66827</v>
      </c>
      <c r="K1148" t="s">
        <v>1659</v>
      </c>
      <c r="L1148" t="s">
        <v>1659</v>
      </c>
      <c r="M1148" t="s">
        <v>636</v>
      </c>
      <c r="N1148" t="s">
        <v>1132</v>
      </c>
      <c r="O1148" t="s">
        <v>1132</v>
      </c>
      <c r="P1148" t="str">
        <f>IFERROR(VLOOKUP(F1148,Sheet1!$A$2:$B$54,2,FALSE),"")</f>
        <v/>
      </c>
    </row>
    <row r="1149" spans="1:16" x14ac:dyDescent="0.2">
      <c r="A1149" s="1">
        <v>2022</v>
      </c>
      <c r="B1149" t="s">
        <v>139</v>
      </c>
      <c r="C1149" s="10" t="s">
        <v>1678</v>
      </c>
      <c r="D1149" s="10" t="s">
        <v>1679</v>
      </c>
      <c r="E1149" s="10" t="s">
        <v>1682</v>
      </c>
      <c r="F1149" t="s">
        <v>636</v>
      </c>
      <c r="G1149" s="4">
        <v>87192</v>
      </c>
      <c r="H1149" s="4"/>
      <c r="I1149" s="4"/>
      <c r="J1149" s="4">
        <f>SUM(G1149:I1149)</f>
        <v>87192</v>
      </c>
      <c r="K1149" t="s">
        <v>1659</v>
      </c>
      <c r="L1149" t="s">
        <v>1659</v>
      </c>
      <c r="M1149" t="s">
        <v>636</v>
      </c>
      <c r="N1149" t="s">
        <v>1132</v>
      </c>
      <c r="O1149" t="s">
        <v>1132</v>
      </c>
      <c r="P1149" t="str">
        <f>IFERROR(VLOOKUP(F1149,Sheet1!$A$2:$B$54,2,FALSE),"")</f>
        <v/>
      </c>
    </row>
    <row r="1150" spans="1:16" x14ac:dyDescent="0.2">
      <c r="A1150" s="1">
        <v>2023</v>
      </c>
      <c r="B1150" t="s">
        <v>139</v>
      </c>
      <c r="C1150" s="10" t="s">
        <v>1678</v>
      </c>
      <c r="D1150" s="10" t="s">
        <v>1679</v>
      </c>
      <c r="E1150" s="10" t="s">
        <v>1682</v>
      </c>
      <c r="F1150" t="s">
        <v>636</v>
      </c>
      <c r="G1150" s="4">
        <v>103485</v>
      </c>
      <c r="H1150" s="4"/>
      <c r="I1150" s="4"/>
      <c r="J1150" s="4">
        <f>SUM(G1150:I1150)</f>
        <v>103485</v>
      </c>
      <c r="K1150" t="s">
        <v>1659</v>
      </c>
      <c r="L1150" t="s">
        <v>1659</v>
      </c>
      <c r="M1150" t="s">
        <v>636</v>
      </c>
      <c r="N1150" t="s">
        <v>1132</v>
      </c>
      <c r="O1150" t="s">
        <v>1132</v>
      </c>
      <c r="P1150" t="str">
        <f>IFERROR(VLOOKUP(F1150,Sheet1!$A$2:$B$54,2,FALSE),"")</f>
        <v/>
      </c>
    </row>
    <row r="1151" spans="1:16" x14ac:dyDescent="0.2">
      <c r="A1151" s="1">
        <v>2015</v>
      </c>
      <c r="B1151" t="s">
        <v>140</v>
      </c>
      <c r="C1151" s="10" t="s">
        <v>1678</v>
      </c>
      <c r="D1151" s="10" t="s">
        <v>1679</v>
      </c>
      <c r="E1151" s="10" t="s">
        <v>1682</v>
      </c>
      <c r="F1151" t="s">
        <v>637</v>
      </c>
      <c r="G1151" s="4">
        <v>24307</v>
      </c>
      <c r="H1151" s="4">
        <v>961388</v>
      </c>
      <c r="I1151" s="4"/>
      <c r="J1151" s="4">
        <f>SUM(G1151:I1151)</f>
        <v>985695</v>
      </c>
      <c r="K1151" t="s">
        <v>1660</v>
      </c>
      <c r="L1151" t="s">
        <v>1659</v>
      </c>
      <c r="M1151" t="s">
        <v>1175</v>
      </c>
      <c r="N1151" t="s">
        <v>1175</v>
      </c>
      <c r="O1151" t="s">
        <v>1132</v>
      </c>
      <c r="P1151">
        <f>IFERROR(VLOOKUP(F1151,Sheet1!$A$2:$B$54,2,FALSE),"")</f>
        <v>4900300</v>
      </c>
    </row>
    <row r="1152" spans="1:16" x14ac:dyDescent="0.2">
      <c r="A1152" s="1">
        <v>2016</v>
      </c>
      <c r="B1152" t="s">
        <v>140</v>
      </c>
      <c r="C1152" s="10" t="s">
        <v>1678</v>
      </c>
      <c r="D1152" s="10" t="s">
        <v>1679</v>
      </c>
      <c r="E1152" s="10" t="s">
        <v>1682</v>
      </c>
      <c r="F1152" t="s">
        <v>637</v>
      </c>
      <c r="G1152" s="4">
        <v>31944</v>
      </c>
      <c r="H1152" s="4">
        <v>995094</v>
      </c>
      <c r="I1152" s="4"/>
      <c r="J1152" s="4">
        <f>SUM(G1152:I1152)</f>
        <v>1027038</v>
      </c>
      <c r="K1152" t="s">
        <v>1660</v>
      </c>
      <c r="L1152" t="s">
        <v>1659</v>
      </c>
      <c r="M1152" t="s">
        <v>1175</v>
      </c>
      <c r="N1152" t="s">
        <v>1175</v>
      </c>
      <c r="O1152" t="s">
        <v>1132</v>
      </c>
      <c r="P1152">
        <f>IFERROR(VLOOKUP(F1152,Sheet1!$A$2:$B$54,2,FALSE),"")</f>
        <v>4900300</v>
      </c>
    </row>
    <row r="1153" spans="1:16" x14ac:dyDescent="0.2">
      <c r="A1153" s="1">
        <v>2017</v>
      </c>
      <c r="B1153" t="s">
        <v>140</v>
      </c>
      <c r="C1153" s="10" t="s">
        <v>1678</v>
      </c>
      <c r="D1153" s="10" t="s">
        <v>1679</v>
      </c>
      <c r="E1153" s="10" t="s">
        <v>1682</v>
      </c>
      <c r="F1153" t="s">
        <v>637</v>
      </c>
      <c r="G1153" s="4">
        <v>48721</v>
      </c>
      <c r="H1153" s="4">
        <v>984674</v>
      </c>
      <c r="I1153" s="4"/>
      <c r="J1153" s="4">
        <f>SUM(G1153:I1153)</f>
        <v>1033395</v>
      </c>
      <c r="K1153" t="s">
        <v>1660</v>
      </c>
      <c r="L1153" t="s">
        <v>1659</v>
      </c>
      <c r="M1153" t="s">
        <v>1175</v>
      </c>
      <c r="N1153" t="s">
        <v>1175</v>
      </c>
      <c r="O1153" t="s">
        <v>1132</v>
      </c>
      <c r="P1153">
        <f>IFERROR(VLOOKUP(F1153,Sheet1!$A$2:$B$54,2,FALSE),"")</f>
        <v>4900300</v>
      </c>
    </row>
    <row r="1154" spans="1:16" x14ac:dyDescent="0.2">
      <c r="A1154" s="1">
        <v>2018</v>
      </c>
      <c r="B1154" t="s">
        <v>140</v>
      </c>
      <c r="C1154" s="10" t="s">
        <v>1678</v>
      </c>
      <c r="D1154" s="10" t="s">
        <v>1679</v>
      </c>
      <c r="E1154" s="10" t="s">
        <v>1682</v>
      </c>
      <c r="F1154" t="s">
        <v>637</v>
      </c>
      <c r="G1154" s="4">
        <v>72153</v>
      </c>
      <c r="H1154" s="4">
        <v>983784</v>
      </c>
      <c r="I1154" s="4"/>
      <c r="J1154" s="4">
        <f>SUM(G1154:I1154)</f>
        <v>1055937</v>
      </c>
      <c r="K1154" t="s">
        <v>1660</v>
      </c>
      <c r="L1154" t="s">
        <v>1659</v>
      </c>
      <c r="M1154" t="s">
        <v>1175</v>
      </c>
      <c r="N1154" t="s">
        <v>1175</v>
      </c>
      <c r="O1154" t="s">
        <v>1132</v>
      </c>
      <c r="P1154">
        <f>IFERROR(VLOOKUP(F1154,Sheet1!$A$2:$B$54,2,FALSE),"")</f>
        <v>4900300</v>
      </c>
    </row>
    <row r="1155" spans="1:16" x14ac:dyDescent="0.2">
      <c r="A1155" s="1">
        <v>2019</v>
      </c>
      <c r="B1155" t="s">
        <v>140</v>
      </c>
      <c r="C1155" s="10" t="s">
        <v>1678</v>
      </c>
      <c r="D1155" s="10" t="s">
        <v>1679</v>
      </c>
      <c r="E1155" s="10" t="s">
        <v>1682</v>
      </c>
      <c r="F1155" t="s">
        <v>637</v>
      </c>
      <c r="G1155" s="4">
        <v>101874</v>
      </c>
      <c r="H1155" s="4">
        <v>976241</v>
      </c>
      <c r="I1155" s="4"/>
      <c r="J1155" s="4">
        <f>SUM(G1155:I1155)</f>
        <v>1078115</v>
      </c>
      <c r="K1155" t="s">
        <v>1660</v>
      </c>
      <c r="L1155" t="s">
        <v>1659</v>
      </c>
      <c r="M1155" t="s">
        <v>1175</v>
      </c>
      <c r="N1155" t="s">
        <v>1175</v>
      </c>
      <c r="O1155" t="s">
        <v>1132</v>
      </c>
      <c r="P1155">
        <f>IFERROR(VLOOKUP(F1155,Sheet1!$A$2:$B$54,2,FALSE),"")</f>
        <v>4900300</v>
      </c>
    </row>
    <row r="1156" spans="1:16" x14ac:dyDescent="0.2">
      <c r="A1156" s="1">
        <v>2020</v>
      </c>
      <c r="B1156" t="s">
        <v>140</v>
      </c>
      <c r="C1156" s="10" t="s">
        <v>1678</v>
      </c>
      <c r="D1156" s="10" t="s">
        <v>1679</v>
      </c>
      <c r="E1156" s="10" t="s">
        <v>1682</v>
      </c>
      <c r="F1156" t="s">
        <v>637</v>
      </c>
      <c r="G1156" s="4">
        <v>138027</v>
      </c>
      <c r="H1156" s="4">
        <v>980655</v>
      </c>
      <c r="I1156" s="4"/>
      <c r="J1156" s="4">
        <f>SUM(G1156:I1156)</f>
        <v>1118682</v>
      </c>
      <c r="K1156" t="s">
        <v>1660</v>
      </c>
      <c r="L1156" t="s">
        <v>1659</v>
      </c>
      <c r="M1156" t="s">
        <v>1175</v>
      </c>
      <c r="N1156" t="s">
        <v>1175</v>
      </c>
      <c r="O1156" t="s">
        <v>1132</v>
      </c>
      <c r="P1156">
        <f>IFERROR(VLOOKUP(F1156,Sheet1!$A$2:$B$54,2,FALSE),"")</f>
        <v>4900300</v>
      </c>
    </row>
    <row r="1157" spans="1:16" x14ac:dyDescent="0.2">
      <c r="A1157" s="1">
        <v>2021</v>
      </c>
      <c r="B1157" t="s">
        <v>140</v>
      </c>
      <c r="C1157" s="10" t="s">
        <v>1678</v>
      </c>
      <c r="D1157" s="10" t="s">
        <v>1679</v>
      </c>
      <c r="E1157" s="10" t="s">
        <v>1682</v>
      </c>
      <c r="F1157" t="s">
        <v>637</v>
      </c>
      <c r="G1157" s="4">
        <v>191224</v>
      </c>
      <c r="H1157" s="4">
        <v>1026901</v>
      </c>
      <c r="I1157" s="4"/>
      <c r="J1157" s="4">
        <f>SUM(G1157:I1157)</f>
        <v>1218125</v>
      </c>
      <c r="K1157" t="s">
        <v>1660</v>
      </c>
      <c r="L1157" t="s">
        <v>1659</v>
      </c>
      <c r="M1157" t="s">
        <v>637</v>
      </c>
      <c r="N1157" t="s">
        <v>637</v>
      </c>
      <c r="O1157" t="s">
        <v>1132</v>
      </c>
      <c r="P1157">
        <f>IFERROR(VLOOKUP(F1157,Sheet1!$A$2:$B$54,2,FALSE),"")</f>
        <v>4900300</v>
      </c>
    </row>
    <row r="1158" spans="1:16" x14ac:dyDescent="0.2">
      <c r="A1158" s="1">
        <v>2022</v>
      </c>
      <c r="B1158" t="s">
        <v>140</v>
      </c>
      <c r="C1158" s="10" t="s">
        <v>1678</v>
      </c>
      <c r="D1158" s="10" t="s">
        <v>1679</v>
      </c>
      <c r="E1158" s="10" t="s">
        <v>1682</v>
      </c>
      <c r="F1158" t="s">
        <v>637</v>
      </c>
      <c r="G1158" s="4">
        <v>236898</v>
      </c>
      <c r="H1158" s="4">
        <v>1090346</v>
      </c>
      <c r="I1158" s="4"/>
      <c r="J1158" s="4">
        <f>SUM(G1158:I1158)</f>
        <v>1327244</v>
      </c>
      <c r="K1158" t="s">
        <v>1660</v>
      </c>
      <c r="L1158" t="s">
        <v>1659</v>
      </c>
      <c r="M1158" t="s">
        <v>637</v>
      </c>
      <c r="N1158" t="s">
        <v>637</v>
      </c>
      <c r="O1158" t="s">
        <v>1132</v>
      </c>
      <c r="P1158">
        <f>IFERROR(VLOOKUP(F1158,Sheet1!$A$2:$B$54,2,FALSE),"")</f>
        <v>4900300</v>
      </c>
    </row>
    <row r="1159" spans="1:16" x14ac:dyDescent="0.2">
      <c r="A1159" s="1">
        <v>2023</v>
      </c>
      <c r="B1159" t="s">
        <v>140</v>
      </c>
      <c r="C1159" s="10" t="s">
        <v>1678</v>
      </c>
      <c r="D1159" s="10" t="s">
        <v>1679</v>
      </c>
      <c r="E1159" s="10" t="s">
        <v>1682</v>
      </c>
      <c r="F1159" t="s">
        <v>637</v>
      </c>
      <c r="G1159" s="4">
        <v>286623</v>
      </c>
      <c r="H1159" s="4">
        <v>1187723</v>
      </c>
      <c r="I1159" s="4"/>
      <c r="J1159" s="4">
        <f>SUM(G1159:I1159)</f>
        <v>1474346</v>
      </c>
      <c r="K1159" t="s">
        <v>1660</v>
      </c>
      <c r="L1159" t="s">
        <v>1659</v>
      </c>
      <c r="M1159" t="s">
        <v>637</v>
      </c>
      <c r="N1159" t="s">
        <v>637</v>
      </c>
      <c r="O1159" t="s">
        <v>1132</v>
      </c>
      <c r="P1159">
        <f>IFERROR(VLOOKUP(F1159,Sheet1!$A$2:$B$54,2,FALSE),"")</f>
        <v>4900300</v>
      </c>
    </row>
    <row r="1160" spans="1:16" x14ac:dyDescent="0.2">
      <c r="A1160" s="1">
        <v>2015</v>
      </c>
      <c r="B1160" t="s">
        <v>141</v>
      </c>
      <c r="C1160" s="10" t="s">
        <v>1678</v>
      </c>
      <c r="D1160" s="10" t="s">
        <v>1679</v>
      </c>
      <c r="E1160" s="10" t="s">
        <v>1682</v>
      </c>
      <c r="F1160" t="s">
        <v>638</v>
      </c>
      <c r="G1160" s="4">
        <v>997</v>
      </c>
      <c r="H1160" s="4"/>
      <c r="I1160" s="4"/>
      <c r="J1160" s="4">
        <f>SUM(G1160:I1160)</f>
        <v>997</v>
      </c>
      <c r="K1160" t="s">
        <v>1659</v>
      </c>
      <c r="L1160" t="s">
        <v>1659</v>
      </c>
      <c r="M1160" t="s">
        <v>1176</v>
      </c>
      <c r="N1160" t="s">
        <v>1132</v>
      </c>
      <c r="O1160" t="s">
        <v>1132</v>
      </c>
      <c r="P1160" t="str">
        <f>IFERROR(VLOOKUP(F1160,Sheet1!$A$2:$B$54,2,FALSE),"")</f>
        <v/>
      </c>
    </row>
    <row r="1161" spans="1:16" x14ac:dyDescent="0.2">
      <c r="A1161" s="1">
        <v>2016</v>
      </c>
      <c r="B1161" t="s">
        <v>141</v>
      </c>
      <c r="C1161" s="10" t="s">
        <v>1678</v>
      </c>
      <c r="D1161" s="10" t="s">
        <v>1679</v>
      </c>
      <c r="E1161" s="10" t="s">
        <v>1682</v>
      </c>
      <c r="F1161" t="s">
        <v>638</v>
      </c>
      <c r="G1161" s="4">
        <v>2469</v>
      </c>
      <c r="H1161" s="4"/>
      <c r="I1161" s="4"/>
      <c r="J1161" s="4">
        <f>SUM(G1161:I1161)</f>
        <v>2469</v>
      </c>
      <c r="K1161" t="s">
        <v>1659</v>
      </c>
      <c r="L1161" t="s">
        <v>1659</v>
      </c>
      <c r="M1161" t="s">
        <v>1176</v>
      </c>
      <c r="N1161" t="s">
        <v>1132</v>
      </c>
      <c r="O1161" t="s">
        <v>1132</v>
      </c>
      <c r="P1161" t="str">
        <f>IFERROR(VLOOKUP(F1161,Sheet1!$A$2:$B$54,2,FALSE),"")</f>
        <v/>
      </c>
    </row>
    <row r="1162" spans="1:16" x14ac:dyDescent="0.2">
      <c r="A1162" s="1">
        <v>2017</v>
      </c>
      <c r="B1162" t="s">
        <v>141</v>
      </c>
      <c r="C1162" s="10" t="s">
        <v>1678</v>
      </c>
      <c r="D1162" s="10" t="s">
        <v>1679</v>
      </c>
      <c r="E1162" s="10" t="s">
        <v>1682</v>
      </c>
      <c r="F1162" t="s">
        <v>638</v>
      </c>
      <c r="G1162" s="4">
        <v>5531</v>
      </c>
      <c r="H1162" s="4"/>
      <c r="I1162" s="4"/>
      <c r="J1162" s="4">
        <f>SUM(G1162:I1162)</f>
        <v>5531</v>
      </c>
      <c r="K1162" t="s">
        <v>1659</v>
      </c>
      <c r="L1162" t="s">
        <v>1659</v>
      </c>
      <c r="M1162" t="s">
        <v>1176</v>
      </c>
      <c r="N1162" t="s">
        <v>1132</v>
      </c>
      <c r="O1162" t="s">
        <v>1132</v>
      </c>
      <c r="P1162" t="str">
        <f>IFERROR(VLOOKUP(F1162,Sheet1!$A$2:$B$54,2,FALSE),"")</f>
        <v/>
      </c>
    </row>
    <row r="1163" spans="1:16" x14ac:dyDescent="0.2">
      <c r="A1163" s="1">
        <v>2018</v>
      </c>
      <c r="B1163" t="s">
        <v>141</v>
      </c>
      <c r="C1163" s="10" t="s">
        <v>1678</v>
      </c>
      <c r="D1163" s="10" t="s">
        <v>1679</v>
      </c>
      <c r="E1163" s="10" t="s">
        <v>1682</v>
      </c>
      <c r="F1163" t="s">
        <v>638</v>
      </c>
      <c r="G1163" s="4">
        <v>7299</v>
      </c>
      <c r="H1163" s="4"/>
      <c r="I1163" s="4"/>
      <c r="J1163" s="4">
        <f>SUM(G1163:I1163)</f>
        <v>7299</v>
      </c>
      <c r="K1163" t="s">
        <v>1659</v>
      </c>
      <c r="L1163" t="s">
        <v>1659</v>
      </c>
      <c r="M1163" t="s">
        <v>1176</v>
      </c>
      <c r="N1163" t="s">
        <v>1132</v>
      </c>
      <c r="O1163" t="s">
        <v>1132</v>
      </c>
      <c r="P1163" t="str">
        <f>IFERROR(VLOOKUP(F1163,Sheet1!$A$2:$B$54,2,FALSE),"")</f>
        <v/>
      </c>
    </row>
    <row r="1164" spans="1:16" x14ac:dyDescent="0.2">
      <c r="A1164" s="1">
        <v>2019</v>
      </c>
      <c r="B1164" t="s">
        <v>141</v>
      </c>
      <c r="C1164" s="10" t="s">
        <v>1678</v>
      </c>
      <c r="D1164" s="10" t="s">
        <v>1679</v>
      </c>
      <c r="E1164" s="10" t="s">
        <v>1682</v>
      </c>
      <c r="F1164" t="s">
        <v>638</v>
      </c>
      <c r="G1164" s="4">
        <v>11025</v>
      </c>
      <c r="H1164" s="4"/>
      <c r="I1164" s="4"/>
      <c r="J1164" s="4">
        <f>SUM(G1164:I1164)</f>
        <v>11025</v>
      </c>
      <c r="K1164" t="s">
        <v>1659</v>
      </c>
      <c r="L1164" t="s">
        <v>1659</v>
      </c>
      <c r="M1164" t="s">
        <v>1176</v>
      </c>
      <c r="N1164" t="s">
        <v>1132</v>
      </c>
      <c r="O1164" t="s">
        <v>1132</v>
      </c>
      <c r="P1164" t="str">
        <f>IFERROR(VLOOKUP(F1164,Sheet1!$A$2:$B$54,2,FALSE),"")</f>
        <v/>
      </c>
    </row>
    <row r="1165" spans="1:16" x14ac:dyDescent="0.2">
      <c r="A1165" s="1">
        <v>2020</v>
      </c>
      <c r="B1165" t="s">
        <v>141</v>
      </c>
      <c r="C1165" s="10" t="s">
        <v>1678</v>
      </c>
      <c r="D1165" s="10" t="s">
        <v>1679</v>
      </c>
      <c r="E1165" s="10" t="s">
        <v>1682</v>
      </c>
      <c r="F1165" t="s">
        <v>638</v>
      </c>
      <c r="G1165" s="4">
        <v>10500</v>
      </c>
      <c r="H1165" s="4"/>
      <c r="I1165" s="4"/>
      <c r="J1165" s="4">
        <f>SUM(G1165:I1165)</f>
        <v>10500</v>
      </c>
      <c r="K1165" t="s">
        <v>1659</v>
      </c>
      <c r="L1165" t="s">
        <v>1659</v>
      </c>
      <c r="M1165" t="s">
        <v>1176</v>
      </c>
      <c r="N1165" t="s">
        <v>1132</v>
      </c>
      <c r="O1165" t="s">
        <v>1132</v>
      </c>
      <c r="P1165" t="str">
        <f>IFERROR(VLOOKUP(F1165,Sheet1!$A$2:$B$54,2,FALSE),"")</f>
        <v/>
      </c>
    </row>
    <row r="1166" spans="1:16" x14ac:dyDescent="0.2">
      <c r="A1166" s="1">
        <v>2021</v>
      </c>
      <c r="B1166" t="s">
        <v>141</v>
      </c>
      <c r="C1166" s="10" t="s">
        <v>1678</v>
      </c>
      <c r="D1166" s="10" t="s">
        <v>1679</v>
      </c>
      <c r="E1166" s="10" t="s">
        <v>1682</v>
      </c>
      <c r="F1166" t="s">
        <v>638</v>
      </c>
      <c r="G1166" s="4">
        <v>6007</v>
      </c>
      <c r="H1166" s="4"/>
      <c r="I1166" s="4"/>
      <c r="J1166" s="4">
        <f>SUM(G1166:I1166)</f>
        <v>6007</v>
      </c>
      <c r="K1166" t="s">
        <v>1659</v>
      </c>
      <c r="L1166" t="s">
        <v>1659</v>
      </c>
      <c r="M1166" t="s">
        <v>638</v>
      </c>
      <c r="N1166" t="s">
        <v>1132</v>
      </c>
      <c r="O1166" t="s">
        <v>1132</v>
      </c>
      <c r="P1166" t="str">
        <f>IFERROR(VLOOKUP(F1166,Sheet1!$A$2:$B$54,2,FALSE),"")</f>
        <v/>
      </c>
    </row>
    <row r="1167" spans="1:16" x14ac:dyDescent="0.2">
      <c r="A1167" s="1">
        <v>2022</v>
      </c>
      <c r="B1167" t="s">
        <v>141</v>
      </c>
      <c r="C1167" s="10" t="s">
        <v>1678</v>
      </c>
      <c r="D1167" s="10" t="s">
        <v>1679</v>
      </c>
      <c r="E1167" s="10" t="s">
        <v>1682</v>
      </c>
      <c r="F1167" t="s">
        <v>638</v>
      </c>
      <c r="G1167" s="4">
        <v>6660</v>
      </c>
      <c r="H1167" s="4"/>
      <c r="I1167" s="4"/>
      <c r="J1167" s="4">
        <f>SUM(G1167:I1167)</f>
        <v>6660</v>
      </c>
      <c r="K1167" t="s">
        <v>1659</v>
      </c>
      <c r="L1167" t="s">
        <v>1659</v>
      </c>
      <c r="M1167" t="s">
        <v>638</v>
      </c>
      <c r="N1167" t="s">
        <v>1132</v>
      </c>
      <c r="O1167" t="s">
        <v>1132</v>
      </c>
      <c r="P1167" t="str">
        <f>IFERROR(VLOOKUP(F1167,Sheet1!$A$2:$B$54,2,FALSE),"")</f>
        <v/>
      </c>
    </row>
    <row r="1168" spans="1:16" x14ac:dyDescent="0.2">
      <c r="A1168" s="1">
        <v>2023</v>
      </c>
      <c r="B1168" t="s">
        <v>141</v>
      </c>
      <c r="C1168" s="10" t="s">
        <v>1678</v>
      </c>
      <c r="D1168" s="10" t="s">
        <v>1679</v>
      </c>
      <c r="E1168" s="10" t="s">
        <v>1682</v>
      </c>
      <c r="F1168" t="s">
        <v>638</v>
      </c>
      <c r="G1168" s="4">
        <v>13798</v>
      </c>
      <c r="H1168" s="4"/>
      <c r="I1168" s="4"/>
      <c r="J1168" s="4">
        <f>SUM(G1168:I1168)</f>
        <v>13798</v>
      </c>
      <c r="K1168" t="s">
        <v>1659</v>
      </c>
      <c r="L1168" t="s">
        <v>1659</v>
      </c>
      <c r="M1168" t="s">
        <v>638</v>
      </c>
      <c r="N1168" t="s">
        <v>1132</v>
      </c>
      <c r="O1168" t="s">
        <v>1132</v>
      </c>
      <c r="P1168" t="str">
        <f>IFERROR(VLOOKUP(F1168,Sheet1!$A$2:$B$54,2,FALSE),"")</f>
        <v/>
      </c>
    </row>
    <row r="1169" spans="1:16" x14ac:dyDescent="0.2">
      <c r="A1169" s="1">
        <v>2023</v>
      </c>
      <c r="B1169" t="s">
        <v>142</v>
      </c>
      <c r="C1169" s="10" t="s">
        <v>1678</v>
      </c>
      <c r="D1169" s="10" t="s">
        <v>1679</v>
      </c>
      <c r="E1169" s="10" t="s">
        <v>1682</v>
      </c>
      <c r="F1169" t="s">
        <v>639</v>
      </c>
      <c r="G1169" s="4">
        <v>3782</v>
      </c>
      <c r="H1169" s="4"/>
      <c r="I1169" s="4"/>
      <c r="J1169" s="4">
        <f>SUM(G1169:I1169)</f>
        <v>3782</v>
      </c>
      <c r="K1169" t="s">
        <v>1659</v>
      </c>
      <c r="L1169" t="s">
        <v>1659</v>
      </c>
      <c r="M1169" t="s">
        <v>639</v>
      </c>
      <c r="N1169" t="s">
        <v>1132</v>
      </c>
      <c r="O1169" t="s">
        <v>1132</v>
      </c>
      <c r="P1169" t="str">
        <f>IFERROR(VLOOKUP(F1169,Sheet1!$A$2:$B$54,2,FALSE),"")</f>
        <v/>
      </c>
    </row>
    <row r="1170" spans="1:16" x14ac:dyDescent="0.2">
      <c r="A1170" s="1">
        <v>2015</v>
      </c>
      <c r="B1170" t="s">
        <v>143</v>
      </c>
      <c r="C1170" s="10" t="s">
        <v>1678</v>
      </c>
      <c r="D1170" s="10" t="s">
        <v>1679</v>
      </c>
      <c r="E1170" s="10" t="s">
        <v>1682</v>
      </c>
      <c r="F1170" t="s">
        <v>640</v>
      </c>
      <c r="G1170" s="4">
        <v>58292</v>
      </c>
      <c r="H1170" s="4"/>
      <c r="I1170" s="4"/>
      <c r="J1170" s="4">
        <f>SUM(G1170:I1170)</f>
        <v>58292</v>
      </c>
      <c r="K1170" t="s">
        <v>1659</v>
      </c>
      <c r="L1170" t="s">
        <v>1659</v>
      </c>
      <c r="M1170" t="s">
        <v>1177</v>
      </c>
      <c r="N1170" t="s">
        <v>1132</v>
      </c>
      <c r="O1170" t="s">
        <v>1132</v>
      </c>
      <c r="P1170" t="str">
        <f>IFERROR(VLOOKUP(F1170,Sheet1!$A$2:$B$54,2,FALSE),"")</f>
        <v/>
      </c>
    </row>
    <row r="1171" spans="1:16" x14ac:dyDescent="0.2">
      <c r="A1171" s="1">
        <v>2016</v>
      </c>
      <c r="B1171" t="s">
        <v>143</v>
      </c>
      <c r="C1171" s="10" t="s">
        <v>1678</v>
      </c>
      <c r="D1171" s="10" t="s">
        <v>1679</v>
      </c>
      <c r="E1171" s="10" t="s">
        <v>1682</v>
      </c>
      <c r="F1171" t="s">
        <v>640</v>
      </c>
      <c r="G1171" s="4">
        <v>77539</v>
      </c>
      <c r="H1171" s="4"/>
      <c r="I1171" s="4"/>
      <c r="J1171" s="4">
        <f>SUM(G1171:I1171)</f>
        <v>77539</v>
      </c>
      <c r="K1171" t="s">
        <v>1659</v>
      </c>
      <c r="L1171" t="s">
        <v>1659</v>
      </c>
      <c r="M1171" t="s">
        <v>1177</v>
      </c>
      <c r="N1171" t="s">
        <v>1132</v>
      </c>
      <c r="O1171" t="s">
        <v>1132</v>
      </c>
      <c r="P1171" t="str">
        <f>IFERROR(VLOOKUP(F1171,Sheet1!$A$2:$B$54,2,FALSE),"")</f>
        <v/>
      </c>
    </row>
    <row r="1172" spans="1:16" x14ac:dyDescent="0.2">
      <c r="A1172" s="1">
        <v>2017</v>
      </c>
      <c r="B1172" t="s">
        <v>143</v>
      </c>
      <c r="C1172" s="10" t="s">
        <v>1678</v>
      </c>
      <c r="D1172" s="10" t="s">
        <v>1679</v>
      </c>
      <c r="E1172" s="10" t="s">
        <v>1682</v>
      </c>
      <c r="F1172" t="s">
        <v>640</v>
      </c>
      <c r="G1172" s="4">
        <v>114145</v>
      </c>
      <c r="H1172" s="4"/>
      <c r="I1172" s="4"/>
      <c r="J1172" s="4">
        <f>SUM(G1172:I1172)</f>
        <v>114145</v>
      </c>
      <c r="K1172" t="s">
        <v>1659</v>
      </c>
      <c r="L1172" t="s">
        <v>1659</v>
      </c>
      <c r="M1172" t="s">
        <v>1177</v>
      </c>
      <c r="N1172" t="s">
        <v>1132</v>
      </c>
      <c r="O1172" t="s">
        <v>1132</v>
      </c>
      <c r="P1172" t="str">
        <f>IFERROR(VLOOKUP(F1172,Sheet1!$A$2:$B$54,2,FALSE),"")</f>
        <v/>
      </c>
    </row>
    <row r="1173" spans="1:16" x14ac:dyDescent="0.2">
      <c r="A1173" s="1">
        <v>2018</v>
      </c>
      <c r="B1173" t="s">
        <v>143</v>
      </c>
      <c r="C1173" s="10" t="s">
        <v>1678</v>
      </c>
      <c r="D1173" s="10" t="s">
        <v>1679</v>
      </c>
      <c r="E1173" s="10" t="s">
        <v>1682</v>
      </c>
      <c r="F1173" t="s">
        <v>640</v>
      </c>
      <c r="G1173" s="4">
        <v>130172</v>
      </c>
      <c r="H1173" s="4"/>
      <c r="I1173" s="4"/>
      <c r="J1173" s="4">
        <f>SUM(G1173:I1173)</f>
        <v>130172</v>
      </c>
      <c r="K1173" t="s">
        <v>1659</v>
      </c>
      <c r="L1173" t="s">
        <v>1659</v>
      </c>
      <c r="M1173" t="s">
        <v>1177</v>
      </c>
      <c r="N1173" t="s">
        <v>1132</v>
      </c>
      <c r="O1173" t="s">
        <v>1132</v>
      </c>
      <c r="P1173" t="str">
        <f>IFERROR(VLOOKUP(F1173,Sheet1!$A$2:$B$54,2,FALSE),"")</f>
        <v/>
      </c>
    </row>
    <row r="1174" spans="1:16" x14ac:dyDescent="0.2">
      <c r="A1174" s="1">
        <v>2019</v>
      </c>
      <c r="B1174" t="s">
        <v>143</v>
      </c>
      <c r="C1174" s="10" t="s">
        <v>1678</v>
      </c>
      <c r="D1174" s="10" t="s">
        <v>1679</v>
      </c>
      <c r="E1174" s="10" t="s">
        <v>1682</v>
      </c>
      <c r="F1174" t="s">
        <v>640</v>
      </c>
      <c r="G1174" s="4">
        <v>179396</v>
      </c>
      <c r="H1174" s="4"/>
      <c r="I1174" s="4"/>
      <c r="J1174" s="4">
        <f>SUM(G1174:I1174)</f>
        <v>179396</v>
      </c>
      <c r="K1174" t="s">
        <v>1659</v>
      </c>
      <c r="L1174" t="s">
        <v>1659</v>
      </c>
      <c r="M1174" t="s">
        <v>1177</v>
      </c>
      <c r="N1174" t="s">
        <v>1132</v>
      </c>
      <c r="O1174" t="s">
        <v>1132</v>
      </c>
      <c r="P1174" t="str">
        <f>IFERROR(VLOOKUP(F1174,Sheet1!$A$2:$B$54,2,FALSE),"")</f>
        <v/>
      </c>
    </row>
    <row r="1175" spans="1:16" x14ac:dyDescent="0.2">
      <c r="A1175" s="1">
        <v>2020</v>
      </c>
      <c r="B1175" t="s">
        <v>143</v>
      </c>
      <c r="C1175" s="10" t="s">
        <v>1678</v>
      </c>
      <c r="D1175" s="10" t="s">
        <v>1679</v>
      </c>
      <c r="E1175" s="10" t="s">
        <v>1682</v>
      </c>
      <c r="F1175" t="s">
        <v>640</v>
      </c>
      <c r="G1175" s="4">
        <v>193180</v>
      </c>
      <c r="H1175" s="4"/>
      <c r="I1175" s="4"/>
      <c r="J1175" s="4">
        <f>SUM(G1175:I1175)</f>
        <v>193180</v>
      </c>
      <c r="K1175" t="s">
        <v>1659</v>
      </c>
      <c r="L1175" t="s">
        <v>1659</v>
      </c>
      <c r="M1175" t="s">
        <v>1177</v>
      </c>
      <c r="N1175" t="s">
        <v>1132</v>
      </c>
      <c r="O1175" t="s">
        <v>1132</v>
      </c>
      <c r="P1175" t="str">
        <f>IFERROR(VLOOKUP(F1175,Sheet1!$A$2:$B$54,2,FALSE),"")</f>
        <v/>
      </c>
    </row>
    <row r="1176" spans="1:16" x14ac:dyDescent="0.2">
      <c r="A1176" s="1">
        <v>2021</v>
      </c>
      <c r="B1176" t="s">
        <v>143</v>
      </c>
      <c r="C1176" s="10" t="s">
        <v>1678</v>
      </c>
      <c r="D1176" s="10" t="s">
        <v>1679</v>
      </c>
      <c r="E1176" s="10" t="s">
        <v>1682</v>
      </c>
      <c r="F1176" t="s">
        <v>640</v>
      </c>
      <c r="G1176" s="4">
        <v>229942</v>
      </c>
      <c r="H1176" s="4"/>
      <c r="I1176" s="4"/>
      <c r="J1176" s="4">
        <f>SUM(G1176:I1176)</f>
        <v>229942</v>
      </c>
      <c r="K1176" t="s">
        <v>1659</v>
      </c>
      <c r="L1176" t="s">
        <v>1659</v>
      </c>
      <c r="M1176" t="s">
        <v>640</v>
      </c>
      <c r="N1176" t="s">
        <v>1132</v>
      </c>
      <c r="O1176" t="s">
        <v>1132</v>
      </c>
      <c r="P1176" t="str">
        <f>IFERROR(VLOOKUP(F1176,Sheet1!$A$2:$B$54,2,FALSE),"")</f>
        <v/>
      </c>
    </row>
    <row r="1177" spans="1:16" x14ac:dyDescent="0.2">
      <c r="A1177" s="1">
        <v>2022</v>
      </c>
      <c r="B1177" t="s">
        <v>143</v>
      </c>
      <c r="C1177" s="10" t="s">
        <v>1678</v>
      </c>
      <c r="D1177" s="10" t="s">
        <v>1679</v>
      </c>
      <c r="E1177" s="10" t="s">
        <v>1682</v>
      </c>
      <c r="F1177" t="s">
        <v>640</v>
      </c>
      <c r="G1177" s="4">
        <v>314201</v>
      </c>
      <c r="H1177" s="4"/>
      <c r="I1177" s="4"/>
      <c r="J1177" s="4">
        <f>SUM(G1177:I1177)</f>
        <v>314201</v>
      </c>
      <c r="K1177" t="s">
        <v>1659</v>
      </c>
      <c r="L1177" t="s">
        <v>1659</v>
      </c>
      <c r="M1177" t="s">
        <v>640</v>
      </c>
      <c r="N1177" t="s">
        <v>1132</v>
      </c>
      <c r="O1177" t="s">
        <v>1132</v>
      </c>
      <c r="P1177" t="str">
        <f>IFERROR(VLOOKUP(F1177,Sheet1!$A$2:$B$54,2,FALSE),"")</f>
        <v/>
      </c>
    </row>
    <row r="1178" spans="1:16" x14ac:dyDescent="0.2">
      <c r="A1178" s="1">
        <v>2023</v>
      </c>
      <c r="B1178" t="s">
        <v>143</v>
      </c>
      <c r="C1178" s="10" t="s">
        <v>1678</v>
      </c>
      <c r="D1178" s="10" t="s">
        <v>1679</v>
      </c>
      <c r="E1178" s="10" t="s">
        <v>1682</v>
      </c>
      <c r="F1178" t="s">
        <v>640</v>
      </c>
      <c r="G1178" s="4">
        <v>378423</v>
      </c>
      <c r="H1178" s="4"/>
      <c r="I1178" s="4"/>
      <c r="J1178" s="4">
        <f>SUM(G1178:I1178)</f>
        <v>378423</v>
      </c>
      <c r="K1178" t="s">
        <v>1659</v>
      </c>
      <c r="L1178" t="s">
        <v>1659</v>
      </c>
      <c r="M1178" t="s">
        <v>640</v>
      </c>
      <c r="N1178" t="s">
        <v>1132</v>
      </c>
      <c r="O1178" t="s">
        <v>1132</v>
      </c>
      <c r="P1178" t="str">
        <f>IFERROR(VLOOKUP(F1178,Sheet1!$A$2:$B$54,2,FALSE),"")</f>
        <v/>
      </c>
    </row>
    <row r="1179" spans="1:16" x14ac:dyDescent="0.2">
      <c r="A1179" s="1">
        <v>2019</v>
      </c>
      <c r="B1179" t="s">
        <v>144</v>
      </c>
      <c r="C1179" s="10" t="s">
        <v>1678</v>
      </c>
      <c r="D1179" s="10" t="s">
        <v>1679</v>
      </c>
      <c r="E1179" s="10" t="s">
        <v>1682</v>
      </c>
      <c r="F1179" t="s">
        <v>641</v>
      </c>
      <c r="G1179" s="4">
        <v>34458</v>
      </c>
      <c r="H1179" s="4"/>
      <c r="I1179" s="4"/>
      <c r="J1179" s="4">
        <f>SUM(G1179:I1179)</f>
        <v>34458</v>
      </c>
      <c r="K1179" t="s">
        <v>1659</v>
      </c>
      <c r="L1179" t="s">
        <v>1659</v>
      </c>
      <c r="M1179" t="s">
        <v>1178</v>
      </c>
      <c r="N1179" t="s">
        <v>1132</v>
      </c>
      <c r="O1179" t="s">
        <v>1132</v>
      </c>
      <c r="P1179" t="str">
        <f>IFERROR(VLOOKUP(F1179,Sheet1!$A$2:$B$54,2,FALSE),"")</f>
        <v/>
      </c>
    </row>
    <row r="1180" spans="1:16" x14ac:dyDescent="0.2">
      <c r="A1180" s="1">
        <v>2020</v>
      </c>
      <c r="B1180" t="s">
        <v>144</v>
      </c>
      <c r="C1180" s="10" t="s">
        <v>1678</v>
      </c>
      <c r="D1180" s="10" t="s">
        <v>1679</v>
      </c>
      <c r="E1180" s="10" t="s">
        <v>1682</v>
      </c>
      <c r="F1180" t="s">
        <v>641</v>
      </c>
      <c r="G1180" s="4">
        <v>38561</v>
      </c>
      <c r="H1180" s="4"/>
      <c r="I1180" s="4"/>
      <c r="J1180" s="4">
        <f>SUM(G1180:I1180)</f>
        <v>38561</v>
      </c>
      <c r="K1180" t="s">
        <v>1659</v>
      </c>
      <c r="L1180" t="s">
        <v>1659</v>
      </c>
      <c r="M1180" t="s">
        <v>1178</v>
      </c>
      <c r="N1180" t="s">
        <v>1132</v>
      </c>
      <c r="O1180" t="s">
        <v>1132</v>
      </c>
      <c r="P1180" t="str">
        <f>IFERROR(VLOOKUP(F1180,Sheet1!$A$2:$B$54,2,FALSE),"")</f>
        <v/>
      </c>
    </row>
    <row r="1181" spans="1:16" x14ac:dyDescent="0.2">
      <c r="A1181" s="1">
        <v>2021</v>
      </c>
      <c r="B1181" t="s">
        <v>144</v>
      </c>
      <c r="C1181" s="10" t="s">
        <v>1678</v>
      </c>
      <c r="D1181" s="10" t="s">
        <v>1679</v>
      </c>
      <c r="E1181" s="10" t="s">
        <v>1682</v>
      </c>
      <c r="F1181" t="s">
        <v>641</v>
      </c>
      <c r="G1181" s="4">
        <v>49266</v>
      </c>
      <c r="H1181" s="4"/>
      <c r="I1181" s="4"/>
      <c r="J1181" s="4">
        <f>SUM(G1181:I1181)</f>
        <v>49266</v>
      </c>
      <c r="K1181" t="s">
        <v>1659</v>
      </c>
      <c r="L1181" t="s">
        <v>1659</v>
      </c>
      <c r="M1181" t="s">
        <v>641</v>
      </c>
      <c r="N1181" t="s">
        <v>1132</v>
      </c>
      <c r="O1181" t="s">
        <v>1132</v>
      </c>
      <c r="P1181" t="str">
        <f>IFERROR(VLOOKUP(F1181,Sheet1!$A$2:$B$54,2,FALSE),"")</f>
        <v/>
      </c>
    </row>
    <row r="1182" spans="1:16" x14ac:dyDescent="0.2">
      <c r="A1182" s="1">
        <v>2022</v>
      </c>
      <c r="B1182" t="s">
        <v>144</v>
      </c>
      <c r="C1182" s="10" t="s">
        <v>1678</v>
      </c>
      <c r="D1182" s="10" t="s">
        <v>1679</v>
      </c>
      <c r="E1182" s="10" t="s">
        <v>1682</v>
      </c>
      <c r="F1182" t="s">
        <v>641</v>
      </c>
      <c r="G1182" s="4">
        <v>67177</v>
      </c>
      <c r="H1182" s="4"/>
      <c r="I1182" s="4"/>
      <c r="J1182" s="4">
        <f>SUM(G1182:I1182)</f>
        <v>67177</v>
      </c>
      <c r="K1182" t="s">
        <v>1659</v>
      </c>
      <c r="L1182" t="s">
        <v>1659</v>
      </c>
      <c r="M1182" t="s">
        <v>641</v>
      </c>
      <c r="N1182" t="s">
        <v>1132</v>
      </c>
      <c r="O1182" t="s">
        <v>1132</v>
      </c>
      <c r="P1182" t="str">
        <f>IFERROR(VLOOKUP(F1182,Sheet1!$A$2:$B$54,2,FALSE),"")</f>
        <v/>
      </c>
    </row>
    <row r="1183" spans="1:16" x14ac:dyDescent="0.2">
      <c r="A1183" s="1">
        <v>2023</v>
      </c>
      <c r="B1183" t="s">
        <v>144</v>
      </c>
      <c r="C1183" s="10" t="s">
        <v>1678</v>
      </c>
      <c r="D1183" s="10" t="s">
        <v>1679</v>
      </c>
      <c r="E1183" s="10" t="s">
        <v>1682</v>
      </c>
      <c r="F1183" t="s">
        <v>641</v>
      </c>
      <c r="G1183" s="4">
        <v>63841</v>
      </c>
      <c r="H1183" s="4"/>
      <c r="I1183" s="4"/>
      <c r="J1183" s="4">
        <f>SUM(G1183:I1183)</f>
        <v>63841</v>
      </c>
      <c r="K1183" t="s">
        <v>1659</v>
      </c>
      <c r="L1183" t="s">
        <v>1659</v>
      </c>
      <c r="M1183" t="s">
        <v>641</v>
      </c>
      <c r="N1183" t="s">
        <v>1132</v>
      </c>
      <c r="O1183" t="s">
        <v>1132</v>
      </c>
      <c r="P1183" t="str">
        <f>IFERROR(VLOOKUP(F1183,Sheet1!$A$2:$B$54,2,FALSE),"")</f>
        <v/>
      </c>
    </row>
    <row r="1184" spans="1:16" x14ac:dyDescent="0.2">
      <c r="A1184" s="1">
        <v>2015</v>
      </c>
      <c r="B1184" t="s">
        <v>145</v>
      </c>
      <c r="C1184" s="10" t="s">
        <v>1678</v>
      </c>
      <c r="D1184" s="10" t="s">
        <v>1679</v>
      </c>
      <c r="E1184" s="10" t="s">
        <v>1682</v>
      </c>
      <c r="F1184" t="s">
        <v>642</v>
      </c>
      <c r="G1184" s="4">
        <v>131801</v>
      </c>
      <c r="H1184" s="4">
        <v>1465423</v>
      </c>
      <c r="I1184" s="4"/>
      <c r="J1184" s="4">
        <f>SUM(G1184:I1184)</f>
        <v>1597224</v>
      </c>
      <c r="K1184" t="s">
        <v>1660</v>
      </c>
      <c r="L1184" t="s">
        <v>1659</v>
      </c>
      <c r="M1184" t="s">
        <v>1179</v>
      </c>
      <c r="N1184" t="s">
        <v>1179</v>
      </c>
      <c r="O1184" t="s">
        <v>1132</v>
      </c>
      <c r="P1184">
        <f>IFERROR(VLOOKUP(F1184,Sheet1!$A$2:$B$54,2,FALSE),"")</f>
        <v>4900330</v>
      </c>
    </row>
    <row r="1185" spans="1:16" x14ac:dyDescent="0.2">
      <c r="A1185" s="1">
        <v>2016</v>
      </c>
      <c r="B1185" t="s">
        <v>145</v>
      </c>
      <c r="C1185" s="10" t="s">
        <v>1678</v>
      </c>
      <c r="D1185" s="10" t="s">
        <v>1679</v>
      </c>
      <c r="E1185" s="10" t="s">
        <v>1682</v>
      </c>
      <c r="F1185" t="s">
        <v>642</v>
      </c>
      <c r="G1185" s="4">
        <v>180205</v>
      </c>
      <c r="H1185" s="4">
        <v>1479536</v>
      </c>
      <c r="I1185" s="4"/>
      <c r="J1185" s="4">
        <f>SUM(G1185:I1185)</f>
        <v>1659741</v>
      </c>
      <c r="K1185" t="s">
        <v>1660</v>
      </c>
      <c r="L1185" t="s">
        <v>1659</v>
      </c>
      <c r="M1185" t="s">
        <v>1179</v>
      </c>
      <c r="N1185" t="s">
        <v>1179</v>
      </c>
      <c r="O1185" t="s">
        <v>1132</v>
      </c>
      <c r="P1185">
        <f>IFERROR(VLOOKUP(F1185,Sheet1!$A$2:$B$54,2,FALSE),"")</f>
        <v>4900330</v>
      </c>
    </row>
    <row r="1186" spans="1:16" x14ac:dyDescent="0.2">
      <c r="A1186" s="1">
        <v>2017</v>
      </c>
      <c r="B1186" t="s">
        <v>145</v>
      </c>
      <c r="C1186" s="10" t="s">
        <v>1678</v>
      </c>
      <c r="D1186" s="10" t="s">
        <v>1679</v>
      </c>
      <c r="E1186" s="10" t="s">
        <v>1682</v>
      </c>
      <c r="F1186" t="s">
        <v>642</v>
      </c>
      <c r="G1186" s="4">
        <v>221547</v>
      </c>
      <c r="H1186" s="4">
        <v>1504492</v>
      </c>
      <c r="I1186" s="4"/>
      <c r="J1186" s="4">
        <f>SUM(G1186:I1186)</f>
        <v>1726039</v>
      </c>
      <c r="K1186" t="s">
        <v>1660</v>
      </c>
      <c r="L1186" t="s">
        <v>1659</v>
      </c>
      <c r="M1186" t="s">
        <v>1179</v>
      </c>
      <c r="N1186" t="s">
        <v>1179</v>
      </c>
      <c r="O1186" t="s">
        <v>1132</v>
      </c>
      <c r="P1186">
        <f>IFERROR(VLOOKUP(F1186,Sheet1!$A$2:$B$54,2,FALSE),"")</f>
        <v>4900330</v>
      </c>
    </row>
    <row r="1187" spans="1:16" x14ac:dyDescent="0.2">
      <c r="A1187" s="1">
        <v>2018</v>
      </c>
      <c r="B1187" t="s">
        <v>145</v>
      </c>
      <c r="C1187" s="10" t="s">
        <v>1678</v>
      </c>
      <c r="D1187" s="10" t="s">
        <v>1679</v>
      </c>
      <c r="E1187" s="10" t="s">
        <v>1682</v>
      </c>
      <c r="F1187" t="s">
        <v>642</v>
      </c>
      <c r="G1187" s="4">
        <v>279451</v>
      </c>
      <c r="H1187" s="4">
        <v>1624078</v>
      </c>
      <c r="I1187" s="4"/>
      <c r="J1187" s="4">
        <f>SUM(G1187:I1187)</f>
        <v>1903529</v>
      </c>
      <c r="K1187" t="s">
        <v>1660</v>
      </c>
      <c r="L1187" t="s">
        <v>1659</v>
      </c>
      <c r="M1187" t="s">
        <v>1179</v>
      </c>
      <c r="N1187" t="s">
        <v>1179</v>
      </c>
      <c r="O1187" t="s">
        <v>1132</v>
      </c>
      <c r="P1187">
        <f>IFERROR(VLOOKUP(F1187,Sheet1!$A$2:$B$54,2,FALSE),"")</f>
        <v>4900330</v>
      </c>
    </row>
    <row r="1188" spans="1:16" x14ac:dyDescent="0.2">
      <c r="A1188" s="1">
        <v>2019</v>
      </c>
      <c r="B1188" t="s">
        <v>145</v>
      </c>
      <c r="C1188" s="10" t="s">
        <v>1678</v>
      </c>
      <c r="D1188" s="10" t="s">
        <v>1679</v>
      </c>
      <c r="E1188" s="10" t="s">
        <v>1682</v>
      </c>
      <c r="F1188" t="s">
        <v>642</v>
      </c>
      <c r="G1188" s="4">
        <v>319885</v>
      </c>
      <c r="H1188" s="4">
        <v>1730696</v>
      </c>
      <c r="I1188" s="4"/>
      <c r="J1188" s="4">
        <f>SUM(G1188:I1188)</f>
        <v>2050581</v>
      </c>
      <c r="K1188" t="s">
        <v>1660</v>
      </c>
      <c r="L1188" t="s">
        <v>1659</v>
      </c>
      <c r="M1188" t="s">
        <v>1179</v>
      </c>
      <c r="N1188" t="s">
        <v>1179</v>
      </c>
      <c r="O1188" t="s">
        <v>1132</v>
      </c>
      <c r="P1188">
        <f>IFERROR(VLOOKUP(F1188,Sheet1!$A$2:$B$54,2,FALSE),"")</f>
        <v>4900330</v>
      </c>
    </row>
    <row r="1189" spans="1:16" x14ac:dyDescent="0.2">
      <c r="A1189" s="1">
        <v>2020</v>
      </c>
      <c r="B1189" t="s">
        <v>145</v>
      </c>
      <c r="C1189" s="10" t="s">
        <v>1678</v>
      </c>
      <c r="D1189" s="10" t="s">
        <v>1679</v>
      </c>
      <c r="E1189" s="10" t="s">
        <v>1682</v>
      </c>
      <c r="F1189" t="s">
        <v>642</v>
      </c>
      <c r="G1189" s="4">
        <v>368032</v>
      </c>
      <c r="H1189" s="4">
        <v>1734975</v>
      </c>
      <c r="I1189" s="4"/>
      <c r="J1189" s="4">
        <f>SUM(G1189:I1189)</f>
        <v>2103007</v>
      </c>
      <c r="K1189" t="s">
        <v>1660</v>
      </c>
      <c r="L1189" t="s">
        <v>1659</v>
      </c>
      <c r="M1189" t="s">
        <v>1179</v>
      </c>
      <c r="N1189" t="s">
        <v>1179</v>
      </c>
      <c r="O1189" t="s">
        <v>1132</v>
      </c>
      <c r="P1189">
        <f>IFERROR(VLOOKUP(F1189,Sheet1!$A$2:$B$54,2,FALSE),"")</f>
        <v>4900330</v>
      </c>
    </row>
    <row r="1190" spans="1:16" x14ac:dyDescent="0.2">
      <c r="A1190" s="1">
        <v>2021</v>
      </c>
      <c r="B1190" t="s">
        <v>145</v>
      </c>
      <c r="C1190" s="10" t="s">
        <v>1678</v>
      </c>
      <c r="D1190" s="10" t="s">
        <v>1679</v>
      </c>
      <c r="E1190" s="10" t="s">
        <v>1682</v>
      </c>
      <c r="F1190" t="s">
        <v>642</v>
      </c>
      <c r="G1190" s="4">
        <v>437608</v>
      </c>
      <c r="H1190" s="4">
        <v>1719940</v>
      </c>
      <c r="I1190" s="4"/>
      <c r="J1190" s="4">
        <f>SUM(G1190:I1190)</f>
        <v>2157548</v>
      </c>
      <c r="K1190" t="s">
        <v>1660</v>
      </c>
      <c r="L1190" t="s">
        <v>1659</v>
      </c>
      <c r="M1190" t="s">
        <v>642</v>
      </c>
      <c r="N1190" t="s">
        <v>642</v>
      </c>
      <c r="O1190" t="s">
        <v>1132</v>
      </c>
      <c r="P1190">
        <f>IFERROR(VLOOKUP(F1190,Sheet1!$A$2:$B$54,2,FALSE),"")</f>
        <v>4900330</v>
      </c>
    </row>
    <row r="1191" spans="1:16" x14ac:dyDescent="0.2">
      <c r="A1191" s="1">
        <v>2022</v>
      </c>
      <c r="B1191" t="s">
        <v>145</v>
      </c>
      <c r="C1191" s="10" t="s">
        <v>1678</v>
      </c>
      <c r="D1191" s="10" t="s">
        <v>1679</v>
      </c>
      <c r="E1191" s="10" t="s">
        <v>1682</v>
      </c>
      <c r="F1191" t="s">
        <v>642</v>
      </c>
      <c r="G1191" s="4">
        <v>508481</v>
      </c>
      <c r="H1191" s="4">
        <v>1706285</v>
      </c>
      <c r="I1191" s="4"/>
      <c r="J1191" s="4">
        <f>SUM(G1191:I1191)</f>
        <v>2214766</v>
      </c>
      <c r="K1191" t="s">
        <v>1660</v>
      </c>
      <c r="L1191" t="s">
        <v>1659</v>
      </c>
      <c r="M1191" t="s">
        <v>642</v>
      </c>
      <c r="N1191" t="s">
        <v>642</v>
      </c>
      <c r="O1191" t="s">
        <v>1132</v>
      </c>
      <c r="P1191">
        <f>IFERROR(VLOOKUP(F1191,Sheet1!$A$2:$B$54,2,FALSE),"")</f>
        <v>4900330</v>
      </c>
    </row>
    <row r="1192" spans="1:16" x14ac:dyDescent="0.2">
      <c r="A1192" s="1">
        <v>2023</v>
      </c>
      <c r="B1192" t="s">
        <v>145</v>
      </c>
      <c r="C1192" s="10" t="s">
        <v>1678</v>
      </c>
      <c r="D1192" s="10" t="s">
        <v>1679</v>
      </c>
      <c r="E1192" s="10" t="s">
        <v>1682</v>
      </c>
      <c r="F1192" t="s">
        <v>642</v>
      </c>
      <c r="G1192" s="4">
        <v>585954</v>
      </c>
      <c r="H1192" s="4">
        <v>1785817</v>
      </c>
      <c r="I1192" s="4"/>
      <c r="J1192" s="4">
        <f>SUM(G1192:I1192)</f>
        <v>2371771</v>
      </c>
      <c r="K1192" t="s">
        <v>1660</v>
      </c>
      <c r="L1192" t="s">
        <v>1659</v>
      </c>
      <c r="M1192" t="s">
        <v>642</v>
      </c>
      <c r="N1192" t="s">
        <v>642</v>
      </c>
      <c r="O1192" t="s">
        <v>1132</v>
      </c>
      <c r="P1192">
        <f>IFERROR(VLOOKUP(F1192,Sheet1!$A$2:$B$54,2,FALSE),"")</f>
        <v>4900330</v>
      </c>
    </row>
    <row r="1193" spans="1:16" x14ac:dyDescent="0.2">
      <c r="A1193" s="1">
        <v>2015</v>
      </c>
      <c r="B1193" t="s">
        <v>146</v>
      </c>
      <c r="C1193" s="10" t="s">
        <v>1678</v>
      </c>
      <c r="D1193" s="10" t="s">
        <v>1679</v>
      </c>
      <c r="E1193" s="10" t="s">
        <v>1682</v>
      </c>
      <c r="F1193" t="s">
        <v>643</v>
      </c>
      <c r="G1193" s="4">
        <v>2428</v>
      </c>
      <c r="H1193" s="4"/>
      <c r="I1193" s="4"/>
      <c r="J1193" s="4">
        <f>SUM(G1193:I1193)</f>
        <v>2428</v>
      </c>
      <c r="K1193" t="s">
        <v>1659</v>
      </c>
      <c r="L1193" t="s">
        <v>1659</v>
      </c>
      <c r="M1193" t="s">
        <v>1180</v>
      </c>
      <c r="N1193" t="s">
        <v>1132</v>
      </c>
      <c r="O1193" t="s">
        <v>1132</v>
      </c>
      <c r="P1193" t="str">
        <f>IFERROR(VLOOKUP(F1193,Sheet1!$A$2:$B$54,2,FALSE),"")</f>
        <v/>
      </c>
    </row>
    <row r="1194" spans="1:16" x14ac:dyDescent="0.2">
      <c r="A1194" s="1">
        <v>2016</v>
      </c>
      <c r="B1194" t="s">
        <v>146</v>
      </c>
      <c r="C1194" s="10" t="s">
        <v>1678</v>
      </c>
      <c r="D1194" s="10" t="s">
        <v>1679</v>
      </c>
      <c r="E1194" s="10" t="s">
        <v>1682</v>
      </c>
      <c r="F1194" t="s">
        <v>643</v>
      </c>
      <c r="G1194" s="4">
        <v>10282</v>
      </c>
      <c r="H1194" s="4"/>
      <c r="I1194" s="4"/>
      <c r="J1194" s="4">
        <f>SUM(G1194:I1194)</f>
        <v>10282</v>
      </c>
      <c r="K1194" t="s">
        <v>1659</v>
      </c>
      <c r="L1194" t="s">
        <v>1659</v>
      </c>
      <c r="M1194" t="s">
        <v>1180</v>
      </c>
      <c r="N1194" t="s">
        <v>1132</v>
      </c>
      <c r="O1194" t="s">
        <v>1132</v>
      </c>
      <c r="P1194" t="str">
        <f>IFERROR(VLOOKUP(F1194,Sheet1!$A$2:$B$54,2,FALSE),"")</f>
        <v/>
      </c>
    </row>
    <row r="1195" spans="1:16" x14ac:dyDescent="0.2">
      <c r="A1195" s="1">
        <v>2017</v>
      </c>
      <c r="B1195" t="s">
        <v>146</v>
      </c>
      <c r="C1195" s="10" t="s">
        <v>1678</v>
      </c>
      <c r="D1195" s="10" t="s">
        <v>1679</v>
      </c>
      <c r="E1195" s="10" t="s">
        <v>1682</v>
      </c>
      <c r="F1195" t="s">
        <v>643</v>
      </c>
      <c r="G1195" s="4">
        <v>10568</v>
      </c>
      <c r="H1195" s="4"/>
      <c r="I1195" s="4"/>
      <c r="J1195" s="4">
        <f>SUM(G1195:I1195)</f>
        <v>10568</v>
      </c>
      <c r="K1195" t="s">
        <v>1659</v>
      </c>
      <c r="L1195" t="s">
        <v>1659</v>
      </c>
      <c r="M1195" t="s">
        <v>1180</v>
      </c>
      <c r="N1195" t="s">
        <v>1132</v>
      </c>
      <c r="O1195" t="s">
        <v>1132</v>
      </c>
      <c r="P1195" t="str">
        <f>IFERROR(VLOOKUP(F1195,Sheet1!$A$2:$B$54,2,FALSE),"")</f>
        <v/>
      </c>
    </row>
    <row r="1196" spans="1:16" x14ac:dyDescent="0.2">
      <c r="A1196" s="1">
        <v>2018</v>
      </c>
      <c r="B1196" t="s">
        <v>146</v>
      </c>
      <c r="C1196" s="10" t="s">
        <v>1678</v>
      </c>
      <c r="D1196" s="10" t="s">
        <v>1679</v>
      </c>
      <c r="E1196" s="10" t="s">
        <v>1682</v>
      </c>
      <c r="F1196" t="s">
        <v>643</v>
      </c>
      <c r="G1196" s="4">
        <v>15691</v>
      </c>
      <c r="H1196" s="4"/>
      <c r="I1196" s="4"/>
      <c r="J1196" s="4">
        <f>SUM(G1196:I1196)</f>
        <v>15691</v>
      </c>
      <c r="K1196" t="s">
        <v>1659</v>
      </c>
      <c r="L1196" t="s">
        <v>1659</v>
      </c>
      <c r="M1196" t="s">
        <v>1180</v>
      </c>
      <c r="N1196" t="s">
        <v>1132</v>
      </c>
      <c r="O1196" t="s">
        <v>1132</v>
      </c>
      <c r="P1196" t="str">
        <f>IFERROR(VLOOKUP(F1196,Sheet1!$A$2:$B$54,2,FALSE),"")</f>
        <v/>
      </c>
    </row>
    <row r="1197" spans="1:16" x14ac:dyDescent="0.2">
      <c r="A1197" s="1">
        <v>2019</v>
      </c>
      <c r="B1197" t="s">
        <v>146</v>
      </c>
      <c r="C1197" s="10" t="s">
        <v>1678</v>
      </c>
      <c r="D1197" s="10" t="s">
        <v>1679</v>
      </c>
      <c r="E1197" s="10" t="s">
        <v>1682</v>
      </c>
      <c r="F1197" t="s">
        <v>643</v>
      </c>
      <c r="G1197" s="4">
        <v>20103</v>
      </c>
      <c r="H1197" s="4"/>
      <c r="I1197" s="4"/>
      <c r="J1197" s="4">
        <f>SUM(G1197:I1197)</f>
        <v>20103</v>
      </c>
      <c r="K1197" t="s">
        <v>1659</v>
      </c>
      <c r="L1197" t="s">
        <v>1659</v>
      </c>
      <c r="M1197" t="s">
        <v>1180</v>
      </c>
      <c r="N1197" t="s">
        <v>1132</v>
      </c>
      <c r="O1197" t="s">
        <v>1132</v>
      </c>
      <c r="P1197" t="str">
        <f>IFERROR(VLOOKUP(F1197,Sheet1!$A$2:$B$54,2,FALSE),"")</f>
        <v/>
      </c>
    </row>
    <row r="1198" spans="1:16" x14ac:dyDescent="0.2">
      <c r="A1198" s="1">
        <v>2020</v>
      </c>
      <c r="B1198" t="s">
        <v>146</v>
      </c>
      <c r="C1198" s="10" t="s">
        <v>1678</v>
      </c>
      <c r="D1198" s="10" t="s">
        <v>1679</v>
      </c>
      <c r="E1198" s="10" t="s">
        <v>1682</v>
      </c>
      <c r="F1198" t="s">
        <v>643</v>
      </c>
      <c r="G1198" s="4">
        <v>15227</v>
      </c>
      <c r="H1198" s="4"/>
      <c r="I1198" s="4"/>
      <c r="J1198" s="4">
        <f>SUM(G1198:I1198)</f>
        <v>15227</v>
      </c>
      <c r="K1198" t="s">
        <v>1659</v>
      </c>
      <c r="L1198" t="s">
        <v>1659</v>
      </c>
      <c r="M1198" t="s">
        <v>1180</v>
      </c>
      <c r="N1198" t="s">
        <v>1132</v>
      </c>
      <c r="O1198" t="s">
        <v>1132</v>
      </c>
      <c r="P1198" t="str">
        <f>IFERROR(VLOOKUP(F1198,Sheet1!$A$2:$B$54,2,FALSE),"")</f>
        <v/>
      </c>
    </row>
    <row r="1199" spans="1:16" x14ac:dyDescent="0.2">
      <c r="A1199" s="1">
        <v>2021</v>
      </c>
      <c r="B1199" t="s">
        <v>146</v>
      </c>
      <c r="C1199" s="10" t="s">
        <v>1678</v>
      </c>
      <c r="D1199" s="10" t="s">
        <v>1679</v>
      </c>
      <c r="E1199" s="10" t="s">
        <v>1682</v>
      </c>
      <c r="F1199" t="s">
        <v>643</v>
      </c>
      <c r="G1199" s="4">
        <v>18545</v>
      </c>
      <c r="H1199" s="4"/>
      <c r="I1199" s="4"/>
      <c r="J1199" s="4">
        <f>SUM(G1199:I1199)</f>
        <v>18545</v>
      </c>
      <c r="K1199" t="s">
        <v>1659</v>
      </c>
      <c r="L1199" t="s">
        <v>1659</v>
      </c>
      <c r="M1199" t="s">
        <v>643</v>
      </c>
      <c r="N1199" t="s">
        <v>1132</v>
      </c>
      <c r="O1199" t="s">
        <v>1132</v>
      </c>
      <c r="P1199" t="str">
        <f>IFERROR(VLOOKUP(F1199,Sheet1!$A$2:$B$54,2,FALSE),"")</f>
        <v/>
      </c>
    </row>
    <row r="1200" spans="1:16" x14ac:dyDescent="0.2">
      <c r="A1200" s="1">
        <v>2022</v>
      </c>
      <c r="B1200" t="s">
        <v>146</v>
      </c>
      <c r="C1200" s="10" t="s">
        <v>1678</v>
      </c>
      <c r="D1200" s="10" t="s">
        <v>1679</v>
      </c>
      <c r="E1200" s="10" t="s">
        <v>1682</v>
      </c>
      <c r="F1200" t="s">
        <v>643</v>
      </c>
      <c r="G1200" s="4">
        <v>26711</v>
      </c>
      <c r="H1200" s="4"/>
      <c r="I1200" s="4"/>
      <c r="J1200" s="4">
        <f>SUM(G1200:I1200)</f>
        <v>26711</v>
      </c>
      <c r="K1200" t="s">
        <v>1659</v>
      </c>
      <c r="L1200" t="s">
        <v>1659</v>
      </c>
      <c r="M1200" t="s">
        <v>643</v>
      </c>
      <c r="N1200" t="s">
        <v>1132</v>
      </c>
      <c r="O1200" t="s">
        <v>1132</v>
      </c>
      <c r="P1200" t="str">
        <f>IFERROR(VLOOKUP(F1200,Sheet1!$A$2:$B$54,2,FALSE),"")</f>
        <v/>
      </c>
    </row>
    <row r="1201" spans="1:16" x14ac:dyDescent="0.2">
      <c r="A1201" s="1">
        <v>2023</v>
      </c>
      <c r="B1201" t="s">
        <v>146</v>
      </c>
      <c r="C1201" s="10" t="s">
        <v>1678</v>
      </c>
      <c r="D1201" s="10" t="s">
        <v>1679</v>
      </c>
      <c r="E1201" s="10" t="s">
        <v>1682</v>
      </c>
      <c r="F1201" t="s">
        <v>643</v>
      </c>
      <c r="G1201" s="4">
        <v>32559</v>
      </c>
      <c r="H1201" s="4"/>
      <c r="I1201" s="4"/>
      <c r="J1201" s="4">
        <f>SUM(G1201:I1201)</f>
        <v>32559</v>
      </c>
      <c r="K1201" t="s">
        <v>1659</v>
      </c>
      <c r="L1201" t="s">
        <v>1659</v>
      </c>
      <c r="M1201" t="s">
        <v>643</v>
      </c>
      <c r="N1201" t="s">
        <v>1132</v>
      </c>
      <c r="O1201" t="s">
        <v>1132</v>
      </c>
      <c r="P1201" t="str">
        <f>IFERROR(VLOOKUP(F1201,Sheet1!$A$2:$B$54,2,FALSE),"")</f>
        <v/>
      </c>
    </row>
    <row r="1202" spans="1:16" x14ac:dyDescent="0.2">
      <c r="A1202" s="1">
        <v>2015</v>
      </c>
      <c r="B1202" t="s">
        <v>147</v>
      </c>
      <c r="C1202" s="10" t="s">
        <v>1678</v>
      </c>
      <c r="D1202" s="10" t="s">
        <v>1679</v>
      </c>
      <c r="E1202" s="10" t="s">
        <v>1682</v>
      </c>
      <c r="F1202" t="s">
        <v>644</v>
      </c>
      <c r="G1202" s="4">
        <v>34328</v>
      </c>
      <c r="H1202" s="4"/>
      <c r="I1202" s="4"/>
      <c r="J1202" s="4">
        <f>SUM(G1202:I1202)</f>
        <v>34328</v>
      </c>
      <c r="K1202" t="s">
        <v>1659</v>
      </c>
      <c r="L1202" t="s">
        <v>1659</v>
      </c>
      <c r="M1202" t="s">
        <v>1181</v>
      </c>
      <c r="N1202" t="s">
        <v>1132</v>
      </c>
      <c r="O1202" t="s">
        <v>1132</v>
      </c>
      <c r="P1202" t="str">
        <f>IFERROR(VLOOKUP(F1202,Sheet1!$A$2:$B$54,2,FALSE),"")</f>
        <v/>
      </c>
    </row>
    <row r="1203" spans="1:16" x14ac:dyDescent="0.2">
      <c r="A1203" s="1">
        <v>2016</v>
      </c>
      <c r="B1203" t="s">
        <v>147</v>
      </c>
      <c r="C1203" s="10" t="s">
        <v>1678</v>
      </c>
      <c r="D1203" s="10" t="s">
        <v>1679</v>
      </c>
      <c r="E1203" s="10" t="s">
        <v>1682</v>
      </c>
      <c r="F1203" t="s">
        <v>644</v>
      </c>
      <c r="G1203" s="4">
        <v>53654</v>
      </c>
      <c r="H1203" s="4"/>
      <c r="I1203" s="4"/>
      <c r="J1203" s="4">
        <f>SUM(G1203:I1203)</f>
        <v>53654</v>
      </c>
      <c r="K1203" t="s">
        <v>1659</v>
      </c>
      <c r="L1203" t="s">
        <v>1659</v>
      </c>
      <c r="M1203" t="s">
        <v>1181</v>
      </c>
      <c r="N1203" t="s">
        <v>1132</v>
      </c>
      <c r="O1203" t="s">
        <v>1132</v>
      </c>
      <c r="P1203" t="str">
        <f>IFERROR(VLOOKUP(F1203,Sheet1!$A$2:$B$54,2,FALSE),"")</f>
        <v/>
      </c>
    </row>
    <row r="1204" spans="1:16" x14ac:dyDescent="0.2">
      <c r="A1204" s="1">
        <v>2017</v>
      </c>
      <c r="B1204" t="s">
        <v>147</v>
      </c>
      <c r="C1204" s="10" t="s">
        <v>1678</v>
      </c>
      <c r="D1204" s="10" t="s">
        <v>1679</v>
      </c>
      <c r="E1204" s="10" t="s">
        <v>1682</v>
      </c>
      <c r="F1204" t="s">
        <v>644</v>
      </c>
      <c r="G1204" s="4">
        <v>87804</v>
      </c>
      <c r="H1204" s="4"/>
      <c r="I1204" s="4"/>
      <c r="J1204" s="4">
        <f>SUM(G1204:I1204)</f>
        <v>87804</v>
      </c>
      <c r="K1204" t="s">
        <v>1659</v>
      </c>
      <c r="L1204" t="s">
        <v>1659</v>
      </c>
      <c r="M1204" t="s">
        <v>1182</v>
      </c>
      <c r="N1204" t="s">
        <v>1132</v>
      </c>
      <c r="O1204" t="s">
        <v>1132</v>
      </c>
      <c r="P1204" t="str">
        <f>IFERROR(VLOOKUP(F1204,Sheet1!$A$2:$B$54,2,FALSE),"")</f>
        <v/>
      </c>
    </row>
    <row r="1205" spans="1:16" x14ac:dyDescent="0.2">
      <c r="A1205" s="1">
        <v>2018</v>
      </c>
      <c r="B1205" t="s">
        <v>147</v>
      </c>
      <c r="C1205" s="10" t="s">
        <v>1678</v>
      </c>
      <c r="D1205" s="10" t="s">
        <v>1679</v>
      </c>
      <c r="E1205" s="10" t="s">
        <v>1682</v>
      </c>
      <c r="F1205" t="s">
        <v>644</v>
      </c>
      <c r="G1205" s="4">
        <v>112370</v>
      </c>
      <c r="H1205" s="4"/>
      <c r="I1205" s="4"/>
      <c r="J1205" s="4">
        <f>SUM(G1205:I1205)</f>
        <v>112370</v>
      </c>
      <c r="K1205" t="s">
        <v>1659</v>
      </c>
      <c r="L1205" t="s">
        <v>1659</v>
      </c>
      <c r="M1205" t="s">
        <v>1182</v>
      </c>
      <c r="N1205" t="s">
        <v>1132</v>
      </c>
      <c r="O1205" t="s">
        <v>1132</v>
      </c>
      <c r="P1205" t="str">
        <f>IFERROR(VLOOKUP(F1205,Sheet1!$A$2:$B$54,2,FALSE),"")</f>
        <v/>
      </c>
    </row>
    <row r="1206" spans="1:16" x14ac:dyDescent="0.2">
      <c r="A1206" s="1">
        <v>2019</v>
      </c>
      <c r="B1206" t="s">
        <v>147</v>
      </c>
      <c r="C1206" s="10" t="s">
        <v>1678</v>
      </c>
      <c r="D1206" s="10" t="s">
        <v>1679</v>
      </c>
      <c r="E1206" s="10" t="s">
        <v>1682</v>
      </c>
      <c r="F1206" t="s">
        <v>644</v>
      </c>
      <c r="G1206" s="4">
        <v>135293</v>
      </c>
      <c r="H1206" s="4"/>
      <c r="I1206" s="4"/>
      <c r="J1206" s="4">
        <f>SUM(G1206:I1206)</f>
        <v>135293</v>
      </c>
      <c r="K1206" t="s">
        <v>1659</v>
      </c>
      <c r="L1206" t="s">
        <v>1659</v>
      </c>
      <c r="M1206" t="s">
        <v>1183</v>
      </c>
      <c r="N1206" t="s">
        <v>1132</v>
      </c>
      <c r="O1206" t="s">
        <v>1132</v>
      </c>
      <c r="P1206" t="str">
        <f>IFERROR(VLOOKUP(F1206,Sheet1!$A$2:$B$54,2,FALSE),"")</f>
        <v/>
      </c>
    </row>
    <row r="1207" spans="1:16" x14ac:dyDescent="0.2">
      <c r="A1207" s="1">
        <v>2020</v>
      </c>
      <c r="B1207" t="s">
        <v>147</v>
      </c>
      <c r="C1207" s="10" t="s">
        <v>1678</v>
      </c>
      <c r="D1207" s="10" t="s">
        <v>1679</v>
      </c>
      <c r="E1207" s="10" t="s">
        <v>1682</v>
      </c>
      <c r="F1207" t="s">
        <v>644</v>
      </c>
      <c r="G1207" s="4">
        <v>148808</v>
      </c>
      <c r="H1207" s="4"/>
      <c r="I1207" s="4"/>
      <c r="J1207" s="4">
        <f>SUM(G1207:I1207)</f>
        <v>148808</v>
      </c>
      <c r="K1207" t="s">
        <v>1659</v>
      </c>
      <c r="L1207" t="s">
        <v>1659</v>
      </c>
      <c r="M1207" t="s">
        <v>1182</v>
      </c>
      <c r="N1207" t="s">
        <v>1132</v>
      </c>
      <c r="O1207" t="s">
        <v>1132</v>
      </c>
      <c r="P1207" t="str">
        <f>IFERROR(VLOOKUP(F1207,Sheet1!$A$2:$B$54,2,FALSE),"")</f>
        <v/>
      </c>
    </row>
    <row r="1208" spans="1:16" x14ac:dyDescent="0.2">
      <c r="A1208" s="1">
        <v>2021</v>
      </c>
      <c r="B1208" t="s">
        <v>147</v>
      </c>
      <c r="C1208" s="10" t="s">
        <v>1678</v>
      </c>
      <c r="D1208" s="10" t="s">
        <v>1679</v>
      </c>
      <c r="E1208" s="10" t="s">
        <v>1682</v>
      </c>
      <c r="F1208" t="s">
        <v>644</v>
      </c>
      <c r="G1208" s="4">
        <v>178129</v>
      </c>
      <c r="H1208" s="4"/>
      <c r="I1208" s="4"/>
      <c r="J1208" s="4">
        <f>SUM(G1208:I1208)</f>
        <v>178129</v>
      </c>
      <c r="K1208" t="s">
        <v>1659</v>
      </c>
      <c r="L1208" t="s">
        <v>1659</v>
      </c>
      <c r="M1208" t="s">
        <v>644</v>
      </c>
      <c r="N1208" t="s">
        <v>1132</v>
      </c>
      <c r="O1208" t="s">
        <v>1132</v>
      </c>
      <c r="P1208" t="str">
        <f>IFERROR(VLOOKUP(F1208,Sheet1!$A$2:$B$54,2,FALSE),"")</f>
        <v/>
      </c>
    </row>
    <row r="1209" spans="1:16" x14ac:dyDescent="0.2">
      <c r="A1209" s="1">
        <v>2022</v>
      </c>
      <c r="B1209" t="s">
        <v>147</v>
      </c>
      <c r="C1209" s="10" t="s">
        <v>1678</v>
      </c>
      <c r="D1209" s="10" t="s">
        <v>1679</v>
      </c>
      <c r="E1209" s="10" t="s">
        <v>1682</v>
      </c>
      <c r="F1209" t="s">
        <v>644</v>
      </c>
      <c r="G1209" s="4">
        <v>188785</v>
      </c>
      <c r="H1209" s="4"/>
      <c r="I1209" s="4"/>
      <c r="J1209" s="4">
        <f>SUM(G1209:I1209)</f>
        <v>188785</v>
      </c>
      <c r="K1209" t="s">
        <v>1659</v>
      </c>
      <c r="L1209" t="s">
        <v>1659</v>
      </c>
      <c r="M1209" t="s">
        <v>644</v>
      </c>
      <c r="N1209" t="s">
        <v>1132</v>
      </c>
      <c r="O1209" t="s">
        <v>1132</v>
      </c>
      <c r="P1209" t="str">
        <f>IFERROR(VLOOKUP(F1209,Sheet1!$A$2:$B$54,2,FALSE),"")</f>
        <v/>
      </c>
    </row>
    <row r="1210" spans="1:16" x14ac:dyDescent="0.2">
      <c r="A1210" s="1">
        <v>2023</v>
      </c>
      <c r="B1210" t="s">
        <v>147</v>
      </c>
      <c r="C1210" s="10" t="s">
        <v>1678</v>
      </c>
      <c r="D1210" s="10" t="s">
        <v>1679</v>
      </c>
      <c r="E1210" s="10" t="s">
        <v>1682</v>
      </c>
      <c r="F1210" t="s">
        <v>644</v>
      </c>
      <c r="G1210" s="4">
        <v>222934</v>
      </c>
      <c r="H1210" s="4"/>
      <c r="I1210" s="4"/>
      <c r="J1210" s="4">
        <f>SUM(G1210:I1210)</f>
        <v>222934</v>
      </c>
      <c r="K1210" t="s">
        <v>1659</v>
      </c>
      <c r="L1210" t="s">
        <v>1659</v>
      </c>
      <c r="M1210" t="s">
        <v>644</v>
      </c>
      <c r="N1210" t="s">
        <v>1132</v>
      </c>
      <c r="O1210" t="s">
        <v>1132</v>
      </c>
      <c r="P1210" t="str">
        <f>IFERROR(VLOOKUP(F1210,Sheet1!$A$2:$B$54,2,FALSE),"")</f>
        <v/>
      </c>
    </row>
    <row r="1211" spans="1:16" x14ac:dyDescent="0.2">
      <c r="A1211" s="1">
        <v>2015</v>
      </c>
      <c r="B1211" t="s">
        <v>148</v>
      </c>
      <c r="C1211" s="10" t="s">
        <v>1678</v>
      </c>
      <c r="D1211" s="10" t="s">
        <v>1679</v>
      </c>
      <c r="E1211" s="10" t="s">
        <v>1682</v>
      </c>
      <c r="F1211" t="s">
        <v>645</v>
      </c>
      <c r="G1211" s="4">
        <v>2610443</v>
      </c>
      <c r="H1211" s="4">
        <v>50496274</v>
      </c>
      <c r="I1211" s="4">
        <v>558106</v>
      </c>
      <c r="J1211" s="4">
        <f>SUM(G1211:I1211)</f>
        <v>53664823</v>
      </c>
      <c r="K1211" t="s">
        <v>1660</v>
      </c>
      <c r="L1211" t="s">
        <v>1660</v>
      </c>
      <c r="M1211" t="s">
        <v>1184</v>
      </c>
      <c r="N1211" t="s">
        <v>1184</v>
      </c>
      <c r="O1211" t="s">
        <v>1184</v>
      </c>
      <c r="P1211">
        <f>IFERROR(VLOOKUP(F1211,Sheet1!$A$2:$B$54,2,FALSE),"")</f>
        <v>4900360</v>
      </c>
    </row>
    <row r="1212" spans="1:16" x14ac:dyDescent="0.2">
      <c r="A1212" s="1">
        <v>2016</v>
      </c>
      <c r="B1212" t="s">
        <v>148</v>
      </c>
      <c r="C1212" s="10" t="s">
        <v>1678</v>
      </c>
      <c r="D1212" s="10" t="s">
        <v>1679</v>
      </c>
      <c r="E1212" s="10" t="s">
        <v>1682</v>
      </c>
      <c r="F1212" t="s">
        <v>645</v>
      </c>
      <c r="G1212" s="4">
        <v>3418023</v>
      </c>
      <c r="H1212" s="4">
        <v>50376916</v>
      </c>
      <c r="I1212" s="4">
        <v>449306</v>
      </c>
      <c r="J1212" s="4">
        <f>SUM(G1212:I1212)</f>
        <v>54244245</v>
      </c>
      <c r="K1212" t="s">
        <v>1660</v>
      </c>
      <c r="L1212" t="s">
        <v>1660</v>
      </c>
      <c r="M1212" t="s">
        <v>1184</v>
      </c>
      <c r="N1212" t="s">
        <v>1184</v>
      </c>
      <c r="O1212" t="s">
        <v>1184</v>
      </c>
      <c r="P1212">
        <f>IFERROR(VLOOKUP(F1212,Sheet1!$A$2:$B$54,2,FALSE),"")</f>
        <v>4900360</v>
      </c>
    </row>
    <row r="1213" spans="1:16" x14ac:dyDescent="0.2">
      <c r="A1213" s="1">
        <v>2017</v>
      </c>
      <c r="B1213" t="s">
        <v>148</v>
      </c>
      <c r="C1213" s="10" t="s">
        <v>1678</v>
      </c>
      <c r="D1213" s="10" t="s">
        <v>1679</v>
      </c>
      <c r="E1213" s="10" t="s">
        <v>1682</v>
      </c>
      <c r="F1213" t="s">
        <v>645</v>
      </c>
      <c r="G1213" s="4">
        <v>4325428</v>
      </c>
      <c r="H1213" s="4">
        <v>51948025</v>
      </c>
      <c r="I1213" s="4">
        <v>379369</v>
      </c>
      <c r="J1213" s="4">
        <f>SUM(G1213:I1213)</f>
        <v>56652822</v>
      </c>
      <c r="K1213" t="s">
        <v>1660</v>
      </c>
      <c r="L1213" t="s">
        <v>1660</v>
      </c>
      <c r="M1213" t="s">
        <v>1184</v>
      </c>
      <c r="N1213" t="s">
        <v>1184</v>
      </c>
      <c r="O1213" t="s">
        <v>1184</v>
      </c>
      <c r="P1213">
        <f>IFERROR(VLOOKUP(F1213,Sheet1!$A$2:$B$54,2,FALSE),"")</f>
        <v>4900360</v>
      </c>
    </row>
    <row r="1214" spans="1:16" x14ac:dyDescent="0.2">
      <c r="A1214" s="1">
        <v>2018</v>
      </c>
      <c r="B1214" t="s">
        <v>148</v>
      </c>
      <c r="C1214" s="10" t="s">
        <v>1678</v>
      </c>
      <c r="D1214" s="10" t="s">
        <v>1679</v>
      </c>
      <c r="E1214" s="10" t="s">
        <v>1682</v>
      </c>
      <c r="F1214" t="s">
        <v>645</v>
      </c>
      <c r="G1214" s="4">
        <v>5408324</v>
      </c>
      <c r="H1214" s="4">
        <v>55072438</v>
      </c>
      <c r="I1214" s="4">
        <v>332411</v>
      </c>
      <c r="J1214" s="4">
        <f>SUM(G1214:I1214)</f>
        <v>60813173</v>
      </c>
      <c r="K1214" t="s">
        <v>1660</v>
      </c>
      <c r="L1214" t="s">
        <v>1660</v>
      </c>
      <c r="M1214" t="s">
        <v>1184</v>
      </c>
      <c r="N1214" t="s">
        <v>1184</v>
      </c>
      <c r="O1214" t="s">
        <v>1184</v>
      </c>
      <c r="P1214">
        <f>IFERROR(VLOOKUP(F1214,Sheet1!$A$2:$B$54,2,FALSE),"")</f>
        <v>4900360</v>
      </c>
    </row>
    <row r="1215" spans="1:16" x14ac:dyDescent="0.2">
      <c r="A1215" s="1">
        <v>2019</v>
      </c>
      <c r="B1215" t="s">
        <v>148</v>
      </c>
      <c r="C1215" s="10" t="s">
        <v>1678</v>
      </c>
      <c r="D1215" s="10" t="s">
        <v>1679</v>
      </c>
      <c r="E1215" s="10" t="s">
        <v>1682</v>
      </c>
      <c r="F1215" t="s">
        <v>645</v>
      </c>
      <c r="G1215" s="4">
        <v>6685819</v>
      </c>
      <c r="H1215" s="4">
        <v>57355880</v>
      </c>
      <c r="I1215" s="4">
        <v>281720</v>
      </c>
      <c r="J1215" s="4">
        <f>SUM(G1215:I1215)</f>
        <v>64323419</v>
      </c>
      <c r="K1215" t="s">
        <v>1660</v>
      </c>
      <c r="L1215" t="s">
        <v>1660</v>
      </c>
      <c r="M1215" t="s">
        <v>1184</v>
      </c>
      <c r="N1215" t="s">
        <v>1184</v>
      </c>
      <c r="O1215" t="s">
        <v>1184</v>
      </c>
      <c r="P1215">
        <f>IFERROR(VLOOKUP(F1215,Sheet1!$A$2:$B$54,2,FALSE),"")</f>
        <v>4900360</v>
      </c>
    </row>
    <row r="1216" spans="1:16" x14ac:dyDescent="0.2">
      <c r="A1216" s="1">
        <v>2020</v>
      </c>
      <c r="B1216" t="s">
        <v>148</v>
      </c>
      <c r="C1216" s="10" t="s">
        <v>1678</v>
      </c>
      <c r="D1216" s="10" t="s">
        <v>1679</v>
      </c>
      <c r="E1216" s="10" t="s">
        <v>1682</v>
      </c>
      <c r="F1216" t="s">
        <v>645</v>
      </c>
      <c r="G1216" s="4">
        <v>8029236</v>
      </c>
      <c r="H1216" s="4">
        <v>59137661</v>
      </c>
      <c r="I1216" s="4">
        <v>231565</v>
      </c>
      <c r="J1216" s="4">
        <f>SUM(G1216:I1216)</f>
        <v>67398462</v>
      </c>
      <c r="K1216" t="s">
        <v>1660</v>
      </c>
      <c r="L1216" t="s">
        <v>1660</v>
      </c>
      <c r="M1216" t="s">
        <v>1184</v>
      </c>
      <c r="N1216" t="s">
        <v>1184</v>
      </c>
      <c r="O1216" t="s">
        <v>1184</v>
      </c>
      <c r="P1216">
        <f>IFERROR(VLOOKUP(F1216,Sheet1!$A$2:$B$54,2,FALSE),"")</f>
        <v>4900360</v>
      </c>
    </row>
    <row r="1217" spans="1:16" x14ac:dyDescent="0.2">
      <c r="A1217" s="1">
        <v>2021</v>
      </c>
      <c r="B1217" t="s">
        <v>148</v>
      </c>
      <c r="C1217" s="10" t="s">
        <v>1678</v>
      </c>
      <c r="D1217" s="10" t="s">
        <v>1679</v>
      </c>
      <c r="E1217" s="10" t="s">
        <v>1682</v>
      </c>
      <c r="F1217" t="s">
        <v>645</v>
      </c>
      <c r="G1217" s="4">
        <v>9818195</v>
      </c>
      <c r="H1217" s="4">
        <v>60667327</v>
      </c>
      <c r="I1217" s="4">
        <v>205888</v>
      </c>
      <c r="J1217" s="4">
        <f>SUM(G1217:I1217)</f>
        <v>70691410</v>
      </c>
      <c r="K1217" t="s">
        <v>1660</v>
      </c>
      <c r="L1217" t="s">
        <v>1660</v>
      </c>
      <c r="M1217" t="s">
        <v>645</v>
      </c>
      <c r="N1217" t="s">
        <v>645</v>
      </c>
      <c r="O1217" t="s">
        <v>645</v>
      </c>
      <c r="P1217">
        <f>IFERROR(VLOOKUP(F1217,Sheet1!$A$2:$B$54,2,FALSE),"")</f>
        <v>4900360</v>
      </c>
    </row>
    <row r="1218" spans="1:16" x14ac:dyDescent="0.2">
      <c r="A1218" s="1">
        <v>2022</v>
      </c>
      <c r="B1218" t="s">
        <v>148</v>
      </c>
      <c r="C1218" s="10" t="s">
        <v>1678</v>
      </c>
      <c r="D1218" s="10" t="s">
        <v>1679</v>
      </c>
      <c r="E1218" s="10" t="s">
        <v>1682</v>
      </c>
      <c r="F1218" t="s">
        <v>645</v>
      </c>
      <c r="G1218" s="4">
        <v>11013344</v>
      </c>
      <c r="H1218" s="4">
        <v>58534122</v>
      </c>
      <c r="I1218" s="4">
        <v>148666</v>
      </c>
      <c r="J1218" s="4">
        <f>SUM(G1218:I1218)</f>
        <v>69696132</v>
      </c>
      <c r="K1218" t="s">
        <v>1660</v>
      </c>
      <c r="L1218" t="s">
        <v>1660</v>
      </c>
      <c r="M1218" t="s">
        <v>645</v>
      </c>
      <c r="N1218" t="s">
        <v>645</v>
      </c>
      <c r="O1218" t="s">
        <v>645</v>
      </c>
      <c r="P1218">
        <f>IFERROR(VLOOKUP(F1218,Sheet1!$A$2:$B$54,2,FALSE),"")</f>
        <v>4900360</v>
      </c>
    </row>
    <row r="1219" spans="1:16" x14ac:dyDescent="0.2">
      <c r="A1219" s="1">
        <v>2023</v>
      </c>
      <c r="B1219" t="s">
        <v>148</v>
      </c>
      <c r="C1219" s="10" t="s">
        <v>1678</v>
      </c>
      <c r="D1219" s="10" t="s">
        <v>1679</v>
      </c>
      <c r="E1219" s="10" t="s">
        <v>1682</v>
      </c>
      <c r="F1219" t="s">
        <v>645</v>
      </c>
      <c r="G1219" s="4">
        <v>13220758</v>
      </c>
      <c r="H1219" s="4">
        <v>61299802</v>
      </c>
      <c r="I1219" s="4">
        <v>89405</v>
      </c>
      <c r="J1219" s="4">
        <f>SUM(G1219:I1219)</f>
        <v>74609965</v>
      </c>
      <c r="K1219" t="s">
        <v>1660</v>
      </c>
      <c r="L1219" t="s">
        <v>1660</v>
      </c>
      <c r="M1219" t="s">
        <v>645</v>
      </c>
      <c r="N1219" t="s">
        <v>645</v>
      </c>
      <c r="O1219" t="s">
        <v>645</v>
      </c>
      <c r="P1219">
        <f>IFERROR(VLOOKUP(F1219,Sheet1!$A$2:$B$54,2,FALSE),"")</f>
        <v>4900360</v>
      </c>
    </row>
    <row r="1220" spans="1:16" x14ac:dyDescent="0.2">
      <c r="A1220" s="1">
        <v>2015</v>
      </c>
      <c r="B1220" t="s">
        <v>149</v>
      </c>
      <c r="C1220" s="10" t="s">
        <v>1678</v>
      </c>
      <c r="D1220" s="10" t="s">
        <v>1679</v>
      </c>
      <c r="E1220" s="10" t="s">
        <v>1682</v>
      </c>
      <c r="F1220" t="s">
        <v>646</v>
      </c>
      <c r="G1220" s="4"/>
      <c r="H1220" s="4">
        <v>43058</v>
      </c>
      <c r="I1220" s="4"/>
      <c r="J1220" s="4">
        <f>SUM(G1220:I1220)</f>
        <v>43058</v>
      </c>
      <c r="K1220" t="s">
        <v>1661</v>
      </c>
      <c r="L1220" t="s">
        <v>1659</v>
      </c>
      <c r="M1220" t="s">
        <v>1132</v>
      </c>
      <c r="N1220" t="s">
        <v>1185</v>
      </c>
      <c r="O1220" t="s">
        <v>1132</v>
      </c>
      <c r="P1220" t="str">
        <f>IFERROR(VLOOKUP(F1220,Sheet1!$A$2:$B$54,2,FALSE),"")</f>
        <v/>
      </c>
    </row>
    <row r="1221" spans="1:16" x14ac:dyDescent="0.2">
      <c r="A1221" s="1">
        <v>2016</v>
      </c>
      <c r="B1221" t="s">
        <v>149</v>
      </c>
      <c r="C1221" s="10" t="s">
        <v>1678</v>
      </c>
      <c r="D1221" s="10" t="s">
        <v>1679</v>
      </c>
      <c r="E1221" s="10" t="s">
        <v>1682</v>
      </c>
      <c r="F1221" t="s">
        <v>646</v>
      </c>
      <c r="G1221" s="4"/>
      <c r="H1221" s="4">
        <v>54757</v>
      </c>
      <c r="I1221" s="4"/>
      <c r="J1221" s="4">
        <f>SUM(G1221:I1221)</f>
        <v>54757</v>
      </c>
      <c r="K1221" t="s">
        <v>1661</v>
      </c>
      <c r="L1221" t="s">
        <v>1659</v>
      </c>
      <c r="M1221" t="s">
        <v>1132</v>
      </c>
      <c r="N1221" t="s">
        <v>1185</v>
      </c>
      <c r="O1221" t="s">
        <v>1132</v>
      </c>
      <c r="P1221" t="str">
        <f>IFERROR(VLOOKUP(F1221,Sheet1!$A$2:$B$54,2,FALSE),"")</f>
        <v/>
      </c>
    </row>
    <row r="1222" spans="1:16" x14ac:dyDescent="0.2">
      <c r="A1222" s="1">
        <v>2017</v>
      </c>
      <c r="B1222" t="s">
        <v>149</v>
      </c>
      <c r="C1222" s="10" t="s">
        <v>1678</v>
      </c>
      <c r="D1222" s="10" t="s">
        <v>1679</v>
      </c>
      <c r="E1222" s="10" t="s">
        <v>1682</v>
      </c>
      <c r="F1222" t="s">
        <v>646</v>
      </c>
      <c r="G1222" s="4"/>
      <c r="H1222" s="4">
        <v>56773</v>
      </c>
      <c r="I1222" s="4"/>
      <c r="J1222" s="4">
        <f>SUM(G1222:I1222)</f>
        <v>56773</v>
      </c>
      <c r="K1222" t="s">
        <v>1661</v>
      </c>
      <c r="L1222" t="s">
        <v>1659</v>
      </c>
      <c r="M1222" t="s">
        <v>1132</v>
      </c>
      <c r="N1222" t="s">
        <v>1185</v>
      </c>
      <c r="O1222" t="s">
        <v>1132</v>
      </c>
      <c r="P1222" t="str">
        <f>IFERROR(VLOOKUP(F1222,Sheet1!$A$2:$B$54,2,FALSE),"")</f>
        <v/>
      </c>
    </row>
    <row r="1223" spans="1:16" x14ac:dyDescent="0.2">
      <c r="A1223" s="1">
        <v>2018</v>
      </c>
      <c r="B1223" t="s">
        <v>149</v>
      </c>
      <c r="C1223" s="10" t="s">
        <v>1678</v>
      </c>
      <c r="D1223" s="10" t="s">
        <v>1679</v>
      </c>
      <c r="E1223" s="10" t="s">
        <v>1682</v>
      </c>
      <c r="F1223" t="s">
        <v>646</v>
      </c>
      <c r="G1223" s="4"/>
      <c r="H1223" s="4">
        <v>59194</v>
      </c>
      <c r="I1223" s="4"/>
      <c r="J1223" s="4">
        <f>SUM(G1223:I1223)</f>
        <v>59194</v>
      </c>
      <c r="K1223" t="s">
        <v>1661</v>
      </c>
      <c r="L1223" t="s">
        <v>1659</v>
      </c>
      <c r="M1223" t="s">
        <v>1132</v>
      </c>
      <c r="N1223" t="s">
        <v>1185</v>
      </c>
      <c r="O1223" t="s">
        <v>1132</v>
      </c>
      <c r="P1223" t="str">
        <f>IFERROR(VLOOKUP(F1223,Sheet1!$A$2:$B$54,2,FALSE),"")</f>
        <v/>
      </c>
    </row>
    <row r="1224" spans="1:16" x14ac:dyDescent="0.2">
      <c r="A1224" s="1">
        <v>2019</v>
      </c>
      <c r="B1224" t="s">
        <v>149</v>
      </c>
      <c r="C1224" s="10" t="s">
        <v>1678</v>
      </c>
      <c r="D1224" s="10" t="s">
        <v>1679</v>
      </c>
      <c r="E1224" s="10" t="s">
        <v>1682</v>
      </c>
      <c r="F1224" t="s">
        <v>646</v>
      </c>
      <c r="G1224" s="4"/>
      <c r="H1224" s="4">
        <v>60405</v>
      </c>
      <c r="I1224" s="4"/>
      <c r="J1224" s="4">
        <f>SUM(G1224:I1224)</f>
        <v>60405</v>
      </c>
      <c r="K1224" t="s">
        <v>1661</v>
      </c>
      <c r="L1224" t="s">
        <v>1659</v>
      </c>
      <c r="M1224" t="s">
        <v>1132</v>
      </c>
      <c r="N1224" t="s">
        <v>1185</v>
      </c>
      <c r="O1224" t="s">
        <v>1132</v>
      </c>
      <c r="P1224" t="str">
        <f>IFERROR(VLOOKUP(F1224,Sheet1!$A$2:$B$54,2,FALSE),"")</f>
        <v/>
      </c>
    </row>
    <row r="1225" spans="1:16" x14ac:dyDescent="0.2">
      <c r="A1225" s="1">
        <v>2020</v>
      </c>
      <c r="B1225" t="s">
        <v>149</v>
      </c>
      <c r="C1225" s="10" t="s">
        <v>1678</v>
      </c>
      <c r="D1225" s="10" t="s">
        <v>1679</v>
      </c>
      <c r="E1225" s="10" t="s">
        <v>1682</v>
      </c>
      <c r="F1225" t="s">
        <v>646</v>
      </c>
      <c r="G1225" s="4">
        <v>3184</v>
      </c>
      <c r="H1225" s="4">
        <v>57013</v>
      </c>
      <c r="I1225" s="4"/>
      <c r="J1225" s="4">
        <f>SUM(G1225:I1225)</f>
        <v>60197</v>
      </c>
      <c r="K1225" t="s">
        <v>1660</v>
      </c>
      <c r="L1225" t="s">
        <v>1659</v>
      </c>
      <c r="M1225" t="s">
        <v>1185</v>
      </c>
      <c r="N1225" t="s">
        <v>1185</v>
      </c>
      <c r="O1225" t="s">
        <v>1132</v>
      </c>
      <c r="P1225" t="str">
        <f>IFERROR(VLOOKUP(F1225,Sheet1!$A$2:$B$54,2,FALSE),"")</f>
        <v/>
      </c>
    </row>
    <row r="1226" spans="1:16" x14ac:dyDescent="0.2">
      <c r="A1226" s="1">
        <v>2021</v>
      </c>
      <c r="B1226" t="s">
        <v>149</v>
      </c>
      <c r="C1226" s="10" t="s">
        <v>1678</v>
      </c>
      <c r="D1226" s="10" t="s">
        <v>1679</v>
      </c>
      <c r="E1226" s="10" t="s">
        <v>1682</v>
      </c>
      <c r="F1226" t="s">
        <v>646</v>
      </c>
      <c r="G1226" s="4">
        <v>3827</v>
      </c>
      <c r="H1226" s="4">
        <v>50994</v>
      </c>
      <c r="I1226" s="4"/>
      <c r="J1226" s="4">
        <f>SUM(G1226:I1226)</f>
        <v>54821</v>
      </c>
      <c r="K1226" t="s">
        <v>1660</v>
      </c>
      <c r="L1226" t="s">
        <v>1659</v>
      </c>
      <c r="M1226" t="s">
        <v>646</v>
      </c>
      <c r="N1226" t="s">
        <v>646</v>
      </c>
      <c r="O1226" t="s">
        <v>1132</v>
      </c>
      <c r="P1226" t="str">
        <f>IFERROR(VLOOKUP(F1226,Sheet1!$A$2:$B$54,2,FALSE),"")</f>
        <v/>
      </c>
    </row>
    <row r="1227" spans="1:16" x14ac:dyDescent="0.2">
      <c r="A1227" s="1">
        <v>2022</v>
      </c>
      <c r="B1227" t="s">
        <v>149</v>
      </c>
      <c r="C1227" s="10" t="s">
        <v>1678</v>
      </c>
      <c r="D1227" s="10" t="s">
        <v>1679</v>
      </c>
      <c r="E1227" s="10" t="s">
        <v>1682</v>
      </c>
      <c r="F1227" t="s">
        <v>646</v>
      </c>
      <c r="G1227" s="4">
        <v>4277</v>
      </c>
      <c r="H1227" s="4">
        <v>45428</v>
      </c>
      <c r="I1227" s="4"/>
      <c r="J1227" s="4">
        <f>SUM(G1227:I1227)</f>
        <v>49705</v>
      </c>
      <c r="K1227" t="s">
        <v>1660</v>
      </c>
      <c r="L1227" t="s">
        <v>1659</v>
      </c>
      <c r="M1227" t="s">
        <v>646</v>
      </c>
      <c r="N1227" t="s">
        <v>646</v>
      </c>
      <c r="O1227" t="s">
        <v>1132</v>
      </c>
      <c r="P1227" t="str">
        <f>IFERROR(VLOOKUP(F1227,Sheet1!$A$2:$B$54,2,FALSE),"")</f>
        <v/>
      </c>
    </row>
    <row r="1228" spans="1:16" x14ac:dyDescent="0.2">
      <c r="A1228" s="1">
        <v>2023</v>
      </c>
      <c r="B1228" t="s">
        <v>149</v>
      </c>
      <c r="C1228" s="10" t="s">
        <v>1678</v>
      </c>
      <c r="D1228" s="10" t="s">
        <v>1679</v>
      </c>
      <c r="E1228" s="10" t="s">
        <v>1682</v>
      </c>
      <c r="F1228" t="s">
        <v>646</v>
      </c>
      <c r="G1228" s="4">
        <v>4864</v>
      </c>
      <c r="H1228" s="4">
        <v>49284</v>
      </c>
      <c r="I1228" s="4"/>
      <c r="J1228" s="4">
        <f>SUM(G1228:I1228)</f>
        <v>54148</v>
      </c>
      <c r="K1228" t="s">
        <v>1660</v>
      </c>
      <c r="L1228" t="s">
        <v>1659</v>
      </c>
      <c r="M1228" t="s">
        <v>646</v>
      </c>
      <c r="N1228" t="s">
        <v>646</v>
      </c>
      <c r="O1228" t="s">
        <v>1132</v>
      </c>
      <c r="P1228" t="str">
        <f>IFERROR(VLOOKUP(F1228,Sheet1!$A$2:$B$54,2,FALSE),"")</f>
        <v/>
      </c>
    </row>
    <row r="1229" spans="1:16" x14ac:dyDescent="0.2">
      <c r="A1229" s="1">
        <v>2015</v>
      </c>
      <c r="B1229" t="s">
        <v>150</v>
      </c>
      <c r="C1229" s="10" t="s">
        <v>1678</v>
      </c>
      <c r="D1229" s="10" t="s">
        <v>1679</v>
      </c>
      <c r="E1229" s="10" t="s">
        <v>1682</v>
      </c>
      <c r="F1229" t="s">
        <v>647</v>
      </c>
      <c r="G1229" s="4">
        <v>11279</v>
      </c>
      <c r="H1229" s="4"/>
      <c r="I1229" s="4"/>
      <c r="J1229" s="4">
        <f>SUM(G1229:I1229)</f>
        <v>11279</v>
      </c>
      <c r="K1229" t="s">
        <v>1659</v>
      </c>
      <c r="L1229" t="s">
        <v>1659</v>
      </c>
      <c r="M1229" t="s">
        <v>1186</v>
      </c>
      <c r="N1229" t="s">
        <v>1132</v>
      </c>
      <c r="O1229" t="s">
        <v>1132</v>
      </c>
      <c r="P1229" t="str">
        <f>IFERROR(VLOOKUP(F1229,Sheet1!$A$2:$B$54,2,FALSE),"")</f>
        <v/>
      </c>
    </row>
    <row r="1230" spans="1:16" x14ac:dyDescent="0.2">
      <c r="A1230" s="1">
        <v>2016</v>
      </c>
      <c r="B1230" t="s">
        <v>150</v>
      </c>
      <c r="C1230" s="10" t="s">
        <v>1678</v>
      </c>
      <c r="D1230" s="10" t="s">
        <v>1679</v>
      </c>
      <c r="E1230" s="10" t="s">
        <v>1682</v>
      </c>
      <c r="F1230" t="s">
        <v>647</v>
      </c>
      <c r="G1230" s="4">
        <v>12798</v>
      </c>
      <c r="H1230" s="4"/>
      <c r="I1230" s="4"/>
      <c r="J1230" s="4">
        <f>SUM(G1230:I1230)</f>
        <v>12798</v>
      </c>
      <c r="K1230" t="s">
        <v>1659</v>
      </c>
      <c r="L1230" t="s">
        <v>1659</v>
      </c>
      <c r="M1230" t="s">
        <v>1186</v>
      </c>
      <c r="N1230" t="s">
        <v>1132</v>
      </c>
      <c r="O1230" t="s">
        <v>1132</v>
      </c>
      <c r="P1230" t="str">
        <f>IFERROR(VLOOKUP(F1230,Sheet1!$A$2:$B$54,2,FALSE),"")</f>
        <v/>
      </c>
    </row>
    <row r="1231" spans="1:16" x14ac:dyDescent="0.2">
      <c r="A1231" s="1">
        <v>2017</v>
      </c>
      <c r="B1231" t="s">
        <v>150</v>
      </c>
      <c r="C1231" s="10" t="s">
        <v>1678</v>
      </c>
      <c r="D1231" s="10" t="s">
        <v>1679</v>
      </c>
      <c r="E1231" s="10" t="s">
        <v>1682</v>
      </c>
      <c r="F1231" t="s">
        <v>647</v>
      </c>
      <c r="G1231" s="4">
        <v>25501</v>
      </c>
      <c r="H1231" s="4"/>
      <c r="I1231" s="4"/>
      <c r="J1231" s="4">
        <f>SUM(G1231:I1231)</f>
        <v>25501</v>
      </c>
      <c r="K1231" t="s">
        <v>1659</v>
      </c>
      <c r="L1231" t="s">
        <v>1659</v>
      </c>
      <c r="M1231" t="s">
        <v>1186</v>
      </c>
      <c r="N1231" t="s">
        <v>1132</v>
      </c>
      <c r="O1231" t="s">
        <v>1132</v>
      </c>
      <c r="P1231" t="str">
        <f>IFERROR(VLOOKUP(F1231,Sheet1!$A$2:$B$54,2,FALSE),"")</f>
        <v/>
      </c>
    </row>
    <row r="1232" spans="1:16" x14ac:dyDescent="0.2">
      <c r="A1232" s="1">
        <v>2018</v>
      </c>
      <c r="B1232" t="s">
        <v>150</v>
      </c>
      <c r="C1232" s="10" t="s">
        <v>1678</v>
      </c>
      <c r="D1232" s="10" t="s">
        <v>1679</v>
      </c>
      <c r="E1232" s="10" t="s">
        <v>1682</v>
      </c>
      <c r="F1232" t="s">
        <v>647</v>
      </c>
      <c r="G1232" s="4">
        <v>43442</v>
      </c>
      <c r="H1232" s="4"/>
      <c r="I1232" s="4"/>
      <c r="J1232" s="4">
        <f>SUM(G1232:I1232)</f>
        <v>43442</v>
      </c>
      <c r="K1232" t="s">
        <v>1659</v>
      </c>
      <c r="L1232" t="s">
        <v>1659</v>
      </c>
      <c r="M1232" t="s">
        <v>1186</v>
      </c>
      <c r="N1232" t="s">
        <v>1132</v>
      </c>
      <c r="O1232" t="s">
        <v>1132</v>
      </c>
      <c r="P1232" t="str">
        <f>IFERROR(VLOOKUP(F1232,Sheet1!$A$2:$B$54,2,FALSE),"")</f>
        <v/>
      </c>
    </row>
    <row r="1233" spans="1:16" x14ac:dyDescent="0.2">
      <c r="A1233" s="1">
        <v>2019</v>
      </c>
      <c r="B1233" t="s">
        <v>150</v>
      </c>
      <c r="C1233" s="10" t="s">
        <v>1678</v>
      </c>
      <c r="D1233" s="10" t="s">
        <v>1679</v>
      </c>
      <c r="E1233" s="10" t="s">
        <v>1682</v>
      </c>
      <c r="F1233" t="s">
        <v>647</v>
      </c>
      <c r="G1233" s="4">
        <v>55591</v>
      </c>
      <c r="H1233" s="4"/>
      <c r="I1233" s="4"/>
      <c r="J1233" s="4">
        <f>SUM(G1233:I1233)</f>
        <v>55591</v>
      </c>
      <c r="K1233" t="s">
        <v>1659</v>
      </c>
      <c r="L1233" t="s">
        <v>1659</v>
      </c>
      <c r="M1233" t="s">
        <v>1186</v>
      </c>
      <c r="N1233" t="s">
        <v>1132</v>
      </c>
      <c r="O1233" t="s">
        <v>1132</v>
      </c>
      <c r="P1233" t="str">
        <f>IFERROR(VLOOKUP(F1233,Sheet1!$A$2:$B$54,2,FALSE),"")</f>
        <v/>
      </c>
    </row>
    <row r="1234" spans="1:16" x14ac:dyDescent="0.2">
      <c r="A1234" s="1">
        <v>2020</v>
      </c>
      <c r="B1234" t="s">
        <v>150</v>
      </c>
      <c r="C1234" s="10" t="s">
        <v>1678</v>
      </c>
      <c r="D1234" s="10" t="s">
        <v>1679</v>
      </c>
      <c r="E1234" s="10" t="s">
        <v>1682</v>
      </c>
      <c r="F1234" t="s">
        <v>647</v>
      </c>
      <c r="G1234" s="4">
        <v>65067</v>
      </c>
      <c r="H1234" s="4"/>
      <c r="I1234" s="4"/>
      <c r="J1234" s="4">
        <f>SUM(G1234:I1234)</f>
        <v>65067</v>
      </c>
      <c r="K1234" t="s">
        <v>1659</v>
      </c>
      <c r="L1234" t="s">
        <v>1659</v>
      </c>
      <c r="M1234" t="s">
        <v>1186</v>
      </c>
      <c r="N1234" t="s">
        <v>1132</v>
      </c>
      <c r="O1234" t="s">
        <v>1132</v>
      </c>
      <c r="P1234" t="str">
        <f>IFERROR(VLOOKUP(F1234,Sheet1!$A$2:$B$54,2,FALSE),"")</f>
        <v/>
      </c>
    </row>
    <row r="1235" spans="1:16" x14ac:dyDescent="0.2">
      <c r="A1235" s="1">
        <v>2021</v>
      </c>
      <c r="B1235" t="s">
        <v>150</v>
      </c>
      <c r="C1235" s="10" t="s">
        <v>1678</v>
      </c>
      <c r="D1235" s="10" t="s">
        <v>1679</v>
      </c>
      <c r="E1235" s="10" t="s">
        <v>1682</v>
      </c>
      <c r="F1235" t="s">
        <v>647</v>
      </c>
      <c r="G1235" s="4">
        <v>93503</v>
      </c>
      <c r="H1235" s="4"/>
      <c r="I1235" s="4"/>
      <c r="J1235" s="4">
        <f>SUM(G1235:I1235)</f>
        <v>93503</v>
      </c>
      <c r="K1235" t="s">
        <v>1659</v>
      </c>
      <c r="L1235" t="s">
        <v>1659</v>
      </c>
      <c r="M1235" t="s">
        <v>647</v>
      </c>
      <c r="N1235" t="s">
        <v>1132</v>
      </c>
      <c r="O1235" t="s">
        <v>1132</v>
      </c>
      <c r="P1235" t="str">
        <f>IFERROR(VLOOKUP(F1235,Sheet1!$A$2:$B$54,2,FALSE),"")</f>
        <v/>
      </c>
    </row>
    <row r="1236" spans="1:16" x14ac:dyDescent="0.2">
      <c r="A1236" s="1">
        <v>2022</v>
      </c>
      <c r="B1236" t="s">
        <v>150</v>
      </c>
      <c r="C1236" s="10" t="s">
        <v>1678</v>
      </c>
      <c r="D1236" s="10" t="s">
        <v>1679</v>
      </c>
      <c r="E1236" s="10" t="s">
        <v>1682</v>
      </c>
      <c r="F1236" t="s">
        <v>647</v>
      </c>
      <c r="G1236" s="4">
        <v>132027</v>
      </c>
      <c r="H1236" s="4"/>
      <c r="I1236" s="4"/>
      <c r="J1236" s="4">
        <f>SUM(G1236:I1236)</f>
        <v>132027</v>
      </c>
      <c r="K1236" t="s">
        <v>1659</v>
      </c>
      <c r="L1236" t="s">
        <v>1659</v>
      </c>
      <c r="M1236" t="s">
        <v>647</v>
      </c>
      <c r="N1236" t="s">
        <v>1132</v>
      </c>
      <c r="O1236" t="s">
        <v>1132</v>
      </c>
      <c r="P1236" t="str">
        <f>IFERROR(VLOOKUP(F1236,Sheet1!$A$2:$B$54,2,FALSE),"")</f>
        <v/>
      </c>
    </row>
    <row r="1237" spans="1:16" x14ac:dyDescent="0.2">
      <c r="A1237" s="1">
        <v>2023</v>
      </c>
      <c r="B1237" t="s">
        <v>150</v>
      </c>
      <c r="C1237" s="10" t="s">
        <v>1678</v>
      </c>
      <c r="D1237" s="10" t="s">
        <v>1679</v>
      </c>
      <c r="E1237" s="10" t="s">
        <v>1682</v>
      </c>
      <c r="F1237" t="s">
        <v>647</v>
      </c>
      <c r="G1237" s="4">
        <v>164225</v>
      </c>
      <c r="H1237" s="4"/>
      <c r="I1237" s="4"/>
      <c r="J1237" s="4">
        <f>SUM(G1237:I1237)</f>
        <v>164225</v>
      </c>
      <c r="K1237" t="s">
        <v>1659</v>
      </c>
      <c r="L1237" t="s">
        <v>1659</v>
      </c>
      <c r="M1237" t="s">
        <v>647</v>
      </c>
      <c r="N1237" t="s">
        <v>1132</v>
      </c>
      <c r="O1237" t="s">
        <v>1132</v>
      </c>
      <c r="P1237" t="str">
        <f>IFERROR(VLOOKUP(F1237,Sheet1!$A$2:$B$54,2,FALSE),"")</f>
        <v/>
      </c>
    </row>
    <row r="1238" spans="1:16" x14ac:dyDescent="0.2">
      <c r="A1238" s="1">
        <v>2019</v>
      </c>
      <c r="B1238" t="s">
        <v>151</v>
      </c>
      <c r="C1238" s="10" t="s">
        <v>1678</v>
      </c>
      <c r="D1238" s="10" t="s">
        <v>1679</v>
      </c>
      <c r="E1238" s="10" t="s">
        <v>1682</v>
      </c>
      <c r="F1238" t="s">
        <v>648</v>
      </c>
      <c r="G1238" s="4">
        <v>17513</v>
      </c>
      <c r="H1238" s="4"/>
      <c r="I1238" s="4"/>
      <c r="J1238" s="4">
        <f>SUM(G1238:I1238)</f>
        <v>17513</v>
      </c>
      <c r="K1238" t="s">
        <v>1659</v>
      </c>
      <c r="L1238" t="s">
        <v>1659</v>
      </c>
      <c r="M1238" t="s">
        <v>1187</v>
      </c>
      <c r="N1238" t="s">
        <v>1132</v>
      </c>
      <c r="O1238" t="s">
        <v>1132</v>
      </c>
      <c r="P1238" t="str">
        <f>IFERROR(VLOOKUP(F1238,Sheet1!$A$2:$B$54,2,FALSE),"")</f>
        <v/>
      </c>
    </row>
    <row r="1239" spans="1:16" x14ac:dyDescent="0.2">
      <c r="A1239" s="1">
        <v>2020</v>
      </c>
      <c r="B1239" t="s">
        <v>151</v>
      </c>
      <c r="C1239" s="10" t="s">
        <v>1678</v>
      </c>
      <c r="D1239" s="10" t="s">
        <v>1679</v>
      </c>
      <c r="E1239" s="10" t="s">
        <v>1682</v>
      </c>
      <c r="F1239" t="s">
        <v>648</v>
      </c>
      <c r="G1239" s="4">
        <v>87242</v>
      </c>
      <c r="H1239" s="4"/>
      <c r="I1239" s="4"/>
      <c r="J1239" s="4">
        <f>SUM(G1239:I1239)</f>
        <v>87242</v>
      </c>
      <c r="K1239" t="s">
        <v>1659</v>
      </c>
      <c r="L1239" t="s">
        <v>1659</v>
      </c>
      <c r="M1239" t="s">
        <v>1188</v>
      </c>
      <c r="N1239" t="s">
        <v>1132</v>
      </c>
      <c r="O1239" t="s">
        <v>1132</v>
      </c>
      <c r="P1239" t="str">
        <f>IFERROR(VLOOKUP(F1239,Sheet1!$A$2:$B$54,2,FALSE),"")</f>
        <v/>
      </c>
    </row>
    <row r="1240" spans="1:16" x14ac:dyDescent="0.2">
      <c r="A1240" s="1">
        <v>2021</v>
      </c>
      <c r="B1240" t="s">
        <v>151</v>
      </c>
      <c r="C1240" s="10" t="s">
        <v>1678</v>
      </c>
      <c r="D1240" s="10" t="s">
        <v>1679</v>
      </c>
      <c r="E1240" s="10" t="s">
        <v>1682</v>
      </c>
      <c r="F1240" t="s">
        <v>648</v>
      </c>
      <c r="G1240" s="4">
        <v>96320</v>
      </c>
      <c r="H1240" s="4"/>
      <c r="I1240" s="4"/>
      <c r="J1240" s="4">
        <f>SUM(G1240:I1240)</f>
        <v>96320</v>
      </c>
      <c r="K1240" t="s">
        <v>1659</v>
      </c>
      <c r="L1240" t="s">
        <v>1659</v>
      </c>
      <c r="M1240" t="s">
        <v>648</v>
      </c>
      <c r="N1240" t="s">
        <v>1132</v>
      </c>
      <c r="O1240" t="s">
        <v>1132</v>
      </c>
      <c r="P1240" t="str">
        <f>IFERROR(VLOOKUP(F1240,Sheet1!$A$2:$B$54,2,FALSE),"")</f>
        <v/>
      </c>
    </row>
    <row r="1241" spans="1:16" x14ac:dyDescent="0.2">
      <c r="A1241" s="1">
        <v>2022</v>
      </c>
      <c r="B1241" t="s">
        <v>151</v>
      </c>
      <c r="C1241" s="10" t="s">
        <v>1678</v>
      </c>
      <c r="D1241" s="10" t="s">
        <v>1679</v>
      </c>
      <c r="E1241" s="10" t="s">
        <v>1682</v>
      </c>
      <c r="F1241" t="s">
        <v>648</v>
      </c>
      <c r="G1241" s="4">
        <v>129032</v>
      </c>
      <c r="H1241" s="4"/>
      <c r="I1241" s="4"/>
      <c r="J1241" s="4">
        <f>SUM(G1241:I1241)</f>
        <v>129032</v>
      </c>
      <c r="K1241" t="s">
        <v>1659</v>
      </c>
      <c r="L1241" t="s">
        <v>1659</v>
      </c>
      <c r="M1241" t="s">
        <v>648</v>
      </c>
      <c r="N1241" t="s">
        <v>1132</v>
      </c>
      <c r="O1241" t="s">
        <v>1132</v>
      </c>
      <c r="P1241" t="str">
        <f>IFERROR(VLOOKUP(F1241,Sheet1!$A$2:$B$54,2,FALSE),"")</f>
        <v/>
      </c>
    </row>
    <row r="1242" spans="1:16" x14ac:dyDescent="0.2">
      <c r="A1242" s="1">
        <v>2023</v>
      </c>
      <c r="B1242" t="s">
        <v>151</v>
      </c>
      <c r="C1242" s="10" t="s">
        <v>1678</v>
      </c>
      <c r="D1242" s="10" t="s">
        <v>1679</v>
      </c>
      <c r="E1242" s="10" t="s">
        <v>1682</v>
      </c>
      <c r="F1242" t="s">
        <v>648</v>
      </c>
      <c r="G1242" s="4">
        <v>171401</v>
      </c>
      <c r="H1242" s="4"/>
      <c r="I1242" s="4"/>
      <c r="J1242" s="4">
        <f>SUM(G1242:I1242)</f>
        <v>171401</v>
      </c>
      <c r="K1242" t="s">
        <v>1659</v>
      </c>
      <c r="L1242" t="s">
        <v>1659</v>
      </c>
      <c r="M1242" t="s">
        <v>648</v>
      </c>
      <c r="N1242" t="s">
        <v>1132</v>
      </c>
      <c r="O1242" t="s">
        <v>1132</v>
      </c>
      <c r="P1242" t="str">
        <f>IFERROR(VLOOKUP(F1242,Sheet1!$A$2:$B$54,2,FALSE),"")</f>
        <v/>
      </c>
    </row>
    <row r="1243" spans="1:16" x14ac:dyDescent="0.2">
      <c r="A1243" s="1">
        <v>2015</v>
      </c>
      <c r="B1243" t="s">
        <v>152</v>
      </c>
      <c r="C1243" s="10" t="s">
        <v>1678</v>
      </c>
      <c r="D1243" s="10" t="s">
        <v>1679</v>
      </c>
      <c r="E1243" s="10" t="s">
        <v>1682</v>
      </c>
      <c r="F1243" t="s">
        <v>649</v>
      </c>
      <c r="G1243" s="4">
        <v>2599</v>
      </c>
      <c r="H1243" s="4"/>
      <c r="I1243" s="4"/>
      <c r="J1243" s="4">
        <f>SUM(G1243:I1243)</f>
        <v>2599</v>
      </c>
      <c r="K1243" t="s">
        <v>1659</v>
      </c>
      <c r="L1243" t="s">
        <v>1659</v>
      </c>
      <c r="M1243" t="s">
        <v>1189</v>
      </c>
      <c r="N1243" t="s">
        <v>1132</v>
      </c>
      <c r="O1243" t="s">
        <v>1132</v>
      </c>
      <c r="P1243" t="str">
        <f>IFERROR(VLOOKUP(F1243,Sheet1!$A$2:$B$54,2,FALSE),"")</f>
        <v/>
      </c>
    </row>
    <row r="1244" spans="1:16" x14ac:dyDescent="0.2">
      <c r="A1244" s="1">
        <v>2016</v>
      </c>
      <c r="B1244" t="s">
        <v>152</v>
      </c>
      <c r="C1244" s="10" t="s">
        <v>1678</v>
      </c>
      <c r="D1244" s="10" t="s">
        <v>1679</v>
      </c>
      <c r="E1244" s="10" t="s">
        <v>1682</v>
      </c>
      <c r="F1244" t="s">
        <v>649</v>
      </c>
      <c r="G1244" s="4">
        <v>2691</v>
      </c>
      <c r="H1244" s="4"/>
      <c r="I1244" s="4"/>
      <c r="J1244" s="4">
        <f>SUM(G1244:I1244)</f>
        <v>2691</v>
      </c>
      <c r="K1244" t="s">
        <v>1659</v>
      </c>
      <c r="L1244" t="s">
        <v>1659</v>
      </c>
      <c r="M1244" t="s">
        <v>1189</v>
      </c>
      <c r="N1244" t="s">
        <v>1132</v>
      </c>
      <c r="O1244" t="s">
        <v>1132</v>
      </c>
      <c r="P1244" t="str">
        <f>IFERROR(VLOOKUP(F1244,Sheet1!$A$2:$B$54,2,FALSE),"")</f>
        <v/>
      </c>
    </row>
    <row r="1245" spans="1:16" x14ac:dyDescent="0.2">
      <c r="A1245" s="1">
        <v>2017</v>
      </c>
      <c r="B1245" t="s">
        <v>152</v>
      </c>
      <c r="C1245" s="10" t="s">
        <v>1678</v>
      </c>
      <c r="D1245" s="10" t="s">
        <v>1679</v>
      </c>
      <c r="E1245" s="10" t="s">
        <v>1682</v>
      </c>
      <c r="F1245" t="s">
        <v>649</v>
      </c>
      <c r="G1245" s="4">
        <v>2826</v>
      </c>
      <c r="H1245" s="4"/>
      <c r="I1245" s="4"/>
      <c r="J1245" s="4">
        <f>SUM(G1245:I1245)</f>
        <v>2826</v>
      </c>
      <c r="K1245" t="s">
        <v>1659</v>
      </c>
      <c r="L1245" t="s">
        <v>1659</v>
      </c>
      <c r="M1245" t="s">
        <v>1189</v>
      </c>
      <c r="N1245" t="s">
        <v>1132</v>
      </c>
      <c r="O1245" t="s">
        <v>1132</v>
      </c>
      <c r="P1245" t="str">
        <f>IFERROR(VLOOKUP(F1245,Sheet1!$A$2:$B$54,2,FALSE),"")</f>
        <v/>
      </c>
    </row>
    <row r="1246" spans="1:16" x14ac:dyDescent="0.2">
      <c r="A1246" s="1">
        <v>2018</v>
      </c>
      <c r="B1246" t="s">
        <v>152</v>
      </c>
      <c r="C1246" s="10" t="s">
        <v>1678</v>
      </c>
      <c r="D1246" s="10" t="s">
        <v>1679</v>
      </c>
      <c r="E1246" s="10" t="s">
        <v>1682</v>
      </c>
      <c r="F1246" t="s">
        <v>649</v>
      </c>
      <c r="G1246" s="4">
        <v>4838</v>
      </c>
      <c r="H1246" s="4"/>
      <c r="I1246" s="4"/>
      <c r="J1246" s="4">
        <f>SUM(G1246:I1246)</f>
        <v>4838</v>
      </c>
      <c r="K1246" t="s">
        <v>1659</v>
      </c>
      <c r="L1246" t="s">
        <v>1659</v>
      </c>
      <c r="M1246" t="s">
        <v>1189</v>
      </c>
      <c r="N1246" t="s">
        <v>1132</v>
      </c>
      <c r="O1246" t="s">
        <v>1132</v>
      </c>
      <c r="P1246" t="str">
        <f>IFERROR(VLOOKUP(F1246,Sheet1!$A$2:$B$54,2,FALSE),"")</f>
        <v/>
      </c>
    </row>
    <row r="1247" spans="1:16" x14ac:dyDescent="0.2">
      <c r="A1247" s="1">
        <v>2019</v>
      </c>
      <c r="B1247" t="s">
        <v>152</v>
      </c>
      <c r="C1247" s="10" t="s">
        <v>1678</v>
      </c>
      <c r="D1247" s="10" t="s">
        <v>1679</v>
      </c>
      <c r="E1247" s="10" t="s">
        <v>1682</v>
      </c>
      <c r="F1247" t="s">
        <v>649</v>
      </c>
      <c r="G1247" s="4">
        <v>5430</v>
      </c>
      <c r="H1247" s="4"/>
      <c r="I1247" s="4"/>
      <c r="J1247" s="4">
        <f>SUM(G1247:I1247)</f>
        <v>5430</v>
      </c>
      <c r="K1247" t="s">
        <v>1659</v>
      </c>
      <c r="L1247" t="s">
        <v>1659</v>
      </c>
      <c r="M1247" t="s">
        <v>1189</v>
      </c>
      <c r="N1247" t="s">
        <v>1132</v>
      </c>
      <c r="O1247" t="s">
        <v>1132</v>
      </c>
      <c r="P1247" t="str">
        <f>IFERROR(VLOOKUP(F1247,Sheet1!$A$2:$B$54,2,FALSE),"")</f>
        <v/>
      </c>
    </row>
    <row r="1248" spans="1:16" x14ac:dyDescent="0.2">
      <c r="A1248" s="1">
        <v>2020</v>
      </c>
      <c r="B1248" t="s">
        <v>152</v>
      </c>
      <c r="C1248" s="10" t="s">
        <v>1678</v>
      </c>
      <c r="D1248" s="10" t="s">
        <v>1679</v>
      </c>
      <c r="E1248" s="10" t="s">
        <v>1682</v>
      </c>
      <c r="F1248" t="s">
        <v>649</v>
      </c>
      <c r="G1248" s="4">
        <v>7692</v>
      </c>
      <c r="H1248" s="4"/>
      <c r="I1248" s="4"/>
      <c r="J1248" s="4">
        <f>SUM(G1248:I1248)</f>
        <v>7692</v>
      </c>
      <c r="K1248" t="s">
        <v>1659</v>
      </c>
      <c r="L1248" t="s">
        <v>1659</v>
      </c>
      <c r="M1248" t="s">
        <v>1189</v>
      </c>
      <c r="N1248" t="s">
        <v>1132</v>
      </c>
      <c r="O1248" t="s">
        <v>1132</v>
      </c>
      <c r="P1248" t="str">
        <f>IFERROR(VLOOKUP(F1248,Sheet1!$A$2:$B$54,2,FALSE),"")</f>
        <v/>
      </c>
    </row>
    <row r="1249" spans="1:16" x14ac:dyDescent="0.2">
      <c r="A1249" s="1">
        <v>2021</v>
      </c>
      <c r="B1249" t="s">
        <v>152</v>
      </c>
      <c r="C1249" s="10" t="s">
        <v>1678</v>
      </c>
      <c r="D1249" s="10" t="s">
        <v>1679</v>
      </c>
      <c r="E1249" s="10" t="s">
        <v>1682</v>
      </c>
      <c r="F1249" t="s">
        <v>649</v>
      </c>
      <c r="G1249" s="4">
        <v>10227</v>
      </c>
      <c r="H1249" s="4"/>
      <c r="I1249" s="4"/>
      <c r="J1249" s="4">
        <f>SUM(G1249:I1249)</f>
        <v>10227</v>
      </c>
      <c r="K1249" t="s">
        <v>1659</v>
      </c>
      <c r="L1249" t="s">
        <v>1659</v>
      </c>
      <c r="M1249" t="s">
        <v>649</v>
      </c>
      <c r="N1249" t="s">
        <v>1132</v>
      </c>
      <c r="O1249" t="s">
        <v>1132</v>
      </c>
      <c r="P1249" t="str">
        <f>IFERROR(VLOOKUP(F1249,Sheet1!$A$2:$B$54,2,FALSE),"")</f>
        <v/>
      </c>
    </row>
    <row r="1250" spans="1:16" x14ac:dyDescent="0.2">
      <c r="A1250" s="1">
        <v>2022</v>
      </c>
      <c r="B1250" t="s">
        <v>152</v>
      </c>
      <c r="C1250" s="10" t="s">
        <v>1678</v>
      </c>
      <c r="D1250" s="10" t="s">
        <v>1679</v>
      </c>
      <c r="E1250" s="10" t="s">
        <v>1682</v>
      </c>
      <c r="F1250" t="s">
        <v>649</v>
      </c>
      <c r="G1250" s="4">
        <v>12207</v>
      </c>
      <c r="H1250" s="4"/>
      <c r="I1250" s="4"/>
      <c r="J1250" s="4">
        <f>SUM(G1250:I1250)</f>
        <v>12207</v>
      </c>
      <c r="K1250" t="s">
        <v>1659</v>
      </c>
      <c r="L1250" t="s">
        <v>1659</v>
      </c>
      <c r="M1250" t="s">
        <v>649</v>
      </c>
      <c r="N1250" t="s">
        <v>1132</v>
      </c>
      <c r="O1250" t="s">
        <v>1132</v>
      </c>
      <c r="P1250" t="str">
        <f>IFERROR(VLOOKUP(F1250,Sheet1!$A$2:$B$54,2,FALSE),"")</f>
        <v/>
      </c>
    </row>
    <row r="1251" spans="1:16" x14ac:dyDescent="0.2">
      <c r="A1251" s="1">
        <v>2023</v>
      </c>
      <c r="B1251" t="s">
        <v>152</v>
      </c>
      <c r="C1251" s="10" t="s">
        <v>1678</v>
      </c>
      <c r="D1251" s="10" t="s">
        <v>1679</v>
      </c>
      <c r="E1251" s="10" t="s">
        <v>1682</v>
      </c>
      <c r="F1251" t="s">
        <v>649</v>
      </c>
      <c r="G1251" s="4">
        <v>14145</v>
      </c>
      <c r="H1251" s="4"/>
      <c r="I1251" s="4"/>
      <c r="J1251" s="4">
        <f>SUM(G1251:I1251)</f>
        <v>14145</v>
      </c>
      <c r="K1251" t="s">
        <v>1659</v>
      </c>
      <c r="L1251" t="s">
        <v>1659</v>
      </c>
      <c r="M1251" t="s">
        <v>649</v>
      </c>
      <c r="N1251" t="s">
        <v>1132</v>
      </c>
      <c r="O1251" t="s">
        <v>1132</v>
      </c>
      <c r="P1251" t="str">
        <f>IFERROR(VLOOKUP(F1251,Sheet1!$A$2:$B$54,2,FALSE),"")</f>
        <v/>
      </c>
    </row>
    <row r="1252" spans="1:16" x14ac:dyDescent="0.2">
      <c r="A1252" s="1">
        <v>2015</v>
      </c>
      <c r="B1252" t="s">
        <v>153</v>
      </c>
      <c r="C1252" s="10" t="s">
        <v>1678</v>
      </c>
      <c r="D1252" s="10" t="s">
        <v>1679</v>
      </c>
      <c r="E1252" s="10" t="s">
        <v>1682</v>
      </c>
      <c r="F1252" t="s">
        <v>650</v>
      </c>
      <c r="G1252" s="4">
        <v>41487</v>
      </c>
      <c r="H1252" s="4"/>
      <c r="I1252" s="4"/>
      <c r="J1252" s="4">
        <f>SUM(G1252:I1252)</f>
        <v>41487</v>
      </c>
      <c r="K1252" t="s">
        <v>1659</v>
      </c>
      <c r="L1252" t="s">
        <v>1659</v>
      </c>
      <c r="M1252" t="s">
        <v>1190</v>
      </c>
      <c r="N1252" t="s">
        <v>1132</v>
      </c>
      <c r="O1252" t="s">
        <v>1132</v>
      </c>
      <c r="P1252" t="str">
        <f>IFERROR(VLOOKUP(F1252,Sheet1!$A$2:$B$54,2,FALSE),"")</f>
        <v/>
      </c>
    </row>
    <row r="1253" spans="1:16" x14ac:dyDescent="0.2">
      <c r="A1253" s="1">
        <v>2016</v>
      </c>
      <c r="B1253" t="s">
        <v>153</v>
      </c>
      <c r="C1253" s="10" t="s">
        <v>1678</v>
      </c>
      <c r="D1253" s="10" t="s">
        <v>1679</v>
      </c>
      <c r="E1253" s="10" t="s">
        <v>1682</v>
      </c>
      <c r="F1253" t="s">
        <v>650</v>
      </c>
      <c r="G1253" s="4">
        <v>62649</v>
      </c>
      <c r="H1253" s="4"/>
      <c r="I1253" s="4"/>
      <c r="J1253" s="4">
        <f>SUM(G1253:I1253)</f>
        <v>62649</v>
      </c>
      <c r="K1253" t="s">
        <v>1659</v>
      </c>
      <c r="L1253" t="s">
        <v>1659</v>
      </c>
      <c r="M1253" t="s">
        <v>1190</v>
      </c>
      <c r="N1253" t="s">
        <v>1132</v>
      </c>
      <c r="O1253" t="s">
        <v>1132</v>
      </c>
      <c r="P1253" t="str">
        <f>IFERROR(VLOOKUP(F1253,Sheet1!$A$2:$B$54,2,FALSE),"")</f>
        <v/>
      </c>
    </row>
    <row r="1254" spans="1:16" x14ac:dyDescent="0.2">
      <c r="A1254" s="1">
        <v>2017</v>
      </c>
      <c r="B1254" t="s">
        <v>153</v>
      </c>
      <c r="C1254" s="10" t="s">
        <v>1678</v>
      </c>
      <c r="D1254" s="10" t="s">
        <v>1679</v>
      </c>
      <c r="E1254" s="10" t="s">
        <v>1682</v>
      </c>
      <c r="F1254" t="s">
        <v>650</v>
      </c>
      <c r="G1254" s="4">
        <v>83061</v>
      </c>
      <c r="H1254" s="4"/>
      <c r="I1254" s="4"/>
      <c r="J1254" s="4">
        <f>SUM(G1254:I1254)</f>
        <v>83061</v>
      </c>
      <c r="K1254" t="s">
        <v>1659</v>
      </c>
      <c r="L1254" t="s">
        <v>1659</v>
      </c>
      <c r="M1254" t="s">
        <v>1190</v>
      </c>
      <c r="N1254" t="s">
        <v>1132</v>
      </c>
      <c r="O1254" t="s">
        <v>1132</v>
      </c>
      <c r="P1254" t="str">
        <f>IFERROR(VLOOKUP(F1254,Sheet1!$A$2:$B$54,2,FALSE),"")</f>
        <v/>
      </c>
    </row>
    <row r="1255" spans="1:16" x14ac:dyDescent="0.2">
      <c r="A1255" s="1">
        <v>2018</v>
      </c>
      <c r="B1255" t="s">
        <v>153</v>
      </c>
      <c r="C1255" s="10" t="s">
        <v>1678</v>
      </c>
      <c r="D1255" s="10" t="s">
        <v>1679</v>
      </c>
      <c r="E1255" s="10" t="s">
        <v>1682</v>
      </c>
      <c r="F1255" t="s">
        <v>650</v>
      </c>
      <c r="G1255" s="4">
        <v>107281</v>
      </c>
      <c r="H1255" s="4"/>
      <c r="I1255" s="4"/>
      <c r="J1255" s="4">
        <f>SUM(G1255:I1255)</f>
        <v>107281</v>
      </c>
      <c r="K1255" t="s">
        <v>1659</v>
      </c>
      <c r="L1255" t="s">
        <v>1659</v>
      </c>
      <c r="M1255" t="s">
        <v>1190</v>
      </c>
      <c r="N1255" t="s">
        <v>1132</v>
      </c>
      <c r="O1255" t="s">
        <v>1132</v>
      </c>
      <c r="P1255" t="str">
        <f>IFERROR(VLOOKUP(F1255,Sheet1!$A$2:$B$54,2,FALSE),"")</f>
        <v/>
      </c>
    </row>
    <row r="1256" spans="1:16" x14ac:dyDescent="0.2">
      <c r="A1256" s="1">
        <v>2019</v>
      </c>
      <c r="B1256" t="s">
        <v>153</v>
      </c>
      <c r="C1256" s="10" t="s">
        <v>1678</v>
      </c>
      <c r="D1256" s="10" t="s">
        <v>1679</v>
      </c>
      <c r="E1256" s="10" t="s">
        <v>1682</v>
      </c>
      <c r="F1256" t="s">
        <v>650</v>
      </c>
      <c r="G1256" s="4">
        <v>126261</v>
      </c>
      <c r="H1256" s="4"/>
      <c r="I1256" s="4"/>
      <c r="J1256" s="4">
        <f>SUM(G1256:I1256)</f>
        <v>126261</v>
      </c>
      <c r="K1256" t="s">
        <v>1659</v>
      </c>
      <c r="L1256" t="s">
        <v>1659</v>
      </c>
      <c r="M1256" t="s">
        <v>1190</v>
      </c>
      <c r="N1256" t="s">
        <v>1132</v>
      </c>
      <c r="O1256" t="s">
        <v>1132</v>
      </c>
      <c r="P1256" t="str">
        <f>IFERROR(VLOOKUP(F1256,Sheet1!$A$2:$B$54,2,FALSE),"")</f>
        <v/>
      </c>
    </row>
    <row r="1257" spans="1:16" x14ac:dyDescent="0.2">
      <c r="A1257" s="1">
        <v>2020</v>
      </c>
      <c r="B1257" t="s">
        <v>153</v>
      </c>
      <c r="C1257" s="10" t="s">
        <v>1678</v>
      </c>
      <c r="D1257" s="10" t="s">
        <v>1679</v>
      </c>
      <c r="E1257" s="10" t="s">
        <v>1682</v>
      </c>
      <c r="F1257" t="s">
        <v>650</v>
      </c>
      <c r="G1257" s="4">
        <v>152589</v>
      </c>
      <c r="H1257" s="4"/>
      <c r="I1257" s="4"/>
      <c r="J1257" s="4">
        <f>SUM(G1257:I1257)</f>
        <v>152589</v>
      </c>
      <c r="K1257" t="s">
        <v>1659</v>
      </c>
      <c r="L1257" t="s">
        <v>1659</v>
      </c>
      <c r="M1257" t="s">
        <v>1190</v>
      </c>
      <c r="N1257" t="s">
        <v>1132</v>
      </c>
      <c r="O1257" t="s">
        <v>1132</v>
      </c>
      <c r="P1257" t="str">
        <f>IFERROR(VLOOKUP(F1257,Sheet1!$A$2:$B$54,2,FALSE),"")</f>
        <v/>
      </c>
    </row>
    <row r="1258" spans="1:16" x14ac:dyDescent="0.2">
      <c r="A1258" s="1">
        <v>2021</v>
      </c>
      <c r="B1258" t="s">
        <v>153</v>
      </c>
      <c r="C1258" s="10" t="s">
        <v>1678</v>
      </c>
      <c r="D1258" s="10" t="s">
        <v>1679</v>
      </c>
      <c r="E1258" s="10" t="s">
        <v>1682</v>
      </c>
      <c r="F1258" t="s">
        <v>650</v>
      </c>
      <c r="G1258" s="4">
        <v>256550</v>
      </c>
      <c r="H1258" s="4"/>
      <c r="I1258" s="4"/>
      <c r="J1258" s="4">
        <f>SUM(G1258:I1258)</f>
        <v>256550</v>
      </c>
      <c r="K1258" t="s">
        <v>1659</v>
      </c>
      <c r="L1258" t="s">
        <v>1659</v>
      </c>
      <c r="M1258" t="s">
        <v>650</v>
      </c>
      <c r="N1258" t="s">
        <v>1132</v>
      </c>
      <c r="O1258" t="s">
        <v>1132</v>
      </c>
      <c r="P1258" t="str">
        <f>IFERROR(VLOOKUP(F1258,Sheet1!$A$2:$B$54,2,FALSE),"")</f>
        <v/>
      </c>
    </row>
    <row r="1259" spans="1:16" x14ac:dyDescent="0.2">
      <c r="A1259" s="1">
        <v>2022</v>
      </c>
      <c r="B1259" t="s">
        <v>153</v>
      </c>
      <c r="C1259" s="10" t="s">
        <v>1678</v>
      </c>
      <c r="D1259" s="10" t="s">
        <v>1679</v>
      </c>
      <c r="E1259" s="10" t="s">
        <v>1682</v>
      </c>
      <c r="F1259" t="s">
        <v>650</v>
      </c>
      <c r="G1259" s="4">
        <v>326902</v>
      </c>
      <c r="H1259" s="4"/>
      <c r="I1259" s="4"/>
      <c r="J1259" s="4">
        <f>SUM(G1259:I1259)</f>
        <v>326902</v>
      </c>
      <c r="K1259" t="s">
        <v>1659</v>
      </c>
      <c r="L1259" t="s">
        <v>1659</v>
      </c>
      <c r="M1259" t="s">
        <v>650</v>
      </c>
      <c r="N1259" t="s">
        <v>1132</v>
      </c>
      <c r="O1259" t="s">
        <v>1132</v>
      </c>
      <c r="P1259" t="str">
        <f>IFERROR(VLOOKUP(F1259,Sheet1!$A$2:$B$54,2,FALSE),"")</f>
        <v/>
      </c>
    </row>
    <row r="1260" spans="1:16" x14ac:dyDescent="0.2">
      <c r="A1260" s="1">
        <v>2023</v>
      </c>
      <c r="B1260" t="s">
        <v>153</v>
      </c>
      <c r="C1260" s="10" t="s">
        <v>1678</v>
      </c>
      <c r="D1260" s="10" t="s">
        <v>1679</v>
      </c>
      <c r="E1260" s="10" t="s">
        <v>1682</v>
      </c>
      <c r="F1260" t="s">
        <v>650</v>
      </c>
      <c r="G1260" s="4">
        <v>425935</v>
      </c>
      <c r="H1260" s="4"/>
      <c r="I1260" s="4"/>
      <c r="J1260" s="4">
        <f>SUM(G1260:I1260)</f>
        <v>425935</v>
      </c>
      <c r="K1260" t="s">
        <v>1659</v>
      </c>
      <c r="L1260" t="s">
        <v>1659</v>
      </c>
      <c r="M1260" t="s">
        <v>650</v>
      </c>
      <c r="N1260" t="s">
        <v>1132</v>
      </c>
      <c r="O1260" t="s">
        <v>1132</v>
      </c>
      <c r="P1260" t="str">
        <f>IFERROR(VLOOKUP(F1260,Sheet1!$A$2:$B$54,2,FALSE),"")</f>
        <v/>
      </c>
    </row>
    <row r="1261" spans="1:16" x14ac:dyDescent="0.2">
      <c r="A1261" s="1">
        <v>2015</v>
      </c>
      <c r="B1261" t="s">
        <v>154</v>
      </c>
      <c r="C1261" s="10" t="s">
        <v>1678</v>
      </c>
      <c r="D1261" s="10" t="s">
        <v>1679</v>
      </c>
      <c r="E1261" s="10" t="s">
        <v>1682</v>
      </c>
      <c r="F1261" t="s">
        <v>651</v>
      </c>
      <c r="G1261" s="4">
        <v>43734</v>
      </c>
      <c r="H1261" s="4"/>
      <c r="I1261" s="4"/>
      <c r="J1261" s="4">
        <f>SUM(G1261:I1261)</f>
        <v>43734</v>
      </c>
      <c r="K1261" t="s">
        <v>1659</v>
      </c>
      <c r="L1261" t="s">
        <v>1659</v>
      </c>
      <c r="M1261" t="s">
        <v>1191</v>
      </c>
      <c r="N1261" t="s">
        <v>1132</v>
      </c>
      <c r="O1261" t="s">
        <v>1132</v>
      </c>
      <c r="P1261" t="str">
        <f>IFERROR(VLOOKUP(F1261,Sheet1!$A$2:$B$54,2,FALSE),"")</f>
        <v/>
      </c>
    </row>
    <row r="1262" spans="1:16" x14ac:dyDescent="0.2">
      <c r="A1262" s="1">
        <v>2016</v>
      </c>
      <c r="B1262" t="s">
        <v>154</v>
      </c>
      <c r="C1262" s="10" t="s">
        <v>1678</v>
      </c>
      <c r="D1262" s="10" t="s">
        <v>1679</v>
      </c>
      <c r="E1262" s="10" t="s">
        <v>1682</v>
      </c>
      <c r="F1262" t="s">
        <v>651</v>
      </c>
      <c r="G1262" s="4">
        <v>67724</v>
      </c>
      <c r="H1262" s="4"/>
      <c r="I1262" s="4"/>
      <c r="J1262" s="4">
        <f>SUM(G1262:I1262)</f>
        <v>67724</v>
      </c>
      <c r="K1262" t="s">
        <v>1659</v>
      </c>
      <c r="L1262" t="s">
        <v>1659</v>
      </c>
      <c r="M1262" t="s">
        <v>1191</v>
      </c>
      <c r="N1262" t="s">
        <v>1132</v>
      </c>
      <c r="O1262" t="s">
        <v>1132</v>
      </c>
      <c r="P1262" t="str">
        <f>IFERROR(VLOOKUP(F1262,Sheet1!$A$2:$B$54,2,FALSE),"")</f>
        <v/>
      </c>
    </row>
    <row r="1263" spans="1:16" x14ac:dyDescent="0.2">
      <c r="A1263" s="1">
        <v>2017</v>
      </c>
      <c r="B1263" t="s">
        <v>154</v>
      </c>
      <c r="C1263" s="10" t="s">
        <v>1678</v>
      </c>
      <c r="D1263" s="10" t="s">
        <v>1679</v>
      </c>
      <c r="E1263" s="10" t="s">
        <v>1682</v>
      </c>
      <c r="F1263" t="s">
        <v>651</v>
      </c>
      <c r="G1263" s="4">
        <v>92239</v>
      </c>
      <c r="H1263" s="4"/>
      <c r="I1263" s="4"/>
      <c r="J1263" s="4">
        <f>SUM(G1263:I1263)</f>
        <v>92239</v>
      </c>
      <c r="K1263" t="s">
        <v>1659</v>
      </c>
      <c r="L1263" t="s">
        <v>1659</v>
      </c>
      <c r="M1263" t="s">
        <v>1191</v>
      </c>
      <c r="N1263" t="s">
        <v>1132</v>
      </c>
      <c r="O1263" t="s">
        <v>1132</v>
      </c>
      <c r="P1263" t="str">
        <f>IFERROR(VLOOKUP(F1263,Sheet1!$A$2:$B$54,2,FALSE),"")</f>
        <v/>
      </c>
    </row>
    <row r="1264" spans="1:16" x14ac:dyDescent="0.2">
      <c r="A1264" s="1">
        <v>2018</v>
      </c>
      <c r="B1264" t="s">
        <v>154</v>
      </c>
      <c r="C1264" s="10" t="s">
        <v>1678</v>
      </c>
      <c r="D1264" s="10" t="s">
        <v>1679</v>
      </c>
      <c r="E1264" s="10" t="s">
        <v>1682</v>
      </c>
      <c r="F1264" t="s">
        <v>651</v>
      </c>
      <c r="G1264" s="4">
        <v>105061</v>
      </c>
      <c r="H1264" s="4"/>
      <c r="I1264" s="4"/>
      <c r="J1264" s="4">
        <f>SUM(G1264:I1264)</f>
        <v>105061</v>
      </c>
      <c r="K1264" t="s">
        <v>1659</v>
      </c>
      <c r="L1264" t="s">
        <v>1659</v>
      </c>
      <c r="M1264" t="s">
        <v>1191</v>
      </c>
      <c r="N1264" t="s">
        <v>1132</v>
      </c>
      <c r="O1264" t="s">
        <v>1132</v>
      </c>
      <c r="P1264" t="str">
        <f>IFERROR(VLOOKUP(F1264,Sheet1!$A$2:$B$54,2,FALSE),"")</f>
        <v/>
      </c>
    </row>
    <row r="1265" spans="1:16" x14ac:dyDescent="0.2">
      <c r="A1265" s="1">
        <v>2019</v>
      </c>
      <c r="B1265" t="s">
        <v>154</v>
      </c>
      <c r="C1265" s="10" t="s">
        <v>1678</v>
      </c>
      <c r="D1265" s="10" t="s">
        <v>1679</v>
      </c>
      <c r="E1265" s="10" t="s">
        <v>1682</v>
      </c>
      <c r="F1265" t="s">
        <v>651</v>
      </c>
      <c r="G1265" s="4">
        <v>97978</v>
      </c>
      <c r="H1265" s="4"/>
      <c r="I1265" s="4"/>
      <c r="J1265" s="4">
        <f>SUM(G1265:I1265)</f>
        <v>97978</v>
      </c>
      <c r="K1265" t="s">
        <v>1659</v>
      </c>
      <c r="L1265" t="s">
        <v>1659</v>
      </c>
      <c r="M1265" t="s">
        <v>1191</v>
      </c>
      <c r="N1265" t="s">
        <v>1132</v>
      </c>
      <c r="O1265" t="s">
        <v>1132</v>
      </c>
      <c r="P1265" t="str">
        <f>IFERROR(VLOOKUP(F1265,Sheet1!$A$2:$B$54,2,FALSE),"")</f>
        <v/>
      </c>
    </row>
    <row r="1266" spans="1:16" x14ac:dyDescent="0.2">
      <c r="A1266" s="1">
        <v>2020</v>
      </c>
      <c r="B1266" t="s">
        <v>154</v>
      </c>
      <c r="C1266" s="10" t="s">
        <v>1678</v>
      </c>
      <c r="D1266" s="10" t="s">
        <v>1679</v>
      </c>
      <c r="E1266" s="10" t="s">
        <v>1682</v>
      </c>
      <c r="F1266" t="s">
        <v>651</v>
      </c>
      <c r="G1266" s="4">
        <v>137113</v>
      </c>
      <c r="H1266" s="4"/>
      <c r="I1266" s="4"/>
      <c r="J1266" s="4">
        <f>SUM(G1266:I1266)</f>
        <v>137113</v>
      </c>
      <c r="K1266" t="s">
        <v>1659</v>
      </c>
      <c r="L1266" t="s">
        <v>1659</v>
      </c>
      <c r="M1266" t="s">
        <v>1191</v>
      </c>
      <c r="N1266" t="s">
        <v>1132</v>
      </c>
      <c r="O1266" t="s">
        <v>1132</v>
      </c>
      <c r="P1266" t="str">
        <f>IFERROR(VLOOKUP(F1266,Sheet1!$A$2:$B$54,2,FALSE),"")</f>
        <v/>
      </c>
    </row>
    <row r="1267" spans="1:16" x14ac:dyDescent="0.2">
      <c r="A1267" s="1">
        <v>2021</v>
      </c>
      <c r="B1267" t="s">
        <v>154</v>
      </c>
      <c r="C1267" s="10" t="s">
        <v>1678</v>
      </c>
      <c r="D1267" s="10" t="s">
        <v>1679</v>
      </c>
      <c r="E1267" s="10" t="s">
        <v>1682</v>
      </c>
      <c r="F1267" t="s">
        <v>651</v>
      </c>
      <c r="G1267" s="4">
        <v>175205</v>
      </c>
      <c r="H1267" s="4"/>
      <c r="I1267" s="4"/>
      <c r="J1267" s="4">
        <f>SUM(G1267:I1267)</f>
        <v>175205</v>
      </c>
      <c r="K1267" t="s">
        <v>1659</v>
      </c>
      <c r="L1267" t="s">
        <v>1659</v>
      </c>
      <c r="M1267" t="s">
        <v>651</v>
      </c>
      <c r="N1267" t="s">
        <v>1132</v>
      </c>
      <c r="O1267" t="s">
        <v>1132</v>
      </c>
      <c r="P1267" t="str">
        <f>IFERROR(VLOOKUP(F1267,Sheet1!$A$2:$B$54,2,FALSE),"")</f>
        <v/>
      </c>
    </row>
    <row r="1268" spans="1:16" x14ac:dyDescent="0.2">
      <c r="A1268" s="1">
        <v>2022</v>
      </c>
      <c r="B1268" t="s">
        <v>154</v>
      </c>
      <c r="C1268" s="10" t="s">
        <v>1678</v>
      </c>
      <c r="D1268" s="10" t="s">
        <v>1679</v>
      </c>
      <c r="E1268" s="10" t="s">
        <v>1682</v>
      </c>
      <c r="F1268" t="s">
        <v>651</v>
      </c>
      <c r="G1268" s="4">
        <v>219926</v>
      </c>
      <c r="H1268" s="4"/>
      <c r="I1268" s="4"/>
      <c r="J1268" s="4">
        <f>SUM(G1268:I1268)</f>
        <v>219926</v>
      </c>
      <c r="K1268" t="s">
        <v>1659</v>
      </c>
      <c r="L1268" t="s">
        <v>1659</v>
      </c>
      <c r="M1268" t="s">
        <v>651</v>
      </c>
      <c r="N1268" t="s">
        <v>1132</v>
      </c>
      <c r="O1268" t="s">
        <v>1132</v>
      </c>
      <c r="P1268" t="str">
        <f>IFERROR(VLOOKUP(F1268,Sheet1!$A$2:$B$54,2,FALSE),"")</f>
        <v/>
      </c>
    </row>
    <row r="1269" spans="1:16" x14ac:dyDescent="0.2">
      <c r="A1269" s="1">
        <v>2023</v>
      </c>
      <c r="B1269" t="s">
        <v>154</v>
      </c>
      <c r="C1269" s="10" t="s">
        <v>1678</v>
      </c>
      <c r="D1269" s="10" t="s">
        <v>1679</v>
      </c>
      <c r="E1269" s="10" t="s">
        <v>1682</v>
      </c>
      <c r="F1269" t="s">
        <v>651</v>
      </c>
      <c r="G1269" s="4">
        <v>269698</v>
      </c>
      <c r="H1269" s="4"/>
      <c r="I1269" s="4"/>
      <c r="J1269" s="4">
        <f>SUM(G1269:I1269)</f>
        <v>269698</v>
      </c>
      <c r="K1269" t="s">
        <v>1659</v>
      </c>
      <c r="L1269" t="s">
        <v>1659</v>
      </c>
      <c r="M1269" t="s">
        <v>651</v>
      </c>
      <c r="N1269" t="s">
        <v>1132</v>
      </c>
      <c r="O1269" t="s">
        <v>1132</v>
      </c>
      <c r="P1269" t="str">
        <f>IFERROR(VLOOKUP(F1269,Sheet1!$A$2:$B$54,2,FALSE),"")</f>
        <v/>
      </c>
    </row>
    <row r="1270" spans="1:16" x14ac:dyDescent="0.2">
      <c r="A1270" s="1">
        <v>2015</v>
      </c>
      <c r="B1270" t="s">
        <v>155</v>
      </c>
      <c r="C1270" s="10" t="s">
        <v>1678</v>
      </c>
      <c r="D1270" s="10" t="s">
        <v>1679</v>
      </c>
      <c r="E1270" s="10" t="s">
        <v>1682</v>
      </c>
      <c r="F1270" t="s">
        <v>652</v>
      </c>
      <c r="G1270" s="4">
        <v>26981</v>
      </c>
      <c r="H1270" s="4"/>
      <c r="I1270" s="4"/>
      <c r="J1270" s="4">
        <f>SUM(G1270:I1270)</f>
        <v>26981</v>
      </c>
      <c r="K1270" t="s">
        <v>1659</v>
      </c>
      <c r="L1270" t="s">
        <v>1659</v>
      </c>
      <c r="M1270" t="s">
        <v>1192</v>
      </c>
      <c r="N1270" t="s">
        <v>1132</v>
      </c>
      <c r="O1270" t="s">
        <v>1132</v>
      </c>
      <c r="P1270" t="str">
        <f>IFERROR(VLOOKUP(F1270,Sheet1!$A$2:$B$54,2,FALSE),"")</f>
        <v/>
      </c>
    </row>
    <row r="1271" spans="1:16" x14ac:dyDescent="0.2">
      <c r="A1271" s="1">
        <v>2016</v>
      </c>
      <c r="B1271" t="s">
        <v>155</v>
      </c>
      <c r="C1271" s="10" t="s">
        <v>1678</v>
      </c>
      <c r="D1271" s="10" t="s">
        <v>1679</v>
      </c>
      <c r="E1271" s="10" t="s">
        <v>1682</v>
      </c>
      <c r="F1271" t="s">
        <v>652</v>
      </c>
      <c r="G1271" s="4">
        <v>36591</v>
      </c>
      <c r="H1271" s="4"/>
      <c r="I1271" s="4"/>
      <c r="J1271" s="4">
        <f>SUM(G1271:I1271)</f>
        <v>36591</v>
      </c>
      <c r="K1271" t="s">
        <v>1659</v>
      </c>
      <c r="L1271" t="s">
        <v>1659</v>
      </c>
      <c r="M1271" t="s">
        <v>1192</v>
      </c>
      <c r="N1271" t="s">
        <v>1132</v>
      </c>
      <c r="O1271" t="s">
        <v>1132</v>
      </c>
      <c r="P1271" t="str">
        <f>IFERROR(VLOOKUP(F1271,Sheet1!$A$2:$B$54,2,FALSE),"")</f>
        <v/>
      </c>
    </row>
    <row r="1272" spans="1:16" x14ac:dyDescent="0.2">
      <c r="A1272" s="1">
        <v>2017</v>
      </c>
      <c r="B1272" t="s">
        <v>155</v>
      </c>
      <c r="C1272" s="10" t="s">
        <v>1678</v>
      </c>
      <c r="D1272" s="10" t="s">
        <v>1679</v>
      </c>
      <c r="E1272" s="10" t="s">
        <v>1682</v>
      </c>
      <c r="F1272" t="s">
        <v>652</v>
      </c>
      <c r="G1272" s="4">
        <v>48051</v>
      </c>
      <c r="H1272" s="4"/>
      <c r="I1272" s="4"/>
      <c r="J1272" s="4">
        <f>SUM(G1272:I1272)</f>
        <v>48051</v>
      </c>
      <c r="K1272" t="s">
        <v>1659</v>
      </c>
      <c r="L1272" t="s">
        <v>1659</v>
      </c>
      <c r="M1272" t="s">
        <v>1192</v>
      </c>
      <c r="N1272" t="s">
        <v>1132</v>
      </c>
      <c r="O1272" t="s">
        <v>1132</v>
      </c>
      <c r="P1272" t="str">
        <f>IFERROR(VLOOKUP(F1272,Sheet1!$A$2:$B$54,2,FALSE),"")</f>
        <v/>
      </c>
    </row>
    <row r="1273" spans="1:16" x14ac:dyDescent="0.2">
      <c r="A1273" s="1">
        <v>2018</v>
      </c>
      <c r="B1273" t="s">
        <v>155</v>
      </c>
      <c r="C1273" s="10" t="s">
        <v>1678</v>
      </c>
      <c r="D1273" s="10" t="s">
        <v>1679</v>
      </c>
      <c r="E1273" s="10" t="s">
        <v>1682</v>
      </c>
      <c r="F1273" t="s">
        <v>652</v>
      </c>
      <c r="G1273" s="4">
        <v>56993</v>
      </c>
      <c r="H1273" s="4"/>
      <c r="I1273" s="4"/>
      <c r="J1273" s="4">
        <f>SUM(G1273:I1273)</f>
        <v>56993</v>
      </c>
      <c r="K1273" t="s">
        <v>1659</v>
      </c>
      <c r="L1273" t="s">
        <v>1659</v>
      </c>
      <c r="M1273" t="s">
        <v>1192</v>
      </c>
      <c r="N1273" t="s">
        <v>1132</v>
      </c>
      <c r="O1273" t="s">
        <v>1132</v>
      </c>
      <c r="P1273" t="str">
        <f>IFERROR(VLOOKUP(F1273,Sheet1!$A$2:$B$54,2,FALSE),"")</f>
        <v/>
      </c>
    </row>
    <row r="1274" spans="1:16" x14ac:dyDescent="0.2">
      <c r="A1274" s="1">
        <v>2019</v>
      </c>
      <c r="B1274" t="s">
        <v>155</v>
      </c>
      <c r="C1274" s="10" t="s">
        <v>1678</v>
      </c>
      <c r="D1274" s="10" t="s">
        <v>1679</v>
      </c>
      <c r="E1274" s="10" t="s">
        <v>1682</v>
      </c>
      <c r="F1274" t="s">
        <v>652</v>
      </c>
      <c r="G1274" s="4">
        <v>83545</v>
      </c>
      <c r="H1274" s="4"/>
      <c r="I1274" s="4"/>
      <c r="J1274" s="4">
        <f>SUM(G1274:I1274)</f>
        <v>83545</v>
      </c>
      <c r="K1274" t="s">
        <v>1659</v>
      </c>
      <c r="L1274" t="s">
        <v>1659</v>
      </c>
      <c r="M1274" t="s">
        <v>1192</v>
      </c>
      <c r="N1274" t="s">
        <v>1132</v>
      </c>
      <c r="O1274" t="s">
        <v>1132</v>
      </c>
      <c r="P1274" t="str">
        <f>IFERROR(VLOOKUP(F1274,Sheet1!$A$2:$B$54,2,FALSE),"")</f>
        <v/>
      </c>
    </row>
    <row r="1275" spans="1:16" x14ac:dyDescent="0.2">
      <c r="A1275" s="1">
        <v>2020</v>
      </c>
      <c r="B1275" t="s">
        <v>155</v>
      </c>
      <c r="C1275" s="10" t="s">
        <v>1678</v>
      </c>
      <c r="D1275" s="10" t="s">
        <v>1679</v>
      </c>
      <c r="E1275" s="10" t="s">
        <v>1682</v>
      </c>
      <c r="F1275" t="s">
        <v>652</v>
      </c>
      <c r="G1275" s="4">
        <v>90931</v>
      </c>
      <c r="H1275" s="4"/>
      <c r="I1275" s="4"/>
      <c r="J1275" s="4">
        <f>SUM(G1275:I1275)</f>
        <v>90931</v>
      </c>
      <c r="K1275" t="s">
        <v>1659</v>
      </c>
      <c r="L1275" t="s">
        <v>1659</v>
      </c>
      <c r="M1275" t="s">
        <v>1192</v>
      </c>
      <c r="N1275" t="s">
        <v>1132</v>
      </c>
      <c r="O1275" t="s">
        <v>1132</v>
      </c>
      <c r="P1275" t="str">
        <f>IFERROR(VLOOKUP(F1275,Sheet1!$A$2:$B$54,2,FALSE),"")</f>
        <v/>
      </c>
    </row>
    <row r="1276" spans="1:16" x14ac:dyDescent="0.2">
      <c r="A1276" s="1">
        <v>2021</v>
      </c>
      <c r="B1276" t="s">
        <v>155</v>
      </c>
      <c r="C1276" s="10" t="s">
        <v>1678</v>
      </c>
      <c r="D1276" s="10" t="s">
        <v>1679</v>
      </c>
      <c r="E1276" s="10" t="s">
        <v>1682</v>
      </c>
      <c r="F1276" t="s">
        <v>652</v>
      </c>
      <c r="G1276" s="4">
        <v>95293</v>
      </c>
      <c r="H1276" s="4"/>
      <c r="I1276" s="4"/>
      <c r="J1276" s="4">
        <f>SUM(G1276:I1276)</f>
        <v>95293</v>
      </c>
      <c r="K1276" t="s">
        <v>1659</v>
      </c>
      <c r="L1276" t="s">
        <v>1659</v>
      </c>
      <c r="M1276" t="s">
        <v>652</v>
      </c>
      <c r="N1276" t="s">
        <v>1132</v>
      </c>
      <c r="O1276" t="s">
        <v>1132</v>
      </c>
      <c r="P1276" t="str">
        <f>IFERROR(VLOOKUP(F1276,Sheet1!$A$2:$B$54,2,FALSE),"")</f>
        <v/>
      </c>
    </row>
    <row r="1277" spans="1:16" x14ac:dyDescent="0.2">
      <c r="A1277" s="1">
        <v>2022</v>
      </c>
      <c r="B1277" t="s">
        <v>155</v>
      </c>
      <c r="C1277" s="10" t="s">
        <v>1678</v>
      </c>
      <c r="D1277" s="10" t="s">
        <v>1679</v>
      </c>
      <c r="E1277" s="10" t="s">
        <v>1682</v>
      </c>
      <c r="F1277" t="s">
        <v>652</v>
      </c>
      <c r="G1277" s="4">
        <v>132676</v>
      </c>
      <c r="H1277" s="4"/>
      <c r="I1277" s="4"/>
      <c r="J1277" s="4">
        <f>SUM(G1277:I1277)</f>
        <v>132676</v>
      </c>
      <c r="K1277" t="s">
        <v>1659</v>
      </c>
      <c r="L1277" t="s">
        <v>1659</v>
      </c>
      <c r="M1277" t="s">
        <v>652</v>
      </c>
      <c r="N1277" t="s">
        <v>1132</v>
      </c>
      <c r="O1277" t="s">
        <v>1132</v>
      </c>
      <c r="P1277" t="str">
        <f>IFERROR(VLOOKUP(F1277,Sheet1!$A$2:$B$54,2,FALSE),"")</f>
        <v/>
      </c>
    </row>
    <row r="1278" spans="1:16" x14ac:dyDescent="0.2">
      <c r="A1278" s="1">
        <v>2023</v>
      </c>
      <c r="B1278" t="s">
        <v>155</v>
      </c>
      <c r="C1278" s="10" t="s">
        <v>1678</v>
      </c>
      <c r="D1278" s="10" t="s">
        <v>1679</v>
      </c>
      <c r="E1278" s="10" t="s">
        <v>1682</v>
      </c>
      <c r="F1278" t="s">
        <v>652</v>
      </c>
      <c r="G1278" s="4">
        <v>173405</v>
      </c>
      <c r="H1278" s="4"/>
      <c r="I1278" s="4"/>
      <c r="J1278" s="4">
        <f>SUM(G1278:I1278)</f>
        <v>173405</v>
      </c>
      <c r="K1278" t="s">
        <v>1659</v>
      </c>
      <c r="L1278" t="s">
        <v>1659</v>
      </c>
      <c r="M1278" t="s">
        <v>652</v>
      </c>
      <c r="N1278" t="s">
        <v>1132</v>
      </c>
      <c r="O1278" t="s">
        <v>1132</v>
      </c>
      <c r="P1278" t="str">
        <f>IFERROR(VLOOKUP(F1278,Sheet1!$A$2:$B$54,2,FALSE),"")</f>
        <v/>
      </c>
    </row>
    <row r="1279" spans="1:16" x14ac:dyDescent="0.2">
      <c r="A1279" s="1">
        <v>2015</v>
      </c>
      <c r="B1279" t="s">
        <v>156</v>
      </c>
      <c r="C1279" s="10" t="s">
        <v>1678</v>
      </c>
      <c r="D1279" s="10" t="s">
        <v>1679</v>
      </c>
      <c r="E1279" s="10" t="s">
        <v>1682</v>
      </c>
      <c r="F1279" t="s">
        <v>653</v>
      </c>
      <c r="G1279" s="4">
        <v>13990</v>
      </c>
      <c r="H1279" s="4">
        <v>48109</v>
      </c>
      <c r="I1279" s="4"/>
      <c r="J1279" s="4">
        <f>SUM(G1279:I1279)</f>
        <v>62099</v>
      </c>
      <c r="K1279" t="s">
        <v>1660</v>
      </c>
      <c r="L1279" t="s">
        <v>1659</v>
      </c>
      <c r="M1279" t="s">
        <v>1193</v>
      </c>
      <c r="N1279" t="s">
        <v>1193</v>
      </c>
      <c r="O1279" t="s">
        <v>1132</v>
      </c>
      <c r="P1279" t="str">
        <f>IFERROR(VLOOKUP(F1279,Sheet1!$A$2:$B$54,2,FALSE),"")</f>
        <v/>
      </c>
    </row>
    <row r="1280" spans="1:16" x14ac:dyDescent="0.2">
      <c r="A1280" s="1">
        <v>2016</v>
      </c>
      <c r="B1280" t="s">
        <v>156</v>
      </c>
      <c r="C1280" s="10" t="s">
        <v>1678</v>
      </c>
      <c r="D1280" s="10" t="s">
        <v>1679</v>
      </c>
      <c r="E1280" s="10" t="s">
        <v>1682</v>
      </c>
      <c r="F1280" t="s">
        <v>653</v>
      </c>
      <c r="G1280" s="4">
        <v>15505</v>
      </c>
      <c r="H1280" s="4">
        <v>51131</v>
      </c>
      <c r="I1280" s="4"/>
      <c r="J1280" s="4">
        <f>SUM(G1280:I1280)</f>
        <v>66636</v>
      </c>
      <c r="K1280" t="s">
        <v>1660</v>
      </c>
      <c r="L1280" t="s">
        <v>1659</v>
      </c>
      <c r="M1280" t="s">
        <v>1193</v>
      </c>
      <c r="N1280" t="s">
        <v>1193</v>
      </c>
      <c r="O1280" t="s">
        <v>1132</v>
      </c>
      <c r="P1280" t="str">
        <f>IFERROR(VLOOKUP(F1280,Sheet1!$A$2:$B$54,2,FALSE),"")</f>
        <v/>
      </c>
    </row>
    <row r="1281" spans="1:16" x14ac:dyDescent="0.2">
      <c r="A1281" s="1">
        <v>2017</v>
      </c>
      <c r="B1281" t="s">
        <v>156</v>
      </c>
      <c r="C1281" s="10" t="s">
        <v>1678</v>
      </c>
      <c r="D1281" s="10" t="s">
        <v>1679</v>
      </c>
      <c r="E1281" s="10" t="s">
        <v>1682</v>
      </c>
      <c r="F1281" t="s">
        <v>653</v>
      </c>
      <c r="G1281" s="4">
        <v>16303</v>
      </c>
      <c r="H1281" s="4">
        <v>52172</v>
      </c>
      <c r="I1281" s="4"/>
      <c r="J1281" s="4">
        <f>SUM(G1281:I1281)</f>
        <v>68475</v>
      </c>
      <c r="K1281" t="s">
        <v>1660</v>
      </c>
      <c r="L1281" t="s">
        <v>1659</v>
      </c>
      <c r="M1281" t="s">
        <v>1193</v>
      </c>
      <c r="N1281" t="s">
        <v>1193</v>
      </c>
      <c r="O1281" t="s">
        <v>1132</v>
      </c>
      <c r="P1281" t="str">
        <f>IFERROR(VLOOKUP(F1281,Sheet1!$A$2:$B$54,2,FALSE),"")</f>
        <v/>
      </c>
    </row>
    <row r="1282" spans="1:16" x14ac:dyDescent="0.2">
      <c r="A1282" s="1">
        <v>2018</v>
      </c>
      <c r="B1282" t="s">
        <v>156</v>
      </c>
      <c r="C1282" s="10" t="s">
        <v>1678</v>
      </c>
      <c r="D1282" s="10" t="s">
        <v>1679</v>
      </c>
      <c r="E1282" s="10" t="s">
        <v>1682</v>
      </c>
      <c r="F1282" t="s">
        <v>653</v>
      </c>
      <c r="G1282" s="4">
        <v>16292</v>
      </c>
      <c r="H1282" s="4">
        <v>55805</v>
      </c>
      <c r="I1282" s="4"/>
      <c r="J1282" s="4">
        <f>SUM(G1282:I1282)</f>
        <v>72097</v>
      </c>
      <c r="K1282" t="s">
        <v>1660</v>
      </c>
      <c r="L1282" t="s">
        <v>1659</v>
      </c>
      <c r="M1282" t="s">
        <v>1193</v>
      </c>
      <c r="N1282" t="s">
        <v>1193</v>
      </c>
      <c r="O1282" t="s">
        <v>1132</v>
      </c>
      <c r="P1282" t="str">
        <f>IFERROR(VLOOKUP(F1282,Sheet1!$A$2:$B$54,2,FALSE),"")</f>
        <v/>
      </c>
    </row>
    <row r="1283" spans="1:16" x14ac:dyDescent="0.2">
      <c r="A1283" s="1">
        <v>2019</v>
      </c>
      <c r="B1283" t="s">
        <v>156</v>
      </c>
      <c r="C1283" s="10" t="s">
        <v>1678</v>
      </c>
      <c r="D1283" s="10" t="s">
        <v>1679</v>
      </c>
      <c r="E1283" s="10" t="s">
        <v>1682</v>
      </c>
      <c r="F1283" t="s">
        <v>653</v>
      </c>
      <c r="G1283" s="4">
        <v>19200</v>
      </c>
      <c r="H1283" s="4">
        <v>61881</v>
      </c>
      <c r="I1283" s="4"/>
      <c r="J1283" s="4">
        <f>SUM(G1283:I1283)</f>
        <v>81081</v>
      </c>
      <c r="K1283" t="s">
        <v>1660</v>
      </c>
      <c r="L1283" t="s">
        <v>1659</v>
      </c>
      <c r="M1283" t="s">
        <v>1193</v>
      </c>
      <c r="N1283" t="s">
        <v>1193</v>
      </c>
      <c r="O1283" t="s">
        <v>1132</v>
      </c>
      <c r="P1283" t="str">
        <f>IFERROR(VLOOKUP(F1283,Sheet1!$A$2:$B$54,2,FALSE),"")</f>
        <v/>
      </c>
    </row>
    <row r="1284" spans="1:16" x14ac:dyDescent="0.2">
      <c r="A1284" s="1">
        <v>2020</v>
      </c>
      <c r="B1284" t="s">
        <v>156</v>
      </c>
      <c r="C1284" s="10" t="s">
        <v>1678</v>
      </c>
      <c r="D1284" s="10" t="s">
        <v>1679</v>
      </c>
      <c r="E1284" s="10" t="s">
        <v>1682</v>
      </c>
      <c r="F1284" t="s">
        <v>653</v>
      </c>
      <c r="G1284" s="4">
        <v>21263</v>
      </c>
      <c r="H1284" s="4">
        <v>75043</v>
      </c>
      <c r="I1284" s="4"/>
      <c r="J1284" s="4">
        <f>SUM(G1284:I1284)</f>
        <v>96306</v>
      </c>
      <c r="K1284" t="s">
        <v>1660</v>
      </c>
      <c r="L1284" t="s">
        <v>1659</v>
      </c>
      <c r="M1284" t="s">
        <v>1193</v>
      </c>
      <c r="N1284" t="s">
        <v>1193</v>
      </c>
      <c r="O1284" t="s">
        <v>1132</v>
      </c>
      <c r="P1284" t="str">
        <f>IFERROR(VLOOKUP(F1284,Sheet1!$A$2:$B$54,2,FALSE),"")</f>
        <v/>
      </c>
    </row>
    <row r="1285" spans="1:16" x14ac:dyDescent="0.2">
      <c r="A1285" s="1">
        <v>2021</v>
      </c>
      <c r="B1285" t="s">
        <v>156</v>
      </c>
      <c r="C1285" s="10" t="s">
        <v>1678</v>
      </c>
      <c r="D1285" s="10" t="s">
        <v>1679</v>
      </c>
      <c r="E1285" s="10" t="s">
        <v>1682</v>
      </c>
      <c r="F1285" t="s">
        <v>653</v>
      </c>
      <c r="G1285" s="4">
        <v>21731</v>
      </c>
      <c r="H1285" s="4">
        <v>74400</v>
      </c>
      <c r="I1285" s="4"/>
      <c r="J1285" s="4">
        <f>SUM(G1285:I1285)</f>
        <v>96131</v>
      </c>
      <c r="K1285" t="s">
        <v>1660</v>
      </c>
      <c r="L1285" t="s">
        <v>1659</v>
      </c>
      <c r="M1285" t="s">
        <v>653</v>
      </c>
      <c r="N1285" t="s">
        <v>653</v>
      </c>
      <c r="O1285" t="s">
        <v>1132</v>
      </c>
      <c r="P1285" t="str">
        <f>IFERROR(VLOOKUP(F1285,Sheet1!$A$2:$B$54,2,FALSE),"")</f>
        <v/>
      </c>
    </row>
    <row r="1286" spans="1:16" x14ac:dyDescent="0.2">
      <c r="A1286" s="1">
        <v>2022</v>
      </c>
      <c r="B1286" t="s">
        <v>156</v>
      </c>
      <c r="C1286" s="10" t="s">
        <v>1678</v>
      </c>
      <c r="D1286" s="10" t="s">
        <v>1679</v>
      </c>
      <c r="E1286" s="10" t="s">
        <v>1682</v>
      </c>
      <c r="F1286" t="s">
        <v>653</v>
      </c>
      <c r="G1286" s="4">
        <v>32647</v>
      </c>
      <c r="H1286" s="4">
        <v>92225</v>
      </c>
      <c r="I1286" s="4"/>
      <c r="J1286" s="4">
        <f>SUM(G1286:I1286)</f>
        <v>124872</v>
      </c>
      <c r="K1286" t="s">
        <v>1660</v>
      </c>
      <c r="L1286" t="s">
        <v>1659</v>
      </c>
      <c r="M1286" t="s">
        <v>653</v>
      </c>
      <c r="N1286" t="s">
        <v>653</v>
      </c>
      <c r="O1286" t="s">
        <v>1132</v>
      </c>
      <c r="P1286" t="str">
        <f>IFERROR(VLOOKUP(F1286,Sheet1!$A$2:$B$54,2,FALSE),"")</f>
        <v/>
      </c>
    </row>
    <row r="1287" spans="1:16" x14ac:dyDescent="0.2">
      <c r="A1287" s="1">
        <v>2023</v>
      </c>
      <c r="B1287" t="s">
        <v>156</v>
      </c>
      <c r="C1287" s="10" t="s">
        <v>1678</v>
      </c>
      <c r="D1287" s="10" t="s">
        <v>1679</v>
      </c>
      <c r="E1287" s="10" t="s">
        <v>1682</v>
      </c>
      <c r="F1287" t="s">
        <v>653</v>
      </c>
      <c r="G1287" s="4">
        <v>39247</v>
      </c>
      <c r="H1287" s="4">
        <v>108497</v>
      </c>
      <c r="I1287" s="4"/>
      <c r="J1287" s="4">
        <f>SUM(G1287:I1287)</f>
        <v>147744</v>
      </c>
      <c r="K1287" t="s">
        <v>1660</v>
      </c>
      <c r="L1287" t="s">
        <v>1659</v>
      </c>
      <c r="M1287" t="s">
        <v>653</v>
      </c>
      <c r="N1287" t="s">
        <v>653</v>
      </c>
      <c r="O1287" t="s">
        <v>1132</v>
      </c>
      <c r="P1287" t="str">
        <f>IFERROR(VLOOKUP(F1287,Sheet1!$A$2:$B$54,2,FALSE),"")</f>
        <v/>
      </c>
    </row>
    <row r="1288" spans="1:16" x14ac:dyDescent="0.2">
      <c r="A1288" s="1">
        <v>2015</v>
      </c>
      <c r="B1288" t="s">
        <v>157</v>
      </c>
      <c r="C1288" s="10" t="s">
        <v>1678</v>
      </c>
      <c r="D1288" s="10" t="s">
        <v>1679</v>
      </c>
      <c r="E1288" s="10" t="s">
        <v>1682</v>
      </c>
      <c r="F1288" t="s">
        <v>654</v>
      </c>
      <c r="G1288" s="4">
        <v>61871</v>
      </c>
      <c r="H1288" s="4"/>
      <c r="I1288" s="4"/>
      <c r="J1288" s="4">
        <f>SUM(G1288:I1288)</f>
        <v>61871</v>
      </c>
      <c r="K1288" t="s">
        <v>1659</v>
      </c>
      <c r="L1288" t="s">
        <v>1659</v>
      </c>
      <c r="M1288" t="s">
        <v>1194</v>
      </c>
      <c r="N1288" t="s">
        <v>1132</v>
      </c>
      <c r="O1288" t="s">
        <v>1132</v>
      </c>
      <c r="P1288" t="str">
        <f>IFERROR(VLOOKUP(F1288,Sheet1!$A$2:$B$54,2,FALSE),"")</f>
        <v/>
      </c>
    </row>
    <row r="1289" spans="1:16" x14ac:dyDescent="0.2">
      <c r="A1289" s="1">
        <v>2016</v>
      </c>
      <c r="B1289" t="s">
        <v>157</v>
      </c>
      <c r="C1289" s="10" t="s">
        <v>1678</v>
      </c>
      <c r="D1289" s="10" t="s">
        <v>1679</v>
      </c>
      <c r="E1289" s="10" t="s">
        <v>1682</v>
      </c>
      <c r="F1289" t="s">
        <v>654</v>
      </c>
      <c r="G1289" s="4">
        <v>85556</v>
      </c>
      <c r="H1289" s="4"/>
      <c r="I1289" s="4"/>
      <c r="J1289" s="4">
        <f>SUM(G1289:I1289)</f>
        <v>85556</v>
      </c>
      <c r="K1289" t="s">
        <v>1659</v>
      </c>
      <c r="L1289" t="s">
        <v>1659</v>
      </c>
      <c r="M1289" t="s">
        <v>1194</v>
      </c>
      <c r="N1289" t="s">
        <v>1132</v>
      </c>
      <c r="O1289" t="s">
        <v>1132</v>
      </c>
      <c r="P1289" t="str">
        <f>IFERROR(VLOOKUP(F1289,Sheet1!$A$2:$B$54,2,FALSE),"")</f>
        <v/>
      </c>
    </row>
    <row r="1290" spans="1:16" x14ac:dyDescent="0.2">
      <c r="A1290" s="1">
        <v>2017</v>
      </c>
      <c r="B1290" t="s">
        <v>157</v>
      </c>
      <c r="C1290" s="10" t="s">
        <v>1678</v>
      </c>
      <c r="D1290" s="10" t="s">
        <v>1679</v>
      </c>
      <c r="E1290" s="10" t="s">
        <v>1682</v>
      </c>
      <c r="F1290" t="s">
        <v>654</v>
      </c>
      <c r="G1290" s="4">
        <v>106210</v>
      </c>
      <c r="H1290" s="4"/>
      <c r="I1290" s="4"/>
      <c r="J1290" s="4">
        <f>SUM(G1290:I1290)</f>
        <v>106210</v>
      </c>
      <c r="K1290" t="s">
        <v>1659</v>
      </c>
      <c r="L1290" t="s">
        <v>1659</v>
      </c>
      <c r="M1290" t="s">
        <v>1194</v>
      </c>
      <c r="N1290" t="s">
        <v>1132</v>
      </c>
      <c r="O1290" t="s">
        <v>1132</v>
      </c>
      <c r="P1290" t="str">
        <f>IFERROR(VLOOKUP(F1290,Sheet1!$A$2:$B$54,2,FALSE),"")</f>
        <v/>
      </c>
    </row>
    <row r="1291" spans="1:16" x14ac:dyDescent="0.2">
      <c r="A1291" s="1">
        <v>2018</v>
      </c>
      <c r="B1291" t="s">
        <v>157</v>
      </c>
      <c r="C1291" s="10" t="s">
        <v>1678</v>
      </c>
      <c r="D1291" s="10" t="s">
        <v>1679</v>
      </c>
      <c r="E1291" s="10" t="s">
        <v>1682</v>
      </c>
      <c r="F1291" t="s">
        <v>654</v>
      </c>
      <c r="G1291" s="4">
        <v>148449</v>
      </c>
      <c r="H1291" s="4"/>
      <c r="I1291" s="4"/>
      <c r="J1291" s="4">
        <f>SUM(G1291:I1291)</f>
        <v>148449</v>
      </c>
      <c r="K1291" t="s">
        <v>1659</v>
      </c>
      <c r="L1291" t="s">
        <v>1659</v>
      </c>
      <c r="M1291" t="s">
        <v>1194</v>
      </c>
      <c r="N1291" t="s">
        <v>1132</v>
      </c>
      <c r="O1291" t="s">
        <v>1132</v>
      </c>
      <c r="P1291" t="str">
        <f>IFERROR(VLOOKUP(F1291,Sheet1!$A$2:$B$54,2,FALSE),"")</f>
        <v/>
      </c>
    </row>
    <row r="1292" spans="1:16" x14ac:dyDescent="0.2">
      <c r="A1292" s="1">
        <v>2019</v>
      </c>
      <c r="B1292" t="s">
        <v>157</v>
      </c>
      <c r="C1292" s="10" t="s">
        <v>1678</v>
      </c>
      <c r="D1292" s="10" t="s">
        <v>1679</v>
      </c>
      <c r="E1292" s="10" t="s">
        <v>1682</v>
      </c>
      <c r="F1292" t="s">
        <v>654</v>
      </c>
      <c r="G1292" s="4">
        <v>204184</v>
      </c>
      <c r="H1292" s="4"/>
      <c r="I1292" s="4"/>
      <c r="J1292" s="4">
        <f>SUM(G1292:I1292)</f>
        <v>204184</v>
      </c>
      <c r="K1292" t="s">
        <v>1659</v>
      </c>
      <c r="L1292" t="s">
        <v>1659</v>
      </c>
      <c r="M1292" t="s">
        <v>1194</v>
      </c>
      <c r="N1292" t="s">
        <v>1132</v>
      </c>
      <c r="O1292" t="s">
        <v>1132</v>
      </c>
      <c r="P1292" t="str">
        <f>IFERROR(VLOOKUP(F1292,Sheet1!$A$2:$B$54,2,FALSE),"")</f>
        <v/>
      </c>
    </row>
    <row r="1293" spans="1:16" x14ac:dyDescent="0.2">
      <c r="A1293" s="1">
        <v>2020</v>
      </c>
      <c r="B1293" t="s">
        <v>157</v>
      </c>
      <c r="C1293" s="10" t="s">
        <v>1678</v>
      </c>
      <c r="D1293" s="10" t="s">
        <v>1679</v>
      </c>
      <c r="E1293" s="10" t="s">
        <v>1682</v>
      </c>
      <c r="F1293" t="s">
        <v>654</v>
      </c>
      <c r="G1293" s="4">
        <v>251741</v>
      </c>
      <c r="H1293" s="4"/>
      <c r="I1293" s="4"/>
      <c r="J1293" s="4">
        <f>SUM(G1293:I1293)</f>
        <v>251741</v>
      </c>
      <c r="K1293" t="s">
        <v>1659</v>
      </c>
      <c r="L1293" t="s">
        <v>1659</v>
      </c>
      <c r="M1293" t="s">
        <v>1194</v>
      </c>
      <c r="N1293" t="s">
        <v>1132</v>
      </c>
      <c r="O1293" t="s">
        <v>1132</v>
      </c>
      <c r="P1293" t="str">
        <f>IFERROR(VLOOKUP(F1293,Sheet1!$A$2:$B$54,2,FALSE),"")</f>
        <v/>
      </c>
    </row>
    <row r="1294" spans="1:16" x14ac:dyDescent="0.2">
      <c r="A1294" s="1">
        <v>2021</v>
      </c>
      <c r="B1294" t="s">
        <v>157</v>
      </c>
      <c r="C1294" s="10" t="s">
        <v>1678</v>
      </c>
      <c r="D1294" s="10" t="s">
        <v>1679</v>
      </c>
      <c r="E1294" s="10" t="s">
        <v>1682</v>
      </c>
      <c r="F1294" t="s">
        <v>654</v>
      </c>
      <c r="G1294" s="4">
        <v>278941</v>
      </c>
      <c r="H1294" s="4"/>
      <c r="I1294" s="4"/>
      <c r="J1294" s="4">
        <f>SUM(G1294:I1294)</f>
        <v>278941</v>
      </c>
      <c r="K1294" t="s">
        <v>1659</v>
      </c>
      <c r="L1294" t="s">
        <v>1659</v>
      </c>
      <c r="M1294" t="s">
        <v>654</v>
      </c>
      <c r="N1294" t="s">
        <v>1132</v>
      </c>
      <c r="O1294" t="s">
        <v>1132</v>
      </c>
      <c r="P1294" t="str">
        <f>IFERROR(VLOOKUP(F1294,Sheet1!$A$2:$B$54,2,FALSE),"")</f>
        <v/>
      </c>
    </row>
    <row r="1295" spans="1:16" x14ac:dyDescent="0.2">
      <c r="A1295" s="1">
        <v>2022</v>
      </c>
      <c r="B1295" t="s">
        <v>157</v>
      </c>
      <c r="C1295" s="10" t="s">
        <v>1678</v>
      </c>
      <c r="D1295" s="10" t="s">
        <v>1679</v>
      </c>
      <c r="E1295" s="10" t="s">
        <v>1682</v>
      </c>
      <c r="F1295" t="s">
        <v>654</v>
      </c>
      <c r="G1295" s="4">
        <v>345380</v>
      </c>
      <c r="H1295" s="4"/>
      <c r="I1295" s="4"/>
      <c r="J1295" s="4">
        <f>SUM(G1295:I1295)</f>
        <v>345380</v>
      </c>
      <c r="K1295" t="s">
        <v>1659</v>
      </c>
      <c r="L1295" t="s">
        <v>1659</v>
      </c>
      <c r="M1295" t="s">
        <v>654</v>
      </c>
      <c r="N1295" t="s">
        <v>1132</v>
      </c>
      <c r="O1295" t="s">
        <v>1132</v>
      </c>
      <c r="P1295" t="str">
        <f>IFERROR(VLOOKUP(F1295,Sheet1!$A$2:$B$54,2,FALSE),"")</f>
        <v/>
      </c>
    </row>
    <row r="1296" spans="1:16" x14ac:dyDescent="0.2">
      <c r="A1296" s="1">
        <v>2023</v>
      </c>
      <c r="B1296" t="s">
        <v>157</v>
      </c>
      <c r="C1296" s="10" t="s">
        <v>1678</v>
      </c>
      <c r="D1296" s="10" t="s">
        <v>1679</v>
      </c>
      <c r="E1296" s="10" t="s">
        <v>1682</v>
      </c>
      <c r="F1296" t="s">
        <v>654</v>
      </c>
      <c r="G1296" s="4">
        <v>422500</v>
      </c>
      <c r="H1296" s="4"/>
      <c r="I1296" s="4"/>
      <c r="J1296" s="4">
        <f>SUM(G1296:I1296)</f>
        <v>422500</v>
      </c>
      <c r="K1296" t="s">
        <v>1659</v>
      </c>
      <c r="L1296" t="s">
        <v>1659</v>
      </c>
      <c r="M1296" t="s">
        <v>654</v>
      </c>
      <c r="N1296" t="s">
        <v>1132</v>
      </c>
      <c r="O1296" t="s">
        <v>1132</v>
      </c>
      <c r="P1296" t="str">
        <f>IFERROR(VLOOKUP(F1296,Sheet1!$A$2:$B$54,2,FALSE),"")</f>
        <v/>
      </c>
    </row>
    <row r="1297" spans="1:16" x14ac:dyDescent="0.2">
      <c r="A1297" s="1">
        <v>2015</v>
      </c>
      <c r="B1297" t="s">
        <v>158</v>
      </c>
      <c r="C1297" s="10" t="s">
        <v>1678</v>
      </c>
      <c r="D1297" s="10" t="s">
        <v>1679</v>
      </c>
      <c r="E1297" s="10" t="s">
        <v>1682</v>
      </c>
      <c r="F1297" t="s">
        <v>655</v>
      </c>
      <c r="G1297" s="4">
        <v>1314</v>
      </c>
      <c r="H1297" s="4">
        <v>1571</v>
      </c>
      <c r="I1297" s="4"/>
      <c r="J1297" s="4">
        <f>SUM(G1297:I1297)</f>
        <v>2885</v>
      </c>
      <c r="K1297" t="s">
        <v>1660</v>
      </c>
      <c r="L1297" t="s">
        <v>1659</v>
      </c>
      <c r="M1297" t="s">
        <v>1195</v>
      </c>
      <c r="N1297" t="s">
        <v>1195</v>
      </c>
      <c r="O1297" t="s">
        <v>1132</v>
      </c>
      <c r="P1297" t="str">
        <f>IFERROR(VLOOKUP(F1297,Sheet1!$A$2:$B$54,2,FALSE),"")</f>
        <v/>
      </c>
    </row>
    <row r="1298" spans="1:16" x14ac:dyDescent="0.2">
      <c r="A1298" s="1">
        <v>2016</v>
      </c>
      <c r="B1298" t="s">
        <v>158</v>
      </c>
      <c r="C1298" s="10" t="s">
        <v>1678</v>
      </c>
      <c r="D1298" s="10" t="s">
        <v>1679</v>
      </c>
      <c r="E1298" s="10" t="s">
        <v>1682</v>
      </c>
      <c r="F1298" t="s">
        <v>655</v>
      </c>
      <c r="G1298" s="4">
        <v>1463</v>
      </c>
      <c r="H1298" s="4">
        <v>4244</v>
      </c>
      <c r="I1298" s="4"/>
      <c r="J1298" s="4">
        <f>SUM(G1298:I1298)</f>
        <v>5707</v>
      </c>
      <c r="K1298" t="s">
        <v>1660</v>
      </c>
      <c r="L1298" t="s">
        <v>1659</v>
      </c>
      <c r="M1298" t="s">
        <v>1195</v>
      </c>
      <c r="N1298" t="s">
        <v>1195</v>
      </c>
      <c r="O1298" t="s">
        <v>1132</v>
      </c>
      <c r="P1298" t="str">
        <f>IFERROR(VLOOKUP(F1298,Sheet1!$A$2:$B$54,2,FALSE),"")</f>
        <v/>
      </c>
    </row>
    <row r="1299" spans="1:16" x14ac:dyDescent="0.2">
      <c r="A1299" s="1">
        <v>2017</v>
      </c>
      <c r="B1299" t="s">
        <v>158</v>
      </c>
      <c r="C1299" s="10" t="s">
        <v>1678</v>
      </c>
      <c r="D1299" s="10" t="s">
        <v>1679</v>
      </c>
      <c r="E1299" s="10" t="s">
        <v>1682</v>
      </c>
      <c r="F1299" t="s">
        <v>655</v>
      </c>
      <c r="G1299" s="4">
        <v>1524</v>
      </c>
      <c r="H1299" s="4">
        <v>8575</v>
      </c>
      <c r="I1299" s="4"/>
      <c r="J1299" s="4">
        <f>SUM(G1299:I1299)</f>
        <v>10099</v>
      </c>
      <c r="K1299" t="s">
        <v>1660</v>
      </c>
      <c r="L1299" t="s">
        <v>1659</v>
      </c>
      <c r="M1299" t="s">
        <v>1195</v>
      </c>
      <c r="N1299" t="s">
        <v>1195</v>
      </c>
      <c r="O1299" t="s">
        <v>1132</v>
      </c>
      <c r="P1299" t="str">
        <f>IFERROR(VLOOKUP(F1299,Sheet1!$A$2:$B$54,2,FALSE),"")</f>
        <v/>
      </c>
    </row>
    <row r="1300" spans="1:16" x14ac:dyDescent="0.2">
      <c r="A1300" s="1">
        <v>2018</v>
      </c>
      <c r="B1300" t="s">
        <v>158</v>
      </c>
      <c r="C1300" s="10" t="s">
        <v>1678</v>
      </c>
      <c r="D1300" s="10" t="s">
        <v>1679</v>
      </c>
      <c r="E1300" s="10" t="s">
        <v>1682</v>
      </c>
      <c r="F1300" t="s">
        <v>655</v>
      </c>
      <c r="G1300" s="4">
        <v>1751</v>
      </c>
      <c r="H1300" s="4">
        <v>9197</v>
      </c>
      <c r="I1300" s="4"/>
      <c r="J1300" s="4">
        <f>SUM(G1300:I1300)</f>
        <v>10948</v>
      </c>
      <c r="K1300" t="s">
        <v>1660</v>
      </c>
      <c r="L1300" t="s">
        <v>1659</v>
      </c>
      <c r="M1300" t="s">
        <v>1195</v>
      </c>
      <c r="N1300" t="s">
        <v>1195</v>
      </c>
      <c r="O1300" t="s">
        <v>1132</v>
      </c>
      <c r="P1300" t="str">
        <f>IFERROR(VLOOKUP(F1300,Sheet1!$A$2:$B$54,2,FALSE),"")</f>
        <v/>
      </c>
    </row>
    <row r="1301" spans="1:16" x14ac:dyDescent="0.2">
      <c r="A1301" s="1">
        <v>2019</v>
      </c>
      <c r="B1301" t="s">
        <v>158</v>
      </c>
      <c r="C1301" s="10" t="s">
        <v>1678</v>
      </c>
      <c r="D1301" s="10" t="s">
        <v>1679</v>
      </c>
      <c r="E1301" s="10" t="s">
        <v>1682</v>
      </c>
      <c r="F1301" t="s">
        <v>655</v>
      </c>
      <c r="G1301" s="4">
        <v>1785</v>
      </c>
      <c r="H1301" s="4">
        <v>9448</v>
      </c>
      <c r="I1301" s="4"/>
      <c r="J1301" s="4">
        <f>SUM(G1301:I1301)</f>
        <v>11233</v>
      </c>
      <c r="K1301" t="s">
        <v>1660</v>
      </c>
      <c r="L1301" t="s">
        <v>1659</v>
      </c>
      <c r="M1301" t="s">
        <v>1195</v>
      </c>
      <c r="N1301" t="s">
        <v>1195</v>
      </c>
      <c r="O1301" t="s">
        <v>1132</v>
      </c>
      <c r="P1301" t="str">
        <f>IFERROR(VLOOKUP(F1301,Sheet1!$A$2:$B$54,2,FALSE),"")</f>
        <v/>
      </c>
    </row>
    <row r="1302" spans="1:16" x14ac:dyDescent="0.2">
      <c r="A1302" s="1">
        <v>2020</v>
      </c>
      <c r="B1302" t="s">
        <v>158</v>
      </c>
      <c r="C1302" s="10" t="s">
        <v>1678</v>
      </c>
      <c r="D1302" s="10" t="s">
        <v>1679</v>
      </c>
      <c r="E1302" s="10" t="s">
        <v>1682</v>
      </c>
      <c r="F1302" t="s">
        <v>655</v>
      </c>
      <c r="G1302" s="4">
        <v>1930</v>
      </c>
      <c r="H1302" s="4">
        <v>9971</v>
      </c>
      <c r="I1302" s="4"/>
      <c r="J1302" s="4">
        <f>SUM(G1302:I1302)</f>
        <v>11901</v>
      </c>
      <c r="K1302" t="s">
        <v>1660</v>
      </c>
      <c r="L1302" t="s">
        <v>1659</v>
      </c>
      <c r="M1302" t="s">
        <v>1195</v>
      </c>
      <c r="N1302" t="s">
        <v>1195</v>
      </c>
      <c r="O1302" t="s">
        <v>1132</v>
      </c>
      <c r="P1302" t="str">
        <f>IFERROR(VLOOKUP(F1302,Sheet1!$A$2:$B$54,2,FALSE),"")</f>
        <v/>
      </c>
    </row>
    <row r="1303" spans="1:16" x14ac:dyDescent="0.2">
      <c r="A1303" s="1">
        <v>2021</v>
      </c>
      <c r="B1303" t="s">
        <v>158</v>
      </c>
      <c r="C1303" s="10" t="s">
        <v>1678</v>
      </c>
      <c r="D1303" s="10" t="s">
        <v>1679</v>
      </c>
      <c r="E1303" s="10" t="s">
        <v>1682</v>
      </c>
      <c r="F1303" t="s">
        <v>655</v>
      </c>
      <c r="G1303" s="4">
        <v>2127</v>
      </c>
      <c r="H1303" s="4">
        <v>10561</v>
      </c>
      <c r="I1303" s="4"/>
      <c r="J1303" s="4">
        <f>SUM(G1303:I1303)</f>
        <v>12688</v>
      </c>
      <c r="K1303" t="s">
        <v>1660</v>
      </c>
      <c r="L1303" t="s">
        <v>1659</v>
      </c>
      <c r="M1303" t="s">
        <v>655</v>
      </c>
      <c r="N1303" t="s">
        <v>655</v>
      </c>
      <c r="O1303" t="s">
        <v>1132</v>
      </c>
      <c r="P1303" t="str">
        <f>IFERROR(VLOOKUP(F1303,Sheet1!$A$2:$B$54,2,FALSE),"")</f>
        <v/>
      </c>
    </row>
    <row r="1304" spans="1:16" x14ac:dyDescent="0.2">
      <c r="A1304" s="1">
        <v>2022</v>
      </c>
      <c r="B1304" t="s">
        <v>158</v>
      </c>
      <c r="C1304" s="10" t="s">
        <v>1678</v>
      </c>
      <c r="D1304" s="10" t="s">
        <v>1679</v>
      </c>
      <c r="E1304" s="10" t="s">
        <v>1682</v>
      </c>
      <c r="F1304" t="s">
        <v>655</v>
      </c>
      <c r="G1304" s="4">
        <v>2427</v>
      </c>
      <c r="H1304" s="4">
        <v>15048</v>
      </c>
      <c r="I1304" s="4"/>
      <c r="J1304" s="4">
        <f>SUM(G1304:I1304)</f>
        <v>17475</v>
      </c>
      <c r="K1304" t="s">
        <v>1660</v>
      </c>
      <c r="L1304" t="s">
        <v>1659</v>
      </c>
      <c r="M1304" t="s">
        <v>655</v>
      </c>
      <c r="N1304" t="s">
        <v>655</v>
      </c>
      <c r="O1304" t="s">
        <v>1132</v>
      </c>
      <c r="P1304" t="str">
        <f>IFERROR(VLOOKUP(F1304,Sheet1!$A$2:$B$54,2,FALSE),"")</f>
        <v/>
      </c>
    </row>
    <row r="1305" spans="1:16" x14ac:dyDescent="0.2">
      <c r="A1305" s="1">
        <v>2023</v>
      </c>
      <c r="B1305" t="s">
        <v>158</v>
      </c>
      <c r="C1305" s="10" t="s">
        <v>1678</v>
      </c>
      <c r="D1305" s="10" t="s">
        <v>1679</v>
      </c>
      <c r="E1305" s="10" t="s">
        <v>1682</v>
      </c>
      <c r="F1305" t="s">
        <v>655</v>
      </c>
      <c r="G1305" s="4">
        <v>2686</v>
      </c>
      <c r="H1305" s="4">
        <v>19224</v>
      </c>
      <c r="I1305" s="4"/>
      <c r="J1305" s="4">
        <f>SUM(G1305:I1305)</f>
        <v>21910</v>
      </c>
      <c r="K1305" t="s">
        <v>1660</v>
      </c>
      <c r="L1305" t="s">
        <v>1659</v>
      </c>
      <c r="M1305" t="s">
        <v>655</v>
      </c>
      <c r="N1305" t="s">
        <v>655</v>
      </c>
      <c r="O1305" t="s">
        <v>1132</v>
      </c>
      <c r="P1305" t="str">
        <f>IFERROR(VLOOKUP(F1305,Sheet1!$A$2:$B$54,2,FALSE),"")</f>
        <v/>
      </c>
    </row>
    <row r="1306" spans="1:16" x14ac:dyDescent="0.2">
      <c r="A1306" s="1">
        <v>2015</v>
      </c>
      <c r="B1306" t="s">
        <v>159</v>
      </c>
      <c r="C1306" s="10" t="s">
        <v>1678</v>
      </c>
      <c r="D1306" s="10" t="s">
        <v>1679</v>
      </c>
      <c r="E1306" s="10" t="s">
        <v>1682</v>
      </c>
      <c r="F1306" t="s">
        <v>656</v>
      </c>
      <c r="G1306" s="4"/>
      <c r="H1306" s="4">
        <v>121297</v>
      </c>
      <c r="I1306" s="4"/>
      <c r="J1306" s="4">
        <f>SUM(G1306:I1306)</f>
        <v>121297</v>
      </c>
      <c r="K1306" t="s">
        <v>1661</v>
      </c>
      <c r="L1306" t="s">
        <v>1659</v>
      </c>
      <c r="M1306" t="s">
        <v>1132</v>
      </c>
      <c r="N1306" t="s">
        <v>1642</v>
      </c>
      <c r="O1306" t="s">
        <v>1132</v>
      </c>
      <c r="P1306" t="str">
        <f>IFERROR(VLOOKUP(F1306,Sheet1!$A$2:$B$54,2,FALSE),"")</f>
        <v/>
      </c>
    </row>
    <row r="1307" spans="1:16" x14ac:dyDescent="0.2">
      <c r="A1307" s="1">
        <v>2016</v>
      </c>
      <c r="B1307" t="s">
        <v>159</v>
      </c>
      <c r="C1307" s="10" t="s">
        <v>1678</v>
      </c>
      <c r="D1307" s="10" t="s">
        <v>1679</v>
      </c>
      <c r="E1307" s="10" t="s">
        <v>1682</v>
      </c>
      <c r="F1307" t="s">
        <v>656</v>
      </c>
      <c r="G1307" s="4"/>
      <c r="H1307" s="4">
        <v>121578</v>
      </c>
      <c r="I1307" s="4"/>
      <c r="J1307" s="4">
        <f>SUM(G1307:I1307)</f>
        <v>121578</v>
      </c>
      <c r="K1307" t="s">
        <v>1661</v>
      </c>
      <c r="L1307" t="s">
        <v>1659</v>
      </c>
      <c r="M1307" t="s">
        <v>1132</v>
      </c>
      <c r="N1307" t="s">
        <v>1642</v>
      </c>
      <c r="O1307" t="s">
        <v>1132</v>
      </c>
      <c r="P1307" t="str">
        <f>IFERROR(VLOOKUP(F1307,Sheet1!$A$2:$B$54,2,FALSE),"")</f>
        <v/>
      </c>
    </row>
    <row r="1308" spans="1:16" x14ac:dyDescent="0.2">
      <c r="A1308" s="1">
        <v>2017</v>
      </c>
      <c r="B1308" t="s">
        <v>159</v>
      </c>
      <c r="C1308" s="10" t="s">
        <v>1678</v>
      </c>
      <c r="D1308" s="10" t="s">
        <v>1679</v>
      </c>
      <c r="E1308" s="10" t="s">
        <v>1682</v>
      </c>
      <c r="F1308" t="s">
        <v>656</v>
      </c>
      <c r="G1308" s="4">
        <v>3188</v>
      </c>
      <c r="H1308" s="4">
        <v>117268</v>
      </c>
      <c r="I1308" s="4"/>
      <c r="J1308" s="4">
        <f>SUM(G1308:I1308)</f>
        <v>120456</v>
      </c>
      <c r="K1308" t="s">
        <v>1660</v>
      </c>
      <c r="L1308" t="s">
        <v>1659</v>
      </c>
      <c r="M1308" t="s">
        <v>1196</v>
      </c>
      <c r="N1308" t="s">
        <v>1196</v>
      </c>
      <c r="O1308" t="s">
        <v>1132</v>
      </c>
      <c r="P1308" t="str">
        <f>IFERROR(VLOOKUP(F1308,Sheet1!$A$2:$B$54,2,FALSE),"")</f>
        <v/>
      </c>
    </row>
    <row r="1309" spans="1:16" x14ac:dyDescent="0.2">
      <c r="A1309" s="1">
        <v>2018</v>
      </c>
      <c r="B1309" t="s">
        <v>159</v>
      </c>
      <c r="C1309" s="10" t="s">
        <v>1678</v>
      </c>
      <c r="D1309" s="10" t="s">
        <v>1679</v>
      </c>
      <c r="E1309" s="10" t="s">
        <v>1682</v>
      </c>
      <c r="F1309" t="s">
        <v>656</v>
      </c>
      <c r="G1309" s="4">
        <v>6469</v>
      </c>
      <c r="H1309" s="4">
        <v>122251</v>
      </c>
      <c r="I1309" s="4"/>
      <c r="J1309" s="4">
        <f>SUM(G1309:I1309)</f>
        <v>128720</v>
      </c>
      <c r="K1309" t="s">
        <v>1660</v>
      </c>
      <c r="L1309" t="s">
        <v>1659</v>
      </c>
      <c r="M1309" t="s">
        <v>1196</v>
      </c>
      <c r="N1309" t="s">
        <v>1196</v>
      </c>
      <c r="O1309" t="s">
        <v>1132</v>
      </c>
      <c r="P1309" t="str">
        <f>IFERROR(VLOOKUP(F1309,Sheet1!$A$2:$B$54,2,FALSE),"")</f>
        <v/>
      </c>
    </row>
    <row r="1310" spans="1:16" x14ac:dyDescent="0.2">
      <c r="A1310" s="1">
        <v>2019</v>
      </c>
      <c r="B1310" t="s">
        <v>159</v>
      </c>
      <c r="C1310" s="10" t="s">
        <v>1678</v>
      </c>
      <c r="D1310" s="10" t="s">
        <v>1679</v>
      </c>
      <c r="E1310" s="10" t="s">
        <v>1682</v>
      </c>
      <c r="F1310" t="s">
        <v>656</v>
      </c>
      <c r="G1310" s="4">
        <v>6640</v>
      </c>
      <c r="H1310" s="4">
        <v>123665</v>
      </c>
      <c r="I1310" s="4"/>
      <c r="J1310" s="4">
        <f>SUM(G1310:I1310)</f>
        <v>130305</v>
      </c>
      <c r="K1310" t="s">
        <v>1660</v>
      </c>
      <c r="L1310" t="s">
        <v>1659</v>
      </c>
      <c r="M1310" t="s">
        <v>1196</v>
      </c>
      <c r="N1310" t="s">
        <v>1196</v>
      </c>
      <c r="O1310" t="s">
        <v>1132</v>
      </c>
      <c r="P1310" t="str">
        <f>IFERROR(VLOOKUP(F1310,Sheet1!$A$2:$B$54,2,FALSE),"")</f>
        <v/>
      </c>
    </row>
    <row r="1311" spans="1:16" x14ac:dyDescent="0.2">
      <c r="A1311" s="1">
        <v>2020</v>
      </c>
      <c r="B1311" t="s">
        <v>159</v>
      </c>
      <c r="C1311" s="10" t="s">
        <v>1678</v>
      </c>
      <c r="D1311" s="10" t="s">
        <v>1679</v>
      </c>
      <c r="E1311" s="10" t="s">
        <v>1682</v>
      </c>
      <c r="F1311" t="s">
        <v>656</v>
      </c>
      <c r="G1311" s="4">
        <v>7233</v>
      </c>
      <c r="H1311" s="4">
        <v>129383</v>
      </c>
      <c r="I1311" s="4"/>
      <c r="J1311" s="4">
        <f>SUM(G1311:I1311)</f>
        <v>136616</v>
      </c>
      <c r="K1311" t="s">
        <v>1660</v>
      </c>
      <c r="L1311" t="s">
        <v>1659</v>
      </c>
      <c r="M1311" t="s">
        <v>1196</v>
      </c>
      <c r="N1311" t="s">
        <v>1196</v>
      </c>
      <c r="O1311" t="s">
        <v>1132</v>
      </c>
      <c r="P1311" t="str">
        <f>IFERROR(VLOOKUP(F1311,Sheet1!$A$2:$B$54,2,FALSE),"")</f>
        <v/>
      </c>
    </row>
    <row r="1312" spans="1:16" x14ac:dyDescent="0.2">
      <c r="A1312" s="1">
        <v>2021</v>
      </c>
      <c r="B1312" t="s">
        <v>159</v>
      </c>
      <c r="C1312" s="10" t="s">
        <v>1678</v>
      </c>
      <c r="D1312" s="10" t="s">
        <v>1679</v>
      </c>
      <c r="E1312" s="10" t="s">
        <v>1682</v>
      </c>
      <c r="F1312" t="s">
        <v>656</v>
      </c>
      <c r="G1312" s="4">
        <v>8184</v>
      </c>
      <c r="H1312" s="4">
        <v>139662</v>
      </c>
      <c r="I1312" s="4"/>
      <c r="J1312" s="4">
        <f>SUM(G1312:I1312)</f>
        <v>147846</v>
      </c>
      <c r="K1312" t="s">
        <v>1660</v>
      </c>
      <c r="L1312" t="s">
        <v>1659</v>
      </c>
      <c r="M1312" t="s">
        <v>656</v>
      </c>
      <c r="N1312" t="s">
        <v>656</v>
      </c>
      <c r="O1312" t="s">
        <v>1132</v>
      </c>
      <c r="P1312" t="str">
        <f>IFERROR(VLOOKUP(F1312,Sheet1!$A$2:$B$54,2,FALSE),"")</f>
        <v/>
      </c>
    </row>
    <row r="1313" spans="1:16" x14ac:dyDescent="0.2">
      <c r="A1313" s="1">
        <v>2022</v>
      </c>
      <c r="B1313" t="s">
        <v>159</v>
      </c>
      <c r="C1313" s="10" t="s">
        <v>1678</v>
      </c>
      <c r="D1313" s="10" t="s">
        <v>1679</v>
      </c>
      <c r="E1313" s="10" t="s">
        <v>1682</v>
      </c>
      <c r="F1313" t="s">
        <v>656</v>
      </c>
      <c r="G1313" s="4">
        <v>9015</v>
      </c>
      <c r="H1313" s="4">
        <v>149031</v>
      </c>
      <c r="I1313" s="4"/>
      <c r="J1313" s="4">
        <f>SUM(G1313:I1313)</f>
        <v>158046</v>
      </c>
      <c r="K1313" t="s">
        <v>1660</v>
      </c>
      <c r="L1313" t="s">
        <v>1659</v>
      </c>
      <c r="M1313" t="s">
        <v>656</v>
      </c>
      <c r="N1313" t="s">
        <v>656</v>
      </c>
      <c r="O1313" t="s">
        <v>1132</v>
      </c>
      <c r="P1313" t="str">
        <f>IFERROR(VLOOKUP(F1313,Sheet1!$A$2:$B$54,2,FALSE),"")</f>
        <v/>
      </c>
    </row>
    <row r="1314" spans="1:16" x14ac:dyDescent="0.2">
      <c r="A1314" s="1">
        <v>2023</v>
      </c>
      <c r="B1314" t="s">
        <v>159</v>
      </c>
      <c r="C1314" s="10" t="s">
        <v>1678</v>
      </c>
      <c r="D1314" s="10" t="s">
        <v>1679</v>
      </c>
      <c r="E1314" s="10" t="s">
        <v>1682</v>
      </c>
      <c r="F1314" t="s">
        <v>656</v>
      </c>
      <c r="G1314" s="4">
        <v>10886</v>
      </c>
      <c r="H1314" s="4">
        <v>184821</v>
      </c>
      <c r="I1314" s="4"/>
      <c r="J1314" s="4">
        <f>SUM(G1314:I1314)</f>
        <v>195707</v>
      </c>
      <c r="K1314" t="s">
        <v>1660</v>
      </c>
      <c r="L1314" t="s">
        <v>1659</v>
      </c>
      <c r="M1314" t="s">
        <v>656</v>
      </c>
      <c r="N1314" t="s">
        <v>656</v>
      </c>
      <c r="O1314" t="s">
        <v>1132</v>
      </c>
      <c r="P1314" t="str">
        <f>IFERROR(VLOOKUP(F1314,Sheet1!$A$2:$B$54,2,FALSE),"")</f>
        <v/>
      </c>
    </row>
    <row r="1315" spans="1:16" x14ac:dyDescent="0.2">
      <c r="A1315" s="1">
        <v>2022</v>
      </c>
      <c r="B1315" t="s">
        <v>160</v>
      </c>
      <c r="C1315" s="10" t="s">
        <v>1678</v>
      </c>
      <c r="D1315" s="10" t="s">
        <v>1679</v>
      </c>
      <c r="E1315" s="10" t="s">
        <v>1682</v>
      </c>
      <c r="F1315" t="s">
        <v>657</v>
      </c>
      <c r="G1315" s="4">
        <v>1520</v>
      </c>
      <c r="H1315" s="4"/>
      <c r="I1315" s="4"/>
      <c r="J1315" s="4">
        <f>SUM(G1315:I1315)</f>
        <v>1520</v>
      </c>
      <c r="K1315" t="s">
        <v>1659</v>
      </c>
      <c r="L1315" t="s">
        <v>1659</v>
      </c>
      <c r="M1315" t="s">
        <v>657</v>
      </c>
      <c r="N1315" t="s">
        <v>1132</v>
      </c>
      <c r="O1315" t="s">
        <v>1132</v>
      </c>
      <c r="P1315" t="str">
        <f>IFERROR(VLOOKUP(F1315,Sheet1!$A$2:$B$54,2,FALSE),"")</f>
        <v/>
      </c>
    </row>
    <row r="1316" spans="1:16" x14ac:dyDescent="0.2">
      <c r="A1316" s="1">
        <v>2023</v>
      </c>
      <c r="B1316" t="s">
        <v>160</v>
      </c>
      <c r="C1316" s="10" t="s">
        <v>1678</v>
      </c>
      <c r="D1316" s="10" t="s">
        <v>1679</v>
      </c>
      <c r="E1316" s="10" t="s">
        <v>1682</v>
      </c>
      <c r="F1316" t="s">
        <v>657</v>
      </c>
      <c r="G1316" s="4">
        <v>153423</v>
      </c>
      <c r="H1316" s="4"/>
      <c r="I1316" s="4"/>
      <c r="J1316" s="4">
        <f>SUM(G1316:I1316)</f>
        <v>153423</v>
      </c>
      <c r="K1316" t="s">
        <v>1659</v>
      </c>
      <c r="L1316" t="s">
        <v>1659</v>
      </c>
      <c r="M1316" t="s">
        <v>657</v>
      </c>
      <c r="N1316" t="s">
        <v>1132</v>
      </c>
      <c r="O1316" t="s">
        <v>1132</v>
      </c>
      <c r="P1316" t="str">
        <f>IFERROR(VLOOKUP(F1316,Sheet1!$A$2:$B$54,2,FALSE),"")</f>
        <v/>
      </c>
    </row>
    <row r="1317" spans="1:16" x14ac:dyDescent="0.2">
      <c r="A1317" s="1">
        <v>2015</v>
      </c>
      <c r="B1317" t="s">
        <v>161</v>
      </c>
      <c r="C1317" s="10" t="s">
        <v>1678</v>
      </c>
      <c r="D1317" s="10" t="s">
        <v>1679</v>
      </c>
      <c r="E1317" s="10" t="s">
        <v>1682</v>
      </c>
      <c r="F1317" t="s">
        <v>658</v>
      </c>
      <c r="G1317" s="4">
        <v>13839</v>
      </c>
      <c r="H1317" s="4"/>
      <c r="I1317" s="4"/>
      <c r="J1317" s="4">
        <f>SUM(G1317:I1317)</f>
        <v>13839</v>
      </c>
      <c r="K1317" t="s">
        <v>1659</v>
      </c>
      <c r="L1317" t="s">
        <v>1659</v>
      </c>
      <c r="M1317" t="s">
        <v>1197</v>
      </c>
      <c r="N1317" t="s">
        <v>1132</v>
      </c>
      <c r="O1317" t="s">
        <v>1132</v>
      </c>
      <c r="P1317" t="str">
        <f>IFERROR(VLOOKUP(F1317,Sheet1!$A$2:$B$54,2,FALSE),"")</f>
        <v/>
      </c>
    </row>
    <row r="1318" spans="1:16" x14ac:dyDescent="0.2">
      <c r="A1318" s="1">
        <v>2016</v>
      </c>
      <c r="B1318" t="s">
        <v>161</v>
      </c>
      <c r="C1318" s="10" t="s">
        <v>1678</v>
      </c>
      <c r="D1318" s="10" t="s">
        <v>1679</v>
      </c>
      <c r="E1318" s="10" t="s">
        <v>1682</v>
      </c>
      <c r="F1318" t="s">
        <v>658</v>
      </c>
      <c r="G1318" s="4">
        <v>3804</v>
      </c>
      <c r="H1318" s="4"/>
      <c r="I1318" s="4"/>
      <c r="J1318" s="4">
        <f>SUM(G1318:I1318)</f>
        <v>3804</v>
      </c>
      <c r="K1318" t="s">
        <v>1659</v>
      </c>
      <c r="L1318" t="s">
        <v>1659</v>
      </c>
      <c r="M1318" t="s">
        <v>1197</v>
      </c>
      <c r="N1318" t="s">
        <v>1132</v>
      </c>
      <c r="O1318" t="s">
        <v>1132</v>
      </c>
      <c r="P1318" t="str">
        <f>IFERROR(VLOOKUP(F1318,Sheet1!$A$2:$B$54,2,FALSE),"")</f>
        <v/>
      </c>
    </row>
    <row r="1319" spans="1:16" x14ac:dyDescent="0.2">
      <c r="A1319" s="1">
        <v>2017</v>
      </c>
      <c r="B1319" t="s">
        <v>161</v>
      </c>
      <c r="C1319" s="10" t="s">
        <v>1678</v>
      </c>
      <c r="D1319" s="10" t="s">
        <v>1679</v>
      </c>
      <c r="E1319" s="10" t="s">
        <v>1682</v>
      </c>
      <c r="F1319" t="s">
        <v>658</v>
      </c>
      <c r="G1319" s="4">
        <v>10856</v>
      </c>
      <c r="H1319" s="4"/>
      <c r="I1319" s="4"/>
      <c r="J1319" s="4">
        <f>SUM(G1319:I1319)</f>
        <v>10856</v>
      </c>
      <c r="K1319" t="s">
        <v>1659</v>
      </c>
      <c r="L1319" t="s">
        <v>1659</v>
      </c>
      <c r="M1319" t="s">
        <v>1197</v>
      </c>
      <c r="N1319" t="s">
        <v>1132</v>
      </c>
      <c r="O1319" t="s">
        <v>1132</v>
      </c>
      <c r="P1319" t="str">
        <f>IFERROR(VLOOKUP(F1319,Sheet1!$A$2:$B$54,2,FALSE),"")</f>
        <v/>
      </c>
    </row>
    <row r="1320" spans="1:16" x14ac:dyDescent="0.2">
      <c r="A1320" s="1">
        <v>2018</v>
      </c>
      <c r="B1320" t="s">
        <v>161</v>
      </c>
      <c r="C1320" s="10" t="s">
        <v>1678</v>
      </c>
      <c r="D1320" s="10" t="s">
        <v>1679</v>
      </c>
      <c r="E1320" s="10" t="s">
        <v>1682</v>
      </c>
      <c r="F1320" t="s">
        <v>658</v>
      </c>
      <c r="G1320" s="4">
        <v>21853</v>
      </c>
      <c r="H1320" s="4"/>
      <c r="I1320" s="4"/>
      <c r="J1320" s="4">
        <f>SUM(G1320:I1320)</f>
        <v>21853</v>
      </c>
      <c r="K1320" t="s">
        <v>1659</v>
      </c>
      <c r="L1320" t="s">
        <v>1659</v>
      </c>
      <c r="M1320" t="s">
        <v>1197</v>
      </c>
      <c r="N1320" t="s">
        <v>1132</v>
      </c>
      <c r="O1320" t="s">
        <v>1132</v>
      </c>
      <c r="P1320" t="str">
        <f>IFERROR(VLOOKUP(F1320,Sheet1!$A$2:$B$54,2,FALSE),"")</f>
        <v/>
      </c>
    </row>
    <row r="1321" spans="1:16" x14ac:dyDescent="0.2">
      <c r="A1321" s="1">
        <v>2019</v>
      </c>
      <c r="B1321" t="s">
        <v>161</v>
      </c>
      <c r="C1321" s="10" t="s">
        <v>1678</v>
      </c>
      <c r="D1321" s="10" t="s">
        <v>1679</v>
      </c>
      <c r="E1321" s="10" t="s">
        <v>1682</v>
      </c>
      <c r="F1321" t="s">
        <v>658</v>
      </c>
      <c r="G1321" s="4">
        <v>30645</v>
      </c>
      <c r="H1321" s="4"/>
      <c r="I1321" s="4"/>
      <c r="J1321" s="4">
        <f>SUM(G1321:I1321)</f>
        <v>30645</v>
      </c>
      <c r="K1321" t="s">
        <v>1659</v>
      </c>
      <c r="L1321" t="s">
        <v>1659</v>
      </c>
      <c r="M1321" t="s">
        <v>1197</v>
      </c>
      <c r="N1321" t="s">
        <v>1132</v>
      </c>
      <c r="O1321" t="s">
        <v>1132</v>
      </c>
      <c r="P1321" t="str">
        <f>IFERROR(VLOOKUP(F1321,Sheet1!$A$2:$B$54,2,FALSE),"")</f>
        <v/>
      </c>
    </row>
    <row r="1322" spans="1:16" x14ac:dyDescent="0.2">
      <c r="A1322" s="1">
        <v>2020</v>
      </c>
      <c r="B1322" t="s">
        <v>161</v>
      </c>
      <c r="C1322" s="10" t="s">
        <v>1678</v>
      </c>
      <c r="D1322" s="10" t="s">
        <v>1679</v>
      </c>
      <c r="E1322" s="10" t="s">
        <v>1682</v>
      </c>
      <c r="F1322" t="s">
        <v>658</v>
      </c>
      <c r="G1322" s="4">
        <v>38039</v>
      </c>
      <c r="H1322" s="4"/>
      <c r="I1322" s="4"/>
      <c r="J1322" s="4">
        <f>SUM(G1322:I1322)</f>
        <v>38039</v>
      </c>
      <c r="K1322" t="s">
        <v>1659</v>
      </c>
      <c r="L1322" t="s">
        <v>1659</v>
      </c>
      <c r="M1322" t="s">
        <v>1197</v>
      </c>
      <c r="N1322" t="s">
        <v>1132</v>
      </c>
      <c r="O1322" t="s">
        <v>1132</v>
      </c>
      <c r="P1322" t="str">
        <f>IFERROR(VLOOKUP(F1322,Sheet1!$A$2:$B$54,2,FALSE),"")</f>
        <v/>
      </c>
    </row>
    <row r="1323" spans="1:16" x14ac:dyDescent="0.2">
      <c r="A1323" s="1">
        <v>2021</v>
      </c>
      <c r="B1323" t="s">
        <v>161</v>
      </c>
      <c r="C1323" s="10" t="s">
        <v>1678</v>
      </c>
      <c r="D1323" s="10" t="s">
        <v>1679</v>
      </c>
      <c r="E1323" s="10" t="s">
        <v>1682</v>
      </c>
      <c r="F1323" t="s">
        <v>658</v>
      </c>
      <c r="G1323" s="4">
        <v>61519</v>
      </c>
      <c r="H1323" s="4"/>
      <c r="I1323" s="4"/>
      <c r="J1323" s="4">
        <f>SUM(G1323:I1323)</f>
        <v>61519</v>
      </c>
      <c r="K1323" t="s">
        <v>1659</v>
      </c>
      <c r="L1323" t="s">
        <v>1659</v>
      </c>
      <c r="M1323" t="s">
        <v>658</v>
      </c>
      <c r="N1323" t="s">
        <v>1132</v>
      </c>
      <c r="O1323" t="s">
        <v>1132</v>
      </c>
      <c r="P1323" t="str">
        <f>IFERROR(VLOOKUP(F1323,Sheet1!$A$2:$B$54,2,FALSE),"")</f>
        <v/>
      </c>
    </row>
    <row r="1324" spans="1:16" x14ac:dyDescent="0.2">
      <c r="A1324" s="1">
        <v>2022</v>
      </c>
      <c r="B1324" t="s">
        <v>161</v>
      </c>
      <c r="C1324" s="10" t="s">
        <v>1678</v>
      </c>
      <c r="D1324" s="10" t="s">
        <v>1679</v>
      </c>
      <c r="E1324" s="10" t="s">
        <v>1682</v>
      </c>
      <c r="F1324" t="s">
        <v>658</v>
      </c>
      <c r="G1324" s="4">
        <v>63372</v>
      </c>
      <c r="H1324" s="4"/>
      <c r="I1324" s="4"/>
      <c r="J1324" s="4">
        <f>SUM(G1324:I1324)</f>
        <v>63372</v>
      </c>
      <c r="K1324" t="s">
        <v>1659</v>
      </c>
      <c r="L1324" t="s">
        <v>1659</v>
      </c>
      <c r="M1324" t="s">
        <v>658</v>
      </c>
      <c r="N1324" t="s">
        <v>1132</v>
      </c>
      <c r="O1324" t="s">
        <v>1132</v>
      </c>
      <c r="P1324" t="str">
        <f>IFERROR(VLOOKUP(F1324,Sheet1!$A$2:$B$54,2,FALSE),"")</f>
        <v/>
      </c>
    </row>
    <row r="1325" spans="1:16" x14ac:dyDescent="0.2">
      <c r="A1325" s="1">
        <v>2023</v>
      </c>
      <c r="B1325" t="s">
        <v>161</v>
      </c>
      <c r="C1325" s="10" t="s">
        <v>1678</v>
      </c>
      <c r="D1325" s="10" t="s">
        <v>1679</v>
      </c>
      <c r="E1325" s="10" t="s">
        <v>1682</v>
      </c>
      <c r="F1325" t="s">
        <v>658</v>
      </c>
      <c r="G1325" s="4">
        <v>64384</v>
      </c>
      <c r="H1325" s="4"/>
      <c r="I1325" s="4"/>
      <c r="J1325" s="4">
        <f>SUM(G1325:I1325)</f>
        <v>64384</v>
      </c>
      <c r="K1325" t="s">
        <v>1659</v>
      </c>
      <c r="L1325" t="s">
        <v>1659</v>
      </c>
      <c r="M1325" t="s">
        <v>658</v>
      </c>
      <c r="N1325" t="s">
        <v>1132</v>
      </c>
      <c r="O1325" t="s">
        <v>1132</v>
      </c>
      <c r="P1325" t="str">
        <f>IFERROR(VLOOKUP(F1325,Sheet1!$A$2:$B$54,2,FALSE),"")</f>
        <v/>
      </c>
    </row>
    <row r="1326" spans="1:16" x14ac:dyDescent="0.2">
      <c r="A1326" s="1">
        <v>2016</v>
      </c>
      <c r="B1326" t="s">
        <v>162</v>
      </c>
      <c r="C1326" s="10" t="s">
        <v>1678</v>
      </c>
      <c r="D1326" s="10" t="s">
        <v>1679</v>
      </c>
      <c r="E1326" s="10" t="s">
        <v>1682</v>
      </c>
      <c r="F1326" t="s">
        <v>659</v>
      </c>
      <c r="G1326" s="4">
        <v>192</v>
      </c>
      <c r="H1326" s="4"/>
      <c r="I1326" s="4"/>
      <c r="J1326" s="4">
        <f>SUM(G1326:I1326)</f>
        <v>192</v>
      </c>
      <c r="K1326" t="s">
        <v>1659</v>
      </c>
      <c r="L1326" t="s">
        <v>1659</v>
      </c>
      <c r="M1326" t="s">
        <v>1198</v>
      </c>
      <c r="N1326" t="s">
        <v>1132</v>
      </c>
      <c r="O1326" t="s">
        <v>1132</v>
      </c>
      <c r="P1326" t="str">
        <f>IFERROR(VLOOKUP(F1326,Sheet1!$A$2:$B$54,2,FALSE),"")</f>
        <v/>
      </c>
    </row>
    <row r="1327" spans="1:16" x14ac:dyDescent="0.2">
      <c r="A1327" s="1">
        <v>2017</v>
      </c>
      <c r="B1327" t="s">
        <v>162</v>
      </c>
      <c r="C1327" s="10" t="s">
        <v>1678</v>
      </c>
      <c r="D1327" s="10" t="s">
        <v>1679</v>
      </c>
      <c r="E1327" s="10" t="s">
        <v>1682</v>
      </c>
      <c r="F1327" t="s">
        <v>659</v>
      </c>
      <c r="G1327" s="4">
        <v>5572</v>
      </c>
      <c r="H1327" s="4"/>
      <c r="I1327" s="4"/>
      <c r="J1327" s="4">
        <f>SUM(G1327:I1327)</f>
        <v>5572</v>
      </c>
      <c r="K1327" t="s">
        <v>1659</v>
      </c>
      <c r="L1327" t="s">
        <v>1659</v>
      </c>
      <c r="M1327" t="s">
        <v>1198</v>
      </c>
      <c r="N1327" t="s">
        <v>1132</v>
      </c>
      <c r="O1327" t="s">
        <v>1132</v>
      </c>
      <c r="P1327" t="str">
        <f>IFERROR(VLOOKUP(F1327,Sheet1!$A$2:$B$54,2,FALSE),"")</f>
        <v/>
      </c>
    </row>
    <row r="1328" spans="1:16" x14ac:dyDescent="0.2">
      <c r="A1328" s="1">
        <v>2018</v>
      </c>
      <c r="B1328" t="s">
        <v>162</v>
      </c>
      <c r="C1328" s="10" t="s">
        <v>1678</v>
      </c>
      <c r="D1328" s="10" t="s">
        <v>1679</v>
      </c>
      <c r="E1328" s="10" t="s">
        <v>1682</v>
      </c>
      <c r="F1328" t="s">
        <v>659</v>
      </c>
      <c r="G1328" s="4">
        <v>7378</v>
      </c>
      <c r="H1328" s="4"/>
      <c r="I1328" s="4"/>
      <c r="J1328" s="4">
        <f>SUM(G1328:I1328)</f>
        <v>7378</v>
      </c>
      <c r="K1328" t="s">
        <v>1659</v>
      </c>
      <c r="L1328" t="s">
        <v>1659</v>
      </c>
      <c r="M1328" t="s">
        <v>1198</v>
      </c>
      <c r="N1328" t="s">
        <v>1132</v>
      </c>
      <c r="O1328" t="s">
        <v>1132</v>
      </c>
      <c r="P1328" t="str">
        <f>IFERROR(VLOOKUP(F1328,Sheet1!$A$2:$B$54,2,FALSE),"")</f>
        <v/>
      </c>
    </row>
    <row r="1329" spans="1:16" x14ac:dyDescent="0.2">
      <c r="A1329" s="1">
        <v>2019</v>
      </c>
      <c r="B1329" t="s">
        <v>162</v>
      </c>
      <c r="C1329" s="10" t="s">
        <v>1678</v>
      </c>
      <c r="D1329" s="10" t="s">
        <v>1679</v>
      </c>
      <c r="E1329" s="10" t="s">
        <v>1682</v>
      </c>
      <c r="F1329" t="s">
        <v>659</v>
      </c>
      <c r="G1329" s="4">
        <v>5836</v>
      </c>
      <c r="H1329" s="4"/>
      <c r="I1329" s="4"/>
      <c r="J1329" s="4">
        <f>SUM(G1329:I1329)</f>
        <v>5836</v>
      </c>
      <c r="K1329" t="s">
        <v>1659</v>
      </c>
      <c r="L1329" t="s">
        <v>1659</v>
      </c>
      <c r="M1329" t="s">
        <v>1198</v>
      </c>
      <c r="N1329" t="s">
        <v>1132</v>
      </c>
      <c r="O1329" t="s">
        <v>1132</v>
      </c>
      <c r="P1329" t="str">
        <f>IFERROR(VLOOKUP(F1329,Sheet1!$A$2:$B$54,2,FALSE),"")</f>
        <v/>
      </c>
    </row>
    <row r="1330" spans="1:16" x14ac:dyDescent="0.2">
      <c r="A1330" s="1">
        <v>2020</v>
      </c>
      <c r="B1330" t="s">
        <v>162</v>
      </c>
      <c r="C1330" s="10" t="s">
        <v>1678</v>
      </c>
      <c r="D1330" s="10" t="s">
        <v>1679</v>
      </c>
      <c r="E1330" s="10" t="s">
        <v>1682</v>
      </c>
      <c r="F1330" t="s">
        <v>659</v>
      </c>
      <c r="G1330" s="4">
        <v>4864</v>
      </c>
      <c r="H1330" s="4"/>
      <c r="I1330" s="4"/>
      <c r="J1330" s="4">
        <f>SUM(G1330:I1330)</f>
        <v>4864</v>
      </c>
      <c r="K1330" t="s">
        <v>1659</v>
      </c>
      <c r="L1330" t="s">
        <v>1659</v>
      </c>
      <c r="M1330" t="s">
        <v>1198</v>
      </c>
      <c r="N1330" t="s">
        <v>1132</v>
      </c>
      <c r="O1330" t="s">
        <v>1132</v>
      </c>
      <c r="P1330" t="str">
        <f>IFERROR(VLOOKUP(F1330,Sheet1!$A$2:$B$54,2,FALSE),"")</f>
        <v/>
      </c>
    </row>
    <row r="1331" spans="1:16" x14ac:dyDescent="0.2">
      <c r="A1331" s="1">
        <v>2021</v>
      </c>
      <c r="B1331" t="s">
        <v>162</v>
      </c>
      <c r="C1331" s="10" t="s">
        <v>1678</v>
      </c>
      <c r="D1331" s="10" t="s">
        <v>1679</v>
      </c>
      <c r="E1331" s="10" t="s">
        <v>1682</v>
      </c>
      <c r="F1331" t="s">
        <v>659</v>
      </c>
      <c r="G1331" s="4">
        <v>4470</v>
      </c>
      <c r="H1331" s="4"/>
      <c r="I1331" s="4"/>
      <c r="J1331" s="4">
        <f>SUM(G1331:I1331)</f>
        <v>4470</v>
      </c>
      <c r="K1331" t="s">
        <v>1659</v>
      </c>
      <c r="L1331" t="s">
        <v>1659</v>
      </c>
      <c r="M1331" t="s">
        <v>659</v>
      </c>
      <c r="N1331" t="s">
        <v>1132</v>
      </c>
      <c r="O1331" t="s">
        <v>1132</v>
      </c>
      <c r="P1331" t="str">
        <f>IFERROR(VLOOKUP(F1331,Sheet1!$A$2:$B$54,2,FALSE),"")</f>
        <v/>
      </c>
    </row>
    <row r="1332" spans="1:16" x14ac:dyDescent="0.2">
      <c r="A1332" s="1">
        <v>2022</v>
      </c>
      <c r="B1332" t="s">
        <v>162</v>
      </c>
      <c r="C1332" s="10" t="s">
        <v>1678</v>
      </c>
      <c r="D1332" s="10" t="s">
        <v>1679</v>
      </c>
      <c r="E1332" s="10" t="s">
        <v>1682</v>
      </c>
      <c r="F1332" t="s">
        <v>659</v>
      </c>
      <c r="G1332" s="4">
        <v>5133</v>
      </c>
      <c r="H1332" s="4"/>
      <c r="I1332" s="4"/>
      <c r="J1332" s="4">
        <f>SUM(G1332:I1332)</f>
        <v>5133</v>
      </c>
      <c r="K1332" t="s">
        <v>1659</v>
      </c>
      <c r="L1332" t="s">
        <v>1659</v>
      </c>
      <c r="M1332" t="s">
        <v>659</v>
      </c>
      <c r="N1332" t="s">
        <v>1132</v>
      </c>
      <c r="O1332" t="s">
        <v>1132</v>
      </c>
      <c r="P1332" t="str">
        <f>IFERROR(VLOOKUP(F1332,Sheet1!$A$2:$B$54,2,FALSE),"")</f>
        <v/>
      </c>
    </row>
    <row r="1333" spans="1:16" x14ac:dyDescent="0.2">
      <c r="A1333" s="1">
        <v>2023</v>
      </c>
      <c r="B1333" t="s">
        <v>162</v>
      </c>
      <c r="C1333" s="10" t="s">
        <v>1678</v>
      </c>
      <c r="D1333" s="10" t="s">
        <v>1679</v>
      </c>
      <c r="E1333" s="10" t="s">
        <v>1682</v>
      </c>
      <c r="F1333" t="s">
        <v>659</v>
      </c>
      <c r="G1333" s="4">
        <v>6311</v>
      </c>
      <c r="H1333" s="4"/>
      <c r="I1333" s="4"/>
      <c r="J1333" s="4">
        <f>SUM(G1333:I1333)</f>
        <v>6311</v>
      </c>
      <c r="K1333" t="s">
        <v>1659</v>
      </c>
      <c r="L1333" t="s">
        <v>1659</v>
      </c>
      <c r="M1333" t="s">
        <v>659</v>
      </c>
      <c r="N1333" t="s">
        <v>1132</v>
      </c>
      <c r="O1333" t="s">
        <v>1132</v>
      </c>
      <c r="P1333" t="str">
        <f>IFERROR(VLOOKUP(F1333,Sheet1!$A$2:$B$54,2,FALSE),"")</f>
        <v/>
      </c>
    </row>
    <row r="1334" spans="1:16" x14ac:dyDescent="0.2">
      <c r="A1334" s="1">
        <v>2021</v>
      </c>
      <c r="B1334" t="s">
        <v>163</v>
      </c>
      <c r="C1334" s="10" t="s">
        <v>1678</v>
      </c>
      <c r="D1334" s="10" t="s">
        <v>1679</v>
      </c>
      <c r="E1334" s="10" t="s">
        <v>1682</v>
      </c>
      <c r="F1334" t="s">
        <v>660</v>
      </c>
      <c r="G1334" s="4">
        <v>1999</v>
      </c>
      <c r="H1334" s="4"/>
      <c r="I1334" s="4"/>
      <c r="J1334" s="4">
        <f>SUM(G1334:I1334)</f>
        <v>1999</v>
      </c>
      <c r="K1334" t="s">
        <v>1659</v>
      </c>
      <c r="L1334" t="s">
        <v>1659</v>
      </c>
      <c r="M1334" t="s">
        <v>660</v>
      </c>
      <c r="N1334" t="s">
        <v>1132</v>
      </c>
      <c r="O1334" t="s">
        <v>1132</v>
      </c>
      <c r="P1334" t="str">
        <f>IFERROR(VLOOKUP(F1334,Sheet1!$A$2:$B$54,2,FALSE),"")</f>
        <v/>
      </c>
    </row>
    <row r="1335" spans="1:16" x14ac:dyDescent="0.2">
      <c r="A1335" s="1">
        <v>2022</v>
      </c>
      <c r="B1335" t="s">
        <v>163</v>
      </c>
      <c r="C1335" s="10" t="s">
        <v>1678</v>
      </c>
      <c r="D1335" s="10" t="s">
        <v>1679</v>
      </c>
      <c r="E1335" s="10" t="s">
        <v>1682</v>
      </c>
      <c r="F1335" t="s">
        <v>660</v>
      </c>
      <c r="G1335" s="4">
        <v>2256</v>
      </c>
      <c r="H1335" s="4"/>
      <c r="I1335" s="4"/>
      <c r="J1335" s="4">
        <f>SUM(G1335:I1335)</f>
        <v>2256</v>
      </c>
      <c r="K1335" t="s">
        <v>1659</v>
      </c>
      <c r="L1335" t="s">
        <v>1659</v>
      </c>
      <c r="M1335" t="s">
        <v>660</v>
      </c>
      <c r="N1335" t="s">
        <v>1132</v>
      </c>
      <c r="O1335" t="s">
        <v>1132</v>
      </c>
      <c r="P1335" t="str">
        <f>IFERROR(VLOOKUP(F1335,Sheet1!$A$2:$B$54,2,FALSE),"")</f>
        <v/>
      </c>
    </row>
    <row r="1336" spans="1:16" x14ac:dyDescent="0.2">
      <c r="A1336" s="1">
        <v>2023</v>
      </c>
      <c r="B1336" t="s">
        <v>163</v>
      </c>
      <c r="C1336" s="10" t="s">
        <v>1678</v>
      </c>
      <c r="D1336" s="10" t="s">
        <v>1679</v>
      </c>
      <c r="E1336" s="10" t="s">
        <v>1682</v>
      </c>
      <c r="F1336" t="s">
        <v>660</v>
      </c>
      <c r="G1336" s="4">
        <v>2843</v>
      </c>
      <c r="H1336" s="4"/>
      <c r="I1336" s="4"/>
      <c r="J1336" s="4">
        <f>SUM(G1336:I1336)</f>
        <v>2843</v>
      </c>
      <c r="K1336" t="s">
        <v>1659</v>
      </c>
      <c r="L1336" t="s">
        <v>1659</v>
      </c>
      <c r="M1336" t="s">
        <v>660</v>
      </c>
      <c r="N1336" t="s">
        <v>1132</v>
      </c>
      <c r="O1336" t="s">
        <v>1132</v>
      </c>
      <c r="P1336" t="str">
        <f>IFERROR(VLOOKUP(F1336,Sheet1!$A$2:$B$54,2,FALSE),"")</f>
        <v/>
      </c>
    </row>
    <row r="1337" spans="1:16" x14ac:dyDescent="0.2">
      <c r="A1337" s="1">
        <v>2015</v>
      </c>
      <c r="B1337" t="s">
        <v>164</v>
      </c>
      <c r="C1337" s="10" t="s">
        <v>1678</v>
      </c>
      <c r="D1337" s="10" t="s">
        <v>1679</v>
      </c>
      <c r="E1337" s="10" t="s">
        <v>1682</v>
      </c>
      <c r="F1337" t="s">
        <v>661</v>
      </c>
      <c r="G1337" s="4">
        <v>6595</v>
      </c>
      <c r="H1337" s="4"/>
      <c r="I1337" s="4"/>
      <c r="J1337" s="4">
        <f>SUM(G1337:I1337)</f>
        <v>6595</v>
      </c>
      <c r="K1337" t="s">
        <v>1659</v>
      </c>
      <c r="L1337" t="s">
        <v>1659</v>
      </c>
      <c r="M1337" t="s">
        <v>1199</v>
      </c>
      <c r="N1337" t="s">
        <v>1132</v>
      </c>
      <c r="O1337" t="s">
        <v>1132</v>
      </c>
      <c r="P1337" t="str">
        <f>IFERROR(VLOOKUP(F1337,Sheet1!$A$2:$B$54,2,FALSE),"")</f>
        <v/>
      </c>
    </row>
    <row r="1338" spans="1:16" x14ac:dyDescent="0.2">
      <c r="A1338" s="1">
        <v>2016</v>
      </c>
      <c r="B1338" t="s">
        <v>164</v>
      </c>
      <c r="C1338" s="10" t="s">
        <v>1678</v>
      </c>
      <c r="D1338" s="10" t="s">
        <v>1679</v>
      </c>
      <c r="E1338" s="10" t="s">
        <v>1682</v>
      </c>
      <c r="F1338" t="s">
        <v>661</v>
      </c>
      <c r="G1338" s="4">
        <v>10588</v>
      </c>
      <c r="H1338" s="4"/>
      <c r="I1338" s="4"/>
      <c r="J1338" s="4">
        <f>SUM(G1338:I1338)</f>
        <v>10588</v>
      </c>
      <c r="K1338" t="s">
        <v>1659</v>
      </c>
      <c r="L1338" t="s">
        <v>1659</v>
      </c>
      <c r="M1338" t="s">
        <v>1199</v>
      </c>
      <c r="N1338" t="s">
        <v>1132</v>
      </c>
      <c r="O1338" t="s">
        <v>1132</v>
      </c>
      <c r="P1338" t="str">
        <f>IFERROR(VLOOKUP(F1338,Sheet1!$A$2:$B$54,2,FALSE),"")</f>
        <v/>
      </c>
    </row>
    <row r="1339" spans="1:16" x14ac:dyDescent="0.2">
      <c r="A1339" s="1">
        <v>2017</v>
      </c>
      <c r="B1339" t="s">
        <v>164</v>
      </c>
      <c r="C1339" s="10" t="s">
        <v>1678</v>
      </c>
      <c r="D1339" s="10" t="s">
        <v>1679</v>
      </c>
      <c r="E1339" s="10" t="s">
        <v>1682</v>
      </c>
      <c r="F1339" t="s">
        <v>661</v>
      </c>
      <c r="G1339" s="4">
        <v>14841</v>
      </c>
      <c r="H1339" s="4"/>
      <c r="I1339" s="4"/>
      <c r="J1339" s="4">
        <f>SUM(G1339:I1339)</f>
        <v>14841</v>
      </c>
      <c r="K1339" t="s">
        <v>1659</v>
      </c>
      <c r="L1339" t="s">
        <v>1659</v>
      </c>
      <c r="M1339" t="s">
        <v>1199</v>
      </c>
      <c r="N1339" t="s">
        <v>1132</v>
      </c>
      <c r="O1339" t="s">
        <v>1132</v>
      </c>
      <c r="P1339" t="str">
        <f>IFERROR(VLOOKUP(F1339,Sheet1!$A$2:$B$54,2,FALSE),"")</f>
        <v/>
      </c>
    </row>
    <row r="1340" spans="1:16" x14ac:dyDescent="0.2">
      <c r="A1340" s="1">
        <v>2018</v>
      </c>
      <c r="B1340" t="s">
        <v>164</v>
      </c>
      <c r="C1340" s="10" t="s">
        <v>1678</v>
      </c>
      <c r="D1340" s="10" t="s">
        <v>1679</v>
      </c>
      <c r="E1340" s="10" t="s">
        <v>1682</v>
      </c>
      <c r="F1340" t="s">
        <v>661</v>
      </c>
      <c r="G1340" s="4">
        <v>21085</v>
      </c>
      <c r="H1340" s="4"/>
      <c r="I1340" s="4"/>
      <c r="J1340" s="4">
        <f>SUM(G1340:I1340)</f>
        <v>21085</v>
      </c>
      <c r="K1340" t="s">
        <v>1659</v>
      </c>
      <c r="L1340" t="s">
        <v>1659</v>
      </c>
      <c r="M1340" t="s">
        <v>1199</v>
      </c>
      <c r="N1340" t="s">
        <v>1132</v>
      </c>
      <c r="O1340" t="s">
        <v>1132</v>
      </c>
      <c r="P1340" t="str">
        <f>IFERROR(VLOOKUP(F1340,Sheet1!$A$2:$B$54,2,FALSE),"")</f>
        <v/>
      </c>
    </row>
    <row r="1341" spans="1:16" x14ac:dyDescent="0.2">
      <c r="A1341" s="1">
        <v>2019</v>
      </c>
      <c r="B1341" t="s">
        <v>164</v>
      </c>
      <c r="C1341" s="10" t="s">
        <v>1678</v>
      </c>
      <c r="D1341" s="10" t="s">
        <v>1679</v>
      </c>
      <c r="E1341" s="10" t="s">
        <v>1682</v>
      </c>
      <c r="F1341" t="s">
        <v>661</v>
      </c>
      <c r="G1341" s="4">
        <v>27424</v>
      </c>
      <c r="H1341" s="4"/>
      <c r="I1341" s="4"/>
      <c r="J1341" s="4">
        <f>SUM(G1341:I1341)</f>
        <v>27424</v>
      </c>
      <c r="K1341" t="s">
        <v>1659</v>
      </c>
      <c r="L1341" t="s">
        <v>1659</v>
      </c>
      <c r="M1341" t="s">
        <v>1199</v>
      </c>
      <c r="N1341" t="s">
        <v>1132</v>
      </c>
      <c r="O1341" t="s">
        <v>1132</v>
      </c>
      <c r="P1341" t="str">
        <f>IFERROR(VLOOKUP(F1341,Sheet1!$A$2:$B$54,2,FALSE),"")</f>
        <v/>
      </c>
    </row>
    <row r="1342" spans="1:16" x14ac:dyDescent="0.2">
      <c r="A1342" s="1">
        <v>2020</v>
      </c>
      <c r="B1342" t="s">
        <v>164</v>
      </c>
      <c r="C1342" s="10" t="s">
        <v>1678</v>
      </c>
      <c r="D1342" s="10" t="s">
        <v>1679</v>
      </c>
      <c r="E1342" s="10" t="s">
        <v>1682</v>
      </c>
      <c r="F1342" t="s">
        <v>661</v>
      </c>
      <c r="G1342" s="4">
        <v>29443</v>
      </c>
      <c r="H1342" s="4"/>
      <c r="I1342" s="4"/>
      <c r="J1342" s="4">
        <f>SUM(G1342:I1342)</f>
        <v>29443</v>
      </c>
      <c r="K1342" t="s">
        <v>1659</v>
      </c>
      <c r="L1342" t="s">
        <v>1659</v>
      </c>
      <c r="M1342" t="s">
        <v>1199</v>
      </c>
      <c r="N1342" t="s">
        <v>1132</v>
      </c>
      <c r="O1342" t="s">
        <v>1132</v>
      </c>
      <c r="P1342" t="str">
        <f>IFERROR(VLOOKUP(F1342,Sheet1!$A$2:$B$54,2,FALSE),"")</f>
        <v/>
      </c>
    </row>
    <row r="1343" spans="1:16" x14ac:dyDescent="0.2">
      <c r="A1343" s="1">
        <v>2021</v>
      </c>
      <c r="B1343" t="s">
        <v>164</v>
      </c>
      <c r="C1343" s="10" t="s">
        <v>1678</v>
      </c>
      <c r="D1343" s="10" t="s">
        <v>1679</v>
      </c>
      <c r="E1343" s="10" t="s">
        <v>1682</v>
      </c>
      <c r="F1343" t="s">
        <v>661</v>
      </c>
      <c r="G1343" s="4">
        <v>24946</v>
      </c>
      <c r="H1343" s="4"/>
      <c r="I1343" s="4"/>
      <c r="J1343" s="4">
        <f>SUM(G1343:I1343)</f>
        <v>24946</v>
      </c>
      <c r="K1343" t="s">
        <v>1659</v>
      </c>
      <c r="L1343" t="s">
        <v>1659</v>
      </c>
      <c r="M1343" t="s">
        <v>661</v>
      </c>
      <c r="N1343" t="s">
        <v>1132</v>
      </c>
      <c r="O1343" t="s">
        <v>1132</v>
      </c>
      <c r="P1343" t="str">
        <f>IFERROR(VLOOKUP(F1343,Sheet1!$A$2:$B$54,2,FALSE),"")</f>
        <v/>
      </c>
    </row>
    <row r="1344" spans="1:16" x14ac:dyDescent="0.2">
      <c r="A1344" s="1">
        <v>2022</v>
      </c>
      <c r="B1344" t="s">
        <v>164</v>
      </c>
      <c r="C1344" s="10" t="s">
        <v>1678</v>
      </c>
      <c r="D1344" s="10" t="s">
        <v>1679</v>
      </c>
      <c r="E1344" s="10" t="s">
        <v>1682</v>
      </c>
      <c r="F1344" t="s">
        <v>661</v>
      </c>
      <c r="G1344" s="4">
        <v>31286</v>
      </c>
      <c r="H1344" s="4"/>
      <c r="I1344" s="4"/>
      <c r="J1344" s="4">
        <f>SUM(G1344:I1344)</f>
        <v>31286</v>
      </c>
      <c r="K1344" t="s">
        <v>1659</v>
      </c>
      <c r="L1344" t="s">
        <v>1659</v>
      </c>
      <c r="M1344" t="s">
        <v>661</v>
      </c>
      <c r="N1344" t="s">
        <v>1132</v>
      </c>
      <c r="O1344" t="s">
        <v>1132</v>
      </c>
      <c r="P1344" t="str">
        <f>IFERROR(VLOOKUP(F1344,Sheet1!$A$2:$B$54,2,FALSE),"")</f>
        <v/>
      </c>
    </row>
    <row r="1345" spans="1:16" x14ac:dyDescent="0.2">
      <c r="A1345" s="1">
        <v>2023</v>
      </c>
      <c r="B1345" t="s">
        <v>164</v>
      </c>
      <c r="C1345" s="10" t="s">
        <v>1678</v>
      </c>
      <c r="D1345" s="10" t="s">
        <v>1679</v>
      </c>
      <c r="E1345" s="10" t="s">
        <v>1682</v>
      </c>
      <c r="F1345" t="s">
        <v>661</v>
      </c>
      <c r="G1345" s="4">
        <v>38159</v>
      </c>
      <c r="H1345" s="4"/>
      <c r="I1345" s="4"/>
      <c r="J1345" s="4">
        <f>SUM(G1345:I1345)</f>
        <v>38159</v>
      </c>
      <c r="K1345" t="s">
        <v>1659</v>
      </c>
      <c r="L1345" t="s">
        <v>1659</v>
      </c>
      <c r="M1345" t="s">
        <v>661</v>
      </c>
      <c r="N1345" t="s">
        <v>1132</v>
      </c>
      <c r="O1345" t="s">
        <v>1132</v>
      </c>
      <c r="P1345" t="str">
        <f>IFERROR(VLOOKUP(F1345,Sheet1!$A$2:$B$54,2,FALSE),"")</f>
        <v/>
      </c>
    </row>
    <row r="1346" spans="1:16" x14ac:dyDescent="0.2">
      <c r="A1346" s="1">
        <v>2015</v>
      </c>
      <c r="B1346" t="s">
        <v>165</v>
      </c>
      <c r="C1346" s="10" t="s">
        <v>1678</v>
      </c>
      <c r="D1346" s="10" t="s">
        <v>1679</v>
      </c>
      <c r="E1346" s="10" t="s">
        <v>1682</v>
      </c>
      <c r="F1346" t="s">
        <v>662</v>
      </c>
      <c r="G1346" s="4">
        <v>2636</v>
      </c>
      <c r="H1346" s="4"/>
      <c r="I1346" s="4"/>
      <c r="J1346" s="4">
        <f>SUM(G1346:I1346)</f>
        <v>2636</v>
      </c>
      <c r="K1346" t="s">
        <v>1659</v>
      </c>
      <c r="L1346" t="s">
        <v>1659</v>
      </c>
      <c r="M1346" t="s">
        <v>1200</v>
      </c>
      <c r="N1346" t="s">
        <v>1132</v>
      </c>
      <c r="O1346" t="s">
        <v>1132</v>
      </c>
      <c r="P1346" t="str">
        <f>IFERROR(VLOOKUP(F1346,Sheet1!$A$2:$B$54,2,FALSE),"")</f>
        <v/>
      </c>
    </row>
    <row r="1347" spans="1:16" x14ac:dyDescent="0.2">
      <c r="A1347" s="1">
        <v>2016</v>
      </c>
      <c r="B1347" t="s">
        <v>165</v>
      </c>
      <c r="C1347" s="10" t="s">
        <v>1678</v>
      </c>
      <c r="D1347" s="10" t="s">
        <v>1679</v>
      </c>
      <c r="E1347" s="10" t="s">
        <v>1682</v>
      </c>
      <c r="F1347" t="s">
        <v>662</v>
      </c>
      <c r="G1347" s="4">
        <v>3297</v>
      </c>
      <c r="H1347" s="4"/>
      <c r="I1347" s="4"/>
      <c r="J1347" s="4">
        <f>SUM(G1347:I1347)</f>
        <v>3297</v>
      </c>
      <c r="K1347" t="s">
        <v>1659</v>
      </c>
      <c r="L1347" t="s">
        <v>1659</v>
      </c>
      <c r="M1347" t="s">
        <v>1201</v>
      </c>
      <c r="N1347" t="s">
        <v>1132</v>
      </c>
      <c r="O1347" t="s">
        <v>1132</v>
      </c>
      <c r="P1347" t="str">
        <f>IFERROR(VLOOKUP(F1347,Sheet1!$A$2:$B$54,2,FALSE),"")</f>
        <v/>
      </c>
    </row>
    <row r="1348" spans="1:16" x14ac:dyDescent="0.2">
      <c r="A1348" s="1">
        <v>2017</v>
      </c>
      <c r="B1348" t="s">
        <v>165</v>
      </c>
      <c r="C1348" s="10" t="s">
        <v>1678</v>
      </c>
      <c r="D1348" s="10" t="s">
        <v>1679</v>
      </c>
      <c r="E1348" s="10" t="s">
        <v>1682</v>
      </c>
      <c r="F1348" t="s">
        <v>662</v>
      </c>
      <c r="G1348" s="4">
        <v>3452</v>
      </c>
      <c r="H1348" s="4"/>
      <c r="I1348" s="4"/>
      <c r="J1348" s="4">
        <f>SUM(G1348:I1348)</f>
        <v>3452</v>
      </c>
      <c r="K1348" t="s">
        <v>1659</v>
      </c>
      <c r="L1348" t="s">
        <v>1659</v>
      </c>
      <c r="M1348" t="s">
        <v>1202</v>
      </c>
      <c r="N1348" t="s">
        <v>1132</v>
      </c>
      <c r="O1348" t="s">
        <v>1132</v>
      </c>
      <c r="P1348" t="str">
        <f>IFERROR(VLOOKUP(F1348,Sheet1!$A$2:$B$54,2,FALSE),"")</f>
        <v/>
      </c>
    </row>
    <row r="1349" spans="1:16" x14ac:dyDescent="0.2">
      <c r="A1349" s="1">
        <v>2018</v>
      </c>
      <c r="B1349" t="s">
        <v>165</v>
      </c>
      <c r="C1349" s="10" t="s">
        <v>1678</v>
      </c>
      <c r="D1349" s="10" t="s">
        <v>1679</v>
      </c>
      <c r="E1349" s="10" t="s">
        <v>1682</v>
      </c>
      <c r="F1349" t="s">
        <v>662</v>
      </c>
      <c r="G1349" s="4">
        <v>5519</v>
      </c>
      <c r="H1349" s="4"/>
      <c r="I1349" s="4"/>
      <c r="J1349" s="4">
        <f>SUM(G1349:I1349)</f>
        <v>5519</v>
      </c>
      <c r="K1349" t="s">
        <v>1659</v>
      </c>
      <c r="L1349" t="s">
        <v>1659</v>
      </c>
      <c r="M1349" t="s">
        <v>1202</v>
      </c>
      <c r="N1349" t="s">
        <v>1132</v>
      </c>
      <c r="O1349" t="s">
        <v>1132</v>
      </c>
      <c r="P1349" t="str">
        <f>IFERROR(VLOOKUP(F1349,Sheet1!$A$2:$B$54,2,FALSE),"")</f>
        <v/>
      </c>
    </row>
    <row r="1350" spans="1:16" x14ac:dyDescent="0.2">
      <c r="A1350" s="1">
        <v>2019</v>
      </c>
      <c r="B1350" t="s">
        <v>165</v>
      </c>
      <c r="C1350" s="10" t="s">
        <v>1678</v>
      </c>
      <c r="D1350" s="10" t="s">
        <v>1679</v>
      </c>
      <c r="E1350" s="10" t="s">
        <v>1682</v>
      </c>
      <c r="F1350" t="s">
        <v>662</v>
      </c>
      <c r="G1350" s="4">
        <v>7464</v>
      </c>
      <c r="H1350" s="4"/>
      <c r="I1350" s="4"/>
      <c r="J1350" s="4">
        <f>SUM(G1350:I1350)</f>
        <v>7464</v>
      </c>
      <c r="K1350" t="s">
        <v>1659</v>
      </c>
      <c r="L1350" t="s">
        <v>1659</v>
      </c>
      <c r="M1350" t="s">
        <v>1201</v>
      </c>
      <c r="N1350" t="s">
        <v>1132</v>
      </c>
      <c r="O1350" t="s">
        <v>1132</v>
      </c>
      <c r="P1350" t="str">
        <f>IFERROR(VLOOKUP(F1350,Sheet1!$A$2:$B$54,2,FALSE),"")</f>
        <v/>
      </c>
    </row>
    <row r="1351" spans="1:16" x14ac:dyDescent="0.2">
      <c r="A1351" s="1">
        <v>2020</v>
      </c>
      <c r="B1351" t="s">
        <v>165</v>
      </c>
      <c r="C1351" s="10" t="s">
        <v>1678</v>
      </c>
      <c r="D1351" s="10" t="s">
        <v>1679</v>
      </c>
      <c r="E1351" s="10" t="s">
        <v>1682</v>
      </c>
      <c r="F1351" t="s">
        <v>662</v>
      </c>
      <c r="G1351" s="4">
        <v>10381</v>
      </c>
      <c r="H1351" s="4"/>
      <c r="I1351" s="4"/>
      <c r="J1351" s="4">
        <f>SUM(G1351:I1351)</f>
        <v>10381</v>
      </c>
      <c r="K1351" t="s">
        <v>1659</v>
      </c>
      <c r="L1351" t="s">
        <v>1659</v>
      </c>
      <c r="M1351" t="s">
        <v>1202</v>
      </c>
      <c r="N1351" t="s">
        <v>1132</v>
      </c>
      <c r="O1351" t="s">
        <v>1132</v>
      </c>
      <c r="P1351" t="str">
        <f>IFERROR(VLOOKUP(F1351,Sheet1!$A$2:$B$54,2,FALSE),"")</f>
        <v/>
      </c>
    </row>
    <row r="1352" spans="1:16" x14ac:dyDescent="0.2">
      <c r="A1352" s="1">
        <v>2021</v>
      </c>
      <c r="B1352" t="s">
        <v>165</v>
      </c>
      <c r="C1352" s="10" t="s">
        <v>1678</v>
      </c>
      <c r="D1352" s="10" t="s">
        <v>1679</v>
      </c>
      <c r="E1352" s="10" t="s">
        <v>1682</v>
      </c>
      <c r="F1352" t="s">
        <v>662</v>
      </c>
      <c r="G1352" s="4">
        <v>12169</v>
      </c>
      <c r="H1352" s="4"/>
      <c r="I1352" s="4"/>
      <c r="J1352" s="4">
        <f>SUM(G1352:I1352)</f>
        <v>12169</v>
      </c>
      <c r="K1352" t="s">
        <v>1659</v>
      </c>
      <c r="L1352" t="s">
        <v>1659</v>
      </c>
      <c r="M1352" t="s">
        <v>662</v>
      </c>
      <c r="N1352" t="s">
        <v>1132</v>
      </c>
      <c r="O1352" t="s">
        <v>1132</v>
      </c>
      <c r="P1352" t="str">
        <f>IFERROR(VLOOKUP(F1352,Sheet1!$A$2:$B$54,2,FALSE),"")</f>
        <v/>
      </c>
    </row>
    <row r="1353" spans="1:16" x14ac:dyDescent="0.2">
      <c r="A1353" s="1">
        <v>2022</v>
      </c>
      <c r="B1353" t="s">
        <v>165</v>
      </c>
      <c r="C1353" s="10" t="s">
        <v>1678</v>
      </c>
      <c r="D1353" s="10" t="s">
        <v>1679</v>
      </c>
      <c r="E1353" s="10" t="s">
        <v>1682</v>
      </c>
      <c r="F1353" t="s">
        <v>662</v>
      </c>
      <c r="G1353" s="4">
        <v>14671</v>
      </c>
      <c r="H1353" s="4"/>
      <c r="I1353" s="4"/>
      <c r="J1353" s="4">
        <f>SUM(G1353:I1353)</f>
        <v>14671</v>
      </c>
      <c r="K1353" t="s">
        <v>1659</v>
      </c>
      <c r="L1353" t="s">
        <v>1659</v>
      </c>
      <c r="M1353" t="s">
        <v>662</v>
      </c>
      <c r="N1353" t="s">
        <v>1132</v>
      </c>
      <c r="O1353" t="s">
        <v>1132</v>
      </c>
      <c r="P1353" t="str">
        <f>IFERROR(VLOOKUP(F1353,Sheet1!$A$2:$B$54,2,FALSE),"")</f>
        <v/>
      </c>
    </row>
    <row r="1354" spans="1:16" x14ac:dyDescent="0.2">
      <c r="A1354" s="1">
        <v>2023</v>
      </c>
      <c r="B1354" t="s">
        <v>165</v>
      </c>
      <c r="C1354" s="10" t="s">
        <v>1678</v>
      </c>
      <c r="D1354" s="10" t="s">
        <v>1679</v>
      </c>
      <c r="E1354" s="10" t="s">
        <v>1682</v>
      </c>
      <c r="F1354" t="s">
        <v>662</v>
      </c>
      <c r="G1354" s="4">
        <v>13938</v>
      </c>
      <c r="H1354" s="4"/>
      <c r="I1354" s="4"/>
      <c r="J1354" s="4">
        <f>SUM(G1354:I1354)</f>
        <v>13938</v>
      </c>
      <c r="K1354" t="s">
        <v>1659</v>
      </c>
      <c r="L1354" t="s">
        <v>1659</v>
      </c>
      <c r="M1354" t="s">
        <v>662</v>
      </c>
      <c r="N1354" t="s">
        <v>1132</v>
      </c>
      <c r="O1354" t="s">
        <v>1132</v>
      </c>
      <c r="P1354" t="str">
        <f>IFERROR(VLOOKUP(F1354,Sheet1!$A$2:$B$54,2,FALSE),"")</f>
        <v/>
      </c>
    </row>
    <row r="1355" spans="1:16" x14ac:dyDescent="0.2">
      <c r="A1355" s="1">
        <v>2017</v>
      </c>
      <c r="B1355" t="s">
        <v>166</v>
      </c>
      <c r="C1355" s="10" t="s">
        <v>1678</v>
      </c>
      <c r="D1355" s="10" t="s">
        <v>1679</v>
      </c>
      <c r="E1355" s="10" t="s">
        <v>1682</v>
      </c>
      <c r="F1355" t="s">
        <v>663</v>
      </c>
      <c r="G1355" s="4">
        <v>2645</v>
      </c>
      <c r="H1355" s="4"/>
      <c r="I1355" s="4"/>
      <c r="J1355" s="4">
        <f>SUM(G1355:I1355)</f>
        <v>2645</v>
      </c>
      <c r="K1355" t="s">
        <v>1659</v>
      </c>
      <c r="L1355" t="s">
        <v>1659</v>
      </c>
      <c r="M1355" t="s">
        <v>1203</v>
      </c>
      <c r="N1355" t="s">
        <v>1132</v>
      </c>
      <c r="O1355" t="s">
        <v>1132</v>
      </c>
      <c r="P1355" t="str">
        <f>IFERROR(VLOOKUP(F1355,Sheet1!$A$2:$B$54,2,FALSE),"")</f>
        <v/>
      </c>
    </row>
    <row r="1356" spans="1:16" x14ac:dyDescent="0.2">
      <c r="A1356" s="1">
        <v>2018</v>
      </c>
      <c r="B1356" t="s">
        <v>166</v>
      </c>
      <c r="C1356" s="10" t="s">
        <v>1678</v>
      </c>
      <c r="D1356" s="10" t="s">
        <v>1679</v>
      </c>
      <c r="E1356" s="10" t="s">
        <v>1682</v>
      </c>
      <c r="F1356" t="s">
        <v>663</v>
      </c>
      <c r="G1356" s="4">
        <v>6964</v>
      </c>
      <c r="H1356" s="4"/>
      <c r="I1356" s="4"/>
      <c r="J1356" s="4">
        <f>SUM(G1356:I1356)</f>
        <v>6964</v>
      </c>
      <c r="K1356" t="s">
        <v>1659</v>
      </c>
      <c r="L1356" t="s">
        <v>1659</v>
      </c>
      <c r="M1356" t="s">
        <v>1203</v>
      </c>
      <c r="N1356" t="s">
        <v>1132</v>
      </c>
      <c r="O1356" t="s">
        <v>1132</v>
      </c>
      <c r="P1356" t="str">
        <f>IFERROR(VLOOKUP(F1356,Sheet1!$A$2:$B$54,2,FALSE),"")</f>
        <v/>
      </c>
    </row>
    <row r="1357" spans="1:16" x14ac:dyDescent="0.2">
      <c r="A1357" s="1">
        <v>2019</v>
      </c>
      <c r="B1357" t="s">
        <v>166</v>
      </c>
      <c r="C1357" s="10" t="s">
        <v>1678</v>
      </c>
      <c r="D1357" s="10" t="s">
        <v>1679</v>
      </c>
      <c r="E1357" s="10" t="s">
        <v>1682</v>
      </c>
      <c r="F1357" t="s">
        <v>663</v>
      </c>
      <c r="G1357" s="4">
        <v>9741</v>
      </c>
      <c r="H1357" s="4"/>
      <c r="I1357" s="4"/>
      <c r="J1357" s="4">
        <f>SUM(G1357:I1357)</f>
        <v>9741</v>
      </c>
      <c r="K1357" t="s">
        <v>1659</v>
      </c>
      <c r="L1357" t="s">
        <v>1659</v>
      </c>
      <c r="M1357" t="s">
        <v>1203</v>
      </c>
      <c r="N1357" t="s">
        <v>1132</v>
      </c>
      <c r="O1357" t="s">
        <v>1132</v>
      </c>
      <c r="P1357" t="str">
        <f>IFERROR(VLOOKUP(F1357,Sheet1!$A$2:$B$54,2,FALSE),"")</f>
        <v/>
      </c>
    </row>
    <row r="1358" spans="1:16" x14ac:dyDescent="0.2">
      <c r="A1358" s="1">
        <v>2020</v>
      </c>
      <c r="B1358" t="s">
        <v>166</v>
      </c>
      <c r="C1358" s="10" t="s">
        <v>1678</v>
      </c>
      <c r="D1358" s="10" t="s">
        <v>1679</v>
      </c>
      <c r="E1358" s="10" t="s">
        <v>1682</v>
      </c>
      <c r="F1358" t="s">
        <v>663</v>
      </c>
      <c r="G1358" s="4">
        <v>11850</v>
      </c>
      <c r="H1358" s="4"/>
      <c r="I1358" s="4"/>
      <c r="J1358" s="4">
        <f>SUM(G1358:I1358)</f>
        <v>11850</v>
      </c>
      <c r="K1358" t="s">
        <v>1659</v>
      </c>
      <c r="L1358" t="s">
        <v>1659</v>
      </c>
      <c r="M1358" t="s">
        <v>1203</v>
      </c>
      <c r="N1358" t="s">
        <v>1132</v>
      </c>
      <c r="O1358" t="s">
        <v>1132</v>
      </c>
      <c r="P1358" t="str">
        <f>IFERROR(VLOOKUP(F1358,Sheet1!$A$2:$B$54,2,FALSE),"")</f>
        <v/>
      </c>
    </row>
    <row r="1359" spans="1:16" x14ac:dyDescent="0.2">
      <c r="A1359" s="1">
        <v>2021</v>
      </c>
      <c r="B1359" t="s">
        <v>166</v>
      </c>
      <c r="C1359" s="10" t="s">
        <v>1678</v>
      </c>
      <c r="D1359" s="10" t="s">
        <v>1679</v>
      </c>
      <c r="E1359" s="10" t="s">
        <v>1682</v>
      </c>
      <c r="F1359" t="s">
        <v>663</v>
      </c>
      <c r="G1359" s="4">
        <v>14214</v>
      </c>
      <c r="H1359" s="4"/>
      <c r="I1359" s="4"/>
      <c r="J1359" s="4">
        <f>SUM(G1359:I1359)</f>
        <v>14214</v>
      </c>
      <c r="K1359" t="s">
        <v>1659</v>
      </c>
      <c r="L1359" t="s">
        <v>1659</v>
      </c>
      <c r="M1359" t="s">
        <v>663</v>
      </c>
      <c r="N1359" t="s">
        <v>1132</v>
      </c>
      <c r="O1359" t="s">
        <v>1132</v>
      </c>
      <c r="P1359" t="str">
        <f>IFERROR(VLOOKUP(F1359,Sheet1!$A$2:$B$54,2,FALSE),"")</f>
        <v/>
      </c>
    </row>
    <row r="1360" spans="1:16" x14ac:dyDescent="0.2">
      <c r="A1360" s="1">
        <v>2022</v>
      </c>
      <c r="B1360" t="s">
        <v>166</v>
      </c>
      <c r="C1360" s="10" t="s">
        <v>1678</v>
      </c>
      <c r="D1360" s="10" t="s">
        <v>1679</v>
      </c>
      <c r="E1360" s="10" t="s">
        <v>1682</v>
      </c>
      <c r="F1360" t="s">
        <v>663</v>
      </c>
      <c r="G1360" s="4">
        <v>16469</v>
      </c>
      <c r="H1360" s="4"/>
      <c r="I1360" s="4"/>
      <c r="J1360" s="4">
        <f>SUM(G1360:I1360)</f>
        <v>16469</v>
      </c>
      <c r="K1360" t="s">
        <v>1659</v>
      </c>
      <c r="L1360" t="s">
        <v>1659</v>
      </c>
      <c r="M1360" t="s">
        <v>663</v>
      </c>
      <c r="N1360" t="s">
        <v>1132</v>
      </c>
      <c r="O1360" t="s">
        <v>1132</v>
      </c>
      <c r="P1360" t="str">
        <f>IFERROR(VLOOKUP(F1360,Sheet1!$A$2:$B$54,2,FALSE),"")</f>
        <v/>
      </c>
    </row>
    <row r="1361" spans="1:16" x14ac:dyDescent="0.2">
      <c r="A1361" s="1">
        <v>2023</v>
      </c>
      <c r="B1361" t="s">
        <v>166</v>
      </c>
      <c r="C1361" s="10" t="s">
        <v>1678</v>
      </c>
      <c r="D1361" s="10" t="s">
        <v>1679</v>
      </c>
      <c r="E1361" s="10" t="s">
        <v>1682</v>
      </c>
      <c r="F1361" t="s">
        <v>663</v>
      </c>
      <c r="G1361" s="4">
        <v>17782</v>
      </c>
      <c r="H1361" s="4"/>
      <c r="I1361" s="4"/>
      <c r="J1361" s="4">
        <f>SUM(G1361:I1361)</f>
        <v>17782</v>
      </c>
      <c r="K1361" t="s">
        <v>1659</v>
      </c>
      <c r="L1361" t="s">
        <v>1659</v>
      </c>
      <c r="M1361" t="s">
        <v>663</v>
      </c>
      <c r="N1361" t="s">
        <v>1132</v>
      </c>
      <c r="O1361" t="s">
        <v>1132</v>
      </c>
      <c r="P1361" t="str">
        <f>IFERROR(VLOOKUP(F1361,Sheet1!$A$2:$B$54,2,FALSE),"")</f>
        <v/>
      </c>
    </row>
    <row r="1362" spans="1:16" x14ac:dyDescent="0.2">
      <c r="A1362" s="1">
        <v>2015</v>
      </c>
      <c r="B1362" t="s">
        <v>167</v>
      </c>
      <c r="C1362" s="10" t="s">
        <v>1678</v>
      </c>
      <c r="D1362" s="10" t="s">
        <v>1679</v>
      </c>
      <c r="E1362" s="10" t="s">
        <v>1682</v>
      </c>
      <c r="F1362" t="s">
        <v>664</v>
      </c>
      <c r="G1362" s="4">
        <v>50791</v>
      </c>
      <c r="H1362" s="4"/>
      <c r="I1362" s="4"/>
      <c r="J1362" s="4">
        <f>SUM(G1362:I1362)</f>
        <v>50791</v>
      </c>
      <c r="K1362" t="s">
        <v>1659</v>
      </c>
      <c r="L1362" t="s">
        <v>1659</v>
      </c>
      <c r="M1362" t="s">
        <v>1204</v>
      </c>
      <c r="N1362" t="s">
        <v>1132</v>
      </c>
      <c r="O1362" t="s">
        <v>1132</v>
      </c>
      <c r="P1362" t="str">
        <f>IFERROR(VLOOKUP(F1362,Sheet1!$A$2:$B$54,2,FALSE),"")</f>
        <v/>
      </c>
    </row>
    <row r="1363" spans="1:16" x14ac:dyDescent="0.2">
      <c r="A1363" s="1">
        <v>2016</v>
      </c>
      <c r="B1363" t="s">
        <v>167</v>
      </c>
      <c r="C1363" s="10" t="s">
        <v>1678</v>
      </c>
      <c r="D1363" s="10" t="s">
        <v>1679</v>
      </c>
      <c r="E1363" s="10" t="s">
        <v>1682</v>
      </c>
      <c r="F1363" t="s">
        <v>664</v>
      </c>
      <c r="G1363" s="4">
        <v>74605</v>
      </c>
      <c r="H1363" s="4"/>
      <c r="I1363" s="4"/>
      <c r="J1363" s="4">
        <f>SUM(G1363:I1363)</f>
        <v>74605</v>
      </c>
      <c r="K1363" t="s">
        <v>1659</v>
      </c>
      <c r="L1363" t="s">
        <v>1659</v>
      </c>
      <c r="M1363" t="s">
        <v>1204</v>
      </c>
      <c r="N1363" t="s">
        <v>1132</v>
      </c>
      <c r="O1363" t="s">
        <v>1132</v>
      </c>
      <c r="P1363" t="str">
        <f>IFERROR(VLOOKUP(F1363,Sheet1!$A$2:$B$54,2,FALSE),"")</f>
        <v/>
      </c>
    </row>
    <row r="1364" spans="1:16" x14ac:dyDescent="0.2">
      <c r="A1364" s="1">
        <v>2017</v>
      </c>
      <c r="B1364" t="s">
        <v>167</v>
      </c>
      <c r="C1364" s="10" t="s">
        <v>1678</v>
      </c>
      <c r="D1364" s="10" t="s">
        <v>1679</v>
      </c>
      <c r="E1364" s="10" t="s">
        <v>1682</v>
      </c>
      <c r="F1364" t="s">
        <v>664</v>
      </c>
      <c r="G1364" s="4">
        <v>103033</v>
      </c>
      <c r="H1364" s="4"/>
      <c r="I1364" s="4"/>
      <c r="J1364" s="4">
        <f>SUM(G1364:I1364)</f>
        <v>103033</v>
      </c>
      <c r="K1364" t="s">
        <v>1659</v>
      </c>
      <c r="L1364" t="s">
        <v>1659</v>
      </c>
      <c r="M1364" t="s">
        <v>1204</v>
      </c>
      <c r="N1364" t="s">
        <v>1132</v>
      </c>
      <c r="O1364" t="s">
        <v>1132</v>
      </c>
      <c r="P1364" t="str">
        <f>IFERROR(VLOOKUP(F1364,Sheet1!$A$2:$B$54,2,FALSE),"")</f>
        <v/>
      </c>
    </row>
    <row r="1365" spans="1:16" x14ac:dyDescent="0.2">
      <c r="A1365" s="1">
        <v>2018</v>
      </c>
      <c r="B1365" t="s">
        <v>167</v>
      </c>
      <c r="C1365" s="10" t="s">
        <v>1678</v>
      </c>
      <c r="D1365" s="10" t="s">
        <v>1679</v>
      </c>
      <c r="E1365" s="10" t="s">
        <v>1682</v>
      </c>
      <c r="F1365" t="s">
        <v>664</v>
      </c>
      <c r="G1365" s="4">
        <v>152669</v>
      </c>
      <c r="H1365" s="4"/>
      <c r="I1365" s="4"/>
      <c r="J1365" s="4">
        <f>SUM(G1365:I1365)</f>
        <v>152669</v>
      </c>
      <c r="K1365" t="s">
        <v>1659</v>
      </c>
      <c r="L1365" t="s">
        <v>1659</v>
      </c>
      <c r="M1365" t="s">
        <v>1204</v>
      </c>
      <c r="N1365" t="s">
        <v>1132</v>
      </c>
      <c r="O1365" t="s">
        <v>1132</v>
      </c>
      <c r="P1365" t="str">
        <f>IFERROR(VLOOKUP(F1365,Sheet1!$A$2:$B$54,2,FALSE),"")</f>
        <v/>
      </c>
    </row>
    <row r="1366" spans="1:16" x14ac:dyDescent="0.2">
      <c r="A1366" s="1">
        <v>2019</v>
      </c>
      <c r="B1366" t="s">
        <v>167</v>
      </c>
      <c r="C1366" s="10" t="s">
        <v>1678</v>
      </c>
      <c r="D1366" s="10" t="s">
        <v>1679</v>
      </c>
      <c r="E1366" s="10" t="s">
        <v>1682</v>
      </c>
      <c r="F1366" t="s">
        <v>664</v>
      </c>
      <c r="G1366" s="4">
        <v>139467</v>
      </c>
      <c r="H1366" s="4"/>
      <c r="I1366" s="4"/>
      <c r="J1366" s="4">
        <f>SUM(G1366:I1366)</f>
        <v>139467</v>
      </c>
      <c r="K1366" t="s">
        <v>1659</v>
      </c>
      <c r="L1366" t="s">
        <v>1659</v>
      </c>
      <c r="M1366" t="s">
        <v>1204</v>
      </c>
      <c r="N1366" t="s">
        <v>1132</v>
      </c>
      <c r="O1366" t="s">
        <v>1132</v>
      </c>
      <c r="P1366" t="str">
        <f>IFERROR(VLOOKUP(F1366,Sheet1!$A$2:$B$54,2,FALSE),"")</f>
        <v/>
      </c>
    </row>
    <row r="1367" spans="1:16" x14ac:dyDescent="0.2">
      <c r="A1367" s="1">
        <v>2020</v>
      </c>
      <c r="B1367" t="s">
        <v>167</v>
      </c>
      <c r="C1367" s="10" t="s">
        <v>1678</v>
      </c>
      <c r="D1367" s="10" t="s">
        <v>1679</v>
      </c>
      <c r="E1367" s="10" t="s">
        <v>1682</v>
      </c>
      <c r="F1367" t="s">
        <v>664</v>
      </c>
      <c r="G1367" s="4">
        <v>170621</v>
      </c>
      <c r="H1367" s="4"/>
      <c r="I1367" s="4"/>
      <c r="J1367" s="4">
        <f>SUM(G1367:I1367)</f>
        <v>170621</v>
      </c>
      <c r="K1367" t="s">
        <v>1659</v>
      </c>
      <c r="L1367" t="s">
        <v>1659</v>
      </c>
      <c r="M1367" t="s">
        <v>1204</v>
      </c>
      <c r="N1367" t="s">
        <v>1132</v>
      </c>
      <c r="O1367" t="s">
        <v>1132</v>
      </c>
      <c r="P1367" t="str">
        <f>IFERROR(VLOOKUP(F1367,Sheet1!$A$2:$B$54,2,FALSE),"")</f>
        <v/>
      </c>
    </row>
    <row r="1368" spans="1:16" x14ac:dyDescent="0.2">
      <c r="A1368" s="1">
        <v>2021</v>
      </c>
      <c r="B1368" t="s">
        <v>167</v>
      </c>
      <c r="C1368" s="10" t="s">
        <v>1678</v>
      </c>
      <c r="D1368" s="10" t="s">
        <v>1679</v>
      </c>
      <c r="E1368" s="10" t="s">
        <v>1682</v>
      </c>
      <c r="F1368" t="s">
        <v>664</v>
      </c>
      <c r="G1368" s="4">
        <v>192756</v>
      </c>
      <c r="H1368" s="4"/>
      <c r="I1368" s="4"/>
      <c r="J1368" s="4">
        <f>SUM(G1368:I1368)</f>
        <v>192756</v>
      </c>
      <c r="K1368" t="s">
        <v>1659</v>
      </c>
      <c r="L1368" t="s">
        <v>1659</v>
      </c>
      <c r="M1368" t="s">
        <v>664</v>
      </c>
      <c r="N1368" t="s">
        <v>1132</v>
      </c>
      <c r="O1368" t="s">
        <v>1132</v>
      </c>
      <c r="P1368" t="str">
        <f>IFERROR(VLOOKUP(F1368,Sheet1!$A$2:$B$54,2,FALSE),"")</f>
        <v/>
      </c>
    </row>
    <row r="1369" spans="1:16" x14ac:dyDescent="0.2">
      <c r="A1369" s="1">
        <v>2022</v>
      </c>
      <c r="B1369" t="s">
        <v>167</v>
      </c>
      <c r="C1369" s="10" t="s">
        <v>1678</v>
      </c>
      <c r="D1369" s="10" t="s">
        <v>1679</v>
      </c>
      <c r="E1369" s="10" t="s">
        <v>1682</v>
      </c>
      <c r="F1369" t="s">
        <v>664</v>
      </c>
      <c r="G1369" s="4">
        <v>242198</v>
      </c>
      <c r="H1369" s="4"/>
      <c r="I1369" s="4"/>
      <c r="J1369" s="4">
        <f>SUM(G1369:I1369)</f>
        <v>242198</v>
      </c>
      <c r="K1369" t="s">
        <v>1659</v>
      </c>
      <c r="L1369" t="s">
        <v>1659</v>
      </c>
      <c r="M1369" t="s">
        <v>664</v>
      </c>
      <c r="N1369" t="s">
        <v>1132</v>
      </c>
      <c r="O1369" t="s">
        <v>1132</v>
      </c>
      <c r="P1369" t="str">
        <f>IFERROR(VLOOKUP(F1369,Sheet1!$A$2:$B$54,2,FALSE),"")</f>
        <v/>
      </c>
    </row>
    <row r="1370" spans="1:16" x14ac:dyDescent="0.2">
      <c r="A1370" s="1">
        <v>2023</v>
      </c>
      <c r="B1370" t="s">
        <v>167</v>
      </c>
      <c r="C1370" s="10" t="s">
        <v>1678</v>
      </c>
      <c r="D1370" s="10" t="s">
        <v>1679</v>
      </c>
      <c r="E1370" s="10" t="s">
        <v>1682</v>
      </c>
      <c r="F1370" t="s">
        <v>664</v>
      </c>
      <c r="G1370" s="4">
        <v>274522</v>
      </c>
      <c r="H1370" s="4"/>
      <c r="I1370" s="4"/>
      <c r="J1370" s="4">
        <f>SUM(G1370:I1370)</f>
        <v>274522</v>
      </c>
      <c r="K1370" t="s">
        <v>1659</v>
      </c>
      <c r="L1370" t="s">
        <v>1659</v>
      </c>
      <c r="M1370" t="s">
        <v>664</v>
      </c>
      <c r="N1370" t="s">
        <v>1132</v>
      </c>
      <c r="O1370" t="s">
        <v>1132</v>
      </c>
      <c r="P1370" t="str">
        <f>IFERROR(VLOOKUP(F1370,Sheet1!$A$2:$B$54,2,FALSE),"")</f>
        <v/>
      </c>
    </row>
    <row r="1371" spans="1:16" x14ac:dyDescent="0.2">
      <c r="A1371" s="1">
        <v>2015</v>
      </c>
      <c r="B1371" t="s">
        <v>168</v>
      </c>
      <c r="C1371" s="10" t="s">
        <v>1678</v>
      </c>
      <c r="D1371" s="10" t="s">
        <v>1679</v>
      </c>
      <c r="E1371" s="10" t="s">
        <v>1682</v>
      </c>
      <c r="F1371" t="s">
        <v>665</v>
      </c>
      <c r="G1371" s="4">
        <v>6623</v>
      </c>
      <c r="H1371" s="4"/>
      <c r="I1371" s="4"/>
      <c r="J1371" s="4">
        <f>SUM(G1371:I1371)</f>
        <v>6623</v>
      </c>
      <c r="K1371" t="s">
        <v>1659</v>
      </c>
      <c r="L1371" t="s">
        <v>1659</v>
      </c>
      <c r="M1371" t="s">
        <v>1205</v>
      </c>
      <c r="N1371" t="s">
        <v>1132</v>
      </c>
      <c r="O1371" t="s">
        <v>1132</v>
      </c>
      <c r="P1371" t="str">
        <f>IFERROR(VLOOKUP(F1371,Sheet1!$A$2:$B$54,2,FALSE),"")</f>
        <v/>
      </c>
    </row>
    <row r="1372" spans="1:16" x14ac:dyDescent="0.2">
      <c r="A1372" s="1">
        <v>2016</v>
      </c>
      <c r="B1372" t="s">
        <v>168</v>
      </c>
      <c r="C1372" s="10" t="s">
        <v>1678</v>
      </c>
      <c r="D1372" s="10" t="s">
        <v>1679</v>
      </c>
      <c r="E1372" s="10" t="s">
        <v>1682</v>
      </c>
      <c r="F1372" t="s">
        <v>665</v>
      </c>
      <c r="G1372" s="4">
        <v>8262</v>
      </c>
      <c r="H1372" s="4"/>
      <c r="I1372" s="4"/>
      <c r="J1372" s="4">
        <f>SUM(G1372:I1372)</f>
        <v>8262</v>
      </c>
      <c r="K1372" t="s">
        <v>1659</v>
      </c>
      <c r="L1372" t="s">
        <v>1659</v>
      </c>
      <c r="M1372" t="s">
        <v>1205</v>
      </c>
      <c r="N1372" t="s">
        <v>1132</v>
      </c>
      <c r="O1372" t="s">
        <v>1132</v>
      </c>
      <c r="P1372" t="str">
        <f>IFERROR(VLOOKUP(F1372,Sheet1!$A$2:$B$54,2,FALSE),"")</f>
        <v/>
      </c>
    </row>
    <row r="1373" spans="1:16" x14ac:dyDescent="0.2">
      <c r="A1373" s="1">
        <v>2017</v>
      </c>
      <c r="B1373" t="s">
        <v>168</v>
      </c>
      <c r="C1373" s="10" t="s">
        <v>1678</v>
      </c>
      <c r="D1373" s="10" t="s">
        <v>1679</v>
      </c>
      <c r="E1373" s="10" t="s">
        <v>1682</v>
      </c>
      <c r="F1373" t="s">
        <v>665</v>
      </c>
      <c r="G1373" s="4">
        <v>8767</v>
      </c>
      <c r="H1373" s="4"/>
      <c r="I1373" s="4"/>
      <c r="J1373" s="4">
        <f>SUM(G1373:I1373)</f>
        <v>8767</v>
      </c>
      <c r="K1373" t="s">
        <v>1659</v>
      </c>
      <c r="L1373" t="s">
        <v>1659</v>
      </c>
      <c r="M1373" t="s">
        <v>1205</v>
      </c>
      <c r="N1373" t="s">
        <v>1132</v>
      </c>
      <c r="O1373" t="s">
        <v>1132</v>
      </c>
      <c r="P1373" t="str">
        <f>IFERROR(VLOOKUP(F1373,Sheet1!$A$2:$B$54,2,FALSE),"")</f>
        <v/>
      </c>
    </row>
    <row r="1374" spans="1:16" x14ac:dyDescent="0.2">
      <c r="A1374" s="1">
        <v>2018</v>
      </c>
      <c r="B1374" t="s">
        <v>168</v>
      </c>
      <c r="C1374" s="10" t="s">
        <v>1678</v>
      </c>
      <c r="D1374" s="10" t="s">
        <v>1679</v>
      </c>
      <c r="E1374" s="10" t="s">
        <v>1682</v>
      </c>
      <c r="F1374" t="s">
        <v>665</v>
      </c>
      <c r="G1374" s="4">
        <v>19932</v>
      </c>
      <c r="H1374" s="4"/>
      <c r="I1374" s="4"/>
      <c r="J1374" s="4">
        <f>SUM(G1374:I1374)</f>
        <v>19932</v>
      </c>
      <c r="K1374" t="s">
        <v>1659</v>
      </c>
      <c r="L1374" t="s">
        <v>1659</v>
      </c>
      <c r="M1374" t="s">
        <v>1205</v>
      </c>
      <c r="N1374" t="s">
        <v>1132</v>
      </c>
      <c r="O1374" t="s">
        <v>1132</v>
      </c>
      <c r="P1374" t="str">
        <f>IFERROR(VLOOKUP(F1374,Sheet1!$A$2:$B$54,2,FALSE),"")</f>
        <v/>
      </c>
    </row>
    <row r="1375" spans="1:16" x14ac:dyDescent="0.2">
      <c r="A1375" s="1">
        <v>2019</v>
      </c>
      <c r="B1375" t="s">
        <v>168</v>
      </c>
      <c r="C1375" s="10" t="s">
        <v>1678</v>
      </c>
      <c r="D1375" s="10" t="s">
        <v>1679</v>
      </c>
      <c r="E1375" s="10" t="s">
        <v>1682</v>
      </c>
      <c r="F1375" t="s">
        <v>665</v>
      </c>
      <c r="G1375" s="4">
        <v>25368</v>
      </c>
      <c r="H1375" s="4"/>
      <c r="I1375" s="4"/>
      <c r="J1375" s="4">
        <f>SUM(G1375:I1375)</f>
        <v>25368</v>
      </c>
      <c r="K1375" t="s">
        <v>1659</v>
      </c>
      <c r="L1375" t="s">
        <v>1659</v>
      </c>
      <c r="M1375" t="s">
        <v>1205</v>
      </c>
      <c r="N1375" t="s">
        <v>1132</v>
      </c>
      <c r="O1375" t="s">
        <v>1132</v>
      </c>
      <c r="P1375" t="str">
        <f>IFERROR(VLOOKUP(F1375,Sheet1!$A$2:$B$54,2,FALSE),"")</f>
        <v/>
      </c>
    </row>
    <row r="1376" spans="1:16" x14ac:dyDescent="0.2">
      <c r="A1376" s="1">
        <v>2020</v>
      </c>
      <c r="B1376" t="s">
        <v>168</v>
      </c>
      <c r="C1376" s="10" t="s">
        <v>1678</v>
      </c>
      <c r="D1376" s="10" t="s">
        <v>1679</v>
      </c>
      <c r="E1376" s="10" t="s">
        <v>1682</v>
      </c>
      <c r="F1376" t="s">
        <v>665</v>
      </c>
      <c r="G1376" s="4">
        <v>25654</v>
      </c>
      <c r="H1376" s="4"/>
      <c r="I1376" s="4"/>
      <c r="J1376" s="4">
        <f>SUM(G1376:I1376)</f>
        <v>25654</v>
      </c>
      <c r="K1376" t="s">
        <v>1659</v>
      </c>
      <c r="L1376" t="s">
        <v>1659</v>
      </c>
      <c r="M1376" t="s">
        <v>1205</v>
      </c>
      <c r="N1376" t="s">
        <v>1132</v>
      </c>
      <c r="O1376" t="s">
        <v>1132</v>
      </c>
      <c r="P1376" t="str">
        <f>IFERROR(VLOOKUP(F1376,Sheet1!$A$2:$B$54,2,FALSE),"")</f>
        <v/>
      </c>
    </row>
    <row r="1377" spans="1:16" x14ac:dyDescent="0.2">
      <c r="A1377" s="1">
        <v>2021</v>
      </c>
      <c r="B1377" t="s">
        <v>168</v>
      </c>
      <c r="C1377" s="10" t="s">
        <v>1678</v>
      </c>
      <c r="D1377" s="10" t="s">
        <v>1679</v>
      </c>
      <c r="E1377" s="10" t="s">
        <v>1682</v>
      </c>
      <c r="F1377" t="s">
        <v>665</v>
      </c>
      <c r="G1377" s="4">
        <v>31037</v>
      </c>
      <c r="H1377" s="4"/>
      <c r="I1377" s="4"/>
      <c r="J1377" s="4">
        <f>SUM(G1377:I1377)</f>
        <v>31037</v>
      </c>
      <c r="K1377" t="s">
        <v>1659</v>
      </c>
      <c r="L1377" t="s">
        <v>1659</v>
      </c>
      <c r="M1377" t="s">
        <v>665</v>
      </c>
      <c r="N1377" t="s">
        <v>1132</v>
      </c>
      <c r="O1377" t="s">
        <v>1132</v>
      </c>
      <c r="P1377" t="str">
        <f>IFERROR(VLOOKUP(F1377,Sheet1!$A$2:$B$54,2,FALSE),"")</f>
        <v/>
      </c>
    </row>
    <row r="1378" spans="1:16" x14ac:dyDescent="0.2">
      <c r="A1378" s="1">
        <v>2022</v>
      </c>
      <c r="B1378" t="s">
        <v>168</v>
      </c>
      <c r="C1378" s="10" t="s">
        <v>1678</v>
      </c>
      <c r="D1378" s="10" t="s">
        <v>1679</v>
      </c>
      <c r="E1378" s="10" t="s">
        <v>1682</v>
      </c>
      <c r="F1378" t="s">
        <v>665</v>
      </c>
      <c r="G1378" s="4">
        <v>37200</v>
      </c>
      <c r="H1378" s="4"/>
      <c r="I1378" s="4"/>
      <c r="J1378" s="4">
        <f>SUM(G1378:I1378)</f>
        <v>37200</v>
      </c>
      <c r="K1378" t="s">
        <v>1659</v>
      </c>
      <c r="L1378" t="s">
        <v>1659</v>
      </c>
      <c r="M1378" t="s">
        <v>665</v>
      </c>
      <c r="N1378" t="s">
        <v>1132</v>
      </c>
      <c r="O1378" t="s">
        <v>1132</v>
      </c>
      <c r="P1378" t="str">
        <f>IFERROR(VLOOKUP(F1378,Sheet1!$A$2:$B$54,2,FALSE),"")</f>
        <v/>
      </c>
    </row>
    <row r="1379" spans="1:16" x14ac:dyDescent="0.2">
      <c r="A1379" s="1">
        <v>2023</v>
      </c>
      <c r="B1379" t="s">
        <v>168</v>
      </c>
      <c r="C1379" s="10" t="s">
        <v>1678</v>
      </c>
      <c r="D1379" s="10" t="s">
        <v>1679</v>
      </c>
      <c r="E1379" s="10" t="s">
        <v>1682</v>
      </c>
      <c r="F1379" t="s">
        <v>665</v>
      </c>
      <c r="G1379" s="4">
        <v>54014</v>
      </c>
      <c r="H1379" s="4"/>
      <c r="I1379" s="4"/>
      <c r="J1379" s="4">
        <f>SUM(G1379:I1379)</f>
        <v>54014</v>
      </c>
      <c r="K1379" t="s">
        <v>1659</v>
      </c>
      <c r="L1379" t="s">
        <v>1659</v>
      </c>
      <c r="M1379" t="s">
        <v>665</v>
      </c>
      <c r="N1379" t="s">
        <v>1132</v>
      </c>
      <c r="O1379" t="s">
        <v>1132</v>
      </c>
      <c r="P1379" t="str">
        <f>IFERROR(VLOOKUP(F1379,Sheet1!$A$2:$B$54,2,FALSE),"")</f>
        <v/>
      </c>
    </row>
    <row r="1380" spans="1:16" x14ac:dyDescent="0.2">
      <c r="A1380" s="1">
        <v>2019</v>
      </c>
      <c r="B1380" t="s">
        <v>169</v>
      </c>
      <c r="C1380" s="10" t="s">
        <v>1678</v>
      </c>
      <c r="D1380" s="10" t="s">
        <v>1679</v>
      </c>
      <c r="E1380" s="10" t="s">
        <v>1682</v>
      </c>
      <c r="F1380" t="s">
        <v>666</v>
      </c>
      <c r="G1380" s="4">
        <v>215314</v>
      </c>
      <c r="H1380" s="4"/>
      <c r="I1380" s="4"/>
      <c r="J1380" s="4">
        <f>SUM(G1380:I1380)</f>
        <v>215314</v>
      </c>
      <c r="K1380" t="s">
        <v>1659</v>
      </c>
      <c r="L1380" t="s">
        <v>1659</v>
      </c>
      <c r="M1380" t="s">
        <v>1206</v>
      </c>
      <c r="N1380" t="s">
        <v>1132</v>
      </c>
      <c r="O1380" t="s">
        <v>1132</v>
      </c>
      <c r="P1380" t="str">
        <f>IFERROR(VLOOKUP(F1380,Sheet1!$A$2:$B$54,2,FALSE),"")</f>
        <v/>
      </c>
    </row>
    <row r="1381" spans="1:16" x14ac:dyDescent="0.2">
      <c r="A1381" s="1">
        <v>2020</v>
      </c>
      <c r="B1381" t="s">
        <v>169</v>
      </c>
      <c r="C1381" s="10" t="s">
        <v>1678</v>
      </c>
      <c r="D1381" s="10" t="s">
        <v>1679</v>
      </c>
      <c r="E1381" s="10" t="s">
        <v>1682</v>
      </c>
      <c r="F1381" t="s">
        <v>666</v>
      </c>
      <c r="G1381" s="4">
        <v>273417</v>
      </c>
      <c r="H1381" s="4"/>
      <c r="I1381" s="4"/>
      <c r="J1381" s="4">
        <f>SUM(G1381:I1381)</f>
        <v>273417</v>
      </c>
      <c r="K1381" t="s">
        <v>1659</v>
      </c>
      <c r="L1381" t="s">
        <v>1659</v>
      </c>
      <c r="M1381" t="s">
        <v>1206</v>
      </c>
      <c r="N1381" t="s">
        <v>1132</v>
      </c>
      <c r="O1381" t="s">
        <v>1132</v>
      </c>
      <c r="P1381" t="str">
        <f>IFERROR(VLOOKUP(F1381,Sheet1!$A$2:$B$54,2,FALSE),"")</f>
        <v/>
      </c>
    </row>
    <row r="1382" spans="1:16" x14ac:dyDescent="0.2">
      <c r="A1382" s="1">
        <v>2021</v>
      </c>
      <c r="B1382" t="s">
        <v>169</v>
      </c>
      <c r="C1382" s="10" t="s">
        <v>1678</v>
      </c>
      <c r="D1382" s="10" t="s">
        <v>1679</v>
      </c>
      <c r="E1382" s="10" t="s">
        <v>1682</v>
      </c>
      <c r="F1382" t="s">
        <v>666</v>
      </c>
      <c r="G1382" s="4">
        <v>316427</v>
      </c>
      <c r="H1382" s="4"/>
      <c r="I1382" s="4"/>
      <c r="J1382" s="4">
        <f>SUM(G1382:I1382)</f>
        <v>316427</v>
      </c>
      <c r="K1382" t="s">
        <v>1659</v>
      </c>
      <c r="L1382" t="s">
        <v>1659</v>
      </c>
      <c r="M1382" t="s">
        <v>666</v>
      </c>
      <c r="N1382" t="s">
        <v>1132</v>
      </c>
      <c r="O1382" t="s">
        <v>1132</v>
      </c>
      <c r="P1382" t="str">
        <f>IFERROR(VLOOKUP(F1382,Sheet1!$A$2:$B$54,2,FALSE),"")</f>
        <v/>
      </c>
    </row>
    <row r="1383" spans="1:16" x14ac:dyDescent="0.2">
      <c r="A1383" s="1">
        <v>2022</v>
      </c>
      <c r="B1383" t="s">
        <v>169</v>
      </c>
      <c r="C1383" s="10" t="s">
        <v>1678</v>
      </c>
      <c r="D1383" s="10" t="s">
        <v>1679</v>
      </c>
      <c r="E1383" s="10" t="s">
        <v>1682</v>
      </c>
      <c r="F1383" t="s">
        <v>666</v>
      </c>
      <c r="G1383" s="4">
        <v>363992</v>
      </c>
      <c r="H1383" s="4"/>
      <c r="I1383" s="4"/>
      <c r="J1383" s="4">
        <f>SUM(G1383:I1383)</f>
        <v>363992</v>
      </c>
      <c r="K1383" t="s">
        <v>1659</v>
      </c>
      <c r="L1383" t="s">
        <v>1659</v>
      </c>
      <c r="M1383" t="s">
        <v>666</v>
      </c>
      <c r="N1383" t="s">
        <v>1132</v>
      </c>
      <c r="O1383" t="s">
        <v>1132</v>
      </c>
      <c r="P1383" t="str">
        <f>IFERROR(VLOOKUP(F1383,Sheet1!$A$2:$B$54,2,FALSE),"")</f>
        <v/>
      </c>
    </row>
    <row r="1384" spans="1:16" x14ac:dyDescent="0.2">
      <c r="A1384" s="1">
        <v>2023</v>
      </c>
      <c r="B1384" t="s">
        <v>169</v>
      </c>
      <c r="C1384" s="10" t="s">
        <v>1678</v>
      </c>
      <c r="D1384" s="10" t="s">
        <v>1679</v>
      </c>
      <c r="E1384" s="10" t="s">
        <v>1682</v>
      </c>
      <c r="F1384" t="s">
        <v>666</v>
      </c>
      <c r="G1384" s="4">
        <v>440129</v>
      </c>
      <c r="H1384" s="4"/>
      <c r="I1384" s="4"/>
      <c r="J1384" s="4">
        <f>SUM(G1384:I1384)</f>
        <v>440129</v>
      </c>
      <c r="K1384" t="s">
        <v>1659</v>
      </c>
      <c r="L1384" t="s">
        <v>1659</v>
      </c>
      <c r="M1384" t="s">
        <v>666</v>
      </c>
      <c r="N1384" t="s">
        <v>1132</v>
      </c>
      <c r="O1384" t="s">
        <v>1132</v>
      </c>
      <c r="P1384" t="str">
        <f>IFERROR(VLOOKUP(F1384,Sheet1!$A$2:$B$54,2,FALSE),"")</f>
        <v/>
      </c>
    </row>
    <row r="1385" spans="1:16" x14ac:dyDescent="0.2">
      <c r="A1385" s="1">
        <v>2015</v>
      </c>
      <c r="B1385" t="s">
        <v>170</v>
      </c>
      <c r="C1385" s="10" t="s">
        <v>1678</v>
      </c>
      <c r="D1385" s="10" t="s">
        <v>1679</v>
      </c>
      <c r="E1385" s="10" t="s">
        <v>1682</v>
      </c>
      <c r="F1385" t="s">
        <v>667</v>
      </c>
      <c r="G1385" s="4">
        <v>806</v>
      </c>
      <c r="H1385" s="4"/>
      <c r="I1385" s="4"/>
      <c r="J1385" s="4">
        <f>SUM(G1385:I1385)</f>
        <v>806</v>
      </c>
      <c r="K1385" t="s">
        <v>1659</v>
      </c>
      <c r="L1385" t="s">
        <v>1659</v>
      </c>
      <c r="M1385" t="s">
        <v>1207</v>
      </c>
      <c r="N1385" t="s">
        <v>1132</v>
      </c>
      <c r="O1385" t="s">
        <v>1132</v>
      </c>
      <c r="P1385" t="str">
        <f>IFERROR(VLOOKUP(F1385,Sheet1!$A$2:$B$54,2,FALSE),"")</f>
        <v/>
      </c>
    </row>
    <row r="1386" spans="1:16" x14ac:dyDescent="0.2">
      <c r="A1386" s="1">
        <v>2016</v>
      </c>
      <c r="B1386" t="s">
        <v>170</v>
      </c>
      <c r="C1386" s="10" t="s">
        <v>1678</v>
      </c>
      <c r="D1386" s="10" t="s">
        <v>1679</v>
      </c>
      <c r="E1386" s="10" t="s">
        <v>1682</v>
      </c>
      <c r="F1386" t="s">
        <v>667</v>
      </c>
      <c r="G1386" s="4">
        <v>0</v>
      </c>
      <c r="H1386" s="4"/>
      <c r="I1386" s="4"/>
      <c r="J1386" s="4">
        <f>SUM(G1386:I1386)</f>
        <v>0</v>
      </c>
      <c r="K1386" t="s">
        <v>1659</v>
      </c>
      <c r="L1386" t="s">
        <v>1659</v>
      </c>
      <c r="M1386" t="s">
        <v>1207</v>
      </c>
      <c r="N1386" t="s">
        <v>1132</v>
      </c>
      <c r="O1386" t="s">
        <v>1132</v>
      </c>
      <c r="P1386" t="str">
        <f>IFERROR(VLOOKUP(F1386,Sheet1!$A$2:$B$54,2,FALSE),"")</f>
        <v/>
      </c>
    </row>
    <row r="1387" spans="1:16" x14ac:dyDescent="0.2">
      <c r="A1387" s="1">
        <v>2017</v>
      </c>
      <c r="B1387" t="s">
        <v>170</v>
      </c>
      <c r="C1387" s="10" t="s">
        <v>1678</v>
      </c>
      <c r="D1387" s="10" t="s">
        <v>1679</v>
      </c>
      <c r="E1387" s="10" t="s">
        <v>1682</v>
      </c>
      <c r="F1387" t="s">
        <v>667</v>
      </c>
      <c r="G1387" s="4">
        <v>0</v>
      </c>
      <c r="H1387" s="4"/>
      <c r="I1387" s="4"/>
      <c r="J1387" s="4">
        <f>SUM(G1387:I1387)</f>
        <v>0</v>
      </c>
      <c r="K1387" t="s">
        <v>1659</v>
      </c>
      <c r="L1387" t="s">
        <v>1659</v>
      </c>
      <c r="M1387" t="s">
        <v>1208</v>
      </c>
      <c r="N1387" t="s">
        <v>1132</v>
      </c>
      <c r="O1387" t="s">
        <v>1132</v>
      </c>
      <c r="P1387" t="str">
        <f>IFERROR(VLOOKUP(F1387,Sheet1!$A$2:$B$54,2,FALSE),"")</f>
        <v/>
      </c>
    </row>
    <row r="1388" spans="1:16" x14ac:dyDescent="0.2">
      <c r="A1388" s="1">
        <v>2018</v>
      </c>
      <c r="B1388" t="s">
        <v>170</v>
      </c>
      <c r="C1388" s="10" t="s">
        <v>1678</v>
      </c>
      <c r="D1388" s="10" t="s">
        <v>1679</v>
      </c>
      <c r="E1388" s="10" t="s">
        <v>1682</v>
      </c>
      <c r="F1388" t="s">
        <v>667</v>
      </c>
      <c r="G1388" s="4">
        <v>0</v>
      </c>
      <c r="H1388" s="4"/>
      <c r="I1388" s="4"/>
      <c r="J1388" s="4">
        <f>SUM(G1388:I1388)</f>
        <v>0</v>
      </c>
      <c r="K1388" t="s">
        <v>1659</v>
      </c>
      <c r="L1388" t="s">
        <v>1659</v>
      </c>
      <c r="M1388" t="s">
        <v>1207</v>
      </c>
      <c r="N1388" t="s">
        <v>1132</v>
      </c>
      <c r="O1388" t="s">
        <v>1132</v>
      </c>
      <c r="P1388" t="str">
        <f>IFERROR(VLOOKUP(F1388,Sheet1!$A$2:$B$54,2,FALSE),"")</f>
        <v/>
      </c>
    </row>
    <row r="1389" spans="1:16" x14ac:dyDescent="0.2">
      <c r="A1389" s="1">
        <v>2019</v>
      </c>
      <c r="B1389" t="s">
        <v>170</v>
      </c>
      <c r="C1389" s="10" t="s">
        <v>1678</v>
      </c>
      <c r="D1389" s="10" t="s">
        <v>1679</v>
      </c>
      <c r="E1389" s="10" t="s">
        <v>1682</v>
      </c>
      <c r="F1389" t="s">
        <v>667</v>
      </c>
      <c r="G1389" s="4">
        <v>0</v>
      </c>
      <c r="H1389" s="4"/>
      <c r="I1389" s="4"/>
      <c r="J1389" s="4">
        <f>SUM(G1389:I1389)</f>
        <v>0</v>
      </c>
      <c r="K1389" t="s">
        <v>1659</v>
      </c>
      <c r="L1389" t="s">
        <v>1659</v>
      </c>
      <c r="M1389" t="s">
        <v>1207</v>
      </c>
      <c r="N1389" t="s">
        <v>1132</v>
      </c>
      <c r="O1389" t="s">
        <v>1132</v>
      </c>
      <c r="P1389" t="str">
        <f>IFERROR(VLOOKUP(F1389,Sheet1!$A$2:$B$54,2,FALSE),"")</f>
        <v/>
      </c>
    </row>
    <row r="1390" spans="1:16" x14ac:dyDescent="0.2">
      <c r="A1390" s="1">
        <v>2020</v>
      </c>
      <c r="B1390" t="s">
        <v>170</v>
      </c>
      <c r="C1390" s="10" t="s">
        <v>1678</v>
      </c>
      <c r="D1390" s="10" t="s">
        <v>1679</v>
      </c>
      <c r="E1390" s="10" t="s">
        <v>1682</v>
      </c>
      <c r="F1390" t="s">
        <v>667</v>
      </c>
      <c r="G1390" s="4">
        <v>0</v>
      </c>
      <c r="H1390" s="4"/>
      <c r="I1390" s="4"/>
      <c r="J1390" s="4">
        <f>SUM(G1390:I1390)</f>
        <v>0</v>
      </c>
      <c r="K1390" t="s">
        <v>1659</v>
      </c>
      <c r="L1390" t="s">
        <v>1659</v>
      </c>
      <c r="M1390" t="s">
        <v>1207</v>
      </c>
      <c r="N1390" t="s">
        <v>1132</v>
      </c>
      <c r="O1390" t="s">
        <v>1132</v>
      </c>
      <c r="P1390" t="str">
        <f>IFERROR(VLOOKUP(F1390,Sheet1!$A$2:$B$54,2,FALSE),"")</f>
        <v/>
      </c>
    </row>
    <row r="1391" spans="1:16" x14ac:dyDescent="0.2">
      <c r="A1391" s="1">
        <v>2021</v>
      </c>
      <c r="B1391" t="s">
        <v>170</v>
      </c>
      <c r="C1391" s="10" t="s">
        <v>1678</v>
      </c>
      <c r="D1391" s="10" t="s">
        <v>1679</v>
      </c>
      <c r="E1391" s="10" t="s">
        <v>1682</v>
      </c>
      <c r="F1391" t="s">
        <v>667</v>
      </c>
      <c r="G1391" s="4">
        <v>0</v>
      </c>
      <c r="H1391" s="4"/>
      <c r="I1391" s="4"/>
      <c r="J1391" s="4">
        <f>SUM(G1391:I1391)</f>
        <v>0</v>
      </c>
      <c r="K1391" t="s">
        <v>1659</v>
      </c>
      <c r="L1391" t="s">
        <v>1659</v>
      </c>
      <c r="M1391" t="s">
        <v>1209</v>
      </c>
      <c r="N1391" t="s">
        <v>1132</v>
      </c>
      <c r="O1391" t="s">
        <v>1132</v>
      </c>
      <c r="P1391" t="str">
        <f>IFERROR(VLOOKUP(F1391,Sheet1!$A$2:$B$54,2,FALSE),"")</f>
        <v/>
      </c>
    </row>
    <row r="1392" spans="1:16" x14ac:dyDescent="0.2">
      <c r="A1392" s="1">
        <v>2022</v>
      </c>
      <c r="B1392" t="s">
        <v>170</v>
      </c>
      <c r="C1392" s="10" t="s">
        <v>1678</v>
      </c>
      <c r="D1392" s="10" t="s">
        <v>1679</v>
      </c>
      <c r="E1392" s="10" t="s">
        <v>1682</v>
      </c>
      <c r="F1392" t="s">
        <v>667</v>
      </c>
      <c r="G1392" s="4">
        <v>1145</v>
      </c>
      <c r="H1392" s="4"/>
      <c r="I1392" s="4"/>
      <c r="J1392" s="4">
        <f>SUM(G1392:I1392)</f>
        <v>1145</v>
      </c>
      <c r="K1392" t="s">
        <v>1659</v>
      </c>
      <c r="L1392" t="s">
        <v>1659</v>
      </c>
      <c r="M1392" t="s">
        <v>667</v>
      </c>
      <c r="N1392" t="s">
        <v>1132</v>
      </c>
      <c r="O1392" t="s">
        <v>1132</v>
      </c>
      <c r="P1392" t="str">
        <f>IFERROR(VLOOKUP(F1392,Sheet1!$A$2:$B$54,2,FALSE),"")</f>
        <v/>
      </c>
    </row>
    <row r="1393" spans="1:16" x14ac:dyDescent="0.2">
      <c r="A1393" s="1">
        <v>2023</v>
      </c>
      <c r="B1393" t="s">
        <v>170</v>
      </c>
      <c r="C1393" s="10" t="s">
        <v>1678</v>
      </c>
      <c r="D1393" s="10" t="s">
        <v>1679</v>
      </c>
      <c r="E1393" s="10" t="s">
        <v>1682</v>
      </c>
      <c r="F1393" t="s">
        <v>667</v>
      </c>
      <c r="G1393" s="4">
        <v>2927</v>
      </c>
      <c r="H1393" s="4"/>
      <c r="I1393" s="4"/>
      <c r="J1393" s="4">
        <f>SUM(G1393:I1393)</f>
        <v>2927</v>
      </c>
      <c r="K1393" t="s">
        <v>1659</v>
      </c>
      <c r="L1393" t="s">
        <v>1659</v>
      </c>
      <c r="M1393" t="s">
        <v>667</v>
      </c>
      <c r="N1393" t="s">
        <v>1132</v>
      </c>
      <c r="O1393" t="s">
        <v>1132</v>
      </c>
      <c r="P1393" t="str">
        <f>IFERROR(VLOOKUP(F1393,Sheet1!$A$2:$B$54,2,FALSE),"")</f>
        <v/>
      </c>
    </row>
    <row r="1394" spans="1:16" x14ac:dyDescent="0.2">
      <c r="A1394" s="1">
        <v>2015</v>
      </c>
      <c r="B1394" t="s">
        <v>171</v>
      </c>
      <c r="C1394" s="10" t="s">
        <v>1678</v>
      </c>
      <c r="D1394" s="10" t="s">
        <v>1679</v>
      </c>
      <c r="E1394" s="10" t="s">
        <v>1682</v>
      </c>
      <c r="F1394" t="s">
        <v>668</v>
      </c>
      <c r="G1394" s="4">
        <v>27592</v>
      </c>
      <c r="H1394" s="4"/>
      <c r="I1394" s="4"/>
      <c r="J1394" s="4">
        <f>SUM(G1394:I1394)</f>
        <v>27592</v>
      </c>
      <c r="K1394" t="s">
        <v>1659</v>
      </c>
      <c r="L1394" t="s">
        <v>1659</v>
      </c>
      <c r="M1394" t="s">
        <v>1210</v>
      </c>
      <c r="N1394" t="s">
        <v>1132</v>
      </c>
      <c r="O1394" t="s">
        <v>1132</v>
      </c>
      <c r="P1394" t="str">
        <f>IFERROR(VLOOKUP(F1394,Sheet1!$A$2:$B$54,2,FALSE),"")</f>
        <v/>
      </c>
    </row>
    <row r="1395" spans="1:16" x14ac:dyDescent="0.2">
      <c r="A1395" s="1">
        <v>2016</v>
      </c>
      <c r="B1395" t="s">
        <v>171</v>
      </c>
      <c r="C1395" s="10" t="s">
        <v>1678</v>
      </c>
      <c r="D1395" s="10" t="s">
        <v>1679</v>
      </c>
      <c r="E1395" s="10" t="s">
        <v>1682</v>
      </c>
      <c r="F1395" t="s">
        <v>668</v>
      </c>
      <c r="G1395" s="4">
        <v>48123</v>
      </c>
      <c r="H1395" s="4"/>
      <c r="I1395" s="4"/>
      <c r="J1395" s="4">
        <f>SUM(G1395:I1395)</f>
        <v>48123</v>
      </c>
      <c r="K1395" t="s">
        <v>1659</v>
      </c>
      <c r="L1395" t="s">
        <v>1659</v>
      </c>
      <c r="M1395" t="s">
        <v>1210</v>
      </c>
      <c r="N1395" t="s">
        <v>1132</v>
      </c>
      <c r="O1395" t="s">
        <v>1132</v>
      </c>
      <c r="P1395" t="str">
        <f>IFERROR(VLOOKUP(F1395,Sheet1!$A$2:$B$54,2,FALSE),"")</f>
        <v/>
      </c>
    </row>
    <row r="1396" spans="1:16" x14ac:dyDescent="0.2">
      <c r="A1396" s="1">
        <v>2017</v>
      </c>
      <c r="B1396" t="s">
        <v>171</v>
      </c>
      <c r="C1396" s="10" t="s">
        <v>1678</v>
      </c>
      <c r="D1396" s="10" t="s">
        <v>1679</v>
      </c>
      <c r="E1396" s="10" t="s">
        <v>1682</v>
      </c>
      <c r="F1396" t="s">
        <v>668</v>
      </c>
      <c r="G1396" s="4">
        <v>60594</v>
      </c>
      <c r="H1396" s="4"/>
      <c r="I1396" s="4"/>
      <c r="J1396" s="4">
        <f>SUM(G1396:I1396)</f>
        <v>60594</v>
      </c>
      <c r="K1396" t="s">
        <v>1659</v>
      </c>
      <c r="L1396" t="s">
        <v>1659</v>
      </c>
      <c r="M1396" t="s">
        <v>1210</v>
      </c>
      <c r="N1396" t="s">
        <v>1132</v>
      </c>
      <c r="O1396" t="s">
        <v>1132</v>
      </c>
      <c r="P1396" t="str">
        <f>IFERROR(VLOOKUP(F1396,Sheet1!$A$2:$B$54,2,FALSE),"")</f>
        <v/>
      </c>
    </row>
    <row r="1397" spans="1:16" x14ac:dyDescent="0.2">
      <c r="A1397" s="1">
        <v>2018</v>
      </c>
      <c r="B1397" t="s">
        <v>171</v>
      </c>
      <c r="C1397" s="10" t="s">
        <v>1678</v>
      </c>
      <c r="D1397" s="10" t="s">
        <v>1679</v>
      </c>
      <c r="E1397" s="10" t="s">
        <v>1682</v>
      </c>
      <c r="F1397" t="s">
        <v>668</v>
      </c>
      <c r="G1397" s="4">
        <v>79860</v>
      </c>
      <c r="H1397" s="4"/>
      <c r="I1397" s="4"/>
      <c r="J1397" s="4">
        <f>SUM(G1397:I1397)</f>
        <v>79860</v>
      </c>
      <c r="K1397" t="s">
        <v>1659</v>
      </c>
      <c r="L1397" t="s">
        <v>1659</v>
      </c>
      <c r="M1397" t="s">
        <v>1210</v>
      </c>
      <c r="N1397" t="s">
        <v>1132</v>
      </c>
      <c r="O1397" t="s">
        <v>1132</v>
      </c>
      <c r="P1397" t="str">
        <f>IFERROR(VLOOKUP(F1397,Sheet1!$A$2:$B$54,2,FALSE),"")</f>
        <v/>
      </c>
    </row>
    <row r="1398" spans="1:16" x14ac:dyDescent="0.2">
      <c r="A1398" s="1">
        <v>2019</v>
      </c>
      <c r="B1398" t="s">
        <v>171</v>
      </c>
      <c r="C1398" s="10" t="s">
        <v>1678</v>
      </c>
      <c r="D1398" s="10" t="s">
        <v>1679</v>
      </c>
      <c r="E1398" s="10" t="s">
        <v>1682</v>
      </c>
      <c r="F1398" t="s">
        <v>668</v>
      </c>
      <c r="G1398" s="4">
        <v>104975</v>
      </c>
      <c r="H1398" s="4"/>
      <c r="I1398" s="4"/>
      <c r="J1398" s="4">
        <f>SUM(G1398:I1398)</f>
        <v>104975</v>
      </c>
      <c r="K1398" t="s">
        <v>1659</v>
      </c>
      <c r="L1398" t="s">
        <v>1659</v>
      </c>
      <c r="M1398" t="s">
        <v>1210</v>
      </c>
      <c r="N1398" t="s">
        <v>1132</v>
      </c>
      <c r="O1398" t="s">
        <v>1132</v>
      </c>
      <c r="P1398" t="str">
        <f>IFERROR(VLOOKUP(F1398,Sheet1!$A$2:$B$54,2,FALSE),"")</f>
        <v/>
      </c>
    </row>
    <row r="1399" spans="1:16" x14ac:dyDescent="0.2">
      <c r="A1399" s="1">
        <v>2020</v>
      </c>
      <c r="B1399" t="s">
        <v>171</v>
      </c>
      <c r="C1399" s="10" t="s">
        <v>1678</v>
      </c>
      <c r="D1399" s="10" t="s">
        <v>1679</v>
      </c>
      <c r="E1399" s="10" t="s">
        <v>1682</v>
      </c>
      <c r="F1399" t="s">
        <v>668</v>
      </c>
      <c r="G1399" s="4">
        <v>134460</v>
      </c>
      <c r="H1399" s="4"/>
      <c r="I1399" s="4"/>
      <c r="J1399" s="4">
        <f>SUM(G1399:I1399)</f>
        <v>134460</v>
      </c>
      <c r="K1399" t="s">
        <v>1659</v>
      </c>
      <c r="L1399" t="s">
        <v>1659</v>
      </c>
      <c r="M1399" t="s">
        <v>1210</v>
      </c>
      <c r="N1399" t="s">
        <v>1132</v>
      </c>
      <c r="O1399" t="s">
        <v>1132</v>
      </c>
      <c r="P1399" t="str">
        <f>IFERROR(VLOOKUP(F1399,Sheet1!$A$2:$B$54,2,FALSE),"")</f>
        <v/>
      </c>
    </row>
    <row r="1400" spans="1:16" x14ac:dyDescent="0.2">
      <c r="A1400" s="1">
        <v>2021</v>
      </c>
      <c r="B1400" t="s">
        <v>171</v>
      </c>
      <c r="C1400" s="10" t="s">
        <v>1678</v>
      </c>
      <c r="D1400" s="10" t="s">
        <v>1679</v>
      </c>
      <c r="E1400" s="10" t="s">
        <v>1682</v>
      </c>
      <c r="F1400" t="s">
        <v>668</v>
      </c>
      <c r="G1400" s="4">
        <v>161963</v>
      </c>
      <c r="H1400" s="4"/>
      <c r="I1400" s="4"/>
      <c r="J1400" s="4">
        <f>SUM(G1400:I1400)</f>
        <v>161963</v>
      </c>
      <c r="K1400" t="s">
        <v>1659</v>
      </c>
      <c r="L1400" t="s">
        <v>1659</v>
      </c>
      <c r="M1400" t="s">
        <v>668</v>
      </c>
      <c r="N1400" t="s">
        <v>1132</v>
      </c>
      <c r="O1400" t="s">
        <v>1132</v>
      </c>
      <c r="P1400" t="str">
        <f>IFERROR(VLOOKUP(F1400,Sheet1!$A$2:$B$54,2,FALSE),"")</f>
        <v/>
      </c>
    </row>
    <row r="1401" spans="1:16" x14ac:dyDescent="0.2">
      <c r="A1401" s="1">
        <v>2022</v>
      </c>
      <c r="B1401" t="s">
        <v>171</v>
      </c>
      <c r="C1401" s="10" t="s">
        <v>1678</v>
      </c>
      <c r="D1401" s="10" t="s">
        <v>1679</v>
      </c>
      <c r="E1401" s="10" t="s">
        <v>1682</v>
      </c>
      <c r="F1401" t="s">
        <v>668</v>
      </c>
      <c r="G1401" s="4">
        <v>247417</v>
      </c>
      <c r="H1401" s="4"/>
      <c r="I1401" s="4"/>
      <c r="J1401" s="4">
        <f>SUM(G1401:I1401)</f>
        <v>247417</v>
      </c>
      <c r="K1401" t="s">
        <v>1659</v>
      </c>
      <c r="L1401" t="s">
        <v>1659</v>
      </c>
      <c r="M1401" t="s">
        <v>668</v>
      </c>
      <c r="N1401" t="s">
        <v>1132</v>
      </c>
      <c r="O1401" t="s">
        <v>1132</v>
      </c>
      <c r="P1401" t="str">
        <f>IFERROR(VLOOKUP(F1401,Sheet1!$A$2:$B$54,2,FALSE),"")</f>
        <v/>
      </c>
    </row>
    <row r="1402" spans="1:16" x14ac:dyDescent="0.2">
      <c r="A1402" s="1">
        <v>2023</v>
      </c>
      <c r="B1402" t="s">
        <v>171</v>
      </c>
      <c r="C1402" s="10" t="s">
        <v>1678</v>
      </c>
      <c r="D1402" s="10" t="s">
        <v>1679</v>
      </c>
      <c r="E1402" s="10" t="s">
        <v>1682</v>
      </c>
      <c r="F1402" t="s">
        <v>668</v>
      </c>
      <c r="G1402" s="4">
        <v>292945</v>
      </c>
      <c r="H1402" s="4"/>
      <c r="I1402" s="4"/>
      <c r="J1402" s="4">
        <f>SUM(G1402:I1402)</f>
        <v>292945</v>
      </c>
      <c r="K1402" t="s">
        <v>1659</v>
      </c>
      <c r="L1402" t="s">
        <v>1659</v>
      </c>
      <c r="M1402" t="s">
        <v>668</v>
      </c>
      <c r="N1402" t="s">
        <v>1132</v>
      </c>
      <c r="O1402" t="s">
        <v>1132</v>
      </c>
      <c r="P1402" t="str">
        <f>IFERROR(VLOOKUP(F1402,Sheet1!$A$2:$B$54,2,FALSE),"")</f>
        <v/>
      </c>
    </row>
    <row r="1403" spans="1:16" x14ac:dyDescent="0.2">
      <c r="A1403" s="1">
        <v>2015</v>
      </c>
      <c r="B1403" t="s">
        <v>172</v>
      </c>
      <c r="C1403" s="10" t="s">
        <v>1678</v>
      </c>
      <c r="D1403" s="10" t="s">
        <v>1679</v>
      </c>
      <c r="E1403" s="10" t="s">
        <v>1682</v>
      </c>
      <c r="F1403" t="s">
        <v>669</v>
      </c>
      <c r="G1403" s="4">
        <v>950</v>
      </c>
      <c r="H1403" s="4"/>
      <c r="I1403" s="4"/>
      <c r="J1403" s="4">
        <f>SUM(G1403:I1403)</f>
        <v>950</v>
      </c>
      <c r="K1403" t="s">
        <v>1659</v>
      </c>
      <c r="L1403" t="s">
        <v>1659</v>
      </c>
      <c r="M1403" t="s">
        <v>1211</v>
      </c>
      <c r="N1403" t="s">
        <v>1132</v>
      </c>
      <c r="O1403" t="s">
        <v>1132</v>
      </c>
      <c r="P1403" t="str">
        <f>IFERROR(VLOOKUP(F1403,Sheet1!$A$2:$B$54,2,FALSE),"")</f>
        <v/>
      </c>
    </row>
    <row r="1404" spans="1:16" x14ac:dyDescent="0.2">
      <c r="A1404" s="1">
        <v>2016</v>
      </c>
      <c r="B1404" t="s">
        <v>172</v>
      </c>
      <c r="C1404" s="10" t="s">
        <v>1678</v>
      </c>
      <c r="D1404" s="10" t="s">
        <v>1679</v>
      </c>
      <c r="E1404" s="10" t="s">
        <v>1682</v>
      </c>
      <c r="F1404" t="s">
        <v>669</v>
      </c>
      <c r="G1404" s="4">
        <v>0</v>
      </c>
      <c r="H1404" s="4"/>
      <c r="I1404" s="4"/>
      <c r="J1404" s="4">
        <f>SUM(G1404:I1404)</f>
        <v>0</v>
      </c>
      <c r="K1404" t="s">
        <v>1659</v>
      </c>
      <c r="L1404" t="s">
        <v>1659</v>
      </c>
      <c r="M1404" t="s">
        <v>1211</v>
      </c>
      <c r="N1404" t="s">
        <v>1132</v>
      </c>
      <c r="O1404" t="s">
        <v>1132</v>
      </c>
      <c r="P1404" t="str">
        <f>IFERROR(VLOOKUP(F1404,Sheet1!$A$2:$B$54,2,FALSE),"")</f>
        <v/>
      </c>
    </row>
    <row r="1405" spans="1:16" x14ac:dyDescent="0.2">
      <c r="A1405" s="1">
        <v>2017</v>
      </c>
      <c r="B1405" t="s">
        <v>172</v>
      </c>
      <c r="C1405" s="10" t="s">
        <v>1678</v>
      </c>
      <c r="D1405" s="10" t="s">
        <v>1679</v>
      </c>
      <c r="E1405" s="10" t="s">
        <v>1682</v>
      </c>
      <c r="F1405" t="s">
        <v>669</v>
      </c>
      <c r="G1405" s="4">
        <v>1623</v>
      </c>
      <c r="H1405" s="4"/>
      <c r="I1405" s="4"/>
      <c r="J1405" s="4">
        <f>SUM(G1405:I1405)</f>
        <v>1623</v>
      </c>
      <c r="K1405" t="s">
        <v>1659</v>
      </c>
      <c r="L1405" t="s">
        <v>1659</v>
      </c>
      <c r="M1405" t="s">
        <v>1212</v>
      </c>
      <c r="N1405" t="s">
        <v>1132</v>
      </c>
      <c r="O1405" t="s">
        <v>1132</v>
      </c>
      <c r="P1405" t="str">
        <f>IFERROR(VLOOKUP(F1405,Sheet1!$A$2:$B$54,2,FALSE),"")</f>
        <v/>
      </c>
    </row>
    <row r="1406" spans="1:16" x14ac:dyDescent="0.2">
      <c r="A1406" s="1">
        <v>2018</v>
      </c>
      <c r="B1406" t="s">
        <v>172</v>
      </c>
      <c r="C1406" s="10" t="s">
        <v>1678</v>
      </c>
      <c r="D1406" s="10" t="s">
        <v>1679</v>
      </c>
      <c r="E1406" s="10" t="s">
        <v>1682</v>
      </c>
      <c r="F1406" t="s">
        <v>669</v>
      </c>
      <c r="G1406" s="4">
        <v>2319</v>
      </c>
      <c r="H1406" s="4"/>
      <c r="I1406" s="4"/>
      <c r="J1406" s="4">
        <f>SUM(G1406:I1406)</f>
        <v>2319</v>
      </c>
      <c r="K1406" t="s">
        <v>1659</v>
      </c>
      <c r="L1406" t="s">
        <v>1659</v>
      </c>
      <c r="M1406" t="s">
        <v>1212</v>
      </c>
      <c r="N1406" t="s">
        <v>1132</v>
      </c>
      <c r="O1406" t="s">
        <v>1132</v>
      </c>
      <c r="P1406" t="str">
        <f>IFERROR(VLOOKUP(F1406,Sheet1!$A$2:$B$54,2,FALSE),"")</f>
        <v/>
      </c>
    </row>
    <row r="1407" spans="1:16" x14ac:dyDescent="0.2">
      <c r="A1407" s="1">
        <v>2019</v>
      </c>
      <c r="B1407" t="s">
        <v>172</v>
      </c>
      <c r="C1407" s="10" t="s">
        <v>1678</v>
      </c>
      <c r="D1407" s="10" t="s">
        <v>1679</v>
      </c>
      <c r="E1407" s="10" t="s">
        <v>1682</v>
      </c>
      <c r="F1407" t="s">
        <v>669</v>
      </c>
      <c r="G1407" s="4">
        <v>3439</v>
      </c>
      <c r="H1407" s="4"/>
      <c r="I1407" s="4"/>
      <c r="J1407" s="4">
        <f>SUM(G1407:I1407)</f>
        <v>3439</v>
      </c>
      <c r="K1407" t="s">
        <v>1659</v>
      </c>
      <c r="L1407" t="s">
        <v>1659</v>
      </c>
      <c r="M1407" t="s">
        <v>1212</v>
      </c>
      <c r="N1407" t="s">
        <v>1132</v>
      </c>
      <c r="O1407" t="s">
        <v>1132</v>
      </c>
      <c r="P1407" t="str">
        <f>IFERROR(VLOOKUP(F1407,Sheet1!$A$2:$B$54,2,FALSE),"")</f>
        <v/>
      </c>
    </row>
    <row r="1408" spans="1:16" x14ac:dyDescent="0.2">
      <c r="A1408" s="1">
        <v>2020</v>
      </c>
      <c r="B1408" t="s">
        <v>172</v>
      </c>
      <c r="C1408" s="10" t="s">
        <v>1678</v>
      </c>
      <c r="D1408" s="10" t="s">
        <v>1679</v>
      </c>
      <c r="E1408" s="10" t="s">
        <v>1682</v>
      </c>
      <c r="F1408" t="s">
        <v>669</v>
      </c>
      <c r="G1408" s="4">
        <v>3047</v>
      </c>
      <c r="H1408" s="4"/>
      <c r="I1408" s="4"/>
      <c r="J1408" s="4">
        <f>SUM(G1408:I1408)</f>
        <v>3047</v>
      </c>
      <c r="K1408" t="s">
        <v>1659</v>
      </c>
      <c r="L1408" t="s">
        <v>1659</v>
      </c>
      <c r="M1408" t="s">
        <v>1212</v>
      </c>
      <c r="N1408" t="s">
        <v>1132</v>
      </c>
      <c r="O1408" t="s">
        <v>1132</v>
      </c>
      <c r="P1408" t="str">
        <f>IFERROR(VLOOKUP(F1408,Sheet1!$A$2:$B$54,2,FALSE),"")</f>
        <v/>
      </c>
    </row>
    <row r="1409" spans="1:16" x14ac:dyDescent="0.2">
      <c r="A1409" s="1">
        <v>2021</v>
      </c>
      <c r="B1409" t="s">
        <v>172</v>
      </c>
      <c r="C1409" s="10" t="s">
        <v>1678</v>
      </c>
      <c r="D1409" s="10" t="s">
        <v>1679</v>
      </c>
      <c r="E1409" s="10" t="s">
        <v>1682</v>
      </c>
      <c r="F1409" t="s">
        <v>669</v>
      </c>
      <c r="G1409" s="4">
        <v>9570</v>
      </c>
      <c r="H1409" s="4"/>
      <c r="I1409" s="4"/>
      <c r="J1409" s="4">
        <f>SUM(G1409:I1409)</f>
        <v>9570</v>
      </c>
      <c r="K1409" t="s">
        <v>1659</v>
      </c>
      <c r="L1409" t="s">
        <v>1659</v>
      </c>
      <c r="M1409" t="s">
        <v>669</v>
      </c>
      <c r="N1409" t="s">
        <v>1132</v>
      </c>
      <c r="O1409" t="s">
        <v>1132</v>
      </c>
      <c r="P1409" t="str">
        <f>IFERROR(VLOOKUP(F1409,Sheet1!$A$2:$B$54,2,FALSE),"")</f>
        <v/>
      </c>
    </row>
    <row r="1410" spans="1:16" x14ac:dyDescent="0.2">
      <c r="A1410" s="1">
        <v>2022</v>
      </c>
      <c r="B1410" t="s">
        <v>172</v>
      </c>
      <c r="C1410" s="10" t="s">
        <v>1678</v>
      </c>
      <c r="D1410" s="10" t="s">
        <v>1679</v>
      </c>
      <c r="E1410" s="10" t="s">
        <v>1682</v>
      </c>
      <c r="F1410" t="s">
        <v>669</v>
      </c>
      <c r="G1410" s="4">
        <v>14341</v>
      </c>
      <c r="H1410" s="4"/>
      <c r="I1410" s="4"/>
      <c r="J1410" s="4">
        <f>SUM(G1410:I1410)</f>
        <v>14341</v>
      </c>
      <c r="K1410" t="s">
        <v>1659</v>
      </c>
      <c r="L1410" t="s">
        <v>1659</v>
      </c>
      <c r="M1410" t="s">
        <v>669</v>
      </c>
      <c r="N1410" t="s">
        <v>1132</v>
      </c>
      <c r="O1410" t="s">
        <v>1132</v>
      </c>
      <c r="P1410" t="str">
        <f>IFERROR(VLOOKUP(F1410,Sheet1!$A$2:$B$54,2,FALSE),"")</f>
        <v/>
      </c>
    </row>
    <row r="1411" spans="1:16" x14ac:dyDescent="0.2">
      <c r="A1411" s="1">
        <v>2023</v>
      </c>
      <c r="B1411" t="s">
        <v>172</v>
      </c>
      <c r="C1411" s="10" t="s">
        <v>1678</v>
      </c>
      <c r="D1411" s="10" t="s">
        <v>1679</v>
      </c>
      <c r="E1411" s="10" t="s">
        <v>1682</v>
      </c>
      <c r="F1411" t="s">
        <v>669</v>
      </c>
      <c r="G1411" s="4">
        <v>27316</v>
      </c>
      <c r="H1411" s="4"/>
      <c r="I1411" s="4"/>
      <c r="J1411" s="4">
        <f>SUM(G1411:I1411)</f>
        <v>27316</v>
      </c>
      <c r="K1411" t="s">
        <v>1659</v>
      </c>
      <c r="L1411" t="s">
        <v>1659</v>
      </c>
      <c r="M1411" t="s">
        <v>669</v>
      </c>
      <c r="N1411" t="s">
        <v>1132</v>
      </c>
      <c r="O1411" t="s">
        <v>1132</v>
      </c>
      <c r="P1411" t="str">
        <f>IFERROR(VLOOKUP(F1411,Sheet1!$A$2:$B$54,2,FALSE),"")</f>
        <v/>
      </c>
    </row>
    <row r="1412" spans="1:16" x14ac:dyDescent="0.2">
      <c r="A1412" s="1">
        <v>2015</v>
      </c>
      <c r="B1412" t="s">
        <v>173</v>
      </c>
      <c r="C1412" s="10" t="s">
        <v>1678</v>
      </c>
      <c r="D1412" s="10" t="s">
        <v>1679</v>
      </c>
      <c r="E1412" s="10" t="s">
        <v>1682</v>
      </c>
      <c r="F1412" t="s">
        <v>670</v>
      </c>
      <c r="G1412" s="4">
        <v>3189</v>
      </c>
      <c r="H1412" s="4"/>
      <c r="I1412" s="4"/>
      <c r="J1412" s="4">
        <f>SUM(G1412:I1412)</f>
        <v>3189</v>
      </c>
      <c r="K1412" t="s">
        <v>1659</v>
      </c>
      <c r="L1412" t="s">
        <v>1659</v>
      </c>
      <c r="M1412" t="s">
        <v>1213</v>
      </c>
      <c r="N1412" t="s">
        <v>1132</v>
      </c>
      <c r="O1412" t="s">
        <v>1132</v>
      </c>
      <c r="P1412" t="str">
        <f>IFERROR(VLOOKUP(F1412,Sheet1!$A$2:$B$54,2,FALSE),"")</f>
        <v/>
      </c>
    </row>
    <row r="1413" spans="1:16" x14ac:dyDescent="0.2">
      <c r="A1413" s="1">
        <v>2016</v>
      </c>
      <c r="B1413" t="s">
        <v>173</v>
      </c>
      <c r="C1413" s="10" t="s">
        <v>1678</v>
      </c>
      <c r="D1413" s="10" t="s">
        <v>1679</v>
      </c>
      <c r="E1413" s="10" t="s">
        <v>1682</v>
      </c>
      <c r="F1413" t="s">
        <v>670</v>
      </c>
      <c r="G1413" s="4">
        <v>4220</v>
      </c>
      <c r="H1413" s="4"/>
      <c r="I1413" s="4"/>
      <c r="J1413" s="4">
        <f>SUM(G1413:I1413)</f>
        <v>4220</v>
      </c>
      <c r="K1413" t="s">
        <v>1659</v>
      </c>
      <c r="L1413" t="s">
        <v>1659</v>
      </c>
      <c r="M1413" t="s">
        <v>1213</v>
      </c>
      <c r="N1413" t="s">
        <v>1132</v>
      </c>
      <c r="O1413" t="s">
        <v>1132</v>
      </c>
      <c r="P1413" t="str">
        <f>IFERROR(VLOOKUP(F1413,Sheet1!$A$2:$B$54,2,FALSE),"")</f>
        <v/>
      </c>
    </row>
    <row r="1414" spans="1:16" x14ac:dyDescent="0.2">
      <c r="A1414" s="1">
        <v>2017</v>
      </c>
      <c r="B1414" t="s">
        <v>173</v>
      </c>
      <c r="C1414" s="10" t="s">
        <v>1678</v>
      </c>
      <c r="D1414" s="10" t="s">
        <v>1679</v>
      </c>
      <c r="E1414" s="10" t="s">
        <v>1682</v>
      </c>
      <c r="F1414" t="s">
        <v>670</v>
      </c>
      <c r="G1414" s="4">
        <v>4488</v>
      </c>
      <c r="H1414" s="4"/>
      <c r="I1414" s="4"/>
      <c r="J1414" s="4">
        <f>SUM(G1414:I1414)</f>
        <v>4488</v>
      </c>
      <c r="K1414" t="s">
        <v>1659</v>
      </c>
      <c r="L1414" t="s">
        <v>1659</v>
      </c>
      <c r="M1414" t="s">
        <v>1213</v>
      </c>
      <c r="N1414" t="s">
        <v>1132</v>
      </c>
      <c r="O1414" t="s">
        <v>1132</v>
      </c>
      <c r="P1414" t="str">
        <f>IFERROR(VLOOKUP(F1414,Sheet1!$A$2:$B$54,2,FALSE),"")</f>
        <v/>
      </c>
    </row>
    <row r="1415" spans="1:16" x14ac:dyDescent="0.2">
      <c r="A1415" s="1">
        <v>2018</v>
      </c>
      <c r="B1415" t="s">
        <v>173</v>
      </c>
      <c r="C1415" s="10" t="s">
        <v>1678</v>
      </c>
      <c r="D1415" s="10" t="s">
        <v>1679</v>
      </c>
      <c r="E1415" s="10" t="s">
        <v>1682</v>
      </c>
      <c r="F1415" t="s">
        <v>670</v>
      </c>
      <c r="G1415" s="4">
        <v>2850</v>
      </c>
      <c r="H1415" s="4"/>
      <c r="I1415" s="4"/>
      <c r="J1415" s="4">
        <f>SUM(G1415:I1415)</f>
        <v>2850</v>
      </c>
      <c r="K1415" t="s">
        <v>1659</v>
      </c>
      <c r="L1415" t="s">
        <v>1659</v>
      </c>
      <c r="M1415" t="s">
        <v>1213</v>
      </c>
      <c r="N1415" t="s">
        <v>1132</v>
      </c>
      <c r="O1415" t="s">
        <v>1132</v>
      </c>
      <c r="P1415" t="str">
        <f>IFERROR(VLOOKUP(F1415,Sheet1!$A$2:$B$54,2,FALSE),"")</f>
        <v/>
      </c>
    </row>
    <row r="1416" spans="1:16" x14ac:dyDescent="0.2">
      <c r="A1416" s="1">
        <v>2019</v>
      </c>
      <c r="B1416" t="s">
        <v>173</v>
      </c>
      <c r="C1416" s="10" t="s">
        <v>1678</v>
      </c>
      <c r="D1416" s="10" t="s">
        <v>1679</v>
      </c>
      <c r="E1416" s="10" t="s">
        <v>1682</v>
      </c>
      <c r="F1416" t="s">
        <v>670</v>
      </c>
      <c r="G1416" s="4">
        <v>4020</v>
      </c>
      <c r="H1416" s="4"/>
      <c r="I1416" s="4"/>
      <c r="J1416" s="4">
        <f>SUM(G1416:I1416)</f>
        <v>4020</v>
      </c>
      <c r="K1416" t="s">
        <v>1659</v>
      </c>
      <c r="L1416" t="s">
        <v>1659</v>
      </c>
      <c r="M1416" t="s">
        <v>1213</v>
      </c>
      <c r="N1416" t="s">
        <v>1132</v>
      </c>
      <c r="O1416" t="s">
        <v>1132</v>
      </c>
      <c r="P1416" t="str">
        <f>IFERROR(VLOOKUP(F1416,Sheet1!$A$2:$B$54,2,FALSE),"")</f>
        <v/>
      </c>
    </row>
    <row r="1417" spans="1:16" x14ac:dyDescent="0.2">
      <c r="A1417" s="1">
        <v>2020</v>
      </c>
      <c r="B1417" t="s">
        <v>173</v>
      </c>
      <c r="C1417" s="10" t="s">
        <v>1678</v>
      </c>
      <c r="D1417" s="10" t="s">
        <v>1679</v>
      </c>
      <c r="E1417" s="10" t="s">
        <v>1682</v>
      </c>
      <c r="F1417" t="s">
        <v>670</v>
      </c>
      <c r="G1417" s="4">
        <v>5421</v>
      </c>
      <c r="H1417" s="4"/>
      <c r="I1417" s="4"/>
      <c r="J1417" s="4">
        <f>SUM(G1417:I1417)</f>
        <v>5421</v>
      </c>
      <c r="K1417" t="s">
        <v>1659</v>
      </c>
      <c r="L1417" t="s">
        <v>1659</v>
      </c>
      <c r="M1417" t="s">
        <v>1213</v>
      </c>
      <c r="N1417" t="s">
        <v>1132</v>
      </c>
      <c r="O1417" t="s">
        <v>1132</v>
      </c>
      <c r="P1417" t="str">
        <f>IFERROR(VLOOKUP(F1417,Sheet1!$A$2:$B$54,2,FALSE),"")</f>
        <v/>
      </c>
    </row>
    <row r="1418" spans="1:16" x14ac:dyDescent="0.2">
      <c r="A1418" s="1">
        <v>2021</v>
      </c>
      <c r="B1418" t="s">
        <v>173</v>
      </c>
      <c r="C1418" s="10" t="s">
        <v>1678</v>
      </c>
      <c r="D1418" s="10" t="s">
        <v>1679</v>
      </c>
      <c r="E1418" s="10" t="s">
        <v>1682</v>
      </c>
      <c r="F1418" t="s">
        <v>670</v>
      </c>
      <c r="G1418" s="4">
        <v>12293</v>
      </c>
      <c r="H1418" s="4"/>
      <c r="I1418" s="4"/>
      <c r="J1418" s="4">
        <f>SUM(G1418:I1418)</f>
        <v>12293</v>
      </c>
      <c r="K1418" t="s">
        <v>1659</v>
      </c>
      <c r="L1418" t="s">
        <v>1659</v>
      </c>
      <c r="M1418" t="s">
        <v>670</v>
      </c>
      <c r="N1418" t="s">
        <v>1132</v>
      </c>
      <c r="O1418" t="s">
        <v>1132</v>
      </c>
      <c r="P1418" t="str">
        <f>IFERROR(VLOOKUP(F1418,Sheet1!$A$2:$B$54,2,FALSE),"")</f>
        <v/>
      </c>
    </row>
    <row r="1419" spans="1:16" x14ac:dyDescent="0.2">
      <c r="A1419" s="1">
        <v>2022</v>
      </c>
      <c r="B1419" t="s">
        <v>173</v>
      </c>
      <c r="C1419" s="10" t="s">
        <v>1678</v>
      </c>
      <c r="D1419" s="10" t="s">
        <v>1679</v>
      </c>
      <c r="E1419" s="10" t="s">
        <v>1682</v>
      </c>
      <c r="F1419" t="s">
        <v>670</v>
      </c>
      <c r="G1419" s="4">
        <v>33650</v>
      </c>
      <c r="H1419" s="4"/>
      <c r="I1419" s="4"/>
      <c r="J1419" s="4">
        <f>SUM(G1419:I1419)</f>
        <v>33650</v>
      </c>
      <c r="K1419" t="s">
        <v>1659</v>
      </c>
      <c r="L1419" t="s">
        <v>1659</v>
      </c>
      <c r="M1419" t="s">
        <v>670</v>
      </c>
      <c r="N1419" t="s">
        <v>1132</v>
      </c>
      <c r="O1419" t="s">
        <v>1132</v>
      </c>
      <c r="P1419" t="str">
        <f>IFERROR(VLOOKUP(F1419,Sheet1!$A$2:$B$54,2,FALSE),"")</f>
        <v/>
      </c>
    </row>
    <row r="1420" spans="1:16" x14ac:dyDescent="0.2">
      <c r="A1420" s="1">
        <v>2023</v>
      </c>
      <c r="B1420" t="s">
        <v>173</v>
      </c>
      <c r="C1420" s="10" t="s">
        <v>1678</v>
      </c>
      <c r="D1420" s="10" t="s">
        <v>1679</v>
      </c>
      <c r="E1420" s="10" t="s">
        <v>1682</v>
      </c>
      <c r="F1420" t="s">
        <v>670</v>
      </c>
      <c r="G1420" s="4">
        <v>40784</v>
      </c>
      <c r="H1420" s="4"/>
      <c r="I1420" s="4"/>
      <c r="J1420" s="4">
        <f>SUM(G1420:I1420)</f>
        <v>40784</v>
      </c>
      <c r="K1420" t="s">
        <v>1659</v>
      </c>
      <c r="L1420" t="s">
        <v>1659</v>
      </c>
      <c r="M1420" t="s">
        <v>670</v>
      </c>
      <c r="N1420" t="s">
        <v>1132</v>
      </c>
      <c r="O1420" t="s">
        <v>1132</v>
      </c>
      <c r="P1420" t="str">
        <f>IFERROR(VLOOKUP(F1420,Sheet1!$A$2:$B$54,2,FALSE),"")</f>
        <v/>
      </c>
    </row>
    <row r="1421" spans="1:16" x14ac:dyDescent="0.2">
      <c r="A1421" s="1">
        <v>2015</v>
      </c>
      <c r="B1421" t="s">
        <v>174</v>
      </c>
      <c r="C1421" s="10" t="s">
        <v>1678</v>
      </c>
      <c r="D1421" s="10" t="s">
        <v>1679</v>
      </c>
      <c r="E1421" s="10" t="s">
        <v>1682</v>
      </c>
      <c r="F1421" t="s">
        <v>671</v>
      </c>
      <c r="G1421" s="4">
        <v>4714</v>
      </c>
      <c r="H1421" s="4"/>
      <c r="I1421" s="4"/>
      <c r="J1421" s="4">
        <f>SUM(G1421:I1421)</f>
        <v>4714</v>
      </c>
      <c r="K1421" t="s">
        <v>1659</v>
      </c>
      <c r="L1421" t="s">
        <v>1659</v>
      </c>
      <c r="M1421" t="s">
        <v>1214</v>
      </c>
      <c r="N1421" t="s">
        <v>1132</v>
      </c>
      <c r="O1421" t="s">
        <v>1132</v>
      </c>
      <c r="P1421" t="str">
        <f>IFERROR(VLOOKUP(F1421,Sheet1!$A$2:$B$54,2,FALSE),"")</f>
        <v/>
      </c>
    </row>
    <row r="1422" spans="1:16" x14ac:dyDescent="0.2">
      <c r="A1422" s="1">
        <v>2016</v>
      </c>
      <c r="B1422" t="s">
        <v>174</v>
      </c>
      <c r="C1422" s="10" t="s">
        <v>1678</v>
      </c>
      <c r="D1422" s="10" t="s">
        <v>1679</v>
      </c>
      <c r="E1422" s="10" t="s">
        <v>1682</v>
      </c>
      <c r="F1422" t="s">
        <v>671</v>
      </c>
      <c r="G1422" s="4">
        <v>10050</v>
      </c>
      <c r="H1422" s="4"/>
      <c r="I1422" s="4"/>
      <c r="J1422" s="4">
        <f>SUM(G1422:I1422)</f>
        <v>10050</v>
      </c>
      <c r="K1422" t="s">
        <v>1659</v>
      </c>
      <c r="L1422" t="s">
        <v>1659</v>
      </c>
      <c r="M1422" t="s">
        <v>1214</v>
      </c>
      <c r="N1422" t="s">
        <v>1132</v>
      </c>
      <c r="O1422" t="s">
        <v>1132</v>
      </c>
      <c r="P1422" t="str">
        <f>IFERROR(VLOOKUP(F1422,Sheet1!$A$2:$B$54,2,FALSE),"")</f>
        <v/>
      </c>
    </row>
    <row r="1423" spans="1:16" x14ac:dyDescent="0.2">
      <c r="A1423" s="1">
        <v>2017</v>
      </c>
      <c r="B1423" t="s">
        <v>174</v>
      </c>
      <c r="C1423" s="10" t="s">
        <v>1678</v>
      </c>
      <c r="D1423" s="10" t="s">
        <v>1679</v>
      </c>
      <c r="E1423" s="10" t="s">
        <v>1682</v>
      </c>
      <c r="F1423" t="s">
        <v>671</v>
      </c>
      <c r="G1423" s="4">
        <v>11093</v>
      </c>
      <c r="H1423" s="4"/>
      <c r="I1423" s="4"/>
      <c r="J1423" s="4">
        <f>SUM(G1423:I1423)</f>
        <v>11093</v>
      </c>
      <c r="K1423" t="s">
        <v>1659</v>
      </c>
      <c r="L1423" t="s">
        <v>1659</v>
      </c>
      <c r="M1423" t="s">
        <v>1214</v>
      </c>
      <c r="N1423" t="s">
        <v>1132</v>
      </c>
      <c r="O1423" t="s">
        <v>1132</v>
      </c>
      <c r="P1423" t="str">
        <f>IFERROR(VLOOKUP(F1423,Sheet1!$A$2:$B$54,2,FALSE),"")</f>
        <v/>
      </c>
    </row>
    <row r="1424" spans="1:16" x14ac:dyDescent="0.2">
      <c r="A1424" s="1">
        <v>2018</v>
      </c>
      <c r="B1424" t="s">
        <v>174</v>
      </c>
      <c r="C1424" s="10" t="s">
        <v>1678</v>
      </c>
      <c r="D1424" s="10" t="s">
        <v>1679</v>
      </c>
      <c r="E1424" s="10" t="s">
        <v>1682</v>
      </c>
      <c r="F1424" t="s">
        <v>671</v>
      </c>
      <c r="G1424" s="4">
        <v>15483</v>
      </c>
      <c r="H1424" s="4"/>
      <c r="I1424" s="4"/>
      <c r="J1424" s="4">
        <f>SUM(G1424:I1424)</f>
        <v>15483</v>
      </c>
      <c r="K1424" t="s">
        <v>1659</v>
      </c>
      <c r="L1424" t="s">
        <v>1659</v>
      </c>
      <c r="M1424" t="s">
        <v>1214</v>
      </c>
      <c r="N1424" t="s">
        <v>1132</v>
      </c>
      <c r="O1424" t="s">
        <v>1132</v>
      </c>
      <c r="P1424" t="str">
        <f>IFERROR(VLOOKUP(F1424,Sheet1!$A$2:$B$54,2,FALSE),"")</f>
        <v/>
      </c>
    </row>
    <row r="1425" spans="1:16" x14ac:dyDescent="0.2">
      <c r="A1425" s="1">
        <v>2019</v>
      </c>
      <c r="B1425" t="s">
        <v>174</v>
      </c>
      <c r="C1425" s="10" t="s">
        <v>1678</v>
      </c>
      <c r="D1425" s="10" t="s">
        <v>1679</v>
      </c>
      <c r="E1425" s="10" t="s">
        <v>1682</v>
      </c>
      <c r="F1425" t="s">
        <v>671</v>
      </c>
      <c r="G1425" s="4">
        <v>20481</v>
      </c>
      <c r="H1425" s="4"/>
      <c r="I1425" s="4"/>
      <c r="J1425" s="4">
        <f>SUM(G1425:I1425)</f>
        <v>20481</v>
      </c>
      <c r="K1425" t="s">
        <v>1659</v>
      </c>
      <c r="L1425" t="s">
        <v>1659</v>
      </c>
      <c r="M1425" t="s">
        <v>1214</v>
      </c>
      <c r="N1425" t="s">
        <v>1132</v>
      </c>
      <c r="O1425" t="s">
        <v>1132</v>
      </c>
      <c r="P1425" t="str">
        <f>IFERROR(VLOOKUP(F1425,Sheet1!$A$2:$B$54,2,FALSE),"")</f>
        <v/>
      </c>
    </row>
    <row r="1426" spans="1:16" x14ac:dyDescent="0.2">
      <c r="A1426" s="1">
        <v>2020</v>
      </c>
      <c r="B1426" t="s">
        <v>174</v>
      </c>
      <c r="C1426" s="10" t="s">
        <v>1678</v>
      </c>
      <c r="D1426" s="10" t="s">
        <v>1679</v>
      </c>
      <c r="E1426" s="10" t="s">
        <v>1682</v>
      </c>
      <c r="F1426" t="s">
        <v>671</v>
      </c>
      <c r="G1426" s="4">
        <v>29736</v>
      </c>
      <c r="H1426" s="4"/>
      <c r="I1426" s="4"/>
      <c r="J1426" s="4">
        <f>SUM(G1426:I1426)</f>
        <v>29736</v>
      </c>
      <c r="K1426" t="s">
        <v>1659</v>
      </c>
      <c r="L1426" t="s">
        <v>1659</v>
      </c>
      <c r="M1426" t="s">
        <v>1214</v>
      </c>
      <c r="N1426" t="s">
        <v>1132</v>
      </c>
      <c r="O1426" t="s">
        <v>1132</v>
      </c>
      <c r="P1426" t="str">
        <f>IFERROR(VLOOKUP(F1426,Sheet1!$A$2:$B$54,2,FALSE),"")</f>
        <v/>
      </c>
    </row>
    <row r="1427" spans="1:16" x14ac:dyDescent="0.2">
      <c r="A1427" s="1">
        <v>2021</v>
      </c>
      <c r="B1427" t="s">
        <v>174</v>
      </c>
      <c r="C1427" s="10" t="s">
        <v>1678</v>
      </c>
      <c r="D1427" s="10" t="s">
        <v>1679</v>
      </c>
      <c r="E1427" s="10" t="s">
        <v>1682</v>
      </c>
      <c r="F1427" t="s">
        <v>671</v>
      </c>
      <c r="G1427" s="4">
        <v>35439</v>
      </c>
      <c r="H1427" s="4"/>
      <c r="I1427" s="4"/>
      <c r="J1427" s="4">
        <f>SUM(G1427:I1427)</f>
        <v>35439</v>
      </c>
      <c r="K1427" t="s">
        <v>1659</v>
      </c>
      <c r="L1427" t="s">
        <v>1659</v>
      </c>
      <c r="M1427" t="s">
        <v>671</v>
      </c>
      <c r="N1427" t="s">
        <v>1132</v>
      </c>
      <c r="O1427" t="s">
        <v>1132</v>
      </c>
      <c r="P1427" t="str">
        <f>IFERROR(VLOOKUP(F1427,Sheet1!$A$2:$B$54,2,FALSE),"")</f>
        <v/>
      </c>
    </row>
    <row r="1428" spans="1:16" x14ac:dyDescent="0.2">
      <c r="A1428" s="1">
        <v>2022</v>
      </c>
      <c r="B1428" t="s">
        <v>174</v>
      </c>
      <c r="C1428" s="10" t="s">
        <v>1678</v>
      </c>
      <c r="D1428" s="10" t="s">
        <v>1679</v>
      </c>
      <c r="E1428" s="10" t="s">
        <v>1682</v>
      </c>
      <c r="F1428" t="s">
        <v>671</v>
      </c>
      <c r="G1428" s="4">
        <v>46841</v>
      </c>
      <c r="H1428" s="4"/>
      <c r="I1428" s="4"/>
      <c r="J1428" s="4">
        <f>SUM(G1428:I1428)</f>
        <v>46841</v>
      </c>
      <c r="K1428" t="s">
        <v>1659</v>
      </c>
      <c r="L1428" t="s">
        <v>1659</v>
      </c>
      <c r="M1428" t="s">
        <v>671</v>
      </c>
      <c r="N1428" t="s">
        <v>1132</v>
      </c>
      <c r="O1428" t="s">
        <v>1132</v>
      </c>
      <c r="P1428" t="str">
        <f>IFERROR(VLOOKUP(F1428,Sheet1!$A$2:$B$54,2,FALSE),"")</f>
        <v/>
      </c>
    </row>
    <row r="1429" spans="1:16" x14ac:dyDescent="0.2">
      <c r="A1429" s="1">
        <v>2023</v>
      </c>
      <c r="B1429" t="s">
        <v>174</v>
      </c>
      <c r="C1429" s="10" t="s">
        <v>1678</v>
      </c>
      <c r="D1429" s="10" t="s">
        <v>1679</v>
      </c>
      <c r="E1429" s="10" t="s">
        <v>1682</v>
      </c>
      <c r="F1429" t="s">
        <v>671</v>
      </c>
      <c r="G1429" s="4">
        <v>53986</v>
      </c>
      <c r="H1429" s="4"/>
      <c r="I1429" s="4"/>
      <c r="J1429" s="4">
        <f>SUM(G1429:I1429)</f>
        <v>53986</v>
      </c>
      <c r="K1429" t="s">
        <v>1659</v>
      </c>
      <c r="L1429" t="s">
        <v>1659</v>
      </c>
      <c r="M1429" t="s">
        <v>671</v>
      </c>
      <c r="N1429" t="s">
        <v>1132</v>
      </c>
      <c r="O1429" t="s">
        <v>1132</v>
      </c>
      <c r="P1429" t="str">
        <f>IFERROR(VLOOKUP(F1429,Sheet1!$A$2:$B$54,2,FALSE),"")</f>
        <v/>
      </c>
    </row>
    <row r="1430" spans="1:16" x14ac:dyDescent="0.2">
      <c r="A1430" s="1">
        <v>2015</v>
      </c>
      <c r="B1430" t="s">
        <v>175</v>
      </c>
      <c r="C1430" s="10" t="s">
        <v>1678</v>
      </c>
      <c r="D1430" s="10" t="s">
        <v>1679</v>
      </c>
      <c r="E1430" s="10" t="s">
        <v>1682</v>
      </c>
      <c r="F1430" t="s">
        <v>672</v>
      </c>
      <c r="G1430" s="4">
        <v>16906</v>
      </c>
      <c r="H1430" s="4">
        <v>95302</v>
      </c>
      <c r="I1430" s="4"/>
      <c r="J1430" s="4">
        <f>SUM(G1430:I1430)</f>
        <v>112208</v>
      </c>
      <c r="K1430" t="s">
        <v>1660</v>
      </c>
      <c r="L1430" t="s">
        <v>1659</v>
      </c>
      <c r="M1430" t="s">
        <v>1215</v>
      </c>
      <c r="N1430" t="s">
        <v>1215</v>
      </c>
      <c r="O1430" t="s">
        <v>1132</v>
      </c>
      <c r="P1430">
        <f>IFERROR(VLOOKUP(F1430,Sheet1!$A$2:$B$54,2,FALSE),"")</f>
        <v>4900039</v>
      </c>
    </row>
    <row r="1431" spans="1:16" x14ac:dyDescent="0.2">
      <c r="A1431" s="1">
        <v>2016</v>
      </c>
      <c r="B1431" t="s">
        <v>175</v>
      </c>
      <c r="C1431" s="10" t="s">
        <v>1678</v>
      </c>
      <c r="D1431" s="10" t="s">
        <v>1679</v>
      </c>
      <c r="E1431" s="10" t="s">
        <v>1682</v>
      </c>
      <c r="F1431" t="s">
        <v>672</v>
      </c>
      <c r="G1431" s="4">
        <v>17085</v>
      </c>
      <c r="H1431" s="4">
        <v>99285</v>
      </c>
      <c r="I1431" s="4"/>
      <c r="J1431" s="4">
        <f>SUM(G1431:I1431)</f>
        <v>116370</v>
      </c>
      <c r="K1431" t="s">
        <v>1660</v>
      </c>
      <c r="L1431" t="s">
        <v>1659</v>
      </c>
      <c r="M1431" t="s">
        <v>1215</v>
      </c>
      <c r="N1431" t="s">
        <v>1215</v>
      </c>
      <c r="O1431" t="s">
        <v>1132</v>
      </c>
      <c r="P1431">
        <f>IFERROR(VLOOKUP(F1431,Sheet1!$A$2:$B$54,2,FALSE),"")</f>
        <v>4900039</v>
      </c>
    </row>
    <row r="1432" spans="1:16" x14ac:dyDescent="0.2">
      <c r="A1432" s="1">
        <v>2017</v>
      </c>
      <c r="B1432" t="s">
        <v>175</v>
      </c>
      <c r="C1432" s="10" t="s">
        <v>1678</v>
      </c>
      <c r="D1432" s="10" t="s">
        <v>1679</v>
      </c>
      <c r="E1432" s="10" t="s">
        <v>1682</v>
      </c>
      <c r="F1432" t="s">
        <v>672</v>
      </c>
      <c r="G1432" s="4">
        <v>21914</v>
      </c>
      <c r="H1432" s="4">
        <v>117432</v>
      </c>
      <c r="I1432" s="4"/>
      <c r="J1432" s="4">
        <f>SUM(G1432:I1432)</f>
        <v>139346</v>
      </c>
      <c r="K1432" t="s">
        <v>1660</v>
      </c>
      <c r="L1432" t="s">
        <v>1659</v>
      </c>
      <c r="M1432" t="s">
        <v>1215</v>
      </c>
      <c r="N1432" t="s">
        <v>1215</v>
      </c>
      <c r="O1432" t="s">
        <v>1132</v>
      </c>
      <c r="P1432">
        <f>IFERROR(VLOOKUP(F1432,Sheet1!$A$2:$B$54,2,FALSE),"")</f>
        <v>4900039</v>
      </c>
    </row>
    <row r="1433" spans="1:16" x14ac:dyDescent="0.2">
      <c r="A1433" s="1">
        <v>2018</v>
      </c>
      <c r="B1433" t="s">
        <v>175</v>
      </c>
      <c r="C1433" s="10" t="s">
        <v>1678</v>
      </c>
      <c r="D1433" s="10" t="s">
        <v>1679</v>
      </c>
      <c r="E1433" s="10" t="s">
        <v>1682</v>
      </c>
      <c r="F1433" t="s">
        <v>672</v>
      </c>
      <c r="G1433" s="4">
        <v>28966</v>
      </c>
      <c r="H1433" s="4">
        <v>117351</v>
      </c>
      <c r="I1433" s="4"/>
      <c r="J1433" s="4">
        <f>SUM(G1433:I1433)</f>
        <v>146317</v>
      </c>
      <c r="K1433" t="s">
        <v>1660</v>
      </c>
      <c r="L1433" t="s">
        <v>1659</v>
      </c>
      <c r="M1433" t="s">
        <v>1215</v>
      </c>
      <c r="N1433" t="s">
        <v>1215</v>
      </c>
      <c r="O1433" t="s">
        <v>1132</v>
      </c>
      <c r="P1433">
        <f>IFERROR(VLOOKUP(F1433,Sheet1!$A$2:$B$54,2,FALSE),"")</f>
        <v>4900039</v>
      </c>
    </row>
    <row r="1434" spans="1:16" x14ac:dyDescent="0.2">
      <c r="A1434" s="1">
        <v>2019</v>
      </c>
      <c r="B1434" t="s">
        <v>175</v>
      </c>
      <c r="C1434" s="10" t="s">
        <v>1678</v>
      </c>
      <c r="D1434" s="10" t="s">
        <v>1679</v>
      </c>
      <c r="E1434" s="10" t="s">
        <v>1682</v>
      </c>
      <c r="F1434" t="s">
        <v>672</v>
      </c>
      <c r="G1434" s="4">
        <v>33785</v>
      </c>
      <c r="H1434" s="4">
        <v>113592</v>
      </c>
      <c r="I1434" s="4"/>
      <c r="J1434" s="4">
        <f>SUM(G1434:I1434)</f>
        <v>147377</v>
      </c>
      <c r="K1434" t="s">
        <v>1660</v>
      </c>
      <c r="L1434" t="s">
        <v>1659</v>
      </c>
      <c r="M1434" t="s">
        <v>1215</v>
      </c>
      <c r="N1434" t="s">
        <v>1215</v>
      </c>
      <c r="O1434" t="s">
        <v>1132</v>
      </c>
      <c r="P1434">
        <f>IFERROR(VLOOKUP(F1434,Sheet1!$A$2:$B$54,2,FALSE),"")</f>
        <v>4900039</v>
      </c>
    </row>
    <row r="1435" spans="1:16" x14ac:dyDescent="0.2">
      <c r="A1435" s="1">
        <v>2020</v>
      </c>
      <c r="B1435" t="s">
        <v>175</v>
      </c>
      <c r="C1435" s="10" t="s">
        <v>1678</v>
      </c>
      <c r="D1435" s="10" t="s">
        <v>1679</v>
      </c>
      <c r="E1435" s="10" t="s">
        <v>1682</v>
      </c>
      <c r="F1435" t="s">
        <v>672</v>
      </c>
      <c r="G1435" s="4">
        <v>37573</v>
      </c>
      <c r="H1435" s="4">
        <v>120320</v>
      </c>
      <c r="I1435" s="4"/>
      <c r="J1435" s="4">
        <f>SUM(G1435:I1435)</f>
        <v>157893</v>
      </c>
      <c r="K1435" t="s">
        <v>1660</v>
      </c>
      <c r="L1435" t="s">
        <v>1659</v>
      </c>
      <c r="M1435" t="s">
        <v>1215</v>
      </c>
      <c r="N1435" t="s">
        <v>1215</v>
      </c>
      <c r="O1435" t="s">
        <v>1132</v>
      </c>
      <c r="P1435">
        <f>IFERROR(VLOOKUP(F1435,Sheet1!$A$2:$B$54,2,FALSE),"")</f>
        <v>4900039</v>
      </c>
    </row>
    <row r="1436" spans="1:16" x14ac:dyDescent="0.2">
      <c r="A1436" s="1">
        <v>2021</v>
      </c>
      <c r="B1436" t="s">
        <v>175</v>
      </c>
      <c r="C1436" s="10" t="s">
        <v>1678</v>
      </c>
      <c r="D1436" s="10" t="s">
        <v>1679</v>
      </c>
      <c r="E1436" s="10" t="s">
        <v>1682</v>
      </c>
      <c r="F1436" t="s">
        <v>672</v>
      </c>
      <c r="G1436" s="4">
        <v>47057</v>
      </c>
      <c r="H1436" s="4">
        <v>141786</v>
      </c>
      <c r="I1436" s="4"/>
      <c r="J1436" s="4">
        <f>SUM(G1436:I1436)</f>
        <v>188843</v>
      </c>
      <c r="K1436" t="s">
        <v>1660</v>
      </c>
      <c r="L1436" t="s">
        <v>1659</v>
      </c>
      <c r="M1436" t="s">
        <v>672</v>
      </c>
      <c r="N1436" t="s">
        <v>672</v>
      </c>
      <c r="O1436" t="s">
        <v>1132</v>
      </c>
      <c r="P1436">
        <f>IFERROR(VLOOKUP(F1436,Sheet1!$A$2:$B$54,2,FALSE),"")</f>
        <v>4900039</v>
      </c>
    </row>
    <row r="1437" spans="1:16" x14ac:dyDescent="0.2">
      <c r="A1437" s="1">
        <v>2022</v>
      </c>
      <c r="B1437" t="s">
        <v>175</v>
      </c>
      <c r="C1437" s="10" t="s">
        <v>1678</v>
      </c>
      <c r="D1437" s="10" t="s">
        <v>1679</v>
      </c>
      <c r="E1437" s="10" t="s">
        <v>1682</v>
      </c>
      <c r="F1437" t="s">
        <v>672</v>
      </c>
      <c r="G1437" s="4">
        <v>53531</v>
      </c>
      <c r="H1437" s="4">
        <v>157318</v>
      </c>
      <c r="I1437" s="4"/>
      <c r="J1437" s="4">
        <f>SUM(G1437:I1437)</f>
        <v>210849</v>
      </c>
      <c r="K1437" t="s">
        <v>1660</v>
      </c>
      <c r="L1437" t="s">
        <v>1659</v>
      </c>
      <c r="M1437" t="s">
        <v>672</v>
      </c>
      <c r="N1437" t="s">
        <v>672</v>
      </c>
      <c r="O1437" t="s">
        <v>1132</v>
      </c>
      <c r="P1437">
        <f>IFERROR(VLOOKUP(F1437,Sheet1!$A$2:$B$54,2,FALSE),"")</f>
        <v>4900039</v>
      </c>
    </row>
    <row r="1438" spans="1:16" x14ac:dyDescent="0.2">
      <c r="A1438" s="1">
        <v>2023</v>
      </c>
      <c r="B1438" t="s">
        <v>175</v>
      </c>
      <c r="C1438" s="10" t="s">
        <v>1678</v>
      </c>
      <c r="D1438" s="10" t="s">
        <v>1679</v>
      </c>
      <c r="E1438" s="10" t="s">
        <v>1682</v>
      </c>
      <c r="F1438" t="s">
        <v>672</v>
      </c>
      <c r="G1438" s="4">
        <v>67449</v>
      </c>
      <c r="H1438" s="4">
        <v>176562</v>
      </c>
      <c r="I1438" s="4"/>
      <c r="J1438" s="4">
        <f>SUM(G1438:I1438)</f>
        <v>244011</v>
      </c>
      <c r="K1438" t="s">
        <v>1660</v>
      </c>
      <c r="L1438" t="s">
        <v>1659</v>
      </c>
      <c r="M1438" t="s">
        <v>672</v>
      </c>
      <c r="N1438" t="s">
        <v>672</v>
      </c>
      <c r="O1438" t="s">
        <v>1132</v>
      </c>
      <c r="P1438">
        <f>IFERROR(VLOOKUP(F1438,Sheet1!$A$2:$B$54,2,FALSE),"")</f>
        <v>4900039</v>
      </c>
    </row>
    <row r="1439" spans="1:16" x14ac:dyDescent="0.2">
      <c r="A1439" s="1">
        <v>2015</v>
      </c>
      <c r="B1439" t="s">
        <v>176</v>
      </c>
      <c r="C1439" s="10" t="s">
        <v>1678</v>
      </c>
      <c r="D1439" s="10" t="s">
        <v>1679</v>
      </c>
      <c r="E1439" s="10" t="s">
        <v>1682</v>
      </c>
      <c r="F1439" t="s">
        <v>673</v>
      </c>
      <c r="G1439" s="4">
        <v>67233</v>
      </c>
      <c r="H1439" s="4"/>
      <c r="I1439" s="4"/>
      <c r="J1439" s="4">
        <f>SUM(G1439:I1439)</f>
        <v>67233</v>
      </c>
      <c r="K1439" t="s">
        <v>1659</v>
      </c>
      <c r="L1439" t="s">
        <v>1659</v>
      </c>
      <c r="M1439" t="s">
        <v>1216</v>
      </c>
      <c r="N1439" t="s">
        <v>1132</v>
      </c>
      <c r="O1439" t="s">
        <v>1132</v>
      </c>
      <c r="P1439" t="str">
        <f>IFERROR(VLOOKUP(F1439,Sheet1!$A$2:$B$54,2,FALSE),"")</f>
        <v/>
      </c>
    </row>
    <row r="1440" spans="1:16" x14ac:dyDescent="0.2">
      <c r="A1440" s="1">
        <v>2016</v>
      </c>
      <c r="B1440" t="s">
        <v>176</v>
      </c>
      <c r="C1440" s="10" t="s">
        <v>1678</v>
      </c>
      <c r="D1440" s="10" t="s">
        <v>1679</v>
      </c>
      <c r="E1440" s="10" t="s">
        <v>1682</v>
      </c>
      <c r="F1440" t="s">
        <v>673</v>
      </c>
      <c r="G1440" s="4">
        <v>90932</v>
      </c>
      <c r="H1440" s="4"/>
      <c r="I1440" s="4"/>
      <c r="J1440" s="4">
        <f>SUM(G1440:I1440)</f>
        <v>90932</v>
      </c>
      <c r="K1440" t="s">
        <v>1659</v>
      </c>
      <c r="L1440" t="s">
        <v>1659</v>
      </c>
      <c r="M1440" t="s">
        <v>1216</v>
      </c>
      <c r="N1440" t="s">
        <v>1132</v>
      </c>
      <c r="O1440" t="s">
        <v>1132</v>
      </c>
      <c r="P1440" t="str">
        <f>IFERROR(VLOOKUP(F1440,Sheet1!$A$2:$B$54,2,FALSE),"")</f>
        <v/>
      </c>
    </row>
    <row r="1441" spans="1:16" x14ac:dyDescent="0.2">
      <c r="A1441" s="1">
        <v>2017</v>
      </c>
      <c r="B1441" t="s">
        <v>176</v>
      </c>
      <c r="C1441" s="10" t="s">
        <v>1678</v>
      </c>
      <c r="D1441" s="10" t="s">
        <v>1679</v>
      </c>
      <c r="E1441" s="10" t="s">
        <v>1682</v>
      </c>
      <c r="F1441" t="s">
        <v>673</v>
      </c>
      <c r="G1441" s="4">
        <v>115726</v>
      </c>
      <c r="H1441" s="4"/>
      <c r="I1441" s="4"/>
      <c r="J1441" s="4">
        <f>SUM(G1441:I1441)</f>
        <v>115726</v>
      </c>
      <c r="K1441" t="s">
        <v>1659</v>
      </c>
      <c r="L1441" t="s">
        <v>1659</v>
      </c>
      <c r="M1441" t="s">
        <v>1216</v>
      </c>
      <c r="N1441" t="s">
        <v>1132</v>
      </c>
      <c r="O1441" t="s">
        <v>1132</v>
      </c>
      <c r="P1441" t="str">
        <f>IFERROR(VLOOKUP(F1441,Sheet1!$A$2:$B$54,2,FALSE),"")</f>
        <v/>
      </c>
    </row>
    <row r="1442" spans="1:16" x14ac:dyDescent="0.2">
      <c r="A1442" s="1">
        <v>2018</v>
      </c>
      <c r="B1442" t="s">
        <v>176</v>
      </c>
      <c r="C1442" s="10" t="s">
        <v>1678</v>
      </c>
      <c r="D1442" s="10" t="s">
        <v>1679</v>
      </c>
      <c r="E1442" s="10" t="s">
        <v>1682</v>
      </c>
      <c r="F1442" t="s">
        <v>673</v>
      </c>
      <c r="G1442" s="4">
        <v>150213</v>
      </c>
      <c r="H1442" s="4"/>
      <c r="I1442" s="4"/>
      <c r="J1442" s="4">
        <f>SUM(G1442:I1442)</f>
        <v>150213</v>
      </c>
      <c r="K1442" t="s">
        <v>1659</v>
      </c>
      <c r="L1442" t="s">
        <v>1659</v>
      </c>
      <c r="M1442" t="s">
        <v>1216</v>
      </c>
      <c r="N1442" t="s">
        <v>1132</v>
      </c>
      <c r="O1442" t="s">
        <v>1132</v>
      </c>
      <c r="P1442" t="str">
        <f>IFERROR(VLOOKUP(F1442,Sheet1!$A$2:$B$54,2,FALSE),"")</f>
        <v/>
      </c>
    </row>
    <row r="1443" spans="1:16" x14ac:dyDescent="0.2">
      <c r="A1443" s="1">
        <v>2019</v>
      </c>
      <c r="B1443" t="s">
        <v>176</v>
      </c>
      <c r="C1443" s="10" t="s">
        <v>1678</v>
      </c>
      <c r="D1443" s="10" t="s">
        <v>1679</v>
      </c>
      <c r="E1443" s="10" t="s">
        <v>1682</v>
      </c>
      <c r="F1443" t="s">
        <v>673</v>
      </c>
      <c r="G1443" s="4">
        <v>189468</v>
      </c>
      <c r="H1443" s="4"/>
      <c r="I1443" s="4"/>
      <c r="J1443" s="4">
        <f>SUM(G1443:I1443)</f>
        <v>189468</v>
      </c>
      <c r="K1443" t="s">
        <v>1659</v>
      </c>
      <c r="L1443" t="s">
        <v>1659</v>
      </c>
      <c r="M1443" t="s">
        <v>1216</v>
      </c>
      <c r="N1443" t="s">
        <v>1132</v>
      </c>
      <c r="O1443" t="s">
        <v>1132</v>
      </c>
      <c r="P1443" t="str">
        <f>IFERROR(VLOOKUP(F1443,Sheet1!$A$2:$B$54,2,FALSE),"")</f>
        <v/>
      </c>
    </row>
    <row r="1444" spans="1:16" x14ac:dyDescent="0.2">
      <c r="A1444" s="1">
        <v>2020</v>
      </c>
      <c r="B1444" t="s">
        <v>176</v>
      </c>
      <c r="C1444" s="10" t="s">
        <v>1678</v>
      </c>
      <c r="D1444" s="10" t="s">
        <v>1679</v>
      </c>
      <c r="E1444" s="10" t="s">
        <v>1682</v>
      </c>
      <c r="F1444" t="s">
        <v>673</v>
      </c>
      <c r="G1444" s="4">
        <v>219309</v>
      </c>
      <c r="H1444" s="4"/>
      <c r="I1444" s="4"/>
      <c r="J1444" s="4">
        <f>SUM(G1444:I1444)</f>
        <v>219309</v>
      </c>
      <c r="K1444" t="s">
        <v>1659</v>
      </c>
      <c r="L1444" t="s">
        <v>1659</v>
      </c>
      <c r="M1444" t="s">
        <v>1216</v>
      </c>
      <c r="N1444" t="s">
        <v>1132</v>
      </c>
      <c r="O1444" t="s">
        <v>1132</v>
      </c>
      <c r="P1444" t="str">
        <f>IFERROR(VLOOKUP(F1444,Sheet1!$A$2:$B$54,2,FALSE),"")</f>
        <v/>
      </c>
    </row>
    <row r="1445" spans="1:16" x14ac:dyDescent="0.2">
      <c r="A1445" s="1">
        <v>2021</v>
      </c>
      <c r="B1445" t="s">
        <v>176</v>
      </c>
      <c r="C1445" s="10" t="s">
        <v>1678</v>
      </c>
      <c r="D1445" s="10" t="s">
        <v>1679</v>
      </c>
      <c r="E1445" s="10" t="s">
        <v>1682</v>
      </c>
      <c r="F1445" t="s">
        <v>673</v>
      </c>
      <c r="G1445" s="4">
        <v>265113</v>
      </c>
      <c r="H1445" s="4"/>
      <c r="I1445" s="4"/>
      <c r="J1445" s="4">
        <f>SUM(G1445:I1445)</f>
        <v>265113</v>
      </c>
      <c r="K1445" t="s">
        <v>1659</v>
      </c>
      <c r="L1445" t="s">
        <v>1659</v>
      </c>
      <c r="M1445" t="s">
        <v>673</v>
      </c>
      <c r="N1445" t="s">
        <v>1132</v>
      </c>
      <c r="O1445" t="s">
        <v>1132</v>
      </c>
      <c r="P1445" t="str">
        <f>IFERROR(VLOOKUP(F1445,Sheet1!$A$2:$B$54,2,FALSE),"")</f>
        <v/>
      </c>
    </row>
    <row r="1446" spans="1:16" x14ac:dyDescent="0.2">
      <c r="A1446" s="1">
        <v>2022</v>
      </c>
      <c r="B1446" t="s">
        <v>176</v>
      </c>
      <c r="C1446" s="10" t="s">
        <v>1678</v>
      </c>
      <c r="D1446" s="10" t="s">
        <v>1679</v>
      </c>
      <c r="E1446" s="10" t="s">
        <v>1682</v>
      </c>
      <c r="F1446" t="s">
        <v>673</v>
      </c>
      <c r="G1446" s="4">
        <v>318626</v>
      </c>
      <c r="H1446" s="4"/>
      <c r="I1446" s="4"/>
      <c r="J1446" s="4">
        <f>SUM(G1446:I1446)</f>
        <v>318626</v>
      </c>
      <c r="K1446" t="s">
        <v>1659</v>
      </c>
      <c r="L1446" t="s">
        <v>1659</v>
      </c>
      <c r="M1446" t="s">
        <v>673</v>
      </c>
      <c r="N1446" t="s">
        <v>1132</v>
      </c>
      <c r="O1446" t="s">
        <v>1132</v>
      </c>
      <c r="P1446" t="str">
        <f>IFERROR(VLOOKUP(F1446,Sheet1!$A$2:$B$54,2,FALSE),"")</f>
        <v/>
      </c>
    </row>
    <row r="1447" spans="1:16" x14ac:dyDescent="0.2">
      <c r="A1447" s="1">
        <v>2023</v>
      </c>
      <c r="B1447" t="s">
        <v>176</v>
      </c>
      <c r="C1447" s="10" t="s">
        <v>1678</v>
      </c>
      <c r="D1447" s="10" t="s">
        <v>1679</v>
      </c>
      <c r="E1447" s="10" t="s">
        <v>1682</v>
      </c>
      <c r="F1447" t="s">
        <v>673</v>
      </c>
      <c r="G1447" s="4">
        <v>359456</v>
      </c>
      <c r="H1447" s="4"/>
      <c r="I1447" s="4"/>
      <c r="J1447" s="4">
        <f>SUM(G1447:I1447)</f>
        <v>359456</v>
      </c>
      <c r="K1447" t="s">
        <v>1659</v>
      </c>
      <c r="L1447" t="s">
        <v>1659</v>
      </c>
      <c r="M1447" t="s">
        <v>673</v>
      </c>
      <c r="N1447" t="s">
        <v>1132</v>
      </c>
      <c r="O1447" t="s">
        <v>1132</v>
      </c>
      <c r="P1447" t="str">
        <f>IFERROR(VLOOKUP(F1447,Sheet1!$A$2:$B$54,2,FALSE),"")</f>
        <v/>
      </c>
    </row>
    <row r="1448" spans="1:16" x14ac:dyDescent="0.2">
      <c r="A1448" s="1">
        <v>2015</v>
      </c>
      <c r="B1448" t="s">
        <v>177</v>
      </c>
      <c r="C1448" s="10" t="s">
        <v>1678</v>
      </c>
      <c r="D1448" s="10" t="s">
        <v>1679</v>
      </c>
      <c r="E1448" s="10" t="s">
        <v>1682</v>
      </c>
      <c r="F1448" t="s">
        <v>674</v>
      </c>
      <c r="G1448" s="4">
        <v>262117</v>
      </c>
      <c r="H1448" s="4">
        <v>6256978</v>
      </c>
      <c r="I1448" s="4">
        <v>11404</v>
      </c>
      <c r="J1448" s="4">
        <f>SUM(G1448:I1448)</f>
        <v>6530499</v>
      </c>
      <c r="K1448" t="s">
        <v>1660</v>
      </c>
      <c r="L1448" t="s">
        <v>1660</v>
      </c>
      <c r="M1448" t="s">
        <v>1217</v>
      </c>
      <c r="N1448" t="s">
        <v>1217</v>
      </c>
      <c r="O1448" t="s">
        <v>1217</v>
      </c>
      <c r="P1448">
        <f>IFERROR(VLOOKUP(F1448,Sheet1!$A$2:$B$54,2,FALSE),"")</f>
        <v>4900390</v>
      </c>
    </row>
    <row r="1449" spans="1:16" x14ac:dyDescent="0.2">
      <c r="A1449" s="1">
        <v>2016</v>
      </c>
      <c r="B1449" t="s">
        <v>177</v>
      </c>
      <c r="C1449" s="10" t="s">
        <v>1678</v>
      </c>
      <c r="D1449" s="10" t="s">
        <v>1679</v>
      </c>
      <c r="E1449" s="10" t="s">
        <v>1682</v>
      </c>
      <c r="F1449" t="s">
        <v>674</v>
      </c>
      <c r="G1449" s="4">
        <v>344292</v>
      </c>
      <c r="H1449" s="4">
        <v>6352164</v>
      </c>
      <c r="I1449" s="4">
        <v>10897</v>
      </c>
      <c r="J1449" s="4">
        <f>SUM(G1449:I1449)</f>
        <v>6707353</v>
      </c>
      <c r="K1449" t="s">
        <v>1660</v>
      </c>
      <c r="L1449" t="s">
        <v>1660</v>
      </c>
      <c r="M1449" t="s">
        <v>1217</v>
      </c>
      <c r="N1449" t="s">
        <v>1217</v>
      </c>
      <c r="O1449" t="s">
        <v>1217</v>
      </c>
      <c r="P1449">
        <f>IFERROR(VLOOKUP(F1449,Sheet1!$A$2:$B$54,2,FALSE),"")</f>
        <v>4900390</v>
      </c>
    </row>
    <row r="1450" spans="1:16" x14ac:dyDescent="0.2">
      <c r="A1450" s="1">
        <v>2017</v>
      </c>
      <c r="B1450" t="s">
        <v>177</v>
      </c>
      <c r="C1450" s="10" t="s">
        <v>1678</v>
      </c>
      <c r="D1450" s="10" t="s">
        <v>1679</v>
      </c>
      <c r="E1450" s="10" t="s">
        <v>1682</v>
      </c>
      <c r="F1450" t="s">
        <v>674</v>
      </c>
      <c r="G1450" s="4">
        <v>444965</v>
      </c>
      <c r="H1450" s="4">
        <v>6533925</v>
      </c>
      <c r="I1450" s="4">
        <v>10213</v>
      </c>
      <c r="J1450" s="4">
        <f>SUM(G1450:I1450)</f>
        <v>6989103</v>
      </c>
      <c r="K1450" t="s">
        <v>1660</v>
      </c>
      <c r="L1450" t="s">
        <v>1660</v>
      </c>
      <c r="M1450" t="s">
        <v>1217</v>
      </c>
      <c r="N1450" t="s">
        <v>1217</v>
      </c>
      <c r="O1450" t="s">
        <v>1217</v>
      </c>
      <c r="P1450">
        <f>IFERROR(VLOOKUP(F1450,Sheet1!$A$2:$B$54,2,FALSE),"")</f>
        <v>4900390</v>
      </c>
    </row>
    <row r="1451" spans="1:16" x14ac:dyDescent="0.2">
      <c r="A1451" s="1">
        <v>2018</v>
      </c>
      <c r="B1451" t="s">
        <v>177</v>
      </c>
      <c r="C1451" s="10" t="s">
        <v>1678</v>
      </c>
      <c r="D1451" s="10" t="s">
        <v>1679</v>
      </c>
      <c r="E1451" s="10" t="s">
        <v>1682</v>
      </c>
      <c r="F1451" t="s">
        <v>674</v>
      </c>
      <c r="G1451" s="4">
        <v>571593</v>
      </c>
      <c r="H1451" s="4">
        <v>6780625</v>
      </c>
      <c r="I1451" s="4">
        <v>10820</v>
      </c>
      <c r="J1451" s="4">
        <f>SUM(G1451:I1451)</f>
        <v>7363038</v>
      </c>
      <c r="K1451" t="s">
        <v>1660</v>
      </c>
      <c r="L1451" t="s">
        <v>1660</v>
      </c>
      <c r="M1451" t="s">
        <v>1217</v>
      </c>
      <c r="N1451" t="s">
        <v>1217</v>
      </c>
      <c r="O1451" t="s">
        <v>1217</v>
      </c>
      <c r="P1451">
        <f>IFERROR(VLOOKUP(F1451,Sheet1!$A$2:$B$54,2,FALSE),"")</f>
        <v>4900390</v>
      </c>
    </row>
    <row r="1452" spans="1:16" x14ac:dyDescent="0.2">
      <c r="A1452" s="1">
        <v>2019</v>
      </c>
      <c r="B1452" t="s">
        <v>177</v>
      </c>
      <c r="C1452" s="10" t="s">
        <v>1678</v>
      </c>
      <c r="D1452" s="10" t="s">
        <v>1679</v>
      </c>
      <c r="E1452" s="10" t="s">
        <v>1682</v>
      </c>
      <c r="F1452" t="s">
        <v>674</v>
      </c>
      <c r="G1452" s="4">
        <v>764923</v>
      </c>
      <c r="H1452" s="4">
        <v>7407611</v>
      </c>
      <c r="I1452" s="4">
        <v>11848</v>
      </c>
      <c r="J1452" s="4">
        <f>SUM(G1452:I1452)</f>
        <v>8184382</v>
      </c>
      <c r="K1452" t="s">
        <v>1660</v>
      </c>
      <c r="L1452" t="s">
        <v>1660</v>
      </c>
      <c r="M1452" t="s">
        <v>1217</v>
      </c>
      <c r="N1452" t="s">
        <v>1217</v>
      </c>
      <c r="O1452" t="s">
        <v>1217</v>
      </c>
      <c r="P1452">
        <f>IFERROR(VLOOKUP(F1452,Sheet1!$A$2:$B$54,2,FALSE),"")</f>
        <v>4900390</v>
      </c>
    </row>
    <row r="1453" spans="1:16" x14ac:dyDescent="0.2">
      <c r="A1453" s="1">
        <v>2020</v>
      </c>
      <c r="B1453" t="s">
        <v>177</v>
      </c>
      <c r="C1453" s="10" t="s">
        <v>1678</v>
      </c>
      <c r="D1453" s="10" t="s">
        <v>1679</v>
      </c>
      <c r="E1453" s="10" t="s">
        <v>1682</v>
      </c>
      <c r="F1453" t="s">
        <v>674</v>
      </c>
      <c r="G1453" s="4">
        <v>935463</v>
      </c>
      <c r="H1453" s="4">
        <v>7452347</v>
      </c>
      <c r="I1453" s="4">
        <v>7124</v>
      </c>
      <c r="J1453" s="4">
        <f>SUM(G1453:I1453)</f>
        <v>8394934</v>
      </c>
      <c r="K1453" t="s">
        <v>1660</v>
      </c>
      <c r="L1453" t="s">
        <v>1660</v>
      </c>
      <c r="M1453" t="s">
        <v>1217</v>
      </c>
      <c r="N1453" t="s">
        <v>1217</v>
      </c>
      <c r="O1453" t="s">
        <v>1217</v>
      </c>
      <c r="P1453">
        <f>IFERROR(VLOOKUP(F1453,Sheet1!$A$2:$B$54,2,FALSE),"")</f>
        <v>4900390</v>
      </c>
    </row>
    <row r="1454" spans="1:16" x14ac:dyDescent="0.2">
      <c r="A1454" s="1">
        <v>2021</v>
      </c>
      <c r="B1454" t="s">
        <v>177</v>
      </c>
      <c r="C1454" s="10" t="s">
        <v>1678</v>
      </c>
      <c r="D1454" s="10" t="s">
        <v>1679</v>
      </c>
      <c r="E1454" s="10" t="s">
        <v>1682</v>
      </c>
      <c r="F1454" t="s">
        <v>674</v>
      </c>
      <c r="G1454" s="4">
        <v>1190270</v>
      </c>
      <c r="H1454" s="4">
        <v>7905605</v>
      </c>
      <c r="I1454" s="4">
        <v>0</v>
      </c>
      <c r="J1454" s="4">
        <f>SUM(G1454:I1454)</f>
        <v>9095875</v>
      </c>
      <c r="K1454" t="s">
        <v>1660</v>
      </c>
      <c r="L1454" t="s">
        <v>1660</v>
      </c>
      <c r="M1454" t="s">
        <v>674</v>
      </c>
      <c r="N1454" t="s">
        <v>674</v>
      </c>
      <c r="O1454" t="s">
        <v>674</v>
      </c>
      <c r="P1454">
        <f>IFERROR(VLOOKUP(F1454,Sheet1!$A$2:$B$54,2,FALSE),"")</f>
        <v>4900390</v>
      </c>
    </row>
    <row r="1455" spans="1:16" x14ac:dyDescent="0.2">
      <c r="A1455" s="1">
        <v>2022</v>
      </c>
      <c r="B1455" t="s">
        <v>177</v>
      </c>
      <c r="C1455" s="10" t="s">
        <v>1678</v>
      </c>
      <c r="D1455" s="10" t="s">
        <v>1679</v>
      </c>
      <c r="E1455" s="10" t="s">
        <v>1682</v>
      </c>
      <c r="F1455" t="s">
        <v>674</v>
      </c>
      <c r="G1455" s="4">
        <v>1474078</v>
      </c>
      <c r="H1455" s="4">
        <v>8492440</v>
      </c>
      <c r="I1455" s="4">
        <v>0</v>
      </c>
      <c r="J1455" s="4">
        <f>SUM(G1455:I1455)</f>
        <v>9966518</v>
      </c>
      <c r="K1455" t="s">
        <v>1660</v>
      </c>
      <c r="L1455" t="s">
        <v>1660</v>
      </c>
      <c r="M1455" t="s">
        <v>674</v>
      </c>
      <c r="N1455" t="s">
        <v>674</v>
      </c>
      <c r="O1455" t="s">
        <v>674</v>
      </c>
      <c r="P1455">
        <f>IFERROR(VLOOKUP(F1455,Sheet1!$A$2:$B$54,2,FALSE),"")</f>
        <v>4900390</v>
      </c>
    </row>
    <row r="1456" spans="1:16" x14ac:dyDescent="0.2">
      <c r="A1456" s="1">
        <v>2023</v>
      </c>
      <c r="B1456" t="s">
        <v>177</v>
      </c>
      <c r="C1456" s="10" t="s">
        <v>1678</v>
      </c>
      <c r="D1456" s="10" t="s">
        <v>1679</v>
      </c>
      <c r="E1456" s="10" t="s">
        <v>1682</v>
      </c>
      <c r="F1456" t="s">
        <v>674</v>
      </c>
      <c r="G1456" s="4">
        <v>1889941</v>
      </c>
      <c r="H1456" s="4">
        <v>9347965</v>
      </c>
      <c r="I1456" s="4"/>
      <c r="J1456" s="4">
        <f>SUM(G1456:I1456)</f>
        <v>11237906</v>
      </c>
      <c r="K1456" t="s">
        <v>1660</v>
      </c>
      <c r="L1456" t="s">
        <v>1659</v>
      </c>
      <c r="M1456" t="s">
        <v>674</v>
      </c>
      <c r="N1456" t="s">
        <v>674</v>
      </c>
      <c r="O1456" t="s">
        <v>1132</v>
      </c>
      <c r="P1456">
        <f>IFERROR(VLOOKUP(F1456,Sheet1!$A$2:$B$54,2,FALSE),"")</f>
        <v>4900390</v>
      </c>
    </row>
    <row r="1457" spans="1:16" x14ac:dyDescent="0.2">
      <c r="A1457" s="1">
        <v>2015</v>
      </c>
      <c r="B1457" t="s">
        <v>178</v>
      </c>
      <c r="C1457" s="10" t="s">
        <v>1678</v>
      </c>
      <c r="D1457" s="10" t="s">
        <v>1679</v>
      </c>
      <c r="E1457" s="10" t="s">
        <v>1682</v>
      </c>
      <c r="F1457" t="s">
        <v>675</v>
      </c>
      <c r="G1457" s="4">
        <v>12896</v>
      </c>
      <c r="H1457" s="4">
        <v>223910</v>
      </c>
      <c r="I1457" s="4"/>
      <c r="J1457" s="4">
        <f>SUM(G1457:I1457)</f>
        <v>236806</v>
      </c>
      <c r="K1457" t="s">
        <v>1660</v>
      </c>
      <c r="L1457" t="s">
        <v>1659</v>
      </c>
      <c r="M1457" t="s">
        <v>1218</v>
      </c>
      <c r="N1457" t="s">
        <v>1218</v>
      </c>
      <c r="O1457" t="s">
        <v>1132</v>
      </c>
      <c r="P1457" t="str">
        <f>IFERROR(VLOOKUP(F1457,Sheet1!$A$2:$B$54,2,FALSE),"")</f>
        <v/>
      </c>
    </row>
    <row r="1458" spans="1:16" x14ac:dyDescent="0.2">
      <c r="A1458" s="1">
        <v>2016</v>
      </c>
      <c r="B1458" t="s">
        <v>178</v>
      </c>
      <c r="C1458" s="10" t="s">
        <v>1678</v>
      </c>
      <c r="D1458" s="10" t="s">
        <v>1679</v>
      </c>
      <c r="E1458" s="10" t="s">
        <v>1682</v>
      </c>
      <c r="F1458" t="s">
        <v>675</v>
      </c>
      <c r="G1458" s="4">
        <v>9488</v>
      </c>
      <c r="H1458" s="4">
        <v>236018</v>
      </c>
      <c r="I1458" s="4"/>
      <c r="J1458" s="4">
        <f>SUM(G1458:I1458)</f>
        <v>245506</v>
      </c>
      <c r="K1458" t="s">
        <v>1660</v>
      </c>
      <c r="L1458" t="s">
        <v>1659</v>
      </c>
      <c r="M1458" t="s">
        <v>1218</v>
      </c>
      <c r="N1458" t="s">
        <v>1218</v>
      </c>
      <c r="O1458" t="s">
        <v>1132</v>
      </c>
      <c r="P1458" t="str">
        <f>IFERROR(VLOOKUP(F1458,Sheet1!$A$2:$B$54,2,FALSE),"")</f>
        <v/>
      </c>
    </row>
    <row r="1459" spans="1:16" x14ac:dyDescent="0.2">
      <c r="A1459" s="1">
        <v>2017</v>
      </c>
      <c r="B1459" t="s">
        <v>178</v>
      </c>
      <c r="C1459" s="10" t="s">
        <v>1678</v>
      </c>
      <c r="D1459" s="10" t="s">
        <v>1679</v>
      </c>
      <c r="E1459" s="10" t="s">
        <v>1682</v>
      </c>
      <c r="F1459" t="s">
        <v>675</v>
      </c>
      <c r="G1459" s="4">
        <v>15918</v>
      </c>
      <c r="H1459" s="4">
        <v>238707</v>
      </c>
      <c r="I1459" s="4"/>
      <c r="J1459" s="4">
        <f>SUM(G1459:I1459)</f>
        <v>254625</v>
      </c>
      <c r="K1459" t="s">
        <v>1660</v>
      </c>
      <c r="L1459" t="s">
        <v>1659</v>
      </c>
      <c r="M1459" t="s">
        <v>1218</v>
      </c>
      <c r="N1459" t="s">
        <v>1218</v>
      </c>
      <c r="O1459" t="s">
        <v>1132</v>
      </c>
      <c r="P1459" t="str">
        <f>IFERROR(VLOOKUP(F1459,Sheet1!$A$2:$B$54,2,FALSE),"")</f>
        <v/>
      </c>
    </row>
    <row r="1460" spans="1:16" x14ac:dyDescent="0.2">
      <c r="A1460" s="1">
        <v>2018</v>
      </c>
      <c r="B1460" t="s">
        <v>178</v>
      </c>
      <c r="C1460" s="10" t="s">
        <v>1678</v>
      </c>
      <c r="D1460" s="10" t="s">
        <v>1679</v>
      </c>
      <c r="E1460" s="10" t="s">
        <v>1682</v>
      </c>
      <c r="F1460" t="s">
        <v>675</v>
      </c>
      <c r="G1460" s="4">
        <v>25116</v>
      </c>
      <c r="H1460" s="4">
        <v>237607</v>
      </c>
      <c r="I1460" s="4"/>
      <c r="J1460" s="4">
        <f>SUM(G1460:I1460)</f>
        <v>262723</v>
      </c>
      <c r="K1460" t="s">
        <v>1660</v>
      </c>
      <c r="L1460" t="s">
        <v>1659</v>
      </c>
      <c r="M1460" t="s">
        <v>1218</v>
      </c>
      <c r="N1460" t="s">
        <v>1218</v>
      </c>
      <c r="O1460" t="s">
        <v>1132</v>
      </c>
      <c r="P1460" t="str">
        <f>IFERROR(VLOOKUP(F1460,Sheet1!$A$2:$B$54,2,FALSE),"")</f>
        <v/>
      </c>
    </row>
    <row r="1461" spans="1:16" x14ac:dyDescent="0.2">
      <c r="A1461" s="1">
        <v>2019</v>
      </c>
      <c r="B1461" t="s">
        <v>178</v>
      </c>
      <c r="C1461" s="10" t="s">
        <v>1678</v>
      </c>
      <c r="D1461" s="10" t="s">
        <v>1679</v>
      </c>
      <c r="E1461" s="10" t="s">
        <v>1682</v>
      </c>
      <c r="F1461" t="s">
        <v>675</v>
      </c>
      <c r="G1461" s="4">
        <v>40718</v>
      </c>
      <c r="H1461" s="4">
        <v>261439</v>
      </c>
      <c r="I1461" s="4"/>
      <c r="J1461" s="4">
        <f>SUM(G1461:I1461)</f>
        <v>302157</v>
      </c>
      <c r="K1461" t="s">
        <v>1660</v>
      </c>
      <c r="L1461" t="s">
        <v>1659</v>
      </c>
      <c r="M1461" t="s">
        <v>1219</v>
      </c>
      <c r="N1461" t="s">
        <v>1219</v>
      </c>
      <c r="O1461" t="s">
        <v>1132</v>
      </c>
      <c r="P1461" t="str">
        <f>IFERROR(VLOOKUP(F1461,Sheet1!$A$2:$B$54,2,FALSE),"")</f>
        <v/>
      </c>
    </row>
    <row r="1462" spans="1:16" x14ac:dyDescent="0.2">
      <c r="A1462" s="1">
        <v>2020</v>
      </c>
      <c r="B1462" t="s">
        <v>178</v>
      </c>
      <c r="C1462" s="10" t="s">
        <v>1678</v>
      </c>
      <c r="D1462" s="10" t="s">
        <v>1679</v>
      </c>
      <c r="E1462" s="10" t="s">
        <v>1682</v>
      </c>
      <c r="F1462" t="s">
        <v>675</v>
      </c>
      <c r="G1462" s="4">
        <v>48004</v>
      </c>
      <c r="H1462" s="4">
        <v>285563</v>
      </c>
      <c r="I1462" s="4"/>
      <c r="J1462" s="4">
        <f>SUM(G1462:I1462)</f>
        <v>333567</v>
      </c>
      <c r="K1462" t="s">
        <v>1660</v>
      </c>
      <c r="L1462" t="s">
        <v>1659</v>
      </c>
      <c r="M1462" t="s">
        <v>1218</v>
      </c>
      <c r="N1462" t="s">
        <v>1218</v>
      </c>
      <c r="O1462" t="s">
        <v>1132</v>
      </c>
      <c r="P1462" t="str">
        <f>IFERROR(VLOOKUP(F1462,Sheet1!$A$2:$B$54,2,FALSE),"")</f>
        <v/>
      </c>
    </row>
    <row r="1463" spans="1:16" x14ac:dyDescent="0.2">
      <c r="A1463" s="1">
        <v>2021</v>
      </c>
      <c r="B1463" t="s">
        <v>178</v>
      </c>
      <c r="C1463" s="10" t="s">
        <v>1678</v>
      </c>
      <c r="D1463" s="10" t="s">
        <v>1679</v>
      </c>
      <c r="E1463" s="10" t="s">
        <v>1682</v>
      </c>
      <c r="F1463" t="s">
        <v>675</v>
      </c>
      <c r="G1463" s="4">
        <v>54170</v>
      </c>
      <c r="H1463" s="4">
        <v>297827</v>
      </c>
      <c r="I1463" s="4"/>
      <c r="J1463" s="4">
        <f>SUM(G1463:I1463)</f>
        <v>351997</v>
      </c>
      <c r="K1463" t="s">
        <v>1660</v>
      </c>
      <c r="L1463" t="s">
        <v>1659</v>
      </c>
      <c r="M1463" t="s">
        <v>675</v>
      </c>
      <c r="N1463" t="s">
        <v>675</v>
      </c>
      <c r="O1463" t="s">
        <v>1132</v>
      </c>
      <c r="P1463" t="str">
        <f>IFERROR(VLOOKUP(F1463,Sheet1!$A$2:$B$54,2,FALSE),"")</f>
        <v/>
      </c>
    </row>
    <row r="1464" spans="1:16" x14ac:dyDescent="0.2">
      <c r="A1464" s="1">
        <v>2022</v>
      </c>
      <c r="B1464" t="s">
        <v>178</v>
      </c>
      <c r="C1464" s="10" t="s">
        <v>1678</v>
      </c>
      <c r="D1464" s="10" t="s">
        <v>1679</v>
      </c>
      <c r="E1464" s="10" t="s">
        <v>1682</v>
      </c>
      <c r="F1464" t="s">
        <v>675</v>
      </c>
      <c r="G1464" s="4">
        <v>66998</v>
      </c>
      <c r="H1464" s="4">
        <v>302402</v>
      </c>
      <c r="I1464" s="4"/>
      <c r="J1464" s="4">
        <f>SUM(G1464:I1464)</f>
        <v>369400</v>
      </c>
      <c r="K1464" t="s">
        <v>1660</v>
      </c>
      <c r="L1464" t="s">
        <v>1659</v>
      </c>
      <c r="M1464" t="s">
        <v>675</v>
      </c>
      <c r="N1464" t="s">
        <v>675</v>
      </c>
      <c r="O1464" t="s">
        <v>1132</v>
      </c>
      <c r="P1464" t="str">
        <f>IFERROR(VLOOKUP(F1464,Sheet1!$A$2:$B$54,2,FALSE),"")</f>
        <v/>
      </c>
    </row>
    <row r="1465" spans="1:16" x14ac:dyDescent="0.2">
      <c r="A1465" s="1">
        <v>2023</v>
      </c>
      <c r="B1465" t="s">
        <v>178</v>
      </c>
      <c r="C1465" s="10" t="s">
        <v>1678</v>
      </c>
      <c r="D1465" s="10" t="s">
        <v>1679</v>
      </c>
      <c r="E1465" s="10" t="s">
        <v>1682</v>
      </c>
      <c r="F1465" t="s">
        <v>675</v>
      </c>
      <c r="G1465" s="4">
        <v>77152</v>
      </c>
      <c r="H1465" s="4">
        <v>318442</v>
      </c>
      <c r="I1465" s="4"/>
      <c r="J1465" s="4">
        <f>SUM(G1465:I1465)</f>
        <v>395594</v>
      </c>
      <c r="K1465" t="s">
        <v>1660</v>
      </c>
      <c r="L1465" t="s">
        <v>1659</v>
      </c>
      <c r="M1465" t="s">
        <v>675</v>
      </c>
      <c r="N1465" t="s">
        <v>675</v>
      </c>
      <c r="O1465" t="s">
        <v>1132</v>
      </c>
      <c r="P1465" t="str">
        <f>IFERROR(VLOOKUP(F1465,Sheet1!$A$2:$B$54,2,FALSE),"")</f>
        <v/>
      </c>
    </row>
    <row r="1466" spans="1:16" x14ac:dyDescent="0.2">
      <c r="A1466" s="1">
        <v>2015</v>
      </c>
      <c r="B1466" t="s">
        <v>179</v>
      </c>
      <c r="C1466" s="10" t="s">
        <v>1678</v>
      </c>
      <c r="D1466" s="10" t="s">
        <v>1679</v>
      </c>
      <c r="E1466" s="10" t="s">
        <v>1682</v>
      </c>
      <c r="F1466" t="s">
        <v>676</v>
      </c>
      <c r="G1466" s="4">
        <v>21617</v>
      </c>
      <c r="H1466" s="4"/>
      <c r="I1466" s="4"/>
      <c r="J1466" s="4">
        <f>SUM(G1466:I1466)</f>
        <v>21617</v>
      </c>
      <c r="K1466" t="s">
        <v>1659</v>
      </c>
      <c r="L1466" t="s">
        <v>1659</v>
      </c>
      <c r="M1466" t="s">
        <v>1220</v>
      </c>
      <c r="N1466" t="s">
        <v>1132</v>
      </c>
      <c r="O1466" t="s">
        <v>1132</v>
      </c>
      <c r="P1466" t="str">
        <f>IFERROR(VLOOKUP(F1466,Sheet1!$A$2:$B$54,2,FALSE),"")</f>
        <v/>
      </c>
    </row>
    <row r="1467" spans="1:16" x14ac:dyDescent="0.2">
      <c r="A1467" s="1">
        <v>2016</v>
      </c>
      <c r="B1467" t="s">
        <v>179</v>
      </c>
      <c r="C1467" s="10" t="s">
        <v>1678</v>
      </c>
      <c r="D1467" s="10" t="s">
        <v>1679</v>
      </c>
      <c r="E1467" s="10" t="s">
        <v>1682</v>
      </c>
      <c r="F1467" t="s">
        <v>676</v>
      </c>
      <c r="G1467" s="4">
        <v>32864</v>
      </c>
      <c r="H1467" s="4"/>
      <c r="I1467" s="4"/>
      <c r="J1467" s="4">
        <f>SUM(G1467:I1467)</f>
        <v>32864</v>
      </c>
      <c r="K1467" t="s">
        <v>1659</v>
      </c>
      <c r="L1467" t="s">
        <v>1659</v>
      </c>
      <c r="M1467" t="s">
        <v>1220</v>
      </c>
      <c r="N1467" t="s">
        <v>1132</v>
      </c>
      <c r="O1467" t="s">
        <v>1132</v>
      </c>
      <c r="P1467" t="str">
        <f>IFERROR(VLOOKUP(F1467,Sheet1!$A$2:$B$54,2,FALSE),"")</f>
        <v/>
      </c>
    </row>
    <row r="1468" spans="1:16" x14ac:dyDescent="0.2">
      <c r="A1468" s="1">
        <v>2017</v>
      </c>
      <c r="B1468" t="s">
        <v>179</v>
      </c>
      <c r="C1468" s="10" t="s">
        <v>1678</v>
      </c>
      <c r="D1468" s="10" t="s">
        <v>1679</v>
      </c>
      <c r="E1468" s="10" t="s">
        <v>1682</v>
      </c>
      <c r="F1468" t="s">
        <v>676</v>
      </c>
      <c r="G1468" s="4">
        <v>38073</v>
      </c>
      <c r="H1468" s="4"/>
      <c r="I1468" s="4"/>
      <c r="J1468" s="4">
        <f>SUM(G1468:I1468)</f>
        <v>38073</v>
      </c>
      <c r="K1468" t="s">
        <v>1659</v>
      </c>
      <c r="L1468" t="s">
        <v>1659</v>
      </c>
      <c r="M1468" t="s">
        <v>1220</v>
      </c>
      <c r="N1468" t="s">
        <v>1132</v>
      </c>
      <c r="O1468" t="s">
        <v>1132</v>
      </c>
      <c r="P1468" t="str">
        <f>IFERROR(VLOOKUP(F1468,Sheet1!$A$2:$B$54,2,FALSE),"")</f>
        <v/>
      </c>
    </row>
    <row r="1469" spans="1:16" x14ac:dyDescent="0.2">
      <c r="A1469" s="1">
        <v>2018</v>
      </c>
      <c r="B1469" t="s">
        <v>179</v>
      </c>
      <c r="C1469" s="10" t="s">
        <v>1678</v>
      </c>
      <c r="D1469" s="10" t="s">
        <v>1679</v>
      </c>
      <c r="E1469" s="10" t="s">
        <v>1682</v>
      </c>
      <c r="F1469" t="s">
        <v>676</v>
      </c>
      <c r="G1469" s="4">
        <v>44289</v>
      </c>
      <c r="H1469" s="4"/>
      <c r="I1469" s="4"/>
      <c r="J1469" s="4">
        <f>SUM(G1469:I1469)</f>
        <v>44289</v>
      </c>
      <c r="K1469" t="s">
        <v>1659</v>
      </c>
      <c r="L1469" t="s">
        <v>1659</v>
      </c>
      <c r="M1469" t="s">
        <v>1220</v>
      </c>
      <c r="N1469" t="s">
        <v>1132</v>
      </c>
      <c r="O1469" t="s">
        <v>1132</v>
      </c>
      <c r="P1469" t="str">
        <f>IFERROR(VLOOKUP(F1469,Sheet1!$A$2:$B$54,2,FALSE),"")</f>
        <v/>
      </c>
    </row>
    <row r="1470" spans="1:16" x14ac:dyDescent="0.2">
      <c r="A1470" s="1">
        <v>2019</v>
      </c>
      <c r="B1470" t="s">
        <v>179</v>
      </c>
      <c r="C1470" s="10" t="s">
        <v>1678</v>
      </c>
      <c r="D1470" s="10" t="s">
        <v>1679</v>
      </c>
      <c r="E1470" s="10" t="s">
        <v>1682</v>
      </c>
      <c r="F1470" t="s">
        <v>676</v>
      </c>
      <c r="G1470" s="4">
        <v>56919</v>
      </c>
      <c r="H1470" s="4"/>
      <c r="I1470" s="4"/>
      <c r="J1470" s="4">
        <f>SUM(G1470:I1470)</f>
        <v>56919</v>
      </c>
      <c r="K1470" t="s">
        <v>1659</v>
      </c>
      <c r="L1470" t="s">
        <v>1659</v>
      </c>
      <c r="M1470" t="s">
        <v>1220</v>
      </c>
      <c r="N1470" t="s">
        <v>1132</v>
      </c>
      <c r="O1470" t="s">
        <v>1132</v>
      </c>
      <c r="P1470" t="str">
        <f>IFERROR(VLOOKUP(F1470,Sheet1!$A$2:$B$54,2,FALSE),"")</f>
        <v/>
      </c>
    </row>
    <row r="1471" spans="1:16" x14ac:dyDescent="0.2">
      <c r="A1471" s="1">
        <v>2020</v>
      </c>
      <c r="B1471" t="s">
        <v>179</v>
      </c>
      <c r="C1471" s="10" t="s">
        <v>1678</v>
      </c>
      <c r="D1471" s="10" t="s">
        <v>1679</v>
      </c>
      <c r="E1471" s="10" t="s">
        <v>1682</v>
      </c>
      <c r="F1471" t="s">
        <v>676</v>
      </c>
      <c r="G1471" s="4">
        <v>70467</v>
      </c>
      <c r="H1471" s="4"/>
      <c r="I1471" s="4"/>
      <c r="J1471" s="4">
        <f>SUM(G1471:I1471)</f>
        <v>70467</v>
      </c>
      <c r="K1471" t="s">
        <v>1659</v>
      </c>
      <c r="L1471" t="s">
        <v>1659</v>
      </c>
      <c r="M1471" t="s">
        <v>1220</v>
      </c>
      <c r="N1471" t="s">
        <v>1132</v>
      </c>
      <c r="O1471" t="s">
        <v>1132</v>
      </c>
      <c r="P1471" t="str">
        <f>IFERROR(VLOOKUP(F1471,Sheet1!$A$2:$B$54,2,FALSE),"")</f>
        <v/>
      </c>
    </row>
    <row r="1472" spans="1:16" x14ac:dyDescent="0.2">
      <c r="A1472" s="1">
        <v>2021</v>
      </c>
      <c r="B1472" t="s">
        <v>179</v>
      </c>
      <c r="C1472" s="10" t="s">
        <v>1678</v>
      </c>
      <c r="D1472" s="10" t="s">
        <v>1679</v>
      </c>
      <c r="E1472" s="10" t="s">
        <v>1682</v>
      </c>
      <c r="F1472" t="s">
        <v>676</v>
      </c>
      <c r="G1472" s="4">
        <v>80497</v>
      </c>
      <c r="H1472" s="4"/>
      <c r="I1472" s="4"/>
      <c r="J1472" s="4">
        <f>SUM(G1472:I1472)</f>
        <v>80497</v>
      </c>
      <c r="K1472" t="s">
        <v>1659</v>
      </c>
      <c r="L1472" t="s">
        <v>1659</v>
      </c>
      <c r="M1472" t="s">
        <v>676</v>
      </c>
      <c r="N1472" t="s">
        <v>1132</v>
      </c>
      <c r="O1472" t="s">
        <v>1132</v>
      </c>
      <c r="P1472" t="str">
        <f>IFERROR(VLOOKUP(F1472,Sheet1!$A$2:$B$54,2,FALSE),"")</f>
        <v/>
      </c>
    </row>
    <row r="1473" spans="1:16" x14ac:dyDescent="0.2">
      <c r="A1473" s="1">
        <v>2022</v>
      </c>
      <c r="B1473" t="s">
        <v>179</v>
      </c>
      <c r="C1473" s="10" t="s">
        <v>1678</v>
      </c>
      <c r="D1473" s="10" t="s">
        <v>1679</v>
      </c>
      <c r="E1473" s="10" t="s">
        <v>1682</v>
      </c>
      <c r="F1473" t="s">
        <v>676</v>
      </c>
      <c r="G1473" s="4">
        <v>92659</v>
      </c>
      <c r="H1473" s="4"/>
      <c r="I1473" s="4"/>
      <c r="J1473" s="4">
        <f>SUM(G1473:I1473)</f>
        <v>92659</v>
      </c>
      <c r="K1473" t="s">
        <v>1659</v>
      </c>
      <c r="L1473" t="s">
        <v>1659</v>
      </c>
      <c r="M1473" t="s">
        <v>676</v>
      </c>
      <c r="N1473" t="s">
        <v>1132</v>
      </c>
      <c r="O1473" t="s">
        <v>1132</v>
      </c>
      <c r="P1473" t="str">
        <f>IFERROR(VLOOKUP(F1473,Sheet1!$A$2:$B$54,2,FALSE),"")</f>
        <v/>
      </c>
    </row>
    <row r="1474" spans="1:16" x14ac:dyDescent="0.2">
      <c r="A1474" s="1">
        <v>2023</v>
      </c>
      <c r="B1474" t="s">
        <v>179</v>
      </c>
      <c r="C1474" s="10" t="s">
        <v>1678</v>
      </c>
      <c r="D1474" s="10" t="s">
        <v>1679</v>
      </c>
      <c r="E1474" s="10" t="s">
        <v>1682</v>
      </c>
      <c r="F1474" t="s">
        <v>676</v>
      </c>
      <c r="G1474" s="4">
        <v>99757</v>
      </c>
      <c r="H1474" s="4"/>
      <c r="I1474" s="4"/>
      <c r="J1474" s="4">
        <f>SUM(G1474:I1474)</f>
        <v>99757</v>
      </c>
      <c r="K1474" t="s">
        <v>1659</v>
      </c>
      <c r="L1474" t="s">
        <v>1659</v>
      </c>
      <c r="M1474" t="s">
        <v>676</v>
      </c>
      <c r="N1474" t="s">
        <v>1132</v>
      </c>
      <c r="O1474" t="s">
        <v>1132</v>
      </c>
      <c r="P1474" t="str">
        <f>IFERROR(VLOOKUP(F1474,Sheet1!$A$2:$B$54,2,FALSE),"")</f>
        <v/>
      </c>
    </row>
    <row r="1475" spans="1:16" x14ac:dyDescent="0.2">
      <c r="A1475" s="1">
        <v>2015</v>
      </c>
      <c r="B1475" t="s">
        <v>180</v>
      </c>
      <c r="C1475" s="10" t="s">
        <v>1678</v>
      </c>
      <c r="D1475" s="10" t="s">
        <v>1679</v>
      </c>
      <c r="E1475" s="10" t="s">
        <v>1682</v>
      </c>
      <c r="F1475" t="s">
        <v>677</v>
      </c>
      <c r="G1475" s="4">
        <v>1042</v>
      </c>
      <c r="H1475" s="4"/>
      <c r="I1475" s="4"/>
      <c r="J1475" s="4">
        <f>SUM(G1475:I1475)</f>
        <v>1042</v>
      </c>
      <c r="K1475" t="s">
        <v>1659</v>
      </c>
      <c r="L1475" t="s">
        <v>1659</v>
      </c>
      <c r="M1475" t="s">
        <v>1221</v>
      </c>
      <c r="N1475" t="s">
        <v>1132</v>
      </c>
      <c r="O1475" t="s">
        <v>1132</v>
      </c>
      <c r="P1475" t="str">
        <f>IFERROR(VLOOKUP(F1475,Sheet1!$A$2:$B$54,2,FALSE),"")</f>
        <v/>
      </c>
    </row>
    <row r="1476" spans="1:16" x14ac:dyDescent="0.2">
      <c r="A1476" s="1">
        <v>2016</v>
      </c>
      <c r="B1476" t="s">
        <v>180</v>
      </c>
      <c r="C1476" s="10" t="s">
        <v>1678</v>
      </c>
      <c r="D1476" s="10" t="s">
        <v>1679</v>
      </c>
      <c r="E1476" s="10" t="s">
        <v>1682</v>
      </c>
      <c r="F1476" t="s">
        <v>677</v>
      </c>
      <c r="G1476" s="4">
        <v>1363</v>
      </c>
      <c r="H1476" s="4"/>
      <c r="I1476" s="4"/>
      <c r="J1476" s="4">
        <f>SUM(G1476:I1476)</f>
        <v>1363</v>
      </c>
      <c r="K1476" t="s">
        <v>1659</v>
      </c>
      <c r="L1476" t="s">
        <v>1659</v>
      </c>
      <c r="M1476" t="s">
        <v>1221</v>
      </c>
      <c r="N1476" t="s">
        <v>1132</v>
      </c>
      <c r="O1476" t="s">
        <v>1132</v>
      </c>
      <c r="P1476" t="str">
        <f>IFERROR(VLOOKUP(F1476,Sheet1!$A$2:$B$54,2,FALSE),"")</f>
        <v/>
      </c>
    </row>
    <row r="1477" spans="1:16" x14ac:dyDescent="0.2">
      <c r="A1477" s="1">
        <v>2017</v>
      </c>
      <c r="B1477" t="s">
        <v>180</v>
      </c>
      <c r="C1477" s="10" t="s">
        <v>1678</v>
      </c>
      <c r="D1477" s="10" t="s">
        <v>1679</v>
      </c>
      <c r="E1477" s="10" t="s">
        <v>1682</v>
      </c>
      <c r="F1477" t="s">
        <v>677</v>
      </c>
      <c r="G1477" s="4">
        <v>0</v>
      </c>
      <c r="H1477" s="4"/>
      <c r="I1477" s="4"/>
      <c r="J1477" s="4">
        <f>SUM(G1477:I1477)</f>
        <v>0</v>
      </c>
      <c r="K1477" t="s">
        <v>1659</v>
      </c>
      <c r="L1477" t="s">
        <v>1659</v>
      </c>
      <c r="M1477" t="s">
        <v>1221</v>
      </c>
      <c r="N1477" t="s">
        <v>1132</v>
      </c>
      <c r="O1477" t="s">
        <v>1132</v>
      </c>
      <c r="P1477" t="str">
        <f>IFERROR(VLOOKUP(F1477,Sheet1!$A$2:$B$54,2,FALSE),"")</f>
        <v/>
      </c>
    </row>
    <row r="1478" spans="1:16" x14ac:dyDescent="0.2">
      <c r="A1478" s="1">
        <v>2018</v>
      </c>
      <c r="B1478" t="s">
        <v>180</v>
      </c>
      <c r="C1478" s="10" t="s">
        <v>1678</v>
      </c>
      <c r="D1478" s="10" t="s">
        <v>1679</v>
      </c>
      <c r="E1478" s="10" t="s">
        <v>1682</v>
      </c>
      <c r="F1478" t="s">
        <v>677</v>
      </c>
      <c r="G1478" s="4">
        <v>0</v>
      </c>
      <c r="H1478" s="4"/>
      <c r="I1478" s="4"/>
      <c r="J1478" s="4">
        <f>SUM(G1478:I1478)</f>
        <v>0</v>
      </c>
      <c r="K1478" t="s">
        <v>1659</v>
      </c>
      <c r="L1478" t="s">
        <v>1659</v>
      </c>
      <c r="M1478" t="s">
        <v>1221</v>
      </c>
      <c r="N1478" t="s">
        <v>1132</v>
      </c>
      <c r="O1478" t="s">
        <v>1132</v>
      </c>
      <c r="P1478" t="str">
        <f>IFERROR(VLOOKUP(F1478,Sheet1!$A$2:$B$54,2,FALSE),"")</f>
        <v/>
      </c>
    </row>
    <row r="1479" spans="1:16" x14ac:dyDescent="0.2">
      <c r="A1479" s="1">
        <v>2019</v>
      </c>
      <c r="B1479" t="s">
        <v>180</v>
      </c>
      <c r="C1479" s="10" t="s">
        <v>1678</v>
      </c>
      <c r="D1479" s="10" t="s">
        <v>1679</v>
      </c>
      <c r="E1479" s="10" t="s">
        <v>1682</v>
      </c>
      <c r="F1479" t="s">
        <v>677</v>
      </c>
      <c r="G1479" s="4">
        <v>0</v>
      </c>
      <c r="H1479" s="4"/>
      <c r="I1479" s="4"/>
      <c r="J1479" s="4">
        <f>SUM(G1479:I1479)</f>
        <v>0</v>
      </c>
      <c r="K1479" t="s">
        <v>1659</v>
      </c>
      <c r="L1479" t="s">
        <v>1659</v>
      </c>
      <c r="M1479" t="s">
        <v>1221</v>
      </c>
      <c r="N1479" t="s">
        <v>1132</v>
      </c>
      <c r="O1479" t="s">
        <v>1132</v>
      </c>
      <c r="P1479" t="str">
        <f>IFERROR(VLOOKUP(F1479,Sheet1!$A$2:$B$54,2,FALSE),"")</f>
        <v/>
      </c>
    </row>
    <row r="1480" spans="1:16" x14ac:dyDescent="0.2">
      <c r="A1480" s="1">
        <v>2020</v>
      </c>
      <c r="B1480" t="s">
        <v>180</v>
      </c>
      <c r="C1480" s="10" t="s">
        <v>1678</v>
      </c>
      <c r="D1480" s="10" t="s">
        <v>1679</v>
      </c>
      <c r="E1480" s="10" t="s">
        <v>1682</v>
      </c>
      <c r="F1480" t="s">
        <v>677</v>
      </c>
      <c r="G1480" s="4">
        <v>2825</v>
      </c>
      <c r="H1480" s="4"/>
      <c r="I1480" s="4"/>
      <c r="J1480" s="4">
        <f>SUM(G1480:I1480)</f>
        <v>2825</v>
      </c>
      <c r="K1480" t="s">
        <v>1659</v>
      </c>
      <c r="L1480" t="s">
        <v>1659</v>
      </c>
      <c r="M1480" t="s">
        <v>1221</v>
      </c>
      <c r="N1480" t="s">
        <v>1132</v>
      </c>
      <c r="O1480" t="s">
        <v>1132</v>
      </c>
      <c r="P1480" t="str">
        <f>IFERROR(VLOOKUP(F1480,Sheet1!$A$2:$B$54,2,FALSE),"")</f>
        <v/>
      </c>
    </row>
    <row r="1481" spans="1:16" x14ac:dyDescent="0.2">
      <c r="A1481" s="1">
        <v>2021</v>
      </c>
      <c r="B1481" t="s">
        <v>180</v>
      </c>
      <c r="C1481" s="10" t="s">
        <v>1678</v>
      </c>
      <c r="D1481" s="10" t="s">
        <v>1679</v>
      </c>
      <c r="E1481" s="10" t="s">
        <v>1682</v>
      </c>
      <c r="F1481" t="s">
        <v>677</v>
      </c>
      <c r="G1481" s="4">
        <v>0</v>
      </c>
      <c r="H1481" s="4"/>
      <c r="I1481" s="4"/>
      <c r="J1481" s="4">
        <f>SUM(G1481:I1481)</f>
        <v>0</v>
      </c>
      <c r="K1481" t="s">
        <v>1659</v>
      </c>
      <c r="L1481" t="s">
        <v>1659</v>
      </c>
      <c r="M1481" t="s">
        <v>677</v>
      </c>
      <c r="N1481" t="s">
        <v>1132</v>
      </c>
      <c r="O1481" t="s">
        <v>1132</v>
      </c>
      <c r="P1481" t="str">
        <f>IFERROR(VLOOKUP(F1481,Sheet1!$A$2:$B$54,2,FALSE),"")</f>
        <v/>
      </c>
    </row>
    <row r="1482" spans="1:16" x14ac:dyDescent="0.2">
      <c r="A1482" s="1">
        <v>2022</v>
      </c>
      <c r="B1482" t="s">
        <v>180</v>
      </c>
      <c r="C1482" s="10" t="s">
        <v>1678</v>
      </c>
      <c r="D1482" s="10" t="s">
        <v>1679</v>
      </c>
      <c r="E1482" s="10" t="s">
        <v>1682</v>
      </c>
      <c r="F1482" t="s">
        <v>677</v>
      </c>
      <c r="G1482" s="4">
        <v>1361</v>
      </c>
      <c r="H1482" s="4"/>
      <c r="I1482" s="4"/>
      <c r="J1482" s="4">
        <f>SUM(G1482:I1482)</f>
        <v>1361</v>
      </c>
      <c r="K1482" t="s">
        <v>1659</v>
      </c>
      <c r="L1482" t="s">
        <v>1659</v>
      </c>
      <c r="M1482" t="s">
        <v>677</v>
      </c>
      <c r="N1482" t="s">
        <v>1132</v>
      </c>
      <c r="O1482" t="s">
        <v>1132</v>
      </c>
      <c r="P1482" t="str">
        <f>IFERROR(VLOOKUP(F1482,Sheet1!$A$2:$B$54,2,FALSE),"")</f>
        <v/>
      </c>
    </row>
    <row r="1483" spans="1:16" x14ac:dyDescent="0.2">
      <c r="A1483" s="1">
        <v>2023</v>
      </c>
      <c r="B1483" t="s">
        <v>180</v>
      </c>
      <c r="C1483" s="10" t="s">
        <v>1678</v>
      </c>
      <c r="D1483" s="10" t="s">
        <v>1679</v>
      </c>
      <c r="E1483" s="10" t="s">
        <v>1682</v>
      </c>
      <c r="F1483" t="s">
        <v>677</v>
      </c>
      <c r="G1483" s="4">
        <v>3083</v>
      </c>
      <c r="H1483" s="4"/>
      <c r="I1483" s="4"/>
      <c r="J1483" s="4">
        <f>SUM(G1483:I1483)</f>
        <v>3083</v>
      </c>
      <c r="K1483" t="s">
        <v>1659</v>
      </c>
      <c r="L1483" t="s">
        <v>1659</v>
      </c>
      <c r="M1483" t="s">
        <v>677</v>
      </c>
      <c r="N1483" t="s">
        <v>1132</v>
      </c>
      <c r="O1483" t="s">
        <v>1132</v>
      </c>
      <c r="P1483" t="str">
        <f>IFERROR(VLOOKUP(F1483,Sheet1!$A$2:$B$54,2,FALSE),"")</f>
        <v/>
      </c>
    </row>
    <row r="1484" spans="1:16" x14ac:dyDescent="0.2">
      <c r="A1484" s="1">
        <v>2015</v>
      </c>
      <c r="B1484" t="s">
        <v>181</v>
      </c>
      <c r="C1484" s="10" t="s">
        <v>1678</v>
      </c>
      <c r="D1484" s="10" t="s">
        <v>1679</v>
      </c>
      <c r="E1484" s="10" t="s">
        <v>1682</v>
      </c>
      <c r="F1484" t="s">
        <v>678</v>
      </c>
      <c r="G1484" s="4">
        <v>2260071</v>
      </c>
      <c r="H1484" s="4">
        <v>32989032</v>
      </c>
      <c r="I1484" s="4">
        <v>116580</v>
      </c>
      <c r="J1484" s="4">
        <f>SUM(G1484:I1484)</f>
        <v>35365683</v>
      </c>
      <c r="K1484" t="s">
        <v>1660</v>
      </c>
      <c r="L1484" t="s">
        <v>1660</v>
      </c>
      <c r="M1484" t="s">
        <v>1222</v>
      </c>
      <c r="N1484" t="s">
        <v>1222</v>
      </c>
      <c r="O1484" t="s">
        <v>1222</v>
      </c>
      <c r="P1484">
        <f>IFERROR(VLOOKUP(F1484,Sheet1!$A$2:$B$54,2,FALSE),"")</f>
        <v>4900420</v>
      </c>
    </row>
    <row r="1485" spans="1:16" x14ac:dyDescent="0.2">
      <c r="A1485" s="1">
        <v>2016</v>
      </c>
      <c r="B1485" t="s">
        <v>181</v>
      </c>
      <c r="C1485" s="10" t="s">
        <v>1678</v>
      </c>
      <c r="D1485" s="10" t="s">
        <v>1679</v>
      </c>
      <c r="E1485" s="10" t="s">
        <v>1682</v>
      </c>
      <c r="F1485" t="s">
        <v>678</v>
      </c>
      <c r="G1485" s="4">
        <v>2868620</v>
      </c>
      <c r="H1485" s="4">
        <v>33444985</v>
      </c>
      <c r="I1485" s="4">
        <v>99254</v>
      </c>
      <c r="J1485" s="4">
        <f>SUM(G1485:I1485)</f>
        <v>36412859</v>
      </c>
      <c r="K1485" t="s">
        <v>1660</v>
      </c>
      <c r="L1485" t="s">
        <v>1660</v>
      </c>
      <c r="M1485" t="s">
        <v>1222</v>
      </c>
      <c r="N1485" t="s">
        <v>1222</v>
      </c>
      <c r="O1485" t="s">
        <v>1222</v>
      </c>
      <c r="P1485">
        <f>IFERROR(VLOOKUP(F1485,Sheet1!$A$2:$B$54,2,FALSE),"")</f>
        <v>4900420</v>
      </c>
    </row>
    <row r="1486" spans="1:16" x14ac:dyDescent="0.2">
      <c r="A1486" s="1">
        <v>2017</v>
      </c>
      <c r="B1486" t="s">
        <v>181</v>
      </c>
      <c r="C1486" s="10" t="s">
        <v>1678</v>
      </c>
      <c r="D1486" s="10" t="s">
        <v>1679</v>
      </c>
      <c r="E1486" s="10" t="s">
        <v>1682</v>
      </c>
      <c r="F1486" t="s">
        <v>678</v>
      </c>
      <c r="G1486" s="4">
        <v>3579619</v>
      </c>
      <c r="H1486" s="4">
        <v>34572654</v>
      </c>
      <c r="I1486" s="4">
        <v>87645</v>
      </c>
      <c r="J1486" s="4">
        <f>SUM(G1486:I1486)</f>
        <v>38239918</v>
      </c>
      <c r="K1486" t="s">
        <v>1660</v>
      </c>
      <c r="L1486" t="s">
        <v>1660</v>
      </c>
      <c r="M1486" t="s">
        <v>1222</v>
      </c>
      <c r="N1486" t="s">
        <v>1222</v>
      </c>
      <c r="O1486" t="s">
        <v>1222</v>
      </c>
      <c r="P1486">
        <f>IFERROR(VLOOKUP(F1486,Sheet1!$A$2:$B$54,2,FALSE),"")</f>
        <v>4900420</v>
      </c>
    </row>
    <row r="1487" spans="1:16" x14ac:dyDescent="0.2">
      <c r="A1487" s="1">
        <v>2018</v>
      </c>
      <c r="B1487" t="s">
        <v>181</v>
      </c>
      <c r="C1487" s="10" t="s">
        <v>1678</v>
      </c>
      <c r="D1487" s="10" t="s">
        <v>1679</v>
      </c>
      <c r="E1487" s="10" t="s">
        <v>1682</v>
      </c>
      <c r="F1487" t="s">
        <v>678</v>
      </c>
      <c r="G1487" s="4">
        <v>4600455</v>
      </c>
      <c r="H1487" s="4">
        <v>36897227</v>
      </c>
      <c r="I1487" s="4">
        <v>70097</v>
      </c>
      <c r="J1487" s="4">
        <f>SUM(G1487:I1487)</f>
        <v>41567779</v>
      </c>
      <c r="K1487" t="s">
        <v>1660</v>
      </c>
      <c r="L1487" t="s">
        <v>1660</v>
      </c>
      <c r="M1487" t="s">
        <v>1222</v>
      </c>
      <c r="N1487" t="s">
        <v>1222</v>
      </c>
      <c r="O1487" t="s">
        <v>1222</v>
      </c>
      <c r="P1487">
        <f>IFERROR(VLOOKUP(F1487,Sheet1!$A$2:$B$54,2,FALSE),"")</f>
        <v>4900420</v>
      </c>
    </row>
    <row r="1488" spans="1:16" x14ac:dyDescent="0.2">
      <c r="A1488" s="1">
        <v>2019</v>
      </c>
      <c r="B1488" t="s">
        <v>181</v>
      </c>
      <c r="C1488" s="10" t="s">
        <v>1678</v>
      </c>
      <c r="D1488" s="10" t="s">
        <v>1679</v>
      </c>
      <c r="E1488" s="10" t="s">
        <v>1682</v>
      </c>
      <c r="F1488" t="s">
        <v>678</v>
      </c>
      <c r="G1488" s="4">
        <v>6264823</v>
      </c>
      <c r="H1488" s="4">
        <v>40592629</v>
      </c>
      <c r="I1488" s="4">
        <v>60667</v>
      </c>
      <c r="J1488" s="4">
        <f>SUM(G1488:I1488)</f>
        <v>46918119</v>
      </c>
      <c r="K1488" t="s">
        <v>1660</v>
      </c>
      <c r="L1488" t="s">
        <v>1660</v>
      </c>
      <c r="M1488" t="s">
        <v>1222</v>
      </c>
      <c r="N1488" t="s">
        <v>1222</v>
      </c>
      <c r="O1488" t="s">
        <v>1222</v>
      </c>
      <c r="P1488">
        <f>IFERROR(VLOOKUP(F1488,Sheet1!$A$2:$B$54,2,FALSE),"")</f>
        <v>4900420</v>
      </c>
    </row>
    <row r="1489" spans="1:16" x14ac:dyDescent="0.2">
      <c r="A1489" s="1">
        <v>2020</v>
      </c>
      <c r="B1489" t="s">
        <v>181</v>
      </c>
      <c r="C1489" s="10" t="s">
        <v>1678</v>
      </c>
      <c r="D1489" s="10" t="s">
        <v>1679</v>
      </c>
      <c r="E1489" s="10" t="s">
        <v>1682</v>
      </c>
      <c r="F1489" t="s">
        <v>678</v>
      </c>
      <c r="G1489" s="4">
        <v>7862302</v>
      </c>
      <c r="H1489" s="4">
        <v>43414201</v>
      </c>
      <c r="I1489" s="4">
        <v>51667</v>
      </c>
      <c r="J1489" s="4">
        <f>SUM(G1489:I1489)</f>
        <v>51328170</v>
      </c>
      <c r="K1489" t="s">
        <v>1660</v>
      </c>
      <c r="L1489" t="s">
        <v>1660</v>
      </c>
      <c r="M1489" t="s">
        <v>1222</v>
      </c>
      <c r="N1489" t="s">
        <v>1222</v>
      </c>
      <c r="O1489" t="s">
        <v>1222</v>
      </c>
      <c r="P1489">
        <f>IFERROR(VLOOKUP(F1489,Sheet1!$A$2:$B$54,2,FALSE),"")</f>
        <v>4900420</v>
      </c>
    </row>
    <row r="1490" spans="1:16" x14ac:dyDescent="0.2">
      <c r="A1490" s="1">
        <v>2021</v>
      </c>
      <c r="B1490" t="s">
        <v>181</v>
      </c>
      <c r="C1490" s="10" t="s">
        <v>1678</v>
      </c>
      <c r="D1490" s="10" t="s">
        <v>1679</v>
      </c>
      <c r="E1490" s="10" t="s">
        <v>1682</v>
      </c>
      <c r="F1490" t="s">
        <v>678</v>
      </c>
      <c r="G1490" s="4">
        <v>9230046</v>
      </c>
      <c r="H1490" s="4">
        <v>45311879</v>
      </c>
      <c r="I1490" s="4">
        <v>49098</v>
      </c>
      <c r="J1490" s="4">
        <f>SUM(G1490:I1490)</f>
        <v>54591023</v>
      </c>
      <c r="K1490" t="s">
        <v>1660</v>
      </c>
      <c r="L1490" t="s">
        <v>1660</v>
      </c>
      <c r="M1490" t="s">
        <v>678</v>
      </c>
      <c r="N1490" t="s">
        <v>678</v>
      </c>
      <c r="O1490" t="s">
        <v>678</v>
      </c>
      <c r="P1490">
        <f>IFERROR(VLOOKUP(F1490,Sheet1!$A$2:$B$54,2,FALSE),"")</f>
        <v>4900420</v>
      </c>
    </row>
    <row r="1491" spans="1:16" x14ac:dyDescent="0.2">
      <c r="A1491" s="1">
        <v>2022</v>
      </c>
      <c r="B1491" t="s">
        <v>181</v>
      </c>
      <c r="C1491" s="10" t="s">
        <v>1678</v>
      </c>
      <c r="D1491" s="10" t="s">
        <v>1679</v>
      </c>
      <c r="E1491" s="10" t="s">
        <v>1682</v>
      </c>
      <c r="F1491" t="s">
        <v>678</v>
      </c>
      <c r="G1491" s="4">
        <v>10662979</v>
      </c>
      <c r="H1491" s="4">
        <v>46517856</v>
      </c>
      <c r="I1491" s="4">
        <v>43374</v>
      </c>
      <c r="J1491" s="4">
        <f>SUM(G1491:I1491)</f>
        <v>57224209</v>
      </c>
      <c r="K1491" t="s">
        <v>1660</v>
      </c>
      <c r="L1491" t="s">
        <v>1660</v>
      </c>
      <c r="M1491" t="s">
        <v>678</v>
      </c>
      <c r="N1491" t="s">
        <v>678</v>
      </c>
      <c r="O1491" t="s">
        <v>678</v>
      </c>
      <c r="P1491">
        <f>IFERROR(VLOOKUP(F1491,Sheet1!$A$2:$B$54,2,FALSE),"")</f>
        <v>4900420</v>
      </c>
    </row>
    <row r="1492" spans="1:16" x14ac:dyDescent="0.2">
      <c r="A1492" s="1">
        <v>2023</v>
      </c>
      <c r="B1492" t="s">
        <v>181</v>
      </c>
      <c r="C1492" s="10" t="s">
        <v>1678</v>
      </c>
      <c r="D1492" s="10" t="s">
        <v>1679</v>
      </c>
      <c r="E1492" s="10" t="s">
        <v>1682</v>
      </c>
      <c r="F1492" t="s">
        <v>678</v>
      </c>
      <c r="G1492" s="4">
        <v>12770153</v>
      </c>
      <c r="H1492" s="4">
        <v>49530028</v>
      </c>
      <c r="I1492" s="4">
        <v>24262</v>
      </c>
      <c r="J1492" s="4">
        <f>SUM(G1492:I1492)</f>
        <v>62324443</v>
      </c>
      <c r="K1492" t="s">
        <v>1660</v>
      </c>
      <c r="L1492" t="s">
        <v>1660</v>
      </c>
      <c r="M1492" t="s">
        <v>678</v>
      </c>
      <c r="N1492" t="s">
        <v>678</v>
      </c>
      <c r="O1492" t="s">
        <v>678</v>
      </c>
      <c r="P1492">
        <f>IFERROR(VLOOKUP(F1492,Sheet1!$A$2:$B$54,2,FALSE),"")</f>
        <v>4900420</v>
      </c>
    </row>
    <row r="1493" spans="1:16" x14ac:dyDescent="0.2">
      <c r="A1493" s="1">
        <v>2015</v>
      </c>
      <c r="B1493" t="s">
        <v>182</v>
      </c>
      <c r="C1493" s="10" t="s">
        <v>1678</v>
      </c>
      <c r="D1493" s="10" t="s">
        <v>1679</v>
      </c>
      <c r="E1493" s="10" t="s">
        <v>1682</v>
      </c>
      <c r="F1493" t="s">
        <v>679</v>
      </c>
      <c r="G1493" s="4"/>
      <c r="H1493" s="4">
        <v>45296</v>
      </c>
      <c r="I1493" s="4"/>
      <c r="J1493" s="4">
        <f>SUM(G1493:I1493)</f>
        <v>45296</v>
      </c>
      <c r="K1493" t="s">
        <v>1661</v>
      </c>
      <c r="L1493" t="s">
        <v>1659</v>
      </c>
      <c r="M1493" t="s">
        <v>1132</v>
      </c>
      <c r="N1493" t="s">
        <v>1223</v>
      </c>
      <c r="O1493" t="s">
        <v>1132</v>
      </c>
      <c r="P1493" t="str">
        <f>IFERROR(VLOOKUP(F1493,Sheet1!$A$2:$B$54,2,FALSE),"")</f>
        <v/>
      </c>
    </row>
    <row r="1494" spans="1:16" x14ac:dyDescent="0.2">
      <c r="A1494" s="1">
        <v>2016</v>
      </c>
      <c r="B1494" t="s">
        <v>182</v>
      </c>
      <c r="C1494" s="10" t="s">
        <v>1678</v>
      </c>
      <c r="D1494" s="10" t="s">
        <v>1679</v>
      </c>
      <c r="E1494" s="10" t="s">
        <v>1682</v>
      </c>
      <c r="F1494" t="s">
        <v>679</v>
      </c>
      <c r="G1494" s="4"/>
      <c r="H1494" s="4">
        <v>46355</v>
      </c>
      <c r="I1494" s="4"/>
      <c r="J1494" s="4">
        <f>SUM(G1494:I1494)</f>
        <v>46355</v>
      </c>
      <c r="K1494" t="s">
        <v>1661</v>
      </c>
      <c r="L1494" t="s">
        <v>1659</v>
      </c>
      <c r="M1494" t="s">
        <v>1132</v>
      </c>
      <c r="N1494" t="s">
        <v>1223</v>
      </c>
      <c r="O1494" t="s">
        <v>1132</v>
      </c>
      <c r="P1494" t="str">
        <f>IFERROR(VLOOKUP(F1494,Sheet1!$A$2:$B$54,2,FALSE),"")</f>
        <v/>
      </c>
    </row>
    <row r="1495" spans="1:16" x14ac:dyDescent="0.2">
      <c r="A1495" s="1">
        <v>2017</v>
      </c>
      <c r="B1495" t="s">
        <v>182</v>
      </c>
      <c r="C1495" s="10" t="s">
        <v>1678</v>
      </c>
      <c r="D1495" s="10" t="s">
        <v>1679</v>
      </c>
      <c r="E1495" s="10" t="s">
        <v>1682</v>
      </c>
      <c r="F1495" t="s">
        <v>679</v>
      </c>
      <c r="G1495" s="4"/>
      <c r="H1495" s="4">
        <v>42444</v>
      </c>
      <c r="I1495" s="4"/>
      <c r="J1495" s="4">
        <f>SUM(G1495:I1495)</f>
        <v>42444</v>
      </c>
      <c r="K1495" t="s">
        <v>1661</v>
      </c>
      <c r="L1495" t="s">
        <v>1659</v>
      </c>
      <c r="M1495" t="s">
        <v>1132</v>
      </c>
      <c r="N1495" t="s">
        <v>1223</v>
      </c>
      <c r="O1495" t="s">
        <v>1132</v>
      </c>
      <c r="P1495" t="str">
        <f>IFERROR(VLOOKUP(F1495,Sheet1!$A$2:$B$54,2,FALSE),"")</f>
        <v/>
      </c>
    </row>
    <row r="1496" spans="1:16" x14ac:dyDescent="0.2">
      <c r="A1496" s="1">
        <v>2018</v>
      </c>
      <c r="B1496" t="s">
        <v>182</v>
      </c>
      <c r="C1496" s="10" t="s">
        <v>1678</v>
      </c>
      <c r="D1496" s="10" t="s">
        <v>1679</v>
      </c>
      <c r="E1496" s="10" t="s">
        <v>1682</v>
      </c>
      <c r="F1496" t="s">
        <v>679</v>
      </c>
      <c r="G1496" s="4">
        <v>3555</v>
      </c>
      <c r="H1496" s="4">
        <v>38428</v>
      </c>
      <c r="I1496" s="4"/>
      <c r="J1496" s="4">
        <f>SUM(G1496:I1496)</f>
        <v>41983</v>
      </c>
      <c r="K1496" t="s">
        <v>1660</v>
      </c>
      <c r="L1496" t="s">
        <v>1659</v>
      </c>
      <c r="M1496" t="s">
        <v>1223</v>
      </c>
      <c r="N1496" t="s">
        <v>1223</v>
      </c>
      <c r="O1496" t="s">
        <v>1132</v>
      </c>
      <c r="P1496" t="str">
        <f>IFERROR(VLOOKUP(F1496,Sheet1!$A$2:$B$54,2,FALSE),"")</f>
        <v/>
      </c>
    </row>
    <row r="1497" spans="1:16" x14ac:dyDescent="0.2">
      <c r="A1497" s="1">
        <v>2019</v>
      </c>
      <c r="B1497" t="s">
        <v>182</v>
      </c>
      <c r="C1497" s="10" t="s">
        <v>1678</v>
      </c>
      <c r="D1497" s="10" t="s">
        <v>1679</v>
      </c>
      <c r="E1497" s="10" t="s">
        <v>1682</v>
      </c>
      <c r="F1497" t="s">
        <v>679</v>
      </c>
      <c r="G1497" s="4">
        <v>3785</v>
      </c>
      <c r="H1497" s="4">
        <v>39863</v>
      </c>
      <c r="I1497" s="4"/>
      <c r="J1497" s="4">
        <f>SUM(G1497:I1497)</f>
        <v>43648</v>
      </c>
      <c r="K1497" t="s">
        <v>1660</v>
      </c>
      <c r="L1497" t="s">
        <v>1659</v>
      </c>
      <c r="M1497" t="s">
        <v>1223</v>
      </c>
      <c r="N1497" t="s">
        <v>1223</v>
      </c>
      <c r="O1497" t="s">
        <v>1132</v>
      </c>
      <c r="P1497" t="str">
        <f>IFERROR(VLOOKUP(F1497,Sheet1!$A$2:$B$54,2,FALSE),"")</f>
        <v/>
      </c>
    </row>
    <row r="1498" spans="1:16" x14ac:dyDescent="0.2">
      <c r="A1498" s="1">
        <v>2020</v>
      </c>
      <c r="B1498" t="s">
        <v>182</v>
      </c>
      <c r="C1498" s="10" t="s">
        <v>1678</v>
      </c>
      <c r="D1498" s="10" t="s">
        <v>1679</v>
      </c>
      <c r="E1498" s="10" t="s">
        <v>1682</v>
      </c>
      <c r="F1498" t="s">
        <v>679</v>
      </c>
      <c r="G1498" s="4">
        <v>2887</v>
      </c>
      <c r="H1498" s="4">
        <v>42911</v>
      </c>
      <c r="I1498" s="4"/>
      <c r="J1498" s="4">
        <f>SUM(G1498:I1498)</f>
        <v>45798</v>
      </c>
      <c r="K1498" t="s">
        <v>1660</v>
      </c>
      <c r="L1498" t="s">
        <v>1659</v>
      </c>
      <c r="M1498" t="s">
        <v>1223</v>
      </c>
      <c r="N1498" t="s">
        <v>1223</v>
      </c>
      <c r="O1498" t="s">
        <v>1132</v>
      </c>
      <c r="P1498" t="str">
        <f>IFERROR(VLOOKUP(F1498,Sheet1!$A$2:$B$54,2,FALSE),"")</f>
        <v/>
      </c>
    </row>
    <row r="1499" spans="1:16" x14ac:dyDescent="0.2">
      <c r="A1499" s="1">
        <v>2021</v>
      </c>
      <c r="B1499" t="s">
        <v>182</v>
      </c>
      <c r="C1499" s="10" t="s">
        <v>1678</v>
      </c>
      <c r="D1499" s="10" t="s">
        <v>1679</v>
      </c>
      <c r="E1499" s="10" t="s">
        <v>1682</v>
      </c>
      <c r="F1499" t="s">
        <v>679</v>
      </c>
      <c r="G1499" s="4">
        <v>7451</v>
      </c>
      <c r="H1499" s="4">
        <v>32042</v>
      </c>
      <c r="I1499" s="4"/>
      <c r="J1499" s="4">
        <f>SUM(G1499:I1499)</f>
        <v>39493</v>
      </c>
      <c r="K1499" t="s">
        <v>1660</v>
      </c>
      <c r="L1499" t="s">
        <v>1659</v>
      </c>
      <c r="M1499" t="s">
        <v>679</v>
      </c>
      <c r="N1499" t="s">
        <v>679</v>
      </c>
      <c r="O1499" t="s">
        <v>1132</v>
      </c>
      <c r="P1499" t="str">
        <f>IFERROR(VLOOKUP(F1499,Sheet1!$A$2:$B$54,2,FALSE),"")</f>
        <v/>
      </c>
    </row>
    <row r="1500" spans="1:16" x14ac:dyDescent="0.2">
      <c r="A1500" s="1">
        <v>2022</v>
      </c>
      <c r="B1500" t="s">
        <v>182</v>
      </c>
      <c r="C1500" s="10" t="s">
        <v>1678</v>
      </c>
      <c r="D1500" s="10" t="s">
        <v>1679</v>
      </c>
      <c r="E1500" s="10" t="s">
        <v>1682</v>
      </c>
      <c r="F1500" t="s">
        <v>679</v>
      </c>
      <c r="G1500" s="4">
        <v>16324</v>
      </c>
      <c r="H1500" s="4">
        <v>16683</v>
      </c>
      <c r="I1500" s="4"/>
      <c r="J1500" s="4">
        <f>SUM(G1500:I1500)</f>
        <v>33007</v>
      </c>
      <c r="K1500" t="s">
        <v>1660</v>
      </c>
      <c r="L1500" t="s">
        <v>1659</v>
      </c>
      <c r="M1500" t="s">
        <v>679</v>
      </c>
      <c r="N1500" t="s">
        <v>679</v>
      </c>
      <c r="O1500" t="s">
        <v>1132</v>
      </c>
      <c r="P1500" t="str">
        <f>IFERROR(VLOOKUP(F1500,Sheet1!$A$2:$B$54,2,FALSE),"")</f>
        <v/>
      </c>
    </row>
    <row r="1501" spans="1:16" x14ac:dyDescent="0.2">
      <c r="A1501" s="1">
        <v>2023</v>
      </c>
      <c r="B1501" t="s">
        <v>182</v>
      </c>
      <c r="C1501" s="10" t="s">
        <v>1678</v>
      </c>
      <c r="D1501" s="10" t="s">
        <v>1679</v>
      </c>
      <c r="E1501" s="10" t="s">
        <v>1682</v>
      </c>
      <c r="F1501" t="s">
        <v>679</v>
      </c>
      <c r="G1501" s="4">
        <v>21034</v>
      </c>
      <c r="H1501" s="4">
        <v>21119</v>
      </c>
      <c r="I1501" s="4"/>
      <c r="J1501" s="4">
        <f>SUM(G1501:I1501)</f>
        <v>42153</v>
      </c>
      <c r="K1501" t="s">
        <v>1660</v>
      </c>
      <c r="L1501" t="s">
        <v>1659</v>
      </c>
      <c r="M1501" t="s">
        <v>679</v>
      </c>
      <c r="N1501" t="s">
        <v>679</v>
      </c>
      <c r="O1501" t="s">
        <v>1132</v>
      </c>
      <c r="P1501" t="str">
        <f>IFERROR(VLOOKUP(F1501,Sheet1!$A$2:$B$54,2,FALSE),"")</f>
        <v/>
      </c>
    </row>
    <row r="1502" spans="1:16" x14ac:dyDescent="0.2">
      <c r="A1502" s="1">
        <v>2015</v>
      </c>
      <c r="B1502" t="s">
        <v>183</v>
      </c>
      <c r="C1502" s="10" t="s">
        <v>1678</v>
      </c>
      <c r="D1502" s="10" t="s">
        <v>1679</v>
      </c>
      <c r="E1502" s="10" t="s">
        <v>1682</v>
      </c>
      <c r="F1502" t="s">
        <v>680</v>
      </c>
      <c r="G1502" s="4">
        <v>61743</v>
      </c>
      <c r="H1502" s="4"/>
      <c r="I1502" s="4"/>
      <c r="J1502" s="4">
        <f>SUM(G1502:I1502)</f>
        <v>61743</v>
      </c>
      <c r="K1502" t="s">
        <v>1659</v>
      </c>
      <c r="L1502" t="s">
        <v>1659</v>
      </c>
      <c r="M1502" t="s">
        <v>1224</v>
      </c>
      <c r="N1502" t="s">
        <v>1132</v>
      </c>
      <c r="O1502" t="s">
        <v>1132</v>
      </c>
      <c r="P1502" t="str">
        <f>IFERROR(VLOOKUP(F1502,Sheet1!$A$2:$B$54,2,FALSE),"")</f>
        <v/>
      </c>
    </row>
    <row r="1503" spans="1:16" x14ac:dyDescent="0.2">
      <c r="A1503" s="1">
        <v>2016</v>
      </c>
      <c r="B1503" t="s">
        <v>183</v>
      </c>
      <c r="C1503" s="10" t="s">
        <v>1678</v>
      </c>
      <c r="D1503" s="10" t="s">
        <v>1679</v>
      </c>
      <c r="E1503" s="10" t="s">
        <v>1682</v>
      </c>
      <c r="F1503" t="s">
        <v>680</v>
      </c>
      <c r="G1503" s="4">
        <v>85617</v>
      </c>
      <c r="H1503" s="4"/>
      <c r="I1503" s="4"/>
      <c r="J1503" s="4">
        <f>SUM(G1503:I1503)</f>
        <v>85617</v>
      </c>
      <c r="K1503" t="s">
        <v>1659</v>
      </c>
      <c r="L1503" t="s">
        <v>1659</v>
      </c>
      <c r="M1503" t="s">
        <v>1224</v>
      </c>
      <c r="N1503" t="s">
        <v>1132</v>
      </c>
      <c r="O1503" t="s">
        <v>1132</v>
      </c>
      <c r="P1503" t="str">
        <f>IFERROR(VLOOKUP(F1503,Sheet1!$A$2:$B$54,2,FALSE),"")</f>
        <v/>
      </c>
    </row>
    <row r="1504" spans="1:16" x14ac:dyDescent="0.2">
      <c r="A1504" s="1">
        <v>2017</v>
      </c>
      <c r="B1504" t="s">
        <v>183</v>
      </c>
      <c r="C1504" s="10" t="s">
        <v>1678</v>
      </c>
      <c r="D1504" s="10" t="s">
        <v>1679</v>
      </c>
      <c r="E1504" s="10" t="s">
        <v>1682</v>
      </c>
      <c r="F1504" t="s">
        <v>680</v>
      </c>
      <c r="G1504" s="4">
        <v>105757</v>
      </c>
      <c r="H1504" s="4"/>
      <c r="I1504" s="4"/>
      <c r="J1504" s="4">
        <f>SUM(G1504:I1504)</f>
        <v>105757</v>
      </c>
      <c r="K1504" t="s">
        <v>1659</v>
      </c>
      <c r="L1504" t="s">
        <v>1659</v>
      </c>
      <c r="M1504" t="s">
        <v>1225</v>
      </c>
      <c r="N1504" t="s">
        <v>1132</v>
      </c>
      <c r="O1504" t="s">
        <v>1132</v>
      </c>
      <c r="P1504" t="str">
        <f>IFERROR(VLOOKUP(F1504,Sheet1!$A$2:$B$54,2,FALSE),"")</f>
        <v/>
      </c>
    </row>
    <row r="1505" spans="1:16" x14ac:dyDescent="0.2">
      <c r="A1505" s="1">
        <v>2018</v>
      </c>
      <c r="B1505" t="s">
        <v>183</v>
      </c>
      <c r="C1505" s="10" t="s">
        <v>1678</v>
      </c>
      <c r="D1505" s="10" t="s">
        <v>1679</v>
      </c>
      <c r="E1505" s="10" t="s">
        <v>1682</v>
      </c>
      <c r="F1505" t="s">
        <v>680</v>
      </c>
      <c r="G1505" s="4">
        <v>133933</v>
      </c>
      <c r="H1505" s="4"/>
      <c r="I1505" s="4"/>
      <c r="J1505" s="4">
        <f>SUM(G1505:I1505)</f>
        <v>133933</v>
      </c>
      <c r="K1505" t="s">
        <v>1659</v>
      </c>
      <c r="L1505" t="s">
        <v>1659</v>
      </c>
      <c r="M1505" t="s">
        <v>1225</v>
      </c>
      <c r="N1505" t="s">
        <v>1132</v>
      </c>
      <c r="O1505" t="s">
        <v>1132</v>
      </c>
      <c r="P1505" t="str">
        <f>IFERROR(VLOOKUP(F1505,Sheet1!$A$2:$B$54,2,FALSE),"")</f>
        <v/>
      </c>
    </row>
    <row r="1506" spans="1:16" x14ac:dyDescent="0.2">
      <c r="A1506" s="1">
        <v>2019</v>
      </c>
      <c r="B1506" t="s">
        <v>183</v>
      </c>
      <c r="C1506" s="10" t="s">
        <v>1678</v>
      </c>
      <c r="D1506" s="10" t="s">
        <v>1679</v>
      </c>
      <c r="E1506" s="10" t="s">
        <v>1682</v>
      </c>
      <c r="F1506" t="s">
        <v>680</v>
      </c>
      <c r="G1506" s="4">
        <v>175786</v>
      </c>
      <c r="H1506" s="4"/>
      <c r="I1506" s="4"/>
      <c r="J1506" s="4">
        <f>SUM(G1506:I1506)</f>
        <v>175786</v>
      </c>
      <c r="K1506" t="s">
        <v>1659</v>
      </c>
      <c r="L1506" t="s">
        <v>1659</v>
      </c>
      <c r="M1506" t="s">
        <v>1225</v>
      </c>
      <c r="N1506" t="s">
        <v>1132</v>
      </c>
      <c r="O1506" t="s">
        <v>1132</v>
      </c>
      <c r="P1506" t="str">
        <f>IFERROR(VLOOKUP(F1506,Sheet1!$A$2:$B$54,2,FALSE),"")</f>
        <v/>
      </c>
    </row>
    <row r="1507" spans="1:16" x14ac:dyDescent="0.2">
      <c r="A1507" s="1">
        <v>2020</v>
      </c>
      <c r="B1507" t="s">
        <v>183</v>
      </c>
      <c r="C1507" s="10" t="s">
        <v>1678</v>
      </c>
      <c r="D1507" s="10" t="s">
        <v>1679</v>
      </c>
      <c r="E1507" s="10" t="s">
        <v>1682</v>
      </c>
      <c r="F1507" t="s">
        <v>680</v>
      </c>
      <c r="G1507" s="4">
        <v>226384</v>
      </c>
      <c r="H1507" s="4"/>
      <c r="I1507" s="4"/>
      <c r="J1507" s="4">
        <f>SUM(G1507:I1507)</f>
        <v>226384</v>
      </c>
      <c r="K1507" t="s">
        <v>1659</v>
      </c>
      <c r="L1507" t="s">
        <v>1659</v>
      </c>
      <c r="M1507" t="s">
        <v>1225</v>
      </c>
      <c r="N1507" t="s">
        <v>1132</v>
      </c>
      <c r="O1507" t="s">
        <v>1132</v>
      </c>
      <c r="P1507" t="str">
        <f>IFERROR(VLOOKUP(F1507,Sheet1!$A$2:$B$54,2,FALSE),"")</f>
        <v/>
      </c>
    </row>
    <row r="1508" spans="1:16" x14ac:dyDescent="0.2">
      <c r="A1508" s="1">
        <v>2021</v>
      </c>
      <c r="B1508" t="s">
        <v>183</v>
      </c>
      <c r="C1508" s="10" t="s">
        <v>1678</v>
      </c>
      <c r="D1508" s="10" t="s">
        <v>1679</v>
      </c>
      <c r="E1508" s="10" t="s">
        <v>1682</v>
      </c>
      <c r="F1508" t="s">
        <v>680</v>
      </c>
      <c r="G1508" s="4">
        <v>266773</v>
      </c>
      <c r="H1508" s="4"/>
      <c r="I1508" s="4"/>
      <c r="J1508" s="4">
        <f>SUM(G1508:I1508)</f>
        <v>266773</v>
      </c>
      <c r="K1508" t="s">
        <v>1659</v>
      </c>
      <c r="L1508" t="s">
        <v>1659</v>
      </c>
      <c r="M1508" t="s">
        <v>680</v>
      </c>
      <c r="N1508" t="s">
        <v>1132</v>
      </c>
      <c r="O1508" t="s">
        <v>1132</v>
      </c>
      <c r="P1508" t="str">
        <f>IFERROR(VLOOKUP(F1508,Sheet1!$A$2:$B$54,2,FALSE),"")</f>
        <v/>
      </c>
    </row>
    <row r="1509" spans="1:16" x14ac:dyDescent="0.2">
      <c r="A1509" s="1">
        <v>2022</v>
      </c>
      <c r="B1509" t="s">
        <v>183</v>
      </c>
      <c r="C1509" s="10" t="s">
        <v>1678</v>
      </c>
      <c r="D1509" s="10" t="s">
        <v>1679</v>
      </c>
      <c r="E1509" s="10" t="s">
        <v>1682</v>
      </c>
      <c r="F1509" t="s">
        <v>680</v>
      </c>
      <c r="G1509" s="4">
        <v>368920</v>
      </c>
      <c r="H1509" s="4"/>
      <c r="I1509" s="4"/>
      <c r="J1509" s="4">
        <f>SUM(G1509:I1509)</f>
        <v>368920</v>
      </c>
      <c r="K1509" t="s">
        <v>1659</v>
      </c>
      <c r="L1509" t="s">
        <v>1659</v>
      </c>
      <c r="M1509" t="s">
        <v>680</v>
      </c>
      <c r="N1509" t="s">
        <v>1132</v>
      </c>
      <c r="O1509" t="s">
        <v>1132</v>
      </c>
      <c r="P1509" t="str">
        <f>IFERROR(VLOOKUP(F1509,Sheet1!$A$2:$B$54,2,FALSE),"")</f>
        <v/>
      </c>
    </row>
    <row r="1510" spans="1:16" x14ac:dyDescent="0.2">
      <c r="A1510" s="1">
        <v>2023</v>
      </c>
      <c r="B1510" t="s">
        <v>183</v>
      </c>
      <c r="C1510" s="10" t="s">
        <v>1678</v>
      </c>
      <c r="D1510" s="10" t="s">
        <v>1679</v>
      </c>
      <c r="E1510" s="10" t="s">
        <v>1682</v>
      </c>
      <c r="F1510" t="s">
        <v>680</v>
      </c>
      <c r="G1510" s="4">
        <v>497061</v>
      </c>
      <c r="H1510" s="4"/>
      <c r="I1510" s="4"/>
      <c r="J1510" s="4">
        <f>SUM(G1510:I1510)</f>
        <v>497061</v>
      </c>
      <c r="K1510" t="s">
        <v>1659</v>
      </c>
      <c r="L1510" t="s">
        <v>1659</v>
      </c>
      <c r="M1510" t="s">
        <v>680</v>
      </c>
      <c r="N1510" t="s">
        <v>1132</v>
      </c>
      <c r="O1510" t="s">
        <v>1132</v>
      </c>
      <c r="P1510" t="str">
        <f>IFERROR(VLOOKUP(F1510,Sheet1!$A$2:$B$54,2,FALSE),"")</f>
        <v/>
      </c>
    </row>
    <row r="1511" spans="1:16" x14ac:dyDescent="0.2">
      <c r="A1511" s="1">
        <v>2015</v>
      </c>
      <c r="B1511" t="s">
        <v>184</v>
      </c>
      <c r="C1511" s="10" t="s">
        <v>1678</v>
      </c>
      <c r="D1511" s="10" t="s">
        <v>1679</v>
      </c>
      <c r="E1511" s="10" t="s">
        <v>1682</v>
      </c>
      <c r="F1511" t="s">
        <v>681</v>
      </c>
      <c r="G1511" s="4">
        <v>13735</v>
      </c>
      <c r="H1511" s="4"/>
      <c r="I1511" s="4"/>
      <c r="J1511" s="4">
        <f>SUM(G1511:I1511)</f>
        <v>13735</v>
      </c>
      <c r="K1511" t="s">
        <v>1659</v>
      </c>
      <c r="L1511" t="s">
        <v>1659</v>
      </c>
      <c r="M1511" t="s">
        <v>1226</v>
      </c>
      <c r="N1511" t="s">
        <v>1132</v>
      </c>
      <c r="O1511" t="s">
        <v>1132</v>
      </c>
      <c r="P1511" t="str">
        <f>IFERROR(VLOOKUP(F1511,Sheet1!$A$2:$B$54,2,FALSE),"")</f>
        <v/>
      </c>
    </row>
    <row r="1512" spans="1:16" x14ac:dyDescent="0.2">
      <c r="A1512" s="1">
        <v>2016</v>
      </c>
      <c r="B1512" t="s">
        <v>184</v>
      </c>
      <c r="C1512" s="10" t="s">
        <v>1678</v>
      </c>
      <c r="D1512" s="10" t="s">
        <v>1679</v>
      </c>
      <c r="E1512" s="10" t="s">
        <v>1682</v>
      </c>
      <c r="F1512" t="s">
        <v>681</v>
      </c>
      <c r="G1512" s="4">
        <v>24979</v>
      </c>
      <c r="H1512" s="4"/>
      <c r="I1512" s="4"/>
      <c r="J1512" s="4">
        <f>SUM(G1512:I1512)</f>
        <v>24979</v>
      </c>
      <c r="K1512" t="s">
        <v>1659</v>
      </c>
      <c r="L1512" t="s">
        <v>1659</v>
      </c>
      <c r="M1512" t="s">
        <v>1226</v>
      </c>
      <c r="N1512" t="s">
        <v>1132</v>
      </c>
      <c r="O1512" t="s">
        <v>1132</v>
      </c>
      <c r="P1512" t="str">
        <f>IFERROR(VLOOKUP(F1512,Sheet1!$A$2:$B$54,2,FALSE),"")</f>
        <v/>
      </c>
    </row>
    <row r="1513" spans="1:16" x14ac:dyDescent="0.2">
      <c r="A1513" s="1">
        <v>2017</v>
      </c>
      <c r="B1513" t="s">
        <v>184</v>
      </c>
      <c r="C1513" s="10" t="s">
        <v>1678</v>
      </c>
      <c r="D1513" s="10" t="s">
        <v>1679</v>
      </c>
      <c r="E1513" s="10" t="s">
        <v>1682</v>
      </c>
      <c r="F1513" t="s">
        <v>681</v>
      </c>
      <c r="G1513" s="4">
        <v>27221</v>
      </c>
      <c r="H1513" s="4"/>
      <c r="I1513" s="4"/>
      <c r="J1513" s="4">
        <f>SUM(G1513:I1513)</f>
        <v>27221</v>
      </c>
      <c r="K1513" t="s">
        <v>1659</v>
      </c>
      <c r="L1513" t="s">
        <v>1659</v>
      </c>
      <c r="M1513" t="s">
        <v>1227</v>
      </c>
      <c r="N1513" t="s">
        <v>1132</v>
      </c>
      <c r="O1513" t="s">
        <v>1132</v>
      </c>
      <c r="P1513" t="str">
        <f>IFERROR(VLOOKUP(F1513,Sheet1!$A$2:$B$54,2,FALSE),"")</f>
        <v/>
      </c>
    </row>
    <row r="1514" spans="1:16" x14ac:dyDescent="0.2">
      <c r="A1514" s="1">
        <v>2018</v>
      </c>
      <c r="B1514" t="s">
        <v>184</v>
      </c>
      <c r="C1514" s="10" t="s">
        <v>1678</v>
      </c>
      <c r="D1514" s="10" t="s">
        <v>1679</v>
      </c>
      <c r="E1514" s="10" t="s">
        <v>1682</v>
      </c>
      <c r="F1514" t="s">
        <v>681</v>
      </c>
      <c r="G1514" s="4">
        <v>36938</v>
      </c>
      <c r="H1514" s="4"/>
      <c r="I1514" s="4"/>
      <c r="J1514" s="4">
        <f>SUM(G1514:I1514)</f>
        <v>36938</v>
      </c>
      <c r="K1514" t="s">
        <v>1659</v>
      </c>
      <c r="L1514" t="s">
        <v>1659</v>
      </c>
      <c r="M1514" t="s">
        <v>1227</v>
      </c>
      <c r="N1514" t="s">
        <v>1132</v>
      </c>
      <c r="O1514" t="s">
        <v>1132</v>
      </c>
      <c r="P1514" t="str">
        <f>IFERROR(VLOOKUP(F1514,Sheet1!$A$2:$B$54,2,FALSE),"")</f>
        <v/>
      </c>
    </row>
    <row r="1515" spans="1:16" x14ac:dyDescent="0.2">
      <c r="A1515" s="1">
        <v>2019</v>
      </c>
      <c r="B1515" t="s">
        <v>184</v>
      </c>
      <c r="C1515" s="10" t="s">
        <v>1678</v>
      </c>
      <c r="D1515" s="10" t="s">
        <v>1679</v>
      </c>
      <c r="E1515" s="10" t="s">
        <v>1682</v>
      </c>
      <c r="F1515" t="s">
        <v>681</v>
      </c>
      <c r="G1515" s="4">
        <v>52842</v>
      </c>
      <c r="H1515" s="4"/>
      <c r="I1515" s="4"/>
      <c r="J1515" s="4">
        <f>SUM(G1515:I1515)</f>
        <v>52842</v>
      </c>
      <c r="K1515" t="s">
        <v>1659</v>
      </c>
      <c r="L1515" t="s">
        <v>1659</v>
      </c>
      <c r="M1515" t="s">
        <v>1227</v>
      </c>
      <c r="N1515" t="s">
        <v>1132</v>
      </c>
      <c r="O1515" t="s">
        <v>1132</v>
      </c>
      <c r="P1515" t="str">
        <f>IFERROR(VLOOKUP(F1515,Sheet1!$A$2:$B$54,2,FALSE),"")</f>
        <v/>
      </c>
    </row>
    <row r="1516" spans="1:16" x14ac:dyDescent="0.2">
      <c r="A1516" s="1">
        <v>2020</v>
      </c>
      <c r="B1516" t="s">
        <v>184</v>
      </c>
      <c r="C1516" s="10" t="s">
        <v>1678</v>
      </c>
      <c r="D1516" s="10" t="s">
        <v>1679</v>
      </c>
      <c r="E1516" s="10" t="s">
        <v>1682</v>
      </c>
      <c r="F1516" t="s">
        <v>681</v>
      </c>
      <c r="G1516" s="4">
        <v>69233</v>
      </c>
      <c r="H1516" s="4"/>
      <c r="I1516" s="4"/>
      <c r="J1516" s="4">
        <f>SUM(G1516:I1516)</f>
        <v>69233</v>
      </c>
      <c r="K1516" t="s">
        <v>1659</v>
      </c>
      <c r="L1516" t="s">
        <v>1659</v>
      </c>
      <c r="M1516" t="s">
        <v>1227</v>
      </c>
      <c r="N1516" t="s">
        <v>1132</v>
      </c>
      <c r="O1516" t="s">
        <v>1132</v>
      </c>
      <c r="P1516" t="str">
        <f>IFERROR(VLOOKUP(F1516,Sheet1!$A$2:$B$54,2,FALSE),"")</f>
        <v/>
      </c>
    </row>
    <row r="1517" spans="1:16" x14ac:dyDescent="0.2">
      <c r="A1517" s="1">
        <v>2021</v>
      </c>
      <c r="B1517" t="s">
        <v>184</v>
      </c>
      <c r="C1517" s="10" t="s">
        <v>1678</v>
      </c>
      <c r="D1517" s="10" t="s">
        <v>1679</v>
      </c>
      <c r="E1517" s="10" t="s">
        <v>1682</v>
      </c>
      <c r="F1517" t="s">
        <v>681</v>
      </c>
      <c r="G1517" s="4">
        <v>83655</v>
      </c>
      <c r="H1517" s="4"/>
      <c r="I1517" s="4"/>
      <c r="J1517" s="4">
        <f>SUM(G1517:I1517)</f>
        <v>83655</v>
      </c>
      <c r="K1517" t="s">
        <v>1659</v>
      </c>
      <c r="L1517" t="s">
        <v>1659</v>
      </c>
      <c r="M1517" t="s">
        <v>681</v>
      </c>
      <c r="N1517" t="s">
        <v>1132</v>
      </c>
      <c r="O1517" t="s">
        <v>1132</v>
      </c>
      <c r="P1517" t="str">
        <f>IFERROR(VLOOKUP(F1517,Sheet1!$A$2:$B$54,2,FALSE),"")</f>
        <v/>
      </c>
    </row>
    <row r="1518" spans="1:16" x14ac:dyDescent="0.2">
      <c r="A1518" s="1">
        <v>2022</v>
      </c>
      <c r="B1518" t="s">
        <v>184</v>
      </c>
      <c r="C1518" s="10" t="s">
        <v>1678</v>
      </c>
      <c r="D1518" s="10" t="s">
        <v>1679</v>
      </c>
      <c r="E1518" s="10" t="s">
        <v>1682</v>
      </c>
      <c r="F1518" t="s">
        <v>681</v>
      </c>
      <c r="G1518" s="4">
        <v>106544</v>
      </c>
      <c r="H1518" s="4"/>
      <c r="I1518" s="4"/>
      <c r="J1518" s="4">
        <f>SUM(G1518:I1518)</f>
        <v>106544</v>
      </c>
      <c r="K1518" t="s">
        <v>1659</v>
      </c>
      <c r="L1518" t="s">
        <v>1659</v>
      </c>
      <c r="M1518" t="s">
        <v>681</v>
      </c>
      <c r="N1518" t="s">
        <v>1132</v>
      </c>
      <c r="O1518" t="s">
        <v>1132</v>
      </c>
      <c r="P1518" t="str">
        <f>IFERROR(VLOOKUP(F1518,Sheet1!$A$2:$B$54,2,FALSE),"")</f>
        <v/>
      </c>
    </row>
    <row r="1519" spans="1:16" x14ac:dyDescent="0.2">
      <c r="A1519" s="1">
        <v>2023</v>
      </c>
      <c r="B1519" t="s">
        <v>184</v>
      </c>
      <c r="C1519" s="10" t="s">
        <v>1678</v>
      </c>
      <c r="D1519" s="10" t="s">
        <v>1679</v>
      </c>
      <c r="E1519" s="10" t="s">
        <v>1682</v>
      </c>
      <c r="F1519" t="s">
        <v>681</v>
      </c>
      <c r="G1519" s="4">
        <v>134877</v>
      </c>
      <c r="H1519" s="4"/>
      <c r="I1519" s="4"/>
      <c r="J1519" s="4">
        <f>SUM(G1519:I1519)</f>
        <v>134877</v>
      </c>
      <c r="K1519" t="s">
        <v>1659</v>
      </c>
      <c r="L1519" t="s">
        <v>1659</v>
      </c>
      <c r="M1519" t="s">
        <v>681</v>
      </c>
      <c r="N1519" t="s">
        <v>1132</v>
      </c>
      <c r="O1519" t="s">
        <v>1132</v>
      </c>
      <c r="P1519" t="str">
        <f>IFERROR(VLOOKUP(F1519,Sheet1!$A$2:$B$54,2,FALSE),"")</f>
        <v/>
      </c>
    </row>
    <row r="1520" spans="1:16" x14ac:dyDescent="0.2">
      <c r="A1520" s="1">
        <v>2015</v>
      </c>
      <c r="B1520" t="s">
        <v>185</v>
      </c>
      <c r="C1520" s="10" t="s">
        <v>1678</v>
      </c>
      <c r="D1520" s="10" t="s">
        <v>1679</v>
      </c>
      <c r="E1520" s="10" t="s">
        <v>1682</v>
      </c>
      <c r="F1520" t="s">
        <v>682</v>
      </c>
      <c r="G1520" s="4">
        <v>7132</v>
      </c>
      <c r="H1520" s="4"/>
      <c r="I1520" s="4"/>
      <c r="J1520" s="4">
        <f>SUM(G1520:I1520)</f>
        <v>7132</v>
      </c>
      <c r="K1520" t="s">
        <v>1659</v>
      </c>
      <c r="L1520" t="s">
        <v>1659</v>
      </c>
      <c r="M1520" t="s">
        <v>1228</v>
      </c>
      <c r="N1520" t="s">
        <v>1132</v>
      </c>
      <c r="O1520" t="s">
        <v>1132</v>
      </c>
      <c r="P1520" t="str">
        <f>IFERROR(VLOOKUP(F1520,Sheet1!$A$2:$B$54,2,FALSE),"")</f>
        <v/>
      </c>
    </row>
    <row r="1521" spans="1:16" x14ac:dyDescent="0.2">
      <c r="A1521" s="1">
        <v>2016</v>
      </c>
      <c r="B1521" t="s">
        <v>185</v>
      </c>
      <c r="C1521" s="10" t="s">
        <v>1678</v>
      </c>
      <c r="D1521" s="10" t="s">
        <v>1679</v>
      </c>
      <c r="E1521" s="10" t="s">
        <v>1682</v>
      </c>
      <c r="F1521" t="s">
        <v>682</v>
      </c>
      <c r="G1521" s="4">
        <v>15190</v>
      </c>
      <c r="H1521" s="4"/>
      <c r="I1521" s="4"/>
      <c r="J1521" s="4">
        <f>SUM(G1521:I1521)</f>
        <v>15190</v>
      </c>
      <c r="K1521" t="s">
        <v>1659</v>
      </c>
      <c r="L1521" t="s">
        <v>1659</v>
      </c>
      <c r="M1521" t="s">
        <v>1228</v>
      </c>
      <c r="N1521" t="s">
        <v>1132</v>
      </c>
      <c r="O1521" t="s">
        <v>1132</v>
      </c>
      <c r="P1521" t="str">
        <f>IFERROR(VLOOKUP(F1521,Sheet1!$A$2:$B$54,2,FALSE),"")</f>
        <v/>
      </c>
    </row>
    <row r="1522" spans="1:16" x14ac:dyDescent="0.2">
      <c r="A1522" s="1">
        <v>2017</v>
      </c>
      <c r="B1522" t="s">
        <v>185</v>
      </c>
      <c r="C1522" s="10" t="s">
        <v>1678</v>
      </c>
      <c r="D1522" s="10" t="s">
        <v>1679</v>
      </c>
      <c r="E1522" s="10" t="s">
        <v>1682</v>
      </c>
      <c r="F1522" t="s">
        <v>682</v>
      </c>
      <c r="G1522" s="4">
        <v>23006</v>
      </c>
      <c r="H1522" s="4"/>
      <c r="I1522" s="4"/>
      <c r="J1522" s="4">
        <f>SUM(G1522:I1522)</f>
        <v>23006</v>
      </c>
      <c r="K1522" t="s">
        <v>1659</v>
      </c>
      <c r="L1522" t="s">
        <v>1659</v>
      </c>
      <c r="M1522" t="s">
        <v>1228</v>
      </c>
      <c r="N1522" t="s">
        <v>1132</v>
      </c>
      <c r="O1522" t="s">
        <v>1132</v>
      </c>
      <c r="P1522" t="str">
        <f>IFERROR(VLOOKUP(F1522,Sheet1!$A$2:$B$54,2,FALSE),"")</f>
        <v/>
      </c>
    </row>
    <row r="1523" spans="1:16" x14ac:dyDescent="0.2">
      <c r="A1523" s="1">
        <v>2018</v>
      </c>
      <c r="B1523" t="s">
        <v>185</v>
      </c>
      <c r="C1523" s="10" t="s">
        <v>1678</v>
      </c>
      <c r="D1523" s="10" t="s">
        <v>1679</v>
      </c>
      <c r="E1523" s="10" t="s">
        <v>1682</v>
      </c>
      <c r="F1523" t="s">
        <v>682</v>
      </c>
      <c r="G1523" s="4">
        <v>31291</v>
      </c>
      <c r="H1523" s="4"/>
      <c r="I1523" s="4"/>
      <c r="J1523" s="4">
        <f>SUM(G1523:I1523)</f>
        <v>31291</v>
      </c>
      <c r="K1523" t="s">
        <v>1659</v>
      </c>
      <c r="L1523" t="s">
        <v>1659</v>
      </c>
      <c r="M1523" t="s">
        <v>1228</v>
      </c>
      <c r="N1523" t="s">
        <v>1132</v>
      </c>
      <c r="O1523" t="s">
        <v>1132</v>
      </c>
      <c r="P1523" t="str">
        <f>IFERROR(VLOOKUP(F1523,Sheet1!$A$2:$B$54,2,FALSE),"")</f>
        <v/>
      </c>
    </row>
    <row r="1524" spans="1:16" x14ac:dyDescent="0.2">
      <c r="A1524" s="1">
        <v>2019</v>
      </c>
      <c r="B1524" t="s">
        <v>185</v>
      </c>
      <c r="C1524" s="10" t="s">
        <v>1678</v>
      </c>
      <c r="D1524" s="10" t="s">
        <v>1679</v>
      </c>
      <c r="E1524" s="10" t="s">
        <v>1682</v>
      </c>
      <c r="F1524" t="s">
        <v>682</v>
      </c>
      <c r="G1524" s="4">
        <v>44676</v>
      </c>
      <c r="H1524" s="4"/>
      <c r="I1524" s="4"/>
      <c r="J1524" s="4">
        <f>SUM(G1524:I1524)</f>
        <v>44676</v>
      </c>
      <c r="K1524" t="s">
        <v>1659</v>
      </c>
      <c r="L1524" t="s">
        <v>1659</v>
      </c>
      <c r="M1524" t="s">
        <v>1228</v>
      </c>
      <c r="N1524" t="s">
        <v>1132</v>
      </c>
      <c r="O1524" t="s">
        <v>1132</v>
      </c>
      <c r="P1524" t="str">
        <f>IFERROR(VLOOKUP(F1524,Sheet1!$A$2:$B$54,2,FALSE),"")</f>
        <v/>
      </c>
    </row>
    <row r="1525" spans="1:16" x14ac:dyDescent="0.2">
      <c r="A1525" s="1">
        <v>2020</v>
      </c>
      <c r="B1525" t="s">
        <v>185</v>
      </c>
      <c r="C1525" s="10" t="s">
        <v>1678</v>
      </c>
      <c r="D1525" s="10" t="s">
        <v>1679</v>
      </c>
      <c r="E1525" s="10" t="s">
        <v>1682</v>
      </c>
      <c r="F1525" t="s">
        <v>682</v>
      </c>
      <c r="G1525" s="4">
        <v>60779</v>
      </c>
      <c r="H1525" s="4"/>
      <c r="I1525" s="4"/>
      <c r="J1525" s="4">
        <f>SUM(G1525:I1525)</f>
        <v>60779</v>
      </c>
      <c r="K1525" t="s">
        <v>1659</v>
      </c>
      <c r="L1525" t="s">
        <v>1659</v>
      </c>
      <c r="M1525" t="s">
        <v>1228</v>
      </c>
      <c r="N1525" t="s">
        <v>1132</v>
      </c>
      <c r="O1525" t="s">
        <v>1132</v>
      </c>
      <c r="P1525" t="str">
        <f>IFERROR(VLOOKUP(F1525,Sheet1!$A$2:$B$54,2,FALSE),"")</f>
        <v/>
      </c>
    </row>
    <row r="1526" spans="1:16" x14ac:dyDescent="0.2">
      <c r="A1526" s="1">
        <v>2021</v>
      </c>
      <c r="B1526" t="s">
        <v>185</v>
      </c>
      <c r="C1526" s="10" t="s">
        <v>1678</v>
      </c>
      <c r="D1526" s="10" t="s">
        <v>1679</v>
      </c>
      <c r="E1526" s="10" t="s">
        <v>1682</v>
      </c>
      <c r="F1526" t="s">
        <v>682</v>
      </c>
      <c r="G1526" s="4">
        <v>75899</v>
      </c>
      <c r="H1526" s="4"/>
      <c r="I1526" s="4"/>
      <c r="J1526" s="4">
        <f>SUM(G1526:I1526)</f>
        <v>75899</v>
      </c>
      <c r="K1526" t="s">
        <v>1659</v>
      </c>
      <c r="L1526" t="s">
        <v>1659</v>
      </c>
      <c r="M1526" t="s">
        <v>682</v>
      </c>
      <c r="N1526" t="s">
        <v>1132</v>
      </c>
      <c r="O1526" t="s">
        <v>1132</v>
      </c>
      <c r="P1526" t="str">
        <f>IFERROR(VLOOKUP(F1526,Sheet1!$A$2:$B$54,2,FALSE),"")</f>
        <v/>
      </c>
    </row>
    <row r="1527" spans="1:16" x14ac:dyDescent="0.2">
      <c r="A1527" s="1">
        <v>2022</v>
      </c>
      <c r="B1527" t="s">
        <v>185</v>
      </c>
      <c r="C1527" s="10" t="s">
        <v>1678</v>
      </c>
      <c r="D1527" s="10" t="s">
        <v>1679</v>
      </c>
      <c r="E1527" s="10" t="s">
        <v>1682</v>
      </c>
      <c r="F1527" t="s">
        <v>682</v>
      </c>
      <c r="G1527" s="4">
        <v>101516</v>
      </c>
      <c r="H1527" s="4"/>
      <c r="I1527" s="4"/>
      <c r="J1527" s="4">
        <f>SUM(G1527:I1527)</f>
        <v>101516</v>
      </c>
      <c r="K1527" t="s">
        <v>1659</v>
      </c>
      <c r="L1527" t="s">
        <v>1659</v>
      </c>
      <c r="M1527" t="s">
        <v>682</v>
      </c>
      <c r="N1527" t="s">
        <v>1132</v>
      </c>
      <c r="O1527" t="s">
        <v>1132</v>
      </c>
      <c r="P1527" t="str">
        <f>IFERROR(VLOOKUP(F1527,Sheet1!$A$2:$B$54,2,FALSE),"")</f>
        <v/>
      </c>
    </row>
    <row r="1528" spans="1:16" x14ac:dyDescent="0.2">
      <c r="A1528" s="1">
        <v>2023</v>
      </c>
      <c r="B1528" t="s">
        <v>185</v>
      </c>
      <c r="C1528" s="10" t="s">
        <v>1678</v>
      </c>
      <c r="D1528" s="10" t="s">
        <v>1679</v>
      </c>
      <c r="E1528" s="10" t="s">
        <v>1682</v>
      </c>
      <c r="F1528" t="s">
        <v>682</v>
      </c>
      <c r="G1528" s="4">
        <v>138170</v>
      </c>
      <c r="H1528" s="4"/>
      <c r="I1528" s="4"/>
      <c r="J1528" s="4">
        <f>SUM(G1528:I1528)</f>
        <v>138170</v>
      </c>
      <c r="K1528" t="s">
        <v>1659</v>
      </c>
      <c r="L1528" t="s">
        <v>1659</v>
      </c>
      <c r="M1528" t="s">
        <v>682</v>
      </c>
      <c r="N1528" t="s">
        <v>1132</v>
      </c>
      <c r="O1528" t="s">
        <v>1132</v>
      </c>
      <c r="P1528" t="str">
        <f>IFERROR(VLOOKUP(F1528,Sheet1!$A$2:$B$54,2,FALSE),"")</f>
        <v/>
      </c>
    </row>
    <row r="1529" spans="1:16" x14ac:dyDescent="0.2">
      <c r="A1529" s="1">
        <v>2015</v>
      </c>
      <c r="B1529" t="s">
        <v>186</v>
      </c>
      <c r="C1529" s="10" t="s">
        <v>1678</v>
      </c>
      <c r="D1529" s="10" t="s">
        <v>1679</v>
      </c>
      <c r="E1529" s="10" t="s">
        <v>1682</v>
      </c>
      <c r="F1529" t="s">
        <v>683</v>
      </c>
      <c r="G1529" s="4">
        <v>67679</v>
      </c>
      <c r="H1529" s="4">
        <v>1609364</v>
      </c>
      <c r="I1529" s="4">
        <v>7281</v>
      </c>
      <c r="J1529" s="4">
        <f>SUM(G1529:I1529)</f>
        <v>1684324</v>
      </c>
      <c r="K1529" t="s">
        <v>1660</v>
      </c>
      <c r="L1529" t="s">
        <v>1660</v>
      </c>
      <c r="M1529" t="s">
        <v>1229</v>
      </c>
      <c r="N1529" t="s">
        <v>1229</v>
      </c>
      <c r="O1529" t="s">
        <v>1229</v>
      </c>
      <c r="P1529">
        <f>IFERROR(VLOOKUP(F1529,Sheet1!$A$2:$B$54,2,FALSE),"")</f>
        <v>4900450</v>
      </c>
    </row>
    <row r="1530" spans="1:16" x14ac:dyDescent="0.2">
      <c r="A1530" s="1">
        <v>2016</v>
      </c>
      <c r="B1530" t="s">
        <v>186</v>
      </c>
      <c r="C1530" s="10" t="s">
        <v>1678</v>
      </c>
      <c r="D1530" s="10" t="s">
        <v>1679</v>
      </c>
      <c r="E1530" s="10" t="s">
        <v>1682</v>
      </c>
      <c r="F1530" t="s">
        <v>683</v>
      </c>
      <c r="G1530" s="4">
        <v>100842</v>
      </c>
      <c r="H1530" s="4">
        <v>1651239</v>
      </c>
      <c r="I1530" s="4">
        <v>0</v>
      </c>
      <c r="J1530" s="4">
        <f>SUM(G1530:I1530)</f>
        <v>1752081</v>
      </c>
      <c r="K1530" t="s">
        <v>1660</v>
      </c>
      <c r="L1530" t="s">
        <v>1660</v>
      </c>
      <c r="M1530" t="s">
        <v>1229</v>
      </c>
      <c r="N1530" t="s">
        <v>1229</v>
      </c>
      <c r="O1530" t="s">
        <v>1229</v>
      </c>
      <c r="P1530">
        <f>IFERROR(VLOOKUP(F1530,Sheet1!$A$2:$B$54,2,FALSE),"")</f>
        <v>4900450</v>
      </c>
    </row>
    <row r="1531" spans="1:16" x14ac:dyDescent="0.2">
      <c r="A1531" s="1">
        <v>2017</v>
      </c>
      <c r="B1531" t="s">
        <v>186</v>
      </c>
      <c r="C1531" s="10" t="s">
        <v>1678</v>
      </c>
      <c r="D1531" s="10" t="s">
        <v>1679</v>
      </c>
      <c r="E1531" s="10" t="s">
        <v>1682</v>
      </c>
      <c r="F1531" t="s">
        <v>683</v>
      </c>
      <c r="G1531" s="4">
        <v>137876</v>
      </c>
      <c r="H1531" s="4">
        <v>1749414</v>
      </c>
      <c r="I1531" s="4">
        <v>0</v>
      </c>
      <c r="J1531" s="4">
        <f>SUM(G1531:I1531)</f>
        <v>1887290</v>
      </c>
      <c r="K1531" t="s">
        <v>1660</v>
      </c>
      <c r="L1531" t="s">
        <v>1660</v>
      </c>
      <c r="M1531" t="s">
        <v>1229</v>
      </c>
      <c r="N1531" t="s">
        <v>1229</v>
      </c>
      <c r="O1531" t="s">
        <v>1229</v>
      </c>
      <c r="P1531">
        <f>IFERROR(VLOOKUP(F1531,Sheet1!$A$2:$B$54,2,FALSE),"")</f>
        <v>4900450</v>
      </c>
    </row>
    <row r="1532" spans="1:16" x14ac:dyDescent="0.2">
      <c r="A1532" s="1">
        <v>2018</v>
      </c>
      <c r="B1532" t="s">
        <v>186</v>
      </c>
      <c r="C1532" s="10" t="s">
        <v>1678</v>
      </c>
      <c r="D1532" s="10" t="s">
        <v>1679</v>
      </c>
      <c r="E1532" s="10" t="s">
        <v>1682</v>
      </c>
      <c r="F1532" t="s">
        <v>683</v>
      </c>
      <c r="G1532" s="4">
        <v>173028</v>
      </c>
      <c r="H1532" s="4">
        <v>1876134</v>
      </c>
      <c r="I1532" s="4">
        <v>0</v>
      </c>
      <c r="J1532" s="4">
        <f>SUM(G1532:I1532)</f>
        <v>2049162</v>
      </c>
      <c r="K1532" t="s">
        <v>1660</v>
      </c>
      <c r="L1532" t="s">
        <v>1660</v>
      </c>
      <c r="M1532" t="s">
        <v>1229</v>
      </c>
      <c r="N1532" t="s">
        <v>1229</v>
      </c>
      <c r="O1532" t="s">
        <v>1229</v>
      </c>
      <c r="P1532">
        <f>IFERROR(VLOOKUP(F1532,Sheet1!$A$2:$B$54,2,FALSE),"")</f>
        <v>4900450</v>
      </c>
    </row>
    <row r="1533" spans="1:16" x14ac:dyDescent="0.2">
      <c r="A1533" s="1">
        <v>2019</v>
      </c>
      <c r="B1533" t="s">
        <v>186</v>
      </c>
      <c r="C1533" s="10" t="s">
        <v>1678</v>
      </c>
      <c r="D1533" s="10" t="s">
        <v>1679</v>
      </c>
      <c r="E1533" s="10" t="s">
        <v>1682</v>
      </c>
      <c r="F1533" t="s">
        <v>683</v>
      </c>
      <c r="G1533" s="4">
        <v>213667</v>
      </c>
      <c r="H1533" s="4">
        <v>1955437</v>
      </c>
      <c r="I1533" s="4">
        <v>0</v>
      </c>
      <c r="J1533" s="4">
        <f>SUM(G1533:I1533)</f>
        <v>2169104</v>
      </c>
      <c r="K1533" t="s">
        <v>1660</v>
      </c>
      <c r="L1533" t="s">
        <v>1660</v>
      </c>
      <c r="M1533" t="s">
        <v>1229</v>
      </c>
      <c r="N1533" t="s">
        <v>1229</v>
      </c>
      <c r="O1533" t="s">
        <v>1229</v>
      </c>
      <c r="P1533">
        <f>IFERROR(VLOOKUP(F1533,Sheet1!$A$2:$B$54,2,FALSE),"")</f>
        <v>4900450</v>
      </c>
    </row>
    <row r="1534" spans="1:16" x14ac:dyDescent="0.2">
      <c r="A1534" s="1">
        <v>2020</v>
      </c>
      <c r="B1534" t="s">
        <v>186</v>
      </c>
      <c r="C1534" s="10" t="s">
        <v>1678</v>
      </c>
      <c r="D1534" s="10" t="s">
        <v>1679</v>
      </c>
      <c r="E1534" s="10" t="s">
        <v>1682</v>
      </c>
      <c r="F1534" t="s">
        <v>683</v>
      </c>
      <c r="G1534" s="4">
        <v>267043</v>
      </c>
      <c r="H1534" s="4">
        <v>2036161</v>
      </c>
      <c r="I1534" s="4">
        <v>0</v>
      </c>
      <c r="J1534" s="4">
        <f>SUM(G1534:I1534)</f>
        <v>2303204</v>
      </c>
      <c r="K1534" t="s">
        <v>1660</v>
      </c>
      <c r="L1534" t="s">
        <v>1660</v>
      </c>
      <c r="M1534" t="s">
        <v>1229</v>
      </c>
      <c r="N1534" t="s">
        <v>1229</v>
      </c>
      <c r="O1534" t="s">
        <v>1229</v>
      </c>
      <c r="P1534">
        <f>IFERROR(VLOOKUP(F1534,Sheet1!$A$2:$B$54,2,FALSE),"")</f>
        <v>4900450</v>
      </c>
    </row>
    <row r="1535" spans="1:16" x14ac:dyDescent="0.2">
      <c r="A1535" s="1">
        <v>2021</v>
      </c>
      <c r="B1535" t="s">
        <v>186</v>
      </c>
      <c r="C1535" s="10" t="s">
        <v>1678</v>
      </c>
      <c r="D1535" s="10" t="s">
        <v>1679</v>
      </c>
      <c r="E1535" s="10" t="s">
        <v>1682</v>
      </c>
      <c r="F1535" t="s">
        <v>683</v>
      </c>
      <c r="G1535" s="4">
        <v>334268</v>
      </c>
      <c r="H1535" s="4">
        <v>2104276</v>
      </c>
      <c r="I1535" s="4">
        <v>0</v>
      </c>
      <c r="J1535" s="4">
        <f>SUM(G1535:I1535)</f>
        <v>2438544</v>
      </c>
      <c r="K1535" t="s">
        <v>1660</v>
      </c>
      <c r="L1535" t="s">
        <v>1660</v>
      </c>
      <c r="M1535" t="s">
        <v>683</v>
      </c>
      <c r="N1535" t="s">
        <v>683</v>
      </c>
      <c r="O1535" t="s">
        <v>683</v>
      </c>
      <c r="P1535">
        <f>IFERROR(VLOOKUP(F1535,Sheet1!$A$2:$B$54,2,FALSE),"")</f>
        <v>4900450</v>
      </c>
    </row>
    <row r="1536" spans="1:16" x14ac:dyDescent="0.2">
      <c r="A1536" s="1">
        <v>2022</v>
      </c>
      <c r="B1536" t="s">
        <v>186</v>
      </c>
      <c r="C1536" s="10" t="s">
        <v>1678</v>
      </c>
      <c r="D1536" s="10" t="s">
        <v>1679</v>
      </c>
      <c r="E1536" s="10" t="s">
        <v>1682</v>
      </c>
      <c r="F1536" t="s">
        <v>683</v>
      </c>
      <c r="G1536" s="4">
        <v>423672</v>
      </c>
      <c r="H1536" s="4">
        <v>2198625</v>
      </c>
      <c r="I1536" s="4">
        <v>0</v>
      </c>
      <c r="J1536" s="4">
        <f>SUM(G1536:I1536)</f>
        <v>2622297</v>
      </c>
      <c r="K1536" t="s">
        <v>1660</v>
      </c>
      <c r="L1536" t="s">
        <v>1660</v>
      </c>
      <c r="M1536" t="s">
        <v>683</v>
      </c>
      <c r="N1536" t="s">
        <v>683</v>
      </c>
      <c r="O1536" t="s">
        <v>683</v>
      </c>
      <c r="P1536">
        <f>IFERROR(VLOOKUP(F1536,Sheet1!$A$2:$B$54,2,FALSE),"")</f>
        <v>4900450</v>
      </c>
    </row>
    <row r="1537" spans="1:16" x14ac:dyDescent="0.2">
      <c r="A1537" s="1">
        <v>2023</v>
      </c>
      <c r="B1537" t="s">
        <v>186</v>
      </c>
      <c r="C1537" s="10" t="s">
        <v>1678</v>
      </c>
      <c r="D1537" s="10" t="s">
        <v>1679</v>
      </c>
      <c r="E1537" s="10" t="s">
        <v>1682</v>
      </c>
      <c r="F1537" t="s">
        <v>683</v>
      </c>
      <c r="G1537" s="4">
        <v>501509</v>
      </c>
      <c r="H1537" s="4">
        <v>2248484</v>
      </c>
      <c r="I1537" s="4"/>
      <c r="J1537" s="4">
        <f>SUM(G1537:I1537)</f>
        <v>2749993</v>
      </c>
      <c r="K1537" t="s">
        <v>1660</v>
      </c>
      <c r="L1537" t="s">
        <v>1659</v>
      </c>
      <c r="M1537" t="s">
        <v>683</v>
      </c>
      <c r="N1537" t="s">
        <v>683</v>
      </c>
      <c r="O1537" t="s">
        <v>1132</v>
      </c>
      <c r="P1537">
        <f>IFERROR(VLOOKUP(F1537,Sheet1!$A$2:$B$54,2,FALSE),"")</f>
        <v>4900450</v>
      </c>
    </row>
    <row r="1538" spans="1:16" x14ac:dyDescent="0.2">
      <c r="A1538" s="1">
        <v>2020</v>
      </c>
      <c r="B1538" t="s">
        <v>187</v>
      </c>
      <c r="C1538" s="10" t="s">
        <v>1678</v>
      </c>
      <c r="D1538" s="10" t="s">
        <v>1679</v>
      </c>
      <c r="E1538" s="10" t="s">
        <v>1682</v>
      </c>
      <c r="F1538" t="s">
        <v>684</v>
      </c>
      <c r="G1538" s="4">
        <v>7502</v>
      </c>
      <c r="H1538" s="4"/>
      <c r="I1538" s="4"/>
      <c r="J1538" s="4">
        <f>SUM(G1538:I1538)</f>
        <v>7502</v>
      </c>
      <c r="K1538" t="s">
        <v>1659</v>
      </c>
      <c r="L1538" t="s">
        <v>1659</v>
      </c>
      <c r="M1538" t="s">
        <v>1230</v>
      </c>
      <c r="N1538" t="s">
        <v>1132</v>
      </c>
      <c r="O1538" t="s">
        <v>1132</v>
      </c>
      <c r="P1538" t="str">
        <f>IFERROR(VLOOKUP(F1538,Sheet1!$A$2:$B$54,2,FALSE),"")</f>
        <v/>
      </c>
    </row>
    <row r="1539" spans="1:16" x14ac:dyDescent="0.2">
      <c r="A1539" s="1">
        <v>2021</v>
      </c>
      <c r="B1539" t="s">
        <v>187</v>
      </c>
      <c r="C1539" s="10" t="s">
        <v>1678</v>
      </c>
      <c r="D1539" s="10" t="s">
        <v>1679</v>
      </c>
      <c r="E1539" s="10" t="s">
        <v>1682</v>
      </c>
      <c r="F1539" t="s">
        <v>684</v>
      </c>
      <c r="G1539" s="4">
        <v>8126</v>
      </c>
      <c r="H1539" s="4"/>
      <c r="I1539" s="4"/>
      <c r="J1539" s="4">
        <f>SUM(G1539:I1539)</f>
        <v>8126</v>
      </c>
      <c r="K1539" t="s">
        <v>1659</v>
      </c>
      <c r="L1539" t="s">
        <v>1659</v>
      </c>
      <c r="M1539" t="s">
        <v>684</v>
      </c>
      <c r="N1539" t="s">
        <v>1132</v>
      </c>
      <c r="O1539" t="s">
        <v>1132</v>
      </c>
      <c r="P1539" t="str">
        <f>IFERROR(VLOOKUP(F1539,Sheet1!$A$2:$B$54,2,FALSE),"")</f>
        <v/>
      </c>
    </row>
    <row r="1540" spans="1:16" x14ac:dyDescent="0.2">
      <c r="A1540" s="1">
        <v>2022</v>
      </c>
      <c r="B1540" t="s">
        <v>187</v>
      </c>
      <c r="C1540" s="10" t="s">
        <v>1678</v>
      </c>
      <c r="D1540" s="10" t="s">
        <v>1679</v>
      </c>
      <c r="E1540" s="10" t="s">
        <v>1682</v>
      </c>
      <c r="F1540" t="s">
        <v>684</v>
      </c>
      <c r="G1540" s="4">
        <v>12259</v>
      </c>
      <c r="H1540" s="4"/>
      <c r="I1540" s="4"/>
      <c r="J1540" s="4">
        <f>SUM(G1540:I1540)</f>
        <v>12259</v>
      </c>
      <c r="K1540" t="s">
        <v>1659</v>
      </c>
      <c r="L1540" t="s">
        <v>1659</v>
      </c>
      <c r="M1540" t="s">
        <v>684</v>
      </c>
      <c r="N1540" t="s">
        <v>1132</v>
      </c>
      <c r="O1540" t="s">
        <v>1132</v>
      </c>
      <c r="P1540" t="str">
        <f>IFERROR(VLOOKUP(F1540,Sheet1!$A$2:$B$54,2,FALSE),"")</f>
        <v/>
      </c>
    </row>
    <row r="1541" spans="1:16" x14ac:dyDescent="0.2">
      <c r="A1541" s="1">
        <v>2023</v>
      </c>
      <c r="B1541" t="s">
        <v>187</v>
      </c>
      <c r="C1541" s="10" t="s">
        <v>1678</v>
      </c>
      <c r="D1541" s="10" t="s">
        <v>1679</v>
      </c>
      <c r="E1541" s="10" t="s">
        <v>1682</v>
      </c>
      <c r="F1541" t="s">
        <v>684</v>
      </c>
      <c r="G1541" s="4">
        <v>18143</v>
      </c>
      <c r="H1541" s="4"/>
      <c r="I1541" s="4"/>
      <c r="J1541" s="4">
        <f>SUM(G1541:I1541)</f>
        <v>18143</v>
      </c>
      <c r="K1541" t="s">
        <v>1659</v>
      </c>
      <c r="L1541" t="s">
        <v>1659</v>
      </c>
      <c r="M1541" t="s">
        <v>684</v>
      </c>
      <c r="N1541" t="s">
        <v>1132</v>
      </c>
      <c r="O1541" t="s">
        <v>1132</v>
      </c>
      <c r="P1541" t="str">
        <f>IFERROR(VLOOKUP(F1541,Sheet1!$A$2:$B$54,2,FALSE),"")</f>
        <v/>
      </c>
    </row>
    <row r="1542" spans="1:16" x14ac:dyDescent="0.2">
      <c r="A1542" s="1">
        <v>2017</v>
      </c>
      <c r="B1542" t="s">
        <v>188</v>
      </c>
      <c r="C1542" s="10" t="s">
        <v>1678</v>
      </c>
      <c r="D1542" s="10" t="s">
        <v>1679</v>
      </c>
      <c r="E1542" s="10" t="s">
        <v>1682</v>
      </c>
      <c r="F1542" t="s">
        <v>685</v>
      </c>
      <c r="G1542" s="4">
        <v>1123</v>
      </c>
      <c r="H1542" s="4"/>
      <c r="I1542" s="4"/>
      <c r="J1542" s="4">
        <f>SUM(G1542:I1542)</f>
        <v>1123</v>
      </c>
      <c r="K1542" t="s">
        <v>1659</v>
      </c>
      <c r="L1542" t="s">
        <v>1659</v>
      </c>
      <c r="M1542" t="s">
        <v>1231</v>
      </c>
      <c r="N1542" t="s">
        <v>1132</v>
      </c>
      <c r="O1542" t="s">
        <v>1132</v>
      </c>
      <c r="P1542" t="str">
        <f>IFERROR(VLOOKUP(F1542,Sheet1!$A$2:$B$54,2,FALSE),"")</f>
        <v/>
      </c>
    </row>
    <row r="1543" spans="1:16" x14ac:dyDescent="0.2">
      <c r="A1543" s="1">
        <v>2018</v>
      </c>
      <c r="B1543" t="s">
        <v>188</v>
      </c>
      <c r="C1543" s="10" t="s">
        <v>1678</v>
      </c>
      <c r="D1543" s="10" t="s">
        <v>1679</v>
      </c>
      <c r="E1543" s="10" t="s">
        <v>1682</v>
      </c>
      <c r="F1543" t="s">
        <v>685</v>
      </c>
      <c r="G1543" s="4">
        <v>4666</v>
      </c>
      <c r="H1543" s="4"/>
      <c r="I1543" s="4"/>
      <c r="J1543" s="4">
        <f>SUM(G1543:I1543)</f>
        <v>4666</v>
      </c>
      <c r="K1543" t="s">
        <v>1659</v>
      </c>
      <c r="L1543" t="s">
        <v>1659</v>
      </c>
      <c r="M1543" t="s">
        <v>1231</v>
      </c>
      <c r="N1543" t="s">
        <v>1132</v>
      </c>
      <c r="O1543" t="s">
        <v>1132</v>
      </c>
      <c r="P1543" t="str">
        <f>IFERROR(VLOOKUP(F1543,Sheet1!$A$2:$B$54,2,FALSE),"")</f>
        <v/>
      </c>
    </row>
    <row r="1544" spans="1:16" x14ac:dyDescent="0.2">
      <c r="A1544" s="1">
        <v>2019</v>
      </c>
      <c r="B1544" t="s">
        <v>188</v>
      </c>
      <c r="C1544" s="10" t="s">
        <v>1678</v>
      </c>
      <c r="D1544" s="10" t="s">
        <v>1679</v>
      </c>
      <c r="E1544" s="10" t="s">
        <v>1682</v>
      </c>
      <c r="F1544" t="s">
        <v>685</v>
      </c>
      <c r="G1544" s="4">
        <v>7731</v>
      </c>
      <c r="H1544" s="4"/>
      <c r="I1544" s="4"/>
      <c r="J1544" s="4">
        <f>SUM(G1544:I1544)</f>
        <v>7731</v>
      </c>
      <c r="K1544" t="s">
        <v>1659</v>
      </c>
      <c r="L1544" t="s">
        <v>1659</v>
      </c>
      <c r="M1544" t="s">
        <v>1231</v>
      </c>
      <c r="N1544" t="s">
        <v>1132</v>
      </c>
      <c r="O1544" t="s">
        <v>1132</v>
      </c>
      <c r="P1544" t="str">
        <f>IFERROR(VLOOKUP(F1544,Sheet1!$A$2:$B$54,2,FALSE),"")</f>
        <v/>
      </c>
    </row>
    <row r="1545" spans="1:16" x14ac:dyDescent="0.2">
      <c r="A1545" s="1">
        <v>2020</v>
      </c>
      <c r="B1545" t="s">
        <v>188</v>
      </c>
      <c r="C1545" s="10" t="s">
        <v>1678</v>
      </c>
      <c r="D1545" s="10" t="s">
        <v>1679</v>
      </c>
      <c r="E1545" s="10" t="s">
        <v>1682</v>
      </c>
      <c r="F1545" t="s">
        <v>685</v>
      </c>
      <c r="G1545" s="4">
        <v>7991</v>
      </c>
      <c r="H1545" s="4"/>
      <c r="I1545" s="4"/>
      <c r="J1545" s="4">
        <f>SUM(G1545:I1545)</f>
        <v>7991</v>
      </c>
      <c r="K1545" t="s">
        <v>1659</v>
      </c>
      <c r="L1545" t="s">
        <v>1659</v>
      </c>
      <c r="M1545" t="s">
        <v>1231</v>
      </c>
      <c r="N1545" t="s">
        <v>1132</v>
      </c>
      <c r="O1545" t="s">
        <v>1132</v>
      </c>
      <c r="P1545" t="str">
        <f>IFERROR(VLOOKUP(F1545,Sheet1!$A$2:$B$54,2,FALSE),"")</f>
        <v/>
      </c>
    </row>
    <row r="1546" spans="1:16" x14ac:dyDescent="0.2">
      <c r="A1546" s="1">
        <v>2021</v>
      </c>
      <c r="B1546" t="s">
        <v>188</v>
      </c>
      <c r="C1546" s="10" t="s">
        <v>1678</v>
      </c>
      <c r="D1546" s="10" t="s">
        <v>1679</v>
      </c>
      <c r="E1546" s="10" t="s">
        <v>1682</v>
      </c>
      <c r="F1546" t="s">
        <v>685</v>
      </c>
      <c r="G1546" s="4">
        <v>8258</v>
      </c>
      <c r="H1546" s="4"/>
      <c r="I1546" s="4"/>
      <c r="J1546" s="4">
        <f>SUM(G1546:I1546)</f>
        <v>8258</v>
      </c>
      <c r="K1546" t="s">
        <v>1659</v>
      </c>
      <c r="L1546" t="s">
        <v>1659</v>
      </c>
      <c r="M1546" t="s">
        <v>685</v>
      </c>
      <c r="N1546" t="s">
        <v>1132</v>
      </c>
      <c r="O1546" t="s">
        <v>1132</v>
      </c>
      <c r="P1546" t="str">
        <f>IFERROR(VLOOKUP(F1546,Sheet1!$A$2:$B$54,2,FALSE),"")</f>
        <v/>
      </c>
    </row>
    <row r="1547" spans="1:16" x14ac:dyDescent="0.2">
      <c r="A1547" s="1">
        <v>2022</v>
      </c>
      <c r="B1547" t="s">
        <v>188</v>
      </c>
      <c r="C1547" s="10" t="s">
        <v>1678</v>
      </c>
      <c r="D1547" s="10" t="s">
        <v>1679</v>
      </c>
      <c r="E1547" s="10" t="s">
        <v>1682</v>
      </c>
      <c r="F1547" t="s">
        <v>685</v>
      </c>
      <c r="G1547" s="4">
        <v>11409</v>
      </c>
      <c r="H1547" s="4"/>
      <c r="I1547" s="4"/>
      <c r="J1547" s="4">
        <f>SUM(G1547:I1547)</f>
        <v>11409</v>
      </c>
      <c r="K1547" t="s">
        <v>1659</v>
      </c>
      <c r="L1547" t="s">
        <v>1659</v>
      </c>
      <c r="M1547" t="s">
        <v>685</v>
      </c>
      <c r="N1547" t="s">
        <v>1132</v>
      </c>
      <c r="O1547" t="s">
        <v>1132</v>
      </c>
      <c r="P1547" t="str">
        <f>IFERROR(VLOOKUP(F1547,Sheet1!$A$2:$B$54,2,FALSE),"")</f>
        <v/>
      </c>
    </row>
    <row r="1548" spans="1:16" x14ac:dyDescent="0.2">
      <c r="A1548" s="1">
        <v>2023</v>
      </c>
      <c r="B1548" t="s">
        <v>188</v>
      </c>
      <c r="C1548" s="10" t="s">
        <v>1678</v>
      </c>
      <c r="D1548" s="10" t="s">
        <v>1679</v>
      </c>
      <c r="E1548" s="10" t="s">
        <v>1682</v>
      </c>
      <c r="F1548" t="s">
        <v>685</v>
      </c>
      <c r="G1548" s="4">
        <v>19275</v>
      </c>
      <c r="H1548" s="4"/>
      <c r="I1548" s="4"/>
      <c r="J1548" s="4">
        <f>SUM(G1548:I1548)</f>
        <v>19275</v>
      </c>
      <c r="K1548" t="s">
        <v>1659</v>
      </c>
      <c r="L1548" t="s">
        <v>1659</v>
      </c>
      <c r="M1548" t="s">
        <v>685</v>
      </c>
      <c r="N1548" t="s">
        <v>1132</v>
      </c>
      <c r="O1548" t="s">
        <v>1132</v>
      </c>
      <c r="P1548" t="str">
        <f>IFERROR(VLOOKUP(F1548,Sheet1!$A$2:$B$54,2,FALSE),"")</f>
        <v/>
      </c>
    </row>
    <row r="1549" spans="1:16" x14ac:dyDescent="0.2">
      <c r="A1549" s="1">
        <v>2015</v>
      </c>
      <c r="B1549" t="s">
        <v>189</v>
      </c>
      <c r="C1549" s="10" t="s">
        <v>1678</v>
      </c>
      <c r="D1549" s="10" t="s">
        <v>1679</v>
      </c>
      <c r="E1549" s="10" t="s">
        <v>1682</v>
      </c>
      <c r="F1549" t="s">
        <v>686</v>
      </c>
      <c r="G1549" s="4">
        <v>79317</v>
      </c>
      <c r="H1549" s="4"/>
      <c r="I1549" s="4"/>
      <c r="J1549" s="4">
        <f>SUM(G1549:I1549)</f>
        <v>79317</v>
      </c>
      <c r="K1549" t="s">
        <v>1659</v>
      </c>
      <c r="L1549" t="s">
        <v>1659</v>
      </c>
      <c r="M1549" t="s">
        <v>1232</v>
      </c>
      <c r="N1549" t="s">
        <v>1132</v>
      </c>
      <c r="O1549" t="s">
        <v>1132</v>
      </c>
      <c r="P1549" t="str">
        <f>IFERROR(VLOOKUP(F1549,Sheet1!$A$2:$B$54,2,FALSE),"")</f>
        <v/>
      </c>
    </row>
    <row r="1550" spans="1:16" x14ac:dyDescent="0.2">
      <c r="A1550" s="1">
        <v>2016</v>
      </c>
      <c r="B1550" t="s">
        <v>189</v>
      </c>
      <c r="C1550" s="10" t="s">
        <v>1678</v>
      </c>
      <c r="D1550" s="10" t="s">
        <v>1679</v>
      </c>
      <c r="E1550" s="10" t="s">
        <v>1682</v>
      </c>
      <c r="F1550" t="s">
        <v>686</v>
      </c>
      <c r="G1550" s="4">
        <v>100403</v>
      </c>
      <c r="H1550" s="4"/>
      <c r="I1550" s="4"/>
      <c r="J1550" s="4">
        <f>SUM(G1550:I1550)</f>
        <v>100403</v>
      </c>
      <c r="K1550" t="s">
        <v>1659</v>
      </c>
      <c r="L1550" t="s">
        <v>1659</v>
      </c>
      <c r="M1550" t="s">
        <v>1232</v>
      </c>
      <c r="N1550" t="s">
        <v>1132</v>
      </c>
      <c r="O1550" t="s">
        <v>1132</v>
      </c>
      <c r="P1550" t="str">
        <f>IFERROR(VLOOKUP(F1550,Sheet1!$A$2:$B$54,2,FALSE),"")</f>
        <v/>
      </c>
    </row>
    <row r="1551" spans="1:16" x14ac:dyDescent="0.2">
      <c r="A1551" s="1">
        <v>2017</v>
      </c>
      <c r="B1551" t="s">
        <v>189</v>
      </c>
      <c r="C1551" s="10" t="s">
        <v>1678</v>
      </c>
      <c r="D1551" s="10" t="s">
        <v>1679</v>
      </c>
      <c r="E1551" s="10" t="s">
        <v>1682</v>
      </c>
      <c r="F1551" t="s">
        <v>686</v>
      </c>
      <c r="G1551" s="4">
        <v>118852</v>
      </c>
      <c r="H1551" s="4"/>
      <c r="I1551" s="4"/>
      <c r="J1551" s="4">
        <f>SUM(G1551:I1551)</f>
        <v>118852</v>
      </c>
      <c r="K1551" t="s">
        <v>1659</v>
      </c>
      <c r="L1551" t="s">
        <v>1659</v>
      </c>
      <c r="M1551" t="s">
        <v>1232</v>
      </c>
      <c r="N1551" t="s">
        <v>1132</v>
      </c>
      <c r="O1551" t="s">
        <v>1132</v>
      </c>
      <c r="P1551" t="str">
        <f>IFERROR(VLOOKUP(F1551,Sheet1!$A$2:$B$54,2,FALSE),"")</f>
        <v/>
      </c>
    </row>
    <row r="1552" spans="1:16" x14ac:dyDescent="0.2">
      <c r="A1552" s="1">
        <v>2018</v>
      </c>
      <c r="B1552" t="s">
        <v>189</v>
      </c>
      <c r="C1552" s="10" t="s">
        <v>1678</v>
      </c>
      <c r="D1552" s="10" t="s">
        <v>1679</v>
      </c>
      <c r="E1552" s="10" t="s">
        <v>1682</v>
      </c>
      <c r="F1552" t="s">
        <v>686</v>
      </c>
      <c r="G1552" s="4">
        <v>144398</v>
      </c>
      <c r="H1552" s="4"/>
      <c r="I1552" s="4"/>
      <c r="J1552" s="4">
        <f>SUM(G1552:I1552)</f>
        <v>144398</v>
      </c>
      <c r="K1552" t="s">
        <v>1659</v>
      </c>
      <c r="L1552" t="s">
        <v>1659</v>
      </c>
      <c r="M1552" t="s">
        <v>1232</v>
      </c>
      <c r="N1552" t="s">
        <v>1132</v>
      </c>
      <c r="O1552" t="s">
        <v>1132</v>
      </c>
      <c r="P1552" t="str">
        <f>IFERROR(VLOOKUP(F1552,Sheet1!$A$2:$B$54,2,FALSE),"")</f>
        <v/>
      </c>
    </row>
    <row r="1553" spans="1:16" x14ac:dyDescent="0.2">
      <c r="A1553" s="1">
        <v>2019</v>
      </c>
      <c r="B1553" t="s">
        <v>189</v>
      </c>
      <c r="C1553" s="10" t="s">
        <v>1678</v>
      </c>
      <c r="D1553" s="10" t="s">
        <v>1679</v>
      </c>
      <c r="E1553" s="10" t="s">
        <v>1682</v>
      </c>
      <c r="F1553" t="s">
        <v>686</v>
      </c>
      <c r="G1553" s="4">
        <v>166703</v>
      </c>
      <c r="H1553" s="4"/>
      <c r="I1553" s="4"/>
      <c r="J1553" s="4">
        <f>SUM(G1553:I1553)</f>
        <v>166703</v>
      </c>
      <c r="K1553" t="s">
        <v>1659</v>
      </c>
      <c r="L1553" t="s">
        <v>1659</v>
      </c>
      <c r="M1553" t="s">
        <v>1232</v>
      </c>
      <c r="N1553" t="s">
        <v>1132</v>
      </c>
      <c r="O1553" t="s">
        <v>1132</v>
      </c>
      <c r="P1553" t="str">
        <f>IFERROR(VLOOKUP(F1553,Sheet1!$A$2:$B$54,2,FALSE),"")</f>
        <v/>
      </c>
    </row>
    <row r="1554" spans="1:16" x14ac:dyDescent="0.2">
      <c r="A1554" s="1">
        <v>2020</v>
      </c>
      <c r="B1554" t="s">
        <v>189</v>
      </c>
      <c r="C1554" s="10" t="s">
        <v>1678</v>
      </c>
      <c r="D1554" s="10" t="s">
        <v>1679</v>
      </c>
      <c r="E1554" s="10" t="s">
        <v>1682</v>
      </c>
      <c r="F1554" t="s">
        <v>686</v>
      </c>
      <c r="G1554" s="4">
        <v>177962</v>
      </c>
      <c r="H1554" s="4"/>
      <c r="I1554" s="4"/>
      <c r="J1554" s="4">
        <f>SUM(G1554:I1554)</f>
        <v>177962</v>
      </c>
      <c r="K1554" t="s">
        <v>1659</v>
      </c>
      <c r="L1554" t="s">
        <v>1659</v>
      </c>
      <c r="M1554" t="s">
        <v>1232</v>
      </c>
      <c r="N1554" t="s">
        <v>1132</v>
      </c>
      <c r="O1554" t="s">
        <v>1132</v>
      </c>
      <c r="P1554" t="str">
        <f>IFERROR(VLOOKUP(F1554,Sheet1!$A$2:$B$54,2,FALSE),"")</f>
        <v/>
      </c>
    </row>
    <row r="1555" spans="1:16" x14ac:dyDescent="0.2">
      <c r="A1555" s="1">
        <v>2021</v>
      </c>
      <c r="B1555" t="s">
        <v>189</v>
      </c>
      <c r="C1555" s="10" t="s">
        <v>1678</v>
      </c>
      <c r="D1555" s="10" t="s">
        <v>1679</v>
      </c>
      <c r="E1555" s="10" t="s">
        <v>1682</v>
      </c>
      <c r="F1555" t="s">
        <v>686</v>
      </c>
      <c r="G1555" s="4">
        <v>193553</v>
      </c>
      <c r="H1555" s="4"/>
      <c r="I1555" s="4"/>
      <c r="J1555" s="4">
        <f>SUM(G1555:I1555)</f>
        <v>193553</v>
      </c>
      <c r="K1555" t="s">
        <v>1659</v>
      </c>
      <c r="L1555" t="s">
        <v>1659</v>
      </c>
      <c r="M1555" t="s">
        <v>686</v>
      </c>
      <c r="N1555" t="s">
        <v>1132</v>
      </c>
      <c r="O1555" t="s">
        <v>1132</v>
      </c>
      <c r="P1555" t="str">
        <f>IFERROR(VLOOKUP(F1555,Sheet1!$A$2:$B$54,2,FALSE),"")</f>
        <v/>
      </c>
    </row>
    <row r="1556" spans="1:16" x14ac:dyDescent="0.2">
      <c r="A1556" s="1">
        <v>2022</v>
      </c>
      <c r="B1556" t="s">
        <v>189</v>
      </c>
      <c r="C1556" s="10" t="s">
        <v>1678</v>
      </c>
      <c r="D1556" s="10" t="s">
        <v>1679</v>
      </c>
      <c r="E1556" s="10" t="s">
        <v>1682</v>
      </c>
      <c r="F1556" t="s">
        <v>686</v>
      </c>
      <c r="G1556" s="4">
        <v>242717</v>
      </c>
      <c r="H1556" s="4"/>
      <c r="I1556" s="4"/>
      <c r="J1556" s="4">
        <f>SUM(G1556:I1556)</f>
        <v>242717</v>
      </c>
      <c r="K1556" t="s">
        <v>1659</v>
      </c>
      <c r="L1556" t="s">
        <v>1659</v>
      </c>
      <c r="M1556" t="s">
        <v>686</v>
      </c>
      <c r="N1556" t="s">
        <v>1132</v>
      </c>
      <c r="O1556" t="s">
        <v>1132</v>
      </c>
      <c r="P1556" t="str">
        <f>IFERROR(VLOOKUP(F1556,Sheet1!$A$2:$B$54,2,FALSE),"")</f>
        <v/>
      </c>
    </row>
    <row r="1557" spans="1:16" x14ac:dyDescent="0.2">
      <c r="A1557" s="1">
        <v>2023</v>
      </c>
      <c r="B1557" t="s">
        <v>189</v>
      </c>
      <c r="C1557" s="10" t="s">
        <v>1678</v>
      </c>
      <c r="D1557" s="10" t="s">
        <v>1679</v>
      </c>
      <c r="E1557" s="10" t="s">
        <v>1682</v>
      </c>
      <c r="F1557" t="s">
        <v>686</v>
      </c>
      <c r="G1557" s="4">
        <v>262112</v>
      </c>
      <c r="H1557" s="4"/>
      <c r="I1557" s="4"/>
      <c r="J1557" s="4">
        <f>SUM(G1557:I1557)</f>
        <v>262112</v>
      </c>
      <c r="K1557" t="s">
        <v>1659</v>
      </c>
      <c r="L1557" t="s">
        <v>1659</v>
      </c>
      <c r="M1557" t="s">
        <v>686</v>
      </c>
      <c r="N1557" t="s">
        <v>1132</v>
      </c>
      <c r="O1557" t="s">
        <v>1132</v>
      </c>
      <c r="P1557" t="str">
        <f>IFERROR(VLOOKUP(F1557,Sheet1!$A$2:$B$54,2,FALSE),"")</f>
        <v/>
      </c>
    </row>
    <row r="1558" spans="1:16" x14ac:dyDescent="0.2">
      <c r="A1558" s="1">
        <v>2015</v>
      </c>
      <c r="B1558" t="s">
        <v>190</v>
      </c>
      <c r="C1558" s="10" t="s">
        <v>1678</v>
      </c>
      <c r="D1558" s="10" t="s">
        <v>1679</v>
      </c>
      <c r="E1558" s="10" t="s">
        <v>1682</v>
      </c>
      <c r="F1558" t="s">
        <v>687</v>
      </c>
      <c r="G1558" s="4">
        <v>8277</v>
      </c>
      <c r="H1558" s="4"/>
      <c r="I1558" s="4"/>
      <c r="J1558" s="4">
        <f>SUM(G1558:I1558)</f>
        <v>8277</v>
      </c>
      <c r="K1558" t="s">
        <v>1659</v>
      </c>
      <c r="L1558" t="s">
        <v>1659</v>
      </c>
      <c r="M1558" t="s">
        <v>1233</v>
      </c>
      <c r="N1558" t="s">
        <v>1132</v>
      </c>
      <c r="O1558" t="s">
        <v>1132</v>
      </c>
      <c r="P1558" t="str">
        <f>IFERROR(VLOOKUP(F1558,Sheet1!$A$2:$B$54,2,FALSE),"")</f>
        <v/>
      </c>
    </row>
    <row r="1559" spans="1:16" x14ac:dyDescent="0.2">
      <c r="A1559" s="1">
        <v>2016</v>
      </c>
      <c r="B1559" t="s">
        <v>190</v>
      </c>
      <c r="C1559" s="10" t="s">
        <v>1678</v>
      </c>
      <c r="D1559" s="10" t="s">
        <v>1679</v>
      </c>
      <c r="E1559" s="10" t="s">
        <v>1682</v>
      </c>
      <c r="F1559" t="s">
        <v>687</v>
      </c>
      <c r="G1559" s="4">
        <v>9541</v>
      </c>
      <c r="H1559" s="4"/>
      <c r="I1559" s="4"/>
      <c r="J1559" s="4">
        <f>SUM(G1559:I1559)</f>
        <v>9541</v>
      </c>
      <c r="K1559" t="s">
        <v>1659</v>
      </c>
      <c r="L1559" t="s">
        <v>1659</v>
      </c>
      <c r="M1559" t="s">
        <v>1233</v>
      </c>
      <c r="N1559" t="s">
        <v>1132</v>
      </c>
      <c r="O1559" t="s">
        <v>1132</v>
      </c>
      <c r="P1559" t="str">
        <f>IFERROR(VLOOKUP(F1559,Sheet1!$A$2:$B$54,2,FALSE),"")</f>
        <v/>
      </c>
    </row>
    <row r="1560" spans="1:16" x14ac:dyDescent="0.2">
      <c r="A1560" s="1">
        <v>2017</v>
      </c>
      <c r="B1560" t="s">
        <v>190</v>
      </c>
      <c r="C1560" s="10" t="s">
        <v>1678</v>
      </c>
      <c r="D1560" s="10" t="s">
        <v>1679</v>
      </c>
      <c r="E1560" s="10" t="s">
        <v>1682</v>
      </c>
      <c r="F1560" t="s">
        <v>687</v>
      </c>
      <c r="G1560" s="4">
        <v>13847</v>
      </c>
      <c r="H1560" s="4"/>
      <c r="I1560" s="4"/>
      <c r="J1560" s="4">
        <f>SUM(G1560:I1560)</f>
        <v>13847</v>
      </c>
      <c r="K1560" t="s">
        <v>1659</v>
      </c>
      <c r="L1560" t="s">
        <v>1659</v>
      </c>
      <c r="M1560" t="s">
        <v>1234</v>
      </c>
      <c r="N1560" t="s">
        <v>1132</v>
      </c>
      <c r="O1560" t="s">
        <v>1132</v>
      </c>
      <c r="P1560" t="str">
        <f>IFERROR(VLOOKUP(F1560,Sheet1!$A$2:$B$54,2,FALSE),"")</f>
        <v/>
      </c>
    </row>
    <row r="1561" spans="1:16" x14ac:dyDescent="0.2">
      <c r="A1561" s="1">
        <v>2018</v>
      </c>
      <c r="B1561" t="s">
        <v>190</v>
      </c>
      <c r="C1561" s="10" t="s">
        <v>1678</v>
      </c>
      <c r="D1561" s="10" t="s">
        <v>1679</v>
      </c>
      <c r="E1561" s="10" t="s">
        <v>1682</v>
      </c>
      <c r="F1561" t="s">
        <v>687</v>
      </c>
      <c r="G1561" s="4">
        <v>15542</v>
      </c>
      <c r="H1561" s="4"/>
      <c r="I1561" s="4"/>
      <c r="J1561" s="4">
        <f>SUM(G1561:I1561)</f>
        <v>15542</v>
      </c>
      <c r="K1561" t="s">
        <v>1659</v>
      </c>
      <c r="L1561" t="s">
        <v>1659</v>
      </c>
      <c r="M1561" t="s">
        <v>1234</v>
      </c>
      <c r="N1561" t="s">
        <v>1132</v>
      </c>
      <c r="O1561" t="s">
        <v>1132</v>
      </c>
      <c r="P1561" t="str">
        <f>IFERROR(VLOOKUP(F1561,Sheet1!$A$2:$B$54,2,FALSE),"")</f>
        <v/>
      </c>
    </row>
    <row r="1562" spans="1:16" x14ac:dyDescent="0.2">
      <c r="A1562" s="1">
        <v>2019</v>
      </c>
      <c r="B1562" t="s">
        <v>190</v>
      </c>
      <c r="C1562" s="10" t="s">
        <v>1678</v>
      </c>
      <c r="D1562" s="10" t="s">
        <v>1679</v>
      </c>
      <c r="E1562" s="10" t="s">
        <v>1682</v>
      </c>
      <c r="F1562" t="s">
        <v>687</v>
      </c>
      <c r="G1562" s="4">
        <v>17459</v>
      </c>
      <c r="H1562" s="4"/>
      <c r="I1562" s="4"/>
      <c r="J1562" s="4">
        <f>SUM(G1562:I1562)</f>
        <v>17459</v>
      </c>
      <c r="K1562" t="s">
        <v>1659</v>
      </c>
      <c r="L1562" t="s">
        <v>1659</v>
      </c>
      <c r="M1562" t="s">
        <v>1235</v>
      </c>
      <c r="N1562" t="s">
        <v>1132</v>
      </c>
      <c r="O1562" t="s">
        <v>1132</v>
      </c>
      <c r="P1562" t="str">
        <f>IFERROR(VLOOKUP(F1562,Sheet1!$A$2:$B$54,2,FALSE),"")</f>
        <v/>
      </c>
    </row>
    <row r="1563" spans="1:16" x14ac:dyDescent="0.2">
      <c r="A1563" s="1">
        <v>2020</v>
      </c>
      <c r="B1563" t="s">
        <v>190</v>
      </c>
      <c r="C1563" s="10" t="s">
        <v>1678</v>
      </c>
      <c r="D1563" s="10" t="s">
        <v>1679</v>
      </c>
      <c r="E1563" s="10" t="s">
        <v>1682</v>
      </c>
      <c r="F1563" t="s">
        <v>687</v>
      </c>
      <c r="G1563" s="4">
        <v>19633</v>
      </c>
      <c r="H1563" s="4"/>
      <c r="I1563" s="4"/>
      <c r="J1563" s="4">
        <f>SUM(G1563:I1563)</f>
        <v>19633</v>
      </c>
      <c r="K1563" t="s">
        <v>1659</v>
      </c>
      <c r="L1563" t="s">
        <v>1659</v>
      </c>
      <c r="M1563" t="s">
        <v>1234</v>
      </c>
      <c r="N1563" t="s">
        <v>1132</v>
      </c>
      <c r="O1563" t="s">
        <v>1132</v>
      </c>
      <c r="P1563" t="str">
        <f>IFERROR(VLOOKUP(F1563,Sheet1!$A$2:$B$54,2,FALSE),"")</f>
        <v/>
      </c>
    </row>
    <row r="1564" spans="1:16" x14ac:dyDescent="0.2">
      <c r="A1564" s="1">
        <v>2021</v>
      </c>
      <c r="B1564" t="s">
        <v>190</v>
      </c>
      <c r="C1564" s="10" t="s">
        <v>1678</v>
      </c>
      <c r="D1564" s="10" t="s">
        <v>1679</v>
      </c>
      <c r="E1564" s="10" t="s">
        <v>1682</v>
      </c>
      <c r="F1564" t="s">
        <v>687</v>
      </c>
      <c r="G1564" s="4">
        <v>22603</v>
      </c>
      <c r="H1564" s="4"/>
      <c r="I1564" s="4"/>
      <c r="J1564" s="4">
        <f>SUM(G1564:I1564)</f>
        <v>22603</v>
      </c>
      <c r="K1564" t="s">
        <v>1659</v>
      </c>
      <c r="L1564" t="s">
        <v>1659</v>
      </c>
      <c r="M1564" t="s">
        <v>687</v>
      </c>
      <c r="N1564" t="s">
        <v>1132</v>
      </c>
      <c r="O1564" t="s">
        <v>1132</v>
      </c>
      <c r="P1564" t="str">
        <f>IFERROR(VLOOKUP(F1564,Sheet1!$A$2:$B$54,2,FALSE),"")</f>
        <v/>
      </c>
    </row>
    <row r="1565" spans="1:16" x14ac:dyDescent="0.2">
      <c r="A1565" s="1">
        <v>2022</v>
      </c>
      <c r="B1565" t="s">
        <v>190</v>
      </c>
      <c r="C1565" s="10" t="s">
        <v>1678</v>
      </c>
      <c r="D1565" s="10" t="s">
        <v>1679</v>
      </c>
      <c r="E1565" s="10" t="s">
        <v>1682</v>
      </c>
      <c r="F1565" t="s">
        <v>687</v>
      </c>
      <c r="G1565" s="4">
        <v>26780</v>
      </c>
      <c r="H1565" s="4"/>
      <c r="I1565" s="4"/>
      <c r="J1565" s="4">
        <f>SUM(G1565:I1565)</f>
        <v>26780</v>
      </c>
      <c r="K1565" t="s">
        <v>1659</v>
      </c>
      <c r="L1565" t="s">
        <v>1659</v>
      </c>
      <c r="M1565" t="s">
        <v>687</v>
      </c>
      <c r="N1565" t="s">
        <v>1132</v>
      </c>
      <c r="O1565" t="s">
        <v>1132</v>
      </c>
      <c r="P1565" t="str">
        <f>IFERROR(VLOOKUP(F1565,Sheet1!$A$2:$B$54,2,FALSE),"")</f>
        <v/>
      </c>
    </row>
    <row r="1566" spans="1:16" x14ac:dyDescent="0.2">
      <c r="A1566" s="1">
        <v>2023</v>
      </c>
      <c r="B1566" t="s">
        <v>190</v>
      </c>
      <c r="C1566" s="10" t="s">
        <v>1678</v>
      </c>
      <c r="D1566" s="10" t="s">
        <v>1679</v>
      </c>
      <c r="E1566" s="10" t="s">
        <v>1682</v>
      </c>
      <c r="F1566" t="s">
        <v>687</v>
      </c>
      <c r="G1566" s="4">
        <v>30000</v>
      </c>
      <c r="H1566" s="4"/>
      <c r="I1566" s="4"/>
      <c r="J1566" s="4">
        <f>SUM(G1566:I1566)</f>
        <v>30000</v>
      </c>
      <c r="K1566" t="s">
        <v>1659</v>
      </c>
      <c r="L1566" t="s">
        <v>1659</v>
      </c>
      <c r="M1566" t="s">
        <v>687</v>
      </c>
      <c r="N1566" t="s">
        <v>1132</v>
      </c>
      <c r="O1566" t="s">
        <v>1132</v>
      </c>
      <c r="P1566" t="str">
        <f>IFERROR(VLOOKUP(F1566,Sheet1!$A$2:$B$54,2,FALSE),"")</f>
        <v/>
      </c>
    </row>
    <row r="1567" spans="1:16" x14ac:dyDescent="0.2">
      <c r="A1567" s="1">
        <v>2015</v>
      </c>
      <c r="B1567" t="s">
        <v>191</v>
      </c>
      <c r="C1567" s="10" t="s">
        <v>1678</v>
      </c>
      <c r="D1567" s="10" t="s">
        <v>1679</v>
      </c>
      <c r="E1567" s="10" t="s">
        <v>1682</v>
      </c>
      <c r="F1567" t="s">
        <v>688</v>
      </c>
      <c r="G1567" s="4">
        <v>80196</v>
      </c>
      <c r="H1567" s="4">
        <v>1181593</v>
      </c>
      <c r="I1567" s="4">
        <v>4028</v>
      </c>
      <c r="J1567" s="4">
        <f>SUM(G1567:I1567)</f>
        <v>1265817</v>
      </c>
      <c r="K1567" t="s">
        <v>1660</v>
      </c>
      <c r="L1567" t="s">
        <v>1660</v>
      </c>
      <c r="M1567" t="s">
        <v>1236</v>
      </c>
      <c r="N1567" t="s">
        <v>1236</v>
      </c>
      <c r="O1567" t="s">
        <v>1236</v>
      </c>
      <c r="P1567">
        <f>IFERROR(VLOOKUP(F1567,Sheet1!$A$2:$B$54,2,FALSE),"")</f>
        <v>4900480</v>
      </c>
    </row>
    <row r="1568" spans="1:16" x14ac:dyDescent="0.2">
      <c r="A1568" s="1">
        <v>2016</v>
      </c>
      <c r="B1568" t="s">
        <v>191</v>
      </c>
      <c r="C1568" s="10" t="s">
        <v>1678</v>
      </c>
      <c r="D1568" s="10" t="s">
        <v>1679</v>
      </c>
      <c r="E1568" s="10" t="s">
        <v>1682</v>
      </c>
      <c r="F1568" t="s">
        <v>688</v>
      </c>
      <c r="G1568" s="4">
        <v>98901</v>
      </c>
      <c r="H1568" s="4">
        <v>1201147</v>
      </c>
      <c r="I1568" s="4">
        <v>4114</v>
      </c>
      <c r="J1568" s="4">
        <f>SUM(G1568:I1568)</f>
        <v>1304162</v>
      </c>
      <c r="K1568" t="s">
        <v>1660</v>
      </c>
      <c r="L1568" t="s">
        <v>1660</v>
      </c>
      <c r="M1568" t="s">
        <v>1236</v>
      </c>
      <c r="N1568" t="s">
        <v>1236</v>
      </c>
      <c r="O1568" t="s">
        <v>1236</v>
      </c>
      <c r="P1568">
        <f>IFERROR(VLOOKUP(F1568,Sheet1!$A$2:$B$54,2,FALSE),"")</f>
        <v>4900480</v>
      </c>
    </row>
    <row r="1569" spans="1:16" x14ac:dyDescent="0.2">
      <c r="A1569" s="1">
        <v>2017</v>
      </c>
      <c r="B1569" t="s">
        <v>191</v>
      </c>
      <c r="C1569" s="10" t="s">
        <v>1678</v>
      </c>
      <c r="D1569" s="10" t="s">
        <v>1679</v>
      </c>
      <c r="E1569" s="10" t="s">
        <v>1682</v>
      </c>
      <c r="F1569" t="s">
        <v>688</v>
      </c>
      <c r="G1569" s="4">
        <v>120266</v>
      </c>
      <c r="H1569" s="4">
        <v>1221596</v>
      </c>
      <c r="I1569" s="4">
        <v>2350</v>
      </c>
      <c r="J1569" s="4">
        <f>SUM(G1569:I1569)</f>
        <v>1344212</v>
      </c>
      <c r="K1569" t="s">
        <v>1660</v>
      </c>
      <c r="L1569" t="s">
        <v>1660</v>
      </c>
      <c r="M1569" t="s">
        <v>1236</v>
      </c>
      <c r="N1569" t="s">
        <v>1236</v>
      </c>
      <c r="O1569" t="s">
        <v>1236</v>
      </c>
      <c r="P1569">
        <f>IFERROR(VLOOKUP(F1569,Sheet1!$A$2:$B$54,2,FALSE),"")</f>
        <v>4900480</v>
      </c>
    </row>
    <row r="1570" spans="1:16" x14ac:dyDescent="0.2">
      <c r="A1570" s="1">
        <v>2018</v>
      </c>
      <c r="B1570" t="s">
        <v>191</v>
      </c>
      <c r="C1570" s="10" t="s">
        <v>1678</v>
      </c>
      <c r="D1570" s="10" t="s">
        <v>1679</v>
      </c>
      <c r="E1570" s="10" t="s">
        <v>1682</v>
      </c>
      <c r="F1570" t="s">
        <v>688</v>
      </c>
      <c r="G1570" s="4">
        <v>143002</v>
      </c>
      <c r="H1570" s="4">
        <v>1266731</v>
      </c>
      <c r="I1570" s="4">
        <v>0</v>
      </c>
      <c r="J1570" s="4">
        <f>SUM(G1570:I1570)</f>
        <v>1409733</v>
      </c>
      <c r="K1570" t="s">
        <v>1660</v>
      </c>
      <c r="L1570" t="s">
        <v>1660</v>
      </c>
      <c r="M1570" t="s">
        <v>1236</v>
      </c>
      <c r="N1570" t="s">
        <v>1236</v>
      </c>
      <c r="O1570" t="s">
        <v>1653</v>
      </c>
      <c r="P1570">
        <f>IFERROR(VLOOKUP(F1570,Sheet1!$A$2:$B$54,2,FALSE),"")</f>
        <v>4900480</v>
      </c>
    </row>
    <row r="1571" spans="1:16" x14ac:dyDescent="0.2">
      <c r="A1571" s="1">
        <v>2019</v>
      </c>
      <c r="B1571" t="s">
        <v>191</v>
      </c>
      <c r="C1571" s="10" t="s">
        <v>1678</v>
      </c>
      <c r="D1571" s="10" t="s">
        <v>1679</v>
      </c>
      <c r="E1571" s="10" t="s">
        <v>1682</v>
      </c>
      <c r="F1571" t="s">
        <v>688</v>
      </c>
      <c r="G1571" s="4">
        <v>175427</v>
      </c>
      <c r="H1571" s="4">
        <v>1293576</v>
      </c>
      <c r="I1571" s="4">
        <v>0</v>
      </c>
      <c r="J1571" s="4">
        <f>SUM(G1571:I1571)</f>
        <v>1469003</v>
      </c>
      <c r="K1571" t="s">
        <v>1660</v>
      </c>
      <c r="L1571" t="s">
        <v>1660</v>
      </c>
      <c r="M1571" t="s">
        <v>1236</v>
      </c>
      <c r="N1571" t="s">
        <v>1236</v>
      </c>
      <c r="O1571" t="s">
        <v>1236</v>
      </c>
      <c r="P1571">
        <f>IFERROR(VLOOKUP(F1571,Sheet1!$A$2:$B$54,2,FALSE),"")</f>
        <v>4900480</v>
      </c>
    </row>
    <row r="1572" spans="1:16" x14ac:dyDescent="0.2">
      <c r="A1572" s="1">
        <v>2020</v>
      </c>
      <c r="B1572" t="s">
        <v>191</v>
      </c>
      <c r="C1572" s="10" t="s">
        <v>1678</v>
      </c>
      <c r="D1572" s="10" t="s">
        <v>1679</v>
      </c>
      <c r="E1572" s="10" t="s">
        <v>1682</v>
      </c>
      <c r="F1572" t="s">
        <v>688</v>
      </c>
      <c r="G1572" s="4">
        <v>204446</v>
      </c>
      <c r="H1572" s="4">
        <v>1348703</v>
      </c>
      <c r="I1572" s="4">
        <v>0</v>
      </c>
      <c r="J1572" s="4">
        <f>SUM(G1572:I1572)</f>
        <v>1553149</v>
      </c>
      <c r="K1572" t="s">
        <v>1660</v>
      </c>
      <c r="L1572" t="s">
        <v>1660</v>
      </c>
      <c r="M1572" t="s">
        <v>1236</v>
      </c>
      <c r="N1572" t="s">
        <v>1236</v>
      </c>
      <c r="O1572" t="s">
        <v>1236</v>
      </c>
      <c r="P1572">
        <f>IFERROR(VLOOKUP(F1572,Sheet1!$A$2:$B$54,2,FALSE),"")</f>
        <v>4900480</v>
      </c>
    </row>
    <row r="1573" spans="1:16" x14ac:dyDescent="0.2">
      <c r="A1573" s="1">
        <v>2021</v>
      </c>
      <c r="B1573" t="s">
        <v>191</v>
      </c>
      <c r="C1573" s="10" t="s">
        <v>1678</v>
      </c>
      <c r="D1573" s="10" t="s">
        <v>1679</v>
      </c>
      <c r="E1573" s="10" t="s">
        <v>1682</v>
      </c>
      <c r="F1573" t="s">
        <v>688</v>
      </c>
      <c r="G1573" s="4">
        <v>237847</v>
      </c>
      <c r="H1573" s="4">
        <v>1415018</v>
      </c>
      <c r="I1573" s="4">
        <v>0</v>
      </c>
      <c r="J1573" s="4">
        <f>SUM(G1573:I1573)</f>
        <v>1652865</v>
      </c>
      <c r="K1573" t="s">
        <v>1660</v>
      </c>
      <c r="L1573" t="s">
        <v>1660</v>
      </c>
      <c r="M1573" t="s">
        <v>688</v>
      </c>
      <c r="N1573" t="s">
        <v>688</v>
      </c>
      <c r="O1573" t="s">
        <v>688</v>
      </c>
      <c r="P1573">
        <f>IFERROR(VLOOKUP(F1573,Sheet1!$A$2:$B$54,2,FALSE),"")</f>
        <v>4900480</v>
      </c>
    </row>
    <row r="1574" spans="1:16" x14ac:dyDescent="0.2">
      <c r="A1574" s="1">
        <v>2022</v>
      </c>
      <c r="B1574" t="s">
        <v>191</v>
      </c>
      <c r="C1574" s="10" t="s">
        <v>1678</v>
      </c>
      <c r="D1574" s="10" t="s">
        <v>1679</v>
      </c>
      <c r="E1574" s="10" t="s">
        <v>1682</v>
      </c>
      <c r="F1574" t="s">
        <v>688</v>
      </c>
      <c r="G1574" s="4">
        <v>299887</v>
      </c>
      <c r="H1574" s="4">
        <v>1475615</v>
      </c>
      <c r="I1574" s="4">
        <v>0</v>
      </c>
      <c r="J1574" s="4">
        <f>SUM(G1574:I1574)</f>
        <v>1775502</v>
      </c>
      <c r="K1574" t="s">
        <v>1660</v>
      </c>
      <c r="L1574" t="s">
        <v>1660</v>
      </c>
      <c r="M1574" t="s">
        <v>688</v>
      </c>
      <c r="N1574" t="s">
        <v>688</v>
      </c>
      <c r="O1574" t="s">
        <v>688</v>
      </c>
      <c r="P1574">
        <f>IFERROR(VLOOKUP(F1574,Sheet1!$A$2:$B$54,2,FALSE),"")</f>
        <v>4900480</v>
      </c>
    </row>
    <row r="1575" spans="1:16" x14ac:dyDescent="0.2">
      <c r="A1575" s="1">
        <v>2023</v>
      </c>
      <c r="B1575" t="s">
        <v>191</v>
      </c>
      <c r="C1575" s="10" t="s">
        <v>1678</v>
      </c>
      <c r="D1575" s="10" t="s">
        <v>1679</v>
      </c>
      <c r="E1575" s="10" t="s">
        <v>1682</v>
      </c>
      <c r="F1575" t="s">
        <v>688</v>
      </c>
      <c r="G1575" s="4">
        <v>354809</v>
      </c>
      <c r="H1575" s="4">
        <v>1563058</v>
      </c>
      <c r="I1575" s="4"/>
      <c r="J1575" s="4">
        <f>SUM(G1575:I1575)</f>
        <v>1917867</v>
      </c>
      <c r="K1575" t="s">
        <v>1660</v>
      </c>
      <c r="L1575" t="s">
        <v>1659</v>
      </c>
      <c r="M1575" t="s">
        <v>688</v>
      </c>
      <c r="N1575" t="s">
        <v>688</v>
      </c>
      <c r="O1575" t="s">
        <v>1132</v>
      </c>
      <c r="P1575">
        <f>IFERROR(VLOOKUP(F1575,Sheet1!$A$2:$B$54,2,FALSE),"")</f>
        <v>4900480</v>
      </c>
    </row>
    <row r="1576" spans="1:16" x14ac:dyDescent="0.2">
      <c r="A1576" s="1">
        <v>2021</v>
      </c>
      <c r="B1576" t="s">
        <v>192</v>
      </c>
      <c r="C1576" s="10" t="s">
        <v>1678</v>
      </c>
      <c r="D1576" s="10" t="s">
        <v>1679</v>
      </c>
      <c r="E1576" s="10" t="s">
        <v>1682</v>
      </c>
      <c r="F1576" t="s">
        <v>689</v>
      </c>
      <c r="G1576" s="4">
        <v>2825</v>
      </c>
      <c r="H1576" s="4"/>
      <c r="I1576" s="4"/>
      <c r="J1576" s="4">
        <f>SUM(G1576:I1576)</f>
        <v>2825</v>
      </c>
      <c r="K1576" t="s">
        <v>1659</v>
      </c>
      <c r="L1576" t="s">
        <v>1659</v>
      </c>
      <c r="M1576" t="s">
        <v>689</v>
      </c>
      <c r="N1576" t="s">
        <v>1132</v>
      </c>
      <c r="O1576" t="s">
        <v>1132</v>
      </c>
      <c r="P1576" t="str">
        <f>IFERROR(VLOOKUP(F1576,Sheet1!$A$2:$B$54,2,FALSE),"")</f>
        <v/>
      </c>
    </row>
    <row r="1577" spans="1:16" x14ac:dyDescent="0.2">
      <c r="A1577" s="1">
        <v>2022</v>
      </c>
      <c r="B1577" t="s">
        <v>192</v>
      </c>
      <c r="C1577" s="10" t="s">
        <v>1678</v>
      </c>
      <c r="D1577" s="10" t="s">
        <v>1679</v>
      </c>
      <c r="E1577" s="10" t="s">
        <v>1682</v>
      </c>
      <c r="F1577" t="s">
        <v>689</v>
      </c>
      <c r="G1577" s="4">
        <v>6760</v>
      </c>
      <c r="H1577" s="4"/>
      <c r="I1577" s="4"/>
      <c r="J1577" s="4">
        <f>SUM(G1577:I1577)</f>
        <v>6760</v>
      </c>
      <c r="K1577" t="s">
        <v>1659</v>
      </c>
      <c r="L1577" t="s">
        <v>1659</v>
      </c>
      <c r="M1577" t="s">
        <v>689</v>
      </c>
      <c r="N1577" t="s">
        <v>1132</v>
      </c>
      <c r="O1577" t="s">
        <v>1132</v>
      </c>
      <c r="P1577" t="str">
        <f>IFERROR(VLOOKUP(F1577,Sheet1!$A$2:$B$54,2,FALSE),"")</f>
        <v/>
      </c>
    </row>
    <row r="1578" spans="1:16" x14ac:dyDescent="0.2">
      <c r="A1578" s="1">
        <v>2023</v>
      </c>
      <c r="B1578" t="s">
        <v>192</v>
      </c>
      <c r="C1578" s="10" t="s">
        <v>1678</v>
      </c>
      <c r="D1578" s="10" t="s">
        <v>1679</v>
      </c>
      <c r="E1578" s="10" t="s">
        <v>1682</v>
      </c>
      <c r="F1578" t="s">
        <v>689</v>
      </c>
      <c r="G1578" s="4">
        <v>7925</v>
      </c>
      <c r="H1578" s="4"/>
      <c r="I1578" s="4"/>
      <c r="J1578" s="4">
        <f>SUM(G1578:I1578)</f>
        <v>7925</v>
      </c>
      <c r="K1578" t="s">
        <v>1659</v>
      </c>
      <c r="L1578" t="s">
        <v>1659</v>
      </c>
      <c r="M1578" t="s">
        <v>689</v>
      </c>
      <c r="N1578" t="s">
        <v>1132</v>
      </c>
      <c r="O1578" t="s">
        <v>1132</v>
      </c>
      <c r="P1578" t="str">
        <f>IFERROR(VLOOKUP(F1578,Sheet1!$A$2:$B$54,2,FALSE),"")</f>
        <v/>
      </c>
    </row>
    <row r="1579" spans="1:16" x14ac:dyDescent="0.2">
      <c r="A1579" s="1">
        <v>2015</v>
      </c>
      <c r="B1579" t="s">
        <v>193</v>
      </c>
      <c r="C1579" s="10" t="s">
        <v>1678</v>
      </c>
      <c r="D1579" s="10" t="s">
        <v>1679</v>
      </c>
      <c r="E1579" s="10" t="s">
        <v>1682</v>
      </c>
      <c r="F1579" t="s">
        <v>690</v>
      </c>
      <c r="G1579" s="4">
        <v>33469</v>
      </c>
      <c r="H1579" s="4"/>
      <c r="I1579" s="4"/>
      <c r="J1579" s="4">
        <f>SUM(G1579:I1579)</f>
        <v>33469</v>
      </c>
      <c r="K1579" t="s">
        <v>1659</v>
      </c>
      <c r="L1579" t="s">
        <v>1659</v>
      </c>
      <c r="M1579" t="s">
        <v>1237</v>
      </c>
      <c r="N1579" t="s">
        <v>1132</v>
      </c>
      <c r="O1579" t="s">
        <v>1132</v>
      </c>
      <c r="P1579" t="str">
        <f>IFERROR(VLOOKUP(F1579,Sheet1!$A$2:$B$54,2,FALSE),"")</f>
        <v/>
      </c>
    </row>
    <row r="1580" spans="1:16" x14ac:dyDescent="0.2">
      <c r="A1580" s="1">
        <v>2016</v>
      </c>
      <c r="B1580" t="s">
        <v>193</v>
      </c>
      <c r="C1580" s="10" t="s">
        <v>1678</v>
      </c>
      <c r="D1580" s="10" t="s">
        <v>1679</v>
      </c>
      <c r="E1580" s="10" t="s">
        <v>1682</v>
      </c>
      <c r="F1580" t="s">
        <v>690</v>
      </c>
      <c r="G1580" s="4">
        <v>47373</v>
      </c>
      <c r="H1580" s="4"/>
      <c r="I1580" s="4"/>
      <c r="J1580" s="4">
        <f>SUM(G1580:I1580)</f>
        <v>47373</v>
      </c>
      <c r="K1580" t="s">
        <v>1659</v>
      </c>
      <c r="L1580" t="s">
        <v>1659</v>
      </c>
      <c r="M1580" t="s">
        <v>1237</v>
      </c>
      <c r="N1580" t="s">
        <v>1132</v>
      </c>
      <c r="O1580" t="s">
        <v>1132</v>
      </c>
      <c r="P1580" t="str">
        <f>IFERROR(VLOOKUP(F1580,Sheet1!$A$2:$B$54,2,FALSE),"")</f>
        <v/>
      </c>
    </row>
    <row r="1581" spans="1:16" x14ac:dyDescent="0.2">
      <c r="A1581" s="1">
        <v>2017</v>
      </c>
      <c r="B1581" t="s">
        <v>193</v>
      </c>
      <c r="C1581" s="10" t="s">
        <v>1678</v>
      </c>
      <c r="D1581" s="10" t="s">
        <v>1679</v>
      </c>
      <c r="E1581" s="10" t="s">
        <v>1682</v>
      </c>
      <c r="F1581" t="s">
        <v>690</v>
      </c>
      <c r="G1581" s="4">
        <v>65709</v>
      </c>
      <c r="H1581" s="4"/>
      <c r="I1581" s="4"/>
      <c r="J1581" s="4">
        <f>SUM(G1581:I1581)</f>
        <v>65709</v>
      </c>
      <c r="K1581" t="s">
        <v>1659</v>
      </c>
      <c r="L1581" t="s">
        <v>1659</v>
      </c>
      <c r="M1581" t="s">
        <v>1237</v>
      </c>
      <c r="N1581" t="s">
        <v>1132</v>
      </c>
      <c r="O1581" t="s">
        <v>1132</v>
      </c>
      <c r="P1581" t="str">
        <f>IFERROR(VLOOKUP(F1581,Sheet1!$A$2:$B$54,2,FALSE),"")</f>
        <v/>
      </c>
    </row>
    <row r="1582" spans="1:16" x14ac:dyDescent="0.2">
      <c r="A1582" s="1">
        <v>2018</v>
      </c>
      <c r="B1582" t="s">
        <v>193</v>
      </c>
      <c r="C1582" s="10" t="s">
        <v>1678</v>
      </c>
      <c r="D1582" s="10" t="s">
        <v>1679</v>
      </c>
      <c r="E1582" s="10" t="s">
        <v>1682</v>
      </c>
      <c r="F1582" t="s">
        <v>690</v>
      </c>
      <c r="G1582" s="4">
        <v>67220</v>
      </c>
      <c r="H1582" s="4"/>
      <c r="I1582" s="4"/>
      <c r="J1582" s="4">
        <f>SUM(G1582:I1582)</f>
        <v>67220</v>
      </c>
      <c r="K1582" t="s">
        <v>1659</v>
      </c>
      <c r="L1582" t="s">
        <v>1659</v>
      </c>
      <c r="M1582" t="s">
        <v>1237</v>
      </c>
      <c r="N1582" t="s">
        <v>1132</v>
      </c>
      <c r="O1582" t="s">
        <v>1132</v>
      </c>
      <c r="P1582" t="str">
        <f>IFERROR(VLOOKUP(F1582,Sheet1!$A$2:$B$54,2,FALSE),"")</f>
        <v/>
      </c>
    </row>
    <row r="1583" spans="1:16" x14ac:dyDescent="0.2">
      <c r="A1583" s="1">
        <v>2019</v>
      </c>
      <c r="B1583" t="s">
        <v>193</v>
      </c>
      <c r="C1583" s="10" t="s">
        <v>1678</v>
      </c>
      <c r="D1583" s="10" t="s">
        <v>1679</v>
      </c>
      <c r="E1583" s="10" t="s">
        <v>1682</v>
      </c>
      <c r="F1583" t="s">
        <v>690</v>
      </c>
      <c r="G1583" s="4">
        <v>91865</v>
      </c>
      <c r="H1583" s="4"/>
      <c r="I1583" s="4"/>
      <c r="J1583" s="4">
        <f>SUM(G1583:I1583)</f>
        <v>91865</v>
      </c>
      <c r="K1583" t="s">
        <v>1659</v>
      </c>
      <c r="L1583" t="s">
        <v>1659</v>
      </c>
      <c r="M1583" t="s">
        <v>1237</v>
      </c>
      <c r="N1583" t="s">
        <v>1132</v>
      </c>
      <c r="O1583" t="s">
        <v>1132</v>
      </c>
      <c r="P1583" t="str">
        <f>IFERROR(VLOOKUP(F1583,Sheet1!$A$2:$B$54,2,FALSE),"")</f>
        <v/>
      </c>
    </row>
    <row r="1584" spans="1:16" x14ac:dyDescent="0.2">
      <c r="A1584" s="1">
        <v>2020</v>
      </c>
      <c r="B1584" t="s">
        <v>193</v>
      </c>
      <c r="C1584" s="10" t="s">
        <v>1678</v>
      </c>
      <c r="D1584" s="10" t="s">
        <v>1679</v>
      </c>
      <c r="E1584" s="10" t="s">
        <v>1682</v>
      </c>
      <c r="F1584" t="s">
        <v>690</v>
      </c>
      <c r="G1584" s="4">
        <v>93905</v>
      </c>
      <c r="H1584" s="4"/>
      <c r="I1584" s="4"/>
      <c r="J1584" s="4">
        <f>SUM(G1584:I1584)</f>
        <v>93905</v>
      </c>
      <c r="K1584" t="s">
        <v>1659</v>
      </c>
      <c r="L1584" t="s">
        <v>1659</v>
      </c>
      <c r="M1584" t="s">
        <v>1237</v>
      </c>
      <c r="N1584" t="s">
        <v>1132</v>
      </c>
      <c r="O1584" t="s">
        <v>1132</v>
      </c>
      <c r="P1584" t="str">
        <f>IFERROR(VLOOKUP(F1584,Sheet1!$A$2:$B$54,2,FALSE),"")</f>
        <v/>
      </c>
    </row>
    <row r="1585" spans="1:16" x14ac:dyDescent="0.2">
      <c r="A1585" s="1">
        <v>2021</v>
      </c>
      <c r="B1585" t="s">
        <v>193</v>
      </c>
      <c r="C1585" s="10" t="s">
        <v>1678</v>
      </c>
      <c r="D1585" s="10" t="s">
        <v>1679</v>
      </c>
      <c r="E1585" s="10" t="s">
        <v>1682</v>
      </c>
      <c r="F1585" t="s">
        <v>690</v>
      </c>
      <c r="G1585" s="4">
        <v>141534</v>
      </c>
      <c r="H1585" s="4"/>
      <c r="I1585" s="4"/>
      <c r="J1585" s="4">
        <f>SUM(G1585:I1585)</f>
        <v>141534</v>
      </c>
      <c r="K1585" t="s">
        <v>1659</v>
      </c>
      <c r="L1585" t="s">
        <v>1659</v>
      </c>
      <c r="M1585" t="s">
        <v>690</v>
      </c>
      <c r="N1585" t="s">
        <v>1132</v>
      </c>
      <c r="O1585" t="s">
        <v>1132</v>
      </c>
      <c r="P1585" t="str">
        <f>IFERROR(VLOOKUP(F1585,Sheet1!$A$2:$B$54,2,FALSE),"")</f>
        <v/>
      </c>
    </row>
    <row r="1586" spans="1:16" x14ac:dyDescent="0.2">
      <c r="A1586" s="1">
        <v>2022</v>
      </c>
      <c r="B1586" t="s">
        <v>193</v>
      </c>
      <c r="C1586" s="10" t="s">
        <v>1678</v>
      </c>
      <c r="D1586" s="10" t="s">
        <v>1679</v>
      </c>
      <c r="E1586" s="10" t="s">
        <v>1682</v>
      </c>
      <c r="F1586" t="s">
        <v>690</v>
      </c>
      <c r="G1586" s="4">
        <v>183997</v>
      </c>
      <c r="H1586" s="4"/>
      <c r="I1586" s="4"/>
      <c r="J1586" s="4">
        <f>SUM(G1586:I1586)</f>
        <v>183997</v>
      </c>
      <c r="K1586" t="s">
        <v>1659</v>
      </c>
      <c r="L1586" t="s">
        <v>1659</v>
      </c>
      <c r="M1586" t="s">
        <v>690</v>
      </c>
      <c r="N1586" t="s">
        <v>1132</v>
      </c>
      <c r="O1586" t="s">
        <v>1132</v>
      </c>
      <c r="P1586" t="str">
        <f>IFERROR(VLOOKUP(F1586,Sheet1!$A$2:$B$54,2,FALSE),"")</f>
        <v/>
      </c>
    </row>
    <row r="1587" spans="1:16" x14ac:dyDescent="0.2">
      <c r="A1587" s="1">
        <v>2023</v>
      </c>
      <c r="B1587" t="s">
        <v>193</v>
      </c>
      <c r="C1587" s="10" t="s">
        <v>1678</v>
      </c>
      <c r="D1587" s="10" t="s">
        <v>1679</v>
      </c>
      <c r="E1587" s="10" t="s">
        <v>1682</v>
      </c>
      <c r="F1587" t="s">
        <v>690</v>
      </c>
      <c r="G1587" s="4">
        <v>221642</v>
      </c>
      <c r="H1587" s="4"/>
      <c r="I1587" s="4"/>
      <c r="J1587" s="4">
        <f>SUM(G1587:I1587)</f>
        <v>221642</v>
      </c>
      <c r="K1587" t="s">
        <v>1659</v>
      </c>
      <c r="L1587" t="s">
        <v>1659</v>
      </c>
      <c r="M1587" t="s">
        <v>690</v>
      </c>
      <c r="N1587" t="s">
        <v>1132</v>
      </c>
      <c r="O1587" t="s">
        <v>1132</v>
      </c>
      <c r="P1587" t="str">
        <f>IFERROR(VLOOKUP(F1587,Sheet1!$A$2:$B$54,2,FALSE),"")</f>
        <v/>
      </c>
    </row>
    <row r="1588" spans="1:16" x14ac:dyDescent="0.2">
      <c r="A1588" s="1">
        <v>2015</v>
      </c>
      <c r="B1588" t="s">
        <v>194</v>
      </c>
      <c r="C1588" s="10" t="s">
        <v>1678</v>
      </c>
      <c r="D1588" s="10" t="s">
        <v>1679</v>
      </c>
      <c r="E1588" s="10" t="s">
        <v>1682</v>
      </c>
      <c r="F1588" t="s">
        <v>691</v>
      </c>
      <c r="G1588" s="4">
        <v>14267</v>
      </c>
      <c r="H1588" s="4"/>
      <c r="I1588" s="4"/>
      <c r="J1588" s="4">
        <f>SUM(G1588:I1588)</f>
        <v>14267</v>
      </c>
      <c r="K1588" t="s">
        <v>1659</v>
      </c>
      <c r="L1588" t="s">
        <v>1659</v>
      </c>
      <c r="M1588" t="s">
        <v>1238</v>
      </c>
      <c r="N1588" t="s">
        <v>1132</v>
      </c>
      <c r="O1588" t="s">
        <v>1132</v>
      </c>
      <c r="P1588" t="str">
        <f>IFERROR(VLOOKUP(F1588,Sheet1!$A$2:$B$54,2,FALSE),"")</f>
        <v/>
      </c>
    </row>
    <row r="1589" spans="1:16" x14ac:dyDescent="0.2">
      <c r="A1589" s="1">
        <v>2016</v>
      </c>
      <c r="B1589" t="s">
        <v>194</v>
      </c>
      <c r="C1589" s="10" t="s">
        <v>1678</v>
      </c>
      <c r="D1589" s="10" t="s">
        <v>1679</v>
      </c>
      <c r="E1589" s="10" t="s">
        <v>1682</v>
      </c>
      <c r="F1589" t="s">
        <v>691</v>
      </c>
      <c r="G1589" s="4">
        <v>16943</v>
      </c>
      <c r="H1589" s="4"/>
      <c r="I1589" s="4"/>
      <c r="J1589" s="4">
        <f>SUM(G1589:I1589)</f>
        <v>16943</v>
      </c>
      <c r="K1589" t="s">
        <v>1659</v>
      </c>
      <c r="L1589" t="s">
        <v>1659</v>
      </c>
      <c r="M1589" t="s">
        <v>1238</v>
      </c>
      <c r="N1589" t="s">
        <v>1132</v>
      </c>
      <c r="O1589" t="s">
        <v>1132</v>
      </c>
      <c r="P1589" t="str">
        <f>IFERROR(VLOOKUP(F1589,Sheet1!$A$2:$B$54,2,FALSE),"")</f>
        <v/>
      </c>
    </row>
    <row r="1590" spans="1:16" x14ac:dyDescent="0.2">
      <c r="A1590" s="1">
        <v>2017</v>
      </c>
      <c r="B1590" t="s">
        <v>194</v>
      </c>
      <c r="C1590" s="10" t="s">
        <v>1678</v>
      </c>
      <c r="D1590" s="10" t="s">
        <v>1679</v>
      </c>
      <c r="E1590" s="10" t="s">
        <v>1682</v>
      </c>
      <c r="F1590" t="s">
        <v>691</v>
      </c>
      <c r="G1590" s="4">
        <v>22561</v>
      </c>
      <c r="H1590" s="4"/>
      <c r="I1590" s="4"/>
      <c r="J1590" s="4">
        <f>SUM(G1590:I1590)</f>
        <v>22561</v>
      </c>
      <c r="K1590" t="s">
        <v>1659</v>
      </c>
      <c r="L1590" t="s">
        <v>1659</v>
      </c>
      <c r="M1590" t="s">
        <v>1239</v>
      </c>
      <c r="N1590" t="s">
        <v>1132</v>
      </c>
      <c r="O1590" t="s">
        <v>1132</v>
      </c>
      <c r="P1590" t="str">
        <f>IFERROR(VLOOKUP(F1590,Sheet1!$A$2:$B$54,2,FALSE),"")</f>
        <v/>
      </c>
    </row>
    <row r="1591" spans="1:16" x14ac:dyDescent="0.2">
      <c r="A1591" s="1">
        <v>2018</v>
      </c>
      <c r="B1591" t="s">
        <v>194</v>
      </c>
      <c r="C1591" s="10" t="s">
        <v>1678</v>
      </c>
      <c r="D1591" s="10" t="s">
        <v>1679</v>
      </c>
      <c r="E1591" s="10" t="s">
        <v>1682</v>
      </c>
      <c r="F1591" t="s">
        <v>691</v>
      </c>
      <c r="G1591" s="4">
        <v>26219</v>
      </c>
      <c r="H1591" s="4"/>
      <c r="I1591" s="4"/>
      <c r="J1591" s="4">
        <f>SUM(G1591:I1591)</f>
        <v>26219</v>
      </c>
      <c r="K1591" t="s">
        <v>1659</v>
      </c>
      <c r="L1591" t="s">
        <v>1659</v>
      </c>
      <c r="M1591" t="s">
        <v>1239</v>
      </c>
      <c r="N1591" t="s">
        <v>1132</v>
      </c>
      <c r="O1591" t="s">
        <v>1132</v>
      </c>
      <c r="P1591" t="str">
        <f>IFERROR(VLOOKUP(F1591,Sheet1!$A$2:$B$54,2,FALSE),"")</f>
        <v/>
      </c>
    </row>
    <row r="1592" spans="1:16" x14ac:dyDescent="0.2">
      <c r="A1592" s="1">
        <v>2019</v>
      </c>
      <c r="B1592" t="s">
        <v>194</v>
      </c>
      <c r="C1592" s="10" t="s">
        <v>1678</v>
      </c>
      <c r="D1592" s="10" t="s">
        <v>1679</v>
      </c>
      <c r="E1592" s="10" t="s">
        <v>1682</v>
      </c>
      <c r="F1592" t="s">
        <v>691</v>
      </c>
      <c r="G1592" s="4">
        <v>23723</v>
      </c>
      <c r="H1592" s="4"/>
      <c r="I1592" s="4"/>
      <c r="J1592" s="4">
        <f>SUM(G1592:I1592)</f>
        <v>23723</v>
      </c>
      <c r="K1592" t="s">
        <v>1659</v>
      </c>
      <c r="L1592" t="s">
        <v>1659</v>
      </c>
      <c r="M1592" t="s">
        <v>1238</v>
      </c>
      <c r="N1592" t="s">
        <v>1132</v>
      </c>
      <c r="O1592" t="s">
        <v>1132</v>
      </c>
      <c r="P1592" t="str">
        <f>IFERROR(VLOOKUP(F1592,Sheet1!$A$2:$B$54,2,FALSE),"")</f>
        <v/>
      </c>
    </row>
    <row r="1593" spans="1:16" x14ac:dyDescent="0.2">
      <c r="A1593" s="1">
        <v>2020</v>
      </c>
      <c r="B1593" t="s">
        <v>194</v>
      </c>
      <c r="C1593" s="10" t="s">
        <v>1678</v>
      </c>
      <c r="D1593" s="10" t="s">
        <v>1679</v>
      </c>
      <c r="E1593" s="10" t="s">
        <v>1682</v>
      </c>
      <c r="F1593" t="s">
        <v>691</v>
      </c>
      <c r="G1593" s="4">
        <v>31089</v>
      </c>
      <c r="H1593" s="4"/>
      <c r="I1593" s="4"/>
      <c r="J1593" s="4">
        <f>SUM(G1593:I1593)</f>
        <v>31089</v>
      </c>
      <c r="K1593" t="s">
        <v>1659</v>
      </c>
      <c r="L1593" t="s">
        <v>1659</v>
      </c>
      <c r="M1593" t="s">
        <v>1239</v>
      </c>
      <c r="N1593" t="s">
        <v>1132</v>
      </c>
      <c r="O1593" t="s">
        <v>1132</v>
      </c>
      <c r="P1593" t="str">
        <f>IFERROR(VLOOKUP(F1593,Sheet1!$A$2:$B$54,2,FALSE),"")</f>
        <v/>
      </c>
    </row>
    <row r="1594" spans="1:16" x14ac:dyDescent="0.2">
      <c r="A1594" s="1">
        <v>2021</v>
      </c>
      <c r="B1594" t="s">
        <v>194</v>
      </c>
      <c r="C1594" s="10" t="s">
        <v>1678</v>
      </c>
      <c r="D1594" s="10" t="s">
        <v>1679</v>
      </c>
      <c r="E1594" s="10" t="s">
        <v>1682</v>
      </c>
      <c r="F1594" t="s">
        <v>691</v>
      </c>
      <c r="G1594" s="4">
        <v>34866</v>
      </c>
      <c r="H1594" s="4"/>
      <c r="I1594" s="4"/>
      <c r="J1594" s="4">
        <f>SUM(G1594:I1594)</f>
        <v>34866</v>
      </c>
      <c r="K1594" t="s">
        <v>1659</v>
      </c>
      <c r="L1594" t="s">
        <v>1659</v>
      </c>
      <c r="M1594" t="s">
        <v>691</v>
      </c>
      <c r="N1594" t="s">
        <v>1132</v>
      </c>
      <c r="O1594" t="s">
        <v>1132</v>
      </c>
      <c r="P1594" t="str">
        <f>IFERROR(VLOOKUP(F1594,Sheet1!$A$2:$B$54,2,FALSE),"")</f>
        <v/>
      </c>
    </row>
    <row r="1595" spans="1:16" x14ac:dyDescent="0.2">
      <c r="A1595" s="1">
        <v>2022</v>
      </c>
      <c r="B1595" t="s">
        <v>194</v>
      </c>
      <c r="C1595" s="10" t="s">
        <v>1678</v>
      </c>
      <c r="D1595" s="10" t="s">
        <v>1679</v>
      </c>
      <c r="E1595" s="10" t="s">
        <v>1682</v>
      </c>
      <c r="F1595" t="s">
        <v>691</v>
      </c>
      <c r="G1595" s="4">
        <v>46615</v>
      </c>
      <c r="H1595" s="4"/>
      <c r="I1595" s="4"/>
      <c r="J1595" s="4">
        <f>SUM(G1595:I1595)</f>
        <v>46615</v>
      </c>
      <c r="K1595" t="s">
        <v>1659</v>
      </c>
      <c r="L1595" t="s">
        <v>1659</v>
      </c>
      <c r="M1595" t="s">
        <v>691</v>
      </c>
      <c r="N1595" t="s">
        <v>1132</v>
      </c>
      <c r="O1595" t="s">
        <v>1132</v>
      </c>
      <c r="P1595" t="str">
        <f>IFERROR(VLOOKUP(F1595,Sheet1!$A$2:$B$54,2,FALSE),"")</f>
        <v/>
      </c>
    </row>
    <row r="1596" spans="1:16" x14ac:dyDescent="0.2">
      <c r="A1596" s="1">
        <v>2023</v>
      </c>
      <c r="B1596" t="s">
        <v>194</v>
      </c>
      <c r="C1596" s="10" t="s">
        <v>1678</v>
      </c>
      <c r="D1596" s="10" t="s">
        <v>1679</v>
      </c>
      <c r="E1596" s="10" t="s">
        <v>1682</v>
      </c>
      <c r="F1596" t="s">
        <v>691</v>
      </c>
      <c r="G1596" s="4">
        <v>72904</v>
      </c>
      <c r="H1596" s="4"/>
      <c r="I1596" s="4"/>
      <c r="J1596" s="4">
        <f>SUM(G1596:I1596)</f>
        <v>72904</v>
      </c>
      <c r="K1596" t="s">
        <v>1659</v>
      </c>
      <c r="L1596" t="s">
        <v>1659</v>
      </c>
      <c r="M1596" t="s">
        <v>691</v>
      </c>
      <c r="N1596" t="s">
        <v>1132</v>
      </c>
      <c r="O1596" t="s">
        <v>1132</v>
      </c>
      <c r="P1596" t="str">
        <f>IFERROR(VLOOKUP(F1596,Sheet1!$A$2:$B$54,2,FALSE),"")</f>
        <v/>
      </c>
    </row>
    <row r="1597" spans="1:16" x14ac:dyDescent="0.2">
      <c r="A1597" s="1">
        <v>2015</v>
      </c>
      <c r="B1597" t="s">
        <v>195</v>
      </c>
      <c r="C1597" s="10" t="s">
        <v>1678</v>
      </c>
      <c r="D1597" s="10" t="s">
        <v>1679</v>
      </c>
      <c r="E1597" s="10" t="s">
        <v>1682</v>
      </c>
      <c r="F1597" t="s">
        <v>692</v>
      </c>
      <c r="G1597" s="4">
        <v>2550</v>
      </c>
      <c r="H1597" s="4"/>
      <c r="I1597" s="4"/>
      <c r="J1597" s="4">
        <f>SUM(G1597:I1597)</f>
        <v>2550</v>
      </c>
      <c r="K1597" t="s">
        <v>1659</v>
      </c>
      <c r="L1597" t="s">
        <v>1659</v>
      </c>
      <c r="M1597" t="s">
        <v>1240</v>
      </c>
      <c r="N1597" t="s">
        <v>1132</v>
      </c>
      <c r="O1597" t="s">
        <v>1132</v>
      </c>
      <c r="P1597" t="str">
        <f>IFERROR(VLOOKUP(F1597,Sheet1!$A$2:$B$54,2,FALSE),"")</f>
        <v/>
      </c>
    </row>
    <row r="1598" spans="1:16" x14ac:dyDescent="0.2">
      <c r="A1598" s="1">
        <v>2016</v>
      </c>
      <c r="B1598" t="s">
        <v>195</v>
      </c>
      <c r="C1598" s="10" t="s">
        <v>1678</v>
      </c>
      <c r="D1598" s="10" t="s">
        <v>1679</v>
      </c>
      <c r="E1598" s="10" t="s">
        <v>1682</v>
      </c>
      <c r="F1598" t="s">
        <v>692</v>
      </c>
      <c r="G1598" s="4">
        <v>4811</v>
      </c>
      <c r="H1598" s="4"/>
      <c r="I1598" s="4"/>
      <c r="J1598" s="4">
        <f>SUM(G1598:I1598)</f>
        <v>4811</v>
      </c>
      <c r="K1598" t="s">
        <v>1659</v>
      </c>
      <c r="L1598" t="s">
        <v>1659</v>
      </c>
      <c r="M1598" t="s">
        <v>1240</v>
      </c>
      <c r="N1598" t="s">
        <v>1132</v>
      </c>
      <c r="O1598" t="s">
        <v>1132</v>
      </c>
      <c r="P1598" t="str">
        <f>IFERROR(VLOOKUP(F1598,Sheet1!$A$2:$B$54,2,FALSE),"")</f>
        <v/>
      </c>
    </row>
    <row r="1599" spans="1:16" x14ac:dyDescent="0.2">
      <c r="A1599" s="1">
        <v>2017</v>
      </c>
      <c r="B1599" t="s">
        <v>195</v>
      </c>
      <c r="C1599" s="10" t="s">
        <v>1678</v>
      </c>
      <c r="D1599" s="10" t="s">
        <v>1679</v>
      </c>
      <c r="E1599" s="10" t="s">
        <v>1682</v>
      </c>
      <c r="F1599" t="s">
        <v>692</v>
      </c>
      <c r="G1599" s="4">
        <v>6539</v>
      </c>
      <c r="H1599" s="4"/>
      <c r="I1599" s="4"/>
      <c r="J1599" s="4">
        <f>SUM(G1599:I1599)</f>
        <v>6539</v>
      </c>
      <c r="K1599" t="s">
        <v>1659</v>
      </c>
      <c r="L1599" t="s">
        <v>1659</v>
      </c>
      <c r="M1599" t="s">
        <v>1240</v>
      </c>
      <c r="N1599" t="s">
        <v>1132</v>
      </c>
      <c r="O1599" t="s">
        <v>1132</v>
      </c>
      <c r="P1599" t="str">
        <f>IFERROR(VLOOKUP(F1599,Sheet1!$A$2:$B$54,2,FALSE),"")</f>
        <v/>
      </c>
    </row>
    <row r="1600" spans="1:16" x14ac:dyDescent="0.2">
      <c r="A1600" s="1">
        <v>2018</v>
      </c>
      <c r="B1600" t="s">
        <v>195</v>
      </c>
      <c r="C1600" s="10" t="s">
        <v>1678</v>
      </c>
      <c r="D1600" s="10" t="s">
        <v>1679</v>
      </c>
      <c r="E1600" s="10" t="s">
        <v>1682</v>
      </c>
      <c r="F1600" t="s">
        <v>692</v>
      </c>
      <c r="G1600" s="4">
        <v>11205</v>
      </c>
      <c r="H1600" s="4"/>
      <c r="I1600" s="4"/>
      <c r="J1600" s="4">
        <f>SUM(G1600:I1600)</f>
        <v>11205</v>
      </c>
      <c r="K1600" t="s">
        <v>1659</v>
      </c>
      <c r="L1600" t="s">
        <v>1659</v>
      </c>
      <c r="M1600" t="s">
        <v>1240</v>
      </c>
      <c r="N1600" t="s">
        <v>1132</v>
      </c>
      <c r="O1600" t="s">
        <v>1132</v>
      </c>
      <c r="P1600" t="str">
        <f>IFERROR(VLOOKUP(F1600,Sheet1!$A$2:$B$54,2,FALSE),"")</f>
        <v/>
      </c>
    </row>
    <row r="1601" spans="1:16" x14ac:dyDescent="0.2">
      <c r="A1601" s="1">
        <v>2019</v>
      </c>
      <c r="B1601" t="s">
        <v>195</v>
      </c>
      <c r="C1601" s="10" t="s">
        <v>1678</v>
      </c>
      <c r="D1601" s="10" t="s">
        <v>1679</v>
      </c>
      <c r="E1601" s="10" t="s">
        <v>1682</v>
      </c>
      <c r="F1601" t="s">
        <v>692</v>
      </c>
      <c r="G1601" s="4">
        <v>13878</v>
      </c>
      <c r="H1601" s="4"/>
      <c r="I1601" s="4"/>
      <c r="J1601" s="4">
        <f>SUM(G1601:I1601)</f>
        <v>13878</v>
      </c>
      <c r="K1601" t="s">
        <v>1659</v>
      </c>
      <c r="L1601" t="s">
        <v>1659</v>
      </c>
      <c r="M1601" t="s">
        <v>1240</v>
      </c>
      <c r="N1601" t="s">
        <v>1132</v>
      </c>
      <c r="O1601" t="s">
        <v>1132</v>
      </c>
      <c r="P1601" t="str">
        <f>IFERROR(VLOOKUP(F1601,Sheet1!$A$2:$B$54,2,FALSE),"")</f>
        <v/>
      </c>
    </row>
    <row r="1602" spans="1:16" x14ac:dyDescent="0.2">
      <c r="A1602" s="1">
        <v>2020</v>
      </c>
      <c r="B1602" t="s">
        <v>195</v>
      </c>
      <c r="C1602" s="10" t="s">
        <v>1678</v>
      </c>
      <c r="D1602" s="10" t="s">
        <v>1679</v>
      </c>
      <c r="E1602" s="10" t="s">
        <v>1682</v>
      </c>
      <c r="F1602" t="s">
        <v>692</v>
      </c>
      <c r="G1602" s="4">
        <v>14616</v>
      </c>
      <c r="H1602" s="4"/>
      <c r="I1602" s="4"/>
      <c r="J1602" s="4">
        <f>SUM(G1602:I1602)</f>
        <v>14616</v>
      </c>
      <c r="K1602" t="s">
        <v>1659</v>
      </c>
      <c r="L1602" t="s">
        <v>1659</v>
      </c>
      <c r="M1602" t="s">
        <v>1240</v>
      </c>
      <c r="N1602" t="s">
        <v>1132</v>
      </c>
      <c r="O1602" t="s">
        <v>1132</v>
      </c>
      <c r="P1602" t="str">
        <f>IFERROR(VLOOKUP(F1602,Sheet1!$A$2:$B$54,2,FALSE),"")</f>
        <v/>
      </c>
    </row>
    <row r="1603" spans="1:16" x14ac:dyDescent="0.2">
      <c r="A1603" s="1">
        <v>2021</v>
      </c>
      <c r="B1603" t="s">
        <v>195</v>
      </c>
      <c r="C1603" s="10" t="s">
        <v>1678</v>
      </c>
      <c r="D1603" s="10" t="s">
        <v>1679</v>
      </c>
      <c r="E1603" s="10" t="s">
        <v>1682</v>
      </c>
      <c r="F1603" t="s">
        <v>692</v>
      </c>
      <c r="G1603" s="4">
        <v>17836</v>
      </c>
      <c r="H1603" s="4"/>
      <c r="I1603" s="4"/>
      <c r="J1603" s="4">
        <f>SUM(G1603:I1603)</f>
        <v>17836</v>
      </c>
      <c r="K1603" t="s">
        <v>1659</v>
      </c>
      <c r="L1603" t="s">
        <v>1659</v>
      </c>
      <c r="M1603" t="s">
        <v>692</v>
      </c>
      <c r="N1603" t="s">
        <v>1132</v>
      </c>
      <c r="O1603" t="s">
        <v>1132</v>
      </c>
      <c r="P1603" t="str">
        <f>IFERROR(VLOOKUP(F1603,Sheet1!$A$2:$B$54,2,FALSE),"")</f>
        <v/>
      </c>
    </row>
    <row r="1604" spans="1:16" x14ac:dyDescent="0.2">
      <c r="A1604" s="1">
        <v>2022</v>
      </c>
      <c r="B1604" t="s">
        <v>195</v>
      </c>
      <c r="C1604" s="10" t="s">
        <v>1678</v>
      </c>
      <c r="D1604" s="10" t="s">
        <v>1679</v>
      </c>
      <c r="E1604" s="10" t="s">
        <v>1682</v>
      </c>
      <c r="F1604" t="s">
        <v>692</v>
      </c>
      <c r="G1604" s="4">
        <v>24413</v>
      </c>
      <c r="H1604" s="4"/>
      <c r="I1604" s="4"/>
      <c r="J1604" s="4">
        <f>SUM(G1604:I1604)</f>
        <v>24413</v>
      </c>
      <c r="K1604" t="s">
        <v>1659</v>
      </c>
      <c r="L1604" t="s">
        <v>1659</v>
      </c>
      <c r="M1604" t="s">
        <v>692</v>
      </c>
      <c r="N1604" t="s">
        <v>1132</v>
      </c>
      <c r="O1604" t="s">
        <v>1132</v>
      </c>
      <c r="P1604" t="str">
        <f>IFERROR(VLOOKUP(F1604,Sheet1!$A$2:$B$54,2,FALSE),"")</f>
        <v/>
      </c>
    </row>
    <row r="1605" spans="1:16" x14ac:dyDescent="0.2">
      <c r="A1605" s="1">
        <v>2023</v>
      </c>
      <c r="B1605" t="s">
        <v>195</v>
      </c>
      <c r="C1605" s="10" t="s">
        <v>1678</v>
      </c>
      <c r="D1605" s="10" t="s">
        <v>1679</v>
      </c>
      <c r="E1605" s="10" t="s">
        <v>1682</v>
      </c>
      <c r="F1605" t="s">
        <v>692</v>
      </c>
      <c r="G1605" s="4">
        <v>35903</v>
      </c>
      <c r="H1605" s="4"/>
      <c r="I1605" s="4"/>
      <c r="J1605" s="4">
        <f>SUM(G1605:I1605)</f>
        <v>35903</v>
      </c>
      <c r="K1605" t="s">
        <v>1659</v>
      </c>
      <c r="L1605" t="s">
        <v>1659</v>
      </c>
      <c r="M1605" t="s">
        <v>692</v>
      </c>
      <c r="N1605" t="s">
        <v>1132</v>
      </c>
      <c r="O1605" t="s">
        <v>1132</v>
      </c>
      <c r="P1605" t="str">
        <f>IFERROR(VLOOKUP(F1605,Sheet1!$A$2:$B$54,2,FALSE),"")</f>
        <v/>
      </c>
    </row>
    <row r="1606" spans="1:16" x14ac:dyDescent="0.2">
      <c r="A1606" s="1">
        <v>2015</v>
      </c>
      <c r="B1606" t="s">
        <v>196</v>
      </c>
      <c r="C1606" s="10" t="s">
        <v>1678</v>
      </c>
      <c r="D1606" s="10" t="s">
        <v>1679</v>
      </c>
      <c r="E1606" s="10" t="s">
        <v>1682</v>
      </c>
      <c r="F1606" t="s">
        <v>693</v>
      </c>
      <c r="G1606" s="4">
        <v>101183</v>
      </c>
      <c r="H1606" s="4"/>
      <c r="I1606" s="4"/>
      <c r="J1606" s="4">
        <f>SUM(G1606:I1606)</f>
        <v>101183</v>
      </c>
      <c r="K1606" t="s">
        <v>1659</v>
      </c>
      <c r="L1606" t="s">
        <v>1659</v>
      </c>
      <c r="M1606" t="s">
        <v>1241</v>
      </c>
      <c r="N1606" t="s">
        <v>1132</v>
      </c>
      <c r="O1606" t="s">
        <v>1132</v>
      </c>
      <c r="P1606" t="str">
        <f>IFERROR(VLOOKUP(F1606,Sheet1!$A$2:$B$54,2,FALSE),"")</f>
        <v/>
      </c>
    </row>
    <row r="1607" spans="1:16" x14ac:dyDescent="0.2">
      <c r="A1607" s="1">
        <v>2016</v>
      </c>
      <c r="B1607" t="s">
        <v>196</v>
      </c>
      <c r="C1607" s="10" t="s">
        <v>1678</v>
      </c>
      <c r="D1607" s="10" t="s">
        <v>1679</v>
      </c>
      <c r="E1607" s="10" t="s">
        <v>1682</v>
      </c>
      <c r="F1607" t="s">
        <v>693</v>
      </c>
      <c r="G1607" s="4">
        <v>125801</v>
      </c>
      <c r="H1607" s="4"/>
      <c r="I1607" s="4"/>
      <c r="J1607" s="4">
        <f>SUM(G1607:I1607)</f>
        <v>125801</v>
      </c>
      <c r="K1607" t="s">
        <v>1659</v>
      </c>
      <c r="L1607" t="s">
        <v>1659</v>
      </c>
      <c r="M1607" t="s">
        <v>1241</v>
      </c>
      <c r="N1607" t="s">
        <v>1132</v>
      </c>
      <c r="O1607" t="s">
        <v>1132</v>
      </c>
      <c r="P1607" t="str">
        <f>IFERROR(VLOOKUP(F1607,Sheet1!$A$2:$B$54,2,FALSE),"")</f>
        <v/>
      </c>
    </row>
    <row r="1608" spans="1:16" x14ac:dyDescent="0.2">
      <c r="A1608" s="1">
        <v>2017</v>
      </c>
      <c r="B1608" t="s">
        <v>196</v>
      </c>
      <c r="C1608" s="10" t="s">
        <v>1678</v>
      </c>
      <c r="D1608" s="10" t="s">
        <v>1679</v>
      </c>
      <c r="E1608" s="10" t="s">
        <v>1682</v>
      </c>
      <c r="F1608" t="s">
        <v>693</v>
      </c>
      <c r="G1608" s="4">
        <v>170537</v>
      </c>
      <c r="H1608" s="4"/>
      <c r="I1608" s="4"/>
      <c r="J1608" s="4">
        <f>SUM(G1608:I1608)</f>
        <v>170537</v>
      </c>
      <c r="K1608" t="s">
        <v>1659</v>
      </c>
      <c r="L1608" t="s">
        <v>1659</v>
      </c>
      <c r="M1608" t="s">
        <v>1241</v>
      </c>
      <c r="N1608" t="s">
        <v>1132</v>
      </c>
      <c r="O1608" t="s">
        <v>1132</v>
      </c>
      <c r="P1608" t="str">
        <f>IFERROR(VLOOKUP(F1608,Sheet1!$A$2:$B$54,2,FALSE),"")</f>
        <v/>
      </c>
    </row>
    <row r="1609" spans="1:16" x14ac:dyDescent="0.2">
      <c r="A1609" s="1">
        <v>2018</v>
      </c>
      <c r="B1609" t="s">
        <v>196</v>
      </c>
      <c r="C1609" s="10" t="s">
        <v>1678</v>
      </c>
      <c r="D1609" s="10" t="s">
        <v>1679</v>
      </c>
      <c r="E1609" s="10" t="s">
        <v>1682</v>
      </c>
      <c r="F1609" t="s">
        <v>693</v>
      </c>
      <c r="G1609" s="4">
        <v>226267</v>
      </c>
      <c r="H1609" s="4"/>
      <c r="I1609" s="4"/>
      <c r="J1609" s="4">
        <f>SUM(G1609:I1609)</f>
        <v>226267</v>
      </c>
      <c r="K1609" t="s">
        <v>1659</v>
      </c>
      <c r="L1609" t="s">
        <v>1659</v>
      </c>
      <c r="M1609" t="s">
        <v>1241</v>
      </c>
      <c r="N1609" t="s">
        <v>1132</v>
      </c>
      <c r="O1609" t="s">
        <v>1132</v>
      </c>
      <c r="P1609" t="str">
        <f>IFERROR(VLOOKUP(F1609,Sheet1!$A$2:$B$54,2,FALSE),"")</f>
        <v/>
      </c>
    </row>
    <row r="1610" spans="1:16" x14ac:dyDescent="0.2">
      <c r="A1610" s="1">
        <v>2019</v>
      </c>
      <c r="B1610" t="s">
        <v>196</v>
      </c>
      <c r="C1610" s="10" t="s">
        <v>1678</v>
      </c>
      <c r="D1610" s="10" t="s">
        <v>1679</v>
      </c>
      <c r="E1610" s="10" t="s">
        <v>1682</v>
      </c>
      <c r="F1610" t="s">
        <v>693</v>
      </c>
      <c r="G1610" s="4">
        <v>271188</v>
      </c>
      <c r="H1610" s="4"/>
      <c r="I1610" s="4"/>
      <c r="J1610" s="4">
        <f>SUM(G1610:I1610)</f>
        <v>271188</v>
      </c>
      <c r="K1610" t="s">
        <v>1659</v>
      </c>
      <c r="L1610" t="s">
        <v>1659</v>
      </c>
      <c r="M1610" t="s">
        <v>1241</v>
      </c>
      <c r="N1610" t="s">
        <v>1132</v>
      </c>
      <c r="O1610" t="s">
        <v>1132</v>
      </c>
      <c r="P1610" t="str">
        <f>IFERROR(VLOOKUP(F1610,Sheet1!$A$2:$B$54,2,FALSE),"")</f>
        <v/>
      </c>
    </row>
    <row r="1611" spans="1:16" x14ac:dyDescent="0.2">
      <c r="A1611" s="1">
        <v>2020</v>
      </c>
      <c r="B1611" t="s">
        <v>196</v>
      </c>
      <c r="C1611" s="10" t="s">
        <v>1678</v>
      </c>
      <c r="D1611" s="10" t="s">
        <v>1679</v>
      </c>
      <c r="E1611" s="10" t="s">
        <v>1682</v>
      </c>
      <c r="F1611" t="s">
        <v>693</v>
      </c>
      <c r="G1611" s="4">
        <v>308232</v>
      </c>
      <c r="H1611" s="4"/>
      <c r="I1611" s="4"/>
      <c r="J1611" s="4">
        <f>SUM(G1611:I1611)</f>
        <v>308232</v>
      </c>
      <c r="K1611" t="s">
        <v>1659</v>
      </c>
      <c r="L1611" t="s">
        <v>1659</v>
      </c>
      <c r="M1611" t="s">
        <v>1241</v>
      </c>
      <c r="N1611" t="s">
        <v>1132</v>
      </c>
      <c r="O1611" t="s">
        <v>1132</v>
      </c>
      <c r="P1611" t="str">
        <f>IFERROR(VLOOKUP(F1611,Sheet1!$A$2:$B$54,2,FALSE),"")</f>
        <v/>
      </c>
    </row>
    <row r="1612" spans="1:16" x14ac:dyDescent="0.2">
      <c r="A1612" s="1">
        <v>2021</v>
      </c>
      <c r="B1612" t="s">
        <v>196</v>
      </c>
      <c r="C1612" s="10" t="s">
        <v>1678</v>
      </c>
      <c r="D1612" s="10" t="s">
        <v>1679</v>
      </c>
      <c r="E1612" s="10" t="s">
        <v>1682</v>
      </c>
      <c r="F1612" t="s">
        <v>693</v>
      </c>
      <c r="G1612" s="4">
        <v>320289</v>
      </c>
      <c r="H1612" s="4"/>
      <c r="I1612" s="4"/>
      <c r="J1612" s="4">
        <f>SUM(G1612:I1612)</f>
        <v>320289</v>
      </c>
      <c r="K1612" t="s">
        <v>1659</v>
      </c>
      <c r="L1612" t="s">
        <v>1659</v>
      </c>
      <c r="M1612" t="s">
        <v>693</v>
      </c>
      <c r="N1612" t="s">
        <v>1132</v>
      </c>
      <c r="O1612" t="s">
        <v>1132</v>
      </c>
      <c r="P1612" t="str">
        <f>IFERROR(VLOOKUP(F1612,Sheet1!$A$2:$B$54,2,FALSE),"")</f>
        <v/>
      </c>
    </row>
    <row r="1613" spans="1:16" x14ac:dyDescent="0.2">
      <c r="A1613" s="1">
        <v>2022</v>
      </c>
      <c r="B1613" t="s">
        <v>196</v>
      </c>
      <c r="C1613" s="10" t="s">
        <v>1678</v>
      </c>
      <c r="D1613" s="10" t="s">
        <v>1679</v>
      </c>
      <c r="E1613" s="10" t="s">
        <v>1682</v>
      </c>
      <c r="F1613" t="s">
        <v>693</v>
      </c>
      <c r="G1613" s="4">
        <v>377128</v>
      </c>
      <c r="H1613" s="4"/>
      <c r="I1613" s="4"/>
      <c r="J1613" s="4">
        <f>SUM(G1613:I1613)</f>
        <v>377128</v>
      </c>
      <c r="K1613" t="s">
        <v>1659</v>
      </c>
      <c r="L1613" t="s">
        <v>1659</v>
      </c>
      <c r="M1613" t="s">
        <v>693</v>
      </c>
      <c r="N1613" t="s">
        <v>1132</v>
      </c>
      <c r="O1613" t="s">
        <v>1132</v>
      </c>
      <c r="P1613" t="str">
        <f>IFERROR(VLOOKUP(F1613,Sheet1!$A$2:$B$54,2,FALSE),"")</f>
        <v/>
      </c>
    </row>
    <row r="1614" spans="1:16" x14ac:dyDescent="0.2">
      <c r="A1614" s="1">
        <v>2023</v>
      </c>
      <c r="B1614" t="s">
        <v>196</v>
      </c>
      <c r="C1614" s="10" t="s">
        <v>1678</v>
      </c>
      <c r="D1614" s="10" t="s">
        <v>1679</v>
      </c>
      <c r="E1614" s="10" t="s">
        <v>1682</v>
      </c>
      <c r="F1614" t="s">
        <v>693</v>
      </c>
      <c r="G1614" s="4">
        <v>435155</v>
      </c>
      <c r="H1614" s="4"/>
      <c r="I1614" s="4"/>
      <c r="J1614" s="4">
        <f>SUM(G1614:I1614)</f>
        <v>435155</v>
      </c>
      <c r="K1614" t="s">
        <v>1659</v>
      </c>
      <c r="L1614" t="s">
        <v>1659</v>
      </c>
      <c r="M1614" t="s">
        <v>693</v>
      </c>
      <c r="N1614" t="s">
        <v>1132</v>
      </c>
      <c r="O1614" t="s">
        <v>1132</v>
      </c>
      <c r="P1614" t="str">
        <f>IFERROR(VLOOKUP(F1614,Sheet1!$A$2:$B$54,2,FALSE),"")</f>
        <v/>
      </c>
    </row>
    <row r="1615" spans="1:16" x14ac:dyDescent="0.2">
      <c r="A1615" s="1">
        <v>2015</v>
      </c>
      <c r="B1615" t="s">
        <v>197</v>
      </c>
      <c r="C1615" s="10" t="s">
        <v>1678</v>
      </c>
      <c r="D1615" s="10" t="s">
        <v>1679</v>
      </c>
      <c r="E1615" s="10" t="s">
        <v>1682</v>
      </c>
      <c r="F1615" t="s">
        <v>694</v>
      </c>
      <c r="G1615" s="4">
        <v>78161</v>
      </c>
      <c r="H1615" s="4"/>
      <c r="I1615" s="4"/>
      <c r="J1615" s="4">
        <f>SUM(G1615:I1615)</f>
        <v>78161</v>
      </c>
      <c r="K1615" t="s">
        <v>1659</v>
      </c>
      <c r="L1615" t="s">
        <v>1659</v>
      </c>
      <c r="M1615" t="s">
        <v>1242</v>
      </c>
      <c r="N1615" t="s">
        <v>1132</v>
      </c>
      <c r="O1615" t="s">
        <v>1132</v>
      </c>
      <c r="P1615" t="str">
        <f>IFERROR(VLOOKUP(F1615,Sheet1!$A$2:$B$54,2,FALSE),"")</f>
        <v/>
      </c>
    </row>
    <row r="1616" spans="1:16" x14ac:dyDescent="0.2">
      <c r="A1616" s="1">
        <v>2016</v>
      </c>
      <c r="B1616" t="s">
        <v>197</v>
      </c>
      <c r="C1616" s="10" t="s">
        <v>1678</v>
      </c>
      <c r="D1616" s="10" t="s">
        <v>1679</v>
      </c>
      <c r="E1616" s="10" t="s">
        <v>1682</v>
      </c>
      <c r="F1616" t="s">
        <v>694</v>
      </c>
      <c r="G1616" s="4">
        <v>141781</v>
      </c>
      <c r="H1616" s="4"/>
      <c r="I1616" s="4"/>
      <c r="J1616" s="4">
        <f>SUM(G1616:I1616)</f>
        <v>141781</v>
      </c>
      <c r="K1616" t="s">
        <v>1659</v>
      </c>
      <c r="L1616" t="s">
        <v>1659</v>
      </c>
      <c r="M1616" t="s">
        <v>1242</v>
      </c>
      <c r="N1616" t="s">
        <v>1132</v>
      </c>
      <c r="O1616" t="s">
        <v>1132</v>
      </c>
      <c r="P1616" t="str">
        <f>IFERROR(VLOOKUP(F1616,Sheet1!$A$2:$B$54,2,FALSE),"")</f>
        <v/>
      </c>
    </row>
    <row r="1617" spans="1:16" x14ac:dyDescent="0.2">
      <c r="A1617" s="1">
        <v>2017</v>
      </c>
      <c r="B1617" t="s">
        <v>197</v>
      </c>
      <c r="C1617" s="10" t="s">
        <v>1678</v>
      </c>
      <c r="D1617" s="10" t="s">
        <v>1679</v>
      </c>
      <c r="E1617" s="10" t="s">
        <v>1682</v>
      </c>
      <c r="F1617" t="s">
        <v>694</v>
      </c>
      <c r="G1617" s="4">
        <v>202304</v>
      </c>
      <c r="H1617" s="4"/>
      <c r="I1617" s="4"/>
      <c r="J1617" s="4">
        <f>SUM(G1617:I1617)</f>
        <v>202304</v>
      </c>
      <c r="K1617" t="s">
        <v>1659</v>
      </c>
      <c r="L1617" t="s">
        <v>1659</v>
      </c>
      <c r="M1617" t="s">
        <v>1242</v>
      </c>
      <c r="N1617" t="s">
        <v>1132</v>
      </c>
      <c r="O1617" t="s">
        <v>1132</v>
      </c>
      <c r="P1617" t="str">
        <f>IFERROR(VLOOKUP(F1617,Sheet1!$A$2:$B$54,2,FALSE),"")</f>
        <v/>
      </c>
    </row>
    <row r="1618" spans="1:16" x14ac:dyDescent="0.2">
      <c r="A1618" s="1">
        <v>2018</v>
      </c>
      <c r="B1618" t="s">
        <v>197</v>
      </c>
      <c r="C1618" s="10" t="s">
        <v>1678</v>
      </c>
      <c r="D1618" s="10" t="s">
        <v>1679</v>
      </c>
      <c r="E1618" s="10" t="s">
        <v>1682</v>
      </c>
      <c r="F1618" t="s">
        <v>694</v>
      </c>
      <c r="G1618" s="4">
        <v>266837</v>
      </c>
      <c r="H1618" s="4"/>
      <c r="I1618" s="4"/>
      <c r="J1618" s="4">
        <f>SUM(G1618:I1618)</f>
        <v>266837</v>
      </c>
      <c r="K1618" t="s">
        <v>1659</v>
      </c>
      <c r="L1618" t="s">
        <v>1659</v>
      </c>
      <c r="M1618" t="s">
        <v>1242</v>
      </c>
      <c r="N1618" t="s">
        <v>1132</v>
      </c>
      <c r="O1618" t="s">
        <v>1132</v>
      </c>
      <c r="P1618" t="str">
        <f>IFERROR(VLOOKUP(F1618,Sheet1!$A$2:$B$54,2,FALSE),"")</f>
        <v/>
      </c>
    </row>
    <row r="1619" spans="1:16" x14ac:dyDescent="0.2">
      <c r="A1619" s="1">
        <v>2019</v>
      </c>
      <c r="B1619" t="s">
        <v>197</v>
      </c>
      <c r="C1619" s="10" t="s">
        <v>1678</v>
      </c>
      <c r="D1619" s="10" t="s">
        <v>1679</v>
      </c>
      <c r="E1619" s="10" t="s">
        <v>1682</v>
      </c>
      <c r="F1619" t="s">
        <v>694</v>
      </c>
      <c r="G1619" s="4">
        <v>345799</v>
      </c>
      <c r="H1619" s="4"/>
      <c r="I1619" s="4"/>
      <c r="J1619" s="4">
        <f>SUM(G1619:I1619)</f>
        <v>345799</v>
      </c>
      <c r="K1619" t="s">
        <v>1659</v>
      </c>
      <c r="L1619" t="s">
        <v>1659</v>
      </c>
      <c r="M1619" t="s">
        <v>1242</v>
      </c>
      <c r="N1619" t="s">
        <v>1132</v>
      </c>
      <c r="O1619" t="s">
        <v>1132</v>
      </c>
      <c r="P1619" t="str">
        <f>IFERROR(VLOOKUP(F1619,Sheet1!$A$2:$B$54,2,FALSE),"")</f>
        <v/>
      </c>
    </row>
    <row r="1620" spans="1:16" x14ac:dyDescent="0.2">
      <c r="A1620" s="1">
        <v>2020</v>
      </c>
      <c r="B1620" t="s">
        <v>197</v>
      </c>
      <c r="C1620" s="10" t="s">
        <v>1678</v>
      </c>
      <c r="D1620" s="10" t="s">
        <v>1679</v>
      </c>
      <c r="E1620" s="10" t="s">
        <v>1682</v>
      </c>
      <c r="F1620" t="s">
        <v>694</v>
      </c>
      <c r="G1620" s="4">
        <v>411084</v>
      </c>
      <c r="H1620" s="4"/>
      <c r="I1620" s="4"/>
      <c r="J1620" s="4">
        <f>SUM(G1620:I1620)</f>
        <v>411084</v>
      </c>
      <c r="K1620" t="s">
        <v>1659</v>
      </c>
      <c r="L1620" t="s">
        <v>1659</v>
      </c>
      <c r="M1620" t="s">
        <v>1242</v>
      </c>
      <c r="N1620" t="s">
        <v>1132</v>
      </c>
      <c r="O1620" t="s">
        <v>1132</v>
      </c>
      <c r="P1620" t="str">
        <f>IFERROR(VLOOKUP(F1620,Sheet1!$A$2:$B$54,2,FALSE),"")</f>
        <v/>
      </c>
    </row>
    <row r="1621" spans="1:16" x14ac:dyDescent="0.2">
      <c r="A1621" s="1">
        <v>2021</v>
      </c>
      <c r="B1621" t="s">
        <v>197</v>
      </c>
      <c r="C1621" s="10" t="s">
        <v>1678</v>
      </c>
      <c r="D1621" s="10" t="s">
        <v>1679</v>
      </c>
      <c r="E1621" s="10" t="s">
        <v>1682</v>
      </c>
      <c r="F1621" t="s">
        <v>694</v>
      </c>
      <c r="G1621" s="4">
        <v>503450</v>
      </c>
      <c r="H1621" s="4"/>
      <c r="I1621" s="4"/>
      <c r="J1621" s="4">
        <f>SUM(G1621:I1621)</f>
        <v>503450</v>
      </c>
      <c r="K1621" t="s">
        <v>1659</v>
      </c>
      <c r="L1621" t="s">
        <v>1659</v>
      </c>
      <c r="M1621" t="s">
        <v>694</v>
      </c>
      <c r="N1621" t="s">
        <v>1132</v>
      </c>
      <c r="O1621" t="s">
        <v>1132</v>
      </c>
      <c r="P1621" t="str">
        <f>IFERROR(VLOOKUP(F1621,Sheet1!$A$2:$B$54,2,FALSE),"")</f>
        <v/>
      </c>
    </row>
    <row r="1622" spans="1:16" x14ac:dyDescent="0.2">
      <c r="A1622" s="1">
        <v>2022</v>
      </c>
      <c r="B1622" t="s">
        <v>197</v>
      </c>
      <c r="C1622" s="10" t="s">
        <v>1678</v>
      </c>
      <c r="D1622" s="10" t="s">
        <v>1679</v>
      </c>
      <c r="E1622" s="10" t="s">
        <v>1682</v>
      </c>
      <c r="F1622" t="s">
        <v>694</v>
      </c>
      <c r="G1622" s="4">
        <v>654793</v>
      </c>
      <c r="H1622" s="4"/>
      <c r="I1622" s="4"/>
      <c r="J1622" s="4">
        <f>SUM(G1622:I1622)</f>
        <v>654793</v>
      </c>
      <c r="K1622" t="s">
        <v>1659</v>
      </c>
      <c r="L1622" t="s">
        <v>1659</v>
      </c>
      <c r="M1622" t="s">
        <v>694</v>
      </c>
      <c r="N1622" t="s">
        <v>1132</v>
      </c>
      <c r="O1622" t="s">
        <v>1132</v>
      </c>
      <c r="P1622" t="str">
        <f>IFERROR(VLOOKUP(F1622,Sheet1!$A$2:$B$54,2,FALSE),"")</f>
        <v/>
      </c>
    </row>
    <row r="1623" spans="1:16" x14ac:dyDescent="0.2">
      <c r="A1623" s="1">
        <v>2023</v>
      </c>
      <c r="B1623" t="s">
        <v>197</v>
      </c>
      <c r="C1623" s="10" t="s">
        <v>1678</v>
      </c>
      <c r="D1623" s="10" t="s">
        <v>1679</v>
      </c>
      <c r="E1623" s="10" t="s">
        <v>1682</v>
      </c>
      <c r="F1623" t="s">
        <v>694</v>
      </c>
      <c r="G1623" s="4">
        <v>860560</v>
      </c>
      <c r="H1623" s="4"/>
      <c r="I1623" s="4"/>
      <c r="J1623" s="4">
        <f>SUM(G1623:I1623)</f>
        <v>860560</v>
      </c>
      <c r="K1623" t="s">
        <v>1659</v>
      </c>
      <c r="L1623" t="s">
        <v>1659</v>
      </c>
      <c r="M1623" t="s">
        <v>694</v>
      </c>
      <c r="N1623" t="s">
        <v>1132</v>
      </c>
      <c r="O1623" t="s">
        <v>1132</v>
      </c>
      <c r="P1623" t="str">
        <f>IFERROR(VLOOKUP(F1623,Sheet1!$A$2:$B$54,2,FALSE),"")</f>
        <v/>
      </c>
    </row>
    <row r="1624" spans="1:16" x14ac:dyDescent="0.2">
      <c r="A1624" s="1">
        <v>2015</v>
      </c>
      <c r="B1624" t="s">
        <v>198</v>
      </c>
      <c r="C1624" s="10" t="s">
        <v>1678</v>
      </c>
      <c r="D1624" s="10" t="s">
        <v>1679</v>
      </c>
      <c r="E1624" s="10" t="s">
        <v>1682</v>
      </c>
      <c r="F1624" t="s">
        <v>695</v>
      </c>
      <c r="G1624" s="4">
        <v>1347</v>
      </c>
      <c r="H1624" s="4"/>
      <c r="I1624" s="4"/>
      <c r="J1624" s="4">
        <f>SUM(G1624:I1624)</f>
        <v>1347</v>
      </c>
      <c r="K1624" t="s">
        <v>1659</v>
      </c>
      <c r="L1624" t="s">
        <v>1659</v>
      </c>
      <c r="M1624" t="s">
        <v>1243</v>
      </c>
      <c r="N1624" t="s">
        <v>1132</v>
      </c>
      <c r="O1624" t="s">
        <v>1132</v>
      </c>
      <c r="P1624" t="str">
        <f>IFERROR(VLOOKUP(F1624,Sheet1!$A$2:$B$54,2,FALSE),"")</f>
        <v/>
      </c>
    </row>
    <row r="1625" spans="1:16" x14ac:dyDescent="0.2">
      <c r="A1625" s="1">
        <v>2016</v>
      </c>
      <c r="B1625" t="s">
        <v>198</v>
      </c>
      <c r="C1625" s="10" t="s">
        <v>1678</v>
      </c>
      <c r="D1625" s="10" t="s">
        <v>1679</v>
      </c>
      <c r="E1625" s="10" t="s">
        <v>1682</v>
      </c>
      <c r="F1625" t="s">
        <v>695</v>
      </c>
      <c r="G1625" s="4">
        <v>6498</v>
      </c>
      <c r="H1625" s="4"/>
      <c r="I1625" s="4"/>
      <c r="J1625" s="4">
        <f>SUM(G1625:I1625)</f>
        <v>6498</v>
      </c>
      <c r="K1625" t="s">
        <v>1659</v>
      </c>
      <c r="L1625" t="s">
        <v>1659</v>
      </c>
      <c r="M1625" t="s">
        <v>1243</v>
      </c>
      <c r="N1625" t="s">
        <v>1132</v>
      </c>
      <c r="O1625" t="s">
        <v>1132</v>
      </c>
      <c r="P1625" t="str">
        <f>IFERROR(VLOOKUP(F1625,Sheet1!$A$2:$B$54,2,FALSE),"")</f>
        <v/>
      </c>
    </row>
    <row r="1626" spans="1:16" x14ac:dyDescent="0.2">
      <c r="A1626" s="1">
        <v>2017</v>
      </c>
      <c r="B1626" t="s">
        <v>198</v>
      </c>
      <c r="C1626" s="10" t="s">
        <v>1678</v>
      </c>
      <c r="D1626" s="10" t="s">
        <v>1679</v>
      </c>
      <c r="E1626" s="10" t="s">
        <v>1682</v>
      </c>
      <c r="F1626" t="s">
        <v>695</v>
      </c>
      <c r="G1626" s="4">
        <v>8711</v>
      </c>
      <c r="H1626" s="4"/>
      <c r="I1626" s="4"/>
      <c r="J1626" s="4">
        <f>SUM(G1626:I1626)</f>
        <v>8711</v>
      </c>
      <c r="K1626" t="s">
        <v>1659</v>
      </c>
      <c r="L1626" t="s">
        <v>1659</v>
      </c>
      <c r="M1626" t="s">
        <v>1243</v>
      </c>
      <c r="N1626" t="s">
        <v>1132</v>
      </c>
      <c r="O1626" t="s">
        <v>1132</v>
      </c>
      <c r="P1626" t="str">
        <f>IFERROR(VLOOKUP(F1626,Sheet1!$A$2:$B$54,2,FALSE),"")</f>
        <v/>
      </c>
    </row>
    <row r="1627" spans="1:16" x14ac:dyDescent="0.2">
      <c r="A1627" s="1">
        <v>2018</v>
      </c>
      <c r="B1627" t="s">
        <v>198</v>
      </c>
      <c r="C1627" s="10" t="s">
        <v>1678</v>
      </c>
      <c r="D1627" s="10" t="s">
        <v>1679</v>
      </c>
      <c r="E1627" s="10" t="s">
        <v>1682</v>
      </c>
      <c r="F1627" t="s">
        <v>695</v>
      </c>
      <c r="G1627" s="4">
        <v>12384</v>
      </c>
      <c r="H1627" s="4"/>
      <c r="I1627" s="4"/>
      <c r="J1627" s="4">
        <f>SUM(G1627:I1627)</f>
        <v>12384</v>
      </c>
      <c r="K1627" t="s">
        <v>1659</v>
      </c>
      <c r="L1627" t="s">
        <v>1659</v>
      </c>
      <c r="M1627" t="s">
        <v>1243</v>
      </c>
      <c r="N1627" t="s">
        <v>1132</v>
      </c>
      <c r="O1627" t="s">
        <v>1132</v>
      </c>
      <c r="P1627" t="str">
        <f>IFERROR(VLOOKUP(F1627,Sheet1!$A$2:$B$54,2,FALSE),"")</f>
        <v/>
      </c>
    </row>
    <row r="1628" spans="1:16" x14ac:dyDescent="0.2">
      <c r="A1628" s="1">
        <v>2019</v>
      </c>
      <c r="B1628" t="s">
        <v>198</v>
      </c>
      <c r="C1628" s="10" t="s">
        <v>1678</v>
      </c>
      <c r="D1628" s="10" t="s">
        <v>1679</v>
      </c>
      <c r="E1628" s="10" t="s">
        <v>1682</v>
      </c>
      <c r="F1628" t="s">
        <v>695</v>
      </c>
      <c r="G1628" s="4">
        <v>15759</v>
      </c>
      <c r="H1628" s="4"/>
      <c r="I1628" s="4"/>
      <c r="J1628" s="4">
        <f>SUM(G1628:I1628)</f>
        <v>15759</v>
      </c>
      <c r="K1628" t="s">
        <v>1659</v>
      </c>
      <c r="L1628" t="s">
        <v>1659</v>
      </c>
      <c r="M1628" t="s">
        <v>1243</v>
      </c>
      <c r="N1628" t="s">
        <v>1132</v>
      </c>
      <c r="O1628" t="s">
        <v>1132</v>
      </c>
      <c r="P1628" t="str">
        <f>IFERROR(VLOOKUP(F1628,Sheet1!$A$2:$B$54,2,FALSE),"")</f>
        <v/>
      </c>
    </row>
    <row r="1629" spans="1:16" x14ac:dyDescent="0.2">
      <c r="A1629" s="1">
        <v>2020</v>
      </c>
      <c r="B1629" t="s">
        <v>198</v>
      </c>
      <c r="C1629" s="10" t="s">
        <v>1678</v>
      </c>
      <c r="D1629" s="10" t="s">
        <v>1679</v>
      </c>
      <c r="E1629" s="10" t="s">
        <v>1682</v>
      </c>
      <c r="F1629" t="s">
        <v>695</v>
      </c>
      <c r="G1629" s="4">
        <v>15862</v>
      </c>
      <c r="H1629" s="4"/>
      <c r="I1629" s="4"/>
      <c r="J1629" s="4">
        <f>SUM(G1629:I1629)</f>
        <v>15862</v>
      </c>
      <c r="K1629" t="s">
        <v>1659</v>
      </c>
      <c r="L1629" t="s">
        <v>1659</v>
      </c>
      <c r="M1629" t="s">
        <v>1243</v>
      </c>
      <c r="N1629" t="s">
        <v>1132</v>
      </c>
      <c r="O1629" t="s">
        <v>1132</v>
      </c>
      <c r="P1629" t="str">
        <f>IFERROR(VLOOKUP(F1629,Sheet1!$A$2:$B$54,2,FALSE),"")</f>
        <v/>
      </c>
    </row>
    <row r="1630" spans="1:16" x14ac:dyDescent="0.2">
      <c r="A1630" s="1">
        <v>2021</v>
      </c>
      <c r="B1630" t="s">
        <v>198</v>
      </c>
      <c r="C1630" s="10" t="s">
        <v>1678</v>
      </c>
      <c r="D1630" s="10" t="s">
        <v>1679</v>
      </c>
      <c r="E1630" s="10" t="s">
        <v>1682</v>
      </c>
      <c r="F1630" t="s">
        <v>695</v>
      </c>
      <c r="G1630" s="4">
        <v>22885</v>
      </c>
      <c r="H1630" s="4"/>
      <c r="I1630" s="4"/>
      <c r="J1630" s="4">
        <f>SUM(G1630:I1630)</f>
        <v>22885</v>
      </c>
      <c r="K1630" t="s">
        <v>1659</v>
      </c>
      <c r="L1630" t="s">
        <v>1659</v>
      </c>
      <c r="M1630" t="s">
        <v>695</v>
      </c>
      <c r="N1630" t="s">
        <v>1132</v>
      </c>
      <c r="O1630" t="s">
        <v>1132</v>
      </c>
      <c r="P1630" t="str">
        <f>IFERROR(VLOOKUP(F1630,Sheet1!$A$2:$B$54,2,FALSE),"")</f>
        <v/>
      </c>
    </row>
    <row r="1631" spans="1:16" x14ac:dyDescent="0.2">
      <c r="A1631" s="1">
        <v>2022</v>
      </c>
      <c r="B1631" t="s">
        <v>198</v>
      </c>
      <c r="C1631" s="10" t="s">
        <v>1678</v>
      </c>
      <c r="D1631" s="10" t="s">
        <v>1679</v>
      </c>
      <c r="E1631" s="10" t="s">
        <v>1682</v>
      </c>
      <c r="F1631" t="s">
        <v>695</v>
      </c>
      <c r="G1631" s="4">
        <v>26360</v>
      </c>
      <c r="H1631" s="4"/>
      <c r="I1631" s="4"/>
      <c r="J1631" s="4">
        <f>SUM(G1631:I1631)</f>
        <v>26360</v>
      </c>
      <c r="K1631" t="s">
        <v>1659</v>
      </c>
      <c r="L1631" t="s">
        <v>1659</v>
      </c>
      <c r="M1631" t="s">
        <v>695</v>
      </c>
      <c r="N1631" t="s">
        <v>1132</v>
      </c>
      <c r="O1631" t="s">
        <v>1132</v>
      </c>
      <c r="P1631" t="str">
        <f>IFERROR(VLOOKUP(F1631,Sheet1!$A$2:$B$54,2,FALSE),"")</f>
        <v/>
      </c>
    </row>
    <row r="1632" spans="1:16" x14ac:dyDescent="0.2">
      <c r="A1632" s="1">
        <v>2023</v>
      </c>
      <c r="B1632" t="s">
        <v>198</v>
      </c>
      <c r="C1632" s="10" t="s">
        <v>1678</v>
      </c>
      <c r="D1632" s="10" t="s">
        <v>1679</v>
      </c>
      <c r="E1632" s="10" t="s">
        <v>1682</v>
      </c>
      <c r="F1632" t="s">
        <v>695</v>
      </c>
      <c r="G1632" s="4">
        <v>29312</v>
      </c>
      <c r="H1632" s="4"/>
      <c r="I1632" s="4"/>
      <c r="J1632" s="4">
        <f>SUM(G1632:I1632)</f>
        <v>29312</v>
      </c>
      <c r="K1632" t="s">
        <v>1659</v>
      </c>
      <c r="L1632" t="s">
        <v>1659</v>
      </c>
      <c r="M1632" t="s">
        <v>695</v>
      </c>
      <c r="N1632" t="s">
        <v>1132</v>
      </c>
      <c r="O1632" t="s">
        <v>1132</v>
      </c>
      <c r="P1632" t="str">
        <f>IFERROR(VLOOKUP(F1632,Sheet1!$A$2:$B$54,2,FALSE),"")</f>
        <v/>
      </c>
    </row>
    <row r="1633" spans="1:16" x14ac:dyDescent="0.2">
      <c r="A1633" s="1">
        <v>2015</v>
      </c>
      <c r="B1633" t="s">
        <v>199</v>
      </c>
      <c r="C1633" s="10" t="s">
        <v>1678</v>
      </c>
      <c r="D1633" s="10" t="s">
        <v>1679</v>
      </c>
      <c r="E1633" s="10" t="s">
        <v>1682</v>
      </c>
      <c r="F1633" t="s">
        <v>696</v>
      </c>
      <c r="G1633" s="4">
        <v>15366</v>
      </c>
      <c r="H1633" s="4"/>
      <c r="I1633" s="4"/>
      <c r="J1633" s="4">
        <f>SUM(G1633:I1633)</f>
        <v>15366</v>
      </c>
      <c r="K1633" t="s">
        <v>1659</v>
      </c>
      <c r="L1633" t="s">
        <v>1659</v>
      </c>
      <c r="M1633" t="s">
        <v>1244</v>
      </c>
      <c r="N1633" t="s">
        <v>1132</v>
      </c>
      <c r="O1633" t="s">
        <v>1132</v>
      </c>
      <c r="P1633" t="str">
        <f>IFERROR(VLOOKUP(F1633,Sheet1!$A$2:$B$54,2,FALSE),"")</f>
        <v/>
      </c>
    </row>
    <row r="1634" spans="1:16" x14ac:dyDescent="0.2">
      <c r="A1634" s="1">
        <v>2016</v>
      </c>
      <c r="B1634" t="s">
        <v>199</v>
      </c>
      <c r="C1634" s="10" t="s">
        <v>1678</v>
      </c>
      <c r="D1634" s="10" t="s">
        <v>1679</v>
      </c>
      <c r="E1634" s="10" t="s">
        <v>1682</v>
      </c>
      <c r="F1634" t="s">
        <v>696</v>
      </c>
      <c r="G1634" s="4">
        <v>15463</v>
      </c>
      <c r="H1634" s="4"/>
      <c r="I1634" s="4"/>
      <c r="J1634" s="4">
        <f>SUM(G1634:I1634)</f>
        <v>15463</v>
      </c>
      <c r="K1634" t="s">
        <v>1659</v>
      </c>
      <c r="L1634" t="s">
        <v>1659</v>
      </c>
      <c r="M1634" t="s">
        <v>1244</v>
      </c>
      <c r="N1634" t="s">
        <v>1132</v>
      </c>
      <c r="O1634" t="s">
        <v>1132</v>
      </c>
      <c r="P1634" t="str">
        <f>IFERROR(VLOOKUP(F1634,Sheet1!$A$2:$B$54,2,FALSE),"")</f>
        <v/>
      </c>
    </row>
    <row r="1635" spans="1:16" x14ac:dyDescent="0.2">
      <c r="A1635" s="1">
        <v>2017</v>
      </c>
      <c r="B1635" t="s">
        <v>199</v>
      </c>
      <c r="C1635" s="10" t="s">
        <v>1678</v>
      </c>
      <c r="D1635" s="10" t="s">
        <v>1679</v>
      </c>
      <c r="E1635" s="10" t="s">
        <v>1682</v>
      </c>
      <c r="F1635" t="s">
        <v>696</v>
      </c>
      <c r="G1635" s="4">
        <v>18912</v>
      </c>
      <c r="H1635" s="4"/>
      <c r="I1635" s="4"/>
      <c r="J1635" s="4">
        <f>SUM(G1635:I1635)</f>
        <v>18912</v>
      </c>
      <c r="K1635" t="s">
        <v>1659</v>
      </c>
      <c r="L1635" t="s">
        <v>1659</v>
      </c>
      <c r="M1635" t="s">
        <v>1244</v>
      </c>
      <c r="N1635" t="s">
        <v>1132</v>
      </c>
      <c r="O1635" t="s">
        <v>1132</v>
      </c>
      <c r="P1635" t="str">
        <f>IFERROR(VLOOKUP(F1635,Sheet1!$A$2:$B$54,2,FALSE),"")</f>
        <v/>
      </c>
    </row>
    <row r="1636" spans="1:16" x14ac:dyDescent="0.2">
      <c r="A1636" s="1">
        <v>2018</v>
      </c>
      <c r="B1636" t="s">
        <v>199</v>
      </c>
      <c r="C1636" s="10" t="s">
        <v>1678</v>
      </c>
      <c r="D1636" s="10" t="s">
        <v>1679</v>
      </c>
      <c r="E1636" s="10" t="s">
        <v>1682</v>
      </c>
      <c r="F1636" t="s">
        <v>696</v>
      </c>
      <c r="G1636" s="4">
        <v>26009</v>
      </c>
      <c r="H1636" s="4"/>
      <c r="I1636" s="4"/>
      <c r="J1636" s="4">
        <f>SUM(G1636:I1636)</f>
        <v>26009</v>
      </c>
      <c r="K1636" t="s">
        <v>1659</v>
      </c>
      <c r="L1636" t="s">
        <v>1659</v>
      </c>
      <c r="M1636" t="s">
        <v>1244</v>
      </c>
      <c r="N1636" t="s">
        <v>1132</v>
      </c>
      <c r="O1636" t="s">
        <v>1132</v>
      </c>
      <c r="P1636" t="str">
        <f>IFERROR(VLOOKUP(F1636,Sheet1!$A$2:$B$54,2,FALSE),"")</f>
        <v/>
      </c>
    </row>
    <row r="1637" spans="1:16" x14ac:dyDescent="0.2">
      <c r="A1637" s="1">
        <v>2019</v>
      </c>
      <c r="B1637" t="s">
        <v>199</v>
      </c>
      <c r="C1637" s="10" t="s">
        <v>1678</v>
      </c>
      <c r="D1637" s="10" t="s">
        <v>1679</v>
      </c>
      <c r="E1637" s="10" t="s">
        <v>1682</v>
      </c>
      <c r="F1637" t="s">
        <v>696</v>
      </c>
      <c r="G1637" s="4">
        <v>50905</v>
      </c>
      <c r="H1637" s="4"/>
      <c r="I1637" s="4"/>
      <c r="J1637" s="4">
        <f>SUM(G1637:I1637)</f>
        <v>50905</v>
      </c>
      <c r="K1637" t="s">
        <v>1659</v>
      </c>
      <c r="L1637" t="s">
        <v>1659</v>
      </c>
      <c r="M1637" t="s">
        <v>1244</v>
      </c>
      <c r="N1637" t="s">
        <v>1132</v>
      </c>
      <c r="O1637" t="s">
        <v>1132</v>
      </c>
      <c r="P1637" t="str">
        <f>IFERROR(VLOOKUP(F1637,Sheet1!$A$2:$B$54,2,FALSE),"")</f>
        <v/>
      </c>
    </row>
    <row r="1638" spans="1:16" x14ac:dyDescent="0.2">
      <c r="A1638" s="1">
        <v>2020</v>
      </c>
      <c r="B1638" t="s">
        <v>199</v>
      </c>
      <c r="C1638" s="10" t="s">
        <v>1678</v>
      </c>
      <c r="D1638" s="10" t="s">
        <v>1679</v>
      </c>
      <c r="E1638" s="10" t="s">
        <v>1682</v>
      </c>
      <c r="F1638" t="s">
        <v>696</v>
      </c>
      <c r="G1638" s="4">
        <v>57322</v>
      </c>
      <c r="H1638" s="4"/>
      <c r="I1638" s="4"/>
      <c r="J1638" s="4">
        <f>SUM(G1638:I1638)</f>
        <v>57322</v>
      </c>
      <c r="K1638" t="s">
        <v>1659</v>
      </c>
      <c r="L1638" t="s">
        <v>1659</v>
      </c>
      <c r="M1638" t="s">
        <v>1244</v>
      </c>
      <c r="N1638" t="s">
        <v>1132</v>
      </c>
      <c r="O1638" t="s">
        <v>1132</v>
      </c>
      <c r="P1638" t="str">
        <f>IFERROR(VLOOKUP(F1638,Sheet1!$A$2:$B$54,2,FALSE),"")</f>
        <v/>
      </c>
    </row>
    <row r="1639" spans="1:16" x14ac:dyDescent="0.2">
      <c r="A1639" s="1">
        <v>2021</v>
      </c>
      <c r="B1639" t="s">
        <v>199</v>
      </c>
      <c r="C1639" s="10" t="s">
        <v>1678</v>
      </c>
      <c r="D1639" s="10" t="s">
        <v>1679</v>
      </c>
      <c r="E1639" s="10" t="s">
        <v>1682</v>
      </c>
      <c r="F1639" t="s">
        <v>696</v>
      </c>
      <c r="G1639" s="4">
        <v>68209</v>
      </c>
      <c r="H1639" s="4"/>
      <c r="I1639" s="4"/>
      <c r="J1639" s="4">
        <f>SUM(G1639:I1639)</f>
        <v>68209</v>
      </c>
      <c r="K1639" t="s">
        <v>1659</v>
      </c>
      <c r="L1639" t="s">
        <v>1659</v>
      </c>
      <c r="M1639" t="s">
        <v>696</v>
      </c>
      <c r="N1639" t="s">
        <v>1132</v>
      </c>
      <c r="O1639" t="s">
        <v>1132</v>
      </c>
      <c r="P1639" t="str">
        <f>IFERROR(VLOOKUP(F1639,Sheet1!$A$2:$B$54,2,FALSE),"")</f>
        <v/>
      </c>
    </row>
    <row r="1640" spans="1:16" x14ac:dyDescent="0.2">
      <c r="A1640" s="1">
        <v>2022</v>
      </c>
      <c r="B1640" t="s">
        <v>199</v>
      </c>
      <c r="C1640" s="10" t="s">
        <v>1678</v>
      </c>
      <c r="D1640" s="10" t="s">
        <v>1679</v>
      </c>
      <c r="E1640" s="10" t="s">
        <v>1682</v>
      </c>
      <c r="F1640" t="s">
        <v>696</v>
      </c>
      <c r="G1640" s="4">
        <v>91280</v>
      </c>
      <c r="H1640" s="4"/>
      <c r="I1640" s="4"/>
      <c r="J1640" s="4">
        <f>SUM(G1640:I1640)</f>
        <v>91280</v>
      </c>
      <c r="K1640" t="s">
        <v>1659</v>
      </c>
      <c r="L1640" t="s">
        <v>1659</v>
      </c>
      <c r="M1640" t="s">
        <v>696</v>
      </c>
      <c r="N1640" t="s">
        <v>1132</v>
      </c>
      <c r="O1640" t="s">
        <v>1132</v>
      </c>
      <c r="P1640" t="str">
        <f>IFERROR(VLOOKUP(F1640,Sheet1!$A$2:$B$54,2,FALSE),"")</f>
        <v/>
      </c>
    </row>
    <row r="1641" spans="1:16" x14ac:dyDescent="0.2">
      <c r="A1641" s="1">
        <v>2023</v>
      </c>
      <c r="B1641" t="s">
        <v>199</v>
      </c>
      <c r="C1641" s="10" t="s">
        <v>1678</v>
      </c>
      <c r="D1641" s="10" t="s">
        <v>1679</v>
      </c>
      <c r="E1641" s="10" t="s">
        <v>1682</v>
      </c>
      <c r="F1641" t="s">
        <v>696</v>
      </c>
      <c r="G1641" s="4">
        <v>110330</v>
      </c>
      <c r="H1641" s="4"/>
      <c r="I1641" s="4"/>
      <c r="J1641" s="4">
        <f>SUM(G1641:I1641)</f>
        <v>110330</v>
      </c>
      <c r="K1641" t="s">
        <v>1659</v>
      </c>
      <c r="L1641" t="s">
        <v>1659</v>
      </c>
      <c r="M1641" t="s">
        <v>696</v>
      </c>
      <c r="N1641" t="s">
        <v>1132</v>
      </c>
      <c r="O1641" t="s">
        <v>1132</v>
      </c>
      <c r="P1641" t="str">
        <f>IFERROR(VLOOKUP(F1641,Sheet1!$A$2:$B$54,2,FALSE),"")</f>
        <v/>
      </c>
    </row>
    <row r="1642" spans="1:16" x14ac:dyDescent="0.2">
      <c r="A1642" s="1">
        <v>2015</v>
      </c>
      <c r="B1642" t="s">
        <v>200</v>
      </c>
      <c r="C1642" s="10" t="s">
        <v>1678</v>
      </c>
      <c r="D1642" s="10" t="s">
        <v>1679</v>
      </c>
      <c r="E1642" s="10" t="s">
        <v>1682</v>
      </c>
      <c r="F1642" t="s">
        <v>697</v>
      </c>
      <c r="G1642" s="4">
        <v>142736</v>
      </c>
      <c r="H1642" s="4"/>
      <c r="I1642" s="4"/>
      <c r="J1642" s="4">
        <f>SUM(G1642:I1642)</f>
        <v>142736</v>
      </c>
      <c r="K1642" t="s">
        <v>1659</v>
      </c>
      <c r="L1642" t="s">
        <v>1659</v>
      </c>
      <c r="M1642" t="s">
        <v>1245</v>
      </c>
      <c r="N1642" t="s">
        <v>1132</v>
      </c>
      <c r="O1642" t="s">
        <v>1132</v>
      </c>
      <c r="P1642" t="str">
        <f>IFERROR(VLOOKUP(F1642,Sheet1!$A$2:$B$54,2,FALSE),"")</f>
        <v/>
      </c>
    </row>
    <row r="1643" spans="1:16" x14ac:dyDescent="0.2">
      <c r="A1643" s="1">
        <v>2016</v>
      </c>
      <c r="B1643" t="s">
        <v>200</v>
      </c>
      <c r="C1643" s="10" t="s">
        <v>1678</v>
      </c>
      <c r="D1643" s="10" t="s">
        <v>1679</v>
      </c>
      <c r="E1643" s="10" t="s">
        <v>1682</v>
      </c>
      <c r="F1643" t="s">
        <v>697</v>
      </c>
      <c r="G1643" s="4">
        <v>187995</v>
      </c>
      <c r="H1643" s="4"/>
      <c r="I1643" s="4"/>
      <c r="J1643" s="4">
        <f>SUM(G1643:I1643)</f>
        <v>187995</v>
      </c>
      <c r="K1643" t="s">
        <v>1659</v>
      </c>
      <c r="L1643" t="s">
        <v>1659</v>
      </c>
      <c r="M1643" t="s">
        <v>1245</v>
      </c>
      <c r="N1643" t="s">
        <v>1132</v>
      </c>
      <c r="O1643" t="s">
        <v>1132</v>
      </c>
      <c r="P1643" t="str">
        <f>IFERROR(VLOOKUP(F1643,Sheet1!$A$2:$B$54,2,FALSE),"")</f>
        <v/>
      </c>
    </row>
    <row r="1644" spans="1:16" x14ac:dyDescent="0.2">
      <c r="A1644" s="1">
        <v>2017</v>
      </c>
      <c r="B1644" t="s">
        <v>200</v>
      </c>
      <c r="C1644" s="10" t="s">
        <v>1678</v>
      </c>
      <c r="D1644" s="10" t="s">
        <v>1679</v>
      </c>
      <c r="E1644" s="10" t="s">
        <v>1682</v>
      </c>
      <c r="F1644" t="s">
        <v>697</v>
      </c>
      <c r="G1644" s="4">
        <v>237598</v>
      </c>
      <c r="H1644" s="4"/>
      <c r="I1644" s="4"/>
      <c r="J1644" s="4">
        <f>SUM(G1644:I1644)</f>
        <v>237598</v>
      </c>
      <c r="K1644" t="s">
        <v>1659</v>
      </c>
      <c r="L1644" t="s">
        <v>1659</v>
      </c>
      <c r="M1644" t="s">
        <v>1245</v>
      </c>
      <c r="N1644" t="s">
        <v>1132</v>
      </c>
      <c r="O1644" t="s">
        <v>1132</v>
      </c>
      <c r="P1644" t="str">
        <f>IFERROR(VLOOKUP(F1644,Sheet1!$A$2:$B$54,2,FALSE),"")</f>
        <v/>
      </c>
    </row>
    <row r="1645" spans="1:16" x14ac:dyDescent="0.2">
      <c r="A1645" s="1">
        <v>2018</v>
      </c>
      <c r="B1645" t="s">
        <v>200</v>
      </c>
      <c r="C1645" s="10" t="s">
        <v>1678</v>
      </c>
      <c r="D1645" s="10" t="s">
        <v>1679</v>
      </c>
      <c r="E1645" s="10" t="s">
        <v>1682</v>
      </c>
      <c r="F1645" t="s">
        <v>697</v>
      </c>
      <c r="G1645" s="4">
        <v>313470</v>
      </c>
      <c r="H1645" s="4"/>
      <c r="I1645" s="4"/>
      <c r="J1645" s="4">
        <f>SUM(G1645:I1645)</f>
        <v>313470</v>
      </c>
      <c r="K1645" t="s">
        <v>1659</v>
      </c>
      <c r="L1645" t="s">
        <v>1659</v>
      </c>
      <c r="M1645" t="s">
        <v>1245</v>
      </c>
      <c r="N1645" t="s">
        <v>1132</v>
      </c>
      <c r="O1645" t="s">
        <v>1132</v>
      </c>
      <c r="P1645" t="str">
        <f>IFERROR(VLOOKUP(F1645,Sheet1!$A$2:$B$54,2,FALSE),"")</f>
        <v/>
      </c>
    </row>
    <row r="1646" spans="1:16" x14ac:dyDescent="0.2">
      <c r="A1646" s="1">
        <v>2019</v>
      </c>
      <c r="B1646" t="s">
        <v>200</v>
      </c>
      <c r="C1646" s="10" t="s">
        <v>1678</v>
      </c>
      <c r="D1646" s="10" t="s">
        <v>1679</v>
      </c>
      <c r="E1646" s="10" t="s">
        <v>1682</v>
      </c>
      <c r="F1646" t="s">
        <v>697</v>
      </c>
      <c r="G1646" s="4">
        <v>379803</v>
      </c>
      <c r="H1646" s="4"/>
      <c r="I1646" s="4"/>
      <c r="J1646" s="4">
        <f>SUM(G1646:I1646)</f>
        <v>379803</v>
      </c>
      <c r="K1646" t="s">
        <v>1659</v>
      </c>
      <c r="L1646" t="s">
        <v>1659</v>
      </c>
      <c r="M1646" t="s">
        <v>1245</v>
      </c>
      <c r="N1646" t="s">
        <v>1132</v>
      </c>
      <c r="O1646" t="s">
        <v>1132</v>
      </c>
      <c r="P1646" t="str">
        <f>IFERROR(VLOOKUP(F1646,Sheet1!$A$2:$B$54,2,FALSE),"")</f>
        <v/>
      </c>
    </row>
    <row r="1647" spans="1:16" x14ac:dyDescent="0.2">
      <c r="A1647" s="1">
        <v>2020</v>
      </c>
      <c r="B1647" t="s">
        <v>200</v>
      </c>
      <c r="C1647" s="10" t="s">
        <v>1678</v>
      </c>
      <c r="D1647" s="10" t="s">
        <v>1679</v>
      </c>
      <c r="E1647" s="10" t="s">
        <v>1682</v>
      </c>
      <c r="F1647" t="s">
        <v>697</v>
      </c>
      <c r="G1647" s="4">
        <v>433951</v>
      </c>
      <c r="H1647" s="4"/>
      <c r="I1647" s="4"/>
      <c r="J1647" s="4">
        <f>SUM(G1647:I1647)</f>
        <v>433951</v>
      </c>
      <c r="K1647" t="s">
        <v>1659</v>
      </c>
      <c r="L1647" t="s">
        <v>1659</v>
      </c>
      <c r="M1647" t="s">
        <v>1245</v>
      </c>
      <c r="N1647" t="s">
        <v>1132</v>
      </c>
      <c r="O1647" t="s">
        <v>1132</v>
      </c>
      <c r="P1647" t="str">
        <f>IFERROR(VLOOKUP(F1647,Sheet1!$A$2:$B$54,2,FALSE),"")</f>
        <v/>
      </c>
    </row>
    <row r="1648" spans="1:16" x14ac:dyDescent="0.2">
      <c r="A1648" s="1">
        <v>2021</v>
      </c>
      <c r="B1648" t="s">
        <v>200</v>
      </c>
      <c r="C1648" s="10" t="s">
        <v>1678</v>
      </c>
      <c r="D1648" s="10" t="s">
        <v>1679</v>
      </c>
      <c r="E1648" s="10" t="s">
        <v>1682</v>
      </c>
      <c r="F1648" t="s">
        <v>697</v>
      </c>
      <c r="G1648" s="4">
        <v>517955</v>
      </c>
      <c r="H1648" s="4"/>
      <c r="I1648" s="4"/>
      <c r="J1648" s="4">
        <f>SUM(G1648:I1648)</f>
        <v>517955</v>
      </c>
      <c r="K1648" t="s">
        <v>1659</v>
      </c>
      <c r="L1648" t="s">
        <v>1659</v>
      </c>
      <c r="M1648" t="s">
        <v>697</v>
      </c>
      <c r="N1648" t="s">
        <v>1132</v>
      </c>
      <c r="O1648" t="s">
        <v>1132</v>
      </c>
      <c r="P1648" t="str">
        <f>IFERROR(VLOOKUP(F1648,Sheet1!$A$2:$B$54,2,FALSE),"")</f>
        <v/>
      </c>
    </row>
    <row r="1649" spans="1:16" x14ac:dyDescent="0.2">
      <c r="A1649" s="1">
        <v>2022</v>
      </c>
      <c r="B1649" t="s">
        <v>200</v>
      </c>
      <c r="C1649" s="10" t="s">
        <v>1678</v>
      </c>
      <c r="D1649" s="10" t="s">
        <v>1679</v>
      </c>
      <c r="E1649" s="10" t="s">
        <v>1682</v>
      </c>
      <c r="F1649" t="s">
        <v>697</v>
      </c>
      <c r="G1649" s="4">
        <v>674628</v>
      </c>
      <c r="H1649" s="4"/>
      <c r="I1649" s="4"/>
      <c r="J1649" s="4">
        <f>SUM(G1649:I1649)</f>
        <v>674628</v>
      </c>
      <c r="K1649" t="s">
        <v>1659</v>
      </c>
      <c r="L1649" t="s">
        <v>1659</v>
      </c>
      <c r="M1649" t="s">
        <v>697</v>
      </c>
      <c r="N1649" t="s">
        <v>1132</v>
      </c>
      <c r="O1649" t="s">
        <v>1132</v>
      </c>
      <c r="P1649" t="str">
        <f>IFERROR(VLOOKUP(F1649,Sheet1!$A$2:$B$54,2,FALSE),"")</f>
        <v/>
      </c>
    </row>
    <row r="1650" spans="1:16" x14ac:dyDescent="0.2">
      <c r="A1650" s="1">
        <v>2023</v>
      </c>
      <c r="B1650" t="s">
        <v>200</v>
      </c>
      <c r="C1650" s="10" t="s">
        <v>1678</v>
      </c>
      <c r="D1650" s="10" t="s">
        <v>1679</v>
      </c>
      <c r="E1650" s="10" t="s">
        <v>1682</v>
      </c>
      <c r="F1650" t="s">
        <v>697</v>
      </c>
      <c r="G1650" s="4">
        <v>782269</v>
      </c>
      <c r="H1650" s="4"/>
      <c r="I1650" s="4"/>
      <c r="J1650" s="4">
        <f>SUM(G1650:I1650)</f>
        <v>782269</v>
      </c>
      <c r="K1650" t="s">
        <v>1659</v>
      </c>
      <c r="L1650" t="s">
        <v>1659</v>
      </c>
      <c r="M1650" t="s">
        <v>697</v>
      </c>
      <c r="N1650" t="s">
        <v>1132</v>
      </c>
      <c r="O1650" t="s">
        <v>1132</v>
      </c>
      <c r="P1650" t="str">
        <f>IFERROR(VLOOKUP(F1650,Sheet1!$A$2:$B$54,2,FALSE),"")</f>
        <v/>
      </c>
    </row>
    <row r="1651" spans="1:16" x14ac:dyDescent="0.2">
      <c r="A1651" s="1">
        <v>2015</v>
      </c>
      <c r="B1651" t="s">
        <v>459</v>
      </c>
      <c r="C1651" s="10" t="s">
        <v>1678</v>
      </c>
      <c r="D1651" s="10" t="s">
        <v>1679</v>
      </c>
      <c r="E1651" s="10" t="s">
        <v>1682</v>
      </c>
      <c r="F1651" t="s">
        <v>957</v>
      </c>
      <c r="G1651" s="4">
        <v>61750</v>
      </c>
      <c r="H1651" s="4">
        <v>108552</v>
      </c>
      <c r="I1651" s="4"/>
      <c r="J1651" s="4">
        <f>SUM(G1651:I1651)</f>
        <v>170302</v>
      </c>
      <c r="K1651" t="s">
        <v>1660</v>
      </c>
      <c r="L1651" t="s">
        <v>1659</v>
      </c>
      <c r="M1651" t="s">
        <v>1591</v>
      </c>
      <c r="N1651" t="s">
        <v>1591</v>
      </c>
      <c r="O1651" t="s">
        <v>1132</v>
      </c>
      <c r="P1651">
        <f>IFERROR(VLOOKUP(F1651,Sheet1!$A$2:$B$54,2,FALSE),"")</f>
        <v>0</v>
      </c>
    </row>
    <row r="1652" spans="1:16" x14ac:dyDescent="0.2">
      <c r="A1652" s="1">
        <v>2016</v>
      </c>
      <c r="B1652" t="s">
        <v>459</v>
      </c>
      <c r="C1652" s="10" t="s">
        <v>1678</v>
      </c>
      <c r="D1652" s="10" t="s">
        <v>1679</v>
      </c>
      <c r="E1652" s="10" t="s">
        <v>1682</v>
      </c>
      <c r="F1652" t="s">
        <v>957</v>
      </c>
      <c r="G1652" s="4">
        <v>45246</v>
      </c>
      <c r="H1652" s="4">
        <v>70029</v>
      </c>
      <c r="I1652" s="4"/>
      <c r="J1652" s="4">
        <f>SUM(G1652:I1652)</f>
        <v>115275</v>
      </c>
      <c r="K1652" t="s">
        <v>1660</v>
      </c>
      <c r="L1652" t="s">
        <v>1659</v>
      </c>
      <c r="M1652" t="s">
        <v>1591</v>
      </c>
      <c r="N1652" t="s">
        <v>1591</v>
      </c>
      <c r="O1652" t="s">
        <v>1132</v>
      </c>
      <c r="P1652">
        <f>IFERROR(VLOOKUP(F1652,Sheet1!$A$2:$B$54,2,FALSE),"")</f>
        <v>0</v>
      </c>
    </row>
    <row r="1653" spans="1:16" x14ac:dyDescent="0.2">
      <c r="A1653" s="1">
        <v>2017</v>
      </c>
      <c r="B1653" t="s">
        <v>459</v>
      </c>
      <c r="C1653" s="10" t="s">
        <v>1678</v>
      </c>
      <c r="D1653" s="10" t="s">
        <v>1679</v>
      </c>
      <c r="E1653" s="10" t="s">
        <v>1682</v>
      </c>
      <c r="F1653" t="s">
        <v>957</v>
      </c>
      <c r="G1653" s="4">
        <v>53324</v>
      </c>
      <c r="H1653" s="4">
        <v>76837</v>
      </c>
      <c r="I1653" s="4"/>
      <c r="J1653" s="4">
        <f>SUM(G1653:I1653)</f>
        <v>130161</v>
      </c>
      <c r="K1653" t="s">
        <v>1660</v>
      </c>
      <c r="L1653" t="s">
        <v>1659</v>
      </c>
      <c r="M1653" t="s">
        <v>1591</v>
      </c>
      <c r="N1653" t="s">
        <v>1591</v>
      </c>
      <c r="O1653" t="s">
        <v>1132</v>
      </c>
      <c r="P1653">
        <f>IFERROR(VLOOKUP(F1653,Sheet1!$A$2:$B$54,2,FALSE),"")</f>
        <v>0</v>
      </c>
    </row>
    <row r="1654" spans="1:16" x14ac:dyDescent="0.2">
      <c r="A1654" s="1">
        <v>2018</v>
      </c>
      <c r="B1654" t="s">
        <v>459</v>
      </c>
      <c r="C1654" s="10" t="s">
        <v>1678</v>
      </c>
      <c r="D1654" s="10" t="s">
        <v>1679</v>
      </c>
      <c r="E1654" s="10" t="s">
        <v>1682</v>
      </c>
      <c r="F1654" t="s">
        <v>957</v>
      </c>
      <c r="G1654" s="4">
        <v>0</v>
      </c>
      <c r="H1654" s="4">
        <v>0</v>
      </c>
      <c r="I1654" s="4"/>
      <c r="J1654" s="4">
        <f>SUM(G1654:I1654)</f>
        <v>0</v>
      </c>
      <c r="K1654" t="s">
        <v>1660</v>
      </c>
      <c r="L1654" t="s">
        <v>1659</v>
      </c>
      <c r="M1654" t="s">
        <v>1592</v>
      </c>
      <c r="N1654" t="s">
        <v>1592</v>
      </c>
      <c r="O1654" t="s">
        <v>1132</v>
      </c>
      <c r="P1654">
        <f>IFERROR(VLOOKUP(F1654,Sheet1!$A$2:$B$54,2,FALSE),"")</f>
        <v>0</v>
      </c>
    </row>
    <row r="1655" spans="1:16" x14ac:dyDescent="0.2">
      <c r="A1655" s="1">
        <v>2019</v>
      </c>
      <c r="B1655" t="s">
        <v>459</v>
      </c>
      <c r="C1655" s="10" t="s">
        <v>1678</v>
      </c>
      <c r="D1655" s="10" t="s">
        <v>1679</v>
      </c>
      <c r="E1655" s="10" t="s">
        <v>1682</v>
      </c>
      <c r="F1655" t="s">
        <v>957</v>
      </c>
      <c r="G1655" s="4">
        <v>0</v>
      </c>
      <c r="H1655" s="4">
        <v>0</v>
      </c>
      <c r="I1655" s="4"/>
      <c r="J1655" s="4">
        <f>SUM(G1655:I1655)</f>
        <v>0</v>
      </c>
      <c r="K1655" t="s">
        <v>1660</v>
      </c>
      <c r="L1655" t="s">
        <v>1659</v>
      </c>
      <c r="M1655" t="s">
        <v>1592</v>
      </c>
      <c r="N1655" t="s">
        <v>1592</v>
      </c>
      <c r="O1655" t="s">
        <v>1132</v>
      </c>
      <c r="P1655">
        <f>IFERROR(VLOOKUP(F1655,Sheet1!$A$2:$B$54,2,FALSE),"")</f>
        <v>0</v>
      </c>
    </row>
    <row r="1656" spans="1:16" x14ac:dyDescent="0.2">
      <c r="A1656" s="1">
        <v>2020</v>
      </c>
      <c r="B1656" t="s">
        <v>459</v>
      </c>
      <c r="C1656" s="10" t="s">
        <v>1678</v>
      </c>
      <c r="D1656" s="10" t="s">
        <v>1679</v>
      </c>
      <c r="E1656" s="10" t="s">
        <v>1682</v>
      </c>
      <c r="F1656" t="s">
        <v>957</v>
      </c>
      <c r="G1656" s="4">
        <v>0</v>
      </c>
      <c r="H1656" s="4">
        <v>0</v>
      </c>
      <c r="I1656" s="4"/>
      <c r="J1656" s="4">
        <f>SUM(G1656:I1656)</f>
        <v>0</v>
      </c>
      <c r="K1656" t="s">
        <v>1660</v>
      </c>
      <c r="L1656" t="s">
        <v>1659</v>
      </c>
      <c r="M1656" t="s">
        <v>1591</v>
      </c>
      <c r="N1656" t="s">
        <v>1591</v>
      </c>
      <c r="O1656" t="s">
        <v>1132</v>
      </c>
      <c r="P1656">
        <f>IFERROR(VLOOKUP(F1656,Sheet1!$A$2:$B$54,2,FALSE),"")</f>
        <v>0</v>
      </c>
    </row>
    <row r="1657" spans="1:16" x14ac:dyDescent="0.2">
      <c r="A1657" s="1">
        <v>2021</v>
      </c>
      <c r="B1657" t="s">
        <v>459</v>
      </c>
      <c r="C1657" s="10" t="s">
        <v>1678</v>
      </c>
      <c r="D1657" s="10" t="s">
        <v>1679</v>
      </c>
      <c r="E1657" s="10" t="s">
        <v>1682</v>
      </c>
      <c r="F1657" t="s">
        <v>957</v>
      </c>
      <c r="G1657" s="4">
        <v>0</v>
      </c>
      <c r="H1657" s="4"/>
      <c r="I1657" s="4"/>
      <c r="J1657" s="4">
        <f>SUM(G1657:I1657)</f>
        <v>0</v>
      </c>
      <c r="K1657" t="s">
        <v>1659</v>
      </c>
      <c r="L1657" t="s">
        <v>1659</v>
      </c>
      <c r="M1657" t="s">
        <v>1593</v>
      </c>
      <c r="N1657" t="s">
        <v>1132</v>
      </c>
      <c r="O1657" t="s">
        <v>1132</v>
      </c>
      <c r="P1657">
        <f>IFERROR(VLOOKUP(F1657,Sheet1!$A$2:$B$54,2,FALSE),"")</f>
        <v>0</v>
      </c>
    </row>
    <row r="1658" spans="1:16" x14ac:dyDescent="0.2">
      <c r="A1658" s="1">
        <v>2022</v>
      </c>
      <c r="B1658" t="s">
        <v>459</v>
      </c>
      <c r="C1658" s="10" t="s">
        <v>1678</v>
      </c>
      <c r="D1658" s="10" t="s">
        <v>1679</v>
      </c>
      <c r="E1658" s="10" t="s">
        <v>1682</v>
      </c>
      <c r="F1658" t="s">
        <v>957</v>
      </c>
      <c r="G1658" s="4">
        <v>0</v>
      </c>
      <c r="H1658" s="4">
        <v>0</v>
      </c>
      <c r="I1658" s="4"/>
      <c r="J1658" s="4">
        <f>SUM(G1658:I1658)</f>
        <v>0</v>
      </c>
      <c r="K1658" t="s">
        <v>1660</v>
      </c>
      <c r="L1658" t="s">
        <v>1659</v>
      </c>
      <c r="M1658" t="s">
        <v>957</v>
      </c>
      <c r="N1658" t="s">
        <v>1593</v>
      </c>
      <c r="O1658" t="s">
        <v>1132</v>
      </c>
      <c r="P1658">
        <f>IFERROR(VLOOKUP(F1658,Sheet1!$A$2:$B$54,2,FALSE),"")</f>
        <v>0</v>
      </c>
    </row>
    <row r="1659" spans="1:16" x14ac:dyDescent="0.2">
      <c r="A1659" s="1">
        <v>2023</v>
      </c>
      <c r="B1659" t="s">
        <v>459</v>
      </c>
      <c r="C1659" s="10" t="s">
        <v>1678</v>
      </c>
      <c r="D1659" s="10" t="s">
        <v>1679</v>
      </c>
      <c r="E1659" s="10" t="s">
        <v>1682</v>
      </c>
      <c r="F1659" t="s">
        <v>957</v>
      </c>
      <c r="G1659" s="4">
        <v>0</v>
      </c>
      <c r="H1659" s="4"/>
      <c r="I1659" s="4"/>
      <c r="J1659" s="4">
        <f>SUM(G1659:I1659)</f>
        <v>0</v>
      </c>
      <c r="K1659" t="s">
        <v>1659</v>
      </c>
      <c r="L1659" t="s">
        <v>1659</v>
      </c>
      <c r="M1659" t="s">
        <v>957</v>
      </c>
      <c r="N1659" t="s">
        <v>1132</v>
      </c>
      <c r="O1659" t="s">
        <v>1132</v>
      </c>
      <c r="P1659">
        <f>IFERROR(VLOOKUP(F1659,Sheet1!$A$2:$B$54,2,FALSE),"")</f>
        <v>0</v>
      </c>
    </row>
    <row r="1660" spans="1:16" x14ac:dyDescent="0.2">
      <c r="A1660" s="1">
        <v>2017</v>
      </c>
      <c r="B1660" t="s">
        <v>202</v>
      </c>
      <c r="C1660" s="10" t="s">
        <v>1678</v>
      </c>
      <c r="D1660" s="10" t="s">
        <v>1679</v>
      </c>
      <c r="E1660" s="10" t="s">
        <v>1682</v>
      </c>
      <c r="F1660" t="s">
        <v>699</v>
      </c>
      <c r="G1660" s="4">
        <v>618</v>
      </c>
      <c r="H1660" s="4"/>
      <c r="I1660" s="4"/>
      <c r="J1660" s="4">
        <f>SUM(G1660:I1660)</f>
        <v>618</v>
      </c>
      <c r="K1660" t="s">
        <v>1659</v>
      </c>
      <c r="L1660" t="s">
        <v>1659</v>
      </c>
      <c r="M1660" t="s">
        <v>1247</v>
      </c>
      <c r="N1660" t="s">
        <v>1132</v>
      </c>
      <c r="O1660" t="s">
        <v>1132</v>
      </c>
      <c r="P1660" t="str">
        <f>IFERROR(VLOOKUP(F1660,Sheet1!$A$2:$B$54,2,FALSE),"")</f>
        <v/>
      </c>
    </row>
    <row r="1661" spans="1:16" x14ac:dyDescent="0.2">
      <c r="A1661" s="1">
        <v>2018</v>
      </c>
      <c r="B1661" t="s">
        <v>202</v>
      </c>
      <c r="C1661" s="10" t="s">
        <v>1678</v>
      </c>
      <c r="D1661" s="10" t="s">
        <v>1679</v>
      </c>
      <c r="E1661" s="10" t="s">
        <v>1682</v>
      </c>
      <c r="F1661" t="s">
        <v>699</v>
      </c>
      <c r="G1661" s="4">
        <v>0</v>
      </c>
      <c r="H1661" s="4"/>
      <c r="I1661" s="4"/>
      <c r="J1661" s="4">
        <f>SUM(G1661:I1661)</f>
        <v>0</v>
      </c>
      <c r="K1661" t="s">
        <v>1659</v>
      </c>
      <c r="L1661" t="s">
        <v>1659</v>
      </c>
      <c r="M1661" t="s">
        <v>1247</v>
      </c>
      <c r="N1661" t="s">
        <v>1132</v>
      </c>
      <c r="O1661" t="s">
        <v>1132</v>
      </c>
      <c r="P1661" t="str">
        <f>IFERROR(VLOOKUP(F1661,Sheet1!$A$2:$B$54,2,FALSE),"")</f>
        <v/>
      </c>
    </row>
    <row r="1662" spans="1:16" x14ac:dyDescent="0.2">
      <c r="A1662" s="1">
        <v>2019</v>
      </c>
      <c r="B1662" t="s">
        <v>202</v>
      </c>
      <c r="C1662" s="10" t="s">
        <v>1678</v>
      </c>
      <c r="D1662" s="10" t="s">
        <v>1679</v>
      </c>
      <c r="E1662" s="10" t="s">
        <v>1682</v>
      </c>
      <c r="F1662" t="s">
        <v>699</v>
      </c>
      <c r="G1662" s="4">
        <v>0</v>
      </c>
      <c r="H1662" s="4"/>
      <c r="I1662" s="4"/>
      <c r="J1662" s="4">
        <f>SUM(G1662:I1662)</f>
        <v>0</v>
      </c>
      <c r="K1662" t="s">
        <v>1659</v>
      </c>
      <c r="L1662" t="s">
        <v>1659</v>
      </c>
      <c r="M1662" t="s">
        <v>1247</v>
      </c>
      <c r="N1662" t="s">
        <v>1132</v>
      </c>
      <c r="O1662" t="s">
        <v>1132</v>
      </c>
      <c r="P1662" t="str">
        <f>IFERROR(VLOOKUP(F1662,Sheet1!$A$2:$B$54,2,FALSE),"")</f>
        <v/>
      </c>
    </row>
    <row r="1663" spans="1:16" x14ac:dyDescent="0.2">
      <c r="A1663" s="1">
        <v>2020</v>
      </c>
      <c r="B1663" t="s">
        <v>202</v>
      </c>
      <c r="C1663" s="10" t="s">
        <v>1678</v>
      </c>
      <c r="D1663" s="10" t="s">
        <v>1679</v>
      </c>
      <c r="E1663" s="10" t="s">
        <v>1682</v>
      </c>
      <c r="F1663" t="s">
        <v>699</v>
      </c>
      <c r="G1663" s="4">
        <v>0</v>
      </c>
      <c r="H1663" s="4"/>
      <c r="I1663" s="4"/>
      <c r="J1663" s="4">
        <f>SUM(G1663:I1663)</f>
        <v>0</v>
      </c>
      <c r="K1663" t="s">
        <v>1659</v>
      </c>
      <c r="L1663" t="s">
        <v>1659</v>
      </c>
      <c r="M1663" t="s">
        <v>1247</v>
      </c>
      <c r="N1663" t="s">
        <v>1132</v>
      </c>
      <c r="O1663" t="s">
        <v>1132</v>
      </c>
      <c r="P1663" t="str">
        <f>IFERROR(VLOOKUP(F1663,Sheet1!$A$2:$B$54,2,FALSE),"")</f>
        <v/>
      </c>
    </row>
    <row r="1664" spans="1:16" x14ac:dyDescent="0.2">
      <c r="A1664" s="1">
        <v>2021</v>
      </c>
      <c r="B1664" t="s">
        <v>202</v>
      </c>
      <c r="C1664" s="10" t="s">
        <v>1678</v>
      </c>
      <c r="D1664" s="10" t="s">
        <v>1679</v>
      </c>
      <c r="E1664" s="10" t="s">
        <v>1682</v>
      </c>
      <c r="F1664" t="s">
        <v>699</v>
      </c>
      <c r="G1664" s="4">
        <v>3267</v>
      </c>
      <c r="H1664" s="4"/>
      <c r="I1664" s="4"/>
      <c r="J1664" s="4">
        <f>SUM(G1664:I1664)</f>
        <v>3267</v>
      </c>
      <c r="K1664" t="s">
        <v>1659</v>
      </c>
      <c r="L1664" t="s">
        <v>1659</v>
      </c>
      <c r="M1664" t="s">
        <v>699</v>
      </c>
      <c r="N1664" t="s">
        <v>1132</v>
      </c>
      <c r="O1664" t="s">
        <v>1132</v>
      </c>
      <c r="P1664" t="str">
        <f>IFERROR(VLOOKUP(F1664,Sheet1!$A$2:$B$54,2,FALSE),"")</f>
        <v/>
      </c>
    </row>
    <row r="1665" spans="1:16" x14ac:dyDescent="0.2">
      <c r="A1665" s="1">
        <v>2022</v>
      </c>
      <c r="B1665" t="s">
        <v>202</v>
      </c>
      <c r="C1665" s="10" t="s">
        <v>1678</v>
      </c>
      <c r="D1665" s="10" t="s">
        <v>1679</v>
      </c>
      <c r="E1665" s="10" t="s">
        <v>1682</v>
      </c>
      <c r="F1665" t="s">
        <v>699</v>
      </c>
      <c r="G1665" s="4">
        <v>4696</v>
      </c>
      <c r="H1665" s="4"/>
      <c r="I1665" s="4"/>
      <c r="J1665" s="4">
        <f>SUM(G1665:I1665)</f>
        <v>4696</v>
      </c>
      <c r="K1665" t="s">
        <v>1659</v>
      </c>
      <c r="L1665" t="s">
        <v>1659</v>
      </c>
      <c r="M1665" t="s">
        <v>699</v>
      </c>
      <c r="N1665" t="s">
        <v>1132</v>
      </c>
      <c r="O1665" t="s">
        <v>1132</v>
      </c>
      <c r="P1665" t="str">
        <f>IFERROR(VLOOKUP(F1665,Sheet1!$A$2:$B$54,2,FALSE),"")</f>
        <v/>
      </c>
    </row>
    <row r="1666" spans="1:16" x14ac:dyDescent="0.2">
      <c r="A1666" s="1">
        <v>2023</v>
      </c>
      <c r="B1666" t="s">
        <v>202</v>
      </c>
      <c r="C1666" s="10" t="s">
        <v>1678</v>
      </c>
      <c r="D1666" s="10" t="s">
        <v>1679</v>
      </c>
      <c r="E1666" s="10" t="s">
        <v>1682</v>
      </c>
      <c r="F1666" t="s">
        <v>699</v>
      </c>
      <c r="G1666" s="4">
        <v>3791</v>
      </c>
      <c r="H1666" s="4"/>
      <c r="I1666" s="4"/>
      <c r="J1666" s="4">
        <f>SUM(G1666:I1666)</f>
        <v>3791</v>
      </c>
      <c r="K1666" t="s">
        <v>1659</v>
      </c>
      <c r="L1666" t="s">
        <v>1659</v>
      </c>
      <c r="M1666" t="s">
        <v>699</v>
      </c>
      <c r="N1666" t="s">
        <v>1132</v>
      </c>
      <c r="O1666" t="s">
        <v>1132</v>
      </c>
      <c r="P1666" t="str">
        <f>IFERROR(VLOOKUP(F1666,Sheet1!$A$2:$B$54,2,FALSE),"")</f>
        <v/>
      </c>
    </row>
    <row r="1667" spans="1:16" x14ac:dyDescent="0.2">
      <c r="A1667" s="1">
        <v>2015</v>
      </c>
      <c r="B1667" t="s">
        <v>203</v>
      </c>
      <c r="C1667" s="10" t="s">
        <v>1678</v>
      </c>
      <c r="D1667" s="10" t="s">
        <v>1679</v>
      </c>
      <c r="E1667" s="10" t="s">
        <v>1682</v>
      </c>
      <c r="F1667" t="s">
        <v>700</v>
      </c>
      <c r="G1667" s="4">
        <v>644</v>
      </c>
      <c r="H1667" s="4"/>
      <c r="I1667" s="4"/>
      <c r="J1667" s="4">
        <f>SUM(G1667:I1667)</f>
        <v>644</v>
      </c>
      <c r="K1667" t="s">
        <v>1659</v>
      </c>
      <c r="L1667" t="s">
        <v>1659</v>
      </c>
      <c r="M1667" t="s">
        <v>1248</v>
      </c>
      <c r="N1667" t="s">
        <v>1132</v>
      </c>
      <c r="O1667" t="s">
        <v>1132</v>
      </c>
      <c r="P1667" t="str">
        <f>IFERROR(VLOOKUP(F1667,Sheet1!$A$2:$B$54,2,FALSE),"")</f>
        <v/>
      </c>
    </row>
    <row r="1668" spans="1:16" x14ac:dyDescent="0.2">
      <c r="A1668" s="1">
        <v>2016</v>
      </c>
      <c r="B1668" t="s">
        <v>203</v>
      </c>
      <c r="C1668" s="10" t="s">
        <v>1678</v>
      </c>
      <c r="D1668" s="10" t="s">
        <v>1679</v>
      </c>
      <c r="E1668" s="10" t="s">
        <v>1682</v>
      </c>
      <c r="F1668" t="s">
        <v>700</v>
      </c>
      <c r="G1668" s="4">
        <v>0</v>
      </c>
      <c r="H1668" s="4"/>
      <c r="I1668" s="4"/>
      <c r="J1668" s="4">
        <f>SUM(G1668:I1668)</f>
        <v>0</v>
      </c>
      <c r="K1668" t="s">
        <v>1659</v>
      </c>
      <c r="L1668" t="s">
        <v>1659</v>
      </c>
      <c r="M1668" t="s">
        <v>1249</v>
      </c>
      <c r="N1668" t="s">
        <v>1132</v>
      </c>
      <c r="O1668" t="s">
        <v>1132</v>
      </c>
      <c r="P1668" t="str">
        <f>IFERROR(VLOOKUP(F1668,Sheet1!$A$2:$B$54,2,FALSE),"")</f>
        <v/>
      </c>
    </row>
    <row r="1669" spans="1:16" x14ac:dyDescent="0.2">
      <c r="A1669" s="1">
        <v>2017</v>
      </c>
      <c r="B1669" t="s">
        <v>203</v>
      </c>
      <c r="C1669" s="10" t="s">
        <v>1678</v>
      </c>
      <c r="D1669" s="10" t="s">
        <v>1679</v>
      </c>
      <c r="E1669" s="10" t="s">
        <v>1682</v>
      </c>
      <c r="F1669" t="s">
        <v>700</v>
      </c>
      <c r="G1669" s="4">
        <v>0</v>
      </c>
      <c r="H1669" s="4"/>
      <c r="I1669" s="4"/>
      <c r="J1669" s="4">
        <f>SUM(G1669:I1669)</f>
        <v>0</v>
      </c>
      <c r="K1669" t="s">
        <v>1659</v>
      </c>
      <c r="L1669" t="s">
        <v>1659</v>
      </c>
      <c r="M1669" t="s">
        <v>1250</v>
      </c>
      <c r="N1669" t="s">
        <v>1132</v>
      </c>
      <c r="O1669" t="s">
        <v>1132</v>
      </c>
      <c r="P1669" t="str">
        <f>IFERROR(VLOOKUP(F1669,Sheet1!$A$2:$B$54,2,FALSE),"")</f>
        <v/>
      </c>
    </row>
    <row r="1670" spans="1:16" x14ac:dyDescent="0.2">
      <c r="A1670" s="1">
        <v>2018</v>
      </c>
      <c r="B1670" t="s">
        <v>203</v>
      </c>
      <c r="C1670" s="10" t="s">
        <v>1678</v>
      </c>
      <c r="D1670" s="10" t="s">
        <v>1679</v>
      </c>
      <c r="E1670" s="10" t="s">
        <v>1682</v>
      </c>
      <c r="F1670" t="s">
        <v>700</v>
      </c>
      <c r="G1670" s="4">
        <v>0</v>
      </c>
      <c r="H1670" s="4"/>
      <c r="I1670" s="4"/>
      <c r="J1670" s="4">
        <f>SUM(G1670:I1670)</f>
        <v>0</v>
      </c>
      <c r="K1670" t="s">
        <v>1659</v>
      </c>
      <c r="L1670" t="s">
        <v>1659</v>
      </c>
      <c r="M1670" t="s">
        <v>1249</v>
      </c>
      <c r="N1670" t="s">
        <v>1132</v>
      </c>
      <c r="O1670" t="s">
        <v>1132</v>
      </c>
      <c r="P1670" t="str">
        <f>IFERROR(VLOOKUP(F1670,Sheet1!$A$2:$B$54,2,FALSE),"")</f>
        <v/>
      </c>
    </row>
    <row r="1671" spans="1:16" x14ac:dyDescent="0.2">
      <c r="A1671" s="1">
        <v>2019</v>
      </c>
      <c r="B1671" t="s">
        <v>203</v>
      </c>
      <c r="C1671" s="10" t="s">
        <v>1678</v>
      </c>
      <c r="D1671" s="10" t="s">
        <v>1679</v>
      </c>
      <c r="E1671" s="10" t="s">
        <v>1682</v>
      </c>
      <c r="F1671" t="s">
        <v>700</v>
      </c>
      <c r="G1671" s="4">
        <v>0</v>
      </c>
      <c r="H1671" s="4"/>
      <c r="I1671" s="4"/>
      <c r="J1671" s="4">
        <f>SUM(G1671:I1671)</f>
        <v>0</v>
      </c>
      <c r="K1671" t="s">
        <v>1659</v>
      </c>
      <c r="L1671" t="s">
        <v>1659</v>
      </c>
      <c r="M1671" t="s">
        <v>1249</v>
      </c>
      <c r="N1671" t="s">
        <v>1132</v>
      </c>
      <c r="O1671" t="s">
        <v>1132</v>
      </c>
      <c r="P1671" t="str">
        <f>IFERROR(VLOOKUP(F1671,Sheet1!$A$2:$B$54,2,FALSE),"")</f>
        <v/>
      </c>
    </row>
    <row r="1672" spans="1:16" x14ac:dyDescent="0.2">
      <c r="A1672" s="1">
        <v>2020</v>
      </c>
      <c r="B1672" t="s">
        <v>203</v>
      </c>
      <c r="C1672" s="10" t="s">
        <v>1678</v>
      </c>
      <c r="D1672" s="10" t="s">
        <v>1679</v>
      </c>
      <c r="E1672" s="10" t="s">
        <v>1682</v>
      </c>
      <c r="F1672" t="s">
        <v>700</v>
      </c>
      <c r="G1672" s="4">
        <v>0</v>
      </c>
      <c r="H1672" s="4"/>
      <c r="I1672" s="4"/>
      <c r="J1672" s="4">
        <f>SUM(G1672:I1672)</f>
        <v>0</v>
      </c>
      <c r="K1672" t="s">
        <v>1659</v>
      </c>
      <c r="L1672" t="s">
        <v>1659</v>
      </c>
      <c r="M1672" t="s">
        <v>1251</v>
      </c>
      <c r="N1672" t="s">
        <v>1132</v>
      </c>
      <c r="O1672" t="s">
        <v>1132</v>
      </c>
      <c r="P1672" t="str">
        <f>IFERROR(VLOOKUP(F1672,Sheet1!$A$2:$B$54,2,FALSE),"")</f>
        <v/>
      </c>
    </row>
    <row r="1673" spans="1:16" x14ac:dyDescent="0.2">
      <c r="A1673" s="1">
        <v>2021</v>
      </c>
      <c r="B1673" t="s">
        <v>203</v>
      </c>
      <c r="C1673" s="10" t="s">
        <v>1678</v>
      </c>
      <c r="D1673" s="10" t="s">
        <v>1679</v>
      </c>
      <c r="E1673" s="10" t="s">
        <v>1682</v>
      </c>
      <c r="F1673" t="s">
        <v>700</v>
      </c>
      <c r="G1673" s="4">
        <v>0</v>
      </c>
      <c r="H1673" s="4"/>
      <c r="I1673" s="4"/>
      <c r="J1673" s="4">
        <f>SUM(G1673:I1673)</f>
        <v>0</v>
      </c>
      <c r="K1673" t="s">
        <v>1659</v>
      </c>
      <c r="L1673" t="s">
        <v>1659</v>
      </c>
      <c r="M1673" t="s">
        <v>700</v>
      </c>
      <c r="N1673" t="s">
        <v>1132</v>
      </c>
      <c r="O1673" t="s">
        <v>1132</v>
      </c>
      <c r="P1673" t="str">
        <f>IFERROR(VLOOKUP(F1673,Sheet1!$A$2:$B$54,2,FALSE),"")</f>
        <v/>
      </c>
    </row>
    <row r="1674" spans="1:16" x14ac:dyDescent="0.2">
      <c r="A1674" s="1">
        <v>2022</v>
      </c>
      <c r="B1674" t="s">
        <v>203</v>
      </c>
      <c r="C1674" s="10" t="s">
        <v>1678</v>
      </c>
      <c r="D1674" s="10" t="s">
        <v>1679</v>
      </c>
      <c r="E1674" s="10" t="s">
        <v>1682</v>
      </c>
      <c r="F1674" t="s">
        <v>700</v>
      </c>
      <c r="G1674" s="4">
        <v>0</v>
      </c>
      <c r="H1674" s="4"/>
      <c r="I1674" s="4"/>
      <c r="J1674" s="4">
        <f>SUM(G1674:I1674)</f>
        <v>0</v>
      </c>
      <c r="K1674" t="s">
        <v>1659</v>
      </c>
      <c r="L1674" t="s">
        <v>1659</v>
      </c>
      <c r="M1674" t="s">
        <v>1252</v>
      </c>
      <c r="N1674" t="s">
        <v>1132</v>
      </c>
      <c r="O1674" t="s">
        <v>1132</v>
      </c>
      <c r="P1674" t="str">
        <f>IFERROR(VLOOKUP(F1674,Sheet1!$A$2:$B$54,2,FALSE),"")</f>
        <v/>
      </c>
    </row>
    <row r="1675" spans="1:16" x14ac:dyDescent="0.2">
      <c r="A1675" s="1">
        <v>2023</v>
      </c>
      <c r="B1675" t="s">
        <v>203</v>
      </c>
      <c r="C1675" s="10" t="s">
        <v>1678</v>
      </c>
      <c r="D1675" s="10" t="s">
        <v>1679</v>
      </c>
      <c r="E1675" s="10" t="s">
        <v>1682</v>
      </c>
      <c r="F1675" t="s">
        <v>700</v>
      </c>
      <c r="G1675" s="4">
        <v>6556</v>
      </c>
      <c r="H1675" s="4"/>
      <c r="I1675" s="4"/>
      <c r="J1675" s="4">
        <f>SUM(G1675:I1675)</f>
        <v>6556</v>
      </c>
      <c r="K1675" t="s">
        <v>1659</v>
      </c>
      <c r="L1675" t="s">
        <v>1659</v>
      </c>
      <c r="M1675" t="s">
        <v>700</v>
      </c>
      <c r="N1675" t="s">
        <v>1132</v>
      </c>
      <c r="O1675" t="s">
        <v>1132</v>
      </c>
      <c r="P1675" t="str">
        <f>IFERROR(VLOOKUP(F1675,Sheet1!$A$2:$B$54,2,FALSE),"")</f>
        <v/>
      </c>
    </row>
    <row r="1676" spans="1:16" x14ac:dyDescent="0.2">
      <c r="A1676" s="1">
        <v>2015</v>
      </c>
      <c r="B1676" t="s">
        <v>204</v>
      </c>
      <c r="C1676" s="10" t="s">
        <v>1678</v>
      </c>
      <c r="D1676" s="10" t="s">
        <v>1679</v>
      </c>
      <c r="E1676" s="10" t="s">
        <v>1682</v>
      </c>
      <c r="F1676" t="s">
        <v>701</v>
      </c>
      <c r="G1676" s="4">
        <v>5879</v>
      </c>
      <c r="H1676" s="4"/>
      <c r="I1676" s="4"/>
      <c r="J1676" s="4">
        <f>SUM(G1676:I1676)</f>
        <v>5879</v>
      </c>
      <c r="K1676" t="s">
        <v>1659</v>
      </c>
      <c r="L1676" t="s">
        <v>1659</v>
      </c>
      <c r="M1676" t="s">
        <v>1253</v>
      </c>
      <c r="N1676" t="s">
        <v>1132</v>
      </c>
      <c r="O1676" t="s">
        <v>1132</v>
      </c>
      <c r="P1676" t="str">
        <f>IFERROR(VLOOKUP(F1676,Sheet1!$A$2:$B$54,2,FALSE),"")</f>
        <v/>
      </c>
    </row>
    <row r="1677" spans="1:16" x14ac:dyDescent="0.2">
      <c r="A1677" s="1">
        <v>2016</v>
      </c>
      <c r="B1677" t="s">
        <v>204</v>
      </c>
      <c r="C1677" s="10" t="s">
        <v>1678</v>
      </c>
      <c r="D1677" s="10" t="s">
        <v>1679</v>
      </c>
      <c r="E1677" s="10" t="s">
        <v>1682</v>
      </c>
      <c r="F1677" t="s">
        <v>701</v>
      </c>
      <c r="G1677" s="4">
        <v>5957</v>
      </c>
      <c r="H1677" s="4"/>
      <c r="I1677" s="4"/>
      <c r="J1677" s="4">
        <f>SUM(G1677:I1677)</f>
        <v>5957</v>
      </c>
      <c r="K1677" t="s">
        <v>1659</v>
      </c>
      <c r="L1677" t="s">
        <v>1659</v>
      </c>
      <c r="M1677" t="s">
        <v>1253</v>
      </c>
      <c r="N1677" t="s">
        <v>1132</v>
      </c>
      <c r="O1677" t="s">
        <v>1132</v>
      </c>
      <c r="P1677" t="str">
        <f>IFERROR(VLOOKUP(F1677,Sheet1!$A$2:$B$54,2,FALSE),"")</f>
        <v/>
      </c>
    </row>
    <row r="1678" spans="1:16" x14ac:dyDescent="0.2">
      <c r="A1678" s="1">
        <v>2017</v>
      </c>
      <c r="B1678" t="s">
        <v>204</v>
      </c>
      <c r="C1678" s="10" t="s">
        <v>1678</v>
      </c>
      <c r="D1678" s="10" t="s">
        <v>1679</v>
      </c>
      <c r="E1678" s="10" t="s">
        <v>1682</v>
      </c>
      <c r="F1678" t="s">
        <v>701</v>
      </c>
      <c r="G1678" s="4">
        <v>9442</v>
      </c>
      <c r="H1678" s="4"/>
      <c r="I1678" s="4"/>
      <c r="J1678" s="4">
        <f>SUM(G1678:I1678)</f>
        <v>9442</v>
      </c>
      <c r="K1678" t="s">
        <v>1659</v>
      </c>
      <c r="L1678" t="s">
        <v>1659</v>
      </c>
      <c r="M1678" t="s">
        <v>1253</v>
      </c>
      <c r="N1678" t="s">
        <v>1132</v>
      </c>
      <c r="O1678" t="s">
        <v>1132</v>
      </c>
      <c r="P1678" t="str">
        <f>IFERROR(VLOOKUP(F1678,Sheet1!$A$2:$B$54,2,FALSE),"")</f>
        <v/>
      </c>
    </row>
    <row r="1679" spans="1:16" x14ac:dyDescent="0.2">
      <c r="A1679" s="1">
        <v>2018</v>
      </c>
      <c r="B1679" t="s">
        <v>204</v>
      </c>
      <c r="C1679" s="10" t="s">
        <v>1678</v>
      </c>
      <c r="D1679" s="10" t="s">
        <v>1679</v>
      </c>
      <c r="E1679" s="10" t="s">
        <v>1682</v>
      </c>
      <c r="F1679" t="s">
        <v>701</v>
      </c>
      <c r="G1679" s="4">
        <v>18529</v>
      </c>
      <c r="H1679" s="4"/>
      <c r="I1679" s="4"/>
      <c r="J1679" s="4">
        <f>SUM(G1679:I1679)</f>
        <v>18529</v>
      </c>
      <c r="K1679" t="s">
        <v>1659</v>
      </c>
      <c r="L1679" t="s">
        <v>1659</v>
      </c>
      <c r="M1679" t="s">
        <v>1253</v>
      </c>
      <c r="N1679" t="s">
        <v>1132</v>
      </c>
      <c r="O1679" t="s">
        <v>1132</v>
      </c>
      <c r="P1679" t="str">
        <f>IFERROR(VLOOKUP(F1679,Sheet1!$A$2:$B$54,2,FALSE),"")</f>
        <v/>
      </c>
    </row>
    <row r="1680" spans="1:16" x14ac:dyDescent="0.2">
      <c r="A1680" s="1">
        <v>2019</v>
      </c>
      <c r="B1680" t="s">
        <v>204</v>
      </c>
      <c r="C1680" s="10" t="s">
        <v>1678</v>
      </c>
      <c r="D1680" s="10" t="s">
        <v>1679</v>
      </c>
      <c r="E1680" s="10" t="s">
        <v>1682</v>
      </c>
      <c r="F1680" t="s">
        <v>701</v>
      </c>
      <c r="G1680" s="4">
        <v>23818</v>
      </c>
      <c r="H1680" s="4"/>
      <c r="I1680" s="4"/>
      <c r="J1680" s="4">
        <f>SUM(G1680:I1680)</f>
        <v>23818</v>
      </c>
      <c r="K1680" t="s">
        <v>1659</v>
      </c>
      <c r="L1680" t="s">
        <v>1659</v>
      </c>
      <c r="M1680" t="s">
        <v>1253</v>
      </c>
      <c r="N1680" t="s">
        <v>1132</v>
      </c>
      <c r="O1680" t="s">
        <v>1132</v>
      </c>
      <c r="P1680" t="str">
        <f>IFERROR(VLOOKUP(F1680,Sheet1!$A$2:$B$54,2,FALSE),"")</f>
        <v/>
      </c>
    </row>
    <row r="1681" spans="1:16" x14ac:dyDescent="0.2">
      <c r="A1681" s="1">
        <v>2020</v>
      </c>
      <c r="B1681" t="s">
        <v>204</v>
      </c>
      <c r="C1681" s="10" t="s">
        <v>1678</v>
      </c>
      <c r="D1681" s="10" t="s">
        <v>1679</v>
      </c>
      <c r="E1681" s="10" t="s">
        <v>1682</v>
      </c>
      <c r="F1681" t="s">
        <v>701</v>
      </c>
      <c r="G1681" s="4">
        <v>24371</v>
      </c>
      <c r="H1681" s="4"/>
      <c r="I1681" s="4"/>
      <c r="J1681" s="4">
        <f>SUM(G1681:I1681)</f>
        <v>24371</v>
      </c>
      <c r="K1681" t="s">
        <v>1659</v>
      </c>
      <c r="L1681" t="s">
        <v>1659</v>
      </c>
      <c r="M1681" t="s">
        <v>1253</v>
      </c>
      <c r="N1681" t="s">
        <v>1132</v>
      </c>
      <c r="O1681" t="s">
        <v>1132</v>
      </c>
      <c r="P1681" t="str">
        <f>IFERROR(VLOOKUP(F1681,Sheet1!$A$2:$B$54,2,FALSE),"")</f>
        <v/>
      </c>
    </row>
    <row r="1682" spans="1:16" x14ac:dyDescent="0.2">
      <c r="A1682" s="1">
        <v>2021</v>
      </c>
      <c r="B1682" t="s">
        <v>204</v>
      </c>
      <c r="C1682" s="10" t="s">
        <v>1678</v>
      </c>
      <c r="D1682" s="10" t="s">
        <v>1679</v>
      </c>
      <c r="E1682" s="10" t="s">
        <v>1682</v>
      </c>
      <c r="F1682" t="s">
        <v>701</v>
      </c>
      <c r="G1682" s="4">
        <v>28123</v>
      </c>
      <c r="H1682" s="4"/>
      <c r="I1682" s="4"/>
      <c r="J1682" s="4">
        <f>SUM(G1682:I1682)</f>
        <v>28123</v>
      </c>
      <c r="K1682" t="s">
        <v>1659</v>
      </c>
      <c r="L1682" t="s">
        <v>1659</v>
      </c>
      <c r="M1682" t="s">
        <v>701</v>
      </c>
      <c r="N1682" t="s">
        <v>1132</v>
      </c>
      <c r="O1682" t="s">
        <v>1132</v>
      </c>
      <c r="P1682" t="str">
        <f>IFERROR(VLOOKUP(F1682,Sheet1!$A$2:$B$54,2,FALSE),"")</f>
        <v/>
      </c>
    </row>
    <row r="1683" spans="1:16" x14ac:dyDescent="0.2">
      <c r="A1683" s="1">
        <v>2022</v>
      </c>
      <c r="B1683" t="s">
        <v>204</v>
      </c>
      <c r="C1683" s="10" t="s">
        <v>1678</v>
      </c>
      <c r="D1683" s="10" t="s">
        <v>1679</v>
      </c>
      <c r="E1683" s="10" t="s">
        <v>1682</v>
      </c>
      <c r="F1683" t="s">
        <v>701</v>
      </c>
      <c r="G1683" s="4">
        <v>34502</v>
      </c>
      <c r="H1683" s="4"/>
      <c r="I1683" s="4"/>
      <c r="J1683" s="4">
        <f>SUM(G1683:I1683)</f>
        <v>34502</v>
      </c>
      <c r="K1683" t="s">
        <v>1659</v>
      </c>
      <c r="L1683" t="s">
        <v>1659</v>
      </c>
      <c r="M1683" t="s">
        <v>701</v>
      </c>
      <c r="N1683" t="s">
        <v>1132</v>
      </c>
      <c r="O1683" t="s">
        <v>1132</v>
      </c>
      <c r="P1683" t="str">
        <f>IFERROR(VLOOKUP(F1683,Sheet1!$A$2:$B$54,2,FALSE),"")</f>
        <v/>
      </c>
    </row>
    <row r="1684" spans="1:16" x14ac:dyDescent="0.2">
      <c r="A1684" s="1">
        <v>2023</v>
      </c>
      <c r="B1684" t="s">
        <v>204</v>
      </c>
      <c r="C1684" s="10" t="s">
        <v>1678</v>
      </c>
      <c r="D1684" s="10" t="s">
        <v>1679</v>
      </c>
      <c r="E1684" s="10" t="s">
        <v>1682</v>
      </c>
      <c r="F1684" t="s">
        <v>701</v>
      </c>
      <c r="G1684" s="4">
        <v>24181</v>
      </c>
      <c r="H1684" s="4"/>
      <c r="I1684" s="4"/>
      <c r="J1684" s="4">
        <f>SUM(G1684:I1684)</f>
        <v>24181</v>
      </c>
      <c r="K1684" t="s">
        <v>1659</v>
      </c>
      <c r="L1684" t="s">
        <v>1659</v>
      </c>
      <c r="M1684" t="s">
        <v>701</v>
      </c>
      <c r="N1684" t="s">
        <v>1132</v>
      </c>
      <c r="O1684" t="s">
        <v>1132</v>
      </c>
      <c r="P1684" t="str">
        <f>IFERROR(VLOOKUP(F1684,Sheet1!$A$2:$B$54,2,FALSE),"")</f>
        <v/>
      </c>
    </row>
    <row r="1685" spans="1:16" x14ac:dyDescent="0.2">
      <c r="A1685" s="1">
        <v>2015</v>
      </c>
      <c r="B1685" t="s">
        <v>205</v>
      </c>
      <c r="C1685" s="10" t="s">
        <v>1678</v>
      </c>
      <c r="D1685" s="10" t="s">
        <v>1679</v>
      </c>
      <c r="E1685" s="10" t="s">
        <v>1682</v>
      </c>
      <c r="F1685" t="s">
        <v>702</v>
      </c>
      <c r="G1685" s="4">
        <v>6040</v>
      </c>
      <c r="H1685" s="4"/>
      <c r="I1685" s="4"/>
      <c r="J1685" s="4">
        <f>SUM(G1685:I1685)</f>
        <v>6040</v>
      </c>
      <c r="K1685" t="s">
        <v>1659</v>
      </c>
      <c r="L1685" t="s">
        <v>1659</v>
      </c>
      <c r="M1685" t="s">
        <v>1254</v>
      </c>
      <c r="N1685" t="s">
        <v>1132</v>
      </c>
      <c r="O1685" t="s">
        <v>1132</v>
      </c>
      <c r="P1685" t="str">
        <f>IFERROR(VLOOKUP(F1685,Sheet1!$A$2:$B$54,2,FALSE),"")</f>
        <v/>
      </c>
    </row>
    <row r="1686" spans="1:16" x14ac:dyDescent="0.2">
      <c r="A1686" s="1">
        <v>2016</v>
      </c>
      <c r="B1686" t="s">
        <v>205</v>
      </c>
      <c r="C1686" s="10" t="s">
        <v>1678</v>
      </c>
      <c r="D1686" s="10" t="s">
        <v>1679</v>
      </c>
      <c r="E1686" s="10" t="s">
        <v>1682</v>
      </c>
      <c r="F1686" t="s">
        <v>702</v>
      </c>
      <c r="G1686" s="4">
        <v>7878</v>
      </c>
      <c r="H1686" s="4"/>
      <c r="I1686" s="4"/>
      <c r="J1686" s="4">
        <f>SUM(G1686:I1686)</f>
        <v>7878</v>
      </c>
      <c r="K1686" t="s">
        <v>1659</v>
      </c>
      <c r="L1686" t="s">
        <v>1659</v>
      </c>
      <c r="M1686" t="s">
        <v>1254</v>
      </c>
      <c r="N1686" t="s">
        <v>1132</v>
      </c>
      <c r="O1686" t="s">
        <v>1132</v>
      </c>
      <c r="P1686" t="str">
        <f>IFERROR(VLOOKUP(F1686,Sheet1!$A$2:$B$54,2,FALSE),"")</f>
        <v/>
      </c>
    </row>
    <row r="1687" spans="1:16" x14ac:dyDescent="0.2">
      <c r="A1687" s="1">
        <v>2017</v>
      </c>
      <c r="B1687" t="s">
        <v>205</v>
      </c>
      <c r="C1687" s="10" t="s">
        <v>1678</v>
      </c>
      <c r="D1687" s="10" t="s">
        <v>1679</v>
      </c>
      <c r="E1687" s="10" t="s">
        <v>1682</v>
      </c>
      <c r="F1687" t="s">
        <v>702</v>
      </c>
      <c r="G1687" s="4">
        <v>18640</v>
      </c>
      <c r="H1687" s="4"/>
      <c r="I1687" s="4"/>
      <c r="J1687" s="4">
        <f>SUM(G1687:I1687)</f>
        <v>18640</v>
      </c>
      <c r="K1687" t="s">
        <v>1659</v>
      </c>
      <c r="L1687" t="s">
        <v>1659</v>
      </c>
      <c r="M1687" t="s">
        <v>1254</v>
      </c>
      <c r="N1687" t="s">
        <v>1132</v>
      </c>
      <c r="O1687" t="s">
        <v>1132</v>
      </c>
      <c r="P1687" t="str">
        <f>IFERROR(VLOOKUP(F1687,Sheet1!$A$2:$B$54,2,FALSE),"")</f>
        <v/>
      </c>
    </row>
    <row r="1688" spans="1:16" x14ac:dyDescent="0.2">
      <c r="A1688" s="1">
        <v>2018</v>
      </c>
      <c r="B1688" t="s">
        <v>205</v>
      </c>
      <c r="C1688" s="10" t="s">
        <v>1678</v>
      </c>
      <c r="D1688" s="10" t="s">
        <v>1679</v>
      </c>
      <c r="E1688" s="10" t="s">
        <v>1682</v>
      </c>
      <c r="F1688" t="s">
        <v>702</v>
      </c>
      <c r="G1688" s="4">
        <v>26998</v>
      </c>
      <c r="H1688" s="4"/>
      <c r="I1688" s="4"/>
      <c r="J1688" s="4">
        <f>SUM(G1688:I1688)</f>
        <v>26998</v>
      </c>
      <c r="K1688" t="s">
        <v>1659</v>
      </c>
      <c r="L1688" t="s">
        <v>1659</v>
      </c>
      <c r="M1688" t="s">
        <v>1254</v>
      </c>
      <c r="N1688" t="s">
        <v>1132</v>
      </c>
      <c r="O1688" t="s">
        <v>1132</v>
      </c>
      <c r="P1688" t="str">
        <f>IFERROR(VLOOKUP(F1688,Sheet1!$A$2:$B$54,2,FALSE),"")</f>
        <v/>
      </c>
    </row>
    <row r="1689" spans="1:16" x14ac:dyDescent="0.2">
      <c r="A1689" s="1">
        <v>2019</v>
      </c>
      <c r="B1689" t="s">
        <v>205</v>
      </c>
      <c r="C1689" s="10" t="s">
        <v>1678</v>
      </c>
      <c r="D1689" s="10" t="s">
        <v>1679</v>
      </c>
      <c r="E1689" s="10" t="s">
        <v>1682</v>
      </c>
      <c r="F1689" t="s">
        <v>702</v>
      </c>
      <c r="G1689" s="4">
        <v>38670</v>
      </c>
      <c r="H1689" s="4"/>
      <c r="I1689" s="4"/>
      <c r="J1689" s="4">
        <f>SUM(G1689:I1689)</f>
        <v>38670</v>
      </c>
      <c r="K1689" t="s">
        <v>1659</v>
      </c>
      <c r="L1689" t="s">
        <v>1659</v>
      </c>
      <c r="M1689" t="s">
        <v>1254</v>
      </c>
      <c r="N1689" t="s">
        <v>1132</v>
      </c>
      <c r="O1689" t="s">
        <v>1132</v>
      </c>
      <c r="P1689" t="str">
        <f>IFERROR(VLOOKUP(F1689,Sheet1!$A$2:$B$54,2,FALSE),"")</f>
        <v/>
      </c>
    </row>
    <row r="1690" spans="1:16" x14ac:dyDescent="0.2">
      <c r="A1690" s="1">
        <v>2020</v>
      </c>
      <c r="B1690" t="s">
        <v>205</v>
      </c>
      <c r="C1690" s="10" t="s">
        <v>1678</v>
      </c>
      <c r="D1690" s="10" t="s">
        <v>1679</v>
      </c>
      <c r="E1690" s="10" t="s">
        <v>1682</v>
      </c>
      <c r="F1690" t="s">
        <v>702</v>
      </c>
      <c r="G1690" s="4">
        <v>40128</v>
      </c>
      <c r="H1690" s="4"/>
      <c r="I1690" s="4"/>
      <c r="J1690" s="4">
        <f>SUM(G1690:I1690)</f>
        <v>40128</v>
      </c>
      <c r="K1690" t="s">
        <v>1659</v>
      </c>
      <c r="L1690" t="s">
        <v>1659</v>
      </c>
      <c r="M1690" t="s">
        <v>1254</v>
      </c>
      <c r="N1690" t="s">
        <v>1132</v>
      </c>
      <c r="O1690" t="s">
        <v>1132</v>
      </c>
      <c r="P1690" t="str">
        <f>IFERROR(VLOOKUP(F1690,Sheet1!$A$2:$B$54,2,FALSE),"")</f>
        <v/>
      </c>
    </row>
    <row r="1691" spans="1:16" x14ac:dyDescent="0.2">
      <c r="A1691" s="1">
        <v>2021</v>
      </c>
      <c r="B1691" t="s">
        <v>205</v>
      </c>
      <c r="C1691" s="10" t="s">
        <v>1678</v>
      </c>
      <c r="D1691" s="10" t="s">
        <v>1679</v>
      </c>
      <c r="E1691" s="10" t="s">
        <v>1682</v>
      </c>
      <c r="F1691" t="s">
        <v>702</v>
      </c>
      <c r="G1691" s="4">
        <v>50135</v>
      </c>
      <c r="H1691" s="4"/>
      <c r="I1691" s="4"/>
      <c r="J1691" s="4">
        <f>SUM(G1691:I1691)</f>
        <v>50135</v>
      </c>
      <c r="K1691" t="s">
        <v>1659</v>
      </c>
      <c r="L1691" t="s">
        <v>1659</v>
      </c>
      <c r="M1691" t="s">
        <v>702</v>
      </c>
      <c r="N1691" t="s">
        <v>1132</v>
      </c>
      <c r="O1691" t="s">
        <v>1132</v>
      </c>
      <c r="P1691" t="str">
        <f>IFERROR(VLOOKUP(F1691,Sheet1!$A$2:$B$54,2,FALSE),"")</f>
        <v/>
      </c>
    </row>
    <row r="1692" spans="1:16" x14ac:dyDescent="0.2">
      <c r="A1692" s="1">
        <v>2022</v>
      </c>
      <c r="B1692" t="s">
        <v>205</v>
      </c>
      <c r="C1692" s="10" t="s">
        <v>1678</v>
      </c>
      <c r="D1692" s="10" t="s">
        <v>1679</v>
      </c>
      <c r="E1692" s="10" t="s">
        <v>1682</v>
      </c>
      <c r="F1692" t="s">
        <v>702</v>
      </c>
      <c r="G1692" s="4">
        <v>86987</v>
      </c>
      <c r="H1692" s="4"/>
      <c r="I1692" s="4"/>
      <c r="J1692" s="4">
        <f>SUM(G1692:I1692)</f>
        <v>86987</v>
      </c>
      <c r="K1692" t="s">
        <v>1659</v>
      </c>
      <c r="L1692" t="s">
        <v>1659</v>
      </c>
      <c r="M1692" t="s">
        <v>702</v>
      </c>
      <c r="N1692" t="s">
        <v>1132</v>
      </c>
      <c r="O1692" t="s">
        <v>1132</v>
      </c>
      <c r="P1692" t="str">
        <f>IFERROR(VLOOKUP(F1692,Sheet1!$A$2:$B$54,2,FALSE),"")</f>
        <v/>
      </c>
    </row>
    <row r="1693" spans="1:16" x14ac:dyDescent="0.2">
      <c r="A1693" s="1">
        <v>2023</v>
      </c>
      <c r="B1693" t="s">
        <v>205</v>
      </c>
      <c r="C1693" s="10" t="s">
        <v>1678</v>
      </c>
      <c r="D1693" s="10" t="s">
        <v>1679</v>
      </c>
      <c r="E1693" s="10" t="s">
        <v>1682</v>
      </c>
      <c r="F1693" t="s">
        <v>702</v>
      </c>
      <c r="G1693" s="4">
        <v>125991</v>
      </c>
      <c r="H1693" s="4"/>
      <c r="I1693" s="4"/>
      <c r="J1693" s="4">
        <f>SUM(G1693:I1693)</f>
        <v>125991</v>
      </c>
      <c r="K1693" t="s">
        <v>1659</v>
      </c>
      <c r="L1693" t="s">
        <v>1659</v>
      </c>
      <c r="M1693" t="s">
        <v>702</v>
      </c>
      <c r="N1693" t="s">
        <v>1132</v>
      </c>
      <c r="O1693" t="s">
        <v>1132</v>
      </c>
      <c r="P1693" t="str">
        <f>IFERROR(VLOOKUP(F1693,Sheet1!$A$2:$B$54,2,FALSE),"")</f>
        <v/>
      </c>
    </row>
    <row r="1694" spans="1:16" x14ac:dyDescent="0.2">
      <c r="A1694" s="1">
        <v>2017</v>
      </c>
      <c r="B1694" t="s">
        <v>206</v>
      </c>
      <c r="C1694" s="10" t="s">
        <v>1678</v>
      </c>
      <c r="D1694" s="10" t="s">
        <v>1679</v>
      </c>
      <c r="E1694" s="10" t="s">
        <v>1682</v>
      </c>
      <c r="F1694" t="s">
        <v>703</v>
      </c>
      <c r="G1694" s="4">
        <v>2599</v>
      </c>
      <c r="H1694" s="4"/>
      <c r="I1694" s="4"/>
      <c r="J1694" s="4">
        <f>SUM(G1694:I1694)</f>
        <v>2599</v>
      </c>
      <c r="K1694" t="s">
        <v>1659</v>
      </c>
      <c r="L1694" t="s">
        <v>1659</v>
      </c>
      <c r="M1694" t="s">
        <v>1255</v>
      </c>
      <c r="N1694" t="s">
        <v>1132</v>
      </c>
      <c r="O1694" t="s">
        <v>1132</v>
      </c>
      <c r="P1694" t="str">
        <f>IFERROR(VLOOKUP(F1694,Sheet1!$A$2:$B$54,2,FALSE),"")</f>
        <v/>
      </c>
    </row>
    <row r="1695" spans="1:16" x14ac:dyDescent="0.2">
      <c r="A1695" s="1">
        <v>2018</v>
      </c>
      <c r="B1695" t="s">
        <v>206</v>
      </c>
      <c r="C1695" s="10" t="s">
        <v>1678</v>
      </c>
      <c r="D1695" s="10" t="s">
        <v>1679</v>
      </c>
      <c r="E1695" s="10" t="s">
        <v>1682</v>
      </c>
      <c r="F1695" t="s">
        <v>703</v>
      </c>
      <c r="G1695" s="4">
        <v>3419</v>
      </c>
      <c r="H1695" s="4"/>
      <c r="I1695" s="4"/>
      <c r="J1695" s="4">
        <f>SUM(G1695:I1695)</f>
        <v>3419</v>
      </c>
      <c r="K1695" t="s">
        <v>1659</v>
      </c>
      <c r="L1695" t="s">
        <v>1659</v>
      </c>
      <c r="M1695" t="s">
        <v>1255</v>
      </c>
      <c r="N1695" t="s">
        <v>1132</v>
      </c>
      <c r="O1695" t="s">
        <v>1132</v>
      </c>
      <c r="P1695" t="str">
        <f>IFERROR(VLOOKUP(F1695,Sheet1!$A$2:$B$54,2,FALSE),"")</f>
        <v/>
      </c>
    </row>
    <row r="1696" spans="1:16" x14ac:dyDescent="0.2">
      <c r="A1696" s="1">
        <v>2019</v>
      </c>
      <c r="B1696" t="s">
        <v>206</v>
      </c>
      <c r="C1696" s="10" t="s">
        <v>1678</v>
      </c>
      <c r="D1696" s="10" t="s">
        <v>1679</v>
      </c>
      <c r="E1696" s="10" t="s">
        <v>1682</v>
      </c>
      <c r="F1696" t="s">
        <v>703</v>
      </c>
      <c r="G1696" s="4">
        <v>5234</v>
      </c>
      <c r="H1696" s="4"/>
      <c r="I1696" s="4"/>
      <c r="J1696" s="4">
        <f>SUM(G1696:I1696)</f>
        <v>5234</v>
      </c>
      <c r="K1696" t="s">
        <v>1659</v>
      </c>
      <c r="L1696" t="s">
        <v>1659</v>
      </c>
      <c r="M1696" t="s">
        <v>1255</v>
      </c>
      <c r="N1696" t="s">
        <v>1132</v>
      </c>
      <c r="O1696" t="s">
        <v>1132</v>
      </c>
      <c r="P1696" t="str">
        <f>IFERROR(VLOOKUP(F1696,Sheet1!$A$2:$B$54,2,FALSE),"")</f>
        <v/>
      </c>
    </row>
    <row r="1697" spans="1:16" x14ac:dyDescent="0.2">
      <c r="A1697" s="1">
        <v>2020</v>
      </c>
      <c r="B1697" t="s">
        <v>206</v>
      </c>
      <c r="C1697" s="10" t="s">
        <v>1678</v>
      </c>
      <c r="D1697" s="10" t="s">
        <v>1679</v>
      </c>
      <c r="E1697" s="10" t="s">
        <v>1682</v>
      </c>
      <c r="F1697" t="s">
        <v>703</v>
      </c>
      <c r="G1697" s="4">
        <v>10293</v>
      </c>
      <c r="H1697" s="4"/>
      <c r="I1697" s="4"/>
      <c r="J1697" s="4">
        <f>SUM(G1697:I1697)</f>
        <v>10293</v>
      </c>
      <c r="K1697" t="s">
        <v>1659</v>
      </c>
      <c r="L1697" t="s">
        <v>1659</v>
      </c>
      <c r="M1697" t="s">
        <v>1255</v>
      </c>
      <c r="N1697" t="s">
        <v>1132</v>
      </c>
      <c r="O1697" t="s">
        <v>1132</v>
      </c>
      <c r="P1697" t="str">
        <f>IFERROR(VLOOKUP(F1697,Sheet1!$A$2:$B$54,2,FALSE),"")</f>
        <v/>
      </c>
    </row>
    <row r="1698" spans="1:16" x14ac:dyDescent="0.2">
      <c r="A1698" s="1">
        <v>2021</v>
      </c>
      <c r="B1698" t="s">
        <v>206</v>
      </c>
      <c r="C1698" s="10" t="s">
        <v>1678</v>
      </c>
      <c r="D1698" s="10" t="s">
        <v>1679</v>
      </c>
      <c r="E1698" s="10" t="s">
        <v>1682</v>
      </c>
      <c r="F1698" t="s">
        <v>703</v>
      </c>
      <c r="G1698" s="4">
        <v>12942</v>
      </c>
      <c r="H1698" s="4"/>
      <c r="I1698" s="4"/>
      <c r="J1698" s="4">
        <f>SUM(G1698:I1698)</f>
        <v>12942</v>
      </c>
      <c r="K1698" t="s">
        <v>1659</v>
      </c>
      <c r="L1698" t="s">
        <v>1659</v>
      </c>
      <c r="M1698" t="s">
        <v>703</v>
      </c>
      <c r="N1698" t="s">
        <v>1132</v>
      </c>
      <c r="O1698" t="s">
        <v>1132</v>
      </c>
      <c r="P1698" t="str">
        <f>IFERROR(VLOOKUP(F1698,Sheet1!$A$2:$B$54,2,FALSE),"")</f>
        <v/>
      </c>
    </row>
    <row r="1699" spans="1:16" x14ac:dyDescent="0.2">
      <c r="A1699" s="1">
        <v>2022</v>
      </c>
      <c r="B1699" t="s">
        <v>206</v>
      </c>
      <c r="C1699" s="10" t="s">
        <v>1678</v>
      </c>
      <c r="D1699" s="10" t="s">
        <v>1679</v>
      </c>
      <c r="E1699" s="10" t="s">
        <v>1682</v>
      </c>
      <c r="F1699" t="s">
        <v>703</v>
      </c>
      <c r="G1699" s="4">
        <v>18876</v>
      </c>
      <c r="H1699" s="4"/>
      <c r="I1699" s="4"/>
      <c r="J1699" s="4">
        <f>SUM(G1699:I1699)</f>
        <v>18876</v>
      </c>
      <c r="K1699" t="s">
        <v>1659</v>
      </c>
      <c r="L1699" t="s">
        <v>1659</v>
      </c>
      <c r="M1699" t="s">
        <v>703</v>
      </c>
      <c r="N1699" t="s">
        <v>1132</v>
      </c>
      <c r="O1699" t="s">
        <v>1132</v>
      </c>
      <c r="P1699" t="str">
        <f>IFERROR(VLOOKUP(F1699,Sheet1!$A$2:$B$54,2,FALSE),"")</f>
        <v/>
      </c>
    </row>
    <row r="1700" spans="1:16" x14ac:dyDescent="0.2">
      <c r="A1700" s="1">
        <v>2023</v>
      </c>
      <c r="B1700" t="s">
        <v>206</v>
      </c>
      <c r="C1700" s="10" t="s">
        <v>1678</v>
      </c>
      <c r="D1700" s="10" t="s">
        <v>1679</v>
      </c>
      <c r="E1700" s="10" t="s">
        <v>1682</v>
      </c>
      <c r="F1700" t="s">
        <v>703</v>
      </c>
      <c r="G1700" s="4">
        <v>22497</v>
      </c>
      <c r="H1700" s="4"/>
      <c r="I1700" s="4"/>
      <c r="J1700" s="4">
        <f>SUM(G1700:I1700)</f>
        <v>22497</v>
      </c>
      <c r="K1700" t="s">
        <v>1659</v>
      </c>
      <c r="L1700" t="s">
        <v>1659</v>
      </c>
      <c r="M1700" t="s">
        <v>703</v>
      </c>
      <c r="N1700" t="s">
        <v>1132</v>
      </c>
      <c r="O1700" t="s">
        <v>1132</v>
      </c>
      <c r="P1700" t="str">
        <f>IFERROR(VLOOKUP(F1700,Sheet1!$A$2:$B$54,2,FALSE),"")</f>
        <v/>
      </c>
    </row>
    <row r="1701" spans="1:16" x14ac:dyDescent="0.2">
      <c r="A1701" s="1">
        <v>2019</v>
      </c>
      <c r="B1701" t="s">
        <v>207</v>
      </c>
      <c r="C1701" s="10" t="s">
        <v>1678</v>
      </c>
      <c r="D1701" s="10" t="s">
        <v>1679</v>
      </c>
      <c r="E1701" s="10" t="s">
        <v>1682</v>
      </c>
      <c r="F1701" t="s">
        <v>704</v>
      </c>
      <c r="G1701" s="4">
        <v>40</v>
      </c>
      <c r="H1701" s="4"/>
      <c r="I1701" s="4"/>
      <c r="J1701" s="4">
        <f>SUM(G1701:I1701)</f>
        <v>40</v>
      </c>
      <c r="K1701" t="s">
        <v>1659</v>
      </c>
      <c r="L1701" t="s">
        <v>1659</v>
      </c>
      <c r="M1701" t="s">
        <v>1256</v>
      </c>
      <c r="N1701" t="s">
        <v>1132</v>
      </c>
      <c r="O1701" t="s">
        <v>1132</v>
      </c>
      <c r="P1701" t="str">
        <f>IFERROR(VLOOKUP(F1701,Sheet1!$A$2:$B$54,2,FALSE),"")</f>
        <v/>
      </c>
    </row>
    <row r="1702" spans="1:16" x14ac:dyDescent="0.2">
      <c r="A1702" s="1">
        <v>2020</v>
      </c>
      <c r="B1702" t="s">
        <v>207</v>
      </c>
      <c r="C1702" s="10" t="s">
        <v>1678</v>
      </c>
      <c r="D1702" s="10" t="s">
        <v>1679</v>
      </c>
      <c r="E1702" s="10" t="s">
        <v>1682</v>
      </c>
      <c r="F1702" t="s">
        <v>704</v>
      </c>
      <c r="G1702" s="4">
        <v>1429</v>
      </c>
      <c r="H1702" s="4"/>
      <c r="I1702" s="4"/>
      <c r="J1702" s="4">
        <f>SUM(G1702:I1702)</f>
        <v>1429</v>
      </c>
      <c r="K1702" t="s">
        <v>1659</v>
      </c>
      <c r="L1702" t="s">
        <v>1659</v>
      </c>
      <c r="M1702" t="s">
        <v>1256</v>
      </c>
      <c r="N1702" t="s">
        <v>1132</v>
      </c>
      <c r="O1702" t="s">
        <v>1132</v>
      </c>
      <c r="P1702" t="str">
        <f>IFERROR(VLOOKUP(F1702,Sheet1!$A$2:$B$54,2,FALSE),"")</f>
        <v/>
      </c>
    </row>
    <row r="1703" spans="1:16" x14ac:dyDescent="0.2">
      <c r="A1703" s="1">
        <v>2021</v>
      </c>
      <c r="B1703" t="s">
        <v>207</v>
      </c>
      <c r="C1703" s="10" t="s">
        <v>1678</v>
      </c>
      <c r="D1703" s="10" t="s">
        <v>1679</v>
      </c>
      <c r="E1703" s="10" t="s">
        <v>1682</v>
      </c>
      <c r="F1703" t="s">
        <v>704</v>
      </c>
      <c r="G1703" s="4">
        <v>968</v>
      </c>
      <c r="H1703" s="4"/>
      <c r="I1703" s="4"/>
      <c r="J1703" s="4">
        <f>SUM(G1703:I1703)</f>
        <v>968</v>
      </c>
      <c r="K1703" t="s">
        <v>1659</v>
      </c>
      <c r="L1703" t="s">
        <v>1659</v>
      </c>
      <c r="M1703" t="s">
        <v>704</v>
      </c>
      <c r="N1703" t="s">
        <v>1132</v>
      </c>
      <c r="O1703" t="s">
        <v>1132</v>
      </c>
      <c r="P1703" t="str">
        <f>IFERROR(VLOOKUP(F1703,Sheet1!$A$2:$B$54,2,FALSE),"")</f>
        <v/>
      </c>
    </row>
    <row r="1704" spans="1:16" x14ac:dyDescent="0.2">
      <c r="A1704" s="1">
        <v>2022</v>
      </c>
      <c r="B1704" t="s">
        <v>207</v>
      </c>
      <c r="C1704" s="10" t="s">
        <v>1678</v>
      </c>
      <c r="D1704" s="10" t="s">
        <v>1679</v>
      </c>
      <c r="E1704" s="10" t="s">
        <v>1682</v>
      </c>
      <c r="F1704" t="s">
        <v>704</v>
      </c>
      <c r="G1704" s="4">
        <v>159</v>
      </c>
      <c r="H1704" s="4"/>
      <c r="I1704" s="4"/>
      <c r="J1704" s="4">
        <f>SUM(G1704:I1704)</f>
        <v>159</v>
      </c>
      <c r="K1704" t="s">
        <v>1659</v>
      </c>
      <c r="L1704" t="s">
        <v>1659</v>
      </c>
      <c r="M1704" t="s">
        <v>704</v>
      </c>
      <c r="N1704" t="s">
        <v>1132</v>
      </c>
      <c r="O1704" t="s">
        <v>1132</v>
      </c>
      <c r="P1704" t="str">
        <f>IFERROR(VLOOKUP(F1704,Sheet1!$A$2:$B$54,2,FALSE),"")</f>
        <v/>
      </c>
    </row>
    <row r="1705" spans="1:16" x14ac:dyDescent="0.2">
      <c r="A1705" s="1">
        <v>2023</v>
      </c>
      <c r="B1705" t="s">
        <v>207</v>
      </c>
      <c r="C1705" s="10" t="s">
        <v>1678</v>
      </c>
      <c r="D1705" s="10" t="s">
        <v>1679</v>
      </c>
      <c r="E1705" s="10" t="s">
        <v>1682</v>
      </c>
      <c r="F1705" t="s">
        <v>704</v>
      </c>
      <c r="G1705" s="4">
        <v>4455</v>
      </c>
      <c r="H1705" s="4"/>
      <c r="I1705" s="4"/>
      <c r="J1705" s="4">
        <f>SUM(G1705:I1705)</f>
        <v>4455</v>
      </c>
      <c r="K1705" t="s">
        <v>1659</v>
      </c>
      <c r="L1705" t="s">
        <v>1659</v>
      </c>
      <c r="M1705" t="s">
        <v>704</v>
      </c>
      <c r="N1705" t="s">
        <v>1132</v>
      </c>
      <c r="O1705" t="s">
        <v>1132</v>
      </c>
      <c r="P1705" t="str">
        <f>IFERROR(VLOOKUP(F1705,Sheet1!$A$2:$B$54,2,FALSE),"")</f>
        <v/>
      </c>
    </row>
    <row r="1706" spans="1:16" x14ac:dyDescent="0.2">
      <c r="A1706" s="1">
        <v>2015</v>
      </c>
      <c r="B1706" t="s">
        <v>208</v>
      </c>
      <c r="C1706" s="10" t="s">
        <v>1678</v>
      </c>
      <c r="D1706" s="10" t="s">
        <v>1679</v>
      </c>
      <c r="E1706" s="10" t="s">
        <v>1682</v>
      </c>
      <c r="F1706" t="s">
        <v>705</v>
      </c>
      <c r="G1706" s="4">
        <v>21507</v>
      </c>
      <c r="H1706" s="4"/>
      <c r="I1706" s="4"/>
      <c r="J1706" s="4">
        <f>SUM(G1706:I1706)</f>
        <v>21507</v>
      </c>
      <c r="K1706" t="s">
        <v>1659</v>
      </c>
      <c r="L1706" t="s">
        <v>1659</v>
      </c>
      <c r="M1706" t="s">
        <v>1257</v>
      </c>
      <c r="N1706" t="s">
        <v>1132</v>
      </c>
      <c r="O1706" t="s">
        <v>1132</v>
      </c>
      <c r="P1706" t="str">
        <f>IFERROR(VLOOKUP(F1706,Sheet1!$A$2:$B$54,2,FALSE),"")</f>
        <v/>
      </c>
    </row>
    <row r="1707" spans="1:16" x14ac:dyDescent="0.2">
      <c r="A1707" s="1">
        <v>2016</v>
      </c>
      <c r="B1707" t="s">
        <v>208</v>
      </c>
      <c r="C1707" s="10" t="s">
        <v>1678</v>
      </c>
      <c r="D1707" s="10" t="s">
        <v>1679</v>
      </c>
      <c r="E1707" s="10" t="s">
        <v>1682</v>
      </c>
      <c r="F1707" t="s">
        <v>705</v>
      </c>
      <c r="G1707" s="4">
        <v>23869</v>
      </c>
      <c r="H1707" s="4"/>
      <c r="I1707" s="4"/>
      <c r="J1707" s="4">
        <f>SUM(G1707:I1707)</f>
        <v>23869</v>
      </c>
      <c r="K1707" t="s">
        <v>1659</v>
      </c>
      <c r="L1707" t="s">
        <v>1659</v>
      </c>
      <c r="M1707" t="s">
        <v>1257</v>
      </c>
      <c r="N1707" t="s">
        <v>1132</v>
      </c>
      <c r="O1707" t="s">
        <v>1132</v>
      </c>
      <c r="P1707" t="str">
        <f>IFERROR(VLOOKUP(F1707,Sheet1!$A$2:$B$54,2,FALSE),"")</f>
        <v/>
      </c>
    </row>
    <row r="1708" spans="1:16" x14ac:dyDescent="0.2">
      <c r="A1708" s="1">
        <v>2017</v>
      </c>
      <c r="B1708" t="s">
        <v>208</v>
      </c>
      <c r="C1708" s="10" t="s">
        <v>1678</v>
      </c>
      <c r="D1708" s="10" t="s">
        <v>1679</v>
      </c>
      <c r="E1708" s="10" t="s">
        <v>1682</v>
      </c>
      <c r="F1708" t="s">
        <v>705</v>
      </c>
      <c r="G1708" s="4">
        <v>35276</v>
      </c>
      <c r="H1708" s="4"/>
      <c r="I1708" s="4"/>
      <c r="J1708" s="4">
        <f>SUM(G1708:I1708)</f>
        <v>35276</v>
      </c>
      <c r="K1708" t="s">
        <v>1659</v>
      </c>
      <c r="L1708" t="s">
        <v>1659</v>
      </c>
      <c r="M1708" t="s">
        <v>1258</v>
      </c>
      <c r="N1708" t="s">
        <v>1132</v>
      </c>
      <c r="O1708" t="s">
        <v>1132</v>
      </c>
      <c r="P1708" t="str">
        <f>IFERROR(VLOOKUP(F1708,Sheet1!$A$2:$B$54,2,FALSE),"")</f>
        <v/>
      </c>
    </row>
    <row r="1709" spans="1:16" x14ac:dyDescent="0.2">
      <c r="A1709" s="1">
        <v>2018</v>
      </c>
      <c r="B1709" t="s">
        <v>208</v>
      </c>
      <c r="C1709" s="10" t="s">
        <v>1678</v>
      </c>
      <c r="D1709" s="10" t="s">
        <v>1679</v>
      </c>
      <c r="E1709" s="10" t="s">
        <v>1682</v>
      </c>
      <c r="F1709" t="s">
        <v>705</v>
      </c>
      <c r="G1709" s="4">
        <v>41368</v>
      </c>
      <c r="H1709" s="4"/>
      <c r="I1709" s="4"/>
      <c r="J1709" s="4">
        <f>SUM(G1709:I1709)</f>
        <v>41368</v>
      </c>
      <c r="K1709" t="s">
        <v>1659</v>
      </c>
      <c r="L1709" t="s">
        <v>1659</v>
      </c>
      <c r="M1709" t="s">
        <v>1258</v>
      </c>
      <c r="N1709" t="s">
        <v>1132</v>
      </c>
      <c r="O1709" t="s">
        <v>1132</v>
      </c>
      <c r="P1709" t="str">
        <f>IFERROR(VLOOKUP(F1709,Sheet1!$A$2:$B$54,2,FALSE),"")</f>
        <v/>
      </c>
    </row>
    <row r="1710" spans="1:16" x14ac:dyDescent="0.2">
      <c r="A1710" s="1">
        <v>2019</v>
      </c>
      <c r="B1710" t="s">
        <v>208</v>
      </c>
      <c r="C1710" s="10" t="s">
        <v>1678</v>
      </c>
      <c r="D1710" s="10" t="s">
        <v>1679</v>
      </c>
      <c r="E1710" s="10" t="s">
        <v>1682</v>
      </c>
      <c r="F1710" t="s">
        <v>705</v>
      </c>
      <c r="G1710" s="4">
        <v>61360</v>
      </c>
      <c r="H1710" s="4"/>
      <c r="I1710" s="4"/>
      <c r="J1710" s="4">
        <f>SUM(G1710:I1710)</f>
        <v>61360</v>
      </c>
      <c r="K1710" t="s">
        <v>1659</v>
      </c>
      <c r="L1710" t="s">
        <v>1659</v>
      </c>
      <c r="M1710" t="s">
        <v>1257</v>
      </c>
      <c r="N1710" t="s">
        <v>1132</v>
      </c>
      <c r="O1710" t="s">
        <v>1132</v>
      </c>
      <c r="P1710" t="str">
        <f>IFERROR(VLOOKUP(F1710,Sheet1!$A$2:$B$54,2,FALSE),"")</f>
        <v/>
      </c>
    </row>
    <row r="1711" spans="1:16" x14ac:dyDescent="0.2">
      <c r="A1711" s="1">
        <v>2020</v>
      </c>
      <c r="B1711" t="s">
        <v>208</v>
      </c>
      <c r="C1711" s="10" t="s">
        <v>1678</v>
      </c>
      <c r="D1711" s="10" t="s">
        <v>1679</v>
      </c>
      <c r="E1711" s="10" t="s">
        <v>1682</v>
      </c>
      <c r="F1711" t="s">
        <v>705</v>
      </c>
      <c r="G1711" s="4">
        <v>79436</v>
      </c>
      <c r="H1711" s="4"/>
      <c r="I1711" s="4"/>
      <c r="J1711" s="4">
        <f>SUM(G1711:I1711)</f>
        <v>79436</v>
      </c>
      <c r="K1711" t="s">
        <v>1659</v>
      </c>
      <c r="L1711" t="s">
        <v>1659</v>
      </c>
      <c r="M1711" t="s">
        <v>1259</v>
      </c>
      <c r="N1711" t="s">
        <v>1132</v>
      </c>
      <c r="O1711" t="s">
        <v>1132</v>
      </c>
      <c r="P1711" t="str">
        <f>IFERROR(VLOOKUP(F1711,Sheet1!$A$2:$B$54,2,FALSE),"")</f>
        <v/>
      </c>
    </row>
    <row r="1712" spans="1:16" x14ac:dyDescent="0.2">
      <c r="A1712" s="1">
        <v>2021</v>
      </c>
      <c r="B1712" t="s">
        <v>208</v>
      </c>
      <c r="C1712" s="10" t="s">
        <v>1678</v>
      </c>
      <c r="D1712" s="10" t="s">
        <v>1679</v>
      </c>
      <c r="E1712" s="10" t="s">
        <v>1682</v>
      </c>
      <c r="F1712" t="s">
        <v>705</v>
      </c>
      <c r="G1712" s="4">
        <v>102906</v>
      </c>
      <c r="H1712" s="4"/>
      <c r="I1712" s="4"/>
      <c r="J1712" s="4">
        <f>SUM(G1712:I1712)</f>
        <v>102906</v>
      </c>
      <c r="K1712" t="s">
        <v>1659</v>
      </c>
      <c r="L1712" t="s">
        <v>1659</v>
      </c>
      <c r="M1712" t="s">
        <v>705</v>
      </c>
      <c r="N1712" t="s">
        <v>1132</v>
      </c>
      <c r="O1712" t="s">
        <v>1132</v>
      </c>
      <c r="P1712" t="str">
        <f>IFERROR(VLOOKUP(F1712,Sheet1!$A$2:$B$54,2,FALSE),"")</f>
        <v/>
      </c>
    </row>
    <row r="1713" spans="1:16" x14ac:dyDescent="0.2">
      <c r="A1713" s="1">
        <v>2022</v>
      </c>
      <c r="B1713" t="s">
        <v>208</v>
      </c>
      <c r="C1713" s="10" t="s">
        <v>1678</v>
      </c>
      <c r="D1713" s="10" t="s">
        <v>1679</v>
      </c>
      <c r="E1713" s="10" t="s">
        <v>1682</v>
      </c>
      <c r="F1713" t="s">
        <v>705</v>
      </c>
      <c r="G1713" s="4">
        <v>161122</v>
      </c>
      <c r="H1713" s="4"/>
      <c r="I1713" s="4"/>
      <c r="J1713" s="4">
        <f>SUM(G1713:I1713)</f>
        <v>161122</v>
      </c>
      <c r="K1713" t="s">
        <v>1659</v>
      </c>
      <c r="L1713" t="s">
        <v>1659</v>
      </c>
      <c r="M1713" t="s">
        <v>705</v>
      </c>
      <c r="N1713" t="s">
        <v>1132</v>
      </c>
      <c r="O1713" t="s">
        <v>1132</v>
      </c>
      <c r="P1713" t="str">
        <f>IFERROR(VLOOKUP(F1713,Sheet1!$A$2:$B$54,2,FALSE),"")</f>
        <v/>
      </c>
    </row>
    <row r="1714" spans="1:16" x14ac:dyDescent="0.2">
      <c r="A1714" s="1">
        <v>2023</v>
      </c>
      <c r="B1714" t="s">
        <v>208</v>
      </c>
      <c r="C1714" s="10" t="s">
        <v>1678</v>
      </c>
      <c r="D1714" s="10" t="s">
        <v>1679</v>
      </c>
      <c r="E1714" s="10" t="s">
        <v>1682</v>
      </c>
      <c r="F1714" t="s">
        <v>705</v>
      </c>
      <c r="G1714" s="4">
        <v>192844</v>
      </c>
      <c r="H1714" s="4"/>
      <c r="I1714" s="4"/>
      <c r="J1714" s="4">
        <f>SUM(G1714:I1714)</f>
        <v>192844</v>
      </c>
      <c r="K1714" t="s">
        <v>1659</v>
      </c>
      <c r="L1714" t="s">
        <v>1659</v>
      </c>
      <c r="M1714" t="s">
        <v>705</v>
      </c>
      <c r="N1714" t="s">
        <v>1132</v>
      </c>
      <c r="O1714" t="s">
        <v>1132</v>
      </c>
      <c r="P1714" t="str">
        <f>IFERROR(VLOOKUP(F1714,Sheet1!$A$2:$B$54,2,FALSE),"")</f>
        <v/>
      </c>
    </row>
    <row r="1715" spans="1:16" x14ac:dyDescent="0.2">
      <c r="A1715" s="1">
        <v>2015</v>
      </c>
      <c r="B1715" t="s">
        <v>209</v>
      </c>
      <c r="C1715" s="10" t="s">
        <v>1678</v>
      </c>
      <c r="D1715" s="10" t="s">
        <v>1679</v>
      </c>
      <c r="E1715" s="10" t="s">
        <v>1682</v>
      </c>
      <c r="F1715" t="s">
        <v>706</v>
      </c>
      <c r="G1715" s="4">
        <v>57852</v>
      </c>
      <c r="H1715" s="4"/>
      <c r="I1715" s="4"/>
      <c r="J1715" s="4">
        <f>SUM(G1715:I1715)</f>
        <v>57852</v>
      </c>
      <c r="K1715" t="s">
        <v>1659</v>
      </c>
      <c r="L1715" t="s">
        <v>1659</v>
      </c>
      <c r="M1715" t="s">
        <v>1260</v>
      </c>
      <c r="N1715" t="s">
        <v>1132</v>
      </c>
      <c r="O1715" t="s">
        <v>1132</v>
      </c>
      <c r="P1715" t="str">
        <f>IFERROR(VLOOKUP(F1715,Sheet1!$A$2:$B$54,2,FALSE),"")</f>
        <v/>
      </c>
    </row>
    <row r="1716" spans="1:16" x14ac:dyDescent="0.2">
      <c r="A1716" s="1">
        <v>2016</v>
      </c>
      <c r="B1716" t="s">
        <v>209</v>
      </c>
      <c r="C1716" s="10" t="s">
        <v>1678</v>
      </c>
      <c r="D1716" s="10" t="s">
        <v>1679</v>
      </c>
      <c r="E1716" s="10" t="s">
        <v>1682</v>
      </c>
      <c r="F1716" t="s">
        <v>706</v>
      </c>
      <c r="G1716" s="4">
        <v>76721</v>
      </c>
      <c r="H1716" s="4"/>
      <c r="I1716" s="4"/>
      <c r="J1716" s="4">
        <f>SUM(G1716:I1716)</f>
        <v>76721</v>
      </c>
      <c r="K1716" t="s">
        <v>1659</v>
      </c>
      <c r="L1716" t="s">
        <v>1659</v>
      </c>
      <c r="M1716" t="s">
        <v>1260</v>
      </c>
      <c r="N1716" t="s">
        <v>1132</v>
      </c>
      <c r="O1716" t="s">
        <v>1132</v>
      </c>
      <c r="P1716" t="str">
        <f>IFERROR(VLOOKUP(F1716,Sheet1!$A$2:$B$54,2,FALSE),"")</f>
        <v/>
      </c>
    </row>
    <row r="1717" spans="1:16" x14ac:dyDescent="0.2">
      <c r="A1717" s="1">
        <v>2017</v>
      </c>
      <c r="B1717" t="s">
        <v>209</v>
      </c>
      <c r="C1717" s="10" t="s">
        <v>1678</v>
      </c>
      <c r="D1717" s="10" t="s">
        <v>1679</v>
      </c>
      <c r="E1717" s="10" t="s">
        <v>1682</v>
      </c>
      <c r="F1717" t="s">
        <v>706</v>
      </c>
      <c r="G1717" s="4">
        <v>102767</v>
      </c>
      <c r="H1717" s="4"/>
      <c r="I1717" s="4"/>
      <c r="J1717" s="4">
        <f>SUM(G1717:I1717)</f>
        <v>102767</v>
      </c>
      <c r="K1717" t="s">
        <v>1659</v>
      </c>
      <c r="L1717" t="s">
        <v>1659</v>
      </c>
      <c r="M1717" t="s">
        <v>1260</v>
      </c>
      <c r="N1717" t="s">
        <v>1132</v>
      </c>
      <c r="O1717" t="s">
        <v>1132</v>
      </c>
      <c r="P1717" t="str">
        <f>IFERROR(VLOOKUP(F1717,Sheet1!$A$2:$B$54,2,FALSE),"")</f>
        <v/>
      </c>
    </row>
    <row r="1718" spans="1:16" x14ac:dyDescent="0.2">
      <c r="A1718" s="1">
        <v>2018</v>
      </c>
      <c r="B1718" t="s">
        <v>209</v>
      </c>
      <c r="C1718" s="10" t="s">
        <v>1678</v>
      </c>
      <c r="D1718" s="10" t="s">
        <v>1679</v>
      </c>
      <c r="E1718" s="10" t="s">
        <v>1682</v>
      </c>
      <c r="F1718" t="s">
        <v>706</v>
      </c>
      <c r="G1718" s="4">
        <v>137613</v>
      </c>
      <c r="H1718" s="4"/>
      <c r="I1718" s="4"/>
      <c r="J1718" s="4">
        <f>SUM(G1718:I1718)</f>
        <v>137613</v>
      </c>
      <c r="K1718" t="s">
        <v>1659</v>
      </c>
      <c r="L1718" t="s">
        <v>1659</v>
      </c>
      <c r="M1718" t="s">
        <v>1260</v>
      </c>
      <c r="N1718" t="s">
        <v>1132</v>
      </c>
      <c r="O1718" t="s">
        <v>1132</v>
      </c>
      <c r="P1718" t="str">
        <f>IFERROR(VLOOKUP(F1718,Sheet1!$A$2:$B$54,2,FALSE),"")</f>
        <v/>
      </c>
    </row>
    <row r="1719" spans="1:16" x14ac:dyDescent="0.2">
      <c r="A1719" s="1">
        <v>2019</v>
      </c>
      <c r="B1719" t="s">
        <v>209</v>
      </c>
      <c r="C1719" s="10" t="s">
        <v>1678</v>
      </c>
      <c r="D1719" s="10" t="s">
        <v>1679</v>
      </c>
      <c r="E1719" s="10" t="s">
        <v>1682</v>
      </c>
      <c r="F1719" t="s">
        <v>706</v>
      </c>
      <c r="G1719" s="4">
        <v>151475</v>
      </c>
      <c r="H1719" s="4"/>
      <c r="I1719" s="4"/>
      <c r="J1719" s="4">
        <f>SUM(G1719:I1719)</f>
        <v>151475</v>
      </c>
      <c r="K1719" t="s">
        <v>1659</v>
      </c>
      <c r="L1719" t="s">
        <v>1659</v>
      </c>
      <c r="M1719" t="s">
        <v>1260</v>
      </c>
      <c r="N1719" t="s">
        <v>1132</v>
      </c>
      <c r="O1719" t="s">
        <v>1132</v>
      </c>
      <c r="P1719" t="str">
        <f>IFERROR(VLOOKUP(F1719,Sheet1!$A$2:$B$54,2,FALSE),"")</f>
        <v/>
      </c>
    </row>
    <row r="1720" spans="1:16" x14ac:dyDescent="0.2">
      <c r="A1720" s="1">
        <v>2020</v>
      </c>
      <c r="B1720" t="s">
        <v>209</v>
      </c>
      <c r="C1720" s="10" t="s">
        <v>1678</v>
      </c>
      <c r="D1720" s="10" t="s">
        <v>1679</v>
      </c>
      <c r="E1720" s="10" t="s">
        <v>1682</v>
      </c>
      <c r="F1720" t="s">
        <v>706</v>
      </c>
      <c r="G1720" s="4">
        <v>192551</v>
      </c>
      <c r="H1720" s="4"/>
      <c r="I1720" s="4"/>
      <c r="J1720" s="4">
        <f>SUM(G1720:I1720)</f>
        <v>192551</v>
      </c>
      <c r="K1720" t="s">
        <v>1659</v>
      </c>
      <c r="L1720" t="s">
        <v>1659</v>
      </c>
      <c r="M1720" t="s">
        <v>1260</v>
      </c>
      <c r="N1720" t="s">
        <v>1132</v>
      </c>
      <c r="O1720" t="s">
        <v>1132</v>
      </c>
      <c r="P1720" t="str">
        <f>IFERROR(VLOOKUP(F1720,Sheet1!$A$2:$B$54,2,FALSE),"")</f>
        <v/>
      </c>
    </row>
    <row r="1721" spans="1:16" x14ac:dyDescent="0.2">
      <c r="A1721" s="1">
        <v>2021</v>
      </c>
      <c r="B1721" t="s">
        <v>209</v>
      </c>
      <c r="C1721" s="10" t="s">
        <v>1678</v>
      </c>
      <c r="D1721" s="10" t="s">
        <v>1679</v>
      </c>
      <c r="E1721" s="10" t="s">
        <v>1682</v>
      </c>
      <c r="F1721" t="s">
        <v>706</v>
      </c>
      <c r="G1721" s="4">
        <v>215100</v>
      </c>
      <c r="H1721" s="4"/>
      <c r="I1721" s="4"/>
      <c r="J1721" s="4">
        <f>SUM(G1721:I1721)</f>
        <v>215100</v>
      </c>
      <c r="K1721" t="s">
        <v>1659</v>
      </c>
      <c r="L1721" t="s">
        <v>1659</v>
      </c>
      <c r="M1721" t="s">
        <v>706</v>
      </c>
      <c r="N1721" t="s">
        <v>1132</v>
      </c>
      <c r="O1721" t="s">
        <v>1132</v>
      </c>
      <c r="P1721" t="str">
        <f>IFERROR(VLOOKUP(F1721,Sheet1!$A$2:$B$54,2,FALSE),"")</f>
        <v/>
      </c>
    </row>
    <row r="1722" spans="1:16" x14ac:dyDescent="0.2">
      <c r="A1722" s="1">
        <v>2022</v>
      </c>
      <c r="B1722" t="s">
        <v>209</v>
      </c>
      <c r="C1722" s="10" t="s">
        <v>1678</v>
      </c>
      <c r="D1722" s="10" t="s">
        <v>1679</v>
      </c>
      <c r="E1722" s="10" t="s">
        <v>1682</v>
      </c>
      <c r="F1722" t="s">
        <v>706</v>
      </c>
      <c r="G1722" s="4">
        <v>281614</v>
      </c>
      <c r="H1722" s="4"/>
      <c r="I1722" s="4"/>
      <c r="J1722" s="4">
        <f>SUM(G1722:I1722)</f>
        <v>281614</v>
      </c>
      <c r="K1722" t="s">
        <v>1659</v>
      </c>
      <c r="L1722" t="s">
        <v>1659</v>
      </c>
      <c r="M1722" t="s">
        <v>706</v>
      </c>
      <c r="N1722" t="s">
        <v>1132</v>
      </c>
      <c r="O1722" t="s">
        <v>1132</v>
      </c>
      <c r="P1722" t="str">
        <f>IFERROR(VLOOKUP(F1722,Sheet1!$A$2:$B$54,2,FALSE),"")</f>
        <v/>
      </c>
    </row>
    <row r="1723" spans="1:16" x14ac:dyDescent="0.2">
      <c r="A1723" s="1">
        <v>2023</v>
      </c>
      <c r="B1723" t="s">
        <v>209</v>
      </c>
      <c r="C1723" s="10" t="s">
        <v>1678</v>
      </c>
      <c r="D1723" s="10" t="s">
        <v>1679</v>
      </c>
      <c r="E1723" s="10" t="s">
        <v>1682</v>
      </c>
      <c r="F1723" t="s">
        <v>706</v>
      </c>
      <c r="G1723" s="4">
        <v>351043</v>
      </c>
      <c r="H1723" s="4"/>
      <c r="I1723" s="4"/>
      <c r="J1723" s="4">
        <f>SUM(G1723:I1723)</f>
        <v>351043</v>
      </c>
      <c r="K1723" t="s">
        <v>1659</v>
      </c>
      <c r="L1723" t="s">
        <v>1659</v>
      </c>
      <c r="M1723" t="s">
        <v>706</v>
      </c>
      <c r="N1723" t="s">
        <v>1132</v>
      </c>
      <c r="O1723" t="s">
        <v>1132</v>
      </c>
      <c r="P1723" t="str">
        <f>IFERROR(VLOOKUP(F1723,Sheet1!$A$2:$B$54,2,FALSE),"")</f>
        <v/>
      </c>
    </row>
    <row r="1724" spans="1:16" x14ac:dyDescent="0.2">
      <c r="A1724" s="1">
        <v>2015</v>
      </c>
      <c r="B1724" t="s">
        <v>210</v>
      </c>
      <c r="C1724" s="10" t="s">
        <v>1678</v>
      </c>
      <c r="D1724" s="10" t="s">
        <v>1679</v>
      </c>
      <c r="E1724" s="10" t="s">
        <v>1682</v>
      </c>
      <c r="F1724" t="s">
        <v>707</v>
      </c>
      <c r="G1724" s="4">
        <v>6911</v>
      </c>
      <c r="H1724" s="4"/>
      <c r="I1724" s="4"/>
      <c r="J1724" s="4">
        <f>SUM(G1724:I1724)</f>
        <v>6911</v>
      </c>
      <c r="K1724" t="s">
        <v>1659</v>
      </c>
      <c r="L1724" t="s">
        <v>1659</v>
      </c>
      <c r="M1724" t="s">
        <v>1261</v>
      </c>
      <c r="N1724" t="s">
        <v>1132</v>
      </c>
      <c r="O1724" t="s">
        <v>1132</v>
      </c>
      <c r="P1724" t="str">
        <f>IFERROR(VLOOKUP(F1724,Sheet1!$A$2:$B$54,2,FALSE),"")</f>
        <v/>
      </c>
    </row>
    <row r="1725" spans="1:16" x14ac:dyDescent="0.2">
      <c r="A1725" s="1">
        <v>2016</v>
      </c>
      <c r="B1725" t="s">
        <v>210</v>
      </c>
      <c r="C1725" s="10" t="s">
        <v>1678</v>
      </c>
      <c r="D1725" s="10" t="s">
        <v>1679</v>
      </c>
      <c r="E1725" s="10" t="s">
        <v>1682</v>
      </c>
      <c r="F1725" t="s">
        <v>707</v>
      </c>
      <c r="G1725" s="4">
        <v>4093</v>
      </c>
      <c r="H1725" s="4"/>
      <c r="I1725" s="4"/>
      <c r="J1725" s="4">
        <f>SUM(G1725:I1725)</f>
        <v>4093</v>
      </c>
      <c r="K1725" t="s">
        <v>1659</v>
      </c>
      <c r="L1725" t="s">
        <v>1659</v>
      </c>
      <c r="M1725" t="s">
        <v>1261</v>
      </c>
      <c r="N1725" t="s">
        <v>1132</v>
      </c>
      <c r="O1725" t="s">
        <v>1132</v>
      </c>
      <c r="P1725" t="str">
        <f>IFERROR(VLOOKUP(F1725,Sheet1!$A$2:$B$54,2,FALSE),"")</f>
        <v/>
      </c>
    </row>
    <row r="1726" spans="1:16" x14ac:dyDescent="0.2">
      <c r="A1726" s="1">
        <v>2017</v>
      </c>
      <c r="B1726" t="s">
        <v>210</v>
      </c>
      <c r="C1726" s="10" t="s">
        <v>1678</v>
      </c>
      <c r="D1726" s="10" t="s">
        <v>1679</v>
      </c>
      <c r="E1726" s="10" t="s">
        <v>1682</v>
      </c>
      <c r="F1726" t="s">
        <v>707</v>
      </c>
      <c r="G1726" s="4">
        <v>4508</v>
      </c>
      <c r="H1726" s="4"/>
      <c r="I1726" s="4"/>
      <c r="J1726" s="4">
        <f>SUM(G1726:I1726)</f>
        <v>4508</v>
      </c>
      <c r="K1726" t="s">
        <v>1659</v>
      </c>
      <c r="L1726" t="s">
        <v>1659</v>
      </c>
      <c r="M1726" t="s">
        <v>1261</v>
      </c>
      <c r="N1726" t="s">
        <v>1132</v>
      </c>
      <c r="O1726" t="s">
        <v>1132</v>
      </c>
      <c r="P1726" t="str">
        <f>IFERROR(VLOOKUP(F1726,Sheet1!$A$2:$B$54,2,FALSE),"")</f>
        <v/>
      </c>
    </row>
    <row r="1727" spans="1:16" x14ac:dyDescent="0.2">
      <c r="A1727" s="1">
        <v>2018</v>
      </c>
      <c r="B1727" t="s">
        <v>210</v>
      </c>
      <c r="C1727" s="10" t="s">
        <v>1678</v>
      </c>
      <c r="D1727" s="10" t="s">
        <v>1679</v>
      </c>
      <c r="E1727" s="10" t="s">
        <v>1682</v>
      </c>
      <c r="F1727" t="s">
        <v>707</v>
      </c>
      <c r="G1727" s="4">
        <v>6150</v>
      </c>
      <c r="H1727" s="4"/>
      <c r="I1727" s="4"/>
      <c r="J1727" s="4">
        <f>SUM(G1727:I1727)</f>
        <v>6150</v>
      </c>
      <c r="K1727" t="s">
        <v>1659</v>
      </c>
      <c r="L1727" t="s">
        <v>1659</v>
      </c>
      <c r="M1727" t="s">
        <v>1261</v>
      </c>
      <c r="N1727" t="s">
        <v>1132</v>
      </c>
      <c r="O1727" t="s">
        <v>1132</v>
      </c>
      <c r="P1727" t="str">
        <f>IFERROR(VLOOKUP(F1727,Sheet1!$A$2:$B$54,2,FALSE),"")</f>
        <v/>
      </c>
    </row>
    <row r="1728" spans="1:16" x14ac:dyDescent="0.2">
      <c r="A1728" s="1">
        <v>2019</v>
      </c>
      <c r="B1728" t="s">
        <v>210</v>
      </c>
      <c r="C1728" s="10" t="s">
        <v>1678</v>
      </c>
      <c r="D1728" s="10" t="s">
        <v>1679</v>
      </c>
      <c r="E1728" s="10" t="s">
        <v>1682</v>
      </c>
      <c r="F1728" t="s">
        <v>707</v>
      </c>
      <c r="G1728" s="4">
        <v>10803</v>
      </c>
      <c r="H1728" s="4"/>
      <c r="I1728" s="4"/>
      <c r="J1728" s="4">
        <f>SUM(G1728:I1728)</f>
        <v>10803</v>
      </c>
      <c r="K1728" t="s">
        <v>1659</v>
      </c>
      <c r="L1728" t="s">
        <v>1659</v>
      </c>
      <c r="M1728" t="s">
        <v>1261</v>
      </c>
      <c r="N1728" t="s">
        <v>1132</v>
      </c>
      <c r="O1728" t="s">
        <v>1132</v>
      </c>
      <c r="P1728" t="str">
        <f>IFERROR(VLOOKUP(F1728,Sheet1!$A$2:$B$54,2,FALSE),"")</f>
        <v/>
      </c>
    </row>
    <row r="1729" spans="1:16" x14ac:dyDescent="0.2">
      <c r="A1729" s="1">
        <v>2020</v>
      </c>
      <c r="B1729" t="s">
        <v>210</v>
      </c>
      <c r="C1729" s="10" t="s">
        <v>1678</v>
      </c>
      <c r="D1729" s="10" t="s">
        <v>1679</v>
      </c>
      <c r="E1729" s="10" t="s">
        <v>1682</v>
      </c>
      <c r="F1729" t="s">
        <v>707</v>
      </c>
      <c r="G1729" s="4">
        <v>11453</v>
      </c>
      <c r="H1729" s="4"/>
      <c r="I1729" s="4"/>
      <c r="J1729" s="4">
        <f>SUM(G1729:I1729)</f>
        <v>11453</v>
      </c>
      <c r="K1729" t="s">
        <v>1659</v>
      </c>
      <c r="L1729" t="s">
        <v>1659</v>
      </c>
      <c r="M1729" t="s">
        <v>1261</v>
      </c>
      <c r="N1729" t="s">
        <v>1132</v>
      </c>
      <c r="O1729" t="s">
        <v>1132</v>
      </c>
      <c r="P1729" t="str">
        <f>IFERROR(VLOOKUP(F1729,Sheet1!$A$2:$B$54,2,FALSE),"")</f>
        <v/>
      </c>
    </row>
    <row r="1730" spans="1:16" x14ac:dyDescent="0.2">
      <c r="A1730" s="1">
        <v>2021</v>
      </c>
      <c r="B1730" t="s">
        <v>210</v>
      </c>
      <c r="C1730" s="10" t="s">
        <v>1678</v>
      </c>
      <c r="D1730" s="10" t="s">
        <v>1679</v>
      </c>
      <c r="E1730" s="10" t="s">
        <v>1682</v>
      </c>
      <c r="F1730" t="s">
        <v>707</v>
      </c>
      <c r="G1730" s="4">
        <v>12495</v>
      </c>
      <c r="H1730" s="4"/>
      <c r="I1730" s="4"/>
      <c r="J1730" s="4">
        <f>SUM(G1730:I1730)</f>
        <v>12495</v>
      </c>
      <c r="K1730" t="s">
        <v>1659</v>
      </c>
      <c r="L1730" t="s">
        <v>1659</v>
      </c>
      <c r="M1730" t="s">
        <v>707</v>
      </c>
      <c r="N1730" t="s">
        <v>1132</v>
      </c>
      <c r="O1730" t="s">
        <v>1132</v>
      </c>
      <c r="P1730" t="str">
        <f>IFERROR(VLOOKUP(F1730,Sheet1!$A$2:$B$54,2,FALSE),"")</f>
        <v/>
      </c>
    </row>
    <row r="1731" spans="1:16" x14ac:dyDescent="0.2">
      <c r="A1731" s="1">
        <v>2022</v>
      </c>
      <c r="B1731" t="s">
        <v>210</v>
      </c>
      <c r="C1731" s="10" t="s">
        <v>1678</v>
      </c>
      <c r="D1731" s="10" t="s">
        <v>1679</v>
      </c>
      <c r="E1731" s="10" t="s">
        <v>1682</v>
      </c>
      <c r="F1731" t="s">
        <v>707</v>
      </c>
      <c r="G1731" s="4">
        <v>13771</v>
      </c>
      <c r="H1731" s="4"/>
      <c r="I1731" s="4"/>
      <c r="J1731" s="4">
        <f>SUM(G1731:I1731)</f>
        <v>13771</v>
      </c>
      <c r="K1731" t="s">
        <v>1659</v>
      </c>
      <c r="L1731" t="s">
        <v>1659</v>
      </c>
      <c r="M1731" t="s">
        <v>707</v>
      </c>
      <c r="N1731" t="s">
        <v>1132</v>
      </c>
      <c r="O1731" t="s">
        <v>1132</v>
      </c>
      <c r="P1731" t="str">
        <f>IFERROR(VLOOKUP(F1731,Sheet1!$A$2:$B$54,2,FALSE),"")</f>
        <v/>
      </c>
    </row>
    <row r="1732" spans="1:16" x14ac:dyDescent="0.2">
      <c r="A1732" s="1">
        <v>2023</v>
      </c>
      <c r="B1732" t="s">
        <v>210</v>
      </c>
      <c r="C1732" s="10" t="s">
        <v>1678</v>
      </c>
      <c r="D1732" s="10" t="s">
        <v>1679</v>
      </c>
      <c r="E1732" s="10" t="s">
        <v>1682</v>
      </c>
      <c r="F1732" t="s">
        <v>707</v>
      </c>
      <c r="G1732" s="4">
        <v>15684</v>
      </c>
      <c r="H1732" s="4"/>
      <c r="I1732" s="4"/>
      <c r="J1732" s="4">
        <f>SUM(G1732:I1732)</f>
        <v>15684</v>
      </c>
      <c r="K1732" t="s">
        <v>1659</v>
      </c>
      <c r="L1732" t="s">
        <v>1659</v>
      </c>
      <c r="M1732" t="s">
        <v>707</v>
      </c>
      <c r="N1732" t="s">
        <v>1132</v>
      </c>
      <c r="O1732" t="s">
        <v>1132</v>
      </c>
      <c r="P1732" t="str">
        <f>IFERROR(VLOOKUP(F1732,Sheet1!$A$2:$B$54,2,FALSE),"")</f>
        <v/>
      </c>
    </row>
    <row r="1733" spans="1:16" x14ac:dyDescent="0.2">
      <c r="A1733" s="1">
        <v>2015</v>
      </c>
      <c r="B1733" t="s">
        <v>211</v>
      </c>
      <c r="C1733" s="10" t="s">
        <v>1678</v>
      </c>
      <c r="D1733" s="10" t="s">
        <v>1679</v>
      </c>
      <c r="E1733" s="10" t="s">
        <v>1682</v>
      </c>
      <c r="F1733" t="s">
        <v>708</v>
      </c>
      <c r="G1733" s="4">
        <v>17904</v>
      </c>
      <c r="H1733" s="4"/>
      <c r="I1733" s="4"/>
      <c r="J1733" s="4">
        <f>SUM(G1733:I1733)</f>
        <v>17904</v>
      </c>
      <c r="K1733" t="s">
        <v>1659</v>
      </c>
      <c r="L1733" t="s">
        <v>1659</v>
      </c>
      <c r="M1733" t="s">
        <v>1262</v>
      </c>
      <c r="N1733" t="s">
        <v>1132</v>
      </c>
      <c r="O1733" t="s">
        <v>1132</v>
      </c>
      <c r="P1733" t="str">
        <f>IFERROR(VLOOKUP(F1733,Sheet1!$A$2:$B$54,2,FALSE),"")</f>
        <v/>
      </c>
    </row>
    <row r="1734" spans="1:16" x14ac:dyDescent="0.2">
      <c r="A1734" s="1">
        <v>2016</v>
      </c>
      <c r="B1734" t="s">
        <v>211</v>
      </c>
      <c r="C1734" s="10" t="s">
        <v>1678</v>
      </c>
      <c r="D1734" s="10" t="s">
        <v>1679</v>
      </c>
      <c r="E1734" s="10" t="s">
        <v>1682</v>
      </c>
      <c r="F1734" t="s">
        <v>708</v>
      </c>
      <c r="G1734" s="4">
        <v>19367</v>
      </c>
      <c r="H1734" s="4"/>
      <c r="I1734" s="4"/>
      <c r="J1734" s="4">
        <f>SUM(G1734:I1734)</f>
        <v>19367</v>
      </c>
      <c r="K1734" t="s">
        <v>1659</v>
      </c>
      <c r="L1734" t="s">
        <v>1659</v>
      </c>
      <c r="M1734" t="s">
        <v>1262</v>
      </c>
      <c r="N1734" t="s">
        <v>1132</v>
      </c>
      <c r="O1734" t="s">
        <v>1132</v>
      </c>
      <c r="P1734" t="str">
        <f>IFERROR(VLOOKUP(F1734,Sheet1!$A$2:$B$54,2,FALSE),"")</f>
        <v/>
      </c>
    </row>
    <row r="1735" spans="1:16" x14ac:dyDescent="0.2">
      <c r="A1735" s="1">
        <v>2017</v>
      </c>
      <c r="B1735" t="s">
        <v>211</v>
      </c>
      <c r="C1735" s="10" t="s">
        <v>1678</v>
      </c>
      <c r="D1735" s="10" t="s">
        <v>1679</v>
      </c>
      <c r="E1735" s="10" t="s">
        <v>1682</v>
      </c>
      <c r="F1735" t="s">
        <v>708</v>
      </c>
      <c r="G1735" s="4">
        <v>20355</v>
      </c>
      <c r="H1735" s="4"/>
      <c r="I1735" s="4"/>
      <c r="J1735" s="4">
        <f>SUM(G1735:I1735)</f>
        <v>20355</v>
      </c>
      <c r="K1735" t="s">
        <v>1659</v>
      </c>
      <c r="L1735" t="s">
        <v>1659</v>
      </c>
      <c r="M1735" t="s">
        <v>1262</v>
      </c>
      <c r="N1735" t="s">
        <v>1132</v>
      </c>
      <c r="O1735" t="s">
        <v>1132</v>
      </c>
      <c r="P1735" t="str">
        <f>IFERROR(VLOOKUP(F1735,Sheet1!$A$2:$B$54,2,FALSE),"")</f>
        <v/>
      </c>
    </row>
    <row r="1736" spans="1:16" x14ac:dyDescent="0.2">
      <c r="A1736" s="1">
        <v>2018</v>
      </c>
      <c r="B1736" t="s">
        <v>211</v>
      </c>
      <c r="C1736" s="10" t="s">
        <v>1678</v>
      </c>
      <c r="D1736" s="10" t="s">
        <v>1679</v>
      </c>
      <c r="E1736" s="10" t="s">
        <v>1682</v>
      </c>
      <c r="F1736" t="s">
        <v>708</v>
      </c>
      <c r="G1736" s="4">
        <v>25897</v>
      </c>
      <c r="H1736" s="4"/>
      <c r="I1736" s="4"/>
      <c r="J1736" s="4">
        <f>SUM(G1736:I1736)</f>
        <v>25897</v>
      </c>
      <c r="K1736" t="s">
        <v>1659</v>
      </c>
      <c r="L1736" t="s">
        <v>1659</v>
      </c>
      <c r="M1736" t="s">
        <v>1262</v>
      </c>
      <c r="N1736" t="s">
        <v>1132</v>
      </c>
      <c r="O1736" t="s">
        <v>1132</v>
      </c>
      <c r="P1736" t="str">
        <f>IFERROR(VLOOKUP(F1736,Sheet1!$A$2:$B$54,2,FALSE),"")</f>
        <v/>
      </c>
    </row>
    <row r="1737" spans="1:16" x14ac:dyDescent="0.2">
      <c r="A1737" s="1">
        <v>2019</v>
      </c>
      <c r="B1737" t="s">
        <v>211</v>
      </c>
      <c r="C1737" s="10" t="s">
        <v>1678</v>
      </c>
      <c r="D1737" s="10" t="s">
        <v>1679</v>
      </c>
      <c r="E1737" s="10" t="s">
        <v>1682</v>
      </c>
      <c r="F1737" t="s">
        <v>708</v>
      </c>
      <c r="G1737" s="4">
        <v>26309</v>
      </c>
      <c r="H1737" s="4"/>
      <c r="I1737" s="4"/>
      <c r="J1737" s="4">
        <f>SUM(G1737:I1737)</f>
        <v>26309</v>
      </c>
      <c r="K1737" t="s">
        <v>1659</v>
      </c>
      <c r="L1737" t="s">
        <v>1659</v>
      </c>
      <c r="M1737" t="s">
        <v>1262</v>
      </c>
      <c r="N1737" t="s">
        <v>1132</v>
      </c>
      <c r="O1737" t="s">
        <v>1132</v>
      </c>
      <c r="P1737" t="str">
        <f>IFERROR(VLOOKUP(F1737,Sheet1!$A$2:$B$54,2,FALSE),"")</f>
        <v/>
      </c>
    </row>
    <row r="1738" spans="1:16" x14ac:dyDescent="0.2">
      <c r="A1738" s="1">
        <v>2020</v>
      </c>
      <c r="B1738" t="s">
        <v>211</v>
      </c>
      <c r="C1738" s="10" t="s">
        <v>1678</v>
      </c>
      <c r="D1738" s="10" t="s">
        <v>1679</v>
      </c>
      <c r="E1738" s="10" t="s">
        <v>1682</v>
      </c>
      <c r="F1738" t="s">
        <v>708</v>
      </c>
      <c r="G1738" s="4">
        <v>30030</v>
      </c>
      <c r="H1738" s="4"/>
      <c r="I1738" s="4"/>
      <c r="J1738" s="4">
        <f>SUM(G1738:I1738)</f>
        <v>30030</v>
      </c>
      <c r="K1738" t="s">
        <v>1659</v>
      </c>
      <c r="L1738" t="s">
        <v>1659</v>
      </c>
      <c r="M1738" t="s">
        <v>1262</v>
      </c>
      <c r="N1738" t="s">
        <v>1132</v>
      </c>
      <c r="O1738" t="s">
        <v>1132</v>
      </c>
      <c r="P1738" t="str">
        <f>IFERROR(VLOOKUP(F1738,Sheet1!$A$2:$B$54,2,FALSE),"")</f>
        <v/>
      </c>
    </row>
    <row r="1739" spans="1:16" x14ac:dyDescent="0.2">
      <c r="A1739" s="1">
        <v>2021</v>
      </c>
      <c r="B1739" t="s">
        <v>211</v>
      </c>
      <c r="C1739" s="10" t="s">
        <v>1678</v>
      </c>
      <c r="D1739" s="10" t="s">
        <v>1679</v>
      </c>
      <c r="E1739" s="10" t="s">
        <v>1682</v>
      </c>
      <c r="F1739" t="s">
        <v>708</v>
      </c>
      <c r="G1739" s="4">
        <v>40075</v>
      </c>
      <c r="H1739" s="4"/>
      <c r="I1739" s="4"/>
      <c r="J1739" s="4">
        <f>SUM(G1739:I1739)</f>
        <v>40075</v>
      </c>
      <c r="K1739" t="s">
        <v>1659</v>
      </c>
      <c r="L1739" t="s">
        <v>1659</v>
      </c>
      <c r="M1739" t="s">
        <v>708</v>
      </c>
      <c r="N1739" t="s">
        <v>1132</v>
      </c>
      <c r="O1739" t="s">
        <v>1132</v>
      </c>
      <c r="P1739" t="str">
        <f>IFERROR(VLOOKUP(F1739,Sheet1!$A$2:$B$54,2,FALSE),"")</f>
        <v/>
      </c>
    </row>
    <row r="1740" spans="1:16" x14ac:dyDescent="0.2">
      <c r="A1740" s="1">
        <v>2022</v>
      </c>
      <c r="B1740" t="s">
        <v>211</v>
      </c>
      <c r="C1740" s="10" t="s">
        <v>1678</v>
      </c>
      <c r="D1740" s="10" t="s">
        <v>1679</v>
      </c>
      <c r="E1740" s="10" t="s">
        <v>1682</v>
      </c>
      <c r="F1740" t="s">
        <v>708</v>
      </c>
      <c r="G1740" s="4">
        <v>54566</v>
      </c>
      <c r="H1740" s="4"/>
      <c r="I1740" s="4"/>
      <c r="J1740" s="4">
        <f>SUM(G1740:I1740)</f>
        <v>54566</v>
      </c>
      <c r="K1740" t="s">
        <v>1659</v>
      </c>
      <c r="L1740" t="s">
        <v>1659</v>
      </c>
      <c r="M1740" t="s">
        <v>708</v>
      </c>
      <c r="N1740" t="s">
        <v>1132</v>
      </c>
      <c r="O1740" t="s">
        <v>1132</v>
      </c>
      <c r="P1740" t="str">
        <f>IFERROR(VLOOKUP(F1740,Sheet1!$A$2:$B$54,2,FALSE),"")</f>
        <v/>
      </c>
    </row>
    <row r="1741" spans="1:16" x14ac:dyDescent="0.2">
      <c r="A1741" s="1">
        <v>2023</v>
      </c>
      <c r="B1741" t="s">
        <v>211</v>
      </c>
      <c r="C1741" s="10" t="s">
        <v>1678</v>
      </c>
      <c r="D1741" s="10" t="s">
        <v>1679</v>
      </c>
      <c r="E1741" s="10" t="s">
        <v>1682</v>
      </c>
      <c r="F1741" t="s">
        <v>708</v>
      </c>
      <c r="G1741" s="4">
        <v>74331</v>
      </c>
      <c r="H1741" s="4"/>
      <c r="I1741" s="4"/>
      <c r="J1741" s="4">
        <f>SUM(G1741:I1741)</f>
        <v>74331</v>
      </c>
      <c r="K1741" t="s">
        <v>1659</v>
      </c>
      <c r="L1741" t="s">
        <v>1659</v>
      </c>
      <c r="M1741" t="s">
        <v>708</v>
      </c>
      <c r="N1741" t="s">
        <v>1132</v>
      </c>
      <c r="O1741" t="s">
        <v>1132</v>
      </c>
      <c r="P1741" t="str">
        <f>IFERROR(VLOOKUP(F1741,Sheet1!$A$2:$B$54,2,FALSE),"")</f>
        <v/>
      </c>
    </row>
    <row r="1742" spans="1:16" x14ac:dyDescent="0.2">
      <c r="A1742" s="1">
        <v>2019</v>
      </c>
      <c r="B1742" t="s">
        <v>212</v>
      </c>
      <c r="C1742" s="10" t="s">
        <v>1678</v>
      </c>
      <c r="D1742" s="10" t="s">
        <v>1679</v>
      </c>
      <c r="E1742" s="10" t="s">
        <v>1682</v>
      </c>
      <c r="F1742" t="s">
        <v>709</v>
      </c>
      <c r="G1742" s="4">
        <v>5805</v>
      </c>
      <c r="H1742" s="4"/>
      <c r="I1742" s="4"/>
      <c r="J1742" s="4">
        <f>SUM(G1742:I1742)</f>
        <v>5805</v>
      </c>
      <c r="K1742" t="s">
        <v>1659</v>
      </c>
      <c r="L1742" t="s">
        <v>1659</v>
      </c>
      <c r="M1742" t="s">
        <v>1263</v>
      </c>
      <c r="N1742" t="s">
        <v>1132</v>
      </c>
      <c r="O1742" t="s">
        <v>1132</v>
      </c>
      <c r="P1742" t="str">
        <f>IFERROR(VLOOKUP(F1742,Sheet1!$A$2:$B$54,2,FALSE),"")</f>
        <v/>
      </c>
    </row>
    <row r="1743" spans="1:16" x14ac:dyDescent="0.2">
      <c r="A1743" s="1">
        <v>2020</v>
      </c>
      <c r="B1743" t="s">
        <v>212</v>
      </c>
      <c r="C1743" s="10" t="s">
        <v>1678</v>
      </c>
      <c r="D1743" s="10" t="s">
        <v>1679</v>
      </c>
      <c r="E1743" s="10" t="s">
        <v>1682</v>
      </c>
      <c r="F1743" t="s">
        <v>709</v>
      </c>
      <c r="G1743" s="4">
        <v>16957</v>
      </c>
      <c r="H1743" s="4"/>
      <c r="I1743" s="4"/>
      <c r="J1743" s="4">
        <f>SUM(G1743:I1743)</f>
        <v>16957</v>
      </c>
      <c r="K1743" t="s">
        <v>1659</v>
      </c>
      <c r="L1743" t="s">
        <v>1659</v>
      </c>
      <c r="M1743" t="s">
        <v>1263</v>
      </c>
      <c r="N1743" t="s">
        <v>1132</v>
      </c>
      <c r="O1743" t="s">
        <v>1132</v>
      </c>
      <c r="P1743" t="str">
        <f>IFERROR(VLOOKUP(F1743,Sheet1!$A$2:$B$54,2,FALSE),"")</f>
        <v/>
      </c>
    </row>
    <row r="1744" spans="1:16" x14ac:dyDescent="0.2">
      <c r="A1744" s="1">
        <v>2021</v>
      </c>
      <c r="B1744" t="s">
        <v>212</v>
      </c>
      <c r="C1744" s="10" t="s">
        <v>1678</v>
      </c>
      <c r="D1744" s="10" t="s">
        <v>1679</v>
      </c>
      <c r="E1744" s="10" t="s">
        <v>1682</v>
      </c>
      <c r="F1744" t="s">
        <v>709</v>
      </c>
      <c r="G1744" s="4">
        <v>20728</v>
      </c>
      <c r="H1744" s="4"/>
      <c r="I1744" s="4"/>
      <c r="J1744" s="4">
        <f>SUM(G1744:I1744)</f>
        <v>20728</v>
      </c>
      <c r="K1744" t="s">
        <v>1659</v>
      </c>
      <c r="L1744" t="s">
        <v>1659</v>
      </c>
      <c r="M1744" t="s">
        <v>709</v>
      </c>
      <c r="N1744" t="s">
        <v>1132</v>
      </c>
      <c r="O1744" t="s">
        <v>1132</v>
      </c>
      <c r="P1744" t="str">
        <f>IFERROR(VLOOKUP(F1744,Sheet1!$A$2:$B$54,2,FALSE),"")</f>
        <v/>
      </c>
    </row>
    <row r="1745" spans="1:16" x14ac:dyDescent="0.2">
      <c r="A1745" s="1">
        <v>2022</v>
      </c>
      <c r="B1745" t="s">
        <v>212</v>
      </c>
      <c r="C1745" s="10" t="s">
        <v>1678</v>
      </c>
      <c r="D1745" s="10" t="s">
        <v>1679</v>
      </c>
      <c r="E1745" s="10" t="s">
        <v>1682</v>
      </c>
      <c r="F1745" t="s">
        <v>709</v>
      </c>
      <c r="G1745" s="4">
        <v>18743</v>
      </c>
      <c r="H1745" s="4"/>
      <c r="I1745" s="4"/>
      <c r="J1745" s="4">
        <f>SUM(G1745:I1745)</f>
        <v>18743</v>
      </c>
      <c r="K1745" t="s">
        <v>1659</v>
      </c>
      <c r="L1745" t="s">
        <v>1659</v>
      </c>
      <c r="M1745" t="s">
        <v>709</v>
      </c>
      <c r="N1745" t="s">
        <v>1132</v>
      </c>
      <c r="O1745" t="s">
        <v>1132</v>
      </c>
      <c r="P1745" t="str">
        <f>IFERROR(VLOOKUP(F1745,Sheet1!$A$2:$B$54,2,FALSE),"")</f>
        <v/>
      </c>
    </row>
    <row r="1746" spans="1:16" x14ac:dyDescent="0.2">
      <c r="A1746" s="1">
        <v>2023</v>
      </c>
      <c r="B1746" t="s">
        <v>212</v>
      </c>
      <c r="C1746" s="10" t="s">
        <v>1678</v>
      </c>
      <c r="D1746" s="10" t="s">
        <v>1679</v>
      </c>
      <c r="E1746" s="10" t="s">
        <v>1682</v>
      </c>
      <c r="F1746" t="s">
        <v>709</v>
      </c>
      <c r="G1746" s="4">
        <v>22854</v>
      </c>
      <c r="H1746" s="4"/>
      <c r="I1746" s="4"/>
      <c r="J1746" s="4">
        <f>SUM(G1746:I1746)</f>
        <v>22854</v>
      </c>
      <c r="K1746" t="s">
        <v>1659</v>
      </c>
      <c r="L1746" t="s">
        <v>1659</v>
      </c>
      <c r="M1746" t="s">
        <v>709</v>
      </c>
      <c r="N1746" t="s">
        <v>1132</v>
      </c>
      <c r="O1746" t="s">
        <v>1132</v>
      </c>
      <c r="P1746" t="str">
        <f>IFERROR(VLOOKUP(F1746,Sheet1!$A$2:$B$54,2,FALSE),"")</f>
        <v/>
      </c>
    </row>
    <row r="1747" spans="1:16" x14ac:dyDescent="0.2">
      <c r="A1747" s="1">
        <v>2015</v>
      </c>
      <c r="B1747" t="s">
        <v>213</v>
      </c>
      <c r="C1747" s="10" t="s">
        <v>1678</v>
      </c>
      <c r="D1747" s="10" t="s">
        <v>1679</v>
      </c>
      <c r="E1747" s="10" t="s">
        <v>1682</v>
      </c>
      <c r="F1747" t="s">
        <v>710</v>
      </c>
      <c r="G1747" s="4">
        <v>29246</v>
      </c>
      <c r="H1747" s="4"/>
      <c r="I1747" s="4"/>
      <c r="J1747" s="4">
        <f>SUM(G1747:I1747)</f>
        <v>29246</v>
      </c>
      <c r="K1747" t="s">
        <v>1659</v>
      </c>
      <c r="L1747" t="s">
        <v>1659</v>
      </c>
      <c r="M1747" t="s">
        <v>1264</v>
      </c>
      <c r="N1747" t="s">
        <v>1132</v>
      </c>
      <c r="O1747" t="s">
        <v>1132</v>
      </c>
      <c r="P1747" t="str">
        <f>IFERROR(VLOOKUP(F1747,Sheet1!$A$2:$B$54,2,FALSE),"")</f>
        <v/>
      </c>
    </row>
    <row r="1748" spans="1:16" x14ac:dyDescent="0.2">
      <c r="A1748" s="1">
        <v>2016</v>
      </c>
      <c r="B1748" t="s">
        <v>213</v>
      </c>
      <c r="C1748" s="10" t="s">
        <v>1678</v>
      </c>
      <c r="D1748" s="10" t="s">
        <v>1679</v>
      </c>
      <c r="E1748" s="10" t="s">
        <v>1682</v>
      </c>
      <c r="F1748" t="s">
        <v>710</v>
      </c>
      <c r="G1748" s="4">
        <v>47843</v>
      </c>
      <c r="H1748" s="4"/>
      <c r="I1748" s="4"/>
      <c r="J1748" s="4">
        <f>SUM(G1748:I1748)</f>
        <v>47843</v>
      </c>
      <c r="K1748" t="s">
        <v>1659</v>
      </c>
      <c r="L1748" t="s">
        <v>1659</v>
      </c>
      <c r="M1748" t="s">
        <v>1265</v>
      </c>
      <c r="N1748" t="s">
        <v>1132</v>
      </c>
      <c r="O1748" t="s">
        <v>1132</v>
      </c>
      <c r="P1748" t="str">
        <f>IFERROR(VLOOKUP(F1748,Sheet1!$A$2:$B$54,2,FALSE),"")</f>
        <v/>
      </c>
    </row>
    <row r="1749" spans="1:16" x14ac:dyDescent="0.2">
      <c r="A1749" s="1">
        <v>2017</v>
      </c>
      <c r="B1749" t="s">
        <v>213</v>
      </c>
      <c r="C1749" s="10" t="s">
        <v>1678</v>
      </c>
      <c r="D1749" s="10" t="s">
        <v>1679</v>
      </c>
      <c r="E1749" s="10" t="s">
        <v>1682</v>
      </c>
      <c r="F1749" t="s">
        <v>710</v>
      </c>
      <c r="G1749" s="4">
        <v>50202</v>
      </c>
      <c r="H1749" s="4"/>
      <c r="I1749" s="4"/>
      <c r="J1749" s="4">
        <f>SUM(G1749:I1749)</f>
        <v>50202</v>
      </c>
      <c r="K1749" t="s">
        <v>1659</v>
      </c>
      <c r="L1749" t="s">
        <v>1659</v>
      </c>
      <c r="M1749" t="s">
        <v>1265</v>
      </c>
      <c r="N1749" t="s">
        <v>1132</v>
      </c>
      <c r="O1749" t="s">
        <v>1132</v>
      </c>
      <c r="P1749" t="str">
        <f>IFERROR(VLOOKUP(F1749,Sheet1!$A$2:$B$54,2,FALSE),"")</f>
        <v/>
      </c>
    </row>
    <row r="1750" spans="1:16" x14ac:dyDescent="0.2">
      <c r="A1750" s="1">
        <v>2018</v>
      </c>
      <c r="B1750" t="s">
        <v>213</v>
      </c>
      <c r="C1750" s="10" t="s">
        <v>1678</v>
      </c>
      <c r="D1750" s="10" t="s">
        <v>1679</v>
      </c>
      <c r="E1750" s="10" t="s">
        <v>1682</v>
      </c>
      <c r="F1750" t="s">
        <v>710</v>
      </c>
      <c r="G1750" s="4">
        <v>65256</v>
      </c>
      <c r="H1750" s="4"/>
      <c r="I1750" s="4"/>
      <c r="J1750" s="4">
        <f>SUM(G1750:I1750)</f>
        <v>65256</v>
      </c>
      <c r="K1750" t="s">
        <v>1659</v>
      </c>
      <c r="L1750" t="s">
        <v>1659</v>
      </c>
      <c r="M1750" t="s">
        <v>1265</v>
      </c>
      <c r="N1750" t="s">
        <v>1132</v>
      </c>
      <c r="O1750" t="s">
        <v>1132</v>
      </c>
      <c r="P1750" t="str">
        <f>IFERROR(VLOOKUP(F1750,Sheet1!$A$2:$B$54,2,FALSE),"")</f>
        <v/>
      </c>
    </row>
    <row r="1751" spans="1:16" x14ac:dyDescent="0.2">
      <c r="A1751" s="1">
        <v>2019</v>
      </c>
      <c r="B1751" t="s">
        <v>213</v>
      </c>
      <c r="C1751" s="10" t="s">
        <v>1678</v>
      </c>
      <c r="D1751" s="10" t="s">
        <v>1679</v>
      </c>
      <c r="E1751" s="10" t="s">
        <v>1682</v>
      </c>
      <c r="F1751" t="s">
        <v>710</v>
      </c>
      <c r="G1751" s="4">
        <v>76304</v>
      </c>
      <c r="H1751" s="4"/>
      <c r="I1751" s="4"/>
      <c r="J1751" s="4">
        <f>SUM(G1751:I1751)</f>
        <v>76304</v>
      </c>
      <c r="K1751" t="s">
        <v>1659</v>
      </c>
      <c r="L1751" t="s">
        <v>1659</v>
      </c>
      <c r="M1751" t="s">
        <v>1265</v>
      </c>
      <c r="N1751" t="s">
        <v>1132</v>
      </c>
      <c r="O1751" t="s">
        <v>1132</v>
      </c>
      <c r="P1751" t="str">
        <f>IFERROR(VLOOKUP(F1751,Sheet1!$A$2:$B$54,2,FALSE),"")</f>
        <v/>
      </c>
    </row>
    <row r="1752" spans="1:16" x14ac:dyDescent="0.2">
      <c r="A1752" s="1">
        <v>2020</v>
      </c>
      <c r="B1752" t="s">
        <v>213</v>
      </c>
      <c r="C1752" s="10" t="s">
        <v>1678</v>
      </c>
      <c r="D1752" s="10" t="s">
        <v>1679</v>
      </c>
      <c r="E1752" s="10" t="s">
        <v>1682</v>
      </c>
      <c r="F1752" t="s">
        <v>710</v>
      </c>
      <c r="G1752" s="4">
        <v>92535</v>
      </c>
      <c r="H1752" s="4"/>
      <c r="I1752" s="4"/>
      <c r="J1752" s="4">
        <f>SUM(G1752:I1752)</f>
        <v>92535</v>
      </c>
      <c r="K1752" t="s">
        <v>1659</v>
      </c>
      <c r="L1752" t="s">
        <v>1659</v>
      </c>
      <c r="M1752" t="s">
        <v>1265</v>
      </c>
      <c r="N1752" t="s">
        <v>1132</v>
      </c>
      <c r="O1752" t="s">
        <v>1132</v>
      </c>
      <c r="P1752" t="str">
        <f>IFERROR(VLOOKUP(F1752,Sheet1!$A$2:$B$54,2,FALSE),"")</f>
        <v/>
      </c>
    </row>
    <row r="1753" spans="1:16" x14ac:dyDescent="0.2">
      <c r="A1753" s="1">
        <v>2021</v>
      </c>
      <c r="B1753" t="s">
        <v>213</v>
      </c>
      <c r="C1753" s="10" t="s">
        <v>1678</v>
      </c>
      <c r="D1753" s="10" t="s">
        <v>1679</v>
      </c>
      <c r="E1753" s="10" t="s">
        <v>1682</v>
      </c>
      <c r="F1753" t="s">
        <v>710</v>
      </c>
      <c r="G1753" s="4">
        <v>70457</v>
      </c>
      <c r="H1753" s="4"/>
      <c r="I1753" s="4"/>
      <c r="J1753" s="4">
        <f>SUM(G1753:I1753)</f>
        <v>70457</v>
      </c>
      <c r="K1753" t="s">
        <v>1659</v>
      </c>
      <c r="L1753" t="s">
        <v>1659</v>
      </c>
      <c r="M1753" t="s">
        <v>710</v>
      </c>
      <c r="N1753" t="s">
        <v>1132</v>
      </c>
      <c r="O1753" t="s">
        <v>1132</v>
      </c>
      <c r="P1753" t="str">
        <f>IFERROR(VLOOKUP(F1753,Sheet1!$A$2:$B$54,2,FALSE),"")</f>
        <v/>
      </c>
    </row>
    <row r="1754" spans="1:16" x14ac:dyDescent="0.2">
      <c r="A1754" s="1">
        <v>2022</v>
      </c>
      <c r="B1754" t="s">
        <v>213</v>
      </c>
      <c r="C1754" s="10" t="s">
        <v>1678</v>
      </c>
      <c r="D1754" s="10" t="s">
        <v>1679</v>
      </c>
      <c r="E1754" s="10" t="s">
        <v>1682</v>
      </c>
      <c r="F1754" t="s">
        <v>710</v>
      </c>
      <c r="G1754" s="4">
        <v>69830</v>
      </c>
      <c r="H1754" s="4"/>
      <c r="I1754" s="4"/>
      <c r="J1754" s="4">
        <f>SUM(G1754:I1754)</f>
        <v>69830</v>
      </c>
      <c r="K1754" t="s">
        <v>1659</v>
      </c>
      <c r="L1754" t="s">
        <v>1659</v>
      </c>
      <c r="M1754" t="s">
        <v>710</v>
      </c>
      <c r="N1754" t="s">
        <v>1132</v>
      </c>
      <c r="O1754" t="s">
        <v>1132</v>
      </c>
      <c r="P1754" t="str">
        <f>IFERROR(VLOOKUP(F1754,Sheet1!$A$2:$B$54,2,FALSE),"")</f>
        <v/>
      </c>
    </row>
    <row r="1755" spans="1:16" x14ac:dyDescent="0.2">
      <c r="A1755" s="1">
        <v>2023</v>
      </c>
      <c r="B1755" t="s">
        <v>213</v>
      </c>
      <c r="C1755" s="10" t="s">
        <v>1678</v>
      </c>
      <c r="D1755" s="10" t="s">
        <v>1679</v>
      </c>
      <c r="E1755" s="10" t="s">
        <v>1682</v>
      </c>
      <c r="F1755" t="s">
        <v>710</v>
      </c>
      <c r="G1755" s="4">
        <v>60009</v>
      </c>
      <c r="H1755" s="4"/>
      <c r="I1755" s="4"/>
      <c r="J1755" s="4">
        <f>SUM(G1755:I1755)</f>
        <v>60009</v>
      </c>
      <c r="K1755" t="s">
        <v>1659</v>
      </c>
      <c r="L1755" t="s">
        <v>1659</v>
      </c>
      <c r="M1755" t="s">
        <v>710</v>
      </c>
      <c r="N1755" t="s">
        <v>1132</v>
      </c>
      <c r="O1755" t="s">
        <v>1132</v>
      </c>
      <c r="P1755" t="str">
        <f>IFERROR(VLOOKUP(F1755,Sheet1!$A$2:$B$54,2,FALSE),"")</f>
        <v/>
      </c>
    </row>
    <row r="1756" spans="1:16" x14ac:dyDescent="0.2">
      <c r="A1756" s="1">
        <v>2015</v>
      </c>
      <c r="B1756" t="s">
        <v>214</v>
      </c>
      <c r="C1756" s="10" t="s">
        <v>1678</v>
      </c>
      <c r="D1756" s="10" t="s">
        <v>1679</v>
      </c>
      <c r="E1756" s="10" t="s">
        <v>1682</v>
      </c>
      <c r="F1756" t="s">
        <v>711</v>
      </c>
      <c r="G1756" s="4">
        <v>24261</v>
      </c>
      <c r="H1756" s="4"/>
      <c r="I1756" s="4"/>
      <c r="J1756" s="4">
        <f>SUM(G1756:I1756)</f>
        <v>24261</v>
      </c>
      <c r="K1756" t="s">
        <v>1659</v>
      </c>
      <c r="L1756" t="s">
        <v>1659</v>
      </c>
      <c r="M1756" t="s">
        <v>1266</v>
      </c>
      <c r="N1756" t="s">
        <v>1132</v>
      </c>
      <c r="O1756" t="s">
        <v>1132</v>
      </c>
      <c r="P1756" t="str">
        <f>IFERROR(VLOOKUP(F1756,Sheet1!$A$2:$B$54,2,FALSE),"")</f>
        <v/>
      </c>
    </row>
    <row r="1757" spans="1:16" x14ac:dyDescent="0.2">
      <c r="A1757" s="1">
        <v>2016</v>
      </c>
      <c r="B1757" t="s">
        <v>214</v>
      </c>
      <c r="C1757" s="10" t="s">
        <v>1678</v>
      </c>
      <c r="D1757" s="10" t="s">
        <v>1679</v>
      </c>
      <c r="E1757" s="10" t="s">
        <v>1682</v>
      </c>
      <c r="F1757" t="s">
        <v>711</v>
      </c>
      <c r="G1757" s="4">
        <v>39058</v>
      </c>
      <c r="H1757" s="4"/>
      <c r="I1757" s="4"/>
      <c r="J1757" s="4">
        <f>SUM(G1757:I1757)</f>
        <v>39058</v>
      </c>
      <c r="K1757" t="s">
        <v>1659</v>
      </c>
      <c r="L1757" t="s">
        <v>1659</v>
      </c>
      <c r="M1757" t="s">
        <v>1266</v>
      </c>
      <c r="N1757" t="s">
        <v>1132</v>
      </c>
      <c r="O1757" t="s">
        <v>1132</v>
      </c>
      <c r="P1757" t="str">
        <f>IFERROR(VLOOKUP(F1757,Sheet1!$A$2:$B$54,2,FALSE),"")</f>
        <v/>
      </c>
    </row>
    <row r="1758" spans="1:16" x14ac:dyDescent="0.2">
      <c r="A1758" s="1">
        <v>2017</v>
      </c>
      <c r="B1758" t="s">
        <v>214</v>
      </c>
      <c r="C1758" s="10" t="s">
        <v>1678</v>
      </c>
      <c r="D1758" s="10" t="s">
        <v>1679</v>
      </c>
      <c r="E1758" s="10" t="s">
        <v>1682</v>
      </c>
      <c r="F1758" t="s">
        <v>711</v>
      </c>
      <c r="G1758" s="4">
        <v>68366</v>
      </c>
      <c r="H1758" s="4"/>
      <c r="I1758" s="4"/>
      <c r="J1758" s="4">
        <f>SUM(G1758:I1758)</f>
        <v>68366</v>
      </c>
      <c r="K1758" t="s">
        <v>1659</v>
      </c>
      <c r="L1758" t="s">
        <v>1659</v>
      </c>
      <c r="M1758" t="s">
        <v>1266</v>
      </c>
      <c r="N1758" t="s">
        <v>1132</v>
      </c>
      <c r="O1758" t="s">
        <v>1132</v>
      </c>
      <c r="P1758" t="str">
        <f>IFERROR(VLOOKUP(F1758,Sheet1!$A$2:$B$54,2,FALSE),"")</f>
        <v/>
      </c>
    </row>
    <row r="1759" spans="1:16" x14ac:dyDescent="0.2">
      <c r="A1759" s="1">
        <v>2018</v>
      </c>
      <c r="B1759" t="s">
        <v>214</v>
      </c>
      <c r="C1759" s="10" t="s">
        <v>1678</v>
      </c>
      <c r="D1759" s="10" t="s">
        <v>1679</v>
      </c>
      <c r="E1759" s="10" t="s">
        <v>1682</v>
      </c>
      <c r="F1759" t="s">
        <v>711</v>
      </c>
      <c r="G1759" s="4">
        <v>72334</v>
      </c>
      <c r="H1759" s="4"/>
      <c r="I1759" s="4"/>
      <c r="J1759" s="4">
        <f>SUM(G1759:I1759)</f>
        <v>72334</v>
      </c>
      <c r="K1759" t="s">
        <v>1659</v>
      </c>
      <c r="L1759" t="s">
        <v>1659</v>
      </c>
      <c r="M1759" t="s">
        <v>1266</v>
      </c>
      <c r="N1759" t="s">
        <v>1132</v>
      </c>
      <c r="O1759" t="s">
        <v>1132</v>
      </c>
      <c r="P1759" t="str">
        <f>IFERROR(VLOOKUP(F1759,Sheet1!$A$2:$B$54,2,FALSE),"")</f>
        <v/>
      </c>
    </row>
    <row r="1760" spans="1:16" x14ac:dyDescent="0.2">
      <c r="A1760" s="1">
        <v>2019</v>
      </c>
      <c r="B1760" t="s">
        <v>214</v>
      </c>
      <c r="C1760" s="10" t="s">
        <v>1678</v>
      </c>
      <c r="D1760" s="10" t="s">
        <v>1679</v>
      </c>
      <c r="E1760" s="10" t="s">
        <v>1682</v>
      </c>
      <c r="F1760" t="s">
        <v>711</v>
      </c>
      <c r="G1760" s="4">
        <v>98920</v>
      </c>
      <c r="H1760" s="4"/>
      <c r="I1760" s="4"/>
      <c r="J1760" s="4">
        <f>SUM(G1760:I1760)</f>
        <v>98920</v>
      </c>
      <c r="K1760" t="s">
        <v>1659</v>
      </c>
      <c r="L1760" t="s">
        <v>1659</v>
      </c>
      <c r="M1760" t="s">
        <v>1266</v>
      </c>
      <c r="N1760" t="s">
        <v>1132</v>
      </c>
      <c r="O1760" t="s">
        <v>1132</v>
      </c>
      <c r="P1760" t="str">
        <f>IFERROR(VLOOKUP(F1760,Sheet1!$A$2:$B$54,2,FALSE),"")</f>
        <v/>
      </c>
    </row>
    <row r="1761" spans="1:16" x14ac:dyDescent="0.2">
      <c r="A1761" s="1">
        <v>2020</v>
      </c>
      <c r="B1761" t="s">
        <v>214</v>
      </c>
      <c r="C1761" s="10" t="s">
        <v>1678</v>
      </c>
      <c r="D1761" s="10" t="s">
        <v>1679</v>
      </c>
      <c r="E1761" s="10" t="s">
        <v>1682</v>
      </c>
      <c r="F1761" t="s">
        <v>711</v>
      </c>
      <c r="G1761" s="4">
        <v>127585</v>
      </c>
      <c r="H1761" s="4"/>
      <c r="I1761" s="4"/>
      <c r="J1761" s="4">
        <f>SUM(G1761:I1761)</f>
        <v>127585</v>
      </c>
      <c r="K1761" t="s">
        <v>1659</v>
      </c>
      <c r="L1761" t="s">
        <v>1659</v>
      </c>
      <c r="M1761" t="s">
        <v>1266</v>
      </c>
      <c r="N1761" t="s">
        <v>1132</v>
      </c>
      <c r="O1761" t="s">
        <v>1132</v>
      </c>
      <c r="P1761" t="str">
        <f>IFERROR(VLOOKUP(F1761,Sheet1!$A$2:$B$54,2,FALSE),"")</f>
        <v/>
      </c>
    </row>
    <row r="1762" spans="1:16" x14ac:dyDescent="0.2">
      <c r="A1762" s="1">
        <v>2021</v>
      </c>
      <c r="B1762" t="s">
        <v>214</v>
      </c>
      <c r="C1762" s="10" t="s">
        <v>1678</v>
      </c>
      <c r="D1762" s="10" t="s">
        <v>1679</v>
      </c>
      <c r="E1762" s="10" t="s">
        <v>1682</v>
      </c>
      <c r="F1762" t="s">
        <v>711</v>
      </c>
      <c r="G1762" s="4">
        <v>154942</v>
      </c>
      <c r="H1762" s="4"/>
      <c r="I1762" s="4"/>
      <c r="J1762" s="4">
        <f>SUM(G1762:I1762)</f>
        <v>154942</v>
      </c>
      <c r="K1762" t="s">
        <v>1659</v>
      </c>
      <c r="L1762" t="s">
        <v>1659</v>
      </c>
      <c r="M1762" t="s">
        <v>711</v>
      </c>
      <c r="N1762" t="s">
        <v>1132</v>
      </c>
      <c r="O1762" t="s">
        <v>1132</v>
      </c>
      <c r="P1762" t="str">
        <f>IFERROR(VLOOKUP(F1762,Sheet1!$A$2:$B$54,2,FALSE),"")</f>
        <v/>
      </c>
    </row>
    <row r="1763" spans="1:16" x14ac:dyDescent="0.2">
      <c r="A1763" s="1">
        <v>2022</v>
      </c>
      <c r="B1763" t="s">
        <v>214</v>
      </c>
      <c r="C1763" s="10" t="s">
        <v>1678</v>
      </c>
      <c r="D1763" s="10" t="s">
        <v>1679</v>
      </c>
      <c r="E1763" s="10" t="s">
        <v>1682</v>
      </c>
      <c r="F1763" t="s">
        <v>711</v>
      </c>
      <c r="G1763" s="4">
        <v>184939</v>
      </c>
      <c r="H1763" s="4"/>
      <c r="I1763" s="4"/>
      <c r="J1763" s="4">
        <f>SUM(G1763:I1763)</f>
        <v>184939</v>
      </c>
      <c r="K1763" t="s">
        <v>1659</v>
      </c>
      <c r="L1763" t="s">
        <v>1659</v>
      </c>
      <c r="M1763" t="s">
        <v>711</v>
      </c>
      <c r="N1763" t="s">
        <v>1132</v>
      </c>
      <c r="O1763" t="s">
        <v>1132</v>
      </c>
      <c r="P1763" t="str">
        <f>IFERROR(VLOOKUP(F1763,Sheet1!$A$2:$B$54,2,FALSE),"")</f>
        <v/>
      </c>
    </row>
    <row r="1764" spans="1:16" x14ac:dyDescent="0.2">
      <c r="A1764" s="1">
        <v>2023</v>
      </c>
      <c r="B1764" t="s">
        <v>214</v>
      </c>
      <c r="C1764" s="10" t="s">
        <v>1678</v>
      </c>
      <c r="D1764" s="10" t="s">
        <v>1679</v>
      </c>
      <c r="E1764" s="10" t="s">
        <v>1682</v>
      </c>
      <c r="F1764" t="s">
        <v>711</v>
      </c>
      <c r="G1764" s="4">
        <v>216319</v>
      </c>
      <c r="H1764" s="4"/>
      <c r="I1764" s="4"/>
      <c r="J1764" s="4">
        <f>SUM(G1764:I1764)</f>
        <v>216319</v>
      </c>
      <c r="K1764" t="s">
        <v>1659</v>
      </c>
      <c r="L1764" t="s">
        <v>1659</v>
      </c>
      <c r="M1764" t="s">
        <v>711</v>
      </c>
      <c r="N1764" t="s">
        <v>1132</v>
      </c>
      <c r="O1764" t="s">
        <v>1132</v>
      </c>
      <c r="P1764" t="str">
        <f>IFERROR(VLOOKUP(F1764,Sheet1!$A$2:$B$54,2,FALSE),"")</f>
        <v/>
      </c>
    </row>
    <row r="1765" spans="1:16" x14ac:dyDescent="0.2">
      <c r="A1765" s="1">
        <v>2015</v>
      </c>
      <c r="B1765" t="s">
        <v>201</v>
      </c>
      <c r="C1765" s="10" t="s">
        <v>1678</v>
      </c>
      <c r="D1765" s="10" t="s">
        <v>1679</v>
      </c>
      <c r="E1765" s="10" t="s">
        <v>1682</v>
      </c>
      <c r="F1765" t="s">
        <v>698</v>
      </c>
      <c r="G1765" s="4">
        <v>286317</v>
      </c>
      <c r="H1765" s="4">
        <v>4120087</v>
      </c>
      <c r="I1765" s="4">
        <v>22543</v>
      </c>
      <c r="J1765" s="4">
        <f>SUM(G1765:I1765)</f>
        <v>4428947</v>
      </c>
      <c r="K1765" t="s">
        <v>1660</v>
      </c>
      <c r="L1765" t="s">
        <v>1660</v>
      </c>
      <c r="M1765" t="s">
        <v>1246</v>
      </c>
      <c r="N1765" t="s">
        <v>1246</v>
      </c>
      <c r="O1765" t="s">
        <v>1246</v>
      </c>
      <c r="P1765">
        <f>IFERROR(VLOOKUP(F1765,Sheet1!$A$2:$B$54,2,FALSE),"")</f>
        <v>4900510</v>
      </c>
    </row>
    <row r="1766" spans="1:16" x14ac:dyDescent="0.2">
      <c r="A1766" s="1">
        <v>2016</v>
      </c>
      <c r="B1766" t="s">
        <v>201</v>
      </c>
      <c r="C1766" s="10" t="s">
        <v>1678</v>
      </c>
      <c r="D1766" s="10" t="s">
        <v>1679</v>
      </c>
      <c r="E1766" s="10" t="s">
        <v>1682</v>
      </c>
      <c r="F1766" t="s">
        <v>698</v>
      </c>
      <c r="G1766" s="4">
        <v>346509</v>
      </c>
      <c r="H1766" s="4">
        <v>4147317</v>
      </c>
      <c r="I1766" s="4">
        <v>23352</v>
      </c>
      <c r="J1766" s="4">
        <f>SUM(G1766:I1766)</f>
        <v>4517178</v>
      </c>
      <c r="K1766" t="s">
        <v>1660</v>
      </c>
      <c r="L1766" t="s">
        <v>1660</v>
      </c>
      <c r="M1766" t="s">
        <v>1246</v>
      </c>
      <c r="N1766" t="s">
        <v>1246</v>
      </c>
      <c r="O1766" t="s">
        <v>1246</v>
      </c>
      <c r="P1766">
        <f>IFERROR(VLOOKUP(F1766,Sheet1!$A$2:$B$54,2,FALSE),"")</f>
        <v>4900510</v>
      </c>
    </row>
    <row r="1767" spans="1:16" x14ac:dyDescent="0.2">
      <c r="A1767" s="1">
        <v>2017</v>
      </c>
      <c r="B1767" t="s">
        <v>201</v>
      </c>
      <c r="C1767" s="10" t="s">
        <v>1678</v>
      </c>
      <c r="D1767" s="10" t="s">
        <v>1679</v>
      </c>
      <c r="E1767" s="10" t="s">
        <v>1682</v>
      </c>
      <c r="F1767" t="s">
        <v>698</v>
      </c>
      <c r="G1767" s="4">
        <v>392828</v>
      </c>
      <c r="H1767" s="4">
        <v>4075160</v>
      </c>
      <c r="I1767" s="4">
        <v>24068</v>
      </c>
      <c r="J1767" s="4">
        <f>SUM(G1767:I1767)</f>
        <v>4492056</v>
      </c>
      <c r="K1767" t="s">
        <v>1660</v>
      </c>
      <c r="L1767" t="s">
        <v>1660</v>
      </c>
      <c r="M1767" t="s">
        <v>1246</v>
      </c>
      <c r="N1767" t="s">
        <v>1246</v>
      </c>
      <c r="O1767" t="s">
        <v>1246</v>
      </c>
      <c r="P1767">
        <f>IFERROR(VLOOKUP(F1767,Sheet1!$A$2:$B$54,2,FALSE),"")</f>
        <v>4900510</v>
      </c>
    </row>
    <row r="1768" spans="1:16" x14ac:dyDescent="0.2">
      <c r="A1768" s="1">
        <v>2018</v>
      </c>
      <c r="B1768" t="s">
        <v>201</v>
      </c>
      <c r="C1768" s="10" t="s">
        <v>1678</v>
      </c>
      <c r="D1768" s="10" t="s">
        <v>1679</v>
      </c>
      <c r="E1768" s="10" t="s">
        <v>1682</v>
      </c>
      <c r="F1768" t="s">
        <v>698</v>
      </c>
      <c r="G1768" s="4">
        <v>448348</v>
      </c>
      <c r="H1768" s="4">
        <v>4200422</v>
      </c>
      <c r="I1768" s="4">
        <v>26672</v>
      </c>
      <c r="J1768" s="4">
        <f>SUM(G1768:I1768)</f>
        <v>4675442</v>
      </c>
      <c r="K1768" t="s">
        <v>1660</v>
      </c>
      <c r="L1768" t="s">
        <v>1660</v>
      </c>
      <c r="M1768" t="s">
        <v>1246</v>
      </c>
      <c r="N1768" t="s">
        <v>1246</v>
      </c>
      <c r="O1768" t="s">
        <v>1246</v>
      </c>
      <c r="P1768">
        <f>IFERROR(VLOOKUP(F1768,Sheet1!$A$2:$B$54,2,FALSE),"")</f>
        <v>4900510</v>
      </c>
    </row>
    <row r="1769" spans="1:16" x14ac:dyDescent="0.2">
      <c r="A1769" s="1">
        <v>2019</v>
      </c>
      <c r="B1769" t="s">
        <v>201</v>
      </c>
      <c r="C1769" s="10" t="s">
        <v>1678</v>
      </c>
      <c r="D1769" s="10" t="s">
        <v>1679</v>
      </c>
      <c r="E1769" s="10" t="s">
        <v>1682</v>
      </c>
      <c r="F1769" t="s">
        <v>698</v>
      </c>
      <c r="G1769" s="4">
        <v>631487</v>
      </c>
      <c r="H1769" s="4">
        <v>4398946</v>
      </c>
      <c r="I1769" s="4">
        <v>18478</v>
      </c>
      <c r="J1769" s="4">
        <f>SUM(G1769:I1769)</f>
        <v>5048911</v>
      </c>
      <c r="K1769" t="s">
        <v>1660</v>
      </c>
      <c r="L1769" t="s">
        <v>1660</v>
      </c>
      <c r="M1769" t="s">
        <v>1246</v>
      </c>
      <c r="N1769" t="s">
        <v>1246</v>
      </c>
      <c r="O1769" t="s">
        <v>1246</v>
      </c>
      <c r="P1769">
        <f>IFERROR(VLOOKUP(F1769,Sheet1!$A$2:$B$54,2,FALSE),"")</f>
        <v>4900510</v>
      </c>
    </row>
    <row r="1770" spans="1:16" x14ac:dyDescent="0.2">
      <c r="A1770" s="1">
        <v>2020</v>
      </c>
      <c r="B1770" t="s">
        <v>201</v>
      </c>
      <c r="C1770" s="10" t="s">
        <v>1678</v>
      </c>
      <c r="D1770" s="10" t="s">
        <v>1679</v>
      </c>
      <c r="E1770" s="10" t="s">
        <v>1682</v>
      </c>
      <c r="F1770" t="s">
        <v>698</v>
      </c>
      <c r="G1770" s="4">
        <v>702707</v>
      </c>
      <c r="H1770" s="4">
        <v>4315452</v>
      </c>
      <c r="I1770" s="4">
        <v>0</v>
      </c>
      <c r="J1770" s="4">
        <f>SUM(G1770:I1770)</f>
        <v>5018159</v>
      </c>
      <c r="K1770" t="s">
        <v>1660</v>
      </c>
      <c r="L1770" t="s">
        <v>1660</v>
      </c>
      <c r="M1770" t="s">
        <v>1246</v>
      </c>
      <c r="N1770" t="s">
        <v>1246</v>
      </c>
      <c r="O1770" t="s">
        <v>1246</v>
      </c>
      <c r="P1770">
        <f>IFERROR(VLOOKUP(F1770,Sheet1!$A$2:$B$54,2,FALSE),"")</f>
        <v>4900510</v>
      </c>
    </row>
    <row r="1771" spans="1:16" x14ac:dyDescent="0.2">
      <c r="A1771" s="1">
        <v>2021</v>
      </c>
      <c r="B1771" t="s">
        <v>201</v>
      </c>
      <c r="C1771" s="10" t="s">
        <v>1678</v>
      </c>
      <c r="D1771" s="10" t="s">
        <v>1679</v>
      </c>
      <c r="E1771" s="10" t="s">
        <v>1682</v>
      </c>
      <c r="F1771" t="s">
        <v>698</v>
      </c>
      <c r="G1771" s="4">
        <v>862399</v>
      </c>
      <c r="H1771" s="4">
        <v>4800311</v>
      </c>
      <c r="I1771" s="4">
        <v>0</v>
      </c>
      <c r="J1771" s="4">
        <f>SUM(G1771:I1771)</f>
        <v>5662710</v>
      </c>
      <c r="K1771" t="s">
        <v>1660</v>
      </c>
      <c r="L1771" t="s">
        <v>1660</v>
      </c>
      <c r="M1771" t="s">
        <v>698</v>
      </c>
      <c r="N1771" t="s">
        <v>698</v>
      </c>
      <c r="O1771" t="s">
        <v>698</v>
      </c>
      <c r="P1771">
        <f>IFERROR(VLOOKUP(F1771,Sheet1!$A$2:$B$54,2,FALSE),"")</f>
        <v>4900510</v>
      </c>
    </row>
    <row r="1772" spans="1:16" x14ac:dyDescent="0.2">
      <c r="A1772" s="1">
        <v>2022</v>
      </c>
      <c r="B1772" t="s">
        <v>201</v>
      </c>
      <c r="C1772" s="10" t="s">
        <v>1678</v>
      </c>
      <c r="D1772" s="10" t="s">
        <v>1679</v>
      </c>
      <c r="E1772" s="10" t="s">
        <v>1682</v>
      </c>
      <c r="F1772" t="s">
        <v>698</v>
      </c>
      <c r="G1772" s="4">
        <v>976724</v>
      </c>
      <c r="H1772" s="4">
        <v>4992672</v>
      </c>
      <c r="I1772" s="4">
        <v>0</v>
      </c>
      <c r="J1772" s="4">
        <f>SUM(G1772:I1772)</f>
        <v>5969396</v>
      </c>
      <c r="K1772" t="s">
        <v>1660</v>
      </c>
      <c r="L1772" t="s">
        <v>1660</v>
      </c>
      <c r="M1772" t="s">
        <v>698</v>
      </c>
      <c r="N1772" t="s">
        <v>698</v>
      </c>
      <c r="O1772" t="s">
        <v>698</v>
      </c>
      <c r="P1772">
        <f>IFERROR(VLOOKUP(F1772,Sheet1!$A$2:$B$54,2,FALSE),"")</f>
        <v>4900510</v>
      </c>
    </row>
    <row r="1773" spans="1:16" x14ac:dyDescent="0.2">
      <c r="A1773" s="1">
        <v>2023</v>
      </c>
      <c r="B1773" t="s">
        <v>201</v>
      </c>
      <c r="C1773" s="10" t="s">
        <v>1678</v>
      </c>
      <c r="D1773" s="10" t="s">
        <v>1679</v>
      </c>
      <c r="E1773" s="10" t="s">
        <v>1682</v>
      </c>
      <c r="F1773" t="s">
        <v>698</v>
      </c>
      <c r="G1773" s="4">
        <v>1131739</v>
      </c>
      <c r="H1773" s="4">
        <v>5328294</v>
      </c>
      <c r="I1773" s="4"/>
      <c r="J1773" s="4">
        <f>SUM(G1773:I1773)</f>
        <v>6460033</v>
      </c>
      <c r="K1773" t="s">
        <v>1660</v>
      </c>
      <c r="L1773" t="s">
        <v>1659</v>
      </c>
      <c r="M1773" t="s">
        <v>698</v>
      </c>
      <c r="N1773" t="s">
        <v>698</v>
      </c>
      <c r="O1773" t="s">
        <v>1132</v>
      </c>
      <c r="P1773">
        <f>IFERROR(VLOOKUP(F1773,Sheet1!$A$2:$B$54,2,FALSE),"")</f>
        <v>4900510</v>
      </c>
    </row>
    <row r="1774" spans="1:16" x14ac:dyDescent="0.2">
      <c r="A1774" s="1">
        <v>2017</v>
      </c>
      <c r="B1774" t="s">
        <v>216</v>
      </c>
      <c r="C1774" s="10" t="s">
        <v>1678</v>
      </c>
      <c r="D1774" s="10" t="s">
        <v>1679</v>
      </c>
      <c r="E1774" s="10" t="s">
        <v>1682</v>
      </c>
      <c r="F1774" t="s">
        <v>713</v>
      </c>
      <c r="G1774" s="4">
        <v>4132</v>
      </c>
      <c r="H1774" s="4"/>
      <c r="I1774" s="4"/>
      <c r="J1774" s="4">
        <f>SUM(G1774:I1774)</f>
        <v>4132</v>
      </c>
      <c r="K1774" t="s">
        <v>1659</v>
      </c>
      <c r="L1774" t="s">
        <v>1659</v>
      </c>
      <c r="M1774" t="s">
        <v>1268</v>
      </c>
      <c r="N1774" t="s">
        <v>1132</v>
      </c>
      <c r="O1774" t="s">
        <v>1132</v>
      </c>
      <c r="P1774" t="str">
        <f>IFERROR(VLOOKUP(F1774,Sheet1!$A$2:$B$54,2,FALSE),"")</f>
        <v/>
      </c>
    </row>
    <row r="1775" spans="1:16" x14ac:dyDescent="0.2">
      <c r="A1775" s="1">
        <v>2018</v>
      </c>
      <c r="B1775" t="s">
        <v>216</v>
      </c>
      <c r="C1775" s="10" t="s">
        <v>1678</v>
      </c>
      <c r="D1775" s="10" t="s">
        <v>1679</v>
      </c>
      <c r="E1775" s="10" t="s">
        <v>1682</v>
      </c>
      <c r="F1775" t="s">
        <v>713</v>
      </c>
      <c r="G1775" s="4">
        <v>35676</v>
      </c>
      <c r="H1775" s="4"/>
      <c r="I1775" s="4"/>
      <c r="J1775" s="4">
        <f>SUM(G1775:I1775)</f>
        <v>35676</v>
      </c>
      <c r="K1775" t="s">
        <v>1659</v>
      </c>
      <c r="L1775" t="s">
        <v>1659</v>
      </c>
      <c r="M1775" t="s">
        <v>1268</v>
      </c>
      <c r="N1775" t="s">
        <v>1132</v>
      </c>
      <c r="O1775" t="s">
        <v>1132</v>
      </c>
      <c r="P1775" t="str">
        <f>IFERROR(VLOOKUP(F1775,Sheet1!$A$2:$B$54,2,FALSE),"")</f>
        <v/>
      </c>
    </row>
    <row r="1776" spans="1:16" x14ac:dyDescent="0.2">
      <c r="A1776" s="1">
        <v>2019</v>
      </c>
      <c r="B1776" t="s">
        <v>216</v>
      </c>
      <c r="C1776" s="10" t="s">
        <v>1678</v>
      </c>
      <c r="D1776" s="10" t="s">
        <v>1679</v>
      </c>
      <c r="E1776" s="10" t="s">
        <v>1682</v>
      </c>
      <c r="F1776" t="s">
        <v>713</v>
      </c>
      <c r="G1776" s="4">
        <v>74485</v>
      </c>
      <c r="H1776" s="4"/>
      <c r="I1776" s="4"/>
      <c r="J1776" s="4">
        <f>SUM(G1776:I1776)</f>
        <v>74485</v>
      </c>
      <c r="K1776" t="s">
        <v>1659</v>
      </c>
      <c r="L1776" t="s">
        <v>1659</v>
      </c>
      <c r="M1776" t="s">
        <v>1268</v>
      </c>
      <c r="N1776" t="s">
        <v>1132</v>
      </c>
      <c r="O1776" t="s">
        <v>1132</v>
      </c>
      <c r="P1776" t="str">
        <f>IFERROR(VLOOKUP(F1776,Sheet1!$A$2:$B$54,2,FALSE),"")</f>
        <v/>
      </c>
    </row>
    <row r="1777" spans="1:16" x14ac:dyDescent="0.2">
      <c r="A1777" s="1">
        <v>2020</v>
      </c>
      <c r="B1777" t="s">
        <v>216</v>
      </c>
      <c r="C1777" s="10" t="s">
        <v>1678</v>
      </c>
      <c r="D1777" s="10" t="s">
        <v>1679</v>
      </c>
      <c r="E1777" s="10" t="s">
        <v>1682</v>
      </c>
      <c r="F1777" t="s">
        <v>713</v>
      </c>
      <c r="G1777" s="4">
        <v>75514</v>
      </c>
      <c r="H1777" s="4"/>
      <c r="I1777" s="4"/>
      <c r="J1777" s="4">
        <f>SUM(G1777:I1777)</f>
        <v>75514</v>
      </c>
      <c r="K1777" t="s">
        <v>1659</v>
      </c>
      <c r="L1777" t="s">
        <v>1659</v>
      </c>
      <c r="M1777" t="s">
        <v>1268</v>
      </c>
      <c r="N1777" t="s">
        <v>1132</v>
      </c>
      <c r="O1777" t="s">
        <v>1132</v>
      </c>
      <c r="P1777" t="str">
        <f>IFERROR(VLOOKUP(F1777,Sheet1!$A$2:$B$54,2,FALSE),"")</f>
        <v/>
      </c>
    </row>
    <row r="1778" spans="1:16" x14ac:dyDescent="0.2">
      <c r="A1778" s="1">
        <v>2021</v>
      </c>
      <c r="B1778" t="s">
        <v>216</v>
      </c>
      <c r="C1778" s="10" t="s">
        <v>1678</v>
      </c>
      <c r="D1778" s="10" t="s">
        <v>1679</v>
      </c>
      <c r="E1778" s="10" t="s">
        <v>1682</v>
      </c>
      <c r="F1778" t="s">
        <v>713</v>
      </c>
      <c r="G1778" s="4">
        <v>87522</v>
      </c>
      <c r="H1778" s="4"/>
      <c r="I1778" s="4"/>
      <c r="J1778" s="4">
        <f>SUM(G1778:I1778)</f>
        <v>87522</v>
      </c>
      <c r="K1778" t="s">
        <v>1659</v>
      </c>
      <c r="L1778" t="s">
        <v>1659</v>
      </c>
      <c r="M1778" t="s">
        <v>713</v>
      </c>
      <c r="N1778" t="s">
        <v>1132</v>
      </c>
      <c r="O1778" t="s">
        <v>1132</v>
      </c>
      <c r="P1778" t="str">
        <f>IFERROR(VLOOKUP(F1778,Sheet1!$A$2:$B$54,2,FALSE),"")</f>
        <v/>
      </c>
    </row>
    <row r="1779" spans="1:16" x14ac:dyDescent="0.2">
      <c r="A1779" s="1">
        <v>2022</v>
      </c>
      <c r="B1779" t="s">
        <v>216</v>
      </c>
      <c r="C1779" s="10" t="s">
        <v>1678</v>
      </c>
      <c r="D1779" s="10" t="s">
        <v>1679</v>
      </c>
      <c r="E1779" s="10" t="s">
        <v>1682</v>
      </c>
      <c r="F1779" t="s">
        <v>713</v>
      </c>
      <c r="G1779" s="4">
        <v>97317</v>
      </c>
      <c r="H1779" s="4"/>
      <c r="I1779" s="4"/>
      <c r="J1779" s="4">
        <f>SUM(G1779:I1779)</f>
        <v>97317</v>
      </c>
      <c r="K1779" t="s">
        <v>1659</v>
      </c>
      <c r="L1779" t="s">
        <v>1659</v>
      </c>
      <c r="M1779" t="s">
        <v>713</v>
      </c>
      <c r="N1779" t="s">
        <v>1132</v>
      </c>
      <c r="O1779" t="s">
        <v>1132</v>
      </c>
      <c r="P1779" t="str">
        <f>IFERROR(VLOOKUP(F1779,Sheet1!$A$2:$B$54,2,FALSE),"")</f>
        <v/>
      </c>
    </row>
    <row r="1780" spans="1:16" x14ac:dyDescent="0.2">
      <c r="A1780" s="1">
        <v>2023</v>
      </c>
      <c r="B1780" t="s">
        <v>216</v>
      </c>
      <c r="C1780" s="10" t="s">
        <v>1678</v>
      </c>
      <c r="D1780" s="10" t="s">
        <v>1679</v>
      </c>
      <c r="E1780" s="10" t="s">
        <v>1682</v>
      </c>
      <c r="F1780" t="s">
        <v>713</v>
      </c>
      <c r="G1780" s="4">
        <v>111851</v>
      </c>
      <c r="H1780" s="4"/>
      <c r="I1780" s="4"/>
      <c r="J1780" s="4">
        <f>SUM(G1780:I1780)</f>
        <v>111851</v>
      </c>
      <c r="K1780" t="s">
        <v>1659</v>
      </c>
      <c r="L1780" t="s">
        <v>1659</v>
      </c>
      <c r="M1780" t="s">
        <v>713</v>
      </c>
      <c r="N1780" t="s">
        <v>1132</v>
      </c>
      <c r="O1780" t="s">
        <v>1132</v>
      </c>
      <c r="P1780" t="str">
        <f>IFERROR(VLOOKUP(F1780,Sheet1!$A$2:$B$54,2,FALSE),"")</f>
        <v/>
      </c>
    </row>
    <row r="1781" spans="1:16" x14ac:dyDescent="0.2">
      <c r="A1781" s="1">
        <v>2015</v>
      </c>
      <c r="B1781" t="s">
        <v>217</v>
      </c>
      <c r="C1781" s="10" t="s">
        <v>1678</v>
      </c>
      <c r="D1781" s="10" t="s">
        <v>1679</v>
      </c>
      <c r="E1781" s="10" t="s">
        <v>1682</v>
      </c>
      <c r="F1781" t="s">
        <v>714</v>
      </c>
      <c r="G1781" s="4">
        <v>354</v>
      </c>
      <c r="H1781" s="4"/>
      <c r="I1781" s="4"/>
      <c r="J1781" s="4">
        <f>SUM(G1781:I1781)</f>
        <v>354</v>
      </c>
      <c r="K1781" t="s">
        <v>1659</v>
      </c>
      <c r="L1781" t="s">
        <v>1659</v>
      </c>
      <c r="M1781" t="s">
        <v>1269</v>
      </c>
      <c r="N1781" t="s">
        <v>1132</v>
      </c>
      <c r="O1781" t="s">
        <v>1132</v>
      </c>
      <c r="P1781" t="str">
        <f>IFERROR(VLOOKUP(F1781,Sheet1!$A$2:$B$54,2,FALSE),"")</f>
        <v/>
      </c>
    </row>
    <row r="1782" spans="1:16" x14ac:dyDescent="0.2">
      <c r="A1782" s="1">
        <v>2016</v>
      </c>
      <c r="B1782" t="s">
        <v>217</v>
      </c>
      <c r="C1782" s="10" t="s">
        <v>1678</v>
      </c>
      <c r="D1782" s="10" t="s">
        <v>1679</v>
      </c>
      <c r="E1782" s="10" t="s">
        <v>1682</v>
      </c>
      <c r="F1782" t="s">
        <v>714</v>
      </c>
      <c r="G1782" s="4">
        <v>1085</v>
      </c>
      <c r="H1782" s="4"/>
      <c r="I1782" s="4"/>
      <c r="J1782" s="4">
        <f>SUM(G1782:I1782)</f>
        <v>1085</v>
      </c>
      <c r="K1782" t="s">
        <v>1659</v>
      </c>
      <c r="L1782" t="s">
        <v>1659</v>
      </c>
      <c r="M1782" t="s">
        <v>1269</v>
      </c>
      <c r="N1782" t="s">
        <v>1132</v>
      </c>
      <c r="O1782" t="s">
        <v>1132</v>
      </c>
      <c r="P1782" t="str">
        <f>IFERROR(VLOOKUP(F1782,Sheet1!$A$2:$B$54,2,FALSE),"")</f>
        <v/>
      </c>
    </row>
    <row r="1783" spans="1:16" x14ac:dyDescent="0.2">
      <c r="A1783" s="1">
        <v>2017</v>
      </c>
      <c r="B1783" t="s">
        <v>217</v>
      </c>
      <c r="C1783" s="10" t="s">
        <v>1678</v>
      </c>
      <c r="D1783" s="10" t="s">
        <v>1679</v>
      </c>
      <c r="E1783" s="10" t="s">
        <v>1682</v>
      </c>
      <c r="F1783" t="s">
        <v>714</v>
      </c>
      <c r="G1783" s="4">
        <v>1132</v>
      </c>
      <c r="H1783" s="4"/>
      <c r="I1783" s="4"/>
      <c r="J1783" s="4">
        <f>SUM(G1783:I1783)</f>
        <v>1132</v>
      </c>
      <c r="K1783" t="s">
        <v>1659</v>
      </c>
      <c r="L1783" t="s">
        <v>1659</v>
      </c>
      <c r="M1783" t="s">
        <v>1269</v>
      </c>
      <c r="N1783" t="s">
        <v>1132</v>
      </c>
      <c r="O1783" t="s">
        <v>1132</v>
      </c>
      <c r="P1783" t="str">
        <f>IFERROR(VLOOKUP(F1783,Sheet1!$A$2:$B$54,2,FALSE),"")</f>
        <v/>
      </c>
    </row>
    <row r="1784" spans="1:16" x14ac:dyDescent="0.2">
      <c r="A1784" s="1">
        <v>2018</v>
      </c>
      <c r="B1784" t="s">
        <v>217</v>
      </c>
      <c r="C1784" s="10" t="s">
        <v>1678</v>
      </c>
      <c r="D1784" s="10" t="s">
        <v>1679</v>
      </c>
      <c r="E1784" s="10" t="s">
        <v>1682</v>
      </c>
      <c r="F1784" t="s">
        <v>714</v>
      </c>
      <c r="G1784" s="4">
        <v>748</v>
      </c>
      <c r="H1784" s="4"/>
      <c r="I1784" s="4"/>
      <c r="J1784" s="4">
        <f>SUM(G1784:I1784)</f>
        <v>748</v>
      </c>
      <c r="K1784" t="s">
        <v>1659</v>
      </c>
      <c r="L1784" t="s">
        <v>1659</v>
      </c>
      <c r="M1784" t="s">
        <v>1269</v>
      </c>
      <c r="N1784" t="s">
        <v>1132</v>
      </c>
      <c r="O1784" t="s">
        <v>1132</v>
      </c>
      <c r="P1784" t="str">
        <f>IFERROR(VLOOKUP(F1784,Sheet1!$A$2:$B$54,2,FALSE),"")</f>
        <v/>
      </c>
    </row>
    <row r="1785" spans="1:16" x14ac:dyDescent="0.2">
      <c r="A1785" s="1">
        <v>2019</v>
      </c>
      <c r="B1785" t="s">
        <v>217</v>
      </c>
      <c r="C1785" s="10" t="s">
        <v>1678</v>
      </c>
      <c r="D1785" s="10" t="s">
        <v>1679</v>
      </c>
      <c r="E1785" s="10" t="s">
        <v>1682</v>
      </c>
      <c r="F1785" t="s">
        <v>714</v>
      </c>
      <c r="G1785" s="4">
        <v>1242</v>
      </c>
      <c r="H1785" s="4"/>
      <c r="I1785" s="4"/>
      <c r="J1785" s="4">
        <f>SUM(G1785:I1785)</f>
        <v>1242</v>
      </c>
      <c r="K1785" t="s">
        <v>1659</v>
      </c>
      <c r="L1785" t="s">
        <v>1659</v>
      </c>
      <c r="M1785" t="s">
        <v>1269</v>
      </c>
      <c r="N1785" t="s">
        <v>1132</v>
      </c>
      <c r="O1785" t="s">
        <v>1132</v>
      </c>
      <c r="P1785" t="str">
        <f>IFERROR(VLOOKUP(F1785,Sheet1!$A$2:$B$54,2,FALSE),"")</f>
        <v/>
      </c>
    </row>
    <row r="1786" spans="1:16" x14ac:dyDescent="0.2">
      <c r="A1786" s="1">
        <v>2020</v>
      </c>
      <c r="B1786" t="s">
        <v>217</v>
      </c>
      <c r="C1786" s="10" t="s">
        <v>1678</v>
      </c>
      <c r="D1786" s="10" t="s">
        <v>1679</v>
      </c>
      <c r="E1786" s="10" t="s">
        <v>1682</v>
      </c>
      <c r="F1786" t="s">
        <v>714</v>
      </c>
      <c r="G1786" s="4">
        <v>2523</v>
      </c>
      <c r="H1786" s="4"/>
      <c r="I1786" s="4"/>
      <c r="J1786" s="4">
        <f>SUM(G1786:I1786)</f>
        <v>2523</v>
      </c>
      <c r="K1786" t="s">
        <v>1659</v>
      </c>
      <c r="L1786" t="s">
        <v>1659</v>
      </c>
      <c r="M1786" t="s">
        <v>1269</v>
      </c>
      <c r="N1786" t="s">
        <v>1132</v>
      </c>
      <c r="O1786" t="s">
        <v>1132</v>
      </c>
      <c r="P1786" t="str">
        <f>IFERROR(VLOOKUP(F1786,Sheet1!$A$2:$B$54,2,FALSE),"")</f>
        <v/>
      </c>
    </row>
    <row r="1787" spans="1:16" x14ac:dyDescent="0.2">
      <c r="A1787" s="1">
        <v>2021</v>
      </c>
      <c r="B1787" t="s">
        <v>217</v>
      </c>
      <c r="C1787" s="10" t="s">
        <v>1678</v>
      </c>
      <c r="D1787" s="10" t="s">
        <v>1679</v>
      </c>
      <c r="E1787" s="10" t="s">
        <v>1682</v>
      </c>
      <c r="F1787" t="s">
        <v>714</v>
      </c>
      <c r="G1787" s="4">
        <v>3170</v>
      </c>
      <c r="H1787" s="4"/>
      <c r="I1787" s="4"/>
      <c r="J1787" s="4">
        <f>SUM(G1787:I1787)</f>
        <v>3170</v>
      </c>
      <c r="K1787" t="s">
        <v>1659</v>
      </c>
      <c r="L1787" t="s">
        <v>1659</v>
      </c>
      <c r="M1787" t="s">
        <v>714</v>
      </c>
      <c r="N1787" t="s">
        <v>1132</v>
      </c>
      <c r="O1787" t="s">
        <v>1132</v>
      </c>
      <c r="P1787" t="str">
        <f>IFERROR(VLOOKUP(F1787,Sheet1!$A$2:$B$54,2,FALSE),"")</f>
        <v/>
      </c>
    </row>
    <row r="1788" spans="1:16" x14ac:dyDescent="0.2">
      <c r="A1788" s="1">
        <v>2022</v>
      </c>
      <c r="B1788" t="s">
        <v>217</v>
      </c>
      <c r="C1788" s="10" t="s">
        <v>1678</v>
      </c>
      <c r="D1788" s="10" t="s">
        <v>1679</v>
      </c>
      <c r="E1788" s="10" t="s">
        <v>1682</v>
      </c>
      <c r="F1788" t="s">
        <v>714</v>
      </c>
      <c r="G1788" s="4">
        <v>2316</v>
      </c>
      <c r="H1788" s="4"/>
      <c r="I1788" s="4"/>
      <c r="J1788" s="4">
        <f>SUM(G1788:I1788)</f>
        <v>2316</v>
      </c>
      <c r="K1788" t="s">
        <v>1659</v>
      </c>
      <c r="L1788" t="s">
        <v>1659</v>
      </c>
      <c r="M1788" t="s">
        <v>714</v>
      </c>
      <c r="N1788" t="s">
        <v>1132</v>
      </c>
      <c r="O1788" t="s">
        <v>1132</v>
      </c>
      <c r="P1788" t="str">
        <f>IFERROR(VLOOKUP(F1788,Sheet1!$A$2:$B$54,2,FALSE),"")</f>
        <v/>
      </c>
    </row>
    <row r="1789" spans="1:16" x14ac:dyDescent="0.2">
      <c r="A1789" s="1">
        <v>2023</v>
      </c>
      <c r="B1789" t="s">
        <v>217</v>
      </c>
      <c r="C1789" s="10" t="s">
        <v>1678</v>
      </c>
      <c r="D1789" s="10" t="s">
        <v>1679</v>
      </c>
      <c r="E1789" s="10" t="s">
        <v>1682</v>
      </c>
      <c r="F1789" t="s">
        <v>714</v>
      </c>
      <c r="G1789" s="4">
        <v>3119</v>
      </c>
      <c r="H1789" s="4"/>
      <c r="I1789" s="4"/>
      <c r="J1789" s="4">
        <f>SUM(G1789:I1789)</f>
        <v>3119</v>
      </c>
      <c r="K1789" t="s">
        <v>1659</v>
      </c>
      <c r="L1789" t="s">
        <v>1659</v>
      </c>
      <c r="M1789" t="s">
        <v>714</v>
      </c>
      <c r="N1789" t="s">
        <v>1132</v>
      </c>
      <c r="O1789" t="s">
        <v>1132</v>
      </c>
      <c r="P1789" t="str">
        <f>IFERROR(VLOOKUP(F1789,Sheet1!$A$2:$B$54,2,FALSE),"")</f>
        <v/>
      </c>
    </row>
    <row r="1790" spans="1:16" x14ac:dyDescent="0.2">
      <c r="A1790" s="1">
        <v>2019</v>
      </c>
      <c r="B1790" t="s">
        <v>218</v>
      </c>
      <c r="C1790" s="10" t="s">
        <v>1678</v>
      </c>
      <c r="D1790" s="10" t="s">
        <v>1679</v>
      </c>
      <c r="E1790" s="10" t="s">
        <v>1682</v>
      </c>
      <c r="F1790" t="s">
        <v>715</v>
      </c>
      <c r="G1790" s="4">
        <v>0</v>
      </c>
      <c r="H1790" s="4"/>
      <c r="I1790" s="4"/>
      <c r="J1790" s="4">
        <f>SUM(G1790:I1790)</f>
        <v>0</v>
      </c>
      <c r="K1790" t="s">
        <v>1659</v>
      </c>
      <c r="L1790" t="s">
        <v>1659</v>
      </c>
      <c r="M1790" t="s">
        <v>1270</v>
      </c>
      <c r="N1790" t="s">
        <v>1132</v>
      </c>
      <c r="O1790" t="s">
        <v>1132</v>
      </c>
      <c r="P1790" t="str">
        <f>IFERROR(VLOOKUP(F1790,Sheet1!$A$2:$B$54,2,FALSE),"")</f>
        <v/>
      </c>
    </row>
    <row r="1791" spans="1:16" x14ac:dyDescent="0.2">
      <c r="A1791" s="1">
        <v>2020</v>
      </c>
      <c r="B1791" t="s">
        <v>218</v>
      </c>
      <c r="C1791" s="10" t="s">
        <v>1678</v>
      </c>
      <c r="D1791" s="10" t="s">
        <v>1679</v>
      </c>
      <c r="E1791" s="10" t="s">
        <v>1682</v>
      </c>
      <c r="F1791" t="s">
        <v>715</v>
      </c>
      <c r="G1791" s="4">
        <v>0</v>
      </c>
      <c r="H1791" s="4"/>
      <c r="I1791" s="4"/>
      <c r="J1791" s="4">
        <f>SUM(G1791:I1791)</f>
        <v>0</v>
      </c>
      <c r="K1791" t="s">
        <v>1659</v>
      </c>
      <c r="L1791" t="s">
        <v>1659</v>
      </c>
      <c r="M1791" t="s">
        <v>1271</v>
      </c>
      <c r="N1791" t="s">
        <v>1132</v>
      </c>
      <c r="O1791" t="s">
        <v>1132</v>
      </c>
      <c r="P1791" t="str">
        <f>IFERROR(VLOOKUP(F1791,Sheet1!$A$2:$B$54,2,FALSE),"")</f>
        <v/>
      </c>
    </row>
    <row r="1792" spans="1:16" x14ac:dyDescent="0.2">
      <c r="A1792" s="1">
        <v>2021</v>
      </c>
      <c r="B1792" t="s">
        <v>218</v>
      </c>
      <c r="C1792" s="10" t="s">
        <v>1678</v>
      </c>
      <c r="D1792" s="10" t="s">
        <v>1679</v>
      </c>
      <c r="E1792" s="10" t="s">
        <v>1682</v>
      </c>
      <c r="F1792" t="s">
        <v>715</v>
      </c>
      <c r="G1792" s="4">
        <v>0</v>
      </c>
      <c r="H1792" s="4"/>
      <c r="I1792" s="4"/>
      <c r="J1792" s="4">
        <f>SUM(G1792:I1792)</f>
        <v>0</v>
      </c>
      <c r="K1792" t="s">
        <v>1659</v>
      </c>
      <c r="L1792" t="s">
        <v>1659</v>
      </c>
      <c r="M1792" t="s">
        <v>1272</v>
      </c>
      <c r="N1792" t="s">
        <v>1132</v>
      </c>
      <c r="O1792" t="s">
        <v>1132</v>
      </c>
      <c r="P1792" t="str">
        <f>IFERROR(VLOOKUP(F1792,Sheet1!$A$2:$B$54,2,FALSE),"")</f>
        <v/>
      </c>
    </row>
    <row r="1793" spans="1:16" x14ac:dyDescent="0.2">
      <c r="A1793" s="1">
        <v>2022</v>
      </c>
      <c r="B1793" t="s">
        <v>218</v>
      </c>
      <c r="C1793" s="10" t="s">
        <v>1678</v>
      </c>
      <c r="D1793" s="10" t="s">
        <v>1679</v>
      </c>
      <c r="E1793" s="10" t="s">
        <v>1682</v>
      </c>
      <c r="F1793" t="s">
        <v>715</v>
      </c>
      <c r="G1793" s="4">
        <v>0</v>
      </c>
      <c r="H1793" s="4"/>
      <c r="I1793" s="4"/>
      <c r="J1793" s="4">
        <f>SUM(G1793:I1793)</f>
        <v>0</v>
      </c>
      <c r="K1793" t="s">
        <v>1659</v>
      </c>
      <c r="L1793" t="s">
        <v>1659</v>
      </c>
      <c r="M1793" t="s">
        <v>715</v>
      </c>
      <c r="N1793" t="s">
        <v>1132</v>
      </c>
      <c r="O1793" t="s">
        <v>1132</v>
      </c>
      <c r="P1793" t="str">
        <f>IFERROR(VLOOKUP(F1793,Sheet1!$A$2:$B$54,2,FALSE),"")</f>
        <v/>
      </c>
    </row>
    <row r="1794" spans="1:16" x14ac:dyDescent="0.2">
      <c r="A1794" s="1">
        <v>2023</v>
      </c>
      <c r="B1794" t="s">
        <v>218</v>
      </c>
      <c r="C1794" s="10" t="s">
        <v>1678</v>
      </c>
      <c r="D1794" s="10" t="s">
        <v>1679</v>
      </c>
      <c r="E1794" s="10" t="s">
        <v>1682</v>
      </c>
      <c r="F1794" t="s">
        <v>715</v>
      </c>
      <c r="G1794" s="4">
        <v>0</v>
      </c>
      <c r="H1794" s="4"/>
      <c r="I1794" s="4"/>
      <c r="J1794" s="4">
        <f>SUM(G1794:I1794)</f>
        <v>0</v>
      </c>
      <c r="K1794" t="s">
        <v>1659</v>
      </c>
      <c r="L1794" t="s">
        <v>1659</v>
      </c>
      <c r="M1794" t="s">
        <v>715</v>
      </c>
      <c r="N1794" t="s">
        <v>1132</v>
      </c>
      <c r="O1794" t="s">
        <v>1132</v>
      </c>
      <c r="P1794" t="str">
        <f>IFERROR(VLOOKUP(F1794,Sheet1!$A$2:$B$54,2,FALSE),"")</f>
        <v/>
      </c>
    </row>
    <row r="1795" spans="1:16" x14ac:dyDescent="0.2">
      <c r="A1795" s="1">
        <v>2019</v>
      </c>
      <c r="B1795" t="s">
        <v>219</v>
      </c>
      <c r="C1795" s="10" t="s">
        <v>1678</v>
      </c>
      <c r="D1795" s="10" t="s">
        <v>1679</v>
      </c>
      <c r="E1795" s="10" t="s">
        <v>1682</v>
      </c>
      <c r="F1795" t="s">
        <v>716</v>
      </c>
      <c r="G1795" s="4">
        <v>1401</v>
      </c>
      <c r="H1795" s="4"/>
      <c r="I1795" s="4"/>
      <c r="J1795" s="4">
        <f>SUM(G1795:I1795)</f>
        <v>1401</v>
      </c>
      <c r="K1795" t="s">
        <v>1659</v>
      </c>
      <c r="L1795" t="s">
        <v>1659</v>
      </c>
      <c r="M1795" t="s">
        <v>1273</v>
      </c>
      <c r="N1795" t="s">
        <v>1132</v>
      </c>
      <c r="O1795" t="s">
        <v>1132</v>
      </c>
      <c r="P1795" t="str">
        <f>IFERROR(VLOOKUP(F1795,Sheet1!$A$2:$B$54,2,FALSE),"")</f>
        <v/>
      </c>
    </row>
    <row r="1796" spans="1:16" x14ac:dyDescent="0.2">
      <c r="A1796" s="1">
        <v>2020</v>
      </c>
      <c r="B1796" t="s">
        <v>219</v>
      </c>
      <c r="C1796" s="10" t="s">
        <v>1678</v>
      </c>
      <c r="D1796" s="10" t="s">
        <v>1679</v>
      </c>
      <c r="E1796" s="10" t="s">
        <v>1682</v>
      </c>
      <c r="F1796" t="s">
        <v>716</v>
      </c>
      <c r="G1796" s="4">
        <v>6649</v>
      </c>
      <c r="H1796" s="4"/>
      <c r="I1796" s="4"/>
      <c r="J1796" s="4">
        <f>SUM(G1796:I1796)</f>
        <v>6649</v>
      </c>
      <c r="K1796" t="s">
        <v>1659</v>
      </c>
      <c r="L1796" t="s">
        <v>1659</v>
      </c>
      <c r="M1796" t="s">
        <v>1273</v>
      </c>
      <c r="N1796" t="s">
        <v>1132</v>
      </c>
      <c r="O1796" t="s">
        <v>1132</v>
      </c>
      <c r="P1796" t="str">
        <f>IFERROR(VLOOKUP(F1796,Sheet1!$A$2:$B$54,2,FALSE),"")</f>
        <v/>
      </c>
    </row>
    <row r="1797" spans="1:16" x14ac:dyDescent="0.2">
      <c r="A1797" s="1">
        <v>2021</v>
      </c>
      <c r="B1797" t="s">
        <v>219</v>
      </c>
      <c r="C1797" s="10" t="s">
        <v>1678</v>
      </c>
      <c r="D1797" s="10" t="s">
        <v>1679</v>
      </c>
      <c r="E1797" s="10" t="s">
        <v>1682</v>
      </c>
      <c r="F1797" t="s">
        <v>716</v>
      </c>
      <c r="G1797" s="4">
        <v>7691</v>
      </c>
      <c r="H1797" s="4"/>
      <c r="I1797" s="4"/>
      <c r="J1797" s="4">
        <f>SUM(G1797:I1797)</f>
        <v>7691</v>
      </c>
      <c r="K1797" t="s">
        <v>1659</v>
      </c>
      <c r="L1797" t="s">
        <v>1659</v>
      </c>
      <c r="M1797" t="s">
        <v>716</v>
      </c>
      <c r="N1797" t="s">
        <v>1132</v>
      </c>
      <c r="O1797" t="s">
        <v>1132</v>
      </c>
      <c r="P1797" t="str">
        <f>IFERROR(VLOOKUP(F1797,Sheet1!$A$2:$B$54,2,FALSE),"")</f>
        <v/>
      </c>
    </row>
    <row r="1798" spans="1:16" x14ac:dyDescent="0.2">
      <c r="A1798" s="1">
        <v>2022</v>
      </c>
      <c r="B1798" t="s">
        <v>219</v>
      </c>
      <c r="C1798" s="10" t="s">
        <v>1678</v>
      </c>
      <c r="D1798" s="10" t="s">
        <v>1679</v>
      </c>
      <c r="E1798" s="10" t="s">
        <v>1682</v>
      </c>
      <c r="F1798" t="s">
        <v>716</v>
      </c>
      <c r="G1798" s="4">
        <v>11544</v>
      </c>
      <c r="H1798" s="4"/>
      <c r="I1798" s="4"/>
      <c r="J1798" s="4">
        <f>SUM(G1798:I1798)</f>
        <v>11544</v>
      </c>
      <c r="K1798" t="s">
        <v>1659</v>
      </c>
      <c r="L1798" t="s">
        <v>1659</v>
      </c>
      <c r="M1798" t="s">
        <v>716</v>
      </c>
      <c r="N1798" t="s">
        <v>1132</v>
      </c>
      <c r="O1798" t="s">
        <v>1132</v>
      </c>
      <c r="P1798" t="str">
        <f>IFERROR(VLOOKUP(F1798,Sheet1!$A$2:$B$54,2,FALSE),"")</f>
        <v/>
      </c>
    </row>
    <row r="1799" spans="1:16" x14ac:dyDescent="0.2">
      <c r="A1799" s="1">
        <v>2023</v>
      </c>
      <c r="B1799" t="s">
        <v>219</v>
      </c>
      <c r="C1799" s="10" t="s">
        <v>1678</v>
      </c>
      <c r="D1799" s="10" t="s">
        <v>1679</v>
      </c>
      <c r="E1799" s="10" t="s">
        <v>1682</v>
      </c>
      <c r="F1799" t="s">
        <v>716</v>
      </c>
      <c r="G1799" s="4">
        <v>19246</v>
      </c>
      <c r="H1799" s="4"/>
      <c r="I1799" s="4"/>
      <c r="J1799" s="4">
        <f>SUM(G1799:I1799)</f>
        <v>19246</v>
      </c>
      <c r="K1799" t="s">
        <v>1659</v>
      </c>
      <c r="L1799" t="s">
        <v>1659</v>
      </c>
      <c r="M1799" t="s">
        <v>716</v>
      </c>
      <c r="N1799" t="s">
        <v>1132</v>
      </c>
      <c r="O1799" t="s">
        <v>1132</v>
      </c>
      <c r="P1799" t="str">
        <f>IFERROR(VLOOKUP(F1799,Sheet1!$A$2:$B$54,2,FALSE),"")</f>
        <v/>
      </c>
    </row>
    <row r="1800" spans="1:16" x14ac:dyDescent="0.2">
      <c r="A1800" s="1">
        <v>2015</v>
      </c>
      <c r="B1800" t="s">
        <v>220</v>
      </c>
      <c r="C1800" s="10" t="s">
        <v>1678</v>
      </c>
      <c r="D1800" s="10" t="s">
        <v>1679</v>
      </c>
      <c r="E1800" s="10" t="s">
        <v>1682</v>
      </c>
      <c r="F1800" t="s">
        <v>717</v>
      </c>
      <c r="G1800" s="4">
        <v>1394</v>
      </c>
      <c r="H1800" s="4"/>
      <c r="I1800" s="4"/>
      <c r="J1800" s="4">
        <f>SUM(G1800:I1800)</f>
        <v>1394</v>
      </c>
      <c r="K1800" t="s">
        <v>1659</v>
      </c>
      <c r="L1800" t="s">
        <v>1659</v>
      </c>
      <c r="M1800" t="s">
        <v>1274</v>
      </c>
      <c r="N1800" t="s">
        <v>1132</v>
      </c>
      <c r="O1800" t="s">
        <v>1132</v>
      </c>
      <c r="P1800" t="str">
        <f>IFERROR(VLOOKUP(F1800,Sheet1!$A$2:$B$54,2,FALSE),"")</f>
        <v/>
      </c>
    </row>
    <row r="1801" spans="1:16" x14ac:dyDescent="0.2">
      <c r="A1801" s="1">
        <v>2016</v>
      </c>
      <c r="B1801" t="s">
        <v>220</v>
      </c>
      <c r="C1801" s="10" t="s">
        <v>1678</v>
      </c>
      <c r="D1801" s="10" t="s">
        <v>1679</v>
      </c>
      <c r="E1801" s="10" t="s">
        <v>1682</v>
      </c>
      <c r="F1801" t="s">
        <v>717</v>
      </c>
      <c r="G1801" s="4">
        <v>1461</v>
      </c>
      <c r="H1801" s="4"/>
      <c r="I1801" s="4"/>
      <c r="J1801" s="4">
        <f>SUM(G1801:I1801)</f>
        <v>1461</v>
      </c>
      <c r="K1801" t="s">
        <v>1659</v>
      </c>
      <c r="L1801" t="s">
        <v>1659</v>
      </c>
      <c r="M1801" t="s">
        <v>1274</v>
      </c>
      <c r="N1801" t="s">
        <v>1132</v>
      </c>
      <c r="O1801" t="s">
        <v>1132</v>
      </c>
      <c r="P1801" t="str">
        <f>IFERROR(VLOOKUP(F1801,Sheet1!$A$2:$B$54,2,FALSE),"")</f>
        <v/>
      </c>
    </row>
    <row r="1802" spans="1:16" x14ac:dyDescent="0.2">
      <c r="A1802" s="1">
        <v>2017</v>
      </c>
      <c r="B1802" t="s">
        <v>220</v>
      </c>
      <c r="C1802" s="10" t="s">
        <v>1678</v>
      </c>
      <c r="D1802" s="10" t="s">
        <v>1679</v>
      </c>
      <c r="E1802" s="10" t="s">
        <v>1682</v>
      </c>
      <c r="F1802" t="s">
        <v>717</v>
      </c>
      <c r="G1802" s="4">
        <v>1641</v>
      </c>
      <c r="H1802" s="4"/>
      <c r="I1802" s="4"/>
      <c r="J1802" s="4">
        <f>SUM(G1802:I1802)</f>
        <v>1641</v>
      </c>
      <c r="K1802" t="s">
        <v>1659</v>
      </c>
      <c r="L1802" t="s">
        <v>1659</v>
      </c>
      <c r="M1802" t="s">
        <v>1274</v>
      </c>
      <c r="N1802" t="s">
        <v>1132</v>
      </c>
      <c r="O1802" t="s">
        <v>1132</v>
      </c>
      <c r="P1802" t="str">
        <f>IFERROR(VLOOKUP(F1802,Sheet1!$A$2:$B$54,2,FALSE),"")</f>
        <v/>
      </c>
    </row>
    <row r="1803" spans="1:16" x14ac:dyDescent="0.2">
      <c r="A1803" s="1">
        <v>2018</v>
      </c>
      <c r="B1803" t="s">
        <v>220</v>
      </c>
      <c r="C1803" s="10" t="s">
        <v>1678</v>
      </c>
      <c r="D1803" s="10" t="s">
        <v>1679</v>
      </c>
      <c r="E1803" s="10" t="s">
        <v>1682</v>
      </c>
      <c r="F1803" t="s">
        <v>717</v>
      </c>
      <c r="G1803" s="4">
        <v>2887</v>
      </c>
      <c r="H1803" s="4"/>
      <c r="I1803" s="4"/>
      <c r="J1803" s="4">
        <f>SUM(G1803:I1803)</f>
        <v>2887</v>
      </c>
      <c r="K1803" t="s">
        <v>1659</v>
      </c>
      <c r="L1803" t="s">
        <v>1659</v>
      </c>
      <c r="M1803" t="s">
        <v>1274</v>
      </c>
      <c r="N1803" t="s">
        <v>1132</v>
      </c>
      <c r="O1803" t="s">
        <v>1132</v>
      </c>
      <c r="P1803" t="str">
        <f>IFERROR(VLOOKUP(F1803,Sheet1!$A$2:$B$54,2,FALSE),"")</f>
        <v/>
      </c>
    </row>
    <row r="1804" spans="1:16" x14ac:dyDescent="0.2">
      <c r="A1804" s="1">
        <v>2019</v>
      </c>
      <c r="B1804" t="s">
        <v>220</v>
      </c>
      <c r="C1804" s="10" t="s">
        <v>1678</v>
      </c>
      <c r="D1804" s="10" t="s">
        <v>1679</v>
      </c>
      <c r="E1804" s="10" t="s">
        <v>1682</v>
      </c>
      <c r="F1804" t="s">
        <v>717</v>
      </c>
      <c r="G1804" s="4">
        <v>5896</v>
      </c>
      <c r="H1804" s="4"/>
      <c r="I1804" s="4"/>
      <c r="J1804" s="4">
        <f>SUM(G1804:I1804)</f>
        <v>5896</v>
      </c>
      <c r="K1804" t="s">
        <v>1659</v>
      </c>
      <c r="L1804" t="s">
        <v>1659</v>
      </c>
      <c r="M1804" t="s">
        <v>1274</v>
      </c>
      <c r="N1804" t="s">
        <v>1132</v>
      </c>
      <c r="O1804" t="s">
        <v>1132</v>
      </c>
      <c r="P1804" t="str">
        <f>IFERROR(VLOOKUP(F1804,Sheet1!$A$2:$B$54,2,FALSE),"")</f>
        <v/>
      </c>
    </row>
    <row r="1805" spans="1:16" x14ac:dyDescent="0.2">
      <c r="A1805" s="1">
        <v>2020</v>
      </c>
      <c r="B1805" t="s">
        <v>220</v>
      </c>
      <c r="C1805" s="10" t="s">
        <v>1678</v>
      </c>
      <c r="D1805" s="10" t="s">
        <v>1679</v>
      </c>
      <c r="E1805" s="10" t="s">
        <v>1682</v>
      </c>
      <c r="F1805" t="s">
        <v>717</v>
      </c>
      <c r="G1805" s="4">
        <v>8564</v>
      </c>
      <c r="H1805" s="4"/>
      <c r="I1805" s="4"/>
      <c r="J1805" s="4">
        <f>SUM(G1805:I1805)</f>
        <v>8564</v>
      </c>
      <c r="K1805" t="s">
        <v>1659</v>
      </c>
      <c r="L1805" t="s">
        <v>1659</v>
      </c>
      <c r="M1805" t="s">
        <v>1274</v>
      </c>
      <c r="N1805" t="s">
        <v>1132</v>
      </c>
      <c r="O1805" t="s">
        <v>1132</v>
      </c>
      <c r="P1805" t="str">
        <f>IFERROR(VLOOKUP(F1805,Sheet1!$A$2:$B$54,2,FALSE),"")</f>
        <v/>
      </c>
    </row>
    <row r="1806" spans="1:16" x14ac:dyDescent="0.2">
      <c r="A1806" s="1">
        <v>2021</v>
      </c>
      <c r="B1806" t="s">
        <v>220</v>
      </c>
      <c r="C1806" s="10" t="s">
        <v>1678</v>
      </c>
      <c r="D1806" s="10" t="s">
        <v>1679</v>
      </c>
      <c r="E1806" s="10" t="s">
        <v>1682</v>
      </c>
      <c r="F1806" t="s">
        <v>717</v>
      </c>
      <c r="G1806" s="4">
        <v>13804</v>
      </c>
      <c r="H1806" s="4"/>
      <c r="I1806" s="4"/>
      <c r="J1806" s="4">
        <f>SUM(G1806:I1806)</f>
        <v>13804</v>
      </c>
      <c r="K1806" t="s">
        <v>1659</v>
      </c>
      <c r="L1806" t="s">
        <v>1659</v>
      </c>
      <c r="M1806" t="s">
        <v>717</v>
      </c>
      <c r="N1806" t="s">
        <v>1132</v>
      </c>
      <c r="O1806" t="s">
        <v>1132</v>
      </c>
      <c r="P1806" t="str">
        <f>IFERROR(VLOOKUP(F1806,Sheet1!$A$2:$B$54,2,FALSE),"")</f>
        <v/>
      </c>
    </row>
    <row r="1807" spans="1:16" x14ac:dyDescent="0.2">
      <c r="A1807" s="1">
        <v>2022</v>
      </c>
      <c r="B1807" t="s">
        <v>220</v>
      </c>
      <c r="C1807" s="10" t="s">
        <v>1678</v>
      </c>
      <c r="D1807" s="10" t="s">
        <v>1679</v>
      </c>
      <c r="E1807" s="10" t="s">
        <v>1682</v>
      </c>
      <c r="F1807" t="s">
        <v>717</v>
      </c>
      <c r="G1807" s="4">
        <v>13509</v>
      </c>
      <c r="H1807" s="4"/>
      <c r="I1807" s="4"/>
      <c r="J1807" s="4">
        <f>SUM(G1807:I1807)</f>
        <v>13509</v>
      </c>
      <c r="K1807" t="s">
        <v>1659</v>
      </c>
      <c r="L1807" t="s">
        <v>1659</v>
      </c>
      <c r="M1807" t="s">
        <v>717</v>
      </c>
      <c r="N1807" t="s">
        <v>1132</v>
      </c>
      <c r="O1807" t="s">
        <v>1132</v>
      </c>
      <c r="P1807" t="str">
        <f>IFERROR(VLOOKUP(F1807,Sheet1!$A$2:$B$54,2,FALSE),"")</f>
        <v/>
      </c>
    </row>
    <row r="1808" spans="1:16" x14ac:dyDescent="0.2">
      <c r="A1808" s="1">
        <v>2023</v>
      </c>
      <c r="B1808" t="s">
        <v>220</v>
      </c>
      <c r="C1808" s="10" t="s">
        <v>1678</v>
      </c>
      <c r="D1808" s="10" t="s">
        <v>1679</v>
      </c>
      <c r="E1808" s="10" t="s">
        <v>1682</v>
      </c>
      <c r="F1808" t="s">
        <v>717</v>
      </c>
      <c r="G1808" s="4">
        <v>17598</v>
      </c>
      <c r="H1808" s="4"/>
      <c r="I1808" s="4"/>
      <c r="J1808" s="4">
        <f>SUM(G1808:I1808)</f>
        <v>17598</v>
      </c>
      <c r="K1808" t="s">
        <v>1659</v>
      </c>
      <c r="L1808" t="s">
        <v>1659</v>
      </c>
      <c r="M1808" t="s">
        <v>717</v>
      </c>
      <c r="N1808" t="s">
        <v>1132</v>
      </c>
      <c r="O1808" t="s">
        <v>1132</v>
      </c>
      <c r="P1808" t="str">
        <f>IFERROR(VLOOKUP(F1808,Sheet1!$A$2:$B$54,2,FALSE),"")</f>
        <v/>
      </c>
    </row>
    <row r="1809" spans="1:16" x14ac:dyDescent="0.2">
      <c r="A1809" s="1">
        <v>2015</v>
      </c>
      <c r="B1809" t="s">
        <v>215</v>
      </c>
      <c r="C1809" s="10" t="s">
        <v>1678</v>
      </c>
      <c r="D1809" s="10" t="s">
        <v>1679</v>
      </c>
      <c r="E1809" s="10" t="s">
        <v>1682</v>
      </c>
      <c r="F1809" t="s">
        <v>712</v>
      </c>
      <c r="G1809" s="4">
        <v>113761</v>
      </c>
      <c r="H1809" s="4">
        <v>3027575</v>
      </c>
      <c r="I1809" s="4">
        <v>37963</v>
      </c>
      <c r="J1809" s="4">
        <f>SUM(G1809:I1809)</f>
        <v>3179299</v>
      </c>
      <c r="K1809" t="s">
        <v>1660</v>
      </c>
      <c r="L1809" t="s">
        <v>1660</v>
      </c>
      <c r="M1809" t="s">
        <v>1267</v>
      </c>
      <c r="N1809" t="s">
        <v>1267</v>
      </c>
      <c r="O1809" t="s">
        <v>1267</v>
      </c>
      <c r="P1809">
        <f>IFERROR(VLOOKUP(F1809,Sheet1!$A$2:$B$54,2,FALSE),"")</f>
        <v>4900540</v>
      </c>
    </row>
    <row r="1810" spans="1:16" x14ac:dyDescent="0.2">
      <c r="A1810" s="1">
        <v>2016</v>
      </c>
      <c r="B1810" t="s">
        <v>215</v>
      </c>
      <c r="C1810" s="10" t="s">
        <v>1678</v>
      </c>
      <c r="D1810" s="10" t="s">
        <v>1679</v>
      </c>
      <c r="E1810" s="10" t="s">
        <v>1682</v>
      </c>
      <c r="F1810" t="s">
        <v>712</v>
      </c>
      <c r="G1810" s="4">
        <v>156281</v>
      </c>
      <c r="H1810" s="4">
        <v>3077753</v>
      </c>
      <c r="I1810" s="4">
        <v>30987</v>
      </c>
      <c r="J1810" s="4">
        <f>SUM(G1810:I1810)</f>
        <v>3265021</v>
      </c>
      <c r="K1810" t="s">
        <v>1660</v>
      </c>
      <c r="L1810" t="s">
        <v>1660</v>
      </c>
      <c r="M1810" t="s">
        <v>1267</v>
      </c>
      <c r="N1810" t="s">
        <v>1267</v>
      </c>
      <c r="O1810" t="s">
        <v>1267</v>
      </c>
      <c r="P1810">
        <f>IFERROR(VLOOKUP(F1810,Sheet1!$A$2:$B$54,2,FALSE),"")</f>
        <v>4900540</v>
      </c>
    </row>
    <row r="1811" spans="1:16" x14ac:dyDescent="0.2">
      <c r="A1811" s="1">
        <v>2017</v>
      </c>
      <c r="B1811" t="s">
        <v>215</v>
      </c>
      <c r="C1811" s="10" t="s">
        <v>1678</v>
      </c>
      <c r="D1811" s="10" t="s">
        <v>1679</v>
      </c>
      <c r="E1811" s="10" t="s">
        <v>1682</v>
      </c>
      <c r="F1811" t="s">
        <v>712</v>
      </c>
      <c r="G1811" s="4">
        <v>209041</v>
      </c>
      <c r="H1811" s="4">
        <v>3101610</v>
      </c>
      <c r="I1811" s="4">
        <v>30063</v>
      </c>
      <c r="J1811" s="4">
        <f>SUM(G1811:I1811)</f>
        <v>3340714</v>
      </c>
      <c r="K1811" t="s">
        <v>1660</v>
      </c>
      <c r="L1811" t="s">
        <v>1660</v>
      </c>
      <c r="M1811" t="s">
        <v>1267</v>
      </c>
      <c r="N1811" t="s">
        <v>1267</v>
      </c>
      <c r="O1811" t="s">
        <v>1267</v>
      </c>
      <c r="P1811">
        <f>IFERROR(VLOOKUP(F1811,Sheet1!$A$2:$B$54,2,FALSE),"")</f>
        <v>4900540</v>
      </c>
    </row>
    <row r="1812" spans="1:16" x14ac:dyDescent="0.2">
      <c r="A1812" s="1">
        <v>2018</v>
      </c>
      <c r="B1812" t="s">
        <v>215</v>
      </c>
      <c r="C1812" s="10" t="s">
        <v>1678</v>
      </c>
      <c r="D1812" s="10" t="s">
        <v>1679</v>
      </c>
      <c r="E1812" s="10" t="s">
        <v>1682</v>
      </c>
      <c r="F1812" t="s">
        <v>712</v>
      </c>
      <c r="G1812" s="4">
        <v>269423</v>
      </c>
      <c r="H1812" s="4">
        <v>3153014</v>
      </c>
      <c r="I1812" s="4">
        <v>31964</v>
      </c>
      <c r="J1812" s="4">
        <f>SUM(G1812:I1812)</f>
        <v>3454401</v>
      </c>
      <c r="K1812" t="s">
        <v>1660</v>
      </c>
      <c r="L1812" t="s">
        <v>1660</v>
      </c>
      <c r="M1812" t="s">
        <v>1267</v>
      </c>
      <c r="N1812" t="s">
        <v>1267</v>
      </c>
      <c r="O1812" t="s">
        <v>1267</v>
      </c>
      <c r="P1812">
        <f>IFERROR(VLOOKUP(F1812,Sheet1!$A$2:$B$54,2,FALSE),"")</f>
        <v>4900540</v>
      </c>
    </row>
    <row r="1813" spans="1:16" x14ac:dyDescent="0.2">
      <c r="A1813" s="1">
        <v>2019</v>
      </c>
      <c r="B1813" t="s">
        <v>215</v>
      </c>
      <c r="C1813" s="10" t="s">
        <v>1678</v>
      </c>
      <c r="D1813" s="10" t="s">
        <v>1679</v>
      </c>
      <c r="E1813" s="10" t="s">
        <v>1682</v>
      </c>
      <c r="F1813" t="s">
        <v>712</v>
      </c>
      <c r="G1813" s="4">
        <v>316171</v>
      </c>
      <c r="H1813" s="4">
        <v>3182884</v>
      </c>
      <c r="I1813" s="4">
        <v>27807</v>
      </c>
      <c r="J1813" s="4">
        <f>SUM(G1813:I1813)</f>
        <v>3526862</v>
      </c>
      <c r="K1813" t="s">
        <v>1660</v>
      </c>
      <c r="L1813" t="s">
        <v>1660</v>
      </c>
      <c r="M1813" t="s">
        <v>1267</v>
      </c>
      <c r="N1813" t="s">
        <v>1267</v>
      </c>
      <c r="O1813" t="s">
        <v>1267</v>
      </c>
      <c r="P1813">
        <f>IFERROR(VLOOKUP(F1813,Sheet1!$A$2:$B$54,2,FALSE),"")</f>
        <v>4900540</v>
      </c>
    </row>
    <row r="1814" spans="1:16" x14ac:dyDescent="0.2">
      <c r="A1814" s="1">
        <v>2020</v>
      </c>
      <c r="B1814" t="s">
        <v>215</v>
      </c>
      <c r="C1814" s="10" t="s">
        <v>1678</v>
      </c>
      <c r="D1814" s="10" t="s">
        <v>1679</v>
      </c>
      <c r="E1814" s="10" t="s">
        <v>1682</v>
      </c>
      <c r="F1814" t="s">
        <v>712</v>
      </c>
      <c r="G1814" s="4">
        <v>374035</v>
      </c>
      <c r="H1814" s="4">
        <v>3217008</v>
      </c>
      <c r="I1814" s="4">
        <v>18000</v>
      </c>
      <c r="J1814" s="4">
        <f>SUM(G1814:I1814)</f>
        <v>3609043</v>
      </c>
      <c r="K1814" t="s">
        <v>1660</v>
      </c>
      <c r="L1814" t="s">
        <v>1660</v>
      </c>
      <c r="M1814" t="s">
        <v>1267</v>
      </c>
      <c r="N1814" t="s">
        <v>1267</v>
      </c>
      <c r="O1814" t="s">
        <v>1267</v>
      </c>
      <c r="P1814">
        <f>IFERROR(VLOOKUP(F1814,Sheet1!$A$2:$B$54,2,FALSE),"")</f>
        <v>4900540</v>
      </c>
    </row>
    <row r="1815" spans="1:16" x14ac:dyDescent="0.2">
      <c r="A1815" s="1">
        <v>2021</v>
      </c>
      <c r="B1815" t="s">
        <v>215</v>
      </c>
      <c r="C1815" s="10" t="s">
        <v>1678</v>
      </c>
      <c r="D1815" s="10" t="s">
        <v>1679</v>
      </c>
      <c r="E1815" s="10" t="s">
        <v>1682</v>
      </c>
      <c r="F1815" t="s">
        <v>712</v>
      </c>
      <c r="G1815" s="4">
        <v>517703</v>
      </c>
      <c r="H1815" s="4">
        <v>3408626</v>
      </c>
      <c r="I1815" s="4">
        <v>8849</v>
      </c>
      <c r="J1815" s="4">
        <f>SUM(G1815:I1815)</f>
        <v>3935178</v>
      </c>
      <c r="K1815" t="s">
        <v>1660</v>
      </c>
      <c r="L1815" t="s">
        <v>1660</v>
      </c>
      <c r="M1815" t="s">
        <v>712</v>
      </c>
      <c r="N1815" t="s">
        <v>712</v>
      </c>
      <c r="O1815" t="s">
        <v>712</v>
      </c>
      <c r="P1815">
        <f>IFERROR(VLOOKUP(F1815,Sheet1!$A$2:$B$54,2,FALSE),"")</f>
        <v>4900540</v>
      </c>
    </row>
    <row r="1816" spans="1:16" x14ac:dyDescent="0.2">
      <c r="A1816" s="1">
        <v>2022</v>
      </c>
      <c r="B1816" t="s">
        <v>215</v>
      </c>
      <c r="C1816" s="10" t="s">
        <v>1678</v>
      </c>
      <c r="D1816" s="10" t="s">
        <v>1679</v>
      </c>
      <c r="E1816" s="10" t="s">
        <v>1682</v>
      </c>
      <c r="F1816" t="s">
        <v>712</v>
      </c>
      <c r="G1816" s="4">
        <v>643755</v>
      </c>
      <c r="H1816" s="4">
        <v>3532281</v>
      </c>
      <c r="I1816" s="4">
        <v>0</v>
      </c>
      <c r="J1816" s="4">
        <f>SUM(G1816:I1816)</f>
        <v>4176036</v>
      </c>
      <c r="K1816" t="s">
        <v>1660</v>
      </c>
      <c r="L1816" t="s">
        <v>1660</v>
      </c>
      <c r="M1816" t="s">
        <v>712</v>
      </c>
      <c r="N1816" t="s">
        <v>712</v>
      </c>
      <c r="O1816" t="s">
        <v>712</v>
      </c>
      <c r="P1816">
        <f>IFERROR(VLOOKUP(F1816,Sheet1!$A$2:$B$54,2,FALSE),"")</f>
        <v>4900540</v>
      </c>
    </row>
    <row r="1817" spans="1:16" x14ac:dyDescent="0.2">
      <c r="A1817" s="1">
        <v>2023</v>
      </c>
      <c r="B1817" t="s">
        <v>215</v>
      </c>
      <c r="C1817" s="10" t="s">
        <v>1678</v>
      </c>
      <c r="D1817" s="10" t="s">
        <v>1679</v>
      </c>
      <c r="E1817" s="10" t="s">
        <v>1682</v>
      </c>
      <c r="F1817" t="s">
        <v>712</v>
      </c>
      <c r="G1817" s="4">
        <v>789076</v>
      </c>
      <c r="H1817" s="4">
        <v>3773039</v>
      </c>
      <c r="I1817" s="4"/>
      <c r="J1817" s="4">
        <f>SUM(G1817:I1817)</f>
        <v>4562115</v>
      </c>
      <c r="K1817" t="s">
        <v>1660</v>
      </c>
      <c r="L1817" t="s">
        <v>1659</v>
      </c>
      <c r="M1817" t="s">
        <v>712</v>
      </c>
      <c r="N1817" t="s">
        <v>712</v>
      </c>
      <c r="O1817" t="s">
        <v>1132</v>
      </c>
      <c r="P1817">
        <f>IFERROR(VLOOKUP(F1817,Sheet1!$A$2:$B$54,2,FALSE),"")</f>
        <v>4900540</v>
      </c>
    </row>
    <row r="1818" spans="1:16" x14ac:dyDescent="0.2">
      <c r="A1818" s="1">
        <v>2015</v>
      </c>
      <c r="B1818" t="s">
        <v>222</v>
      </c>
      <c r="C1818" s="10" t="s">
        <v>1678</v>
      </c>
      <c r="D1818" s="10" t="s">
        <v>1679</v>
      </c>
      <c r="E1818" s="10" t="s">
        <v>1682</v>
      </c>
      <c r="F1818" t="s">
        <v>719</v>
      </c>
      <c r="G1818" s="4">
        <v>3497</v>
      </c>
      <c r="H1818" s="4"/>
      <c r="I1818" s="4"/>
      <c r="J1818" s="4">
        <f>SUM(G1818:I1818)</f>
        <v>3497</v>
      </c>
      <c r="K1818" t="s">
        <v>1659</v>
      </c>
      <c r="L1818" t="s">
        <v>1659</v>
      </c>
      <c r="M1818" t="s">
        <v>1276</v>
      </c>
      <c r="N1818" t="s">
        <v>1132</v>
      </c>
      <c r="O1818" t="s">
        <v>1132</v>
      </c>
      <c r="P1818" t="str">
        <f>IFERROR(VLOOKUP(F1818,Sheet1!$A$2:$B$54,2,FALSE),"")</f>
        <v/>
      </c>
    </row>
    <row r="1819" spans="1:16" x14ac:dyDescent="0.2">
      <c r="A1819" s="1">
        <v>2016</v>
      </c>
      <c r="B1819" t="s">
        <v>222</v>
      </c>
      <c r="C1819" s="10" t="s">
        <v>1678</v>
      </c>
      <c r="D1819" s="10" t="s">
        <v>1679</v>
      </c>
      <c r="E1819" s="10" t="s">
        <v>1682</v>
      </c>
      <c r="F1819" t="s">
        <v>719</v>
      </c>
      <c r="G1819" s="4">
        <v>3607</v>
      </c>
      <c r="H1819" s="4"/>
      <c r="I1819" s="4"/>
      <c r="J1819" s="4">
        <f>SUM(G1819:I1819)</f>
        <v>3607</v>
      </c>
      <c r="K1819" t="s">
        <v>1659</v>
      </c>
      <c r="L1819" t="s">
        <v>1659</v>
      </c>
      <c r="M1819" t="s">
        <v>1276</v>
      </c>
      <c r="N1819" t="s">
        <v>1132</v>
      </c>
      <c r="O1819" t="s">
        <v>1132</v>
      </c>
      <c r="P1819" t="str">
        <f>IFERROR(VLOOKUP(F1819,Sheet1!$A$2:$B$54,2,FALSE),"")</f>
        <v/>
      </c>
    </row>
    <row r="1820" spans="1:16" x14ac:dyDescent="0.2">
      <c r="A1820" s="1">
        <v>2017</v>
      </c>
      <c r="B1820" t="s">
        <v>222</v>
      </c>
      <c r="C1820" s="10" t="s">
        <v>1678</v>
      </c>
      <c r="D1820" s="10" t="s">
        <v>1679</v>
      </c>
      <c r="E1820" s="10" t="s">
        <v>1682</v>
      </c>
      <c r="F1820" t="s">
        <v>719</v>
      </c>
      <c r="G1820" s="4">
        <v>5433</v>
      </c>
      <c r="H1820" s="4"/>
      <c r="I1820" s="4"/>
      <c r="J1820" s="4">
        <f>SUM(G1820:I1820)</f>
        <v>5433</v>
      </c>
      <c r="K1820" t="s">
        <v>1659</v>
      </c>
      <c r="L1820" t="s">
        <v>1659</v>
      </c>
      <c r="M1820" t="s">
        <v>1276</v>
      </c>
      <c r="N1820" t="s">
        <v>1132</v>
      </c>
      <c r="O1820" t="s">
        <v>1132</v>
      </c>
      <c r="P1820" t="str">
        <f>IFERROR(VLOOKUP(F1820,Sheet1!$A$2:$B$54,2,FALSE),"")</f>
        <v/>
      </c>
    </row>
    <row r="1821" spans="1:16" x14ac:dyDescent="0.2">
      <c r="A1821" s="1">
        <v>2018</v>
      </c>
      <c r="B1821" t="s">
        <v>222</v>
      </c>
      <c r="C1821" s="10" t="s">
        <v>1678</v>
      </c>
      <c r="D1821" s="10" t="s">
        <v>1679</v>
      </c>
      <c r="E1821" s="10" t="s">
        <v>1682</v>
      </c>
      <c r="F1821" t="s">
        <v>719</v>
      </c>
      <c r="G1821" s="4">
        <v>14062</v>
      </c>
      <c r="H1821" s="4"/>
      <c r="I1821" s="4"/>
      <c r="J1821" s="4">
        <f>SUM(G1821:I1821)</f>
        <v>14062</v>
      </c>
      <c r="K1821" t="s">
        <v>1659</v>
      </c>
      <c r="L1821" t="s">
        <v>1659</v>
      </c>
      <c r="M1821" t="s">
        <v>1276</v>
      </c>
      <c r="N1821" t="s">
        <v>1132</v>
      </c>
      <c r="O1821" t="s">
        <v>1132</v>
      </c>
      <c r="P1821" t="str">
        <f>IFERROR(VLOOKUP(F1821,Sheet1!$A$2:$B$54,2,FALSE),"")</f>
        <v/>
      </c>
    </row>
    <row r="1822" spans="1:16" x14ac:dyDescent="0.2">
      <c r="A1822" s="1">
        <v>2019</v>
      </c>
      <c r="B1822" t="s">
        <v>222</v>
      </c>
      <c r="C1822" s="10" t="s">
        <v>1678</v>
      </c>
      <c r="D1822" s="10" t="s">
        <v>1679</v>
      </c>
      <c r="E1822" s="10" t="s">
        <v>1682</v>
      </c>
      <c r="F1822" t="s">
        <v>719</v>
      </c>
      <c r="G1822" s="4">
        <v>19531</v>
      </c>
      <c r="H1822" s="4"/>
      <c r="I1822" s="4"/>
      <c r="J1822" s="4">
        <f>SUM(G1822:I1822)</f>
        <v>19531</v>
      </c>
      <c r="K1822" t="s">
        <v>1659</v>
      </c>
      <c r="L1822" t="s">
        <v>1659</v>
      </c>
      <c r="M1822" t="s">
        <v>1276</v>
      </c>
      <c r="N1822" t="s">
        <v>1132</v>
      </c>
      <c r="O1822" t="s">
        <v>1132</v>
      </c>
      <c r="P1822" t="str">
        <f>IFERROR(VLOOKUP(F1822,Sheet1!$A$2:$B$54,2,FALSE),"")</f>
        <v/>
      </c>
    </row>
    <row r="1823" spans="1:16" x14ac:dyDescent="0.2">
      <c r="A1823" s="1">
        <v>2020</v>
      </c>
      <c r="B1823" t="s">
        <v>222</v>
      </c>
      <c r="C1823" s="10" t="s">
        <v>1678</v>
      </c>
      <c r="D1823" s="10" t="s">
        <v>1679</v>
      </c>
      <c r="E1823" s="10" t="s">
        <v>1682</v>
      </c>
      <c r="F1823" t="s">
        <v>719</v>
      </c>
      <c r="G1823" s="4">
        <v>22635</v>
      </c>
      <c r="H1823" s="4"/>
      <c r="I1823" s="4"/>
      <c r="J1823" s="4">
        <f>SUM(G1823:I1823)</f>
        <v>22635</v>
      </c>
      <c r="K1823" t="s">
        <v>1659</v>
      </c>
      <c r="L1823" t="s">
        <v>1659</v>
      </c>
      <c r="M1823" t="s">
        <v>1276</v>
      </c>
      <c r="N1823" t="s">
        <v>1132</v>
      </c>
      <c r="O1823" t="s">
        <v>1132</v>
      </c>
      <c r="P1823" t="str">
        <f>IFERROR(VLOOKUP(F1823,Sheet1!$A$2:$B$54,2,FALSE),"")</f>
        <v/>
      </c>
    </row>
    <row r="1824" spans="1:16" x14ac:dyDescent="0.2">
      <c r="A1824" s="1">
        <v>2021</v>
      </c>
      <c r="B1824" t="s">
        <v>222</v>
      </c>
      <c r="C1824" s="10" t="s">
        <v>1678</v>
      </c>
      <c r="D1824" s="10" t="s">
        <v>1679</v>
      </c>
      <c r="E1824" s="10" t="s">
        <v>1682</v>
      </c>
      <c r="F1824" t="s">
        <v>719</v>
      </c>
      <c r="G1824" s="4">
        <v>38703</v>
      </c>
      <c r="H1824" s="4"/>
      <c r="I1824" s="4"/>
      <c r="J1824" s="4">
        <f>SUM(G1824:I1824)</f>
        <v>38703</v>
      </c>
      <c r="K1824" t="s">
        <v>1659</v>
      </c>
      <c r="L1824" t="s">
        <v>1659</v>
      </c>
      <c r="M1824" t="s">
        <v>719</v>
      </c>
      <c r="N1824" t="s">
        <v>1132</v>
      </c>
      <c r="O1824" t="s">
        <v>1132</v>
      </c>
      <c r="P1824" t="str">
        <f>IFERROR(VLOOKUP(F1824,Sheet1!$A$2:$B$54,2,FALSE),"")</f>
        <v/>
      </c>
    </row>
    <row r="1825" spans="1:16" x14ac:dyDescent="0.2">
      <c r="A1825" s="1">
        <v>2022</v>
      </c>
      <c r="B1825" t="s">
        <v>222</v>
      </c>
      <c r="C1825" s="10" t="s">
        <v>1678</v>
      </c>
      <c r="D1825" s="10" t="s">
        <v>1679</v>
      </c>
      <c r="E1825" s="10" t="s">
        <v>1682</v>
      </c>
      <c r="F1825" t="s">
        <v>719</v>
      </c>
      <c r="G1825" s="4">
        <v>46592</v>
      </c>
      <c r="H1825" s="4"/>
      <c r="I1825" s="4"/>
      <c r="J1825" s="4">
        <f>SUM(G1825:I1825)</f>
        <v>46592</v>
      </c>
      <c r="K1825" t="s">
        <v>1659</v>
      </c>
      <c r="L1825" t="s">
        <v>1659</v>
      </c>
      <c r="M1825" t="s">
        <v>719</v>
      </c>
      <c r="N1825" t="s">
        <v>1132</v>
      </c>
      <c r="O1825" t="s">
        <v>1132</v>
      </c>
      <c r="P1825" t="str">
        <f>IFERROR(VLOOKUP(F1825,Sheet1!$A$2:$B$54,2,FALSE),"")</f>
        <v/>
      </c>
    </row>
    <row r="1826" spans="1:16" x14ac:dyDescent="0.2">
      <c r="A1826" s="1">
        <v>2023</v>
      </c>
      <c r="B1826" t="s">
        <v>222</v>
      </c>
      <c r="C1826" s="10" t="s">
        <v>1678</v>
      </c>
      <c r="D1826" s="10" t="s">
        <v>1679</v>
      </c>
      <c r="E1826" s="10" t="s">
        <v>1682</v>
      </c>
      <c r="F1826" t="s">
        <v>719</v>
      </c>
      <c r="G1826" s="4">
        <v>55673</v>
      </c>
      <c r="H1826" s="4"/>
      <c r="I1826" s="4"/>
      <c r="J1826" s="4">
        <f>SUM(G1826:I1826)</f>
        <v>55673</v>
      </c>
      <c r="K1826" t="s">
        <v>1659</v>
      </c>
      <c r="L1826" t="s">
        <v>1659</v>
      </c>
      <c r="M1826" t="s">
        <v>719</v>
      </c>
      <c r="N1826" t="s">
        <v>1132</v>
      </c>
      <c r="O1826" t="s">
        <v>1132</v>
      </c>
      <c r="P1826" t="str">
        <f>IFERROR(VLOOKUP(F1826,Sheet1!$A$2:$B$54,2,FALSE),"")</f>
        <v/>
      </c>
    </row>
    <row r="1827" spans="1:16" x14ac:dyDescent="0.2">
      <c r="A1827" s="1">
        <v>2015</v>
      </c>
      <c r="B1827" t="s">
        <v>223</v>
      </c>
      <c r="C1827" s="10" t="s">
        <v>1678</v>
      </c>
      <c r="D1827" s="10" t="s">
        <v>1679</v>
      </c>
      <c r="E1827" s="10" t="s">
        <v>1682</v>
      </c>
      <c r="F1827" t="s">
        <v>720</v>
      </c>
      <c r="G1827" s="4">
        <v>19101</v>
      </c>
      <c r="H1827" s="4"/>
      <c r="I1827" s="4"/>
      <c r="J1827" s="4">
        <f>SUM(G1827:I1827)</f>
        <v>19101</v>
      </c>
      <c r="K1827" t="s">
        <v>1659</v>
      </c>
      <c r="L1827" t="s">
        <v>1659</v>
      </c>
      <c r="M1827" t="s">
        <v>1277</v>
      </c>
      <c r="N1827" t="s">
        <v>1132</v>
      </c>
      <c r="O1827" t="s">
        <v>1132</v>
      </c>
      <c r="P1827" t="str">
        <f>IFERROR(VLOOKUP(F1827,Sheet1!$A$2:$B$54,2,FALSE),"")</f>
        <v/>
      </c>
    </row>
    <row r="1828" spans="1:16" x14ac:dyDescent="0.2">
      <c r="A1828" s="1">
        <v>2016</v>
      </c>
      <c r="B1828" t="s">
        <v>223</v>
      </c>
      <c r="C1828" s="10" t="s">
        <v>1678</v>
      </c>
      <c r="D1828" s="10" t="s">
        <v>1679</v>
      </c>
      <c r="E1828" s="10" t="s">
        <v>1682</v>
      </c>
      <c r="F1828" t="s">
        <v>720</v>
      </c>
      <c r="G1828" s="4">
        <v>25830</v>
      </c>
      <c r="H1828" s="4"/>
      <c r="I1828" s="4"/>
      <c r="J1828" s="4">
        <f>SUM(G1828:I1828)</f>
        <v>25830</v>
      </c>
      <c r="K1828" t="s">
        <v>1659</v>
      </c>
      <c r="L1828" t="s">
        <v>1659</v>
      </c>
      <c r="M1828" t="s">
        <v>1277</v>
      </c>
      <c r="N1828" t="s">
        <v>1132</v>
      </c>
      <c r="O1828" t="s">
        <v>1132</v>
      </c>
      <c r="P1828" t="str">
        <f>IFERROR(VLOOKUP(F1828,Sheet1!$A$2:$B$54,2,FALSE),"")</f>
        <v/>
      </c>
    </row>
    <row r="1829" spans="1:16" x14ac:dyDescent="0.2">
      <c r="A1829" s="1">
        <v>2017</v>
      </c>
      <c r="B1829" t="s">
        <v>223</v>
      </c>
      <c r="C1829" s="10" t="s">
        <v>1678</v>
      </c>
      <c r="D1829" s="10" t="s">
        <v>1679</v>
      </c>
      <c r="E1829" s="10" t="s">
        <v>1682</v>
      </c>
      <c r="F1829" t="s">
        <v>720</v>
      </c>
      <c r="G1829" s="4">
        <v>25828</v>
      </c>
      <c r="H1829" s="4"/>
      <c r="I1829" s="4"/>
      <c r="J1829" s="4">
        <f>SUM(G1829:I1829)</f>
        <v>25828</v>
      </c>
      <c r="K1829" t="s">
        <v>1659</v>
      </c>
      <c r="L1829" t="s">
        <v>1659</v>
      </c>
      <c r="M1829" t="s">
        <v>1277</v>
      </c>
      <c r="N1829" t="s">
        <v>1132</v>
      </c>
      <c r="O1829" t="s">
        <v>1132</v>
      </c>
      <c r="P1829" t="str">
        <f>IFERROR(VLOOKUP(F1829,Sheet1!$A$2:$B$54,2,FALSE),"")</f>
        <v/>
      </c>
    </row>
    <row r="1830" spans="1:16" x14ac:dyDescent="0.2">
      <c r="A1830" s="1">
        <v>2018</v>
      </c>
      <c r="B1830" t="s">
        <v>223</v>
      </c>
      <c r="C1830" s="10" t="s">
        <v>1678</v>
      </c>
      <c r="D1830" s="10" t="s">
        <v>1679</v>
      </c>
      <c r="E1830" s="10" t="s">
        <v>1682</v>
      </c>
      <c r="F1830" t="s">
        <v>720</v>
      </c>
      <c r="G1830" s="4">
        <v>26005</v>
      </c>
      <c r="H1830" s="4"/>
      <c r="I1830" s="4"/>
      <c r="J1830" s="4">
        <f>SUM(G1830:I1830)</f>
        <v>26005</v>
      </c>
      <c r="K1830" t="s">
        <v>1659</v>
      </c>
      <c r="L1830" t="s">
        <v>1659</v>
      </c>
      <c r="M1830" t="s">
        <v>1277</v>
      </c>
      <c r="N1830" t="s">
        <v>1132</v>
      </c>
      <c r="O1830" t="s">
        <v>1132</v>
      </c>
      <c r="P1830" t="str">
        <f>IFERROR(VLOOKUP(F1830,Sheet1!$A$2:$B$54,2,FALSE),"")</f>
        <v/>
      </c>
    </row>
    <row r="1831" spans="1:16" x14ac:dyDescent="0.2">
      <c r="A1831" s="1">
        <v>2019</v>
      </c>
      <c r="B1831" t="s">
        <v>223</v>
      </c>
      <c r="C1831" s="10" t="s">
        <v>1678</v>
      </c>
      <c r="D1831" s="10" t="s">
        <v>1679</v>
      </c>
      <c r="E1831" s="10" t="s">
        <v>1682</v>
      </c>
      <c r="F1831" t="s">
        <v>720</v>
      </c>
      <c r="G1831" s="4">
        <v>29235</v>
      </c>
      <c r="H1831" s="4"/>
      <c r="I1831" s="4"/>
      <c r="J1831" s="4">
        <f>SUM(G1831:I1831)</f>
        <v>29235</v>
      </c>
      <c r="K1831" t="s">
        <v>1659</v>
      </c>
      <c r="L1831" t="s">
        <v>1659</v>
      </c>
      <c r="M1831" t="s">
        <v>1277</v>
      </c>
      <c r="N1831" t="s">
        <v>1132</v>
      </c>
      <c r="O1831" t="s">
        <v>1132</v>
      </c>
      <c r="P1831" t="str">
        <f>IFERROR(VLOOKUP(F1831,Sheet1!$A$2:$B$54,2,FALSE),"")</f>
        <v/>
      </c>
    </row>
    <row r="1832" spans="1:16" x14ac:dyDescent="0.2">
      <c r="A1832" s="1">
        <v>2020</v>
      </c>
      <c r="B1832" t="s">
        <v>223</v>
      </c>
      <c r="C1832" s="10" t="s">
        <v>1678</v>
      </c>
      <c r="D1832" s="10" t="s">
        <v>1679</v>
      </c>
      <c r="E1832" s="10" t="s">
        <v>1682</v>
      </c>
      <c r="F1832" t="s">
        <v>720</v>
      </c>
      <c r="G1832" s="4">
        <v>35300</v>
      </c>
      <c r="H1832" s="4"/>
      <c r="I1832" s="4"/>
      <c r="J1832" s="4">
        <f>SUM(G1832:I1832)</f>
        <v>35300</v>
      </c>
      <c r="K1832" t="s">
        <v>1659</v>
      </c>
      <c r="L1832" t="s">
        <v>1659</v>
      </c>
      <c r="M1832" t="s">
        <v>1277</v>
      </c>
      <c r="N1832" t="s">
        <v>1132</v>
      </c>
      <c r="O1832" t="s">
        <v>1132</v>
      </c>
      <c r="P1832" t="str">
        <f>IFERROR(VLOOKUP(F1832,Sheet1!$A$2:$B$54,2,FALSE),"")</f>
        <v/>
      </c>
    </row>
    <row r="1833" spans="1:16" x14ac:dyDescent="0.2">
      <c r="A1833" s="1">
        <v>2021</v>
      </c>
      <c r="B1833" t="s">
        <v>223</v>
      </c>
      <c r="C1833" s="10" t="s">
        <v>1678</v>
      </c>
      <c r="D1833" s="10" t="s">
        <v>1679</v>
      </c>
      <c r="E1833" s="10" t="s">
        <v>1682</v>
      </c>
      <c r="F1833" t="s">
        <v>720</v>
      </c>
      <c r="G1833" s="4">
        <v>47745</v>
      </c>
      <c r="H1833" s="4"/>
      <c r="I1833" s="4"/>
      <c r="J1833" s="4">
        <f>SUM(G1833:I1833)</f>
        <v>47745</v>
      </c>
      <c r="K1833" t="s">
        <v>1659</v>
      </c>
      <c r="L1833" t="s">
        <v>1659</v>
      </c>
      <c r="M1833" t="s">
        <v>720</v>
      </c>
      <c r="N1833" t="s">
        <v>1132</v>
      </c>
      <c r="O1833" t="s">
        <v>1132</v>
      </c>
      <c r="P1833" t="str">
        <f>IFERROR(VLOOKUP(F1833,Sheet1!$A$2:$B$54,2,FALSE),"")</f>
        <v/>
      </c>
    </row>
    <row r="1834" spans="1:16" x14ac:dyDescent="0.2">
      <c r="A1834" s="1">
        <v>2022</v>
      </c>
      <c r="B1834" t="s">
        <v>223</v>
      </c>
      <c r="C1834" s="10" t="s">
        <v>1678</v>
      </c>
      <c r="D1834" s="10" t="s">
        <v>1679</v>
      </c>
      <c r="E1834" s="10" t="s">
        <v>1682</v>
      </c>
      <c r="F1834" t="s">
        <v>720</v>
      </c>
      <c r="G1834" s="4">
        <v>81275</v>
      </c>
      <c r="H1834" s="4"/>
      <c r="I1834" s="4"/>
      <c r="J1834" s="4">
        <f>SUM(G1834:I1834)</f>
        <v>81275</v>
      </c>
      <c r="K1834" t="s">
        <v>1659</v>
      </c>
      <c r="L1834" t="s">
        <v>1659</v>
      </c>
      <c r="M1834" t="s">
        <v>720</v>
      </c>
      <c r="N1834" t="s">
        <v>1132</v>
      </c>
      <c r="O1834" t="s">
        <v>1132</v>
      </c>
      <c r="P1834" t="str">
        <f>IFERROR(VLOOKUP(F1834,Sheet1!$A$2:$B$54,2,FALSE),"")</f>
        <v/>
      </c>
    </row>
    <row r="1835" spans="1:16" x14ac:dyDescent="0.2">
      <c r="A1835" s="1">
        <v>2023</v>
      </c>
      <c r="B1835" t="s">
        <v>223</v>
      </c>
      <c r="C1835" s="10" t="s">
        <v>1678</v>
      </c>
      <c r="D1835" s="10" t="s">
        <v>1679</v>
      </c>
      <c r="E1835" s="10" t="s">
        <v>1682</v>
      </c>
      <c r="F1835" t="s">
        <v>720</v>
      </c>
      <c r="G1835" s="4">
        <v>102277</v>
      </c>
      <c r="H1835" s="4"/>
      <c r="I1835" s="4"/>
      <c r="J1835" s="4">
        <f>SUM(G1835:I1835)</f>
        <v>102277</v>
      </c>
      <c r="K1835" t="s">
        <v>1659</v>
      </c>
      <c r="L1835" t="s">
        <v>1659</v>
      </c>
      <c r="M1835" t="s">
        <v>720</v>
      </c>
      <c r="N1835" t="s">
        <v>1132</v>
      </c>
      <c r="O1835" t="s">
        <v>1132</v>
      </c>
      <c r="P1835" t="str">
        <f>IFERROR(VLOOKUP(F1835,Sheet1!$A$2:$B$54,2,FALSE),"")</f>
        <v/>
      </c>
    </row>
    <row r="1836" spans="1:16" x14ac:dyDescent="0.2">
      <c r="A1836" s="1">
        <v>2015</v>
      </c>
      <c r="B1836" t="s">
        <v>221</v>
      </c>
      <c r="C1836" s="10" t="s">
        <v>1678</v>
      </c>
      <c r="D1836" s="10" t="s">
        <v>1679</v>
      </c>
      <c r="E1836" s="10" t="s">
        <v>1682</v>
      </c>
      <c r="F1836" t="s">
        <v>718</v>
      </c>
      <c r="G1836" s="4">
        <v>46814</v>
      </c>
      <c r="H1836" s="4">
        <v>298823</v>
      </c>
      <c r="I1836" s="4"/>
      <c r="J1836" s="4">
        <f>SUM(G1836:I1836)</f>
        <v>345637</v>
      </c>
      <c r="K1836" t="s">
        <v>1660</v>
      </c>
      <c r="L1836" t="s">
        <v>1659</v>
      </c>
      <c r="M1836" t="s">
        <v>1275</v>
      </c>
      <c r="N1836" t="s">
        <v>1275</v>
      </c>
      <c r="O1836" t="s">
        <v>1132</v>
      </c>
      <c r="P1836">
        <f>IFERROR(VLOOKUP(F1836,Sheet1!$A$2:$B$54,2,FALSE),"")</f>
        <v>4900049</v>
      </c>
    </row>
    <row r="1837" spans="1:16" x14ac:dyDescent="0.2">
      <c r="A1837" s="1">
        <v>2016</v>
      </c>
      <c r="B1837" t="s">
        <v>221</v>
      </c>
      <c r="C1837" s="10" t="s">
        <v>1678</v>
      </c>
      <c r="D1837" s="10" t="s">
        <v>1679</v>
      </c>
      <c r="E1837" s="10" t="s">
        <v>1682</v>
      </c>
      <c r="F1837" t="s">
        <v>718</v>
      </c>
      <c r="G1837" s="4">
        <v>53573</v>
      </c>
      <c r="H1837" s="4">
        <v>323970</v>
      </c>
      <c r="I1837" s="4"/>
      <c r="J1837" s="4">
        <f>SUM(G1837:I1837)</f>
        <v>377543</v>
      </c>
      <c r="K1837" t="s">
        <v>1660</v>
      </c>
      <c r="L1837" t="s">
        <v>1659</v>
      </c>
      <c r="M1837" t="s">
        <v>1275</v>
      </c>
      <c r="N1837" t="s">
        <v>1275</v>
      </c>
      <c r="O1837" t="s">
        <v>1132</v>
      </c>
      <c r="P1837">
        <f>IFERROR(VLOOKUP(F1837,Sheet1!$A$2:$B$54,2,FALSE),"")</f>
        <v>4900049</v>
      </c>
    </row>
    <row r="1838" spans="1:16" x14ac:dyDescent="0.2">
      <c r="A1838" s="1">
        <v>2017</v>
      </c>
      <c r="B1838" t="s">
        <v>221</v>
      </c>
      <c r="C1838" s="10" t="s">
        <v>1678</v>
      </c>
      <c r="D1838" s="10" t="s">
        <v>1679</v>
      </c>
      <c r="E1838" s="10" t="s">
        <v>1682</v>
      </c>
      <c r="F1838" t="s">
        <v>718</v>
      </c>
      <c r="G1838" s="4">
        <v>65798</v>
      </c>
      <c r="H1838" s="4">
        <v>293902</v>
      </c>
      <c r="I1838" s="4"/>
      <c r="J1838" s="4">
        <f>SUM(G1838:I1838)</f>
        <v>359700</v>
      </c>
      <c r="K1838" t="s">
        <v>1660</v>
      </c>
      <c r="L1838" t="s">
        <v>1659</v>
      </c>
      <c r="M1838" t="s">
        <v>1275</v>
      </c>
      <c r="N1838" t="s">
        <v>1275</v>
      </c>
      <c r="O1838" t="s">
        <v>1132</v>
      </c>
      <c r="P1838">
        <f>IFERROR(VLOOKUP(F1838,Sheet1!$A$2:$B$54,2,FALSE),"")</f>
        <v>4900049</v>
      </c>
    </row>
    <row r="1839" spans="1:16" x14ac:dyDescent="0.2">
      <c r="A1839" s="1">
        <v>2018</v>
      </c>
      <c r="B1839" t="s">
        <v>221</v>
      </c>
      <c r="C1839" s="10" t="s">
        <v>1678</v>
      </c>
      <c r="D1839" s="10" t="s">
        <v>1679</v>
      </c>
      <c r="E1839" s="10" t="s">
        <v>1682</v>
      </c>
      <c r="F1839" t="s">
        <v>718</v>
      </c>
      <c r="G1839" s="4">
        <v>87946</v>
      </c>
      <c r="H1839" s="4">
        <v>268389</v>
      </c>
      <c r="I1839" s="4"/>
      <c r="J1839" s="4">
        <f>SUM(G1839:I1839)</f>
        <v>356335</v>
      </c>
      <c r="K1839" t="s">
        <v>1660</v>
      </c>
      <c r="L1839" t="s">
        <v>1659</v>
      </c>
      <c r="M1839" t="s">
        <v>1275</v>
      </c>
      <c r="N1839" t="s">
        <v>1275</v>
      </c>
      <c r="O1839" t="s">
        <v>1132</v>
      </c>
      <c r="P1839">
        <f>IFERROR(VLOOKUP(F1839,Sheet1!$A$2:$B$54,2,FALSE),"")</f>
        <v>4900049</v>
      </c>
    </row>
    <row r="1840" spans="1:16" x14ac:dyDescent="0.2">
      <c r="A1840" s="1">
        <v>2019</v>
      </c>
      <c r="B1840" t="s">
        <v>221</v>
      </c>
      <c r="C1840" s="10" t="s">
        <v>1678</v>
      </c>
      <c r="D1840" s="10" t="s">
        <v>1679</v>
      </c>
      <c r="E1840" s="10" t="s">
        <v>1682</v>
      </c>
      <c r="F1840" t="s">
        <v>718</v>
      </c>
      <c r="G1840" s="4">
        <v>98334</v>
      </c>
      <c r="H1840" s="4">
        <v>268170</v>
      </c>
      <c r="I1840" s="4"/>
      <c r="J1840" s="4">
        <f>SUM(G1840:I1840)</f>
        <v>366504</v>
      </c>
      <c r="K1840" t="s">
        <v>1660</v>
      </c>
      <c r="L1840" t="s">
        <v>1659</v>
      </c>
      <c r="M1840" t="s">
        <v>1275</v>
      </c>
      <c r="N1840" t="s">
        <v>1275</v>
      </c>
      <c r="O1840" t="s">
        <v>1132</v>
      </c>
      <c r="P1840">
        <f>IFERROR(VLOOKUP(F1840,Sheet1!$A$2:$B$54,2,FALSE),"")</f>
        <v>4900049</v>
      </c>
    </row>
    <row r="1841" spans="1:16" x14ac:dyDescent="0.2">
      <c r="A1841" s="1">
        <v>2020</v>
      </c>
      <c r="B1841" t="s">
        <v>221</v>
      </c>
      <c r="C1841" s="10" t="s">
        <v>1678</v>
      </c>
      <c r="D1841" s="10" t="s">
        <v>1679</v>
      </c>
      <c r="E1841" s="10" t="s">
        <v>1682</v>
      </c>
      <c r="F1841" t="s">
        <v>718</v>
      </c>
      <c r="G1841" s="4">
        <v>130228</v>
      </c>
      <c r="H1841" s="4">
        <v>326000</v>
      </c>
      <c r="I1841" s="4"/>
      <c r="J1841" s="4">
        <f>SUM(G1841:I1841)</f>
        <v>456228</v>
      </c>
      <c r="K1841" t="s">
        <v>1660</v>
      </c>
      <c r="L1841" t="s">
        <v>1659</v>
      </c>
      <c r="M1841" t="s">
        <v>1275</v>
      </c>
      <c r="N1841" t="s">
        <v>1275</v>
      </c>
      <c r="O1841" t="s">
        <v>1132</v>
      </c>
      <c r="P1841">
        <f>IFERROR(VLOOKUP(F1841,Sheet1!$A$2:$B$54,2,FALSE),"")</f>
        <v>4900049</v>
      </c>
    </row>
    <row r="1842" spans="1:16" x14ac:dyDescent="0.2">
      <c r="A1842" s="1">
        <v>2021</v>
      </c>
      <c r="B1842" t="s">
        <v>221</v>
      </c>
      <c r="C1842" s="10" t="s">
        <v>1678</v>
      </c>
      <c r="D1842" s="10" t="s">
        <v>1679</v>
      </c>
      <c r="E1842" s="10" t="s">
        <v>1682</v>
      </c>
      <c r="F1842" t="s">
        <v>718</v>
      </c>
      <c r="G1842" s="4">
        <v>185634</v>
      </c>
      <c r="H1842" s="4">
        <v>433935</v>
      </c>
      <c r="I1842" s="4"/>
      <c r="J1842" s="4">
        <f>SUM(G1842:I1842)</f>
        <v>619569</v>
      </c>
      <c r="K1842" t="s">
        <v>1660</v>
      </c>
      <c r="L1842" t="s">
        <v>1659</v>
      </c>
      <c r="M1842" t="s">
        <v>718</v>
      </c>
      <c r="N1842" t="s">
        <v>718</v>
      </c>
      <c r="O1842" t="s">
        <v>1132</v>
      </c>
      <c r="P1842">
        <f>IFERROR(VLOOKUP(F1842,Sheet1!$A$2:$B$54,2,FALSE),"")</f>
        <v>4900049</v>
      </c>
    </row>
    <row r="1843" spans="1:16" x14ac:dyDescent="0.2">
      <c r="A1843" s="1">
        <v>2022</v>
      </c>
      <c r="B1843" t="s">
        <v>221</v>
      </c>
      <c r="C1843" s="10" t="s">
        <v>1678</v>
      </c>
      <c r="D1843" s="10" t="s">
        <v>1679</v>
      </c>
      <c r="E1843" s="10" t="s">
        <v>1682</v>
      </c>
      <c r="F1843" t="s">
        <v>718</v>
      </c>
      <c r="G1843" s="4">
        <v>220637</v>
      </c>
      <c r="H1843" s="4">
        <v>538791</v>
      </c>
      <c r="I1843" s="4"/>
      <c r="J1843" s="4">
        <f>SUM(G1843:I1843)</f>
        <v>759428</v>
      </c>
      <c r="K1843" t="s">
        <v>1660</v>
      </c>
      <c r="L1843" t="s">
        <v>1659</v>
      </c>
      <c r="M1843" t="s">
        <v>718</v>
      </c>
      <c r="N1843" t="s">
        <v>718</v>
      </c>
      <c r="O1843" t="s">
        <v>1132</v>
      </c>
      <c r="P1843">
        <f>IFERROR(VLOOKUP(F1843,Sheet1!$A$2:$B$54,2,FALSE),"")</f>
        <v>4900049</v>
      </c>
    </row>
    <row r="1844" spans="1:16" x14ac:dyDescent="0.2">
      <c r="A1844" s="1">
        <v>2023</v>
      </c>
      <c r="B1844" t="s">
        <v>221</v>
      </c>
      <c r="C1844" s="10" t="s">
        <v>1678</v>
      </c>
      <c r="D1844" s="10" t="s">
        <v>1679</v>
      </c>
      <c r="E1844" s="10" t="s">
        <v>1682</v>
      </c>
      <c r="F1844" t="s">
        <v>718</v>
      </c>
      <c r="G1844" s="4">
        <v>267946</v>
      </c>
      <c r="H1844" s="4">
        <v>625037</v>
      </c>
      <c r="I1844" s="4"/>
      <c r="J1844" s="4">
        <f>SUM(G1844:I1844)</f>
        <v>892983</v>
      </c>
      <c r="K1844" t="s">
        <v>1660</v>
      </c>
      <c r="L1844" t="s">
        <v>1659</v>
      </c>
      <c r="M1844" t="s">
        <v>718</v>
      </c>
      <c r="N1844" t="s">
        <v>718</v>
      </c>
      <c r="O1844" t="s">
        <v>1132</v>
      </c>
      <c r="P1844">
        <f>IFERROR(VLOOKUP(F1844,Sheet1!$A$2:$B$54,2,FALSE),"")</f>
        <v>4900049</v>
      </c>
    </row>
    <row r="1845" spans="1:16" x14ac:dyDescent="0.2">
      <c r="A1845" s="1">
        <v>2015</v>
      </c>
      <c r="B1845" t="s">
        <v>225</v>
      </c>
      <c r="C1845" s="10" t="s">
        <v>1678</v>
      </c>
      <c r="D1845" s="10" t="s">
        <v>1679</v>
      </c>
      <c r="E1845" s="10" t="s">
        <v>1682</v>
      </c>
      <c r="F1845" t="s">
        <v>722</v>
      </c>
      <c r="G1845" s="4">
        <v>3504</v>
      </c>
      <c r="H1845" s="4"/>
      <c r="I1845" s="4"/>
      <c r="J1845" s="4">
        <f>SUM(G1845:I1845)</f>
        <v>3504</v>
      </c>
      <c r="K1845" t="s">
        <v>1659</v>
      </c>
      <c r="L1845" t="s">
        <v>1659</v>
      </c>
      <c r="M1845" t="s">
        <v>1279</v>
      </c>
      <c r="N1845" t="s">
        <v>1132</v>
      </c>
      <c r="O1845" t="s">
        <v>1132</v>
      </c>
      <c r="P1845" t="str">
        <f>IFERROR(VLOOKUP(F1845,Sheet1!$A$2:$B$54,2,FALSE),"")</f>
        <v/>
      </c>
    </row>
    <row r="1846" spans="1:16" x14ac:dyDescent="0.2">
      <c r="A1846" s="1">
        <v>2016</v>
      </c>
      <c r="B1846" t="s">
        <v>225</v>
      </c>
      <c r="C1846" s="10" t="s">
        <v>1678</v>
      </c>
      <c r="D1846" s="10" t="s">
        <v>1679</v>
      </c>
      <c r="E1846" s="10" t="s">
        <v>1682</v>
      </c>
      <c r="F1846" t="s">
        <v>722</v>
      </c>
      <c r="G1846" s="4">
        <v>3507</v>
      </c>
      <c r="H1846" s="4"/>
      <c r="I1846" s="4"/>
      <c r="J1846" s="4">
        <f>SUM(G1846:I1846)</f>
        <v>3507</v>
      </c>
      <c r="K1846" t="s">
        <v>1659</v>
      </c>
      <c r="L1846" t="s">
        <v>1659</v>
      </c>
      <c r="M1846" t="s">
        <v>1279</v>
      </c>
      <c r="N1846" t="s">
        <v>1132</v>
      </c>
      <c r="O1846" t="s">
        <v>1132</v>
      </c>
      <c r="P1846" t="str">
        <f>IFERROR(VLOOKUP(F1846,Sheet1!$A$2:$B$54,2,FALSE),"")</f>
        <v/>
      </c>
    </row>
    <row r="1847" spans="1:16" x14ac:dyDescent="0.2">
      <c r="A1847" s="1">
        <v>2017</v>
      </c>
      <c r="B1847" t="s">
        <v>225</v>
      </c>
      <c r="C1847" s="10" t="s">
        <v>1678</v>
      </c>
      <c r="D1847" s="10" t="s">
        <v>1679</v>
      </c>
      <c r="E1847" s="10" t="s">
        <v>1682</v>
      </c>
      <c r="F1847" t="s">
        <v>722</v>
      </c>
      <c r="G1847" s="4">
        <v>3900</v>
      </c>
      <c r="H1847" s="4"/>
      <c r="I1847" s="4"/>
      <c r="J1847" s="4">
        <f>SUM(G1847:I1847)</f>
        <v>3900</v>
      </c>
      <c r="K1847" t="s">
        <v>1659</v>
      </c>
      <c r="L1847" t="s">
        <v>1659</v>
      </c>
      <c r="M1847" t="s">
        <v>1279</v>
      </c>
      <c r="N1847" t="s">
        <v>1132</v>
      </c>
      <c r="O1847" t="s">
        <v>1132</v>
      </c>
      <c r="P1847" t="str">
        <f>IFERROR(VLOOKUP(F1847,Sheet1!$A$2:$B$54,2,FALSE),"")</f>
        <v/>
      </c>
    </row>
    <row r="1848" spans="1:16" x14ac:dyDescent="0.2">
      <c r="A1848" s="1">
        <v>2018</v>
      </c>
      <c r="B1848" t="s">
        <v>225</v>
      </c>
      <c r="C1848" s="10" t="s">
        <v>1678</v>
      </c>
      <c r="D1848" s="10" t="s">
        <v>1679</v>
      </c>
      <c r="E1848" s="10" t="s">
        <v>1682</v>
      </c>
      <c r="F1848" t="s">
        <v>722</v>
      </c>
      <c r="G1848" s="4">
        <v>3975</v>
      </c>
      <c r="H1848" s="4"/>
      <c r="I1848" s="4"/>
      <c r="J1848" s="4">
        <f>SUM(G1848:I1848)</f>
        <v>3975</v>
      </c>
      <c r="K1848" t="s">
        <v>1659</v>
      </c>
      <c r="L1848" t="s">
        <v>1659</v>
      </c>
      <c r="M1848" t="s">
        <v>1279</v>
      </c>
      <c r="N1848" t="s">
        <v>1132</v>
      </c>
      <c r="O1848" t="s">
        <v>1132</v>
      </c>
      <c r="P1848" t="str">
        <f>IFERROR(VLOOKUP(F1848,Sheet1!$A$2:$B$54,2,FALSE),"")</f>
        <v/>
      </c>
    </row>
    <row r="1849" spans="1:16" x14ac:dyDescent="0.2">
      <c r="A1849" s="1">
        <v>2019</v>
      </c>
      <c r="B1849" t="s">
        <v>225</v>
      </c>
      <c r="C1849" s="10" t="s">
        <v>1678</v>
      </c>
      <c r="D1849" s="10" t="s">
        <v>1679</v>
      </c>
      <c r="E1849" s="10" t="s">
        <v>1682</v>
      </c>
      <c r="F1849" t="s">
        <v>722</v>
      </c>
      <c r="G1849" s="4">
        <v>4552</v>
      </c>
      <c r="H1849" s="4"/>
      <c r="I1849" s="4"/>
      <c r="J1849" s="4">
        <f>SUM(G1849:I1849)</f>
        <v>4552</v>
      </c>
      <c r="K1849" t="s">
        <v>1659</v>
      </c>
      <c r="L1849" t="s">
        <v>1659</v>
      </c>
      <c r="M1849" t="s">
        <v>1279</v>
      </c>
      <c r="N1849" t="s">
        <v>1132</v>
      </c>
      <c r="O1849" t="s">
        <v>1132</v>
      </c>
      <c r="P1849" t="str">
        <f>IFERROR(VLOOKUP(F1849,Sheet1!$A$2:$B$54,2,FALSE),"")</f>
        <v/>
      </c>
    </row>
    <row r="1850" spans="1:16" x14ac:dyDescent="0.2">
      <c r="A1850" s="1">
        <v>2020</v>
      </c>
      <c r="B1850" t="s">
        <v>225</v>
      </c>
      <c r="C1850" s="10" t="s">
        <v>1678</v>
      </c>
      <c r="D1850" s="10" t="s">
        <v>1679</v>
      </c>
      <c r="E1850" s="10" t="s">
        <v>1682</v>
      </c>
      <c r="F1850" t="s">
        <v>722</v>
      </c>
      <c r="G1850" s="4">
        <v>3889</v>
      </c>
      <c r="H1850" s="4"/>
      <c r="I1850" s="4"/>
      <c r="J1850" s="4">
        <f>SUM(G1850:I1850)</f>
        <v>3889</v>
      </c>
      <c r="K1850" t="s">
        <v>1659</v>
      </c>
      <c r="L1850" t="s">
        <v>1659</v>
      </c>
      <c r="M1850" t="s">
        <v>1279</v>
      </c>
      <c r="N1850" t="s">
        <v>1132</v>
      </c>
      <c r="O1850" t="s">
        <v>1132</v>
      </c>
      <c r="P1850" t="str">
        <f>IFERROR(VLOOKUP(F1850,Sheet1!$A$2:$B$54,2,FALSE),"")</f>
        <v/>
      </c>
    </row>
    <row r="1851" spans="1:16" x14ac:dyDescent="0.2">
      <c r="A1851" s="1">
        <v>2021</v>
      </c>
      <c r="B1851" t="s">
        <v>225</v>
      </c>
      <c r="C1851" s="10" t="s">
        <v>1678</v>
      </c>
      <c r="D1851" s="10" t="s">
        <v>1679</v>
      </c>
      <c r="E1851" s="10" t="s">
        <v>1682</v>
      </c>
      <c r="F1851" t="s">
        <v>722</v>
      </c>
      <c r="G1851" s="4">
        <v>5287</v>
      </c>
      <c r="H1851" s="4"/>
      <c r="I1851" s="4"/>
      <c r="J1851" s="4">
        <f>SUM(G1851:I1851)</f>
        <v>5287</v>
      </c>
      <c r="K1851" t="s">
        <v>1659</v>
      </c>
      <c r="L1851" t="s">
        <v>1659</v>
      </c>
      <c r="M1851" t="s">
        <v>722</v>
      </c>
      <c r="N1851" t="s">
        <v>1132</v>
      </c>
      <c r="O1851" t="s">
        <v>1132</v>
      </c>
      <c r="P1851" t="str">
        <f>IFERROR(VLOOKUP(F1851,Sheet1!$A$2:$B$54,2,FALSE),"")</f>
        <v/>
      </c>
    </row>
    <row r="1852" spans="1:16" x14ac:dyDescent="0.2">
      <c r="A1852" s="1">
        <v>2022</v>
      </c>
      <c r="B1852" t="s">
        <v>225</v>
      </c>
      <c r="C1852" s="10" t="s">
        <v>1678</v>
      </c>
      <c r="D1852" s="10" t="s">
        <v>1679</v>
      </c>
      <c r="E1852" s="10" t="s">
        <v>1682</v>
      </c>
      <c r="F1852" t="s">
        <v>722</v>
      </c>
      <c r="G1852" s="4">
        <v>8091</v>
      </c>
      <c r="H1852" s="4"/>
      <c r="I1852" s="4"/>
      <c r="J1852" s="4">
        <f>SUM(G1852:I1852)</f>
        <v>8091</v>
      </c>
      <c r="K1852" t="s">
        <v>1659</v>
      </c>
      <c r="L1852" t="s">
        <v>1659</v>
      </c>
      <c r="M1852" t="s">
        <v>722</v>
      </c>
      <c r="N1852" t="s">
        <v>1132</v>
      </c>
      <c r="O1852" t="s">
        <v>1132</v>
      </c>
      <c r="P1852" t="str">
        <f>IFERROR(VLOOKUP(F1852,Sheet1!$A$2:$B$54,2,FALSE),"")</f>
        <v/>
      </c>
    </row>
    <row r="1853" spans="1:16" x14ac:dyDescent="0.2">
      <c r="A1853" s="1">
        <v>2023</v>
      </c>
      <c r="B1853" t="s">
        <v>225</v>
      </c>
      <c r="C1853" s="10" t="s">
        <v>1678</v>
      </c>
      <c r="D1853" s="10" t="s">
        <v>1679</v>
      </c>
      <c r="E1853" s="10" t="s">
        <v>1682</v>
      </c>
      <c r="F1853" t="s">
        <v>722</v>
      </c>
      <c r="G1853" s="4">
        <v>11729</v>
      </c>
      <c r="H1853" s="4"/>
      <c r="I1853" s="4"/>
      <c r="J1853" s="4">
        <f>SUM(G1853:I1853)</f>
        <v>11729</v>
      </c>
      <c r="K1853" t="s">
        <v>1659</v>
      </c>
      <c r="L1853" t="s">
        <v>1659</v>
      </c>
      <c r="M1853" t="s">
        <v>722</v>
      </c>
      <c r="N1853" t="s">
        <v>1132</v>
      </c>
      <c r="O1853" t="s">
        <v>1132</v>
      </c>
      <c r="P1853" t="str">
        <f>IFERROR(VLOOKUP(F1853,Sheet1!$A$2:$B$54,2,FALSE),"")</f>
        <v/>
      </c>
    </row>
    <row r="1854" spans="1:16" x14ac:dyDescent="0.2">
      <c r="A1854" s="1">
        <v>2015</v>
      </c>
      <c r="B1854" t="s">
        <v>226</v>
      </c>
      <c r="C1854" s="10" t="s">
        <v>1678</v>
      </c>
      <c r="D1854" s="10" t="s">
        <v>1679</v>
      </c>
      <c r="E1854" s="10" t="s">
        <v>1682</v>
      </c>
      <c r="F1854" t="s">
        <v>723</v>
      </c>
      <c r="G1854" s="4">
        <v>11491</v>
      </c>
      <c r="H1854" s="4"/>
      <c r="I1854" s="4"/>
      <c r="J1854" s="4">
        <f>SUM(G1854:I1854)</f>
        <v>11491</v>
      </c>
      <c r="K1854" t="s">
        <v>1659</v>
      </c>
      <c r="L1854" t="s">
        <v>1659</v>
      </c>
      <c r="M1854" t="s">
        <v>1280</v>
      </c>
      <c r="N1854" t="s">
        <v>1132</v>
      </c>
      <c r="O1854" t="s">
        <v>1132</v>
      </c>
      <c r="P1854" t="str">
        <f>IFERROR(VLOOKUP(F1854,Sheet1!$A$2:$B$54,2,FALSE),"")</f>
        <v/>
      </c>
    </row>
    <row r="1855" spans="1:16" x14ac:dyDescent="0.2">
      <c r="A1855" s="1">
        <v>2016</v>
      </c>
      <c r="B1855" t="s">
        <v>226</v>
      </c>
      <c r="C1855" s="10" t="s">
        <v>1678</v>
      </c>
      <c r="D1855" s="10" t="s">
        <v>1679</v>
      </c>
      <c r="E1855" s="10" t="s">
        <v>1682</v>
      </c>
      <c r="F1855" t="s">
        <v>723</v>
      </c>
      <c r="G1855" s="4">
        <v>13446</v>
      </c>
      <c r="H1855" s="4"/>
      <c r="I1855" s="4"/>
      <c r="J1855" s="4">
        <f>SUM(G1855:I1855)</f>
        <v>13446</v>
      </c>
      <c r="K1855" t="s">
        <v>1659</v>
      </c>
      <c r="L1855" t="s">
        <v>1659</v>
      </c>
      <c r="M1855" t="s">
        <v>1280</v>
      </c>
      <c r="N1855" t="s">
        <v>1132</v>
      </c>
      <c r="O1855" t="s">
        <v>1132</v>
      </c>
      <c r="P1855" t="str">
        <f>IFERROR(VLOOKUP(F1855,Sheet1!$A$2:$B$54,2,FALSE),"")</f>
        <v/>
      </c>
    </row>
    <row r="1856" spans="1:16" x14ac:dyDescent="0.2">
      <c r="A1856" s="1">
        <v>2017</v>
      </c>
      <c r="B1856" t="s">
        <v>226</v>
      </c>
      <c r="C1856" s="10" t="s">
        <v>1678</v>
      </c>
      <c r="D1856" s="10" t="s">
        <v>1679</v>
      </c>
      <c r="E1856" s="10" t="s">
        <v>1682</v>
      </c>
      <c r="F1856" t="s">
        <v>723</v>
      </c>
      <c r="G1856" s="4">
        <v>15185</v>
      </c>
      <c r="H1856" s="4"/>
      <c r="I1856" s="4"/>
      <c r="J1856" s="4">
        <f>SUM(G1856:I1856)</f>
        <v>15185</v>
      </c>
      <c r="K1856" t="s">
        <v>1659</v>
      </c>
      <c r="L1856" t="s">
        <v>1659</v>
      </c>
      <c r="M1856" t="s">
        <v>1280</v>
      </c>
      <c r="N1856" t="s">
        <v>1132</v>
      </c>
      <c r="O1856" t="s">
        <v>1132</v>
      </c>
      <c r="P1856" t="str">
        <f>IFERROR(VLOOKUP(F1856,Sheet1!$A$2:$B$54,2,FALSE),"")</f>
        <v/>
      </c>
    </row>
    <row r="1857" spans="1:16" x14ac:dyDescent="0.2">
      <c r="A1857" s="1">
        <v>2018</v>
      </c>
      <c r="B1857" t="s">
        <v>226</v>
      </c>
      <c r="C1857" s="10" t="s">
        <v>1678</v>
      </c>
      <c r="D1857" s="10" t="s">
        <v>1679</v>
      </c>
      <c r="E1857" s="10" t="s">
        <v>1682</v>
      </c>
      <c r="F1857" t="s">
        <v>723</v>
      </c>
      <c r="G1857" s="4">
        <v>14926</v>
      </c>
      <c r="H1857" s="4"/>
      <c r="I1857" s="4"/>
      <c r="J1857" s="4">
        <f>SUM(G1857:I1857)</f>
        <v>14926</v>
      </c>
      <c r="K1857" t="s">
        <v>1659</v>
      </c>
      <c r="L1857" t="s">
        <v>1659</v>
      </c>
      <c r="M1857" t="s">
        <v>1280</v>
      </c>
      <c r="N1857" t="s">
        <v>1132</v>
      </c>
      <c r="O1857" t="s">
        <v>1132</v>
      </c>
      <c r="P1857" t="str">
        <f>IFERROR(VLOOKUP(F1857,Sheet1!$A$2:$B$54,2,FALSE),"")</f>
        <v/>
      </c>
    </row>
    <row r="1858" spans="1:16" x14ac:dyDescent="0.2">
      <c r="A1858" s="1">
        <v>2019</v>
      </c>
      <c r="B1858" t="s">
        <v>226</v>
      </c>
      <c r="C1858" s="10" t="s">
        <v>1678</v>
      </c>
      <c r="D1858" s="10" t="s">
        <v>1679</v>
      </c>
      <c r="E1858" s="10" t="s">
        <v>1682</v>
      </c>
      <c r="F1858" t="s">
        <v>723</v>
      </c>
      <c r="G1858" s="4">
        <v>26555</v>
      </c>
      <c r="H1858" s="4"/>
      <c r="I1858" s="4"/>
      <c r="J1858" s="4">
        <f>SUM(G1858:I1858)</f>
        <v>26555</v>
      </c>
      <c r="K1858" t="s">
        <v>1659</v>
      </c>
      <c r="L1858" t="s">
        <v>1659</v>
      </c>
      <c r="M1858" t="s">
        <v>1280</v>
      </c>
      <c r="N1858" t="s">
        <v>1132</v>
      </c>
      <c r="O1858" t="s">
        <v>1132</v>
      </c>
      <c r="P1858" t="str">
        <f>IFERROR(VLOOKUP(F1858,Sheet1!$A$2:$B$54,2,FALSE),"")</f>
        <v/>
      </c>
    </row>
    <row r="1859" spans="1:16" x14ac:dyDescent="0.2">
      <c r="A1859" s="1">
        <v>2020</v>
      </c>
      <c r="B1859" t="s">
        <v>226</v>
      </c>
      <c r="C1859" s="10" t="s">
        <v>1678</v>
      </c>
      <c r="D1859" s="10" t="s">
        <v>1679</v>
      </c>
      <c r="E1859" s="10" t="s">
        <v>1682</v>
      </c>
      <c r="F1859" t="s">
        <v>723</v>
      </c>
      <c r="G1859" s="4">
        <v>32853</v>
      </c>
      <c r="H1859" s="4"/>
      <c r="I1859" s="4"/>
      <c r="J1859" s="4">
        <f>SUM(G1859:I1859)</f>
        <v>32853</v>
      </c>
      <c r="K1859" t="s">
        <v>1659</v>
      </c>
      <c r="L1859" t="s">
        <v>1659</v>
      </c>
      <c r="M1859" t="s">
        <v>1280</v>
      </c>
      <c r="N1859" t="s">
        <v>1132</v>
      </c>
      <c r="O1859" t="s">
        <v>1132</v>
      </c>
      <c r="P1859" t="str">
        <f>IFERROR(VLOOKUP(F1859,Sheet1!$A$2:$B$54,2,FALSE),"")</f>
        <v/>
      </c>
    </row>
    <row r="1860" spans="1:16" x14ac:dyDescent="0.2">
      <c r="A1860" s="1">
        <v>2021</v>
      </c>
      <c r="B1860" t="s">
        <v>226</v>
      </c>
      <c r="C1860" s="10" t="s">
        <v>1678</v>
      </c>
      <c r="D1860" s="10" t="s">
        <v>1679</v>
      </c>
      <c r="E1860" s="10" t="s">
        <v>1682</v>
      </c>
      <c r="F1860" t="s">
        <v>723</v>
      </c>
      <c r="G1860" s="4">
        <v>34741</v>
      </c>
      <c r="H1860" s="4"/>
      <c r="I1860" s="4"/>
      <c r="J1860" s="4">
        <f>SUM(G1860:I1860)</f>
        <v>34741</v>
      </c>
      <c r="K1860" t="s">
        <v>1659</v>
      </c>
      <c r="L1860" t="s">
        <v>1659</v>
      </c>
      <c r="M1860" t="s">
        <v>723</v>
      </c>
      <c r="N1860" t="s">
        <v>1132</v>
      </c>
      <c r="O1860" t="s">
        <v>1132</v>
      </c>
      <c r="P1860" t="str">
        <f>IFERROR(VLOOKUP(F1860,Sheet1!$A$2:$B$54,2,FALSE),"")</f>
        <v/>
      </c>
    </row>
    <row r="1861" spans="1:16" x14ac:dyDescent="0.2">
      <c r="A1861" s="1">
        <v>2022</v>
      </c>
      <c r="B1861" t="s">
        <v>226</v>
      </c>
      <c r="C1861" s="10" t="s">
        <v>1678</v>
      </c>
      <c r="D1861" s="10" t="s">
        <v>1679</v>
      </c>
      <c r="E1861" s="10" t="s">
        <v>1682</v>
      </c>
      <c r="F1861" t="s">
        <v>723</v>
      </c>
      <c r="G1861" s="4">
        <v>35341</v>
      </c>
      <c r="H1861" s="4"/>
      <c r="I1861" s="4"/>
      <c r="J1861" s="4">
        <f>SUM(G1861:I1861)</f>
        <v>35341</v>
      </c>
      <c r="K1861" t="s">
        <v>1659</v>
      </c>
      <c r="L1861" t="s">
        <v>1659</v>
      </c>
      <c r="M1861" t="s">
        <v>723</v>
      </c>
      <c r="N1861" t="s">
        <v>1132</v>
      </c>
      <c r="O1861" t="s">
        <v>1132</v>
      </c>
      <c r="P1861" t="str">
        <f>IFERROR(VLOOKUP(F1861,Sheet1!$A$2:$B$54,2,FALSE),"")</f>
        <v/>
      </c>
    </row>
    <row r="1862" spans="1:16" x14ac:dyDescent="0.2">
      <c r="A1862" s="1">
        <v>2023</v>
      </c>
      <c r="B1862" t="s">
        <v>226</v>
      </c>
      <c r="C1862" s="10" t="s">
        <v>1678</v>
      </c>
      <c r="D1862" s="10" t="s">
        <v>1679</v>
      </c>
      <c r="E1862" s="10" t="s">
        <v>1682</v>
      </c>
      <c r="F1862" t="s">
        <v>723</v>
      </c>
      <c r="G1862" s="4">
        <v>43562</v>
      </c>
      <c r="H1862" s="4"/>
      <c r="I1862" s="4"/>
      <c r="J1862" s="4">
        <f>SUM(G1862:I1862)</f>
        <v>43562</v>
      </c>
      <c r="K1862" t="s">
        <v>1659</v>
      </c>
      <c r="L1862" t="s">
        <v>1659</v>
      </c>
      <c r="M1862" t="s">
        <v>723</v>
      </c>
      <c r="N1862" t="s">
        <v>1132</v>
      </c>
      <c r="O1862" t="s">
        <v>1132</v>
      </c>
      <c r="P1862" t="str">
        <f>IFERROR(VLOOKUP(F1862,Sheet1!$A$2:$B$54,2,FALSE),"")</f>
        <v/>
      </c>
    </row>
    <row r="1863" spans="1:16" x14ac:dyDescent="0.2">
      <c r="A1863" s="1">
        <v>2015</v>
      </c>
      <c r="B1863" t="s">
        <v>227</v>
      </c>
      <c r="C1863" s="10" t="s">
        <v>1678</v>
      </c>
      <c r="D1863" s="10" t="s">
        <v>1679</v>
      </c>
      <c r="E1863" s="10" t="s">
        <v>1682</v>
      </c>
      <c r="F1863" t="s">
        <v>724</v>
      </c>
      <c r="G1863" s="4">
        <v>21336</v>
      </c>
      <c r="H1863" s="4"/>
      <c r="I1863" s="4"/>
      <c r="J1863" s="4">
        <f>SUM(G1863:I1863)</f>
        <v>21336</v>
      </c>
      <c r="K1863" t="s">
        <v>1659</v>
      </c>
      <c r="L1863" t="s">
        <v>1659</v>
      </c>
      <c r="M1863" t="s">
        <v>1281</v>
      </c>
      <c r="N1863" t="s">
        <v>1132</v>
      </c>
      <c r="O1863" t="s">
        <v>1132</v>
      </c>
      <c r="P1863" t="str">
        <f>IFERROR(VLOOKUP(F1863,Sheet1!$A$2:$B$54,2,FALSE),"")</f>
        <v/>
      </c>
    </row>
    <row r="1864" spans="1:16" x14ac:dyDescent="0.2">
      <c r="A1864" s="1">
        <v>2016</v>
      </c>
      <c r="B1864" t="s">
        <v>227</v>
      </c>
      <c r="C1864" s="10" t="s">
        <v>1678</v>
      </c>
      <c r="D1864" s="10" t="s">
        <v>1679</v>
      </c>
      <c r="E1864" s="10" t="s">
        <v>1682</v>
      </c>
      <c r="F1864" t="s">
        <v>724</v>
      </c>
      <c r="G1864" s="4">
        <v>20573</v>
      </c>
      <c r="H1864" s="4"/>
      <c r="I1864" s="4"/>
      <c r="J1864" s="4">
        <f>SUM(G1864:I1864)</f>
        <v>20573</v>
      </c>
      <c r="K1864" t="s">
        <v>1659</v>
      </c>
      <c r="L1864" t="s">
        <v>1659</v>
      </c>
      <c r="M1864" t="s">
        <v>1281</v>
      </c>
      <c r="N1864" t="s">
        <v>1132</v>
      </c>
      <c r="O1864" t="s">
        <v>1132</v>
      </c>
      <c r="P1864" t="str">
        <f>IFERROR(VLOOKUP(F1864,Sheet1!$A$2:$B$54,2,FALSE),"")</f>
        <v/>
      </c>
    </row>
    <row r="1865" spans="1:16" x14ac:dyDescent="0.2">
      <c r="A1865" s="1">
        <v>2017</v>
      </c>
      <c r="B1865" t="s">
        <v>227</v>
      </c>
      <c r="C1865" s="10" t="s">
        <v>1678</v>
      </c>
      <c r="D1865" s="10" t="s">
        <v>1679</v>
      </c>
      <c r="E1865" s="10" t="s">
        <v>1682</v>
      </c>
      <c r="F1865" t="s">
        <v>724</v>
      </c>
      <c r="G1865" s="4">
        <v>20292</v>
      </c>
      <c r="H1865" s="4"/>
      <c r="I1865" s="4"/>
      <c r="J1865" s="4">
        <f>SUM(G1865:I1865)</f>
        <v>20292</v>
      </c>
      <c r="K1865" t="s">
        <v>1659</v>
      </c>
      <c r="L1865" t="s">
        <v>1659</v>
      </c>
      <c r="M1865" t="s">
        <v>1282</v>
      </c>
      <c r="N1865" t="s">
        <v>1132</v>
      </c>
      <c r="O1865" t="s">
        <v>1132</v>
      </c>
      <c r="P1865" t="str">
        <f>IFERROR(VLOOKUP(F1865,Sheet1!$A$2:$B$54,2,FALSE),"")</f>
        <v/>
      </c>
    </row>
    <row r="1866" spans="1:16" x14ac:dyDescent="0.2">
      <c r="A1866" s="1">
        <v>2018</v>
      </c>
      <c r="B1866" t="s">
        <v>227</v>
      </c>
      <c r="C1866" s="10" t="s">
        <v>1678</v>
      </c>
      <c r="D1866" s="10" t="s">
        <v>1679</v>
      </c>
      <c r="E1866" s="10" t="s">
        <v>1682</v>
      </c>
      <c r="F1866" t="s">
        <v>724</v>
      </c>
      <c r="G1866" s="4">
        <v>29094</v>
      </c>
      <c r="H1866" s="4"/>
      <c r="I1866" s="4"/>
      <c r="J1866" s="4">
        <f>SUM(G1866:I1866)</f>
        <v>29094</v>
      </c>
      <c r="K1866" t="s">
        <v>1659</v>
      </c>
      <c r="L1866" t="s">
        <v>1659</v>
      </c>
      <c r="M1866" t="s">
        <v>1282</v>
      </c>
      <c r="N1866" t="s">
        <v>1132</v>
      </c>
      <c r="O1866" t="s">
        <v>1132</v>
      </c>
      <c r="P1866" t="str">
        <f>IFERROR(VLOOKUP(F1866,Sheet1!$A$2:$B$54,2,FALSE),"")</f>
        <v/>
      </c>
    </row>
    <row r="1867" spans="1:16" x14ac:dyDescent="0.2">
      <c r="A1867" s="1">
        <v>2019</v>
      </c>
      <c r="B1867" t="s">
        <v>227</v>
      </c>
      <c r="C1867" s="10" t="s">
        <v>1678</v>
      </c>
      <c r="D1867" s="10" t="s">
        <v>1679</v>
      </c>
      <c r="E1867" s="10" t="s">
        <v>1682</v>
      </c>
      <c r="F1867" t="s">
        <v>724</v>
      </c>
      <c r="G1867" s="4">
        <v>34319</v>
      </c>
      <c r="H1867" s="4"/>
      <c r="I1867" s="4"/>
      <c r="J1867" s="4">
        <f>SUM(G1867:I1867)</f>
        <v>34319</v>
      </c>
      <c r="K1867" t="s">
        <v>1659</v>
      </c>
      <c r="L1867" t="s">
        <v>1659</v>
      </c>
      <c r="M1867" t="s">
        <v>1282</v>
      </c>
      <c r="N1867" t="s">
        <v>1132</v>
      </c>
      <c r="O1867" t="s">
        <v>1132</v>
      </c>
      <c r="P1867" t="str">
        <f>IFERROR(VLOOKUP(F1867,Sheet1!$A$2:$B$54,2,FALSE),"")</f>
        <v/>
      </c>
    </row>
    <row r="1868" spans="1:16" x14ac:dyDescent="0.2">
      <c r="A1868" s="1">
        <v>2020</v>
      </c>
      <c r="B1868" t="s">
        <v>227</v>
      </c>
      <c r="C1868" s="10" t="s">
        <v>1678</v>
      </c>
      <c r="D1868" s="10" t="s">
        <v>1679</v>
      </c>
      <c r="E1868" s="10" t="s">
        <v>1682</v>
      </c>
      <c r="F1868" t="s">
        <v>724</v>
      </c>
      <c r="G1868" s="4">
        <v>44038</v>
      </c>
      <c r="H1868" s="4"/>
      <c r="I1868" s="4"/>
      <c r="J1868" s="4">
        <f>SUM(G1868:I1868)</f>
        <v>44038</v>
      </c>
      <c r="K1868" t="s">
        <v>1659</v>
      </c>
      <c r="L1868" t="s">
        <v>1659</v>
      </c>
      <c r="M1868" t="s">
        <v>1282</v>
      </c>
      <c r="N1868" t="s">
        <v>1132</v>
      </c>
      <c r="O1868" t="s">
        <v>1132</v>
      </c>
      <c r="P1868" t="str">
        <f>IFERROR(VLOOKUP(F1868,Sheet1!$A$2:$B$54,2,FALSE),"")</f>
        <v/>
      </c>
    </row>
    <row r="1869" spans="1:16" x14ac:dyDescent="0.2">
      <c r="A1869" s="1">
        <v>2021</v>
      </c>
      <c r="B1869" t="s">
        <v>227</v>
      </c>
      <c r="C1869" s="10" t="s">
        <v>1678</v>
      </c>
      <c r="D1869" s="10" t="s">
        <v>1679</v>
      </c>
      <c r="E1869" s="10" t="s">
        <v>1682</v>
      </c>
      <c r="F1869" t="s">
        <v>724</v>
      </c>
      <c r="G1869" s="4">
        <v>58581</v>
      </c>
      <c r="H1869" s="4"/>
      <c r="I1869" s="4"/>
      <c r="J1869" s="4">
        <f>SUM(G1869:I1869)</f>
        <v>58581</v>
      </c>
      <c r="K1869" t="s">
        <v>1659</v>
      </c>
      <c r="L1869" t="s">
        <v>1659</v>
      </c>
      <c r="M1869" t="s">
        <v>724</v>
      </c>
      <c r="N1869" t="s">
        <v>1132</v>
      </c>
      <c r="O1869" t="s">
        <v>1132</v>
      </c>
      <c r="P1869" t="str">
        <f>IFERROR(VLOOKUP(F1869,Sheet1!$A$2:$B$54,2,FALSE),"")</f>
        <v/>
      </c>
    </row>
    <row r="1870" spans="1:16" x14ac:dyDescent="0.2">
      <c r="A1870" s="1">
        <v>2022</v>
      </c>
      <c r="B1870" t="s">
        <v>227</v>
      </c>
      <c r="C1870" s="10" t="s">
        <v>1678</v>
      </c>
      <c r="D1870" s="10" t="s">
        <v>1679</v>
      </c>
      <c r="E1870" s="10" t="s">
        <v>1682</v>
      </c>
      <c r="F1870" t="s">
        <v>724</v>
      </c>
      <c r="G1870" s="4">
        <v>98534</v>
      </c>
      <c r="H1870" s="4"/>
      <c r="I1870" s="4"/>
      <c r="J1870" s="4">
        <f>SUM(G1870:I1870)</f>
        <v>98534</v>
      </c>
      <c r="K1870" t="s">
        <v>1659</v>
      </c>
      <c r="L1870" t="s">
        <v>1659</v>
      </c>
      <c r="M1870" t="s">
        <v>724</v>
      </c>
      <c r="N1870" t="s">
        <v>1132</v>
      </c>
      <c r="O1870" t="s">
        <v>1132</v>
      </c>
      <c r="P1870" t="str">
        <f>IFERROR(VLOOKUP(F1870,Sheet1!$A$2:$B$54,2,FALSE),"")</f>
        <v/>
      </c>
    </row>
    <row r="1871" spans="1:16" x14ac:dyDescent="0.2">
      <c r="A1871" s="1">
        <v>2023</v>
      </c>
      <c r="B1871" t="s">
        <v>227</v>
      </c>
      <c r="C1871" s="10" t="s">
        <v>1678</v>
      </c>
      <c r="D1871" s="10" t="s">
        <v>1679</v>
      </c>
      <c r="E1871" s="10" t="s">
        <v>1682</v>
      </c>
      <c r="F1871" t="s">
        <v>724</v>
      </c>
      <c r="G1871" s="4">
        <v>123458</v>
      </c>
      <c r="H1871" s="4"/>
      <c r="I1871" s="4"/>
      <c r="J1871" s="4">
        <f>SUM(G1871:I1871)</f>
        <v>123458</v>
      </c>
      <c r="K1871" t="s">
        <v>1659</v>
      </c>
      <c r="L1871" t="s">
        <v>1659</v>
      </c>
      <c r="M1871" t="s">
        <v>724</v>
      </c>
      <c r="N1871" t="s">
        <v>1132</v>
      </c>
      <c r="O1871" t="s">
        <v>1132</v>
      </c>
      <c r="P1871" t="str">
        <f>IFERROR(VLOOKUP(F1871,Sheet1!$A$2:$B$54,2,FALSE),"")</f>
        <v/>
      </c>
    </row>
    <row r="1872" spans="1:16" x14ac:dyDescent="0.2">
      <c r="A1872" s="1">
        <v>2017</v>
      </c>
      <c r="B1872" t="s">
        <v>228</v>
      </c>
      <c r="C1872" s="10" t="s">
        <v>1678</v>
      </c>
      <c r="D1872" s="10" t="s">
        <v>1679</v>
      </c>
      <c r="E1872" s="10" t="s">
        <v>1682</v>
      </c>
      <c r="F1872" t="s">
        <v>725</v>
      </c>
      <c r="G1872" s="4">
        <v>30841</v>
      </c>
      <c r="H1872" s="4"/>
      <c r="I1872" s="4"/>
      <c r="J1872" s="4">
        <f>SUM(G1872:I1872)</f>
        <v>30841</v>
      </c>
      <c r="K1872" t="s">
        <v>1659</v>
      </c>
      <c r="L1872" t="s">
        <v>1659</v>
      </c>
      <c r="M1872" t="s">
        <v>1283</v>
      </c>
      <c r="N1872" t="s">
        <v>1132</v>
      </c>
      <c r="O1872" t="s">
        <v>1132</v>
      </c>
      <c r="P1872" t="str">
        <f>IFERROR(VLOOKUP(F1872,Sheet1!$A$2:$B$54,2,FALSE),"")</f>
        <v/>
      </c>
    </row>
    <row r="1873" spans="1:16" x14ac:dyDescent="0.2">
      <c r="A1873" s="1">
        <v>2018</v>
      </c>
      <c r="B1873" t="s">
        <v>228</v>
      </c>
      <c r="C1873" s="10" t="s">
        <v>1678</v>
      </c>
      <c r="D1873" s="10" t="s">
        <v>1679</v>
      </c>
      <c r="E1873" s="10" t="s">
        <v>1682</v>
      </c>
      <c r="F1873" t="s">
        <v>725</v>
      </c>
      <c r="G1873" s="4">
        <v>43150</v>
      </c>
      <c r="H1873" s="4"/>
      <c r="I1873" s="4"/>
      <c r="J1873" s="4">
        <f>SUM(G1873:I1873)</f>
        <v>43150</v>
      </c>
      <c r="K1873" t="s">
        <v>1659</v>
      </c>
      <c r="L1873" t="s">
        <v>1659</v>
      </c>
      <c r="M1873" t="s">
        <v>1283</v>
      </c>
      <c r="N1873" t="s">
        <v>1132</v>
      </c>
      <c r="O1873" t="s">
        <v>1132</v>
      </c>
      <c r="P1873" t="str">
        <f>IFERROR(VLOOKUP(F1873,Sheet1!$A$2:$B$54,2,FALSE),"")</f>
        <v/>
      </c>
    </row>
    <row r="1874" spans="1:16" x14ac:dyDescent="0.2">
      <c r="A1874" s="1">
        <v>2019</v>
      </c>
      <c r="B1874" t="s">
        <v>228</v>
      </c>
      <c r="C1874" s="10" t="s">
        <v>1678</v>
      </c>
      <c r="D1874" s="10" t="s">
        <v>1679</v>
      </c>
      <c r="E1874" s="10" t="s">
        <v>1682</v>
      </c>
      <c r="F1874" t="s">
        <v>725</v>
      </c>
      <c r="G1874" s="4">
        <v>65748</v>
      </c>
      <c r="H1874" s="4"/>
      <c r="I1874" s="4"/>
      <c r="J1874" s="4">
        <f>SUM(G1874:I1874)</f>
        <v>65748</v>
      </c>
      <c r="K1874" t="s">
        <v>1659</v>
      </c>
      <c r="L1874" t="s">
        <v>1659</v>
      </c>
      <c r="M1874" t="s">
        <v>1283</v>
      </c>
      <c r="N1874" t="s">
        <v>1132</v>
      </c>
      <c r="O1874" t="s">
        <v>1132</v>
      </c>
      <c r="P1874" t="str">
        <f>IFERROR(VLOOKUP(F1874,Sheet1!$A$2:$B$54,2,FALSE),"")</f>
        <v/>
      </c>
    </row>
    <row r="1875" spans="1:16" x14ac:dyDescent="0.2">
      <c r="A1875" s="1">
        <v>2020</v>
      </c>
      <c r="B1875" t="s">
        <v>228</v>
      </c>
      <c r="C1875" s="10" t="s">
        <v>1678</v>
      </c>
      <c r="D1875" s="10" t="s">
        <v>1679</v>
      </c>
      <c r="E1875" s="10" t="s">
        <v>1682</v>
      </c>
      <c r="F1875" t="s">
        <v>725</v>
      </c>
      <c r="G1875" s="4">
        <v>84485</v>
      </c>
      <c r="H1875" s="4"/>
      <c r="I1875" s="4"/>
      <c r="J1875" s="4">
        <f>SUM(G1875:I1875)</f>
        <v>84485</v>
      </c>
      <c r="K1875" t="s">
        <v>1659</v>
      </c>
      <c r="L1875" t="s">
        <v>1659</v>
      </c>
      <c r="M1875" t="s">
        <v>1283</v>
      </c>
      <c r="N1875" t="s">
        <v>1132</v>
      </c>
      <c r="O1875" t="s">
        <v>1132</v>
      </c>
      <c r="P1875" t="str">
        <f>IFERROR(VLOOKUP(F1875,Sheet1!$A$2:$B$54,2,FALSE),"")</f>
        <v/>
      </c>
    </row>
    <row r="1876" spans="1:16" x14ac:dyDescent="0.2">
      <c r="A1876" s="1">
        <v>2021</v>
      </c>
      <c r="B1876" t="s">
        <v>228</v>
      </c>
      <c r="C1876" s="10" t="s">
        <v>1678</v>
      </c>
      <c r="D1876" s="10" t="s">
        <v>1679</v>
      </c>
      <c r="E1876" s="10" t="s">
        <v>1682</v>
      </c>
      <c r="F1876" t="s">
        <v>725</v>
      </c>
      <c r="G1876" s="4">
        <v>110925</v>
      </c>
      <c r="H1876" s="4"/>
      <c r="I1876" s="4"/>
      <c r="J1876" s="4">
        <f>SUM(G1876:I1876)</f>
        <v>110925</v>
      </c>
      <c r="K1876" t="s">
        <v>1659</v>
      </c>
      <c r="L1876" t="s">
        <v>1659</v>
      </c>
      <c r="M1876" t="s">
        <v>725</v>
      </c>
      <c r="N1876" t="s">
        <v>1132</v>
      </c>
      <c r="O1876" t="s">
        <v>1132</v>
      </c>
      <c r="P1876" t="str">
        <f>IFERROR(VLOOKUP(F1876,Sheet1!$A$2:$B$54,2,FALSE),"")</f>
        <v/>
      </c>
    </row>
    <row r="1877" spans="1:16" x14ac:dyDescent="0.2">
      <c r="A1877" s="1">
        <v>2022</v>
      </c>
      <c r="B1877" t="s">
        <v>228</v>
      </c>
      <c r="C1877" s="10" t="s">
        <v>1678</v>
      </c>
      <c r="D1877" s="10" t="s">
        <v>1679</v>
      </c>
      <c r="E1877" s="10" t="s">
        <v>1682</v>
      </c>
      <c r="F1877" t="s">
        <v>725</v>
      </c>
      <c r="G1877" s="4">
        <v>143040</v>
      </c>
      <c r="H1877" s="4"/>
      <c r="I1877" s="4"/>
      <c r="J1877" s="4">
        <f>SUM(G1877:I1877)</f>
        <v>143040</v>
      </c>
      <c r="K1877" t="s">
        <v>1659</v>
      </c>
      <c r="L1877" t="s">
        <v>1659</v>
      </c>
      <c r="M1877" t="s">
        <v>725</v>
      </c>
      <c r="N1877" t="s">
        <v>1132</v>
      </c>
      <c r="O1877" t="s">
        <v>1132</v>
      </c>
      <c r="P1877" t="str">
        <f>IFERROR(VLOOKUP(F1877,Sheet1!$A$2:$B$54,2,FALSE),"")</f>
        <v/>
      </c>
    </row>
    <row r="1878" spans="1:16" x14ac:dyDescent="0.2">
      <c r="A1878" s="1">
        <v>2023</v>
      </c>
      <c r="B1878" t="s">
        <v>228</v>
      </c>
      <c r="C1878" s="10" t="s">
        <v>1678</v>
      </c>
      <c r="D1878" s="10" t="s">
        <v>1679</v>
      </c>
      <c r="E1878" s="10" t="s">
        <v>1682</v>
      </c>
      <c r="F1878" t="s">
        <v>725</v>
      </c>
      <c r="G1878" s="4">
        <v>183845</v>
      </c>
      <c r="H1878" s="4"/>
      <c r="I1878" s="4"/>
      <c r="J1878" s="4">
        <f>SUM(G1878:I1878)</f>
        <v>183845</v>
      </c>
      <c r="K1878" t="s">
        <v>1659</v>
      </c>
      <c r="L1878" t="s">
        <v>1659</v>
      </c>
      <c r="M1878" t="s">
        <v>725</v>
      </c>
      <c r="N1878" t="s">
        <v>1132</v>
      </c>
      <c r="O1878" t="s">
        <v>1132</v>
      </c>
      <c r="P1878" t="str">
        <f>IFERROR(VLOOKUP(F1878,Sheet1!$A$2:$B$54,2,FALSE),"")</f>
        <v/>
      </c>
    </row>
    <row r="1879" spans="1:16" x14ac:dyDescent="0.2">
      <c r="A1879" s="1">
        <v>2015</v>
      </c>
      <c r="B1879" t="s">
        <v>229</v>
      </c>
      <c r="C1879" s="10" t="s">
        <v>1678</v>
      </c>
      <c r="D1879" s="10" t="s">
        <v>1679</v>
      </c>
      <c r="E1879" s="10" t="s">
        <v>1682</v>
      </c>
      <c r="F1879" t="s">
        <v>726</v>
      </c>
      <c r="G1879" s="4"/>
      <c r="H1879" s="4">
        <v>302552</v>
      </c>
      <c r="I1879" s="4"/>
      <c r="J1879" s="4">
        <f>SUM(G1879:I1879)</f>
        <v>302552</v>
      </c>
      <c r="K1879" t="s">
        <v>1661</v>
      </c>
      <c r="L1879" t="s">
        <v>1659</v>
      </c>
      <c r="M1879" t="s">
        <v>1132</v>
      </c>
      <c r="N1879" t="s">
        <v>1643</v>
      </c>
      <c r="O1879" t="s">
        <v>1132</v>
      </c>
      <c r="P1879" t="str">
        <f>IFERROR(VLOOKUP(F1879,Sheet1!$A$2:$B$54,2,FALSE),"")</f>
        <v/>
      </c>
    </row>
    <row r="1880" spans="1:16" x14ac:dyDescent="0.2">
      <c r="A1880" s="1">
        <v>2016</v>
      </c>
      <c r="B1880" t="s">
        <v>229</v>
      </c>
      <c r="C1880" s="10" t="s">
        <v>1678</v>
      </c>
      <c r="D1880" s="10" t="s">
        <v>1679</v>
      </c>
      <c r="E1880" s="10" t="s">
        <v>1682</v>
      </c>
      <c r="F1880" t="s">
        <v>726</v>
      </c>
      <c r="G1880" s="4"/>
      <c r="H1880" s="4">
        <v>345147</v>
      </c>
      <c r="I1880" s="4"/>
      <c r="J1880" s="4">
        <f>SUM(G1880:I1880)</f>
        <v>345147</v>
      </c>
      <c r="K1880" t="s">
        <v>1661</v>
      </c>
      <c r="L1880" t="s">
        <v>1659</v>
      </c>
      <c r="M1880" t="s">
        <v>1132</v>
      </c>
      <c r="N1880" t="s">
        <v>1644</v>
      </c>
      <c r="O1880" t="s">
        <v>1132</v>
      </c>
      <c r="P1880" t="str">
        <f>IFERROR(VLOOKUP(F1880,Sheet1!$A$2:$B$54,2,FALSE),"")</f>
        <v/>
      </c>
    </row>
    <row r="1881" spans="1:16" x14ac:dyDescent="0.2">
      <c r="A1881" s="1">
        <v>2017</v>
      </c>
      <c r="B1881" t="s">
        <v>229</v>
      </c>
      <c r="C1881" s="10" t="s">
        <v>1678</v>
      </c>
      <c r="D1881" s="10" t="s">
        <v>1679</v>
      </c>
      <c r="E1881" s="10" t="s">
        <v>1682</v>
      </c>
      <c r="F1881" t="s">
        <v>726</v>
      </c>
      <c r="G1881" s="4"/>
      <c r="H1881" s="4">
        <v>346553</v>
      </c>
      <c r="I1881" s="4"/>
      <c r="J1881" s="4">
        <f>SUM(G1881:I1881)</f>
        <v>346553</v>
      </c>
      <c r="K1881" t="s">
        <v>1661</v>
      </c>
      <c r="L1881" t="s">
        <v>1659</v>
      </c>
      <c r="M1881" t="s">
        <v>1132</v>
      </c>
      <c r="N1881" t="s">
        <v>1645</v>
      </c>
      <c r="O1881" t="s">
        <v>1132</v>
      </c>
      <c r="P1881" t="str">
        <f>IFERROR(VLOOKUP(F1881,Sheet1!$A$2:$B$54,2,FALSE),"")</f>
        <v/>
      </c>
    </row>
    <row r="1882" spans="1:16" x14ac:dyDescent="0.2">
      <c r="A1882" s="1">
        <v>2018</v>
      </c>
      <c r="B1882" t="s">
        <v>229</v>
      </c>
      <c r="C1882" s="10" t="s">
        <v>1678</v>
      </c>
      <c r="D1882" s="10" t="s">
        <v>1679</v>
      </c>
      <c r="E1882" s="10" t="s">
        <v>1682</v>
      </c>
      <c r="F1882" t="s">
        <v>726</v>
      </c>
      <c r="G1882" s="4"/>
      <c r="H1882" s="4">
        <v>366253</v>
      </c>
      <c r="I1882" s="4"/>
      <c r="J1882" s="4">
        <f>SUM(G1882:I1882)</f>
        <v>366253</v>
      </c>
      <c r="K1882" t="s">
        <v>1661</v>
      </c>
      <c r="L1882" t="s">
        <v>1659</v>
      </c>
      <c r="M1882" t="s">
        <v>1132</v>
      </c>
      <c r="N1882" t="s">
        <v>1645</v>
      </c>
      <c r="O1882" t="s">
        <v>1132</v>
      </c>
      <c r="P1882" t="str">
        <f>IFERROR(VLOOKUP(F1882,Sheet1!$A$2:$B$54,2,FALSE),"")</f>
        <v/>
      </c>
    </row>
    <row r="1883" spans="1:16" x14ac:dyDescent="0.2">
      <c r="A1883" s="1">
        <v>2022</v>
      </c>
      <c r="B1883" t="s">
        <v>229</v>
      </c>
      <c r="C1883" s="10" t="s">
        <v>1678</v>
      </c>
      <c r="D1883" s="10" t="s">
        <v>1679</v>
      </c>
      <c r="E1883" s="10" t="s">
        <v>1682</v>
      </c>
      <c r="F1883" t="s">
        <v>726</v>
      </c>
      <c r="G1883" s="4">
        <v>4204</v>
      </c>
      <c r="H1883" s="4"/>
      <c r="I1883" s="4"/>
      <c r="J1883" s="4">
        <f>SUM(G1883:I1883)</f>
        <v>4204</v>
      </c>
      <c r="K1883" t="s">
        <v>1659</v>
      </c>
      <c r="L1883" t="s">
        <v>1659</v>
      </c>
      <c r="M1883" t="s">
        <v>726</v>
      </c>
      <c r="N1883" t="s">
        <v>1132</v>
      </c>
      <c r="O1883" t="s">
        <v>1132</v>
      </c>
      <c r="P1883" t="str">
        <f>IFERROR(VLOOKUP(F1883,Sheet1!$A$2:$B$54,2,FALSE),"")</f>
        <v/>
      </c>
    </row>
    <row r="1884" spans="1:16" x14ac:dyDescent="0.2">
      <c r="A1884" s="1">
        <v>2023</v>
      </c>
      <c r="B1884" t="s">
        <v>229</v>
      </c>
      <c r="C1884" s="10" t="s">
        <v>1678</v>
      </c>
      <c r="D1884" s="10" t="s">
        <v>1679</v>
      </c>
      <c r="E1884" s="10" t="s">
        <v>1682</v>
      </c>
      <c r="F1884" t="s">
        <v>726</v>
      </c>
      <c r="G1884" s="4">
        <v>12273</v>
      </c>
      <c r="H1884" s="4"/>
      <c r="I1884" s="4"/>
      <c r="J1884" s="4">
        <f>SUM(G1884:I1884)</f>
        <v>12273</v>
      </c>
      <c r="K1884" t="s">
        <v>1659</v>
      </c>
      <c r="L1884" t="s">
        <v>1659</v>
      </c>
      <c r="M1884" t="s">
        <v>726</v>
      </c>
      <c r="N1884" t="s">
        <v>1132</v>
      </c>
      <c r="O1884" t="s">
        <v>1132</v>
      </c>
      <c r="P1884" t="str">
        <f>IFERROR(VLOOKUP(F1884,Sheet1!$A$2:$B$54,2,FALSE),"")</f>
        <v/>
      </c>
    </row>
    <row r="1885" spans="1:16" x14ac:dyDescent="0.2">
      <c r="A1885" s="1">
        <v>2015</v>
      </c>
      <c r="B1885" t="s">
        <v>230</v>
      </c>
      <c r="C1885" s="10" t="s">
        <v>1678</v>
      </c>
      <c r="D1885" s="10" t="s">
        <v>1679</v>
      </c>
      <c r="E1885" s="10" t="s">
        <v>1682</v>
      </c>
      <c r="F1885" t="s">
        <v>727</v>
      </c>
      <c r="G1885" s="4">
        <v>13835</v>
      </c>
      <c r="H1885" s="4"/>
      <c r="I1885" s="4"/>
      <c r="J1885" s="4">
        <f>SUM(G1885:I1885)</f>
        <v>13835</v>
      </c>
      <c r="K1885" t="s">
        <v>1659</v>
      </c>
      <c r="L1885" t="s">
        <v>1659</v>
      </c>
      <c r="M1885" t="s">
        <v>1284</v>
      </c>
      <c r="N1885" t="s">
        <v>1132</v>
      </c>
      <c r="O1885" t="s">
        <v>1132</v>
      </c>
      <c r="P1885" t="str">
        <f>IFERROR(VLOOKUP(F1885,Sheet1!$A$2:$B$54,2,FALSE),"")</f>
        <v/>
      </c>
    </row>
    <row r="1886" spans="1:16" x14ac:dyDescent="0.2">
      <c r="A1886" s="1">
        <v>2016</v>
      </c>
      <c r="B1886" t="s">
        <v>230</v>
      </c>
      <c r="C1886" s="10" t="s">
        <v>1678</v>
      </c>
      <c r="D1886" s="10" t="s">
        <v>1679</v>
      </c>
      <c r="E1886" s="10" t="s">
        <v>1682</v>
      </c>
      <c r="F1886" t="s">
        <v>727</v>
      </c>
      <c r="G1886" s="4">
        <v>19106</v>
      </c>
      <c r="H1886" s="4"/>
      <c r="I1886" s="4"/>
      <c r="J1886" s="4">
        <f>SUM(G1886:I1886)</f>
        <v>19106</v>
      </c>
      <c r="K1886" t="s">
        <v>1659</v>
      </c>
      <c r="L1886" t="s">
        <v>1659</v>
      </c>
      <c r="M1886" t="s">
        <v>1284</v>
      </c>
      <c r="N1886" t="s">
        <v>1132</v>
      </c>
      <c r="O1886" t="s">
        <v>1132</v>
      </c>
      <c r="P1886" t="str">
        <f>IFERROR(VLOOKUP(F1886,Sheet1!$A$2:$B$54,2,FALSE),"")</f>
        <v/>
      </c>
    </row>
    <row r="1887" spans="1:16" x14ac:dyDescent="0.2">
      <c r="A1887" s="1">
        <v>2017</v>
      </c>
      <c r="B1887" t="s">
        <v>230</v>
      </c>
      <c r="C1887" s="10" t="s">
        <v>1678</v>
      </c>
      <c r="D1887" s="10" t="s">
        <v>1679</v>
      </c>
      <c r="E1887" s="10" t="s">
        <v>1682</v>
      </c>
      <c r="F1887" t="s">
        <v>727</v>
      </c>
      <c r="G1887" s="4">
        <v>21549</v>
      </c>
      <c r="H1887" s="4"/>
      <c r="I1887" s="4"/>
      <c r="J1887" s="4">
        <f>SUM(G1887:I1887)</f>
        <v>21549</v>
      </c>
      <c r="K1887" t="s">
        <v>1659</v>
      </c>
      <c r="L1887" t="s">
        <v>1659</v>
      </c>
      <c r="M1887" t="s">
        <v>1285</v>
      </c>
      <c r="N1887" t="s">
        <v>1132</v>
      </c>
      <c r="O1887" t="s">
        <v>1132</v>
      </c>
      <c r="P1887" t="str">
        <f>IFERROR(VLOOKUP(F1887,Sheet1!$A$2:$B$54,2,FALSE),"")</f>
        <v/>
      </c>
    </row>
    <row r="1888" spans="1:16" x14ac:dyDescent="0.2">
      <c r="A1888" s="1">
        <v>2018</v>
      </c>
      <c r="B1888" t="s">
        <v>230</v>
      </c>
      <c r="C1888" s="10" t="s">
        <v>1678</v>
      </c>
      <c r="D1888" s="10" t="s">
        <v>1679</v>
      </c>
      <c r="E1888" s="10" t="s">
        <v>1682</v>
      </c>
      <c r="F1888" t="s">
        <v>727</v>
      </c>
      <c r="G1888" s="4">
        <v>30531</v>
      </c>
      <c r="H1888" s="4"/>
      <c r="I1888" s="4"/>
      <c r="J1888" s="4">
        <f>SUM(G1888:I1888)</f>
        <v>30531</v>
      </c>
      <c r="K1888" t="s">
        <v>1659</v>
      </c>
      <c r="L1888" t="s">
        <v>1659</v>
      </c>
      <c r="M1888" t="s">
        <v>1285</v>
      </c>
      <c r="N1888" t="s">
        <v>1132</v>
      </c>
      <c r="O1888" t="s">
        <v>1132</v>
      </c>
      <c r="P1888" t="str">
        <f>IFERROR(VLOOKUP(F1888,Sheet1!$A$2:$B$54,2,FALSE),"")</f>
        <v/>
      </c>
    </row>
    <row r="1889" spans="1:16" x14ac:dyDescent="0.2">
      <c r="A1889" s="1">
        <v>2019</v>
      </c>
      <c r="B1889" t="s">
        <v>230</v>
      </c>
      <c r="C1889" s="10" t="s">
        <v>1678</v>
      </c>
      <c r="D1889" s="10" t="s">
        <v>1679</v>
      </c>
      <c r="E1889" s="10" t="s">
        <v>1682</v>
      </c>
      <c r="F1889" t="s">
        <v>727</v>
      </c>
      <c r="G1889" s="4">
        <v>36379</v>
      </c>
      <c r="H1889" s="4"/>
      <c r="I1889" s="4"/>
      <c r="J1889" s="4">
        <f>SUM(G1889:I1889)</f>
        <v>36379</v>
      </c>
      <c r="K1889" t="s">
        <v>1659</v>
      </c>
      <c r="L1889" t="s">
        <v>1659</v>
      </c>
      <c r="M1889" t="s">
        <v>1284</v>
      </c>
      <c r="N1889" t="s">
        <v>1132</v>
      </c>
      <c r="O1889" t="s">
        <v>1132</v>
      </c>
      <c r="P1889" t="str">
        <f>IFERROR(VLOOKUP(F1889,Sheet1!$A$2:$B$54,2,FALSE),"")</f>
        <v/>
      </c>
    </row>
    <row r="1890" spans="1:16" x14ac:dyDescent="0.2">
      <c r="A1890" s="1">
        <v>2020</v>
      </c>
      <c r="B1890" t="s">
        <v>230</v>
      </c>
      <c r="C1890" s="10" t="s">
        <v>1678</v>
      </c>
      <c r="D1890" s="10" t="s">
        <v>1679</v>
      </c>
      <c r="E1890" s="10" t="s">
        <v>1682</v>
      </c>
      <c r="F1890" t="s">
        <v>727</v>
      </c>
      <c r="G1890" s="4">
        <v>40602</v>
      </c>
      <c r="H1890" s="4"/>
      <c r="I1890" s="4"/>
      <c r="J1890" s="4">
        <f>SUM(G1890:I1890)</f>
        <v>40602</v>
      </c>
      <c r="K1890" t="s">
        <v>1659</v>
      </c>
      <c r="L1890" t="s">
        <v>1659</v>
      </c>
      <c r="M1890" t="s">
        <v>1285</v>
      </c>
      <c r="N1890" t="s">
        <v>1132</v>
      </c>
      <c r="O1890" t="s">
        <v>1132</v>
      </c>
      <c r="P1890" t="str">
        <f>IFERROR(VLOOKUP(F1890,Sheet1!$A$2:$B$54,2,FALSE),"")</f>
        <v/>
      </c>
    </row>
    <row r="1891" spans="1:16" x14ac:dyDescent="0.2">
      <c r="A1891" s="1">
        <v>2021</v>
      </c>
      <c r="B1891" t="s">
        <v>230</v>
      </c>
      <c r="C1891" s="10" t="s">
        <v>1678</v>
      </c>
      <c r="D1891" s="10" t="s">
        <v>1679</v>
      </c>
      <c r="E1891" s="10" t="s">
        <v>1682</v>
      </c>
      <c r="F1891" t="s">
        <v>727</v>
      </c>
      <c r="G1891" s="4">
        <v>48769</v>
      </c>
      <c r="H1891" s="4"/>
      <c r="I1891" s="4"/>
      <c r="J1891" s="4">
        <f>SUM(G1891:I1891)</f>
        <v>48769</v>
      </c>
      <c r="K1891" t="s">
        <v>1659</v>
      </c>
      <c r="L1891" t="s">
        <v>1659</v>
      </c>
      <c r="M1891" t="s">
        <v>727</v>
      </c>
      <c r="N1891" t="s">
        <v>1132</v>
      </c>
      <c r="O1891" t="s">
        <v>1132</v>
      </c>
      <c r="P1891" t="str">
        <f>IFERROR(VLOOKUP(F1891,Sheet1!$A$2:$B$54,2,FALSE),"")</f>
        <v/>
      </c>
    </row>
    <row r="1892" spans="1:16" x14ac:dyDescent="0.2">
      <c r="A1892" s="1">
        <v>2022</v>
      </c>
      <c r="B1892" t="s">
        <v>230</v>
      </c>
      <c r="C1892" s="10" t="s">
        <v>1678</v>
      </c>
      <c r="D1892" s="10" t="s">
        <v>1679</v>
      </c>
      <c r="E1892" s="10" t="s">
        <v>1682</v>
      </c>
      <c r="F1892" t="s">
        <v>727</v>
      </c>
      <c r="G1892" s="4">
        <v>57243</v>
      </c>
      <c r="H1892" s="4"/>
      <c r="I1892" s="4"/>
      <c r="J1892" s="4">
        <f>SUM(G1892:I1892)</f>
        <v>57243</v>
      </c>
      <c r="K1892" t="s">
        <v>1659</v>
      </c>
      <c r="L1892" t="s">
        <v>1659</v>
      </c>
      <c r="M1892" t="s">
        <v>727</v>
      </c>
      <c r="N1892" t="s">
        <v>1132</v>
      </c>
      <c r="O1892" t="s">
        <v>1132</v>
      </c>
      <c r="P1892" t="str">
        <f>IFERROR(VLOOKUP(F1892,Sheet1!$A$2:$B$54,2,FALSE),"")</f>
        <v/>
      </c>
    </row>
    <row r="1893" spans="1:16" x14ac:dyDescent="0.2">
      <c r="A1893" s="1">
        <v>2023</v>
      </c>
      <c r="B1893" t="s">
        <v>230</v>
      </c>
      <c r="C1893" s="10" t="s">
        <v>1678</v>
      </c>
      <c r="D1893" s="10" t="s">
        <v>1679</v>
      </c>
      <c r="E1893" s="10" t="s">
        <v>1682</v>
      </c>
      <c r="F1893" t="s">
        <v>727</v>
      </c>
      <c r="G1893" s="4">
        <v>69622</v>
      </c>
      <c r="H1893" s="4"/>
      <c r="I1893" s="4"/>
      <c r="J1893" s="4">
        <f>SUM(G1893:I1893)</f>
        <v>69622</v>
      </c>
      <c r="K1893" t="s">
        <v>1659</v>
      </c>
      <c r="L1893" t="s">
        <v>1659</v>
      </c>
      <c r="M1893" t="s">
        <v>727</v>
      </c>
      <c r="N1893" t="s">
        <v>1132</v>
      </c>
      <c r="O1893" t="s">
        <v>1132</v>
      </c>
      <c r="P1893" t="str">
        <f>IFERROR(VLOOKUP(F1893,Sheet1!$A$2:$B$54,2,FALSE),"")</f>
        <v/>
      </c>
    </row>
    <row r="1894" spans="1:16" x14ac:dyDescent="0.2">
      <c r="A1894" s="1">
        <v>2015</v>
      </c>
      <c r="B1894" t="s">
        <v>231</v>
      </c>
      <c r="C1894" s="10" t="s">
        <v>1678</v>
      </c>
      <c r="D1894" s="10" t="s">
        <v>1679</v>
      </c>
      <c r="E1894" s="10" t="s">
        <v>1682</v>
      </c>
      <c r="F1894" t="s">
        <v>728</v>
      </c>
      <c r="G1894" s="4">
        <v>129336</v>
      </c>
      <c r="H1894" s="4"/>
      <c r="I1894" s="4"/>
      <c r="J1894" s="4">
        <f>SUM(G1894:I1894)</f>
        <v>129336</v>
      </c>
      <c r="K1894" t="s">
        <v>1659</v>
      </c>
      <c r="L1894" t="s">
        <v>1659</v>
      </c>
      <c r="M1894" t="s">
        <v>1286</v>
      </c>
      <c r="N1894" t="s">
        <v>1132</v>
      </c>
      <c r="O1894" t="s">
        <v>1132</v>
      </c>
      <c r="P1894" t="str">
        <f>IFERROR(VLOOKUP(F1894,Sheet1!$A$2:$B$54,2,FALSE),"")</f>
        <v/>
      </c>
    </row>
    <row r="1895" spans="1:16" x14ac:dyDescent="0.2">
      <c r="A1895" s="1">
        <v>2016</v>
      </c>
      <c r="B1895" t="s">
        <v>231</v>
      </c>
      <c r="C1895" s="10" t="s">
        <v>1678</v>
      </c>
      <c r="D1895" s="10" t="s">
        <v>1679</v>
      </c>
      <c r="E1895" s="10" t="s">
        <v>1682</v>
      </c>
      <c r="F1895" t="s">
        <v>728</v>
      </c>
      <c r="G1895" s="4">
        <v>180154</v>
      </c>
      <c r="H1895" s="4"/>
      <c r="I1895" s="4"/>
      <c r="J1895" s="4">
        <f>SUM(G1895:I1895)</f>
        <v>180154</v>
      </c>
      <c r="K1895" t="s">
        <v>1659</v>
      </c>
      <c r="L1895" t="s">
        <v>1659</v>
      </c>
      <c r="M1895" t="s">
        <v>1286</v>
      </c>
      <c r="N1895" t="s">
        <v>1132</v>
      </c>
      <c r="O1895" t="s">
        <v>1132</v>
      </c>
      <c r="P1895" t="str">
        <f>IFERROR(VLOOKUP(F1895,Sheet1!$A$2:$B$54,2,FALSE),"")</f>
        <v/>
      </c>
    </row>
    <row r="1896" spans="1:16" x14ac:dyDescent="0.2">
      <c r="A1896" s="1">
        <v>2017</v>
      </c>
      <c r="B1896" t="s">
        <v>231</v>
      </c>
      <c r="C1896" s="10" t="s">
        <v>1678</v>
      </c>
      <c r="D1896" s="10" t="s">
        <v>1679</v>
      </c>
      <c r="E1896" s="10" t="s">
        <v>1682</v>
      </c>
      <c r="F1896" t="s">
        <v>728</v>
      </c>
      <c r="G1896" s="4">
        <v>203383</v>
      </c>
      <c r="H1896" s="4"/>
      <c r="I1896" s="4"/>
      <c r="J1896" s="4">
        <f>SUM(G1896:I1896)</f>
        <v>203383</v>
      </c>
      <c r="K1896" t="s">
        <v>1659</v>
      </c>
      <c r="L1896" t="s">
        <v>1659</v>
      </c>
      <c r="M1896" t="s">
        <v>1286</v>
      </c>
      <c r="N1896" t="s">
        <v>1132</v>
      </c>
      <c r="O1896" t="s">
        <v>1132</v>
      </c>
      <c r="P1896" t="str">
        <f>IFERROR(VLOOKUP(F1896,Sheet1!$A$2:$B$54,2,FALSE),"")</f>
        <v/>
      </c>
    </row>
    <row r="1897" spans="1:16" x14ac:dyDescent="0.2">
      <c r="A1897" s="1">
        <v>2018</v>
      </c>
      <c r="B1897" t="s">
        <v>231</v>
      </c>
      <c r="C1897" s="10" t="s">
        <v>1678</v>
      </c>
      <c r="D1897" s="10" t="s">
        <v>1679</v>
      </c>
      <c r="E1897" s="10" t="s">
        <v>1682</v>
      </c>
      <c r="F1897" t="s">
        <v>728</v>
      </c>
      <c r="G1897" s="4">
        <v>266802</v>
      </c>
      <c r="H1897" s="4"/>
      <c r="I1897" s="4"/>
      <c r="J1897" s="4">
        <f>SUM(G1897:I1897)</f>
        <v>266802</v>
      </c>
      <c r="K1897" t="s">
        <v>1659</v>
      </c>
      <c r="L1897" t="s">
        <v>1659</v>
      </c>
      <c r="M1897" t="s">
        <v>1286</v>
      </c>
      <c r="N1897" t="s">
        <v>1132</v>
      </c>
      <c r="O1897" t="s">
        <v>1132</v>
      </c>
      <c r="P1897" t="str">
        <f>IFERROR(VLOOKUP(F1897,Sheet1!$A$2:$B$54,2,FALSE),"")</f>
        <v/>
      </c>
    </row>
    <row r="1898" spans="1:16" x14ac:dyDescent="0.2">
      <c r="A1898" s="1">
        <v>2019</v>
      </c>
      <c r="B1898" t="s">
        <v>231</v>
      </c>
      <c r="C1898" s="10" t="s">
        <v>1678</v>
      </c>
      <c r="D1898" s="10" t="s">
        <v>1679</v>
      </c>
      <c r="E1898" s="10" t="s">
        <v>1682</v>
      </c>
      <c r="F1898" t="s">
        <v>728</v>
      </c>
      <c r="G1898" s="4">
        <v>338751</v>
      </c>
      <c r="H1898" s="4"/>
      <c r="I1898" s="4"/>
      <c r="J1898" s="4">
        <f>SUM(G1898:I1898)</f>
        <v>338751</v>
      </c>
      <c r="K1898" t="s">
        <v>1659</v>
      </c>
      <c r="L1898" t="s">
        <v>1659</v>
      </c>
      <c r="M1898" t="s">
        <v>1286</v>
      </c>
      <c r="N1898" t="s">
        <v>1132</v>
      </c>
      <c r="O1898" t="s">
        <v>1132</v>
      </c>
      <c r="P1898" t="str">
        <f>IFERROR(VLOOKUP(F1898,Sheet1!$A$2:$B$54,2,FALSE),"")</f>
        <v/>
      </c>
    </row>
    <row r="1899" spans="1:16" x14ac:dyDescent="0.2">
      <c r="A1899" s="1">
        <v>2020</v>
      </c>
      <c r="B1899" t="s">
        <v>231</v>
      </c>
      <c r="C1899" s="10" t="s">
        <v>1678</v>
      </c>
      <c r="D1899" s="10" t="s">
        <v>1679</v>
      </c>
      <c r="E1899" s="10" t="s">
        <v>1682</v>
      </c>
      <c r="F1899" t="s">
        <v>728</v>
      </c>
      <c r="G1899" s="4">
        <v>390629</v>
      </c>
      <c r="H1899" s="4"/>
      <c r="I1899" s="4"/>
      <c r="J1899" s="4">
        <f>SUM(G1899:I1899)</f>
        <v>390629</v>
      </c>
      <c r="K1899" t="s">
        <v>1659</v>
      </c>
      <c r="L1899" t="s">
        <v>1659</v>
      </c>
      <c r="M1899" t="s">
        <v>1286</v>
      </c>
      <c r="N1899" t="s">
        <v>1132</v>
      </c>
      <c r="O1899" t="s">
        <v>1132</v>
      </c>
      <c r="P1899" t="str">
        <f>IFERROR(VLOOKUP(F1899,Sheet1!$A$2:$B$54,2,FALSE),"")</f>
        <v/>
      </c>
    </row>
    <row r="1900" spans="1:16" x14ac:dyDescent="0.2">
      <c r="A1900" s="1">
        <v>2021</v>
      </c>
      <c r="B1900" t="s">
        <v>231</v>
      </c>
      <c r="C1900" s="10" t="s">
        <v>1678</v>
      </c>
      <c r="D1900" s="10" t="s">
        <v>1679</v>
      </c>
      <c r="E1900" s="10" t="s">
        <v>1682</v>
      </c>
      <c r="F1900" t="s">
        <v>728</v>
      </c>
      <c r="G1900" s="4">
        <v>473932</v>
      </c>
      <c r="H1900" s="4"/>
      <c r="I1900" s="4"/>
      <c r="J1900" s="4">
        <f>SUM(G1900:I1900)</f>
        <v>473932</v>
      </c>
      <c r="K1900" t="s">
        <v>1659</v>
      </c>
      <c r="L1900" t="s">
        <v>1659</v>
      </c>
      <c r="M1900" t="s">
        <v>728</v>
      </c>
      <c r="N1900" t="s">
        <v>1132</v>
      </c>
      <c r="O1900" t="s">
        <v>1132</v>
      </c>
      <c r="P1900" t="str">
        <f>IFERROR(VLOOKUP(F1900,Sheet1!$A$2:$B$54,2,FALSE),"")</f>
        <v/>
      </c>
    </row>
    <row r="1901" spans="1:16" x14ac:dyDescent="0.2">
      <c r="A1901" s="1">
        <v>2022</v>
      </c>
      <c r="B1901" t="s">
        <v>231</v>
      </c>
      <c r="C1901" s="10" t="s">
        <v>1678</v>
      </c>
      <c r="D1901" s="10" t="s">
        <v>1679</v>
      </c>
      <c r="E1901" s="10" t="s">
        <v>1682</v>
      </c>
      <c r="F1901" t="s">
        <v>728</v>
      </c>
      <c r="G1901" s="4">
        <v>561199</v>
      </c>
      <c r="H1901" s="4"/>
      <c r="I1901" s="4"/>
      <c r="J1901" s="4">
        <f>SUM(G1901:I1901)</f>
        <v>561199</v>
      </c>
      <c r="K1901" t="s">
        <v>1659</v>
      </c>
      <c r="L1901" t="s">
        <v>1659</v>
      </c>
      <c r="M1901" t="s">
        <v>728</v>
      </c>
      <c r="N1901" t="s">
        <v>1132</v>
      </c>
      <c r="O1901" t="s">
        <v>1132</v>
      </c>
      <c r="P1901" t="str">
        <f>IFERROR(VLOOKUP(F1901,Sheet1!$A$2:$B$54,2,FALSE),"")</f>
        <v/>
      </c>
    </row>
    <row r="1902" spans="1:16" x14ac:dyDescent="0.2">
      <c r="A1902" s="1">
        <v>2023</v>
      </c>
      <c r="B1902" t="s">
        <v>231</v>
      </c>
      <c r="C1902" s="10" t="s">
        <v>1678</v>
      </c>
      <c r="D1902" s="10" t="s">
        <v>1679</v>
      </c>
      <c r="E1902" s="10" t="s">
        <v>1682</v>
      </c>
      <c r="F1902" t="s">
        <v>728</v>
      </c>
      <c r="G1902" s="4">
        <v>703046</v>
      </c>
      <c r="H1902" s="4"/>
      <c r="I1902" s="4"/>
      <c r="J1902" s="4">
        <f>SUM(G1902:I1902)</f>
        <v>703046</v>
      </c>
      <c r="K1902" t="s">
        <v>1659</v>
      </c>
      <c r="L1902" t="s">
        <v>1659</v>
      </c>
      <c r="M1902" t="s">
        <v>728</v>
      </c>
      <c r="N1902" t="s">
        <v>1132</v>
      </c>
      <c r="O1902" t="s">
        <v>1132</v>
      </c>
      <c r="P1902" t="str">
        <f>IFERROR(VLOOKUP(F1902,Sheet1!$A$2:$B$54,2,FALSE),"")</f>
        <v/>
      </c>
    </row>
    <row r="1903" spans="1:16" x14ac:dyDescent="0.2">
      <c r="A1903" s="1">
        <v>2015</v>
      </c>
      <c r="B1903" t="s">
        <v>224</v>
      </c>
      <c r="C1903" s="10" t="s">
        <v>1678</v>
      </c>
      <c r="D1903" s="10" t="s">
        <v>1679</v>
      </c>
      <c r="E1903" s="10" t="s">
        <v>1682</v>
      </c>
      <c r="F1903" t="s">
        <v>721</v>
      </c>
      <c r="G1903" s="4">
        <v>80422</v>
      </c>
      <c r="H1903" s="4">
        <v>1515971</v>
      </c>
      <c r="I1903" s="4"/>
      <c r="J1903" s="4">
        <f>SUM(G1903:I1903)</f>
        <v>1596393</v>
      </c>
      <c r="K1903" t="s">
        <v>1660</v>
      </c>
      <c r="L1903" t="s">
        <v>1659</v>
      </c>
      <c r="M1903" t="s">
        <v>1278</v>
      </c>
      <c r="N1903" t="s">
        <v>1278</v>
      </c>
      <c r="O1903" t="s">
        <v>1132</v>
      </c>
      <c r="P1903">
        <f>IFERROR(VLOOKUP(F1903,Sheet1!$A$2:$B$54,2,FALSE),"")</f>
        <v>4900570</v>
      </c>
    </row>
    <row r="1904" spans="1:16" x14ac:dyDescent="0.2">
      <c r="A1904" s="1">
        <v>2016</v>
      </c>
      <c r="B1904" t="s">
        <v>224</v>
      </c>
      <c r="C1904" s="10" t="s">
        <v>1678</v>
      </c>
      <c r="D1904" s="10" t="s">
        <v>1679</v>
      </c>
      <c r="E1904" s="10" t="s">
        <v>1682</v>
      </c>
      <c r="F1904" t="s">
        <v>721</v>
      </c>
      <c r="G1904" s="4">
        <v>120805</v>
      </c>
      <c r="H1904" s="4">
        <v>1548083</v>
      </c>
      <c r="I1904" s="4"/>
      <c r="J1904" s="4">
        <f>SUM(G1904:I1904)</f>
        <v>1668888</v>
      </c>
      <c r="K1904" t="s">
        <v>1660</v>
      </c>
      <c r="L1904" t="s">
        <v>1659</v>
      </c>
      <c r="M1904" t="s">
        <v>1278</v>
      </c>
      <c r="N1904" t="s">
        <v>1278</v>
      </c>
      <c r="O1904" t="s">
        <v>1132</v>
      </c>
      <c r="P1904">
        <f>IFERROR(VLOOKUP(F1904,Sheet1!$A$2:$B$54,2,FALSE),"")</f>
        <v>4900570</v>
      </c>
    </row>
    <row r="1905" spans="1:16" x14ac:dyDescent="0.2">
      <c r="A1905" s="1">
        <v>2017</v>
      </c>
      <c r="B1905" t="s">
        <v>224</v>
      </c>
      <c r="C1905" s="10" t="s">
        <v>1678</v>
      </c>
      <c r="D1905" s="10" t="s">
        <v>1679</v>
      </c>
      <c r="E1905" s="10" t="s">
        <v>1682</v>
      </c>
      <c r="F1905" t="s">
        <v>721</v>
      </c>
      <c r="G1905" s="4">
        <v>173982</v>
      </c>
      <c r="H1905" s="4">
        <v>1596946</v>
      </c>
      <c r="I1905" s="4"/>
      <c r="J1905" s="4">
        <f>SUM(G1905:I1905)</f>
        <v>1770928</v>
      </c>
      <c r="K1905" t="s">
        <v>1660</v>
      </c>
      <c r="L1905" t="s">
        <v>1659</v>
      </c>
      <c r="M1905" t="s">
        <v>1278</v>
      </c>
      <c r="N1905" t="s">
        <v>1278</v>
      </c>
      <c r="O1905" t="s">
        <v>1132</v>
      </c>
      <c r="P1905">
        <f>IFERROR(VLOOKUP(F1905,Sheet1!$A$2:$B$54,2,FALSE),"")</f>
        <v>4900570</v>
      </c>
    </row>
    <row r="1906" spans="1:16" x14ac:dyDescent="0.2">
      <c r="A1906" s="1">
        <v>2018</v>
      </c>
      <c r="B1906" t="s">
        <v>224</v>
      </c>
      <c r="C1906" s="10" t="s">
        <v>1678</v>
      </c>
      <c r="D1906" s="10" t="s">
        <v>1679</v>
      </c>
      <c r="E1906" s="10" t="s">
        <v>1682</v>
      </c>
      <c r="F1906" t="s">
        <v>721</v>
      </c>
      <c r="G1906" s="4">
        <v>233278</v>
      </c>
      <c r="H1906" s="4">
        <v>1740237</v>
      </c>
      <c r="I1906" s="4"/>
      <c r="J1906" s="4">
        <f>SUM(G1906:I1906)</f>
        <v>1973515</v>
      </c>
      <c r="K1906" t="s">
        <v>1660</v>
      </c>
      <c r="L1906" t="s">
        <v>1659</v>
      </c>
      <c r="M1906" t="s">
        <v>1278</v>
      </c>
      <c r="N1906" t="s">
        <v>1278</v>
      </c>
      <c r="O1906" t="s">
        <v>1132</v>
      </c>
      <c r="P1906">
        <f>IFERROR(VLOOKUP(F1906,Sheet1!$A$2:$B$54,2,FALSE),"")</f>
        <v>4900570</v>
      </c>
    </row>
    <row r="1907" spans="1:16" x14ac:dyDescent="0.2">
      <c r="A1907" s="1">
        <v>2019</v>
      </c>
      <c r="B1907" t="s">
        <v>224</v>
      </c>
      <c r="C1907" s="10" t="s">
        <v>1678</v>
      </c>
      <c r="D1907" s="10" t="s">
        <v>1679</v>
      </c>
      <c r="E1907" s="10" t="s">
        <v>1682</v>
      </c>
      <c r="F1907" t="s">
        <v>721</v>
      </c>
      <c r="G1907" s="4">
        <v>301100</v>
      </c>
      <c r="H1907" s="4">
        <v>1913377</v>
      </c>
      <c r="I1907" s="4"/>
      <c r="J1907" s="4">
        <f>SUM(G1907:I1907)</f>
        <v>2214477</v>
      </c>
      <c r="K1907" t="s">
        <v>1660</v>
      </c>
      <c r="L1907" t="s">
        <v>1659</v>
      </c>
      <c r="M1907" t="s">
        <v>1278</v>
      </c>
      <c r="N1907" t="s">
        <v>1278</v>
      </c>
      <c r="O1907" t="s">
        <v>1132</v>
      </c>
      <c r="P1907">
        <f>IFERROR(VLOOKUP(F1907,Sheet1!$A$2:$B$54,2,FALSE),"")</f>
        <v>4900570</v>
      </c>
    </row>
    <row r="1908" spans="1:16" x14ac:dyDescent="0.2">
      <c r="A1908" s="1">
        <v>2020</v>
      </c>
      <c r="B1908" t="s">
        <v>224</v>
      </c>
      <c r="C1908" s="10" t="s">
        <v>1678</v>
      </c>
      <c r="D1908" s="10" t="s">
        <v>1679</v>
      </c>
      <c r="E1908" s="10" t="s">
        <v>1682</v>
      </c>
      <c r="F1908" t="s">
        <v>721</v>
      </c>
      <c r="G1908" s="4">
        <v>372793</v>
      </c>
      <c r="H1908" s="4">
        <v>2111812</v>
      </c>
      <c r="I1908" s="4"/>
      <c r="J1908" s="4">
        <f>SUM(G1908:I1908)</f>
        <v>2484605</v>
      </c>
      <c r="K1908" t="s">
        <v>1660</v>
      </c>
      <c r="L1908" t="s">
        <v>1659</v>
      </c>
      <c r="M1908" t="s">
        <v>1278</v>
      </c>
      <c r="N1908" t="s">
        <v>1278</v>
      </c>
      <c r="O1908" t="s">
        <v>1132</v>
      </c>
      <c r="P1908">
        <f>IFERROR(VLOOKUP(F1908,Sheet1!$A$2:$B$54,2,FALSE),"")</f>
        <v>4900570</v>
      </c>
    </row>
    <row r="1909" spans="1:16" x14ac:dyDescent="0.2">
      <c r="A1909" s="1">
        <v>2021</v>
      </c>
      <c r="B1909" t="s">
        <v>224</v>
      </c>
      <c r="C1909" s="10" t="s">
        <v>1678</v>
      </c>
      <c r="D1909" s="10" t="s">
        <v>1679</v>
      </c>
      <c r="E1909" s="10" t="s">
        <v>1682</v>
      </c>
      <c r="F1909" t="s">
        <v>721</v>
      </c>
      <c r="G1909" s="4">
        <v>440799</v>
      </c>
      <c r="H1909" s="4">
        <v>2308259</v>
      </c>
      <c r="I1909" s="4"/>
      <c r="J1909" s="4">
        <f>SUM(G1909:I1909)</f>
        <v>2749058</v>
      </c>
      <c r="K1909" t="s">
        <v>1660</v>
      </c>
      <c r="L1909" t="s">
        <v>1659</v>
      </c>
      <c r="M1909" t="s">
        <v>721</v>
      </c>
      <c r="N1909" t="s">
        <v>721</v>
      </c>
      <c r="O1909" t="s">
        <v>1132</v>
      </c>
      <c r="P1909">
        <f>IFERROR(VLOOKUP(F1909,Sheet1!$A$2:$B$54,2,FALSE),"")</f>
        <v>4900570</v>
      </c>
    </row>
    <row r="1910" spans="1:16" x14ac:dyDescent="0.2">
      <c r="A1910" s="1">
        <v>2022</v>
      </c>
      <c r="B1910" t="s">
        <v>224</v>
      </c>
      <c r="C1910" s="10" t="s">
        <v>1678</v>
      </c>
      <c r="D1910" s="10" t="s">
        <v>1679</v>
      </c>
      <c r="E1910" s="10" t="s">
        <v>1682</v>
      </c>
      <c r="F1910" t="s">
        <v>721</v>
      </c>
      <c r="G1910" s="4">
        <v>532866</v>
      </c>
      <c r="H1910" s="4">
        <v>2467331</v>
      </c>
      <c r="I1910" s="4"/>
      <c r="J1910" s="4">
        <f>SUM(G1910:I1910)</f>
        <v>3000197</v>
      </c>
      <c r="K1910" t="s">
        <v>1660</v>
      </c>
      <c r="L1910" t="s">
        <v>1659</v>
      </c>
      <c r="M1910" t="s">
        <v>721</v>
      </c>
      <c r="N1910" t="s">
        <v>721</v>
      </c>
      <c r="O1910" t="s">
        <v>1132</v>
      </c>
      <c r="P1910">
        <f>IFERROR(VLOOKUP(F1910,Sheet1!$A$2:$B$54,2,FALSE),"")</f>
        <v>4900570</v>
      </c>
    </row>
    <row r="1911" spans="1:16" x14ac:dyDescent="0.2">
      <c r="A1911" s="1">
        <v>2023</v>
      </c>
      <c r="B1911" t="s">
        <v>224</v>
      </c>
      <c r="C1911" s="10" t="s">
        <v>1678</v>
      </c>
      <c r="D1911" s="10" t="s">
        <v>1679</v>
      </c>
      <c r="E1911" s="10" t="s">
        <v>1682</v>
      </c>
      <c r="F1911" t="s">
        <v>721</v>
      </c>
      <c r="G1911" s="4">
        <v>703904</v>
      </c>
      <c r="H1911" s="4">
        <v>2786704</v>
      </c>
      <c r="I1911" s="4"/>
      <c r="J1911" s="4">
        <f>SUM(G1911:I1911)</f>
        <v>3490608</v>
      </c>
      <c r="K1911" t="s">
        <v>1660</v>
      </c>
      <c r="L1911" t="s">
        <v>1659</v>
      </c>
      <c r="M1911" t="s">
        <v>721</v>
      </c>
      <c r="N1911" t="s">
        <v>721</v>
      </c>
      <c r="O1911" t="s">
        <v>1132</v>
      </c>
      <c r="P1911">
        <f>IFERROR(VLOOKUP(F1911,Sheet1!$A$2:$B$54,2,FALSE),"")</f>
        <v>4900570</v>
      </c>
    </row>
    <row r="1912" spans="1:16" x14ac:dyDescent="0.2">
      <c r="A1912" s="1">
        <v>2016</v>
      </c>
      <c r="B1912" t="s">
        <v>233</v>
      </c>
      <c r="C1912" s="10" t="s">
        <v>1678</v>
      </c>
      <c r="D1912" s="10" t="s">
        <v>1679</v>
      </c>
      <c r="E1912" s="10" t="s">
        <v>1682</v>
      </c>
      <c r="F1912" t="s">
        <v>730</v>
      </c>
      <c r="G1912" s="4">
        <v>1209</v>
      </c>
      <c r="H1912" s="4"/>
      <c r="I1912" s="4"/>
      <c r="J1912" s="4">
        <f>SUM(G1912:I1912)</f>
        <v>1209</v>
      </c>
      <c r="K1912" t="s">
        <v>1659</v>
      </c>
      <c r="L1912" t="s">
        <v>1659</v>
      </c>
      <c r="M1912" t="s">
        <v>1288</v>
      </c>
      <c r="N1912" t="s">
        <v>1132</v>
      </c>
      <c r="O1912" t="s">
        <v>1132</v>
      </c>
      <c r="P1912" t="str">
        <f>IFERROR(VLOOKUP(F1912,Sheet1!$A$2:$B$54,2,FALSE),"")</f>
        <v/>
      </c>
    </row>
    <row r="1913" spans="1:16" x14ac:dyDescent="0.2">
      <c r="A1913" s="1">
        <v>2017</v>
      </c>
      <c r="B1913" t="s">
        <v>233</v>
      </c>
      <c r="C1913" s="10" t="s">
        <v>1678</v>
      </c>
      <c r="D1913" s="10" t="s">
        <v>1679</v>
      </c>
      <c r="E1913" s="10" t="s">
        <v>1682</v>
      </c>
      <c r="F1913" t="s">
        <v>730</v>
      </c>
      <c r="G1913" s="4">
        <v>2459</v>
      </c>
      <c r="H1913" s="4"/>
      <c r="I1913" s="4"/>
      <c r="J1913" s="4">
        <f>SUM(G1913:I1913)</f>
        <v>2459</v>
      </c>
      <c r="K1913" t="s">
        <v>1659</v>
      </c>
      <c r="L1913" t="s">
        <v>1659</v>
      </c>
      <c r="M1913" t="s">
        <v>1288</v>
      </c>
      <c r="N1913" t="s">
        <v>1132</v>
      </c>
      <c r="O1913" t="s">
        <v>1132</v>
      </c>
      <c r="P1913" t="str">
        <f>IFERROR(VLOOKUP(F1913,Sheet1!$A$2:$B$54,2,FALSE),"")</f>
        <v/>
      </c>
    </row>
    <row r="1914" spans="1:16" x14ac:dyDescent="0.2">
      <c r="A1914" s="1">
        <v>2018</v>
      </c>
      <c r="B1914" t="s">
        <v>233</v>
      </c>
      <c r="C1914" s="10" t="s">
        <v>1678</v>
      </c>
      <c r="D1914" s="10" t="s">
        <v>1679</v>
      </c>
      <c r="E1914" s="10" t="s">
        <v>1682</v>
      </c>
      <c r="F1914" t="s">
        <v>730</v>
      </c>
      <c r="G1914" s="4">
        <v>2563</v>
      </c>
      <c r="H1914" s="4"/>
      <c r="I1914" s="4"/>
      <c r="J1914" s="4">
        <f>SUM(G1914:I1914)</f>
        <v>2563</v>
      </c>
      <c r="K1914" t="s">
        <v>1659</v>
      </c>
      <c r="L1914" t="s">
        <v>1659</v>
      </c>
      <c r="M1914" t="s">
        <v>1288</v>
      </c>
      <c r="N1914" t="s">
        <v>1132</v>
      </c>
      <c r="O1914" t="s">
        <v>1132</v>
      </c>
      <c r="P1914" t="str">
        <f>IFERROR(VLOOKUP(F1914,Sheet1!$A$2:$B$54,2,FALSE),"")</f>
        <v/>
      </c>
    </row>
    <row r="1915" spans="1:16" x14ac:dyDescent="0.2">
      <c r="A1915" s="1">
        <v>2019</v>
      </c>
      <c r="B1915" t="s">
        <v>233</v>
      </c>
      <c r="C1915" s="10" t="s">
        <v>1678</v>
      </c>
      <c r="D1915" s="10" t="s">
        <v>1679</v>
      </c>
      <c r="E1915" s="10" t="s">
        <v>1682</v>
      </c>
      <c r="F1915" t="s">
        <v>730</v>
      </c>
      <c r="G1915" s="4">
        <v>2644</v>
      </c>
      <c r="H1915" s="4"/>
      <c r="I1915" s="4"/>
      <c r="J1915" s="4">
        <f>SUM(G1915:I1915)</f>
        <v>2644</v>
      </c>
      <c r="K1915" t="s">
        <v>1659</v>
      </c>
      <c r="L1915" t="s">
        <v>1659</v>
      </c>
      <c r="M1915" t="s">
        <v>1288</v>
      </c>
      <c r="N1915" t="s">
        <v>1132</v>
      </c>
      <c r="O1915" t="s">
        <v>1132</v>
      </c>
      <c r="P1915" t="str">
        <f>IFERROR(VLOOKUP(F1915,Sheet1!$A$2:$B$54,2,FALSE),"")</f>
        <v/>
      </c>
    </row>
    <row r="1916" spans="1:16" x14ac:dyDescent="0.2">
      <c r="A1916" s="1">
        <v>2020</v>
      </c>
      <c r="B1916" t="s">
        <v>233</v>
      </c>
      <c r="C1916" s="10" t="s">
        <v>1678</v>
      </c>
      <c r="D1916" s="10" t="s">
        <v>1679</v>
      </c>
      <c r="E1916" s="10" t="s">
        <v>1682</v>
      </c>
      <c r="F1916" t="s">
        <v>730</v>
      </c>
      <c r="G1916" s="4">
        <v>2682</v>
      </c>
      <c r="H1916" s="4"/>
      <c r="I1916" s="4"/>
      <c r="J1916" s="4">
        <f>SUM(G1916:I1916)</f>
        <v>2682</v>
      </c>
      <c r="K1916" t="s">
        <v>1659</v>
      </c>
      <c r="L1916" t="s">
        <v>1659</v>
      </c>
      <c r="M1916" t="s">
        <v>1288</v>
      </c>
      <c r="N1916" t="s">
        <v>1132</v>
      </c>
      <c r="O1916" t="s">
        <v>1132</v>
      </c>
      <c r="P1916" t="str">
        <f>IFERROR(VLOOKUP(F1916,Sheet1!$A$2:$B$54,2,FALSE),"")</f>
        <v/>
      </c>
    </row>
    <row r="1917" spans="1:16" x14ac:dyDescent="0.2">
      <c r="A1917" s="1">
        <v>2021</v>
      </c>
      <c r="B1917" t="s">
        <v>233</v>
      </c>
      <c r="C1917" s="10" t="s">
        <v>1678</v>
      </c>
      <c r="D1917" s="10" t="s">
        <v>1679</v>
      </c>
      <c r="E1917" s="10" t="s">
        <v>1682</v>
      </c>
      <c r="F1917" t="s">
        <v>730</v>
      </c>
      <c r="G1917" s="4">
        <v>4460</v>
      </c>
      <c r="H1917" s="4"/>
      <c r="I1917" s="4"/>
      <c r="J1917" s="4">
        <f>SUM(G1917:I1917)</f>
        <v>4460</v>
      </c>
      <c r="K1917" t="s">
        <v>1659</v>
      </c>
      <c r="L1917" t="s">
        <v>1659</v>
      </c>
      <c r="M1917" t="s">
        <v>730</v>
      </c>
      <c r="N1917" t="s">
        <v>1132</v>
      </c>
      <c r="O1917" t="s">
        <v>1132</v>
      </c>
      <c r="P1917" t="str">
        <f>IFERROR(VLOOKUP(F1917,Sheet1!$A$2:$B$54,2,FALSE),"")</f>
        <v/>
      </c>
    </row>
    <row r="1918" spans="1:16" x14ac:dyDescent="0.2">
      <c r="A1918" s="1">
        <v>2022</v>
      </c>
      <c r="B1918" t="s">
        <v>233</v>
      </c>
      <c r="C1918" s="10" t="s">
        <v>1678</v>
      </c>
      <c r="D1918" s="10" t="s">
        <v>1679</v>
      </c>
      <c r="E1918" s="10" t="s">
        <v>1682</v>
      </c>
      <c r="F1918" t="s">
        <v>730</v>
      </c>
      <c r="G1918" s="4">
        <v>4838</v>
      </c>
      <c r="H1918" s="4"/>
      <c r="I1918" s="4"/>
      <c r="J1918" s="4">
        <f>SUM(G1918:I1918)</f>
        <v>4838</v>
      </c>
      <c r="K1918" t="s">
        <v>1659</v>
      </c>
      <c r="L1918" t="s">
        <v>1659</v>
      </c>
      <c r="M1918" t="s">
        <v>730</v>
      </c>
      <c r="N1918" t="s">
        <v>1132</v>
      </c>
      <c r="O1918" t="s">
        <v>1132</v>
      </c>
      <c r="P1918" t="str">
        <f>IFERROR(VLOOKUP(F1918,Sheet1!$A$2:$B$54,2,FALSE),"")</f>
        <v/>
      </c>
    </row>
    <row r="1919" spans="1:16" x14ac:dyDescent="0.2">
      <c r="A1919" s="1">
        <v>2023</v>
      </c>
      <c r="B1919" t="s">
        <v>233</v>
      </c>
      <c r="C1919" s="10" t="s">
        <v>1678</v>
      </c>
      <c r="D1919" s="10" t="s">
        <v>1679</v>
      </c>
      <c r="E1919" s="10" t="s">
        <v>1682</v>
      </c>
      <c r="F1919" t="s">
        <v>730</v>
      </c>
      <c r="G1919" s="4">
        <v>8098</v>
      </c>
      <c r="H1919" s="4"/>
      <c r="I1919" s="4"/>
      <c r="J1919" s="4">
        <f>SUM(G1919:I1919)</f>
        <v>8098</v>
      </c>
      <c r="K1919" t="s">
        <v>1659</v>
      </c>
      <c r="L1919" t="s">
        <v>1659</v>
      </c>
      <c r="M1919" t="s">
        <v>730</v>
      </c>
      <c r="N1919" t="s">
        <v>1132</v>
      </c>
      <c r="O1919" t="s">
        <v>1132</v>
      </c>
      <c r="P1919" t="str">
        <f>IFERROR(VLOOKUP(F1919,Sheet1!$A$2:$B$54,2,FALSE),"")</f>
        <v/>
      </c>
    </row>
    <row r="1920" spans="1:16" x14ac:dyDescent="0.2">
      <c r="A1920" s="1">
        <v>2020</v>
      </c>
      <c r="B1920" t="s">
        <v>234</v>
      </c>
      <c r="C1920" s="10" t="s">
        <v>1678</v>
      </c>
      <c r="D1920" s="10" t="s">
        <v>1679</v>
      </c>
      <c r="E1920" s="10" t="s">
        <v>1682</v>
      </c>
      <c r="F1920" t="s">
        <v>731</v>
      </c>
      <c r="G1920" s="4">
        <v>216</v>
      </c>
      <c r="H1920" s="4"/>
      <c r="I1920" s="4"/>
      <c r="J1920" s="4">
        <f>SUM(G1920:I1920)</f>
        <v>216</v>
      </c>
      <c r="K1920" t="s">
        <v>1659</v>
      </c>
      <c r="L1920" t="s">
        <v>1659</v>
      </c>
      <c r="M1920" t="s">
        <v>1289</v>
      </c>
      <c r="N1920" t="s">
        <v>1132</v>
      </c>
      <c r="O1920" t="s">
        <v>1132</v>
      </c>
      <c r="P1920" t="str">
        <f>IFERROR(VLOOKUP(F1920,Sheet1!$A$2:$B$54,2,FALSE),"")</f>
        <v/>
      </c>
    </row>
    <row r="1921" spans="1:16" x14ac:dyDescent="0.2">
      <c r="A1921" s="1">
        <v>2021</v>
      </c>
      <c r="B1921" t="s">
        <v>234</v>
      </c>
      <c r="C1921" s="10" t="s">
        <v>1678</v>
      </c>
      <c r="D1921" s="10" t="s">
        <v>1679</v>
      </c>
      <c r="E1921" s="10" t="s">
        <v>1682</v>
      </c>
      <c r="F1921" t="s">
        <v>731</v>
      </c>
      <c r="G1921" s="4">
        <v>2759</v>
      </c>
      <c r="H1921" s="4"/>
      <c r="I1921" s="4"/>
      <c r="J1921" s="4">
        <f>SUM(G1921:I1921)</f>
        <v>2759</v>
      </c>
      <c r="K1921" t="s">
        <v>1659</v>
      </c>
      <c r="L1921" t="s">
        <v>1659</v>
      </c>
      <c r="M1921" t="s">
        <v>1290</v>
      </c>
      <c r="N1921" t="s">
        <v>1132</v>
      </c>
      <c r="O1921" t="s">
        <v>1132</v>
      </c>
      <c r="P1921" t="str">
        <f>IFERROR(VLOOKUP(F1921,Sheet1!$A$2:$B$54,2,FALSE),"")</f>
        <v/>
      </c>
    </row>
    <row r="1922" spans="1:16" x14ac:dyDescent="0.2">
      <c r="A1922" s="1">
        <v>2022</v>
      </c>
      <c r="B1922" t="s">
        <v>234</v>
      </c>
      <c r="C1922" s="10" t="s">
        <v>1678</v>
      </c>
      <c r="D1922" s="10" t="s">
        <v>1679</v>
      </c>
      <c r="E1922" s="10" t="s">
        <v>1682</v>
      </c>
      <c r="F1922" t="s">
        <v>731</v>
      </c>
      <c r="G1922" s="4">
        <v>0</v>
      </c>
      <c r="H1922" s="4"/>
      <c r="I1922" s="4"/>
      <c r="J1922" s="4">
        <f>SUM(G1922:I1922)</f>
        <v>0</v>
      </c>
      <c r="K1922" t="s">
        <v>1659</v>
      </c>
      <c r="L1922" t="s">
        <v>1659</v>
      </c>
      <c r="M1922" t="s">
        <v>1291</v>
      </c>
      <c r="N1922" t="s">
        <v>1132</v>
      </c>
      <c r="O1922" t="s">
        <v>1132</v>
      </c>
      <c r="P1922" t="str">
        <f>IFERROR(VLOOKUP(F1922,Sheet1!$A$2:$B$54,2,FALSE),"")</f>
        <v/>
      </c>
    </row>
    <row r="1923" spans="1:16" x14ac:dyDescent="0.2">
      <c r="A1923" s="1">
        <v>2023</v>
      </c>
      <c r="B1923" t="s">
        <v>234</v>
      </c>
      <c r="C1923" s="10" t="s">
        <v>1678</v>
      </c>
      <c r="D1923" s="10" t="s">
        <v>1679</v>
      </c>
      <c r="E1923" s="10" t="s">
        <v>1682</v>
      </c>
      <c r="F1923" t="s">
        <v>731</v>
      </c>
      <c r="G1923" s="4">
        <v>3399</v>
      </c>
      <c r="H1923" s="4"/>
      <c r="I1923" s="4"/>
      <c r="J1923" s="4">
        <f>SUM(G1923:I1923)</f>
        <v>3399</v>
      </c>
      <c r="K1923" t="s">
        <v>1659</v>
      </c>
      <c r="L1923" t="s">
        <v>1659</v>
      </c>
      <c r="M1923" t="s">
        <v>731</v>
      </c>
      <c r="N1923" t="s">
        <v>1132</v>
      </c>
      <c r="O1923" t="s">
        <v>1132</v>
      </c>
      <c r="P1923" t="str">
        <f>IFERROR(VLOOKUP(F1923,Sheet1!$A$2:$B$54,2,FALSE),"")</f>
        <v/>
      </c>
    </row>
    <row r="1924" spans="1:16" x14ac:dyDescent="0.2">
      <c r="A1924" s="1">
        <v>2017</v>
      </c>
      <c r="B1924" t="s">
        <v>235</v>
      </c>
      <c r="C1924" s="10" t="s">
        <v>1678</v>
      </c>
      <c r="D1924" s="10" t="s">
        <v>1679</v>
      </c>
      <c r="E1924" s="10" t="s">
        <v>1682</v>
      </c>
      <c r="F1924" t="s">
        <v>732</v>
      </c>
      <c r="G1924" s="4">
        <v>3504</v>
      </c>
      <c r="H1924" s="4"/>
      <c r="I1924" s="4"/>
      <c r="J1924" s="4">
        <f>SUM(G1924:I1924)</f>
        <v>3504</v>
      </c>
      <c r="K1924" t="s">
        <v>1659</v>
      </c>
      <c r="L1924" t="s">
        <v>1659</v>
      </c>
      <c r="M1924" t="s">
        <v>1292</v>
      </c>
      <c r="N1924" t="s">
        <v>1132</v>
      </c>
      <c r="O1924" t="s">
        <v>1132</v>
      </c>
      <c r="P1924" t="str">
        <f>IFERROR(VLOOKUP(F1924,Sheet1!$A$2:$B$54,2,FALSE),"")</f>
        <v/>
      </c>
    </row>
    <row r="1925" spans="1:16" x14ac:dyDescent="0.2">
      <c r="A1925" s="1">
        <v>2018</v>
      </c>
      <c r="B1925" t="s">
        <v>235</v>
      </c>
      <c r="C1925" s="10" t="s">
        <v>1678</v>
      </c>
      <c r="D1925" s="10" t="s">
        <v>1679</v>
      </c>
      <c r="E1925" s="10" t="s">
        <v>1682</v>
      </c>
      <c r="F1925" t="s">
        <v>732</v>
      </c>
      <c r="G1925" s="4">
        <v>3884</v>
      </c>
      <c r="H1925" s="4"/>
      <c r="I1925" s="4"/>
      <c r="J1925" s="4">
        <f>SUM(G1925:I1925)</f>
        <v>3884</v>
      </c>
      <c r="K1925" t="s">
        <v>1659</v>
      </c>
      <c r="L1925" t="s">
        <v>1659</v>
      </c>
      <c r="M1925" t="s">
        <v>1292</v>
      </c>
      <c r="N1925" t="s">
        <v>1132</v>
      </c>
      <c r="O1925" t="s">
        <v>1132</v>
      </c>
      <c r="P1925" t="str">
        <f>IFERROR(VLOOKUP(F1925,Sheet1!$A$2:$B$54,2,FALSE),"")</f>
        <v/>
      </c>
    </row>
    <row r="1926" spans="1:16" x14ac:dyDescent="0.2">
      <c r="A1926" s="1">
        <v>2019</v>
      </c>
      <c r="B1926" t="s">
        <v>235</v>
      </c>
      <c r="C1926" s="10" t="s">
        <v>1678</v>
      </c>
      <c r="D1926" s="10" t="s">
        <v>1679</v>
      </c>
      <c r="E1926" s="10" t="s">
        <v>1682</v>
      </c>
      <c r="F1926" t="s">
        <v>732</v>
      </c>
      <c r="G1926" s="4">
        <v>9525</v>
      </c>
      <c r="H1926" s="4"/>
      <c r="I1926" s="4"/>
      <c r="J1926" s="4">
        <f>SUM(G1926:I1926)</f>
        <v>9525</v>
      </c>
      <c r="K1926" t="s">
        <v>1659</v>
      </c>
      <c r="L1926" t="s">
        <v>1659</v>
      </c>
      <c r="M1926" t="s">
        <v>1293</v>
      </c>
      <c r="N1926" t="s">
        <v>1132</v>
      </c>
      <c r="O1926" t="s">
        <v>1132</v>
      </c>
      <c r="P1926" t="str">
        <f>IFERROR(VLOOKUP(F1926,Sheet1!$A$2:$B$54,2,FALSE),"")</f>
        <v/>
      </c>
    </row>
    <row r="1927" spans="1:16" x14ac:dyDescent="0.2">
      <c r="A1927" s="1">
        <v>2020</v>
      </c>
      <c r="B1927" t="s">
        <v>235</v>
      </c>
      <c r="C1927" s="10" t="s">
        <v>1678</v>
      </c>
      <c r="D1927" s="10" t="s">
        <v>1679</v>
      </c>
      <c r="E1927" s="10" t="s">
        <v>1682</v>
      </c>
      <c r="F1927" t="s">
        <v>732</v>
      </c>
      <c r="G1927" s="4">
        <v>10260</v>
      </c>
      <c r="H1927" s="4"/>
      <c r="I1927" s="4"/>
      <c r="J1927" s="4">
        <f>SUM(G1927:I1927)</f>
        <v>10260</v>
      </c>
      <c r="K1927" t="s">
        <v>1659</v>
      </c>
      <c r="L1927" t="s">
        <v>1659</v>
      </c>
      <c r="M1927" t="s">
        <v>1293</v>
      </c>
      <c r="N1927" t="s">
        <v>1132</v>
      </c>
      <c r="O1927" t="s">
        <v>1132</v>
      </c>
      <c r="P1927" t="str">
        <f>IFERROR(VLOOKUP(F1927,Sheet1!$A$2:$B$54,2,FALSE),"")</f>
        <v/>
      </c>
    </row>
    <row r="1928" spans="1:16" x14ac:dyDescent="0.2">
      <c r="A1928" s="1">
        <v>2021</v>
      </c>
      <c r="B1928" t="s">
        <v>235</v>
      </c>
      <c r="C1928" s="10" t="s">
        <v>1678</v>
      </c>
      <c r="D1928" s="10" t="s">
        <v>1679</v>
      </c>
      <c r="E1928" s="10" t="s">
        <v>1682</v>
      </c>
      <c r="F1928" t="s">
        <v>732</v>
      </c>
      <c r="G1928" s="4">
        <v>32553</v>
      </c>
      <c r="H1928" s="4"/>
      <c r="I1928" s="4"/>
      <c r="J1928" s="4">
        <f>SUM(G1928:I1928)</f>
        <v>32553</v>
      </c>
      <c r="K1928" t="s">
        <v>1659</v>
      </c>
      <c r="L1928" t="s">
        <v>1659</v>
      </c>
      <c r="M1928" t="s">
        <v>732</v>
      </c>
      <c r="N1928" t="s">
        <v>1132</v>
      </c>
      <c r="O1928" t="s">
        <v>1132</v>
      </c>
      <c r="P1928" t="str">
        <f>IFERROR(VLOOKUP(F1928,Sheet1!$A$2:$B$54,2,FALSE),"")</f>
        <v/>
      </c>
    </row>
    <row r="1929" spans="1:16" x14ac:dyDescent="0.2">
      <c r="A1929" s="1">
        <v>2022</v>
      </c>
      <c r="B1929" t="s">
        <v>235</v>
      </c>
      <c r="C1929" s="10" t="s">
        <v>1678</v>
      </c>
      <c r="D1929" s="10" t="s">
        <v>1679</v>
      </c>
      <c r="E1929" s="10" t="s">
        <v>1682</v>
      </c>
      <c r="F1929" t="s">
        <v>732</v>
      </c>
      <c r="G1929" s="4">
        <v>33609</v>
      </c>
      <c r="H1929" s="4"/>
      <c r="I1929" s="4"/>
      <c r="J1929" s="4">
        <f>SUM(G1929:I1929)</f>
        <v>33609</v>
      </c>
      <c r="K1929" t="s">
        <v>1659</v>
      </c>
      <c r="L1929" t="s">
        <v>1659</v>
      </c>
      <c r="M1929" t="s">
        <v>732</v>
      </c>
      <c r="N1929" t="s">
        <v>1132</v>
      </c>
      <c r="O1929" t="s">
        <v>1132</v>
      </c>
      <c r="P1929" t="str">
        <f>IFERROR(VLOOKUP(F1929,Sheet1!$A$2:$B$54,2,FALSE),"")</f>
        <v/>
      </c>
    </row>
    <row r="1930" spans="1:16" x14ac:dyDescent="0.2">
      <c r="A1930" s="1">
        <v>2023</v>
      </c>
      <c r="B1930" t="s">
        <v>235</v>
      </c>
      <c r="C1930" s="10" t="s">
        <v>1678</v>
      </c>
      <c r="D1930" s="10" t="s">
        <v>1679</v>
      </c>
      <c r="E1930" s="10" t="s">
        <v>1682</v>
      </c>
      <c r="F1930" t="s">
        <v>732</v>
      </c>
      <c r="G1930" s="4">
        <v>34618</v>
      </c>
      <c r="H1930" s="4"/>
      <c r="I1930" s="4"/>
      <c r="J1930" s="4">
        <f>SUM(G1930:I1930)</f>
        <v>34618</v>
      </c>
      <c r="K1930" t="s">
        <v>1659</v>
      </c>
      <c r="L1930" t="s">
        <v>1659</v>
      </c>
      <c r="M1930" t="s">
        <v>732</v>
      </c>
      <c r="N1930" t="s">
        <v>1132</v>
      </c>
      <c r="O1930" t="s">
        <v>1132</v>
      </c>
      <c r="P1930" t="str">
        <f>IFERROR(VLOOKUP(F1930,Sheet1!$A$2:$B$54,2,FALSE),"")</f>
        <v/>
      </c>
    </row>
    <row r="1931" spans="1:16" x14ac:dyDescent="0.2">
      <c r="A1931" s="1">
        <v>2015</v>
      </c>
      <c r="B1931" t="s">
        <v>236</v>
      </c>
      <c r="C1931" s="10" t="s">
        <v>1678</v>
      </c>
      <c r="D1931" s="10" t="s">
        <v>1679</v>
      </c>
      <c r="E1931" s="10" t="s">
        <v>1682</v>
      </c>
      <c r="F1931" t="s">
        <v>733</v>
      </c>
      <c r="G1931" s="4">
        <v>5362</v>
      </c>
      <c r="H1931" s="4"/>
      <c r="I1931" s="4"/>
      <c r="J1931" s="4">
        <f>SUM(G1931:I1931)</f>
        <v>5362</v>
      </c>
      <c r="K1931" t="s">
        <v>1659</v>
      </c>
      <c r="L1931" t="s">
        <v>1659</v>
      </c>
      <c r="M1931" t="s">
        <v>1294</v>
      </c>
      <c r="N1931" t="s">
        <v>1132</v>
      </c>
      <c r="O1931" t="s">
        <v>1132</v>
      </c>
      <c r="P1931" t="str">
        <f>IFERROR(VLOOKUP(F1931,Sheet1!$A$2:$B$54,2,FALSE),"")</f>
        <v/>
      </c>
    </row>
    <row r="1932" spans="1:16" x14ac:dyDescent="0.2">
      <c r="A1932" s="1">
        <v>2016</v>
      </c>
      <c r="B1932" t="s">
        <v>236</v>
      </c>
      <c r="C1932" s="10" t="s">
        <v>1678</v>
      </c>
      <c r="D1932" s="10" t="s">
        <v>1679</v>
      </c>
      <c r="E1932" s="10" t="s">
        <v>1682</v>
      </c>
      <c r="F1932" t="s">
        <v>733</v>
      </c>
      <c r="G1932" s="4">
        <v>12050</v>
      </c>
      <c r="H1932" s="4"/>
      <c r="I1932" s="4"/>
      <c r="J1932" s="4">
        <f>SUM(G1932:I1932)</f>
        <v>12050</v>
      </c>
      <c r="K1932" t="s">
        <v>1659</v>
      </c>
      <c r="L1932" t="s">
        <v>1659</v>
      </c>
      <c r="M1932" t="s">
        <v>1294</v>
      </c>
      <c r="N1932" t="s">
        <v>1132</v>
      </c>
      <c r="O1932" t="s">
        <v>1132</v>
      </c>
      <c r="P1932" t="str">
        <f>IFERROR(VLOOKUP(F1932,Sheet1!$A$2:$B$54,2,FALSE),"")</f>
        <v/>
      </c>
    </row>
    <row r="1933" spans="1:16" x14ac:dyDescent="0.2">
      <c r="A1933" s="1">
        <v>2017</v>
      </c>
      <c r="B1933" t="s">
        <v>236</v>
      </c>
      <c r="C1933" s="10" t="s">
        <v>1678</v>
      </c>
      <c r="D1933" s="10" t="s">
        <v>1679</v>
      </c>
      <c r="E1933" s="10" t="s">
        <v>1682</v>
      </c>
      <c r="F1933" t="s">
        <v>733</v>
      </c>
      <c r="G1933" s="4">
        <v>12430</v>
      </c>
      <c r="H1933" s="4"/>
      <c r="I1933" s="4"/>
      <c r="J1933" s="4">
        <f>SUM(G1933:I1933)</f>
        <v>12430</v>
      </c>
      <c r="K1933" t="s">
        <v>1659</v>
      </c>
      <c r="L1933" t="s">
        <v>1659</v>
      </c>
      <c r="M1933" t="s">
        <v>1294</v>
      </c>
      <c r="N1933" t="s">
        <v>1132</v>
      </c>
      <c r="O1933" t="s">
        <v>1132</v>
      </c>
      <c r="P1933" t="str">
        <f>IFERROR(VLOOKUP(F1933,Sheet1!$A$2:$B$54,2,FALSE),"")</f>
        <v/>
      </c>
    </row>
    <row r="1934" spans="1:16" x14ac:dyDescent="0.2">
      <c r="A1934" s="1">
        <v>2018</v>
      </c>
      <c r="B1934" t="s">
        <v>236</v>
      </c>
      <c r="C1934" s="10" t="s">
        <v>1678</v>
      </c>
      <c r="D1934" s="10" t="s">
        <v>1679</v>
      </c>
      <c r="E1934" s="10" t="s">
        <v>1682</v>
      </c>
      <c r="F1934" t="s">
        <v>733</v>
      </c>
      <c r="G1934" s="4">
        <v>16590</v>
      </c>
      <c r="H1934" s="4"/>
      <c r="I1934" s="4"/>
      <c r="J1934" s="4">
        <f>SUM(G1934:I1934)</f>
        <v>16590</v>
      </c>
      <c r="K1934" t="s">
        <v>1659</v>
      </c>
      <c r="L1934" t="s">
        <v>1659</v>
      </c>
      <c r="M1934" t="s">
        <v>1294</v>
      </c>
      <c r="N1934" t="s">
        <v>1132</v>
      </c>
      <c r="O1934" t="s">
        <v>1132</v>
      </c>
      <c r="P1934" t="str">
        <f>IFERROR(VLOOKUP(F1934,Sheet1!$A$2:$B$54,2,FALSE),"")</f>
        <v/>
      </c>
    </row>
    <row r="1935" spans="1:16" x14ac:dyDescent="0.2">
      <c r="A1935" s="1">
        <v>2019</v>
      </c>
      <c r="B1935" t="s">
        <v>236</v>
      </c>
      <c r="C1935" s="10" t="s">
        <v>1678</v>
      </c>
      <c r="D1935" s="10" t="s">
        <v>1679</v>
      </c>
      <c r="E1935" s="10" t="s">
        <v>1682</v>
      </c>
      <c r="F1935" t="s">
        <v>733</v>
      </c>
      <c r="G1935" s="4">
        <v>30101</v>
      </c>
      <c r="H1935" s="4"/>
      <c r="I1935" s="4"/>
      <c r="J1935" s="4">
        <f>SUM(G1935:I1935)</f>
        <v>30101</v>
      </c>
      <c r="K1935" t="s">
        <v>1659</v>
      </c>
      <c r="L1935" t="s">
        <v>1659</v>
      </c>
      <c r="M1935" t="s">
        <v>1294</v>
      </c>
      <c r="N1935" t="s">
        <v>1132</v>
      </c>
      <c r="O1935" t="s">
        <v>1132</v>
      </c>
      <c r="P1935" t="str">
        <f>IFERROR(VLOOKUP(F1935,Sheet1!$A$2:$B$54,2,FALSE),"")</f>
        <v/>
      </c>
    </row>
    <row r="1936" spans="1:16" x14ac:dyDescent="0.2">
      <c r="A1936" s="1">
        <v>2020</v>
      </c>
      <c r="B1936" t="s">
        <v>236</v>
      </c>
      <c r="C1936" s="10" t="s">
        <v>1678</v>
      </c>
      <c r="D1936" s="10" t="s">
        <v>1679</v>
      </c>
      <c r="E1936" s="10" t="s">
        <v>1682</v>
      </c>
      <c r="F1936" t="s">
        <v>733</v>
      </c>
      <c r="G1936" s="4">
        <v>35350</v>
      </c>
      <c r="H1936" s="4"/>
      <c r="I1936" s="4"/>
      <c r="J1936" s="4">
        <f>SUM(G1936:I1936)</f>
        <v>35350</v>
      </c>
      <c r="K1936" t="s">
        <v>1659</v>
      </c>
      <c r="L1936" t="s">
        <v>1659</v>
      </c>
      <c r="M1936" t="s">
        <v>1294</v>
      </c>
      <c r="N1936" t="s">
        <v>1132</v>
      </c>
      <c r="O1936" t="s">
        <v>1132</v>
      </c>
      <c r="P1936" t="str">
        <f>IFERROR(VLOOKUP(F1936,Sheet1!$A$2:$B$54,2,FALSE),"")</f>
        <v/>
      </c>
    </row>
    <row r="1937" spans="1:16" x14ac:dyDescent="0.2">
      <c r="A1937" s="1">
        <v>2021</v>
      </c>
      <c r="B1937" t="s">
        <v>236</v>
      </c>
      <c r="C1937" s="10" t="s">
        <v>1678</v>
      </c>
      <c r="D1937" s="10" t="s">
        <v>1679</v>
      </c>
      <c r="E1937" s="10" t="s">
        <v>1682</v>
      </c>
      <c r="F1937" t="s">
        <v>733</v>
      </c>
      <c r="G1937" s="4">
        <v>42615</v>
      </c>
      <c r="H1937" s="4"/>
      <c r="I1937" s="4"/>
      <c r="J1937" s="4">
        <f>SUM(G1937:I1937)</f>
        <v>42615</v>
      </c>
      <c r="K1937" t="s">
        <v>1659</v>
      </c>
      <c r="L1937" t="s">
        <v>1659</v>
      </c>
      <c r="M1937" t="s">
        <v>733</v>
      </c>
      <c r="N1937" t="s">
        <v>1132</v>
      </c>
      <c r="O1937" t="s">
        <v>1132</v>
      </c>
      <c r="P1937" t="str">
        <f>IFERROR(VLOOKUP(F1937,Sheet1!$A$2:$B$54,2,FALSE),"")</f>
        <v/>
      </c>
    </row>
    <row r="1938" spans="1:16" x14ac:dyDescent="0.2">
      <c r="A1938" s="1">
        <v>2022</v>
      </c>
      <c r="B1938" t="s">
        <v>236</v>
      </c>
      <c r="C1938" s="10" t="s">
        <v>1678</v>
      </c>
      <c r="D1938" s="10" t="s">
        <v>1679</v>
      </c>
      <c r="E1938" s="10" t="s">
        <v>1682</v>
      </c>
      <c r="F1938" t="s">
        <v>733</v>
      </c>
      <c r="G1938" s="4">
        <v>55184</v>
      </c>
      <c r="H1938" s="4"/>
      <c r="I1938" s="4"/>
      <c r="J1938" s="4">
        <f>SUM(G1938:I1938)</f>
        <v>55184</v>
      </c>
      <c r="K1938" t="s">
        <v>1659</v>
      </c>
      <c r="L1938" t="s">
        <v>1659</v>
      </c>
      <c r="M1938" t="s">
        <v>733</v>
      </c>
      <c r="N1938" t="s">
        <v>1132</v>
      </c>
      <c r="O1938" t="s">
        <v>1132</v>
      </c>
      <c r="P1938" t="str">
        <f>IFERROR(VLOOKUP(F1938,Sheet1!$A$2:$B$54,2,FALSE),"")</f>
        <v/>
      </c>
    </row>
    <row r="1939" spans="1:16" x14ac:dyDescent="0.2">
      <c r="A1939" s="1">
        <v>2023</v>
      </c>
      <c r="B1939" t="s">
        <v>236</v>
      </c>
      <c r="C1939" s="10" t="s">
        <v>1678</v>
      </c>
      <c r="D1939" s="10" t="s">
        <v>1679</v>
      </c>
      <c r="E1939" s="10" t="s">
        <v>1682</v>
      </c>
      <c r="F1939" t="s">
        <v>733</v>
      </c>
      <c r="G1939" s="4">
        <v>61608</v>
      </c>
      <c r="H1939" s="4"/>
      <c r="I1939" s="4"/>
      <c r="J1939" s="4">
        <f>SUM(G1939:I1939)</f>
        <v>61608</v>
      </c>
      <c r="K1939" t="s">
        <v>1659</v>
      </c>
      <c r="L1939" t="s">
        <v>1659</v>
      </c>
      <c r="M1939" t="s">
        <v>733</v>
      </c>
      <c r="N1939" t="s">
        <v>1132</v>
      </c>
      <c r="O1939" t="s">
        <v>1132</v>
      </c>
      <c r="P1939" t="str">
        <f>IFERROR(VLOOKUP(F1939,Sheet1!$A$2:$B$54,2,FALSE),"")</f>
        <v/>
      </c>
    </row>
    <row r="1940" spans="1:16" x14ac:dyDescent="0.2">
      <c r="A1940" s="1">
        <v>2015</v>
      </c>
      <c r="B1940" t="s">
        <v>232</v>
      </c>
      <c r="C1940" s="10" t="s">
        <v>1678</v>
      </c>
      <c r="D1940" s="10" t="s">
        <v>1679</v>
      </c>
      <c r="E1940" s="10" t="s">
        <v>1682</v>
      </c>
      <c r="F1940" t="s">
        <v>729</v>
      </c>
      <c r="G1940" s="4">
        <v>204276</v>
      </c>
      <c r="H1940" s="4">
        <v>4686507</v>
      </c>
      <c r="I1940" s="4">
        <v>8627</v>
      </c>
      <c r="J1940" s="4">
        <f>SUM(G1940:I1940)</f>
        <v>4899410</v>
      </c>
      <c r="K1940" t="s">
        <v>1660</v>
      </c>
      <c r="L1940" t="s">
        <v>1660</v>
      </c>
      <c r="M1940" t="s">
        <v>1287</v>
      </c>
      <c r="N1940" t="s">
        <v>1287</v>
      </c>
      <c r="O1940" t="s">
        <v>1287</v>
      </c>
      <c r="P1940">
        <f>IFERROR(VLOOKUP(F1940,Sheet1!$A$2:$B$54,2,FALSE),"")</f>
        <v>4900600</v>
      </c>
    </row>
    <row r="1941" spans="1:16" x14ac:dyDescent="0.2">
      <c r="A1941" s="1">
        <v>2016</v>
      </c>
      <c r="B1941" t="s">
        <v>232</v>
      </c>
      <c r="C1941" s="10" t="s">
        <v>1678</v>
      </c>
      <c r="D1941" s="10" t="s">
        <v>1679</v>
      </c>
      <c r="E1941" s="10" t="s">
        <v>1682</v>
      </c>
      <c r="F1941" t="s">
        <v>729</v>
      </c>
      <c r="G1941" s="4">
        <v>296370</v>
      </c>
      <c r="H1941" s="4">
        <v>4650215</v>
      </c>
      <c r="I1941" s="4">
        <v>8738</v>
      </c>
      <c r="J1941" s="4">
        <f>SUM(G1941:I1941)</f>
        <v>4955323</v>
      </c>
      <c r="K1941" t="s">
        <v>1660</v>
      </c>
      <c r="L1941" t="s">
        <v>1660</v>
      </c>
      <c r="M1941" t="s">
        <v>1287</v>
      </c>
      <c r="N1941" t="s">
        <v>1287</v>
      </c>
      <c r="O1941" t="s">
        <v>1287</v>
      </c>
      <c r="P1941">
        <f>IFERROR(VLOOKUP(F1941,Sheet1!$A$2:$B$54,2,FALSE),"")</f>
        <v>4900600</v>
      </c>
    </row>
    <row r="1942" spans="1:16" x14ac:dyDescent="0.2">
      <c r="A1942" s="1">
        <v>2017</v>
      </c>
      <c r="B1942" t="s">
        <v>232</v>
      </c>
      <c r="C1942" s="10" t="s">
        <v>1678</v>
      </c>
      <c r="D1942" s="10" t="s">
        <v>1679</v>
      </c>
      <c r="E1942" s="10" t="s">
        <v>1682</v>
      </c>
      <c r="F1942" t="s">
        <v>729</v>
      </c>
      <c r="G1942" s="4">
        <v>406446</v>
      </c>
      <c r="H1942" s="4">
        <v>4884044</v>
      </c>
      <c r="I1942" s="4">
        <v>9392</v>
      </c>
      <c r="J1942" s="4">
        <f>SUM(G1942:I1942)</f>
        <v>5299882</v>
      </c>
      <c r="K1942" t="s">
        <v>1660</v>
      </c>
      <c r="L1942" t="s">
        <v>1660</v>
      </c>
      <c r="M1942" t="s">
        <v>1287</v>
      </c>
      <c r="N1942" t="s">
        <v>1287</v>
      </c>
      <c r="O1942" t="s">
        <v>1287</v>
      </c>
      <c r="P1942">
        <f>IFERROR(VLOOKUP(F1942,Sheet1!$A$2:$B$54,2,FALSE),"")</f>
        <v>4900600</v>
      </c>
    </row>
    <row r="1943" spans="1:16" x14ac:dyDescent="0.2">
      <c r="A1943" s="1">
        <v>2018</v>
      </c>
      <c r="B1943" t="s">
        <v>232</v>
      </c>
      <c r="C1943" s="10" t="s">
        <v>1678</v>
      </c>
      <c r="D1943" s="10" t="s">
        <v>1679</v>
      </c>
      <c r="E1943" s="10" t="s">
        <v>1682</v>
      </c>
      <c r="F1943" t="s">
        <v>729</v>
      </c>
      <c r="G1943" s="4">
        <v>530230</v>
      </c>
      <c r="H1943" s="4">
        <v>5276157</v>
      </c>
      <c r="I1943" s="4">
        <v>10194</v>
      </c>
      <c r="J1943" s="4">
        <f>SUM(G1943:I1943)</f>
        <v>5816581</v>
      </c>
      <c r="K1943" t="s">
        <v>1660</v>
      </c>
      <c r="L1943" t="s">
        <v>1660</v>
      </c>
      <c r="M1943" t="s">
        <v>1287</v>
      </c>
      <c r="N1943" t="s">
        <v>1287</v>
      </c>
      <c r="O1943" t="s">
        <v>1287</v>
      </c>
      <c r="P1943">
        <f>IFERROR(VLOOKUP(F1943,Sheet1!$A$2:$B$54,2,FALSE),"")</f>
        <v>4900600</v>
      </c>
    </row>
    <row r="1944" spans="1:16" x14ac:dyDescent="0.2">
      <c r="A1944" s="1">
        <v>2019</v>
      </c>
      <c r="B1944" t="s">
        <v>232</v>
      </c>
      <c r="C1944" s="10" t="s">
        <v>1678</v>
      </c>
      <c r="D1944" s="10" t="s">
        <v>1679</v>
      </c>
      <c r="E1944" s="10" t="s">
        <v>1682</v>
      </c>
      <c r="F1944" t="s">
        <v>729</v>
      </c>
      <c r="G1944" s="4">
        <v>663841</v>
      </c>
      <c r="H1944" s="4">
        <v>5574907</v>
      </c>
      <c r="I1944" s="4">
        <v>11017</v>
      </c>
      <c r="J1944" s="4">
        <f>SUM(G1944:I1944)</f>
        <v>6249765</v>
      </c>
      <c r="K1944" t="s">
        <v>1660</v>
      </c>
      <c r="L1944" t="s">
        <v>1660</v>
      </c>
      <c r="M1944" t="s">
        <v>1287</v>
      </c>
      <c r="N1944" t="s">
        <v>1287</v>
      </c>
      <c r="O1944" t="s">
        <v>1287</v>
      </c>
      <c r="P1944">
        <f>IFERROR(VLOOKUP(F1944,Sheet1!$A$2:$B$54,2,FALSE),"")</f>
        <v>4900600</v>
      </c>
    </row>
    <row r="1945" spans="1:16" x14ac:dyDescent="0.2">
      <c r="A1945" s="1">
        <v>2020</v>
      </c>
      <c r="B1945" t="s">
        <v>232</v>
      </c>
      <c r="C1945" s="10" t="s">
        <v>1678</v>
      </c>
      <c r="D1945" s="10" t="s">
        <v>1679</v>
      </c>
      <c r="E1945" s="10" t="s">
        <v>1682</v>
      </c>
      <c r="F1945" t="s">
        <v>729</v>
      </c>
      <c r="G1945" s="4">
        <v>807407</v>
      </c>
      <c r="H1945" s="4">
        <v>5929639</v>
      </c>
      <c r="I1945" s="4">
        <v>11660</v>
      </c>
      <c r="J1945" s="4">
        <f>SUM(G1945:I1945)</f>
        <v>6748706</v>
      </c>
      <c r="K1945" t="s">
        <v>1660</v>
      </c>
      <c r="L1945" t="s">
        <v>1660</v>
      </c>
      <c r="M1945" t="s">
        <v>1287</v>
      </c>
      <c r="N1945" t="s">
        <v>1287</v>
      </c>
      <c r="O1945" t="s">
        <v>1287</v>
      </c>
      <c r="P1945">
        <f>IFERROR(VLOOKUP(F1945,Sheet1!$A$2:$B$54,2,FALSE),"")</f>
        <v>4900600</v>
      </c>
    </row>
    <row r="1946" spans="1:16" x14ac:dyDescent="0.2">
      <c r="A1946" s="1">
        <v>2021</v>
      </c>
      <c r="B1946" t="s">
        <v>232</v>
      </c>
      <c r="C1946" s="10" t="s">
        <v>1678</v>
      </c>
      <c r="D1946" s="10" t="s">
        <v>1679</v>
      </c>
      <c r="E1946" s="10" t="s">
        <v>1682</v>
      </c>
      <c r="F1946" t="s">
        <v>729</v>
      </c>
      <c r="G1946" s="4">
        <v>959471</v>
      </c>
      <c r="H1946" s="4">
        <v>6149474</v>
      </c>
      <c r="I1946" s="4">
        <v>12024</v>
      </c>
      <c r="J1946" s="4">
        <f>SUM(G1946:I1946)</f>
        <v>7120969</v>
      </c>
      <c r="K1946" t="s">
        <v>1660</v>
      </c>
      <c r="L1946" t="s">
        <v>1660</v>
      </c>
      <c r="M1946" t="s">
        <v>729</v>
      </c>
      <c r="N1946" t="s">
        <v>729</v>
      </c>
      <c r="O1946" t="s">
        <v>729</v>
      </c>
      <c r="P1946">
        <f>IFERROR(VLOOKUP(F1946,Sheet1!$A$2:$B$54,2,FALSE),"")</f>
        <v>4900600</v>
      </c>
    </row>
    <row r="1947" spans="1:16" x14ac:dyDescent="0.2">
      <c r="A1947" s="1">
        <v>2022</v>
      </c>
      <c r="B1947" t="s">
        <v>232</v>
      </c>
      <c r="C1947" s="10" t="s">
        <v>1678</v>
      </c>
      <c r="D1947" s="10" t="s">
        <v>1679</v>
      </c>
      <c r="E1947" s="10" t="s">
        <v>1682</v>
      </c>
      <c r="F1947" t="s">
        <v>729</v>
      </c>
      <c r="G1947" s="4">
        <v>1101451</v>
      </c>
      <c r="H1947" s="4">
        <v>6234526</v>
      </c>
      <c r="I1947" s="4">
        <v>12386</v>
      </c>
      <c r="J1947" s="4">
        <f>SUM(G1947:I1947)</f>
        <v>7348363</v>
      </c>
      <c r="K1947" t="s">
        <v>1660</v>
      </c>
      <c r="L1947" t="s">
        <v>1660</v>
      </c>
      <c r="M1947" t="s">
        <v>729</v>
      </c>
      <c r="N1947" t="s">
        <v>729</v>
      </c>
      <c r="O1947" t="s">
        <v>729</v>
      </c>
      <c r="P1947">
        <f>IFERROR(VLOOKUP(F1947,Sheet1!$A$2:$B$54,2,FALSE),"")</f>
        <v>4900600</v>
      </c>
    </row>
    <row r="1948" spans="1:16" x14ac:dyDescent="0.2">
      <c r="A1948" s="1">
        <v>2023</v>
      </c>
      <c r="B1948" t="s">
        <v>232</v>
      </c>
      <c r="C1948" s="10" t="s">
        <v>1678</v>
      </c>
      <c r="D1948" s="10" t="s">
        <v>1679</v>
      </c>
      <c r="E1948" s="10" t="s">
        <v>1682</v>
      </c>
      <c r="F1948" t="s">
        <v>729</v>
      </c>
      <c r="G1948" s="4">
        <v>1389794</v>
      </c>
      <c r="H1948" s="4">
        <v>6454160</v>
      </c>
      <c r="I1948" s="4">
        <v>13388</v>
      </c>
      <c r="J1948" s="4">
        <f>SUM(G1948:I1948)</f>
        <v>7857342</v>
      </c>
      <c r="K1948" t="s">
        <v>1660</v>
      </c>
      <c r="L1948" t="s">
        <v>1660</v>
      </c>
      <c r="M1948" t="s">
        <v>729</v>
      </c>
      <c r="N1948" t="s">
        <v>729</v>
      </c>
      <c r="O1948" t="s">
        <v>729</v>
      </c>
      <c r="P1948">
        <f>IFERROR(VLOOKUP(F1948,Sheet1!$A$2:$B$54,2,FALSE),"")</f>
        <v>4900600</v>
      </c>
    </row>
    <row r="1949" spans="1:16" x14ac:dyDescent="0.2">
      <c r="A1949" s="1">
        <v>2015</v>
      </c>
      <c r="B1949" t="s">
        <v>238</v>
      </c>
      <c r="C1949" s="10" t="s">
        <v>1678</v>
      </c>
      <c r="D1949" s="10" t="s">
        <v>1679</v>
      </c>
      <c r="E1949" s="10" t="s">
        <v>1682</v>
      </c>
      <c r="F1949" t="s">
        <v>735</v>
      </c>
      <c r="G1949" s="4">
        <v>12364</v>
      </c>
      <c r="H1949" s="4"/>
      <c r="I1949" s="4"/>
      <c r="J1949" s="4">
        <f>SUM(G1949:I1949)</f>
        <v>12364</v>
      </c>
      <c r="K1949" t="s">
        <v>1659</v>
      </c>
      <c r="L1949" t="s">
        <v>1659</v>
      </c>
      <c r="M1949" t="s">
        <v>1296</v>
      </c>
      <c r="N1949" t="s">
        <v>1132</v>
      </c>
      <c r="O1949" t="s">
        <v>1132</v>
      </c>
      <c r="P1949" t="str">
        <f>IFERROR(VLOOKUP(F1949,Sheet1!$A$2:$B$54,2,FALSE),"")</f>
        <v/>
      </c>
    </row>
    <row r="1950" spans="1:16" x14ac:dyDescent="0.2">
      <c r="A1950" s="1">
        <v>2016</v>
      </c>
      <c r="B1950" t="s">
        <v>238</v>
      </c>
      <c r="C1950" s="10" t="s">
        <v>1678</v>
      </c>
      <c r="D1950" s="10" t="s">
        <v>1679</v>
      </c>
      <c r="E1950" s="10" t="s">
        <v>1682</v>
      </c>
      <c r="F1950" t="s">
        <v>735</v>
      </c>
      <c r="G1950" s="4">
        <v>28408</v>
      </c>
      <c r="H1950" s="4"/>
      <c r="I1950" s="4"/>
      <c r="J1950" s="4">
        <f>SUM(G1950:I1950)</f>
        <v>28408</v>
      </c>
      <c r="K1950" t="s">
        <v>1659</v>
      </c>
      <c r="L1950" t="s">
        <v>1659</v>
      </c>
      <c r="M1950" t="s">
        <v>1296</v>
      </c>
      <c r="N1950" t="s">
        <v>1132</v>
      </c>
      <c r="O1950" t="s">
        <v>1132</v>
      </c>
      <c r="P1950" t="str">
        <f>IFERROR(VLOOKUP(F1950,Sheet1!$A$2:$B$54,2,FALSE),"")</f>
        <v/>
      </c>
    </row>
    <row r="1951" spans="1:16" x14ac:dyDescent="0.2">
      <c r="A1951" s="1">
        <v>2017</v>
      </c>
      <c r="B1951" t="s">
        <v>238</v>
      </c>
      <c r="C1951" s="10" t="s">
        <v>1678</v>
      </c>
      <c r="D1951" s="10" t="s">
        <v>1679</v>
      </c>
      <c r="E1951" s="10" t="s">
        <v>1682</v>
      </c>
      <c r="F1951" t="s">
        <v>735</v>
      </c>
      <c r="G1951" s="4">
        <v>36782</v>
      </c>
      <c r="H1951" s="4"/>
      <c r="I1951" s="4"/>
      <c r="J1951" s="4">
        <f>SUM(G1951:I1951)</f>
        <v>36782</v>
      </c>
      <c r="K1951" t="s">
        <v>1659</v>
      </c>
      <c r="L1951" t="s">
        <v>1659</v>
      </c>
      <c r="M1951" t="s">
        <v>1296</v>
      </c>
      <c r="N1951" t="s">
        <v>1132</v>
      </c>
      <c r="O1951" t="s">
        <v>1132</v>
      </c>
      <c r="P1951" t="str">
        <f>IFERROR(VLOOKUP(F1951,Sheet1!$A$2:$B$54,2,FALSE),"")</f>
        <v/>
      </c>
    </row>
    <row r="1952" spans="1:16" x14ac:dyDescent="0.2">
      <c r="A1952" s="1">
        <v>2018</v>
      </c>
      <c r="B1952" t="s">
        <v>238</v>
      </c>
      <c r="C1952" s="10" t="s">
        <v>1678</v>
      </c>
      <c r="D1952" s="10" t="s">
        <v>1679</v>
      </c>
      <c r="E1952" s="10" t="s">
        <v>1682</v>
      </c>
      <c r="F1952" t="s">
        <v>735</v>
      </c>
      <c r="G1952" s="4">
        <v>49629</v>
      </c>
      <c r="H1952" s="4"/>
      <c r="I1952" s="4"/>
      <c r="J1952" s="4">
        <f>SUM(G1952:I1952)</f>
        <v>49629</v>
      </c>
      <c r="K1952" t="s">
        <v>1659</v>
      </c>
      <c r="L1952" t="s">
        <v>1659</v>
      </c>
      <c r="M1952" t="s">
        <v>1296</v>
      </c>
      <c r="N1952" t="s">
        <v>1132</v>
      </c>
      <c r="O1952" t="s">
        <v>1132</v>
      </c>
      <c r="P1952" t="str">
        <f>IFERROR(VLOOKUP(F1952,Sheet1!$A$2:$B$54,2,FALSE),"")</f>
        <v/>
      </c>
    </row>
    <row r="1953" spans="1:16" x14ac:dyDescent="0.2">
      <c r="A1953" s="1">
        <v>2019</v>
      </c>
      <c r="B1953" t="s">
        <v>238</v>
      </c>
      <c r="C1953" s="10" t="s">
        <v>1678</v>
      </c>
      <c r="D1953" s="10" t="s">
        <v>1679</v>
      </c>
      <c r="E1953" s="10" t="s">
        <v>1682</v>
      </c>
      <c r="F1953" t="s">
        <v>735</v>
      </c>
      <c r="G1953" s="4">
        <v>61542</v>
      </c>
      <c r="H1953" s="4"/>
      <c r="I1953" s="4"/>
      <c r="J1953" s="4">
        <f>SUM(G1953:I1953)</f>
        <v>61542</v>
      </c>
      <c r="K1953" t="s">
        <v>1659</v>
      </c>
      <c r="L1953" t="s">
        <v>1659</v>
      </c>
      <c r="M1953" t="s">
        <v>1296</v>
      </c>
      <c r="N1953" t="s">
        <v>1132</v>
      </c>
      <c r="O1953" t="s">
        <v>1132</v>
      </c>
      <c r="P1953" t="str">
        <f>IFERROR(VLOOKUP(F1953,Sheet1!$A$2:$B$54,2,FALSE),"")</f>
        <v/>
      </c>
    </row>
    <row r="1954" spans="1:16" x14ac:dyDescent="0.2">
      <c r="A1954" s="1">
        <v>2020</v>
      </c>
      <c r="B1954" t="s">
        <v>238</v>
      </c>
      <c r="C1954" s="10" t="s">
        <v>1678</v>
      </c>
      <c r="D1954" s="10" t="s">
        <v>1679</v>
      </c>
      <c r="E1954" s="10" t="s">
        <v>1682</v>
      </c>
      <c r="F1954" t="s">
        <v>735</v>
      </c>
      <c r="G1954" s="4">
        <v>75587</v>
      </c>
      <c r="H1954" s="4"/>
      <c r="I1954" s="4"/>
      <c r="J1954" s="4">
        <f>SUM(G1954:I1954)</f>
        <v>75587</v>
      </c>
      <c r="K1954" t="s">
        <v>1659</v>
      </c>
      <c r="L1954" t="s">
        <v>1659</v>
      </c>
      <c r="M1954" t="s">
        <v>1296</v>
      </c>
      <c r="N1954" t="s">
        <v>1132</v>
      </c>
      <c r="O1954" t="s">
        <v>1132</v>
      </c>
      <c r="P1954" t="str">
        <f>IFERROR(VLOOKUP(F1954,Sheet1!$A$2:$B$54,2,FALSE),"")</f>
        <v/>
      </c>
    </row>
    <row r="1955" spans="1:16" x14ac:dyDescent="0.2">
      <c r="A1955" s="1">
        <v>2021</v>
      </c>
      <c r="B1955" t="s">
        <v>238</v>
      </c>
      <c r="C1955" s="10" t="s">
        <v>1678</v>
      </c>
      <c r="D1955" s="10" t="s">
        <v>1679</v>
      </c>
      <c r="E1955" s="10" t="s">
        <v>1682</v>
      </c>
      <c r="F1955" t="s">
        <v>735</v>
      </c>
      <c r="G1955" s="4">
        <v>88402</v>
      </c>
      <c r="H1955" s="4"/>
      <c r="I1955" s="4"/>
      <c r="J1955" s="4">
        <f>SUM(G1955:I1955)</f>
        <v>88402</v>
      </c>
      <c r="K1955" t="s">
        <v>1659</v>
      </c>
      <c r="L1955" t="s">
        <v>1659</v>
      </c>
      <c r="M1955" t="s">
        <v>735</v>
      </c>
      <c r="N1955" t="s">
        <v>1132</v>
      </c>
      <c r="O1955" t="s">
        <v>1132</v>
      </c>
      <c r="P1955" t="str">
        <f>IFERROR(VLOOKUP(F1955,Sheet1!$A$2:$B$54,2,FALSE),"")</f>
        <v/>
      </c>
    </row>
    <row r="1956" spans="1:16" x14ac:dyDescent="0.2">
      <c r="A1956" s="1">
        <v>2022</v>
      </c>
      <c r="B1956" t="s">
        <v>238</v>
      </c>
      <c r="C1956" s="10" t="s">
        <v>1678</v>
      </c>
      <c r="D1956" s="10" t="s">
        <v>1679</v>
      </c>
      <c r="E1956" s="10" t="s">
        <v>1682</v>
      </c>
      <c r="F1956" t="s">
        <v>735</v>
      </c>
      <c r="G1956" s="4">
        <v>99446</v>
      </c>
      <c r="H1956" s="4"/>
      <c r="I1956" s="4"/>
      <c r="J1956" s="4">
        <f>SUM(G1956:I1956)</f>
        <v>99446</v>
      </c>
      <c r="K1956" t="s">
        <v>1659</v>
      </c>
      <c r="L1956" t="s">
        <v>1659</v>
      </c>
      <c r="M1956" t="s">
        <v>735</v>
      </c>
      <c r="N1956" t="s">
        <v>1132</v>
      </c>
      <c r="O1956" t="s">
        <v>1132</v>
      </c>
      <c r="P1956" t="str">
        <f>IFERROR(VLOOKUP(F1956,Sheet1!$A$2:$B$54,2,FALSE),"")</f>
        <v/>
      </c>
    </row>
    <row r="1957" spans="1:16" x14ac:dyDescent="0.2">
      <c r="A1957" s="1">
        <v>2023</v>
      </c>
      <c r="B1957" t="s">
        <v>238</v>
      </c>
      <c r="C1957" s="10" t="s">
        <v>1678</v>
      </c>
      <c r="D1957" s="10" t="s">
        <v>1679</v>
      </c>
      <c r="E1957" s="10" t="s">
        <v>1682</v>
      </c>
      <c r="F1957" t="s">
        <v>735</v>
      </c>
      <c r="G1957" s="4">
        <v>119323</v>
      </c>
      <c r="H1957" s="4"/>
      <c r="I1957" s="4"/>
      <c r="J1957" s="4">
        <f>SUM(G1957:I1957)</f>
        <v>119323</v>
      </c>
      <c r="K1957" t="s">
        <v>1659</v>
      </c>
      <c r="L1957" t="s">
        <v>1659</v>
      </c>
      <c r="M1957" t="s">
        <v>735</v>
      </c>
      <c r="N1957" t="s">
        <v>1132</v>
      </c>
      <c r="O1957" t="s">
        <v>1132</v>
      </c>
      <c r="P1957" t="str">
        <f>IFERROR(VLOOKUP(F1957,Sheet1!$A$2:$B$54,2,FALSE),"")</f>
        <v/>
      </c>
    </row>
    <row r="1958" spans="1:16" x14ac:dyDescent="0.2">
      <c r="A1958" s="1">
        <v>2015</v>
      </c>
      <c r="B1958" t="s">
        <v>239</v>
      </c>
      <c r="C1958" s="10" t="s">
        <v>1678</v>
      </c>
      <c r="D1958" s="10" t="s">
        <v>1679</v>
      </c>
      <c r="E1958" s="10" t="s">
        <v>1682</v>
      </c>
      <c r="F1958" t="s">
        <v>736</v>
      </c>
      <c r="G1958" s="4">
        <v>16912</v>
      </c>
      <c r="H1958" s="4"/>
      <c r="I1958" s="4"/>
      <c r="J1958" s="4">
        <f>SUM(G1958:I1958)</f>
        <v>16912</v>
      </c>
      <c r="K1958" t="s">
        <v>1659</v>
      </c>
      <c r="L1958" t="s">
        <v>1659</v>
      </c>
      <c r="M1958" t="s">
        <v>1297</v>
      </c>
      <c r="N1958" t="s">
        <v>1132</v>
      </c>
      <c r="O1958" t="s">
        <v>1132</v>
      </c>
      <c r="P1958" t="str">
        <f>IFERROR(VLOOKUP(F1958,Sheet1!$A$2:$B$54,2,FALSE),"")</f>
        <v/>
      </c>
    </row>
    <row r="1959" spans="1:16" x14ac:dyDescent="0.2">
      <c r="A1959" s="1">
        <v>2016</v>
      </c>
      <c r="B1959" t="s">
        <v>239</v>
      </c>
      <c r="C1959" s="10" t="s">
        <v>1678</v>
      </c>
      <c r="D1959" s="10" t="s">
        <v>1679</v>
      </c>
      <c r="E1959" s="10" t="s">
        <v>1682</v>
      </c>
      <c r="F1959" t="s">
        <v>736</v>
      </c>
      <c r="G1959" s="4">
        <v>15061</v>
      </c>
      <c r="H1959" s="4"/>
      <c r="I1959" s="4"/>
      <c r="J1959" s="4">
        <f>SUM(G1959:I1959)</f>
        <v>15061</v>
      </c>
      <c r="K1959" t="s">
        <v>1659</v>
      </c>
      <c r="L1959" t="s">
        <v>1659</v>
      </c>
      <c r="M1959" t="s">
        <v>1297</v>
      </c>
      <c r="N1959" t="s">
        <v>1132</v>
      </c>
      <c r="O1959" t="s">
        <v>1132</v>
      </c>
      <c r="P1959" t="str">
        <f>IFERROR(VLOOKUP(F1959,Sheet1!$A$2:$B$54,2,FALSE),"")</f>
        <v/>
      </c>
    </row>
    <row r="1960" spans="1:16" x14ac:dyDescent="0.2">
      <c r="A1960" s="1">
        <v>2017</v>
      </c>
      <c r="B1960" t="s">
        <v>239</v>
      </c>
      <c r="C1960" s="10" t="s">
        <v>1678</v>
      </c>
      <c r="D1960" s="10" t="s">
        <v>1679</v>
      </c>
      <c r="E1960" s="10" t="s">
        <v>1682</v>
      </c>
      <c r="F1960" t="s">
        <v>736</v>
      </c>
      <c r="G1960" s="4">
        <v>20364</v>
      </c>
      <c r="H1960" s="4"/>
      <c r="I1960" s="4"/>
      <c r="J1960" s="4">
        <f>SUM(G1960:I1960)</f>
        <v>20364</v>
      </c>
      <c r="K1960" t="s">
        <v>1659</v>
      </c>
      <c r="L1960" t="s">
        <v>1659</v>
      </c>
      <c r="M1960" t="s">
        <v>1297</v>
      </c>
      <c r="N1960" t="s">
        <v>1132</v>
      </c>
      <c r="O1960" t="s">
        <v>1132</v>
      </c>
      <c r="P1960" t="str">
        <f>IFERROR(VLOOKUP(F1960,Sheet1!$A$2:$B$54,2,FALSE),"")</f>
        <v/>
      </c>
    </row>
    <row r="1961" spans="1:16" x14ac:dyDescent="0.2">
      <c r="A1961" s="1">
        <v>2018</v>
      </c>
      <c r="B1961" t="s">
        <v>239</v>
      </c>
      <c r="C1961" s="10" t="s">
        <v>1678</v>
      </c>
      <c r="D1961" s="10" t="s">
        <v>1679</v>
      </c>
      <c r="E1961" s="10" t="s">
        <v>1682</v>
      </c>
      <c r="F1961" t="s">
        <v>736</v>
      </c>
      <c r="G1961" s="4">
        <v>27292</v>
      </c>
      <c r="H1961" s="4"/>
      <c r="I1961" s="4"/>
      <c r="J1961" s="4">
        <f>SUM(G1961:I1961)</f>
        <v>27292</v>
      </c>
      <c r="K1961" t="s">
        <v>1659</v>
      </c>
      <c r="L1961" t="s">
        <v>1659</v>
      </c>
      <c r="M1961" t="s">
        <v>1297</v>
      </c>
      <c r="N1961" t="s">
        <v>1132</v>
      </c>
      <c r="O1961" t="s">
        <v>1132</v>
      </c>
      <c r="P1961" t="str">
        <f>IFERROR(VLOOKUP(F1961,Sheet1!$A$2:$B$54,2,FALSE),"")</f>
        <v/>
      </c>
    </row>
    <row r="1962" spans="1:16" x14ac:dyDescent="0.2">
      <c r="A1962" s="1">
        <v>2019</v>
      </c>
      <c r="B1962" t="s">
        <v>239</v>
      </c>
      <c r="C1962" s="10" t="s">
        <v>1678</v>
      </c>
      <c r="D1962" s="10" t="s">
        <v>1679</v>
      </c>
      <c r="E1962" s="10" t="s">
        <v>1682</v>
      </c>
      <c r="F1962" t="s">
        <v>736</v>
      </c>
      <c r="G1962" s="4">
        <v>31943</v>
      </c>
      <c r="H1962" s="4"/>
      <c r="I1962" s="4"/>
      <c r="J1962" s="4">
        <f>SUM(G1962:I1962)</f>
        <v>31943</v>
      </c>
      <c r="K1962" t="s">
        <v>1659</v>
      </c>
      <c r="L1962" t="s">
        <v>1659</v>
      </c>
      <c r="M1962" t="s">
        <v>1297</v>
      </c>
      <c r="N1962" t="s">
        <v>1132</v>
      </c>
      <c r="O1962" t="s">
        <v>1132</v>
      </c>
      <c r="P1962" t="str">
        <f>IFERROR(VLOOKUP(F1962,Sheet1!$A$2:$B$54,2,FALSE),"")</f>
        <v/>
      </c>
    </row>
    <row r="1963" spans="1:16" x14ac:dyDescent="0.2">
      <c r="A1963" s="1">
        <v>2020</v>
      </c>
      <c r="B1963" t="s">
        <v>239</v>
      </c>
      <c r="C1963" s="10" t="s">
        <v>1678</v>
      </c>
      <c r="D1963" s="10" t="s">
        <v>1679</v>
      </c>
      <c r="E1963" s="10" t="s">
        <v>1682</v>
      </c>
      <c r="F1963" t="s">
        <v>736</v>
      </c>
      <c r="G1963" s="4">
        <v>35746</v>
      </c>
      <c r="H1963" s="4"/>
      <c r="I1963" s="4"/>
      <c r="J1963" s="4">
        <f>SUM(G1963:I1963)</f>
        <v>35746</v>
      </c>
      <c r="K1963" t="s">
        <v>1659</v>
      </c>
      <c r="L1963" t="s">
        <v>1659</v>
      </c>
      <c r="M1963" t="s">
        <v>1297</v>
      </c>
      <c r="N1963" t="s">
        <v>1132</v>
      </c>
      <c r="O1963" t="s">
        <v>1132</v>
      </c>
      <c r="P1963" t="str">
        <f>IFERROR(VLOOKUP(F1963,Sheet1!$A$2:$B$54,2,FALSE),"")</f>
        <v/>
      </c>
    </row>
    <row r="1964" spans="1:16" x14ac:dyDescent="0.2">
      <c r="A1964" s="1">
        <v>2021</v>
      </c>
      <c r="B1964" t="s">
        <v>239</v>
      </c>
      <c r="C1964" s="10" t="s">
        <v>1678</v>
      </c>
      <c r="D1964" s="10" t="s">
        <v>1679</v>
      </c>
      <c r="E1964" s="10" t="s">
        <v>1682</v>
      </c>
      <c r="F1964" t="s">
        <v>736</v>
      </c>
      <c r="G1964" s="4">
        <v>41509</v>
      </c>
      <c r="H1964" s="4"/>
      <c r="I1964" s="4"/>
      <c r="J1964" s="4">
        <f>SUM(G1964:I1964)</f>
        <v>41509</v>
      </c>
      <c r="K1964" t="s">
        <v>1659</v>
      </c>
      <c r="L1964" t="s">
        <v>1659</v>
      </c>
      <c r="M1964" t="s">
        <v>736</v>
      </c>
      <c r="N1964" t="s">
        <v>1132</v>
      </c>
      <c r="O1964" t="s">
        <v>1132</v>
      </c>
      <c r="P1964" t="str">
        <f>IFERROR(VLOOKUP(F1964,Sheet1!$A$2:$B$54,2,FALSE),"")</f>
        <v/>
      </c>
    </row>
    <row r="1965" spans="1:16" x14ac:dyDescent="0.2">
      <c r="A1965" s="1">
        <v>2022</v>
      </c>
      <c r="B1965" t="s">
        <v>239</v>
      </c>
      <c r="C1965" s="10" t="s">
        <v>1678</v>
      </c>
      <c r="D1965" s="10" t="s">
        <v>1679</v>
      </c>
      <c r="E1965" s="10" t="s">
        <v>1682</v>
      </c>
      <c r="F1965" t="s">
        <v>736</v>
      </c>
      <c r="G1965" s="4">
        <v>43612</v>
      </c>
      <c r="H1965" s="4"/>
      <c r="I1965" s="4"/>
      <c r="J1965" s="4">
        <f>SUM(G1965:I1965)</f>
        <v>43612</v>
      </c>
      <c r="K1965" t="s">
        <v>1659</v>
      </c>
      <c r="L1965" t="s">
        <v>1659</v>
      </c>
      <c r="M1965" t="s">
        <v>736</v>
      </c>
      <c r="N1965" t="s">
        <v>1132</v>
      </c>
      <c r="O1965" t="s">
        <v>1132</v>
      </c>
      <c r="P1965" t="str">
        <f>IFERROR(VLOOKUP(F1965,Sheet1!$A$2:$B$54,2,FALSE),"")</f>
        <v/>
      </c>
    </row>
    <row r="1966" spans="1:16" x14ac:dyDescent="0.2">
      <c r="A1966" s="1">
        <v>2023</v>
      </c>
      <c r="B1966" t="s">
        <v>239</v>
      </c>
      <c r="C1966" s="10" t="s">
        <v>1678</v>
      </c>
      <c r="D1966" s="10" t="s">
        <v>1679</v>
      </c>
      <c r="E1966" s="10" t="s">
        <v>1682</v>
      </c>
      <c r="F1966" t="s">
        <v>736</v>
      </c>
      <c r="G1966" s="4">
        <v>36379</v>
      </c>
      <c r="H1966" s="4"/>
      <c r="I1966" s="4"/>
      <c r="J1966" s="4">
        <f>SUM(G1966:I1966)</f>
        <v>36379</v>
      </c>
      <c r="K1966" t="s">
        <v>1659</v>
      </c>
      <c r="L1966" t="s">
        <v>1659</v>
      </c>
      <c r="M1966" t="s">
        <v>736</v>
      </c>
      <c r="N1966" t="s">
        <v>1132</v>
      </c>
      <c r="O1966" t="s">
        <v>1132</v>
      </c>
      <c r="P1966" t="str">
        <f>IFERROR(VLOOKUP(F1966,Sheet1!$A$2:$B$54,2,FALSE),"")</f>
        <v/>
      </c>
    </row>
    <row r="1967" spans="1:16" x14ac:dyDescent="0.2">
      <c r="A1967" s="1">
        <v>2015</v>
      </c>
      <c r="B1967" t="s">
        <v>240</v>
      </c>
      <c r="C1967" s="10" t="s">
        <v>1678</v>
      </c>
      <c r="D1967" s="10" t="s">
        <v>1679</v>
      </c>
      <c r="E1967" s="10" t="s">
        <v>1682</v>
      </c>
      <c r="F1967" t="s">
        <v>737</v>
      </c>
      <c r="G1967" s="4">
        <v>29501</v>
      </c>
      <c r="H1967" s="4">
        <v>183718</v>
      </c>
      <c r="I1967" s="4"/>
      <c r="J1967" s="4">
        <f>SUM(G1967:I1967)</f>
        <v>213219</v>
      </c>
      <c r="K1967" t="s">
        <v>1660</v>
      </c>
      <c r="L1967" t="s">
        <v>1659</v>
      </c>
      <c r="M1967" t="s">
        <v>1298</v>
      </c>
      <c r="N1967" t="s">
        <v>1298</v>
      </c>
      <c r="O1967" t="s">
        <v>1132</v>
      </c>
      <c r="P1967" t="str">
        <f>IFERROR(VLOOKUP(F1967,Sheet1!$A$2:$B$54,2,FALSE),"")</f>
        <v/>
      </c>
    </row>
    <row r="1968" spans="1:16" x14ac:dyDescent="0.2">
      <c r="A1968" s="1">
        <v>2016</v>
      </c>
      <c r="B1968" t="s">
        <v>240</v>
      </c>
      <c r="C1968" s="10" t="s">
        <v>1678</v>
      </c>
      <c r="D1968" s="10" t="s">
        <v>1679</v>
      </c>
      <c r="E1968" s="10" t="s">
        <v>1682</v>
      </c>
      <c r="F1968" t="s">
        <v>737</v>
      </c>
      <c r="G1968" s="4">
        <v>41287</v>
      </c>
      <c r="H1968" s="4">
        <v>184827</v>
      </c>
      <c r="I1968" s="4"/>
      <c r="J1968" s="4">
        <f>SUM(G1968:I1968)</f>
        <v>226114</v>
      </c>
      <c r="K1968" t="s">
        <v>1660</v>
      </c>
      <c r="L1968" t="s">
        <v>1659</v>
      </c>
      <c r="M1968" t="s">
        <v>1298</v>
      </c>
      <c r="N1968" t="s">
        <v>1298</v>
      </c>
      <c r="O1968" t="s">
        <v>1132</v>
      </c>
      <c r="P1968" t="str">
        <f>IFERROR(VLOOKUP(F1968,Sheet1!$A$2:$B$54,2,FALSE),"")</f>
        <v/>
      </c>
    </row>
    <row r="1969" spans="1:16" x14ac:dyDescent="0.2">
      <c r="A1969" s="1">
        <v>2017</v>
      </c>
      <c r="B1969" t="s">
        <v>240</v>
      </c>
      <c r="C1969" s="10" t="s">
        <v>1678</v>
      </c>
      <c r="D1969" s="10" t="s">
        <v>1679</v>
      </c>
      <c r="E1969" s="10" t="s">
        <v>1682</v>
      </c>
      <c r="F1969" t="s">
        <v>737</v>
      </c>
      <c r="G1969" s="4">
        <v>57693</v>
      </c>
      <c r="H1969" s="4">
        <v>183870</v>
      </c>
      <c r="I1969" s="4"/>
      <c r="J1969" s="4">
        <f>SUM(G1969:I1969)</f>
        <v>241563</v>
      </c>
      <c r="K1969" t="s">
        <v>1660</v>
      </c>
      <c r="L1969" t="s">
        <v>1659</v>
      </c>
      <c r="M1969" t="s">
        <v>1298</v>
      </c>
      <c r="N1969" t="s">
        <v>1298</v>
      </c>
      <c r="O1969" t="s">
        <v>1132</v>
      </c>
      <c r="P1969" t="str">
        <f>IFERROR(VLOOKUP(F1969,Sheet1!$A$2:$B$54,2,FALSE),"")</f>
        <v/>
      </c>
    </row>
    <row r="1970" spans="1:16" x14ac:dyDescent="0.2">
      <c r="A1970" s="1">
        <v>2018</v>
      </c>
      <c r="B1970" t="s">
        <v>240</v>
      </c>
      <c r="C1970" s="10" t="s">
        <v>1678</v>
      </c>
      <c r="D1970" s="10" t="s">
        <v>1679</v>
      </c>
      <c r="E1970" s="10" t="s">
        <v>1682</v>
      </c>
      <c r="F1970" t="s">
        <v>737</v>
      </c>
      <c r="G1970" s="4">
        <v>62568</v>
      </c>
      <c r="H1970" s="4">
        <v>191387</v>
      </c>
      <c r="I1970" s="4"/>
      <c r="J1970" s="4">
        <f>SUM(G1970:I1970)</f>
        <v>253955</v>
      </c>
      <c r="K1970" t="s">
        <v>1660</v>
      </c>
      <c r="L1970" t="s">
        <v>1659</v>
      </c>
      <c r="M1970" t="s">
        <v>1298</v>
      </c>
      <c r="N1970" t="s">
        <v>1298</v>
      </c>
      <c r="O1970" t="s">
        <v>1132</v>
      </c>
      <c r="P1970" t="str">
        <f>IFERROR(VLOOKUP(F1970,Sheet1!$A$2:$B$54,2,FALSE),"")</f>
        <v/>
      </c>
    </row>
    <row r="1971" spans="1:16" x14ac:dyDescent="0.2">
      <c r="A1971" s="1">
        <v>2019</v>
      </c>
      <c r="B1971" t="s">
        <v>240</v>
      </c>
      <c r="C1971" s="10" t="s">
        <v>1678</v>
      </c>
      <c r="D1971" s="10" t="s">
        <v>1679</v>
      </c>
      <c r="E1971" s="10" t="s">
        <v>1682</v>
      </c>
      <c r="F1971" t="s">
        <v>737</v>
      </c>
      <c r="G1971" s="4">
        <v>61546</v>
      </c>
      <c r="H1971" s="4">
        <v>213880</v>
      </c>
      <c r="I1971" s="4"/>
      <c r="J1971" s="4">
        <f>SUM(G1971:I1971)</f>
        <v>275426</v>
      </c>
      <c r="K1971" t="s">
        <v>1660</v>
      </c>
      <c r="L1971" t="s">
        <v>1659</v>
      </c>
      <c r="M1971" t="s">
        <v>1298</v>
      </c>
      <c r="N1971" t="s">
        <v>1298</v>
      </c>
      <c r="O1971" t="s">
        <v>1132</v>
      </c>
      <c r="P1971" t="str">
        <f>IFERROR(VLOOKUP(F1971,Sheet1!$A$2:$B$54,2,FALSE),"")</f>
        <v/>
      </c>
    </row>
    <row r="1972" spans="1:16" x14ac:dyDescent="0.2">
      <c r="A1972" s="1">
        <v>2020</v>
      </c>
      <c r="B1972" t="s">
        <v>240</v>
      </c>
      <c r="C1972" s="10" t="s">
        <v>1678</v>
      </c>
      <c r="D1972" s="10" t="s">
        <v>1679</v>
      </c>
      <c r="E1972" s="10" t="s">
        <v>1682</v>
      </c>
      <c r="F1972" t="s">
        <v>737</v>
      </c>
      <c r="G1972" s="4">
        <v>62091</v>
      </c>
      <c r="H1972" s="4">
        <v>226510</v>
      </c>
      <c r="I1972" s="4"/>
      <c r="J1972" s="4">
        <f>SUM(G1972:I1972)</f>
        <v>288601</v>
      </c>
      <c r="K1972" t="s">
        <v>1660</v>
      </c>
      <c r="L1972" t="s">
        <v>1659</v>
      </c>
      <c r="M1972" t="s">
        <v>1298</v>
      </c>
      <c r="N1972" t="s">
        <v>1298</v>
      </c>
      <c r="O1972" t="s">
        <v>1132</v>
      </c>
      <c r="P1972" t="str">
        <f>IFERROR(VLOOKUP(F1972,Sheet1!$A$2:$B$54,2,FALSE),"")</f>
        <v/>
      </c>
    </row>
    <row r="1973" spans="1:16" x14ac:dyDescent="0.2">
      <c r="A1973" s="1">
        <v>2021</v>
      </c>
      <c r="B1973" t="s">
        <v>240</v>
      </c>
      <c r="C1973" s="10" t="s">
        <v>1678</v>
      </c>
      <c r="D1973" s="10" t="s">
        <v>1679</v>
      </c>
      <c r="E1973" s="10" t="s">
        <v>1682</v>
      </c>
      <c r="F1973" t="s">
        <v>737</v>
      </c>
      <c r="G1973" s="4">
        <v>71794</v>
      </c>
      <c r="H1973" s="4">
        <v>257473</v>
      </c>
      <c r="I1973" s="4"/>
      <c r="J1973" s="4">
        <f>SUM(G1973:I1973)</f>
        <v>329267</v>
      </c>
      <c r="K1973" t="s">
        <v>1660</v>
      </c>
      <c r="L1973" t="s">
        <v>1659</v>
      </c>
      <c r="M1973" t="s">
        <v>737</v>
      </c>
      <c r="N1973" t="s">
        <v>737</v>
      </c>
      <c r="O1973" t="s">
        <v>1132</v>
      </c>
      <c r="P1973" t="str">
        <f>IFERROR(VLOOKUP(F1973,Sheet1!$A$2:$B$54,2,FALSE),"")</f>
        <v/>
      </c>
    </row>
    <row r="1974" spans="1:16" x14ac:dyDescent="0.2">
      <c r="A1974" s="1">
        <v>2022</v>
      </c>
      <c r="B1974" t="s">
        <v>240</v>
      </c>
      <c r="C1974" s="10" t="s">
        <v>1678</v>
      </c>
      <c r="D1974" s="10" t="s">
        <v>1679</v>
      </c>
      <c r="E1974" s="10" t="s">
        <v>1682</v>
      </c>
      <c r="F1974" t="s">
        <v>737</v>
      </c>
      <c r="G1974" s="4">
        <v>77775</v>
      </c>
      <c r="H1974" s="4">
        <v>282564</v>
      </c>
      <c r="I1974" s="4"/>
      <c r="J1974" s="4">
        <f>SUM(G1974:I1974)</f>
        <v>360339</v>
      </c>
      <c r="K1974" t="s">
        <v>1660</v>
      </c>
      <c r="L1974" t="s">
        <v>1659</v>
      </c>
      <c r="M1974" t="s">
        <v>737</v>
      </c>
      <c r="N1974" t="s">
        <v>737</v>
      </c>
      <c r="O1974" t="s">
        <v>1132</v>
      </c>
      <c r="P1974" t="str">
        <f>IFERROR(VLOOKUP(F1974,Sheet1!$A$2:$B$54,2,FALSE),"")</f>
        <v/>
      </c>
    </row>
    <row r="1975" spans="1:16" x14ac:dyDescent="0.2">
      <c r="A1975" s="1">
        <v>2023</v>
      </c>
      <c r="B1975" t="s">
        <v>240</v>
      </c>
      <c r="C1975" s="10" t="s">
        <v>1678</v>
      </c>
      <c r="D1975" s="10" t="s">
        <v>1679</v>
      </c>
      <c r="E1975" s="10" t="s">
        <v>1682</v>
      </c>
      <c r="F1975" t="s">
        <v>737</v>
      </c>
      <c r="G1975" s="4">
        <v>83539</v>
      </c>
      <c r="H1975" s="4">
        <v>318079</v>
      </c>
      <c r="I1975" s="4"/>
      <c r="J1975" s="4">
        <f>SUM(G1975:I1975)</f>
        <v>401618</v>
      </c>
      <c r="K1975" t="s">
        <v>1660</v>
      </c>
      <c r="L1975" t="s">
        <v>1659</v>
      </c>
      <c r="M1975" t="s">
        <v>737</v>
      </c>
      <c r="N1975" t="s">
        <v>737</v>
      </c>
      <c r="O1975" t="s">
        <v>1132</v>
      </c>
      <c r="P1975" t="str">
        <f>IFERROR(VLOOKUP(F1975,Sheet1!$A$2:$B$54,2,FALSE),"")</f>
        <v/>
      </c>
    </row>
    <row r="1976" spans="1:16" x14ac:dyDescent="0.2">
      <c r="A1976" s="1">
        <v>2015</v>
      </c>
      <c r="B1976" t="s">
        <v>241</v>
      </c>
      <c r="C1976" s="10" t="s">
        <v>1678</v>
      </c>
      <c r="D1976" s="10" t="s">
        <v>1679</v>
      </c>
      <c r="E1976" s="10" t="s">
        <v>1682</v>
      </c>
      <c r="F1976" t="s">
        <v>738</v>
      </c>
      <c r="G1976" s="4">
        <v>14461</v>
      </c>
      <c r="H1976" s="4"/>
      <c r="I1976" s="4"/>
      <c r="J1976" s="4">
        <f>SUM(G1976:I1976)</f>
        <v>14461</v>
      </c>
      <c r="K1976" t="s">
        <v>1659</v>
      </c>
      <c r="L1976" t="s">
        <v>1659</v>
      </c>
      <c r="M1976" t="s">
        <v>1299</v>
      </c>
      <c r="N1976" t="s">
        <v>1132</v>
      </c>
      <c r="O1976" t="s">
        <v>1132</v>
      </c>
      <c r="P1976" t="str">
        <f>IFERROR(VLOOKUP(F1976,Sheet1!$A$2:$B$54,2,FALSE),"")</f>
        <v/>
      </c>
    </row>
    <row r="1977" spans="1:16" x14ac:dyDescent="0.2">
      <c r="A1977" s="1">
        <v>2016</v>
      </c>
      <c r="B1977" t="s">
        <v>241</v>
      </c>
      <c r="C1977" s="10" t="s">
        <v>1678</v>
      </c>
      <c r="D1977" s="10" t="s">
        <v>1679</v>
      </c>
      <c r="E1977" s="10" t="s">
        <v>1682</v>
      </c>
      <c r="F1977" t="s">
        <v>738</v>
      </c>
      <c r="G1977" s="4">
        <v>14642</v>
      </c>
      <c r="H1977" s="4"/>
      <c r="I1977" s="4"/>
      <c r="J1977" s="4">
        <f>SUM(G1977:I1977)</f>
        <v>14642</v>
      </c>
      <c r="K1977" t="s">
        <v>1659</v>
      </c>
      <c r="L1977" t="s">
        <v>1659</v>
      </c>
      <c r="M1977" t="s">
        <v>1300</v>
      </c>
      <c r="N1977" t="s">
        <v>1132</v>
      </c>
      <c r="O1977" t="s">
        <v>1132</v>
      </c>
      <c r="P1977" t="str">
        <f>IFERROR(VLOOKUP(F1977,Sheet1!$A$2:$B$54,2,FALSE),"")</f>
        <v/>
      </c>
    </row>
    <row r="1978" spans="1:16" x14ac:dyDescent="0.2">
      <c r="A1978" s="1">
        <v>2017</v>
      </c>
      <c r="B1978" t="s">
        <v>241</v>
      </c>
      <c r="C1978" s="10" t="s">
        <v>1678</v>
      </c>
      <c r="D1978" s="10" t="s">
        <v>1679</v>
      </c>
      <c r="E1978" s="10" t="s">
        <v>1682</v>
      </c>
      <c r="F1978" t="s">
        <v>738</v>
      </c>
      <c r="G1978" s="4">
        <v>24069</v>
      </c>
      <c r="H1978" s="4"/>
      <c r="I1978" s="4"/>
      <c r="J1978" s="4">
        <f>SUM(G1978:I1978)</f>
        <v>24069</v>
      </c>
      <c r="K1978" t="s">
        <v>1659</v>
      </c>
      <c r="L1978" t="s">
        <v>1659</v>
      </c>
      <c r="M1978" t="s">
        <v>1301</v>
      </c>
      <c r="N1978" t="s">
        <v>1132</v>
      </c>
      <c r="O1978" t="s">
        <v>1132</v>
      </c>
      <c r="P1978" t="str">
        <f>IFERROR(VLOOKUP(F1978,Sheet1!$A$2:$B$54,2,FALSE),"")</f>
        <v/>
      </c>
    </row>
    <row r="1979" spans="1:16" x14ac:dyDescent="0.2">
      <c r="A1979" s="1">
        <v>2018</v>
      </c>
      <c r="B1979" t="s">
        <v>241</v>
      </c>
      <c r="C1979" s="10" t="s">
        <v>1678</v>
      </c>
      <c r="D1979" s="10" t="s">
        <v>1679</v>
      </c>
      <c r="E1979" s="10" t="s">
        <v>1682</v>
      </c>
      <c r="F1979" t="s">
        <v>738</v>
      </c>
      <c r="G1979" s="4">
        <v>30803</v>
      </c>
      <c r="H1979" s="4"/>
      <c r="I1979" s="4"/>
      <c r="J1979" s="4">
        <f>SUM(G1979:I1979)</f>
        <v>30803</v>
      </c>
      <c r="K1979" t="s">
        <v>1659</v>
      </c>
      <c r="L1979" t="s">
        <v>1659</v>
      </c>
      <c r="M1979" t="s">
        <v>1301</v>
      </c>
      <c r="N1979" t="s">
        <v>1132</v>
      </c>
      <c r="O1979" t="s">
        <v>1132</v>
      </c>
      <c r="P1979" t="str">
        <f>IFERROR(VLOOKUP(F1979,Sheet1!$A$2:$B$54,2,FALSE),"")</f>
        <v/>
      </c>
    </row>
    <row r="1980" spans="1:16" x14ac:dyDescent="0.2">
      <c r="A1980" s="1">
        <v>2019</v>
      </c>
      <c r="B1980" t="s">
        <v>241</v>
      </c>
      <c r="C1980" s="10" t="s">
        <v>1678</v>
      </c>
      <c r="D1980" s="10" t="s">
        <v>1679</v>
      </c>
      <c r="E1980" s="10" t="s">
        <v>1682</v>
      </c>
      <c r="F1980" t="s">
        <v>738</v>
      </c>
      <c r="G1980" s="4">
        <v>38342</v>
      </c>
      <c r="H1980" s="4"/>
      <c r="I1980" s="4"/>
      <c r="J1980" s="4">
        <f>SUM(G1980:I1980)</f>
        <v>38342</v>
      </c>
      <c r="K1980" t="s">
        <v>1659</v>
      </c>
      <c r="L1980" t="s">
        <v>1659</v>
      </c>
      <c r="M1980" t="s">
        <v>1300</v>
      </c>
      <c r="N1980" t="s">
        <v>1132</v>
      </c>
      <c r="O1980" t="s">
        <v>1132</v>
      </c>
      <c r="P1980" t="str">
        <f>IFERROR(VLOOKUP(F1980,Sheet1!$A$2:$B$54,2,FALSE),"")</f>
        <v/>
      </c>
    </row>
    <row r="1981" spans="1:16" x14ac:dyDescent="0.2">
      <c r="A1981" s="1">
        <v>2020</v>
      </c>
      <c r="B1981" t="s">
        <v>241</v>
      </c>
      <c r="C1981" s="10" t="s">
        <v>1678</v>
      </c>
      <c r="D1981" s="10" t="s">
        <v>1679</v>
      </c>
      <c r="E1981" s="10" t="s">
        <v>1682</v>
      </c>
      <c r="F1981" t="s">
        <v>738</v>
      </c>
      <c r="G1981" s="4">
        <v>46227</v>
      </c>
      <c r="H1981" s="4"/>
      <c r="I1981" s="4"/>
      <c r="J1981" s="4">
        <f>SUM(G1981:I1981)</f>
        <v>46227</v>
      </c>
      <c r="K1981" t="s">
        <v>1659</v>
      </c>
      <c r="L1981" t="s">
        <v>1659</v>
      </c>
      <c r="M1981" t="s">
        <v>1301</v>
      </c>
      <c r="N1981" t="s">
        <v>1132</v>
      </c>
      <c r="O1981" t="s">
        <v>1132</v>
      </c>
      <c r="P1981" t="str">
        <f>IFERROR(VLOOKUP(F1981,Sheet1!$A$2:$B$54,2,FALSE),"")</f>
        <v/>
      </c>
    </row>
    <row r="1982" spans="1:16" x14ac:dyDescent="0.2">
      <c r="A1982" s="1">
        <v>2021</v>
      </c>
      <c r="B1982" t="s">
        <v>241</v>
      </c>
      <c r="C1982" s="10" t="s">
        <v>1678</v>
      </c>
      <c r="D1982" s="10" t="s">
        <v>1679</v>
      </c>
      <c r="E1982" s="10" t="s">
        <v>1682</v>
      </c>
      <c r="F1982" t="s">
        <v>738</v>
      </c>
      <c r="G1982" s="4">
        <v>59113</v>
      </c>
      <c r="H1982" s="4"/>
      <c r="I1982" s="4"/>
      <c r="J1982" s="4">
        <f>SUM(G1982:I1982)</f>
        <v>59113</v>
      </c>
      <c r="K1982" t="s">
        <v>1659</v>
      </c>
      <c r="L1982" t="s">
        <v>1659</v>
      </c>
      <c r="M1982" t="s">
        <v>738</v>
      </c>
      <c r="N1982" t="s">
        <v>1132</v>
      </c>
      <c r="O1982" t="s">
        <v>1132</v>
      </c>
      <c r="P1982" t="str">
        <f>IFERROR(VLOOKUP(F1982,Sheet1!$A$2:$B$54,2,FALSE),"")</f>
        <v/>
      </c>
    </row>
    <row r="1983" spans="1:16" x14ac:dyDescent="0.2">
      <c r="A1983" s="1">
        <v>2022</v>
      </c>
      <c r="B1983" t="s">
        <v>241</v>
      </c>
      <c r="C1983" s="10" t="s">
        <v>1678</v>
      </c>
      <c r="D1983" s="10" t="s">
        <v>1679</v>
      </c>
      <c r="E1983" s="10" t="s">
        <v>1682</v>
      </c>
      <c r="F1983" t="s">
        <v>738</v>
      </c>
      <c r="G1983" s="4">
        <v>77994</v>
      </c>
      <c r="H1983" s="4"/>
      <c r="I1983" s="4"/>
      <c r="J1983" s="4">
        <f>SUM(G1983:I1983)</f>
        <v>77994</v>
      </c>
      <c r="K1983" t="s">
        <v>1659</v>
      </c>
      <c r="L1983" t="s">
        <v>1659</v>
      </c>
      <c r="M1983" t="s">
        <v>738</v>
      </c>
      <c r="N1983" t="s">
        <v>1132</v>
      </c>
      <c r="O1983" t="s">
        <v>1132</v>
      </c>
      <c r="P1983" t="str">
        <f>IFERROR(VLOOKUP(F1983,Sheet1!$A$2:$B$54,2,FALSE),"")</f>
        <v/>
      </c>
    </row>
    <row r="1984" spans="1:16" x14ac:dyDescent="0.2">
      <c r="A1984" s="1">
        <v>2023</v>
      </c>
      <c r="B1984" t="s">
        <v>241</v>
      </c>
      <c r="C1984" s="10" t="s">
        <v>1678</v>
      </c>
      <c r="D1984" s="10" t="s">
        <v>1679</v>
      </c>
      <c r="E1984" s="10" t="s">
        <v>1682</v>
      </c>
      <c r="F1984" t="s">
        <v>738</v>
      </c>
      <c r="G1984" s="4">
        <v>103140</v>
      </c>
      <c r="H1984" s="4"/>
      <c r="I1984" s="4"/>
      <c r="J1984" s="4">
        <f>SUM(G1984:I1984)</f>
        <v>103140</v>
      </c>
      <c r="K1984" t="s">
        <v>1659</v>
      </c>
      <c r="L1984" t="s">
        <v>1659</v>
      </c>
      <c r="M1984" t="s">
        <v>738</v>
      </c>
      <c r="N1984" t="s">
        <v>1132</v>
      </c>
      <c r="O1984" t="s">
        <v>1132</v>
      </c>
      <c r="P1984" t="str">
        <f>IFERROR(VLOOKUP(F1984,Sheet1!$A$2:$B$54,2,FALSE),"")</f>
        <v/>
      </c>
    </row>
    <row r="1985" spans="1:16" x14ac:dyDescent="0.2">
      <c r="A1985" s="1">
        <v>2018</v>
      </c>
      <c r="B1985" t="s">
        <v>242</v>
      </c>
      <c r="C1985" s="10" t="s">
        <v>1678</v>
      </c>
      <c r="D1985" s="10" t="s">
        <v>1679</v>
      </c>
      <c r="E1985" s="10" t="s">
        <v>1682</v>
      </c>
      <c r="F1985" t="s">
        <v>739</v>
      </c>
      <c r="G1985" s="4">
        <v>387</v>
      </c>
      <c r="H1985" s="4"/>
      <c r="I1985" s="4"/>
      <c r="J1985" s="4">
        <f>SUM(G1985:I1985)</f>
        <v>387</v>
      </c>
      <c r="K1985" t="s">
        <v>1659</v>
      </c>
      <c r="L1985" t="s">
        <v>1659</v>
      </c>
      <c r="M1985" t="s">
        <v>1302</v>
      </c>
      <c r="N1985" t="s">
        <v>1132</v>
      </c>
      <c r="O1985" t="s">
        <v>1132</v>
      </c>
      <c r="P1985" t="str">
        <f>IFERROR(VLOOKUP(F1985,Sheet1!$A$2:$B$54,2,FALSE),"")</f>
        <v/>
      </c>
    </row>
    <row r="1986" spans="1:16" x14ac:dyDescent="0.2">
      <c r="A1986" s="1">
        <v>2019</v>
      </c>
      <c r="B1986" t="s">
        <v>242</v>
      </c>
      <c r="C1986" s="10" t="s">
        <v>1678</v>
      </c>
      <c r="D1986" s="10" t="s">
        <v>1679</v>
      </c>
      <c r="E1986" s="10" t="s">
        <v>1682</v>
      </c>
      <c r="F1986" t="s">
        <v>739</v>
      </c>
      <c r="G1986" s="4">
        <v>0</v>
      </c>
      <c r="H1986" s="4"/>
      <c r="I1986" s="4"/>
      <c r="J1986" s="4">
        <f>SUM(G1986:I1986)</f>
        <v>0</v>
      </c>
      <c r="K1986" t="s">
        <v>1659</v>
      </c>
      <c r="L1986" t="s">
        <v>1659</v>
      </c>
      <c r="M1986" t="s">
        <v>1302</v>
      </c>
      <c r="N1986" t="s">
        <v>1132</v>
      </c>
      <c r="O1986" t="s">
        <v>1132</v>
      </c>
      <c r="P1986" t="str">
        <f>IFERROR(VLOOKUP(F1986,Sheet1!$A$2:$B$54,2,FALSE),"")</f>
        <v/>
      </c>
    </row>
    <row r="1987" spans="1:16" x14ac:dyDescent="0.2">
      <c r="A1987" s="1">
        <v>2020</v>
      </c>
      <c r="B1987" t="s">
        <v>242</v>
      </c>
      <c r="C1987" s="10" t="s">
        <v>1678</v>
      </c>
      <c r="D1987" s="10" t="s">
        <v>1679</v>
      </c>
      <c r="E1987" s="10" t="s">
        <v>1682</v>
      </c>
      <c r="F1987" t="s">
        <v>739</v>
      </c>
      <c r="G1987" s="4">
        <v>0</v>
      </c>
      <c r="H1987" s="4"/>
      <c r="I1987" s="4"/>
      <c r="J1987" s="4">
        <f>SUM(G1987:I1987)</f>
        <v>0</v>
      </c>
      <c r="K1987" t="s">
        <v>1659</v>
      </c>
      <c r="L1987" t="s">
        <v>1659</v>
      </c>
      <c r="M1987" t="s">
        <v>1302</v>
      </c>
      <c r="N1987" t="s">
        <v>1132</v>
      </c>
      <c r="O1987" t="s">
        <v>1132</v>
      </c>
      <c r="P1987" t="str">
        <f>IFERROR(VLOOKUP(F1987,Sheet1!$A$2:$B$54,2,FALSE),"")</f>
        <v/>
      </c>
    </row>
    <row r="1988" spans="1:16" x14ac:dyDescent="0.2">
      <c r="A1988" s="1">
        <v>2021</v>
      </c>
      <c r="B1988" t="s">
        <v>242</v>
      </c>
      <c r="C1988" s="10" t="s">
        <v>1678</v>
      </c>
      <c r="D1988" s="10" t="s">
        <v>1679</v>
      </c>
      <c r="E1988" s="10" t="s">
        <v>1682</v>
      </c>
      <c r="F1988" t="s">
        <v>739</v>
      </c>
      <c r="G1988" s="4">
        <v>0</v>
      </c>
      <c r="H1988" s="4"/>
      <c r="I1988" s="4"/>
      <c r="J1988" s="4">
        <f>SUM(G1988:I1988)</f>
        <v>0</v>
      </c>
      <c r="K1988" t="s">
        <v>1659</v>
      </c>
      <c r="L1988" t="s">
        <v>1659</v>
      </c>
      <c r="M1988" t="s">
        <v>739</v>
      </c>
      <c r="N1988" t="s">
        <v>1132</v>
      </c>
      <c r="O1988" t="s">
        <v>1132</v>
      </c>
      <c r="P1988" t="str">
        <f>IFERROR(VLOOKUP(F1988,Sheet1!$A$2:$B$54,2,FALSE),"")</f>
        <v/>
      </c>
    </row>
    <row r="1989" spans="1:16" x14ac:dyDescent="0.2">
      <c r="A1989" s="1">
        <v>2022</v>
      </c>
      <c r="B1989" t="s">
        <v>242</v>
      </c>
      <c r="C1989" s="10" t="s">
        <v>1678</v>
      </c>
      <c r="D1989" s="10" t="s">
        <v>1679</v>
      </c>
      <c r="E1989" s="10" t="s">
        <v>1682</v>
      </c>
      <c r="F1989" t="s">
        <v>739</v>
      </c>
      <c r="G1989" s="4">
        <v>1954</v>
      </c>
      <c r="H1989" s="4"/>
      <c r="I1989" s="4"/>
      <c r="J1989" s="4">
        <f>SUM(G1989:I1989)</f>
        <v>1954</v>
      </c>
      <c r="K1989" t="s">
        <v>1659</v>
      </c>
      <c r="L1989" t="s">
        <v>1659</v>
      </c>
      <c r="M1989" t="s">
        <v>739</v>
      </c>
      <c r="N1989" t="s">
        <v>1132</v>
      </c>
      <c r="O1989" t="s">
        <v>1132</v>
      </c>
      <c r="P1989" t="str">
        <f>IFERROR(VLOOKUP(F1989,Sheet1!$A$2:$B$54,2,FALSE),"")</f>
        <v/>
      </c>
    </row>
    <row r="1990" spans="1:16" x14ac:dyDescent="0.2">
      <c r="A1990" s="1">
        <v>2023</v>
      </c>
      <c r="B1990" t="s">
        <v>242</v>
      </c>
      <c r="C1990" s="10" t="s">
        <v>1678</v>
      </c>
      <c r="D1990" s="10" t="s">
        <v>1679</v>
      </c>
      <c r="E1990" s="10" t="s">
        <v>1682</v>
      </c>
      <c r="F1990" t="s">
        <v>739</v>
      </c>
      <c r="G1990" s="4">
        <v>2848</v>
      </c>
      <c r="H1990" s="4"/>
      <c r="I1990" s="4"/>
      <c r="J1990" s="4">
        <f>SUM(G1990:I1990)</f>
        <v>2848</v>
      </c>
      <c r="K1990" t="s">
        <v>1659</v>
      </c>
      <c r="L1990" t="s">
        <v>1659</v>
      </c>
      <c r="M1990" t="s">
        <v>739</v>
      </c>
      <c r="N1990" t="s">
        <v>1132</v>
      </c>
      <c r="O1990" t="s">
        <v>1132</v>
      </c>
      <c r="P1990" t="str">
        <f>IFERROR(VLOOKUP(F1990,Sheet1!$A$2:$B$54,2,FALSE),"")</f>
        <v/>
      </c>
    </row>
    <row r="1991" spans="1:16" x14ac:dyDescent="0.2">
      <c r="A1991" s="1">
        <v>2016</v>
      </c>
      <c r="B1991" t="s">
        <v>243</v>
      </c>
      <c r="C1991" s="10" t="s">
        <v>1678</v>
      </c>
      <c r="D1991" s="10" t="s">
        <v>1679</v>
      </c>
      <c r="E1991" s="10" t="s">
        <v>1682</v>
      </c>
      <c r="F1991" t="s">
        <v>740</v>
      </c>
      <c r="G1991" s="4">
        <v>4482</v>
      </c>
      <c r="H1991" s="4"/>
      <c r="I1991" s="4"/>
      <c r="J1991" s="4">
        <f>SUM(G1991:I1991)</f>
        <v>4482</v>
      </c>
      <c r="K1991" t="s">
        <v>1659</v>
      </c>
      <c r="L1991" t="s">
        <v>1659</v>
      </c>
      <c r="M1991" t="s">
        <v>1303</v>
      </c>
      <c r="N1991" t="s">
        <v>1132</v>
      </c>
      <c r="O1991" t="s">
        <v>1132</v>
      </c>
      <c r="P1991" t="str">
        <f>IFERROR(VLOOKUP(F1991,Sheet1!$A$2:$B$54,2,FALSE),"")</f>
        <v/>
      </c>
    </row>
    <row r="1992" spans="1:16" x14ac:dyDescent="0.2">
      <c r="A1992" s="1">
        <v>2017</v>
      </c>
      <c r="B1992" t="s">
        <v>243</v>
      </c>
      <c r="C1992" s="10" t="s">
        <v>1678</v>
      </c>
      <c r="D1992" s="10" t="s">
        <v>1679</v>
      </c>
      <c r="E1992" s="10" t="s">
        <v>1682</v>
      </c>
      <c r="F1992" t="s">
        <v>740</v>
      </c>
      <c r="G1992" s="4">
        <v>4495</v>
      </c>
      <c r="H1992" s="4"/>
      <c r="I1992" s="4"/>
      <c r="J1992" s="4">
        <f>SUM(G1992:I1992)</f>
        <v>4495</v>
      </c>
      <c r="K1992" t="s">
        <v>1659</v>
      </c>
      <c r="L1992" t="s">
        <v>1659</v>
      </c>
      <c r="M1992" t="s">
        <v>1304</v>
      </c>
      <c r="N1992" t="s">
        <v>1132</v>
      </c>
      <c r="O1992" t="s">
        <v>1132</v>
      </c>
      <c r="P1992" t="str">
        <f>IFERROR(VLOOKUP(F1992,Sheet1!$A$2:$B$54,2,FALSE),"")</f>
        <v/>
      </c>
    </row>
    <row r="1993" spans="1:16" x14ac:dyDescent="0.2">
      <c r="A1993" s="1">
        <v>2018</v>
      </c>
      <c r="B1993" t="s">
        <v>243</v>
      </c>
      <c r="C1993" s="10" t="s">
        <v>1678</v>
      </c>
      <c r="D1993" s="10" t="s">
        <v>1679</v>
      </c>
      <c r="E1993" s="10" t="s">
        <v>1682</v>
      </c>
      <c r="F1993" t="s">
        <v>740</v>
      </c>
      <c r="G1993" s="4">
        <v>7945</v>
      </c>
      <c r="H1993" s="4"/>
      <c r="I1993" s="4"/>
      <c r="J1993" s="4">
        <f>SUM(G1993:I1993)</f>
        <v>7945</v>
      </c>
      <c r="K1993" t="s">
        <v>1659</v>
      </c>
      <c r="L1993" t="s">
        <v>1659</v>
      </c>
      <c r="M1993" t="s">
        <v>1304</v>
      </c>
      <c r="N1993" t="s">
        <v>1132</v>
      </c>
      <c r="O1993" t="s">
        <v>1132</v>
      </c>
      <c r="P1993" t="str">
        <f>IFERROR(VLOOKUP(F1993,Sheet1!$A$2:$B$54,2,FALSE),"")</f>
        <v/>
      </c>
    </row>
    <row r="1994" spans="1:16" x14ac:dyDescent="0.2">
      <c r="A1994" s="1">
        <v>2019</v>
      </c>
      <c r="B1994" t="s">
        <v>243</v>
      </c>
      <c r="C1994" s="10" t="s">
        <v>1678</v>
      </c>
      <c r="D1994" s="10" t="s">
        <v>1679</v>
      </c>
      <c r="E1994" s="10" t="s">
        <v>1682</v>
      </c>
      <c r="F1994" t="s">
        <v>740</v>
      </c>
      <c r="G1994" s="4">
        <v>7772</v>
      </c>
      <c r="H1994" s="4"/>
      <c r="I1994" s="4"/>
      <c r="J1994" s="4">
        <f>SUM(G1994:I1994)</f>
        <v>7772</v>
      </c>
      <c r="K1994" t="s">
        <v>1659</v>
      </c>
      <c r="L1994" t="s">
        <v>1659</v>
      </c>
      <c r="M1994" t="s">
        <v>1304</v>
      </c>
      <c r="N1994" t="s">
        <v>1132</v>
      </c>
      <c r="O1994" t="s">
        <v>1132</v>
      </c>
      <c r="P1994" t="str">
        <f>IFERROR(VLOOKUP(F1994,Sheet1!$A$2:$B$54,2,FALSE),"")</f>
        <v/>
      </c>
    </row>
    <row r="1995" spans="1:16" x14ac:dyDescent="0.2">
      <c r="A1995" s="1">
        <v>2020</v>
      </c>
      <c r="B1995" t="s">
        <v>243</v>
      </c>
      <c r="C1995" s="10" t="s">
        <v>1678</v>
      </c>
      <c r="D1995" s="10" t="s">
        <v>1679</v>
      </c>
      <c r="E1995" s="10" t="s">
        <v>1682</v>
      </c>
      <c r="F1995" t="s">
        <v>740</v>
      </c>
      <c r="G1995" s="4">
        <v>9833</v>
      </c>
      <c r="H1995" s="4"/>
      <c r="I1995" s="4"/>
      <c r="J1995" s="4">
        <f>SUM(G1995:I1995)</f>
        <v>9833</v>
      </c>
      <c r="K1995" t="s">
        <v>1659</v>
      </c>
      <c r="L1995" t="s">
        <v>1659</v>
      </c>
      <c r="M1995" t="s">
        <v>1304</v>
      </c>
      <c r="N1995" t="s">
        <v>1132</v>
      </c>
      <c r="O1995" t="s">
        <v>1132</v>
      </c>
      <c r="P1995" t="str">
        <f>IFERROR(VLOOKUP(F1995,Sheet1!$A$2:$B$54,2,FALSE),"")</f>
        <v/>
      </c>
    </row>
    <row r="1996" spans="1:16" x14ac:dyDescent="0.2">
      <c r="A1996" s="1">
        <v>2021</v>
      </c>
      <c r="B1996" t="s">
        <v>243</v>
      </c>
      <c r="C1996" s="10" t="s">
        <v>1678</v>
      </c>
      <c r="D1996" s="10" t="s">
        <v>1679</v>
      </c>
      <c r="E1996" s="10" t="s">
        <v>1682</v>
      </c>
      <c r="F1996" t="s">
        <v>740</v>
      </c>
      <c r="G1996" s="4">
        <v>10668</v>
      </c>
      <c r="H1996" s="4"/>
      <c r="I1996" s="4"/>
      <c r="J1996" s="4">
        <f>SUM(G1996:I1996)</f>
        <v>10668</v>
      </c>
      <c r="K1996" t="s">
        <v>1659</v>
      </c>
      <c r="L1996" t="s">
        <v>1659</v>
      </c>
      <c r="M1996" t="s">
        <v>740</v>
      </c>
      <c r="N1996" t="s">
        <v>1132</v>
      </c>
      <c r="O1996" t="s">
        <v>1132</v>
      </c>
      <c r="P1996" t="str">
        <f>IFERROR(VLOOKUP(F1996,Sheet1!$A$2:$B$54,2,FALSE),"")</f>
        <v/>
      </c>
    </row>
    <row r="1997" spans="1:16" x14ac:dyDescent="0.2">
      <c r="A1997" s="1">
        <v>2022</v>
      </c>
      <c r="B1997" t="s">
        <v>243</v>
      </c>
      <c r="C1997" s="10" t="s">
        <v>1678</v>
      </c>
      <c r="D1997" s="10" t="s">
        <v>1679</v>
      </c>
      <c r="E1997" s="10" t="s">
        <v>1682</v>
      </c>
      <c r="F1997" t="s">
        <v>740</v>
      </c>
      <c r="G1997" s="4">
        <v>12014</v>
      </c>
      <c r="H1997" s="4"/>
      <c r="I1997" s="4"/>
      <c r="J1997" s="4">
        <f>SUM(G1997:I1997)</f>
        <v>12014</v>
      </c>
      <c r="K1997" t="s">
        <v>1659</v>
      </c>
      <c r="L1997" t="s">
        <v>1659</v>
      </c>
      <c r="M1997" t="s">
        <v>740</v>
      </c>
      <c r="N1997" t="s">
        <v>1132</v>
      </c>
      <c r="O1997" t="s">
        <v>1132</v>
      </c>
      <c r="P1997" t="str">
        <f>IFERROR(VLOOKUP(F1997,Sheet1!$A$2:$B$54,2,FALSE),"")</f>
        <v/>
      </c>
    </row>
    <row r="1998" spans="1:16" x14ac:dyDescent="0.2">
      <c r="A1998" s="1">
        <v>2023</v>
      </c>
      <c r="B1998" t="s">
        <v>243</v>
      </c>
      <c r="C1998" s="10" t="s">
        <v>1678</v>
      </c>
      <c r="D1998" s="10" t="s">
        <v>1679</v>
      </c>
      <c r="E1998" s="10" t="s">
        <v>1682</v>
      </c>
      <c r="F1998" t="s">
        <v>740</v>
      </c>
      <c r="G1998" s="4">
        <v>13340</v>
      </c>
      <c r="H1998" s="4"/>
      <c r="I1998" s="4"/>
      <c r="J1998" s="4">
        <f>SUM(G1998:I1998)</f>
        <v>13340</v>
      </c>
      <c r="K1998" t="s">
        <v>1659</v>
      </c>
      <c r="L1998" t="s">
        <v>1659</v>
      </c>
      <c r="M1998" t="s">
        <v>740</v>
      </c>
      <c r="N1998" t="s">
        <v>1132</v>
      </c>
      <c r="O1998" t="s">
        <v>1132</v>
      </c>
      <c r="P1998" t="str">
        <f>IFERROR(VLOOKUP(F1998,Sheet1!$A$2:$B$54,2,FALSE),"")</f>
        <v/>
      </c>
    </row>
    <row r="1999" spans="1:16" x14ac:dyDescent="0.2">
      <c r="A1999" s="1">
        <v>2015</v>
      </c>
      <c r="B1999" t="s">
        <v>244</v>
      </c>
      <c r="C1999" s="10" t="s">
        <v>1678</v>
      </c>
      <c r="D1999" s="10" t="s">
        <v>1679</v>
      </c>
      <c r="E1999" s="10" t="s">
        <v>1682</v>
      </c>
      <c r="F1999" t="s">
        <v>741</v>
      </c>
      <c r="G1999" s="4">
        <v>432</v>
      </c>
      <c r="H1999" s="4"/>
      <c r="I1999" s="4"/>
      <c r="J1999" s="4">
        <f>SUM(G1999:I1999)</f>
        <v>432</v>
      </c>
      <c r="K1999" t="s">
        <v>1659</v>
      </c>
      <c r="L1999" t="s">
        <v>1659</v>
      </c>
      <c r="M1999" t="s">
        <v>1305</v>
      </c>
      <c r="N1999" t="s">
        <v>1132</v>
      </c>
      <c r="O1999" t="s">
        <v>1132</v>
      </c>
      <c r="P1999" t="str">
        <f>IFERROR(VLOOKUP(F1999,Sheet1!$A$2:$B$54,2,FALSE),"")</f>
        <v/>
      </c>
    </row>
    <row r="2000" spans="1:16" x14ac:dyDescent="0.2">
      <c r="A2000" s="1">
        <v>2016</v>
      </c>
      <c r="B2000" t="s">
        <v>244</v>
      </c>
      <c r="C2000" s="10" t="s">
        <v>1678</v>
      </c>
      <c r="D2000" s="10" t="s">
        <v>1679</v>
      </c>
      <c r="E2000" s="10" t="s">
        <v>1682</v>
      </c>
      <c r="F2000" t="s">
        <v>741</v>
      </c>
      <c r="G2000" s="4">
        <v>5539</v>
      </c>
      <c r="H2000" s="4"/>
      <c r="I2000" s="4"/>
      <c r="J2000" s="4">
        <f>SUM(G2000:I2000)</f>
        <v>5539</v>
      </c>
      <c r="K2000" t="s">
        <v>1659</v>
      </c>
      <c r="L2000" t="s">
        <v>1659</v>
      </c>
      <c r="M2000" t="s">
        <v>1305</v>
      </c>
      <c r="N2000" t="s">
        <v>1132</v>
      </c>
      <c r="O2000" t="s">
        <v>1132</v>
      </c>
      <c r="P2000" t="str">
        <f>IFERROR(VLOOKUP(F2000,Sheet1!$A$2:$B$54,2,FALSE),"")</f>
        <v/>
      </c>
    </row>
    <row r="2001" spans="1:16" x14ac:dyDescent="0.2">
      <c r="A2001" s="1">
        <v>2017</v>
      </c>
      <c r="B2001" t="s">
        <v>244</v>
      </c>
      <c r="C2001" s="10" t="s">
        <v>1678</v>
      </c>
      <c r="D2001" s="10" t="s">
        <v>1679</v>
      </c>
      <c r="E2001" s="10" t="s">
        <v>1682</v>
      </c>
      <c r="F2001" t="s">
        <v>741</v>
      </c>
      <c r="G2001" s="4">
        <v>5069</v>
      </c>
      <c r="H2001" s="4"/>
      <c r="I2001" s="4"/>
      <c r="J2001" s="4">
        <f>SUM(G2001:I2001)</f>
        <v>5069</v>
      </c>
      <c r="K2001" t="s">
        <v>1659</v>
      </c>
      <c r="L2001" t="s">
        <v>1659</v>
      </c>
      <c r="M2001" t="s">
        <v>1306</v>
      </c>
      <c r="N2001" t="s">
        <v>1132</v>
      </c>
      <c r="O2001" t="s">
        <v>1132</v>
      </c>
      <c r="P2001" t="str">
        <f>IFERROR(VLOOKUP(F2001,Sheet1!$A$2:$B$54,2,FALSE),"")</f>
        <v/>
      </c>
    </row>
    <row r="2002" spans="1:16" x14ac:dyDescent="0.2">
      <c r="A2002" s="1">
        <v>2018</v>
      </c>
      <c r="B2002" t="s">
        <v>244</v>
      </c>
      <c r="C2002" s="10" t="s">
        <v>1678</v>
      </c>
      <c r="D2002" s="10" t="s">
        <v>1679</v>
      </c>
      <c r="E2002" s="10" t="s">
        <v>1682</v>
      </c>
      <c r="F2002" t="s">
        <v>741</v>
      </c>
      <c r="G2002" s="4">
        <v>0</v>
      </c>
      <c r="H2002" s="4"/>
      <c r="I2002" s="4"/>
      <c r="J2002" s="4">
        <f>SUM(G2002:I2002)</f>
        <v>0</v>
      </c>
      <c r="K2002" t="s">
        <v>1659</v>
      </c>
      <c r="L2002" t="s">
        <v>1659</v>
      </c>
      <c r="M2002" t="s">
        <v>1307</v>
      </c>
      <c r="N2002" t="s">
        <v>1132</v>
      </c>
      <c r="O2002" t="s">
        <v>1132</v>
      </c>
      <c r="P2002" t="str">
        <f>IFERROR(VLOOKUP(F2002,Sheet1!$A$2:$B$54,2,FALSE),"")</f>
        <v/>
      </c>
    </row>
    <row r="2003" spans="1:16" x14ac:dyDescent="0.2">
      <c r="A2003" s="1">
        <v>2019</v>
      </c>
      <c r="B2003" t="s">
        <v>244</v>
      </c>
      <c r="C2003" s="10" t="s">
        <v>1678</v>
      </c>
      <c r="D2003" s="10" t="s">
        <v>1679</v>
      </c>
      <c r="E2003" s="10" t="s">
        <v>1682</v>
      </c>
      <c r="F2003" t="s">
        <v>741</v>
      </c>
      <c r="G2003" s="4">
        <v>0</v>
      </c>
      <c r="H2003" s="4"/>
      <c r="I2003" s="4"/>
      <c r="J2003" s="4">
        <f>SUM(G2003:I2003)</f>
        <v>0</v>
      </c>
      <c r="K2003" t="s">
        <v>1659</v>
      </c>
      <c r="L2003" t="s">
        <v>1659</v>
      </c>
      <c r="M2003" t="s">
        <v>1307</v>
      </c>
      <c r="N2003" t="s">
        <v>1132</v>
      </c>
      <c r="O2003" t="s">
        <v>1132</v>
      </c>
      <c r="P2003" t="str">
        <f>IFERROR(VLOOKUP(F2003,Sheet1!$A$2:$B$54,2,FALSE),"")</f>
        <v/>
      </c>
    </row>
    <row r="2004" spans="1:16" x14ac:dyDescent="0.2">
      <c r="A2004" s="1">
        <v>2020</v>
      </c>
      <c r="B2004" t="s">
        <v>244</v>
      </c>
      <c r="C2004" s="10" t="s">
        <v>1678</v>
      </c>
      <c r="D2004" s="10" t="s">
        <v>1679</v>
      </c>
      <c r="E2004" s="10" t="s">
        <v>1682</v>
      </c>
      <c r="F2004" t="s">
        <v>741</v>
      </c>
      <c r="G2004" s="4">
        <v>0</v>
      </c>
      <c r="H2004" s="4"/>
      <c r="I2004" s="4"/>
      <c r="J2004" s="4">
        <f>SUM(G2004:I2004)</f>
        <v>0</v>
      </c>
      <c r="K2004" t="s">
        <v>1659</v>
      </c>
      <c r="L2004" t="s">
        <v>1659</v>
      </c>
      <c r="M2004" t="s">
        <v>1306</v>
      </c>
      <c r="N2004" t="s">
        <v>1132</v>
      </c>
      <c r="O2004" t="s">
        <v>1132</v>
      </c>
      <c r="P2004" t="str">
        <f>IFERROR(VLOOKUP(F2004,Sheet1!$A$2:$B$54,2,FALSE),"")</f>
        <v/>
      </c>
    </row>
    <row r="2005" spans="1:16" x14ac:dyDescent="0.2">
      <c r="A2005" s="1">
        <v>2021</v>
      </c>
      <c r="B2005" t="s">
        <v>244</v>
      </c>
      <c r="C2005" s="10" t="s">
        <v>1678</v>
      </c>
      <c r="D2005" s="10" t="s">
        <v>1679</v>
      </c>
      <c r="E2005" s="10" t="s">
        <v>1682</v>
      </c>
      <c r="F2005" t="s">
        <v>741</v>
      </c>
      <c r="G2005" s="4">
        <v>1101</v>
      </c>
      <c r="H2005" s="4"/>
      <c r="I2005" s="4"/>
      <c r="J2005" s="4">
        <f>SUM(G2005:I2005)</f>
        <v>1101</v>
      </c>
      <c r="K2005" t="s">
        <v>1659</v>
      </c>
      <c r="L2005" t="s">
        <v>1659</v>
      </c>
      <c r="M2005" t="s">
        <v>741</v>
      </c>
      <c r="N2005" t="s">
        <v>1132</v>
      </c>
      <c r="O2005" t="s">
        <v>1132</v>
      </c>
      <c r="P2005" t="str">
        <f>IFERROR(VLOOKUP(F2005,Sheet1!$A$2:$B$54,2,FALSE),"")</f>
        <v/>
      </c>
    </row>
    <row r="2006" spans="1:16" x14ac:dyDescent="0.2">
      <c r="A2006" s="1">
        <v>2022</v>
      </c>
      <c r="B2006" t="s">
        <v>244</v>
      </c>
      <c r="C2006" s="10" t="s">
        <v>1678</v>
      </c>
      <c r="D2006" s="10" t="s">
        <v>1679</v>
      </c>
      <c r="E2006" s="10" t="s">
        <v>1682</v>
      </c>
      <c r="F2006" t="s">
        <v>741</v>
      </c>
      <c r="G2006" s="4">
        <v>3820</v>
      </c>
      <c r="H2006" s="4"/>
      <c r="I2006" s="4"/>
      <c r="J2006" s="4">
        <f>SUM(G2006:I2006)</f>
        <v>3820</v>
      </c>
      <c r="K2006" t="s">
        <v>1659</v>
      </c>
      <c r="L2006" t="s">
        <v>1659</v>
      </c>
      <c r="M2006" t="s">
        <v>741</v>
      </c>
      <c r="N2006" t="s">
        <v>1132</v>
      </c>
      <c r="O2006" t="s">
        <v>1132</v>
      </c>
      <c r="P2006" t="str">
        <f>IFERROR(VLOOKUP(F2006,Sheet1!$A$2:$B$54,2,FALSE),"")</f>
        <v/>
      </c>
    </row>
    <row r="2007" spans="1:16" x14ac:dyDescent="0.2">
      <c r="A2007" s="1">
        <v>2023</v>
      </c>
      <c r="B2007" t="s">
        <v>244</v>
      </c>
      <c r="C2007" s="10" t="s">
        <v>1678</v>
      </c>
      <c r="D2007" s="10" t="s">
        <v>1679</v>
      </c>
      <c r="E2007" s="10" t="s">
        <v>1682</v>
      </c>
      <c r="F2007" t="s">
        <v>741</v>
      </c>
      <c r="G2007" s="4">
        <v>9762</v>
      </c>
      <c r="H2007" s="4"/>
      <c r="I2007" s="4"/>
      <c r="J2007" s="4">
        <f>SUM(G2007:I2007)</f>
        <v>9762</v>
      </c>
      <c r="K2007" t="s">
        <v>1659</v>
      </c>
      <c r="L2007" t="s">
        <v>1659</v>
      </c>
      <c r="M2007" t="s">
        <v>741</v>
      </c>
      <c r="N2007" t="s">
        <v>1132</v>
      </c>
      <c r="O2007" t="s">
        <v>1132</v>
      </c>
      <c r="P2007" t="str">
        <f>IFERROR(VLOOKUP(F2007,Sheet1!$A$2:$B$54,2,FALSE),"")</f>
        <v/>
      </c>
    </row>
    <row r="2008" spans="1:16" x14ac:dyDescent="0.2">
      <c r="A2008" s="1">
        <v>2015</v>
      </c>
      <c r="B2008" t="s">
        <v>245</v>
      </c>
      <c r="C2008" s="10" t="s">
        <v>1678</v>
      </c>
      <c r="D2008" s="10" t="s">
        <v>1679</v>
      </c>
      <c r="E2008" s="10" t="s">
        <v>1682</v>
      </c>
      <c r="F2008" t="s">
        <v>742</v>
      </c>
      <c r="G2008" s="4">
        <v>12898</v>
      </c>
      <c r="H2008" s="4"/>
      <c r="I2008" s="4"/>
      <c r="J2008" s="4">
        <f>SUM(G2008:I2008)</f>
        <v>12898</v>
      </c>
      <c r="K2008" t="s">
        <v>1659</v>
      </c>
      <c r="L2008" t="s">
        <v>1659</v>
      </c>
      <c r="M2008" t="s">
        <v>1308</v>
      </c>
      <c r="N2008" t="s">
        <v>1132</v>
      </c>
      <c r="O2008" t="s">
        <v>1132</v>
      </c>
      <c r="P2008" t="str">
        <f>IFERROR(VLOOKUP(F2008,Sheet1!$A$2:$B$54,2,FALSE),"")</f>
        <v/>
      </c>
    </row>
    <row r="2009" spans="1:16" x14ac:dyDescent="0.2">
      <c r="A2009" s="1">
        <v>2016</v>
      </c>
      <c r="B2009" t="s">
        <v>245</v>
      </c>
      <c r="C2009" s="10" t="s">
        <v>1678</v>
      </c>
      <c r="D2009" s="10" t="s">
        <v>1679</v>
      </c>
      <c r="E2009" s="10" t="s">
        <v>1682</v>
      </c>
      <c r="F2009" t="s">
        <v>742</v>
      </c>
      <c r="G2009" s="4">
        <v>16129</v>
      </c>
      <c r="H2009" s="4"/>
      <c r="I2009" s="4"/>
      <c r="J2009" s="4">
        <f>SUM(G2009:I2009)</f>
        <v>16129</v>
      </c>
      <c r="K2009" t="s">
        <v>1659</v>
      </c>
      <c r="L2009" t="s">
        <v>1659</v>
      </c>
      <c r="M2009" t="s">
        <v>1308</v>
      </c>
      <c r="N2009" t="s">
        <v>1132</v>
      </c>
      <c r="O2009" t="s">
        <v>1132</v>
      </c>
      <c r="P2009" t="str">
        <f>IFERROR(VLOOKUP(F2009,Sheet1!$A$2:$B$54,2,FALSE),"")</f>
        <v/>
      </c>
    </row>
    <row r="2010" spans="1:16" x14ac:dyDescent="0.2">
      <c r="A2010" s="1">
        <v>2017</v>
      </c>
      <c r="B2010" t="s">
        <v>245</v>
      </c>
      <c r="C2010" s="10" t="s">
        <v>1678</v>
      </c>
      <c r="D2010" s="10" t="s">
        <v>1679</v>
      </c>
      <c r="E2010" s="10" t="s">
        <v>1682</v>
      </c>
      <c r="F2010" t="s">
        <v>742</v>
      </c>
      <c r="G2010" s="4">
        <v>26508</v>
      </c>
      <c r="H2010" s="4"/>
      <c r="I2010" s="4"/>
      <c r="J2010" s="4">
        <f>SUM(G2010:I2010)</f>
        <v>26508</v>
      </c>
      <c r="K2010" t="s">
        <v>1659</v>
      </c>
      <c r="L2010" t="s">
        <v>1659</v>
      </c>
      <c r="M2010" t="s">
        <v>1308</v>
      </c>
      <c r="N2010" t="s">
        <v>1132</v>
      </c>
      <c r="O2010" t="s">
        <v>1132</v>
      </c>
      <c r="P2010" t="str">
        <f>IFERROR(VLOOKUP(F2010,Sheet1!$A$2:$B$54,2,FALSE),"")</f>
        <v/>
      </c>
    </row>
    <row r="2011" spans="1:16" x14ac:dyDescent="0.2">
      <c r="A2011" s="1">
        <v>2018</v>
      </c>
      <c r="B2011" t="s">
        <v>245</v>
      </c>
      <c r="C2011" s="10" t="s">
        <v>1678</v>
      </c>
      <c r="D2011" s="10" t="s">
        <v>1679</v>
      </c>
      <c r="E2011" s="10" t="s">
        <v>1682</v>
      </c>
      <c r="F2011" t="s">
        <v>742</v>
      </c>
      <c r="G2011" s="4">
        <v>40143</v>
      </c>
      <c r="H2011" s="4"/>
      <c r="I2011" s="4"/>
      <c r="J2011" s="4">
        <f>SUM(G2011:I2011)</f>
        <v>40143</v>
      </c>
      <c r="K2011" t="s">
        <v>1659</v>
      </c>
      <c r="L2011" t="s">
        <v>1659</v>
      </c>
      <c r="M2011" t="s">
        <v>1308</v>
      </c>
      <c r="N2011" t="s">
        <v>1132</v>
      </c>
      <c r="O2011" t="s">
        <v>1132</v>
      </c>
      <c r="P2011" t="str">
        <f>IFERROR(VLOOKUP(F2011,Sheet1!$A$2:$B$54,2,FALSE),"")</f>
        <v/>
      </c>
    </row>
    <row r="2012" spans="1:16" x14ac:dyDescent="0.2">
      <c r="A2012" s="1">
        <v>2019</v>
      </c>
      <c r="B2012" t="s">
        <v>245</v>
      </c>
      <c r="C2012" s="10" t="s">
        <v>1678</v>
      </c>
      <c r="D2012" s="10" t="s">
        <v>1679</v>
      </c>
      <c r="E2012" s="10" t="s">
        <v>1682</v>
      </c>
      <c r="F2012" t="s">
        <v>742</v>
      </c>
      <c r="G2012" s="4">
        <v>57962</v>
      </c>
      <c r="H2012" s="4"/>
      <c r="I2012" s="4"/>
      <c r="J2012" s="4">
        <f>SUM(G2012:I2012)</f>
        <v>57962</v>
      </c>
      <c r="K2012" t="s">
        <v>1659</v>
      </c>
      <c r="L2012" t="s">
        <v>1659</v>
      </c>
      <c r="M2012" t="s">
        <v>1308</v>
      </c>
      <c r="N2012" t="s">
        <v>1132</v>
      </c>
      <c r="O2012" t="s">
        <v>1132</v>
      </c>
      <c r="P2012" t="str">
        <f>IFERROR(VLOOKUP(F2012,Sheet1!$A$2:$B$54,2,FALSE),"")</f>
        <v/>
      </c>
    </row>
    <row r="2013" spans="1:16" x14ac:dyDescent="0.2">
      <c r="A2013" s="1">
        <v>2020</v>
      </c>
      <c r="B2013" t="s">
        <v>245</v>
      </c>
      <c r="C2013" s="10" t="s">
        <v>1678</v>
      </c>
      <c r="D2013" s="10" t="s">
        <v>1679</v>
      </c>
      <c r="E2013" s="10" t="s">
        <v>1682</v>
      </c>
      <c r="F2013" t="s">
        <v>742</v>
      </c>
      <c r="G2013" s="4">
        <v>64702</v>
      </c>
      <c r="H2013" s="4"/>
      <c r="I2013" s="4"/>
      <c r="J2013" s="4">
        <f>SUM(G2013:I2013)</f>
        <v>64702</v>
      </c>
      <c r="K2013" t="s">
        <v>1659</v>
      </c>
      <c r="L2013" t="s">
        <v>1659</v>
      </c>
      <c r="M2013" t="s">
        <v>1308</v>
      </c>
      <c r="N2013" t="s">
        <v>1132</v>
      </c>
      <c r="O2013" t="s">
        <v>1132</v>
      </c>
      <c r="P2013" t="str">
        <f>IFERROR(VLOOKUP(F2013,Sheet1!$A$2:$B$54,2,FALSE),"")</f>
        <v/>
      </c>
    </row>
    <row r="2014" spans="1:16" x14ac:dyDescent="0.2">
      <c r="A2014" s="1">
        <v>2021</v>
      </c>
      <c r="B2014" t="s">
        <v>245</v>
      </c>
      <c r="C2014" s="10" t="s">
        <v>1678</v>
      </c>
      <c r="D2014" s="10" t="s">
        <v>1679</v>
      </c>
      <c r="E2014" s="10" t="s">
        <v>1682</v>
      </c>
      <c r="F2014" t="s">
        <v>742</v>
      </c>
      <c r="G2014" s="4">
        <v>80841</v>
      </c>
      <c r="H2014" s="4"/>
      <c r="I2014" s="4"/>
      <c r="J2014" s="4">
        <f>SUM(G2014:I2014)</f>
        <v>80841</v>
      </c>
      <c r="K2014" t="s">
        <v>1659</v>
      </c>
      <c r="L2014" t="s">
        <v>1659</v>
      </c>
      <c r="M2014" t="s">
        <v>742</v>
      </c>
      <c r="N2014" t="s">
        <v>1132</v>
      </c>
      <c r="O2014" t="s">
        <v>1132</v>
      </c>
      <c r="P2014" t="str">
        <f>IFERROR(VLOOKUP(F2014,Sheet1!$A$2:$B$54,2,FALSE),"")</f>
        <v/>
      </c>
    </row>
    <row r="2015" spans="1:16" x14ac:dyDescent="0.2">
      <c r="A2015" s="1">
        <v>2022</v>
      </c>
      <c r="B2015" t="s">
        <v>245</v>
      </c>
      <c r="C2015" s="10" t="s">
        <v>1678</v>
      </c>
      <c r="D2015" s="10" t="s">
        <v>1679</v>
      </c>
      <c r="E2015" s="10" t="s">
        <v>1682</v>
      </c>
      <c r="F2015" t="s">
        <v>742</v>
      </c>
      <c r="G2015" s="4">
        <v>95311</v>
      </c>
      <c r="H2015" s="4"/>
      <c r="I2015" s="4"/>
      <c r="J2015" s="4">
        <f>SUM(G2015:I2015)</f>
        <v>95311</v>
      </c>
      <c r="K2015" t="s">
        <v>1659</v>
      </c>
      <c r="L2015" t="s">
        <v>1659</v>
      </c>
      <c r="M2015" t="s">
        <v>742</v>
      </c>
      <c r="N2015" t="s">
        <v>1132</v>
      </c>
      <c r="O2015" t="s">
        <v>1132</v>
      </c>
      <c r="P2015" t="str">
        <f>IFERROR(VLOOKUP(F2015,Sheet1!$A$2:$B$54,2,FALSE),"")</f>
        <v/>
      </c>
    </row>
    <row r="2016" spans="1:16" x14ac:dyDescent="0.2">
      <c r="A2016" s="1">
        <v>2023</v>
      </c>
      <c r="B2016" t="s">
        <v>245</v>
      </c>
      <c r="C2016" s="10" t="s">
        <v>1678</v>
      </c>
      <c r="D2016" s="10" t="s">
        <v>1679</v>
      </c>
      <c r="E2016" s="10" t="s">
        <v>1682</v>
      </c>
      <c r="F2016" t="s">
        <v>742</v>
      </c>
      <c r="G2016" s="4">
        <v>103151</v>
      </c>
      <c r="H2016" s="4"/>
      <c r="I2016" s="4"/>
      <c r="J2016" s="4">
        <f>SUM(G2016:I2016)</f>
        <v>103151</v>
      </c>
      <c r="K2016" t="s">
        <v>1659</v>
      </c>
      <c r="L2016" t="s">
        <v>1659</v>
      </c>
      <c r="M2016" t="s">
        <v>742</v>
      </c>
      <c r="N2016" t="s">
        <v>1132</v>
      </c>
      <c r="O2016" t="s">
        <v>1132</v>
      </c>
      <c r="P2016" t="str">
        <f>IFERROR(VLOOKUP(F2016,Sheet1!$A$2:$B$54,2,FALSE),"")</f>
        <v/>
      </c>
    </row>
    <row r="2017" spans="1:16" x14ac:dyDescent="0.2">
      <c r="A2017" s="1">
        <v>2015</v>
      </c>
      <c r="B2017" t="s">
        <v>246</v>
      </c>
      <c r="C2017" s="10" t="s">
        <v>1678</v>
      </c>
      <c r="D2017" s="10" t="s">
        <v>1679</v>
      </c>
      <c r="E2017" s="10" t="s">
        <v>1682</v>
      </c>
      <c r="F2017" t="s">
        <v>743</v>
      </c>
      <c r="G2017" s="4">
        <v>26093</v>
      </c>
      <c r="H2017" s="4"/>
      <c r="I2017" s="4"/>
      <c r="J2017" s="4">
        <f>SUM(G2017:I2017)</f>
        <v>26093</v>
      </c>
      <c r="K2017" t="s">
        <v>1659</v>
      </c>
      <c r="L2017" t="s">
        <v>1659</v>
      </c>
      <c r="M2017" t="s">
        <v>1309</v>
      </c>
      <c r="N2017" t="s">
        <v>1132</v>
      </c>
      <c r="O2017" t="s">
        <v>1132</v>
      </c>
      <c r="P2017" t="str">
        <f>IFERROR(VLOOKUP(F2017,Sheet1!$A$2:$B$54,2,FALSE),"")</f>
        <v/>
      </c>
    </row>
    <row r="2018" spans="1:16" x14ac:dyDescent="0.2">
      <c r="A2018" s="1">
        <v>2016</v>
      </c>
      <c r="B2018" t="s">
        <v>246</v>
      </c>
      <c r="C2018" s="10" t="s">
        <v>1678</v>
      </c>
      <c r="D2018" s="10" t="s">
        <v>1679</v>
      </c>
      <c r="E2018" s="10" t="s">
        <v>1682</v>
      </c>
      <c r="F2018" t="s">
        <v>743</v>
      </c>
      <c r="G2018" s="4">
        <v>43047</v>
      </c>
      <c r="H2018" s="4"/>
      <c r="I2018" s="4"/>
      <c r="J2018" s="4">
        <f>SUM(G2018:I2018)</f>
        <v>43047</v>
      </c>
      <c r="K2018" t="s">
        <v>1659</v>
      </c>
      <c r="L2018" t="s">
        <v>1659</v>
      </c>
      <c r="M2018" t="s">
        <v>1309</v>
      </c>
      <c r="N2018" t="s">
        <v>1132</v>
      </c>
      <c r="O2018" t="s">
        <v>1132</v>
      </c>
      <c r="P2018" t="str">
        <f>IFERROR(VLOOKUP(F2018,Sheet1!$A$2:$B$54,2,FALSE),"")</f>
        <v/>
      </c>
    </row>
    <row r="2019" spans="1:16" x14ac:dyDescent="0.2">
      <c r="A2019" s="1">
        <v>2017</v>
      </c>
      <c r="B2019" t="s">
        <v>246</v>
      </c>
      <c r="C2019" s="10" t="s">
        <v>1678</v>
      </c>
      <c r="D2019" s="10" t="s">
        <v>1679</v>
      </c>
      <c r="E2019" s="10" t="s">
        <v>1682</v>
      </c>
      <c r="F2019" t="s">
        <v>743</v>
      </c>
      <c r="G2019" s="4">
        <v>54016</v>
      </c>
      <c r="H2019" s="4"/>
      <c r="I2019" s="4"/>
      <c r="J2019" s="4">
        <f>SUM(G2019:I2019)</f>
        <v>54016</v>
      </c>
      <c r="K2019" t="s">
        <v>1659</v>
      </c>
      <c r="L2019" t="s">
        <v>1659</v>
      </c>
      <c r="M2019" t="s">
        <v>1309</v>
      </c>
      <c r="N2019" t="s">
        <v>1132</v>
      </c>
      <c r="O2019" t="s">
        <v>1132</v>
      </c>
      <c r="P2019" t="str">
        <f>IFERROR(VLOOKUP(F2019,Sheet1!$A$2:$B$54,2,FALSE),"")</f>
        <v/>
      </c>
    </row>
    <row r="2020" spans="1:16" x14ac:dyDescent="0.2">
      <c r="A2020" s="1">
        <v>2018</v>
      </c>
      <c r="B2020" t="s">
        <v>246</v>
      </c>
      <c r="C2020" s="10" t="s">
        <v>1678</v>
      </c>
      <c r="D2020" s="10" t="s">
        <v>1679</v>
      </c>
      <c r="E2020" s="10" t="s">
        <v>1682</v>
      </c>
      <c r="F2020" t="s">
        <v>743</v>
      </c>
      <c r="G2020" s="4">
        <v>69948</v>
      </c>
      <c r="H2020" s="4"/>
      <c r="I2020" s="4"/>
      <c r="J2020" s="4">
        <f>SUM(G2020:I2020)</f>
        <v>69948</v>
      </c>
      <c r="K2020" t="s">
        <v>1659</v>
      </c>
      <c r="L2020" t="s">
        <v>1659</v>
      </c>
      <c r="M2020" t="s">
        <v>1309</v>
      </c>
      <c r="N2020" t="s">
        <v>1132</v>
      </c>
      <c r="O2020" t="s">
        <v>1132</v>
      </c>
      <c r="P2020" t="str">
        <f>IFERROR(VLOOKUP(F2020,Sheet1!$A$2:$B$54,2,FALSE),"")</f>
        <v/>
      </c>
    </row>
    <row r="2021" spans="1:16" x14ac:dyDescent="0.2">
      <c r="A2021" s="1">
        <v>2019</v>
      </c>
      <c r="B2021" t="s">
        <v>246</v>
      </c>
      <c r="C2021" s="10" t="s">
        <v>1678</v>
      </c>
      <c r="D2021" s="10" t="s">
        <v>1679</v>
      </c>
      <c r="E2021" s="10" t="s">
        <v>1682</v>
      </c>
      <c r="F2021" t="s">
        <v>743</v>
      </c>
      <c r="G2021" s="4">
        <v>88053</v>
      </c>
      <c r="H2021" s="4"/>
      <c r="I2021" s="4"/>
      <c r="J2021" s="4">
        <f>SUM(G2021:I2021)</f>
        <v>88053</v>
      </c>
      <c r="K2021" t="s">
        <v>1659</v>
      </c>
      <c r="L2021" t="s">
        <v>1659</v>
      </c>
      <c r="M2021" t="s">
        <v>1309</v>
      </c>
      <c r="N2021" t="s">
        <v>1132</v>
      </c>
      <c r="O2021" t="s">
        <v>1132</v>
      </c>
      <c r="P2021" t="str">
        <f>IFERROR(VLOOKUP(F2021,Sheet1!$A$2:$B$54,2,FALSE),"")</f>
        <v/>
      </c>
    </row>
    <row r="2022" spans="1:16" x14ac:dyDescent="0.2">
      <c r="A2022" s="1">
        <v>2020</v>
      </c>
      <c r="B2022" t="s">
        <v>246</v>
      </c>
      <c r="C2022" s="10" t="s">
        <v>1678</v>
      </c>
      <c r="D2022" s="10" t="s">
        <v>1679</v>
      </c>
      <c r="E2022" s="10" t="s">
        <v>1682</v>
      </c>
      <c r="F2022" t="s">
        <v>743</v>
      </c>
      <c r="G2022" s="4">
        <v>94691</v>
      </c>
      <c r="H2022" s="4"/>
      <c r="I2022" s="4"/>
      <c r="J2022" s="4">
        <f>SUM(G2022:I2022)</f>
        <v>94691</v>
      </c>
      <c r="K2022" t="s">
        <v>1659</v>
      </c>
      <c r="L2022" t="s">
        <v>1659</v>
      </c>
      <c r="M2022" t="s">
        <v>1309</v>
      </c>
      <c r="N2022" t="s">
        <v>1132</v>
      </c>
      <c r="O2022" t="s">
        <v>1132</v>
      </c>
      <c r="P2022" t="str">
        <f>IFERROR(VLOOKUP(F2022,Sheet1!$A$2:$B$54,2,FALSE),"")</f>
        <v/>
      </c>
    </row>
    <row r="2023" spans="1:16" x14ac:dyDescent="0.2">
      <c r="A2023" s="1">
        <v>2021</v>
      </c>
      <c r="B2023" t="s">
        <v>246</v>
      </c>
      <c r="C2023" s="10" t="s">
        <v>1678</v>
      </c>
      <c r="D2023" s="10" t="s">
        <v>1679</v>
      </c>
      <c r="E2023" s="10" t="s">
        <v>1682</v>
      </c>
      <c r="F2023" t="s">
        <v>743</v>
      </c>
      <c r="G2023" s="4">
        <v>97495</v>
      </c>
      <c r="H2023" s="4"/>
      <c r="I2023" s="4"/>
      <c r="J2023" s="4">
        <f>SUM(G2023:I2023)</f>
        <v>97495</v>
      </c>
      <c r="K2023" t="s">
        <v>1659</v>
      </c>
      <c r="L2023" t="s">
        <v>1659</v>
      </c>
      <c r="M2023" t="s">
        <v>743</v>
      </c>
      <c r="N2023" t="s">
        <v>1132</v>
      </c>
      <c r="O2023" t="s">
        <v>1132</v>
      </c>
      <c r="P2023" t="str">
        <f>IFERROR(VLOOKUP(F2023,Sheet1!$A$2:$B$54,2,FALSE),"")</f>
        <v/>
      </c>
    </row>
    <row r="2024" spans="1:16" x14ac:dyDescent="0.2">
      <c r="A2024" s="1">
        <v>2022</v>
      </c>
      <c r="B2024" t="s">
        <v>246</v>
      </c>
      <c r="C2024" s="10" t="s">
        <v>1678</v>
      </c>
      <c r="D2024" s="10" t="s">
        <v>1679</v>
      </c>
      <c r="E2024" s="10" t="s">
        <v>1682</v>
      </c>
      <c r="F2024" t="s">
        <v>743</v>
      </c>
      <c r="G2024" s="4">
        <v>131618</v>
      </c>
      <c r="H2024" s="4"/>
      <c r="I2024" s="4"/>
      <c r="J2024" s="4">
        <f>SUM(G2024:I2024)</f>
        <v>131618</v>
      </c>
      <c r="K2024" t="s">
        <v>1659</v>
      </c>
      <c r="L2024" t="s">
        <v>1659</v>
      </c>
      <c r="M2024" t="s">
        <v>743</v>
      </c>
      <c r="N2024" t="s">
        <v>1132</v>
      </c>
      <c r="O2024" t="s">
        <v>1132</v>
      </c>
      <c r="P2024" t="str">
        <f>IFERROR(VLOOKUP(F2024,Sheet1!$A$2:$B$54,2,FALSE),"")</f>
        <v/>
      </c>
    </row>
    <row r="2025" spans="1:16" x14ac:dyDescent="0.2">
      <c r="A2025" s="1">
        <v>2023</v>
      </c>
      <c r="B2025" t="s">
        <v>246</v>
      </c>
      <c r="C2025" s="10" t="s">
        <v>1678</v>
      </c>
      <c r="D2025" s="10" t="s">
        <v>1679</v>
      </c>
      <c r="E2025" s="10" t="s">
        <v>1682</v>
      </c>
      <c r="F2025" t="s">
        <v>743</v>
      </c>
      <c r="G2025" s="4">
        <v>144433</v>
      </c>
      <c r="H2025" s="4"/>
      <c r="I2025" s="4"/>
      <c r="J2025" s="4">
        <f>SUM(G2025:I2025)</f>
        <v>144433</v>
      </c>
      <c r="K2025" t="s">
        <v>1659</v>
      </c>
      <c r="L2025" t="s">
        <v>1659</v>
      </c>
      <c r="M2025" t="s">
        <v>743</v>
      </c>
      <c r="N2025" t="s">
        <v>1132</v>
      </c>
      <c r="O2025" t="s">
        <v>1132</v>
      </c>
      <c r="P2025" t="str">
        <f>IFERROR(VLOOKUP(F2025,Sheet1!$A$2:$B$54,2,FALSE),"")</f>
        <v/>
      </c>
    </row>
    <row r="2026" spans="1:16" x14ac:dyDescent="0.2">
      <c r="A2026" s="1">
        <v>2018</v>
      </c>
      <c r="B2026" t="s">
        <v>247</v>
      </c>
      <c r="C2026" s="10" t="s">
        <v>1678</v>
      </c>
      <c r="D2026" s="10" t="s">
        <v>1679</v>
      </c>
      <c r="E2026" s="10" t="s">
        <v>1682</v>
      </c>
      <c r="F2026" t="s">
        <v>744</v>
      </c>
      <c r="G2026" s="4">
        <v>924</v>
      </c>
      <c r="H2026" s="4"/>
      <c r="I2026" s="4"/>
      <c r="J2026" s="4">
        <f>SUM(G2026:I2026)</f>
        <v>924</v>
      </c>
      <c r="K2026" t="s">
        <v>1659</v>
      </c>
      <c r="L2026" t="s">
        <v>1659</v>
      </c>
      <c r="M2026" t="s">
        <v>1310</v>
      </c>
      <c r="N2026" t="s">
        <v>1132</v>
      </c>
      <c r="O2026" t="s">
        <v>1132</v>
      </c>
      <c r="P2026" t="str">
        <f>IFERROR(VLOOKUP(F2026,Sheet1!$A$2:$B$54,2,FALSE),"")</f>
        <v/>
      </c>
    </row>
    <row r="2027" spans="1:16" x14ac:dyDescent="0.2">
      <c r="A2027" s="1">
        <v>2019</v>
      </c>
      <c r="B2027" t="s">
        <v>247</v>
      </c>
      <c r="C2027" s="10" t="s">
        <v>1678</v>
      </c>
      <c r="D2027" s="10" t="s">
        <v>1679</v>
      </c>
      <c r="E2027" s="10" t="s">
        <v>1682</v>
      </c>
      <c r="F2027" t="s">
        <v>744</v>
      </c>
      <c r="G2027" s="4">
        <v>3364</v>
      </c>
      <c r="H2027" s="4"/>
      <c r="I2027" s="4"/>
      <c r="J2027" s="4">
        <f>SUM(G2027:I2027)</f>
        <v>3364</v>
      </c>
      <c r="K2027" t="s">
        <v>1659</v>
      </c>
      <c r="L2027" t="s">
        <v>1659</v>
      </c>
      <c r="M2027" t="s">
        <v>1310</v>
      </c>
      <c r="N2027" t="s">
        <v>1132</v>
      </c>
      <c r="O2027" t="s">
        <v>1132</v>
      </c>
      <c r="P2027" t="str">
        <f>IFERROR(VLOOKUP(F2027,Sheet1!$A$2:$B$54,2,FALSE),"")</f>
        <v/>
      </c>
    </row>
    <row r="2028" spans="1:16" x14ac:dyDescent="0.2">
      <c r="A2028" s="1">
        <v>2020</v>
      </c>
      <c r="B2028" t="s">
        <v>247</v>
      </c>
      <c r="C2028" s="10" t="s">
        <v>1678</v>
      </c>
      <c r="D2028" s="10" t="s">
        <v>1679</v>
      </c>
      <c r="E2028" s="10" t="s">
        <v>1682</v>
      </c>
      <c r="F2028" t="s">
        <v>744</v>
      </c>
      <c r="G2028" s="4">
        <v>6116</v>
      </c>
      <c r="H2028" s="4"/>
      <c r="I2028" s="4"/>
      <c r="J2028" s="4">
        <f>SUM(G2028:I2028)</f>
        <v>6116</v>
      </c>
      <c r="K2028" t="s">
        <v>1659</v>
      </c>
      <c r="L2028" t="s">
        <v>1659</v>
      </c>
      <c r="M2028" t="s">
        <v>1310</v>
      </c>
      <c r="N2028" t="s">
        <v>1132</v>
      </c>
      <c r="O2028" t="s">
        <v>1132</v>
      </c>
      <c r="P2028" t="str">
        <f>IFERROR(VLOOKUP(F2028,Sheet1!$A$2:$B$54,2,FALSE),"")</f>
        <v/>
      </c>
    </row>
    <row r="2029" spans="1:16" x14ac:dyDescent="0.2">
      <c r="A2029" s="1">
        <v>2021</v>
      </c>
      <c r="B2029" t="s">
        <v>247</v>
      </c>
      <c r="C2029" s="10" t="s">
        <v>1678</v>
      </c>
      <c r="D2029" s="10" t="s">
        <v>1679</v>
      </c>
      <c r="E2029" s="10" t="s">
        <v>1682</v>
      </c>
      <c r="F2029" t="s">
        <v>744</v>
      </c>
      <c r="G2029" s="4">
        <v>7501</v>
      </c>
      <c r="H2029" s="4"/>
      <c r="I2029" s="4"/>
      <c r="J2029" s="4">
        <f>SUM(G2029:I2029)</f>
        <v>7501</v>
      </c>
      <c r="K2029" t="s">
        <v>1659</v>
      </c>
      <c r="L2029" t="s">
        <v>1659</v>
      </c>
      <c r="M2029" t="s">
        <v>744</v>
      </c>
      <c r="N2029" t="s">
        <v>1132</v>
      </c>
      <c r="O2029" t="s">
        <v>1132</v>
      </c>
      <c r="P2029" t="str">
        <f>IFERROR(VLOOKUP(F2029,Sheet1!$A$2:$B$54,2,FALSE),"")</f>
        <v/>
      </c>
    </row>
    <row r="2030" spans="1:16" x14ac:dyDescent="0.2">
      <c r="A2030" s="1">
        <v>2022</v>
      </c>
      <c r="B2030" t="s">
        <v>247</v>
      </c>
      <c r="C2030" s="10" t="s">
        <v>1678</v>
      </c>
      <c r="D2030" s="10" t="s">
        <v>1679</v>
      </c>
      <c r="E2030" s="10" t="s">
        <v>1682</v>
      </c>
      <c r="F2030" t="s">
        <v>744</v>
      </c>
      <c r="G2030" s="4">
        <v>8622</v>
      </c>
      <c r="H2030" s="4"/>
      <c r="I2030" s="4"/>
      <c r="J2030" s="4">
        <f>SUM(G2030:I2030)</f>
        <v>8622</v>
      </c>
      <c r="K2030" t="s">
        <v>1659</v>
      </c>
      <c r="L2030" t="s">
        <v>1659</v>
      </c>
      <c r="M2030" t="s">
        <v>744</v>
      </c>
      <c r="N2030" t="s">
        <v>1132</v>
      </c>
      <c r="O2030" t="s">
        <v>1132</v>
      </c>
      <c r="P2030" t="str">
        <f>IFERROR(VLOOKUP(F2030,Sheet1!$A$2:$B$54,2,FALSE),"")</f>
        <v/>
      </c>
    </row>
    <row r="2031" spans="1:16" x14ac:dyDescent="0.2">
      <c r="A2031" s="1">
        <v>2023</v>
      </c>
      <c r="B2031" t="s">
        <v>247</v>
      </c>
      <c r="C2031" s="10" t="s">
        <v>1678</v>
      </c>
      <c r="D2031" s="10" t="s">
        <v>1679</v>
      </c>
      <c r="E2031" s="10" t="s">
        <v>1682</v>
      </c>
      <c r="F2031" t="s">
        <v>744</v>
      </c>
      <c r="G2031" s="4">
        <v>10557</v>
      </c>
      <c r="H2031" s="4"/>
      <c r="I2031" s="4"/>
      <c r="J2031" s="4">
        <f>SUM(G2031:I2031)</f>
        <v>10557</v>
      </c>
      <c r="K2031" t="s">
        <v>1659</v>
      </c>
      <c r="L2031" t="s">
        <v>1659</v>
      </c>
      <c r="M2031" t="s">
        <v>744</v>
      </c>
      <c r="N2031" t="s">
        <v>1132</v>
      </c>
      <c r="O2031" t="s">
        <v>1132</v>
      </c>
      <c r="P2031" t="str">
        <f>IFERROR(VLOOKUP(F2031,Sheet1!$A$2:$B$54,2,FALSE),"")</f>
        <v/>
      </c>
    </row>
    <row r="2032" spans="1:16" x14ac:dyDescent="0.2">
      <c r="A2032" s="1">
        <v>2015</v>
      </c>
      <c r="B2032" t="s">
        <v>248</v>
      </c>
      <c r="C2032" s="10" t="s">
        <v>1678</v>
      </c>
      <c r="D2032" s="10" t="s">
        <v>1679</v>
      </c>
      <c r="E2032" s="10" t="s">
        <v>1682</v>
      </c>
      <c r="F2032" t="s">
        <v>745</v>
      </c>
      <c r="G2032" s="4">
        <v>18032</v>
      </c>
      <c r="H2032" s="4"/>
      <c r="I2032" s="4"/>
      <c r="J2032" s="4">
        <f>SUM(G2032:I2032)</f>
        <v>18032</v>
      </c>
      <c r="K2032" t="s">
        <v>1659</v>
      </c>
      <c r="L2032" t="s">
        <v>1659</v>
      </c>
      <c r="M2032" t="s">
        <v>1311</v>
      </c>
      <c r="N2032" t="s">
        <v>1132</v>
      </c>
      <c r="O2032" t="s">
        <v>1132</v>
      </c>
      <c r="P2032" t="str">
        <f>IFERROR(VLOOKUP(F2032,Sheet1!$A$2:$B$54,2,FALSE),"")</f>
        <v/>
      </c>
    </row>
    <row r="2033" spans="1:16" x14ac:dyDescent="0.2">
      <c r="A2033" s="1">
        <v>2016</v>
      </c>
      <c r="B2033" t="s">
        <v>248</v>
      </c>
      <c r="C2033" s="10" t="s">
        <v>1678</v>
      </c>
      <c r="D2033" s="10" t="s">
        <v>1679</v>
      </c>
      <c r="E2033" s="10" t="s">
        <v>1682</v>
      </c>
      <c r="F2033" t="s">
        <v>745</v>
      </c>
      <c r="G2033" s="4">
        <v>21521</v>
      </c>
      <c r="H2033" s="4"/>
      <c r="I2033" s="4"/>
      <c r="J2033" s="4">
        <f>SUM(G2033:I2033)</f>
        <v>21521</v>
      </c>
      <c r="K2033" t="s">
        <v>1659</v>
      </c>
      <c r="L2033" t="s">
        <v>1659</v>
      </c>
      <c r="M2033" t="s">
        <v>1311</v>
      </c>
      <c r="N2033" t="s">
        <v>1132</v>
      </c>
      <c r="O2033" t="s">
        <v>1132</v>
      </c>
      <c r="P2033" t="str">
        <f>IFERROR(VLOOKUP(F2033,Sheet1!$A$2:$B$54,2,FALSE),"")</f>
        <v/>
      </c>
    </row>
    <row r="2034" spans="1:16" x14ac:dyDescent="0.2">
      <c r="A2034" s="1">
        <v>2017</v>
      </c>
      <c r="B2034" t="s">
        <v>248</v>
      </c>
      <c r="C2034" s="10" t="s">
        <v>1678</v>
      </c>
      <c r="D2034" s="10" t="s">
        <v>1679</v>
      </c>
      <c r="E2034" s="10" t="s">
        <v>1682</v>
      </c>
      <c r="F2034" t="s">
        <v>745</v>
      </c>
      <c r="G2034" s="4">
        <v>25176</v>
      </c>
      <c r="H2034" s="4"/>
      <c r="I2034" s="4"/>
      <c r="J2034" s="4">
        <f>SUM(G2034:I2034)</f>
        <v>25176</v>
      </c>
      <c r="K2034" t="s">
        <v>1659</v>
      </c>
      <c r="L2034" t="s">
        <v>1659</v>
      </c>
      <c r="M2034" t="s">
        <v>1311</v>
      </c>
      <c r="N2034" t="s">
        <v>1132</v>
      </c>
      <c r="O2034" t="s">
        <v>1132</v>
      </c>
      <c r="P2034" t="str">
        <f>IFERROR(VLOOKUP(F2034,Sheet1!$A$2:$B$54,2,FALSE),"")</f>
        <v/>
      </c>
    </row>
    <row r="2035" spans="1:16" x14ac:dyDescent="0.2">
      <c r="A2035" s="1">
        <v>2018</v>
      </c>
      <c r="B2035" t="s">
        <v>248</v>
      </c>
      <c r="C2035" s="10" t="s">
        <v>1678</v>
      </c>
      <c r="D2035" s="10" t="s">
        <v>1679</v>
      </c>
      <c r="E2035" s="10" t="s">
        <v>1682</v>
      </c>
      <c r="F2035" t="s">
        <v>745</v>
      </c>
      <c r="G2035" s="4">
        <v>30237</v>
      </c>
      <c r="H2035" s="4"/>
      <c r="I2035" s="4"/>
      <c r="J2035" s="4">
        <f>SUM(G2035:I2035)</f>
        <v>30237</v>
      </c>
      <c r="K2035" t="s">
        <v>1659</v>
      </c>
      <c r="L2035" t="s">
        <v>1659</v>
      </c>
      <c r="M2035" t="s">
        <v>1311</v>
      </c>
      <c r="N2035" t="s">
        <v>1132</v>
      </c>
      <c r="O2035" t="s">
        <v>1132</v>
      </c>
      <c r="P2035" t="str">
        <f>IFERROR(VLOOKUP(F2035,Sheet1!$A$2:$B$54,2,FALSE),"")</f>
        <v/>
      </c>
    </row>
    <row r="2036" spans="1:16" x14ac:dyDescent="0.2">
      <c r="A2036" s="1">
        <v>2019</v>
      </c>
      <c r="B2036" t="s">
        <v>248</v>
      </c>
      <c r="C2036" s="10" t="s">
        <v>1678</v>
      </c>
      <c r="D2036" s="10" t="s">
        <v>1679</v>
      </c>
      <c r="E2036" s="10" t="s">
        <v>1682</v>
      </c>
      <c r="F2036" t="s">
        <v>745</v>
      </c>
      <c r="G2036" s="4">
        <v>40980</v>
      </c>
      <c r="H2036" s="4"/>
      <c r="I2036" s="4"/>
      <c r="J2036" s="4">
        <f>SUM(G2036:I2036)</f>
        <v>40980</v>
      </c>
      <c r="K2036" t="s">
        <v>1659</v>
      </c>
      <c r="L2036" t="s">
        <v>1659</v>
      </c>
      <c r="M2036" t="s">
        <v>1311</v>
      </c>
      <c r="N2036" t="s">
        <v>1132</v>
      </c>
      <c r="O2036" t="s">
        <v>1132</v>
      </c>
      <c r="P2036" t="str">
        <f>IFERROR(VLOOKUP(F2036,Sheet1!$A$2:$B$54,2,FALSE),"")</f>
        <v/>
      </c>
    </row>
    <row r="2037" spans="1:16" x14ac:dyDescent="0.2">
      <c r="A2037" s="1">
        <v>2020</v>
      </c>
      <c r="B2037" t="s">
        <v>248</v>
      </c>
      <c r="C2037" s="10" t="s">
        <v>1678</v>
      </c>
      <c r="D2037" s="10" t="s">
        <v>1679</v>
      </c>
      <c r="E2037" s="10" t="s">
        <v>1682</v>
      </c>
      <c r="F2037" t="s">
        <v>745</v>
      </c>
      <c r="G2037" s="4">
        <v>47344</v>
      </c>
      <c r="H2037" s="4"/>
      <c r="I2037" s="4"/>
      <c r="J2037" s="4">
        <f>SUM(G2037:I2037)</f>
        <v>47344</v>
      </c>
      <c r="K2037" t="s">
        <v>1659</v>
      </c>
      <c r="L2037" t="s">
        <v>1659</v>
      </c>
      <c r="M2037" t="s">
        <v>1311</v>
      </c>
      <c r="N2037" t="s">
        <v>1132</v>
      </c>
      <c r="O2037" t="s">
        <v>1132</v>
      </c>
      <c r="P2037" t="str">
        <f>IFERROR(VLOOKUP(F2037,Sheet1!$A$2:$B$54,2,FALSE),"")</f>
        <v/>
      </c>
    </row>
    <row r="2038" spans="1:16" x14ac:dyDescent="0.2">
      <c r="A2038" s="1">
        <v>2021</v>
      </c>
      <c r="B2038" t="s">
        <v>248</v>
      </c>
      <c r="C2038" s="10" t="s">
        <v>1678</v>
      </c>
      <c r="D2038" s="10" t="s">
        <v>1679</v>
      </c>
      <c r="E2038" s="10" t="s">
        <v>1682</v>
      </c>
      <c r="F2038" t="s">
        <v>745</v>
      </c>
      <c r="G2038" s="4">
        <v>56634</v>
      </c>
      <c r="H2038" s="4"/>
      <c r="I2038" s="4"/>
      <c r="J2038" s="4">
        <f>SUM(G2038:I2038)</f>
        <v>56634</v>
      </c>
      <c r="K2038" t="s">
        <v>1659</v>
      </c>
      <c r="L2038" t="s">
        <v>1659</v>
      </c>
      <c r="M2038" t="s">
        <v>745</v>
      </c>
      <c r="N2038" t="s">
        <v>1132</v>
      </c>
      <c r="O2038" t="s">
        <v>1132</v>
      </c>
      <c r="P2038" t="str">
        <f>IFERROR(VLOOKUP(F2038,Sheet1!$A$2:$B$54,2,FALSE),"")</f>
        <v/>
      </c>
    </row>
    <row r="2039" spans="1:16" x14ac:dyDescent="0.2">
      <c r="A2039" s="1">
        <v>2022</v>
      </c>
      <c r="B2039" t="s">
        <v>248</v>
      </c>
      <c r="C2039" s="10" t="s">
        <v>1678</v>
      </c>
      <c r="D2039" s="10" t="s">
        <v>1679</v>
      </c>
      <c r="E2039" s="10" t="s">
        <v>1682</v>
      </c>
      <c r="F2039" t="s">
        <v>745</v>
      </c>
      <c r="G2039" s="4">
        <v>70746</v>
      </c>
      <c r="H2039" s="4"/>
      <c r="I2039" s="4"/>
      <c r="J2039" s="4">
        <f>SUM(G2039:I2039)</f>
        <v>70746</v>
      </c>
      <c r="K2039" t="s">
        <v>1659</v>
      </c>
      <c r="L2039" t="s">
        <v>1659</v>
      </c>
      <c r="M2039" t="s">
        <v>745</v>
      </c>
      <c r="N2039" t="s">
        <v>1132</v>
      </c>
      <c r="O2039" t="s">
        <v>1132</v>
      </c>
      <c r="P2039" t="str">
        <f>IFERROR(VLOOKUP(F2039,Sheet1!$A$2:$B$54,2,FALSE),"")</f>
        <v/>
      </c>
    </row>
    <row r="2040" spans="1:16" x14ac:dyDescent="0.2">
      <c r="A2040" s="1">
        <v>2023</v>
      </c>
      <c r="B2040" t="s">
        <v>248</v>
      </c>
      <c r="C2040" s="10" t="s">
        <v>1678</v>
      </c>
      <c r="D2040" s="10" t="s">
        <v>1679</v>
      </c>
      <c r="E2040" s="10" t="s">
        <v>1682</v>
      </c>
      <c r="F2040" t="s">
        <v>745</v>
      </c>
      <c r="G2040" s="4">
        <v>80858</v>
      </c>
      <c r="H2040" s="4"/>
      <c r="I2040" s="4"/>
      <c r="J2040" s="4">
        <f>SUM(G2040:I2040)</f>
        <v>80858</v>
      </c>
      <c r="K2040" t="s">
        <v>1659</v>
      </c>
      <c r="L2040" t="s">
        <v>1659</v>
      </c>
      <c r="M2040" t="s">
        <v>745</v>
      </c>
      <c r="N2040" t="s">
        <v>1132</v>
      </c>
      <c r="O2040" t="s">
        <v>1132</v>
      </c>
      <c r="P2040" t="str">
        <f>IFERROR(VLOOKUP(F2040,Sheet1!$A$2:$B$54,2,FALSE),"")</f>
        <v/>
      </c>
    </row>
    <row r="2041" spans="1:16" x14ac:dyDescent="0.2">
      <c r="A2041" s="1">
        <v>2015</v>
      </c>
      <c r="B2041" t="s">
        <v>237</v>
      </c>
      <c r="C2041" s="10" t="s">
        <v>1678</v>
      </c>
      <c r="D2041" s="10" t="s">
        <v>1679</v>
      </c>
      <c r="E2041" s="10" t="s">
        <v>1682</v>
      </c>
      <c r="F2041" t="s">
        <v>734</v>
      </c>
      <c r="G2041" s="4">
        <v>1342352</v>
      </c>
      <c r="H2041" s="4">
        <v>21336631</v>
      </c>
      <c r="I2041" s="4">
        <v>10176</v>
      </c>
      <c r="J2041" s="4">
        <f>SUM(G2041:I2041)</f>
        <v>22689159</v>
      </c>
      <c r="K2041" t="s">
        <v>1660</v>
      </c>
      <c r="L2041" t="s">
        <v>1660</v>
      </c>
      <c r="M2041" t="s">
        <v>1295</v>
      </c>
      <c r="N2041" t="s">
        <v>1295</v>
      </c>
      <c r="O2041" t="s">
        <v>1295</v>
      </c>
      <c r="P2041">
        <f>IFERROR(VLOOKUP(F2041,Sheet1!$A$2:$B$54,2,FALSE),"")</f>
        <v>4900630</v>
      </c>
    </row>
    <row r="2042" spans="1:16" x14ac:dyDescent="0.2">
      <c r="A2042" s="1">
        <v>2016</v>
      </c>
      <c r="B2042" t="s">
        <v>237</v>
      </c>
      <c r="C2042" s="10" t="s">
        <v>1678</v>
      </c>
      <c r="D2042" s="10" t="s">
        <v>1679</v>
      </c>
      <c r="E2042" s="10" t="s">
        <v>1682</v>
      </c>
      <c r="F2042" t="s">
        <v>734</v>
      </c>
      <c r="G2042" s="4">
        <v>1670719</v>
      </c>
      <c r="H2042" s="4">
        <v>22016702</v>
      </c>
      <c r="I2042" s="4">
        <v>10549</v>
      </c>
      <c r="J2042" s="4">
        <f>SUM(G2042:I2042)</f>
        <v>23697970</v>
      </c>
      <c r="K2042" t="s">
        <v>1660</v>
      </c>
      <c r="L2042" t="s">
        <v>1660</v>
      </c>
      <c r="M2042" t="s">
        <v>1295</v>
      </c>
      <c r="N2042" t="s">
        <v>1295</v>
      </c>
      <c r="O2042" t="s">
        <v>1295</v>
      </c>
      <c r="P2042">
        <f>IFERROR(VLOOKUP(F2042,Sheet1!$A$2:$B$54,2,FALSE),"")</f>
        <v>4900630</v>
      </c>
    </row>
    <row r="2043" spans="1:16" x14ac:dyDescent="0.2">
      <c r="A2043" s="1">
        <v>2017</v>
      </c>
      <c r="B2043" t="s">
        <v>237</v>
      </c>
      <c r="C2043" s="10" t="s">
        <v>1678</v>
      </c>
      <c r="D2043" s="10" t="s">
        <v>1679</v>
      </c>
      <c r="E2043" s="10" t="s">
        <v>1682</v>
      </c>
      <c r="F2043" t="s">
        <v>734</v>
      </c>
      <c r="G2043" s="4">
        <v>2200132</v>
      </c>
      <c r="H2043" s="4">
        <v>22862043</v>
      </c>
      <c r="I2043" s="4">
        <v>11046</v>
      </c>
      <c r="J2043" s="4">
        <f>SUM(G2043:I2043)</f>
        <v>25073221</v>
      </c>
      <c r="K2043" t="s">
        <v>1660</v>
      </c>
      <c r="L2043" t="s">
        <v>1660</v>
      </c>
      <c r="M2043" t="s">
        <v>1295</v>
      </c>
      <c r="N2043" t="s">
        <v>1295</v>
      </c>
      <c r="O2043" t="s">
        <v>1295</v>
      </c>
      <c r="P2043">
        <f>IFERROR(VLOOKUP(F2043,Sheet1!$A$2:$B$54,2,FALSE),"")</f>
        <v>4900630</v>
      </c>
    </row>
    <row r="2044" spans="1:16" x14ac:dyDescent="0.2">
      <c r="A2044" s="1">
        <v>2018</v>
      </c>
      <c r="B2044" t="s">
        <v>237</v>
      </c>
      <c r="C2044" s="10" t="s">
        <v>1678</v>
      </c>
      <c r="D2044" s="10" t="s">
        <v>1679</v>
      </c>
      <c r="E2044" s="10" t="s">
        <v>1682</v>
      </c>
      <c r="F2044" t="s">
        <v>734</v>
      </c>
      <c r="G2044" s="4">
        <v>2745581</v>
      </c>
      <c r="H2044" s="4">
        <v>23339965</v>
      </c>
      <c r="I2044" s="4">
        <v>6418</v>
      </c>
      <c r="J2044" s="4">
        <f>SUM(G2044:I2044)</f>
        <v>26091964</v>
      </c>
      <c r="K2044" t="s">
        <v>1660</v>
      </c>
      <c r="L2044" t="s">
        <v>1660</v>
      </c>
      <c r="M2044" t="s">
        <v>1295</v>
      </c>
      <c r="N2044" t="s">
        <v>1295</v>
      </c>
      <c r="O2044" t="s">
        <v>1295</v>
      </c>
      <c r="P2044">
        <f>IFERROR(VLOOKUP(F2044,Sheet1!$A$2:$B$54,2,FALSE),"")</f>
        <v>4900630</v>
      </c>
    </row>
    <row r="2045" spans="1:16" x14ac:dyDescent="0.2">
      <c r="A2045" s="1">
        <v>2019</v>
      </c>
      <c r="B2045" t="s">
        <v>237</v>
      </c>
      <c r="C2045" s="10" t="s">
        <v>1678</v>
      </c>
      <c r="D2045" s="10" t="s">
        <v>1679</v>
      </c>
      <c r="E2045" s="10" t="s">
        <v>1682</v>
      </c>
      <c r="F2045" t="s">
        <v>734</v>
      </c>
      <c r="G2045" s="4">
        <v>3246121</v>
      </c>
      <c r="H2045" s="4">
        <v>24702597</v>
      </c>
      <c r="I2045" s="4">
        <v>0</v>
      </c>
      <c r="J2045" s="4">
        <f>SUM(G2045:I2045)</f>
        <v>27948718</v>
      </c>
      <c r="K2045" t="s">
        <v>1660</v>
      </c>
      <c r="L2045" t="s">
        <v>1660</v>
      </c>
      <c r="M2045" t="s">
        <v>1295</v>
      </c>
      <c r="N2045" t="s">
        <v>1295</v>
      </c>
      <c r="O2045" t="s">
        <v>1295</v>
      </c>
      <c r="P2045">
        <f>IFERROR(VLOOKUP(F2045,Sheet1!$A$2:$B$54,2,FALSE),"")</f>
        <v>4900630</v>
      </c>
    </row>
    <row r="2046" spans="1:16" x14ac:dyDescent="0.2">
      <c r="A2046" s="1">
        <v>2020</v>
      </c>
      <c r="B2046" t="s">
        <v>237</v>
      </c>
      <c r="C2046" s="10" t="s">
        <v>1678</v>
      </c>
      <c r="D2046" s="10" t="s">
        <v>1679</v>
      </c>
      <c r="E2046" s="10" t="s">
        <v>1682</v>
      </c>
      <c r="F2046" t="s">
        <v>734</v>
      </c>
      <c r="G2046" s="4">
        <v>3693599</v>
      </c>
      <c r="H2046" s="4">
        <v>25809536</v>
      </c>
      <c r="I2046" s="4">
        <v>0</v>
      </c>
      <c r="J2046" s="4">
        <f>SUM(G2046:I2046)</f>
        <v>29503135</v>
      </c>
      <c r="K2046" t="s">
        <v>1660</v>
      </c>
      <c r="L2046" t="s">
        <v>1660</v>
      </c>
      <c r="M2046" t="s">
        <v>1295</v>
      </c>
      <c r="N2046" t="s">
        <v>1295</v>
      </c>
      <c r="O2046" t="s">
        <v>1295</v>
      </c>
      <c r="P2046">
        <f>IFERROR(VLOOKUP(F2046,Sheet1!$A$2:$B$54,2,FALSE),"")</f>
        <v>4900630</v>
      </c>
    </row>
    <row r="2047" spans="1:16" x14ac:dyDescent="0.2">
      <c r="A2047" s="1">
        <v>2021</v>
      </c>
      <c r="B2047" t="s">
        <v>237</v>
      </c>
      <c r="C2047" s="10" t="s">
        <v>1678</v>
      </c>
      <c r="D2047" s="10" t="s">
        <v>1679</v>
      </c>
      <c r="E2047" s="10" t="s">
        <v>1682</v>
      </c>
      <c r="F2047" t="s">
        <v>734</v>
      </c>
      <c r="G2047" s="4">
        <v>4515478</v>
      </c>
      <c r="H2047" s="4">
        <v>27701152</v>
      </c>
      <c r="I2047" s="4">
        <v>0</v>
      </c>
      <c r="J2047" s="4">
        <f>SUM(G2047:I2047)</f>
        <v>32216630</v>
      </c>
      <c r="K2047" t="s">
        <v>1660</v>
      </c>
      <c r="L2047" t="s">
        <v>1660</v>
      </c>
      <c r="M2047" t="s">
        <v>734</v>
      </c>
      <c r="N2047" t="s">
        <v>734</v>
      </c>
      <c r="O2047" t="s">
        <v>734</v>
      </c>
      <c r="P2047">
        <f>IFERROR(VLOOKUP(F2047,Sheet1!$A$2:$B$54,2,FALSE),"")</f>
        <v>4900630</v>
      </c>
    </row>
    <row r="2048" spans="1:16" x14ac:dyDescent="0.2">
      <c r="A2048" s="1">
        <v>2022</v>
      </c>
      <c r="B2048" t="s">
        <v>237</v>
      </c>
      <c r="C2048" s="10" t="s">
        <v>1678</v>
      </c>
      <c r="D2048" s="10" t="s">
        <v>1679</v>
      </c>
      <c r="E2048" s="10" t="s">
        <v>1682</v>
      </c>
      <c r="F2048" t="s">
        <v>734</v>
      </c>
      <c r="G2048" s="4">
        <v>5524241</v>
      </c>
      <c r="H2048" s="4">
        <v>28968022</v>
      </c>
      <c r="I2048" s="4">
        <v>0</v>
      </c>
      <c r="J2048" s="4">
        <f>SUM(G2048:I2048)</f>
        <v>34492263</v>
      </c>
      <c r="K2048" t="s">
        <v>1660</v>
      </c>
      <c r="L2048" t="s">
        <v>1660</v>
      </c>
      <c r="M2048" t="s">
        <v>734</v>
      </c>
      <c r="N2048" t="s">
        <v>734</v>
      </c>
      <c r="O2048" t="s">
        <v>734</v>
      </c>
      <c r="P2048">
        <f>IFERROR(VLOOKUP(F2048,Sheet1!$A$2:$B$54,2,FALSE),"")</f>
        <v>4900630</v>
      </c>
    </row>
    <row r="2049" spans="1:16" x14ac:dyDescent="0.2">
      <c r="A2049" s="1">
        <v>2023</v>
      </c>
      <c r="B2049" t="s">
        <v>237</v>
      </c>
      <c r="C2049" s="10" t="s">
        <v>1678</v>
      </c>
      <c r="D2049" s="10" t="s">
        <v>1679</v>
      </c>
      <c r="E2049" s="10" t="s">
        <v>1682</v>
      </c>
      <c r="F2049" t="s">
        <v>734</v>
      </c>
      <c r="G2049" s="4">
        <v>6879061</v>
      </c>
      <c r="H2049" s="4">
        <v>31735618</v>
      </c>
      <c r="I2049" s="4"/>
      <c r="J2049" s="4">
        <f>SUM(G2049:I2049)</f>
        <v>38614679</v>
      </c>
      <c r="K2049" t="s">
        <v>1660</v>
      </c>
      <c r="L2049" t="s">
        <v>1659</v>
      </c>
      <c r="M2049" t="s">
        <v>734</v>
      </c>
      <c r="N2049" t="s">
        <v>734</v>
      </c>
      <c r="O2049" t="s">
        <v>1132</v>
      </c>
      <c r="P2049">
        <f>IFERROR(VLOOKUP(F2049,Sheet1!$A$2:$B$54,2,FALSE),"")</f>
        <v>4900630</v>
      </c>
    </row>
    <row r="2050" spans="1:16" x14ac:dyDescent="0.2">
      <c r="A2050" s="1">
        <v>2015</v>
      </c>
      <c r="B2050" t="s">
        <v>249</v>
      </c>
      <c r="C2050" s="10" t="s">
        <v>1678</v>
      </c>
      <c r="D2050" s="10" t="s">
        <v>1679</v>
      </c>
      <c r="E2050" s="10" t="s">
        <v>1682</v>
      </c>
      <c r="F2050" t="s">
        <v>746</v>
      </c>
      <c r="G2050" s="4">
        <v>73904</v>
      </c>
      <c r="H2050" s="4">
        <v>1884748</v>
      </c>
      <c r="I2050" s="4">
        <v>4294</v>
      </c>
      <c r="J2050" s="4">
        <f>SUM(G2050:I2050)</f>
        <v>1962946</v>
      </c>
      <c r="K2050" t="s">
        <v>1660</v>
      </c>
      <c r="L2050" t="s">
        <v>1660</v>
      </c>
      <c r="M2050" t="s">
        <v>1312</v>
      </c>
      <c r="N2050" t="s">
        <v>1312</v>
      </c>
      <c r="O2050" t="s">
        <v>1312</v>
      </c>
      <c r="P2050">
        <f>IFERROR(VLOOKUP(F2050,Sheet1!$A$2:$B$54,2,FALSE),"")</f>
        <v>4900660</v>
      </c>
    </row>
    <row r="2051" spans="1:16" x14ac:dyDescent="0.2">
      <c r="A2051" s="1">
        <v>2016</v>
      </c>
      <c r="B2051" t="s">
        <v>249</v>
      </c>
      <c r="C2051" s="10" t="s">
        <v>1678</v>
      </c>
      <c r="D2051" s="10" t="s">
        <v>1679</v>
      </c>
      <c r="E2051" s="10" t="s">
        <v>1682</v>
      </c>
      <c r="F2051" t="s">
        <v>746</v>
      </c>
      <c r="G2051" s="4">
        <v>103222</v>
      </c>
      <c r="H2051" s="4">
        <v>1945335</v>
      </c>
      <c r="I2051" s="4">
        <v>4318</v>
      </c>
      <c r="J2051" s="4">
        <f>SUM(G2051:I2051)</f>
        <v>2052875</v>
      </c>
      <c r="K2051" t="s">
        <v>1660</v>
      </c>
      <c r="L2051" t="s">
        <v>1660</v>
      </c>
      <c r="M2051" t="s">
        <v>1312</v>
      </c>
      <c r="N2051" t="s">
        <v>1312</v>
      </c>
      <c r="O2051" t="s">
        <v>1312</v>
      </c>
      <c r="P2051">
        <f>IFERROR(VLOOKUP(F2051,Sheet1!$A$2:$B$54,2,FALSE),"")</f>
        <v>4900660</v>
      </c>
    </row>
    <row r="2052" spans="1:16" x14ac:dyDescent="0.2">
      <c r="A2052" s="1">
        <v>2017</v>
      </c>
      <c r="B2052" t="s">
        <v>249</v>
      </c>
      <c r="C2052" s="10" t="s">
        <v>1678</v>
      </c>
      <c r="D2052" s="10" t="s">
        <v>1679</v>
      </c>
      <c r="E2052" s="10" t="s">
        <v>1682</v>
      </c>
      <c r="F2052" t="s">
        <v>746</v>
      </c>
      <c r="G2052" s="4">
        <v>128798</v>
      </c>
      <c r="H2052" s="4">
        <v>1970469</v>
      </c>
      <c r="I2052" s="4">
        <v>2939</v>
      </c>
      <c r="J2052" s="4">
        <f>SUM(G2052:I2052)</f>
        <v>2102206</v>
      </c>
      <c r="K2052" t="s">
        <v>1660</v>
      </c>
      <c r="L2052" t="s">
        <v>1660</v>
      </c>
      <c r="M2052" t="s">
        <v>1313</v>
      </c>
      <c r="N2052" t="s">
        <v>1313</v>
      </c>
      <c r="O2052" t="s">
        <v>1313</v>
      </c>
      <c r="P2052">
        <f>IFERROR(VLOOKUP(F2052,Sheet1!$A$2:$B$54,2,FALSE),"")</f>
        <v>4900660</v>
      </c>
    </row>
    <row r="2053" spans="1:16" x14ac:dyDescent="0.2">
      <c r="A2053" s="1">
        <v>2018</v>
      </c>
      <c r="B2053" t="s">
        <v>249</v>
      </c>
      <c r="C2053" s="10" t="s">
        <v>1678</v>
      </c>
      <c r="D2053" s="10" t="s">
        <v>1679</v>
      </c>
      <c r="E2053" s="10" t="s">
        <v>1682</v>
      </c>
      <c r="F2053" t="s">
        <v>746</v>
      </c>
      <c r="G2053" s="4">
        <v>165916</v>
      </c>
      <c r="H2053" s="4">
        <v>2036475</v>
      </c>
      <c r="I2053" s="4">
        <v>0</v>
      </c>
      <c r="J2053" s="4">
        <f>SUM(G2053:I2053)</f>
        <v>2202391</v>
      </c>
      <c r="K2053" t="s">
        <v>1660</v>
      </c>
      <c r="L2053" t="s">
        <v>1660</v>
      </c>
      <c r="M2053" t="s">
        <v>1313</v>
      </c>
      <c r="N2053" t="s">
        <v>1313</v>
      </c>
      <c r="O2053" t="s">
        <v>1312</v>
      </c>
      <c r="P2053">
        <f>IFERROR(VLOOKUP(F2053,Sheet1!$A$2:$B$54,2,FALSE),"")</f>
        <v>4900660</v>
      </c>
    </row>
    <row r="2054" spans="1:16" x14ac:dyDescent="0.2">
      <c r="A2054" s="1">
        <v>2019</v>
      </c>
      <c r="B2054" t="s">
        <v>249</v>
      </c>
      <c r="C2054" s="10" t="s">
        <v>1678</v>
      </c>
      <c r="D2054" s="10" t="s">
        <v>1679</v>
      </c>
      <c r="E2054" s="10" t="s">
        <v>1682</v>
      </c>
      <c r="F2054" t="s">
        <v>746</v>
      </c>
      <c r="G2054" s="4">
        <v>201015</v>
      </c>
      <c r="H2054" s="4">
        <v>2111247</v>
      </c>
      <c r="I2054" s="4">
        <v>0</v>
      </c>
      <c r="J2054" s="4">
        <f>SUM(G2054:I2054)</f>
        <v>2312262</v>
      </c>
      <c r="K2054" t="s">
        <v>1660</v>
      </c>
      <c r="L2054" t="s">
        <v>1660</v>
      </c>
      <c r="M2054" t="s">
        <v>1312</v>
      </c>
      <c r="N2054" t="s">
        <v>1312</v>
      </c>
      <c r="O2054" t="s">
        <v>1312</v>
      </c>
      <c r="P2054">
        <f>IFERROR(VLOOKUP(F2054,Sheet1!$A$2:$B$54,2,FALSE),"")</f>
        <v>4900660</v>
      </c>
    </row>
    <row r="2055" spans="1:16" x14ac:dyDescent="0.2">
      <c r="A2055" s="1">
        <v>2020</v>
      </c>
      <c r="B2055" t="s">
        <v>249</v>
      </c>
      <c r="C2055" s="10" t="s">
        <v>1678</v>
      </c>
      <c r="D2055" s="10" t="s">
        <v>1679</v>
      </c>
      <c r="E2055" s="10" t="s">
        <v>1682</v>
      </c>
      <c r="F2055" t="s">
        <v>746</v>
      </c>
      <c r="G2055" s="4">
        <v>238340</v>
      </c>
      <c r="H2055" s="4">
        <v>2196334</v>
      </c>
      <c r="I2055" s="4">
        <v>0</v>
      </c>
      <c r="J2055" s="4">
        <f>SUM(G2055:I2055)</f>
        <v>2434674</v>
      </c>
      <c r="K2055" t="s">
        <v>1660</v>
      </c>
      <c r="L2055" t="s">
        <v>1660</v>
      </c>
      <c r="M2055" t="s">
        <v>1313</v>
      </c>
      <c r="N2055" t="s">
        <v>1313</v>
      </c>
      <c r="O2055" t="s">
        <v>1313</v>
      </c>
      <c r="P2055">
        <f>IFERROR(VLOOKUP(F2055,Sheet1!$A$2:$B$54,2,FALSE),"")</f>
        <v>4900660</v>
      </c>
    </row>
    <row r="2056" spans="1:16" x14ac:dyDescent="0.2">
      <c r="A2056" s="1">
        <v>2021</v>
      </c>
      <c r="B2056" t="s">
        <v>249</v>
      </c>
      <c r="C2056" s="10" t="s">
        <v>1678</v>
      </c>
      <c r="D2056" s="10" t="s">
        <v>1679</v>
      </c>
      <c r="E2056" s="10" t="s">
        <v>1682</v>
      </c>
      <c r="F2056" t="s">
        <v>746</v>
      </c>
      <c r="G2056" s="4">
        <v>294249</v>
      </c>
      <c r="H2056" s="4">
        <v>2381385</v>
      </c>
      <c r="I2056" s="4">
        <v>0</v>
      </c>
      <c r="J2056" s="4">
        <f>SUM(G2056:I2056)</f>
        <v>2675634</v>
      </c>
      <c r="K2056" t="s">
        <v>1660</v>
      </c>
      <c r="L2056" t="s">
        <v>1660</v>
      </c>
      <c r="M2056" t="s">
        <v>746</v>
      </c>
      <c r="N2056" t="s">
        <v>746</v>
      </c>
      <c r="O2056" t="s">
        <v>746</v>
      </c>
      <c r="P2056">
        <f>IFERROR(VLOOKUP(F2056,Sheet1!$A$2:$B$54,2,FALSE),"")</f>
        <v>4900660</v>
      </c>
    </row>
    <row r="2057" spans="1:16" x14ac:dyDescent="0.2">
      <c r="A2057" s="1">
        <v>2022</v>
      </c>
      <c r="B2057" t="s">
        <v>249</v>
      </c>
      <c r="C2057" s="10" t="s">
        <v>1678</v>
      </c>
      <c r="D2057" s="10" t="s">
        <v>1679</v>
      </c>
      <c r="E2057" s="10" t="s">
        <v>1682</v>
      </c>
      <c r="F2057" t="s">
        <v>746</v>
      </c>
      <c r="G2057" s="4">
        <v>378278</v>
      </c>
      <c r="H2057" s="4">
        <v>2582468</v>
      </c>
      <c r="I2057" s="4">
        <v>0</v>
      </c>
      <c r="J2057" s="4">
        <f>SUM(G2057:I2057)</f>
        <v>2960746</v>
      </c>
      <c r="K2057" t="s">
        <v>1660</v>
      </c>
      <c r="L2057" t="s">
        <v>1660</v>
      </c>
      <c r="M2057" t="s">
        <v>746</v>
      </c>
      <c r="N2057" t="s">
        <v>746</v>
      </c>
      <c r="O2057" t="s">
        <v>746</v>
      </c>
      <c r="P2057">
        <f>IFERROR(VLOOKUP(F2057,Sheet1!$A$2:$B$54,2,FALSE),"")</f>
        <v>4900660</v>
      </c>
    </row>
    <row r="2058" spans="1:16" x14ac:dyDescent="0.2">
      <c r="A2058" s="1">
        <v>2023</v>
      </c>
      <c r="B2058" t="s">
        <v>249</v>
      </c>
      <c r="C2058" s="10" t="s">
        <v>1678</v>
      </c>
      <c r="D2058" s="10" t="s">
        <v>1679</v>
      </c>
      <c r="E2058" s="10" t="s">
        <v>1682</v>
      </c>
      <c r="F2058" t="s">
        <v>746</v>
      </c>
      <c r="G2058" s="4">
        <v>448178</v>
      </c>
      <c r="H2058" s="4">
        <v>2751833</v>
      </c>
      <c r="I2058" s="4"/>
      <c r="J2058" s="4">
        <f>SUM(G2058:I2058)</f>
        <v>3200011</v>
      </c>
      <c r="K2058" t="s">
        <v>1660</v>
      </c>
      <c r="L2058" t="s">
        <v>1659</v>
      </c>
      <c r="M2058" t="s">
        <v>746</v>
      </c>
      <c r="N2058" t="s">
        <v>746</v>
      </c>
      <c r="O2058" t="s">
        <v>1132</v>
      </c>
      <c r="P2058">
        <f>IFERROR(VLOOKUP(F2058,Sheet1!$A$2:$B$54,2,FALSE),"")</f>
        <v>4900660</v>
      </c>
    </row>
    <row r="2059" spans="1:16" x14ac:dyDescent="0.2">
      <c r="A2059" s="1">
        <v>2015</v>
      </c>
      <c r="B2059" t="s">
        <v>251</v>
      </c>
      <c r="C2059" s="10" t="s">
        <v>1678</v>
      </c>
      <c r="D2059" s="10" t="s">
        <v>1679</v>
      </c>
      <c r="E2059" s="10" t="s">
        <v>1682</v>
      </c>
      <c r="F2059" t="s">
        <v>748</v>
      </c>
      <c r="G2059" s="4">
        <v>36065</v>
      </c>
      <c r="H2059" s="4"/>
      <c r="I2059" s="4"/>
      <c r="J2059" s="4">
        <f>SUM(G2059:I2059)</f>
        <v>36065</v>
      </c>
      <c r="K2059" t="s">
        <v>1659</v>
      </c>
      <c r="L2059" t="s">
        <v>1659</v>
      </c>
      <c r="M2059" t="s">
        <v>1315</v>
      </c>
      <c r="N2059" t="s">
        <v>1132</v>
      </c>
      <c r="O2059" t="s">
        <v>1132</v>
      </c>
      <c r="P2059" t="str">
        <f>IFERROR(VLOOKUP(F2059,Sheet1!$A$2:$B$54,2,FALSE),"")</f>
        <v/>
      </c>
    </row>
    <row r="2060" spans="1:16" x14ac:dyDescent="0.2">
      <c r="A2060" s="1">
        <v>2016</v>
      </c>
      <c r="B2060" t="s">
        <v>251</v>
      </c>
      <c r="C2060" s="10" t="s">
        <v>1678</v>
      </c>
      <c r="D2060" s="10" t="s">
        <v>1679</v>
      </c>
      <c r="E2060" s="10" t="s">
        <v>1682</v>
      </c>
      <c r="F2060" t="s">
        <v>748</v>
      </c>
      <c r="G2060" s="4">
        <v>44618</v>
      </c>
      <c r="H2060" s="4"/>
      <c r="I2060" s="4"/>
      <c r="J2060" s="4">
        <f>SUM(G2060:I2060)</f>
        <v>44618</v>
      </c>
      <c r="K2060" t="s">
        <v>1659</v>
      </c>
      <c r="L2060" t="s">
        <v>1659</v>
      </c>
      <c r="M2060" t="s">
        <v>1315</v>
      </c>
      <c r="N2060" t="s">
        <v>1132</v>
      </c>
      <c r="O2060" t="s">
        <v>1132</v>
      </c>
      <c r="P2060" t="str">
        <f>IFERROR(VLOOKUP(F2060,Sheet1!$A$2:$B$54,2,FALSE),"")</f>
        <v/>
      </c>
    </row>
    <row r="2061" spans="1:16" x14ac:dyDescent="0.2">
      <c r="A2061" s="1">
        <v>2017</v>
      </c>
      <c r="B2061" t="s">
        <v>251</v>
      </c>
      <c r="C2061" s="10" t="s">
        <v>1678</v>
      </c>
      <c r="D2061" s="10" t="s">
        <v>1679</v>
      </c>
      <c r="E2061" s="10" t="s">
        <v>1682</v>
      </c>
      <c r="F2061" t="s">
        <v>748</v>
      </c>
      <c r="G2061" s="4">
        <v>53715</v>
      </c>
      <c r="H2061" s="4"/>
      <c r="I2061" s="4"/>
      <c r="J2061" s="4">
        <f>SUM(G2061:I2061)</f>
        <v>53715</v>
      </c>
      <c r="K2061" t="s">
        <v>1659</v>
      </c>
      <c r="L2061" t="s">
        <v>1659</v>
      </c>
      <c r="M2061" t="s">
        <v>1316</v>
      </c>
      <c r="N2061" t="s">
        <v>1132</v>
      </c>
      <c r="O2061" t="s">
        <v>1132</v>
      </c>
      <c r="P2061" t="str">
        <f>IFERROR(VLOOKUP(F2061,Sheet1!$A$2:$B$54,2,FALSE),"")</f>
        <v/>
      </c>
    </row>
    <row r="2062" spans="1:16" x14ac:dyDescent="0.2">
      <c r="A2062" s="1">
        <v>2018</v>
      </c>
      <c r="B2062" t="s">
        <v>251</v>
      </c>
      <c r="C2062" s="10" t="s">
        <v>1678</v>
      </c>
      <c r="D2062" s="10" t="s">
        <v>1679</v>
      </c>
      <c r="E2062" s="10" t="s">
        <v>1682</v>
      </c>
      <c r="F2062" t="s">
        <v>748</v>
      </c>
      <c r="G2062" s="4">
        <v>76276</v>
      </c>
      <c r="H2062" s="4"/>
      <c r="I2062" s="4"/>
      <c r="J2062" s="4">
        <f>SUM(G2062:I2062)</f>
        <v>76276</v>
      </c>
      <c r="K2062" t="s">
        <v>1659</v>
      </c>
      <c r="L2062" t="s">
        <v>1659</v>
      </c>
      <c r="M2062" t="s">
        <v>1316</v>
      </c>
      <c r="N2062" t="s">
        <v>1132</v>
      </c>
      <c r="O2062" t="s">
        <v>1132</v>
      </c>
      <c r="P2062" t="str">
        <f>IFERROR(VLOOKUP(F2062,Sheet1!$A$2:$B$54,2,FALSE),"")</f>
        <v/>
      </c>
    </row>
    <row r="2063" spans="1:16" x14ac:dyDescent="0.2">
      <c r="A2063" s="1">
        <v>2019</v>
      </c>
      <c r="B2063" t="s">
        <v>251</v>
      </c>
      <c r="C2063" s="10" t="s">
        <v>1678</v>
      </c>
      <c r="D2063" s="10" t="s">
        <v>1679</v>
      </c>
      <c r="E2063" s="10" t="s">
        <v>1682</v>
      </c>
      <c r="F2063" t="s">
        <v>748</v>
      </c>
      <c r="G2063" s="4">
        <v>100892</v>
      </c>
      <c r="H2063" s="4"/>
      <c r="I2063" s="4"/>
      <c r="J2063" s="4">
        <f>SUM(G2063:I2063)</f>
        <v>100892</v>
      </c>
      <c r="K2063" t="s">
        <v>1659</v>
      </c>
      <c r="L2063" t="s">
        <v>1659</v>
      </c>
      <c r="M2063" t="s">
        <v>1316</v>
      </c>
      <c r="N2063" t="s">
        <v>1132</v>
      </c>
      <c r="O2063" t="s">
        <v>1132</v>
      </c>
      <c r="P2063" t="str">
        <f>IFERROR(VLOOKUP(F2063,Sheet1!$A$2:$B$54,2,FALSE),"")</f>
        <v/>
      </c>
    </row>
    <row r="2064" spans="1:16" x14ac:dyDescent="0.2">
      <c r="A2064" s="1">
        <v>2020</v>
      </c>
      <c r="B2064" t="s">
        <v>251</v>
      </c>
      <c r="C2064" s="10" t="s">
        <v>1678</v>
      </c>
      <c r="D2064" s="10" t="s">
        <v>1679</v>
      </c>
      <c r="E2064" s="10" t="s">
        <v>1682</v>
      </c>
      <c r="F2064" t="s">
        <v>748</v>
      </c>
      <c r="G2064" s="4">
        <v>118592</v>
      </c>
      <c r="H2064" s="4"/>
      <c r="I2064" s="4"/>
      <c r="J2064" s="4">
        <f>SUM(G2064:I2064)</f>
        <v>118592</v>
      </c>
      <c r="K2064" t="s">
        <v>1659</v>
      </c>
      <c r="L2064" t="s">
        <v>1659</v>
      </c>
      <c r="M2064" t="s">
        <v>1316</v>
      </c>
      <c r="N2064" t="s">
        <v>1132</v>
      </c>
      <c r="O2064" t="s">
        <v>1132</v>
      </c>
      <c r="P2064" t="str">
        <f>IFERROR(VLOOKUP(F2064,Sheet1!$A$2:$B$54,2,FALSE),"")</f>
        <v/>
      </c>
    </row>
    <row r="2065" spans="1:16" x14ac:dyDescent="0.2">
      <c r="A2065" s="1">
        <v>2021</v>
      </c>
      <c r="B2065" t="s">
        <v>251</v>
      </c>
      <c r="C2065" s="10" t="s">
        <v>1678</v>
      </c>
      <c r="D2065" s="10" t="s">
        <v>1679</v>
      </c>
      <c r="E2065" s="10" t="s">
        <v>1682</v>
      </c>
      <c r="F2065" t="s">
        <v>748</v>
      </c>
      <c r="G2065" s="4">
        <v>126559</v>
      </c>
      <c r="H2065" s="4"/>
      <c r="I2065" s="4"/>
      <c r="J2065" s="4">
        <f>SUM(G2065:I2065)</f>
        <v>126559</v>
      </c>
      <c r="K2065" t="s">
        <v>1659</v>
      </c>
      <c r="L2065" t="s">
        <v>1659</v>
      </c>
      <c r="M2065" t="s">
        <v>748</v>
      </c>
      <c r="N2065" t="s">
        <v>1132</v>
      </c>
      <c r="O2065" t="s">
        <v>1132</v>
      </c>
      <c r="P2065" t="str">
        <f>IFERROR(VLOOKUP(F2065,Sheet1!$A$2:$B$54,2,FALSE),"")</f>
        <v/>
      </c>
    </row>
    <row r="2066" spans="1:16" x14ac:dyDescent="0.2">
      <c r="A2066" s="1">
        <v>2022</v>
      </c>
      <c r="B2066" t="s">
        <v>251</v>
      </c>
      <c r="C2066" s="10" t="s">
        <v>1678</v>
      </c>
      <c r="D2066" s="10" t="s">
        <v>1679</v>
      </c>
      <c r="E2066" s="10" t="s">
        <v>1682</v>
      </c>
      <c r="F2066" t="s">
        <v>748</v>
      </c>
      <c r="G2066" s="4">
        <v>149911</v>
      </c>
      <c r="H2066" s="4"/>
      <c r="I2066" s="4"/>
      <c r="J2066" s="4">
        <f>SUM(G2066:I2066)</f>
        <v>149911</v>
      </c>
      <c r="K2066" t="s">
        <v>1659</v>
      </c>
      <c r="L2066" t="s">
        <v>1659</v>
      </c>
      <c r="M2066" t="s">
        <v>748</v>
      </c>
      <c r="N2066" t="s">
        <v>1132</v>
      </c>
      <c r="O2066" t="s">
        <v>1132</v>
      </c>
      <c r="P2066" t="str">
        <f>IFERROR(VLOOKUP(F2066,Sheet1!$A$2:$B$54,2,FALSE),"")</f>
        <v/>
      </c>
    </row>
    <row r="2067" spans="1:16" x14ac:dyDescent="0.2">
      <c r="A2067" s="1">
        <v>2023</v>
      </c>
      <c r="B2067" t="s">
        <v>251</v>
      </c>
      <c r="C2067" s="10" t="s">
        <v>1678</v>
      </c>
      <c r="D2067" s="10" t="s">
        <v>1679</v>
      </c>
      <c r="E2067" s="10" t="s">
        <v>1682</v>
      </c>
      <c r="F2067" t="s">
        <v>748</v>
      </c>
      <c r="G2067" s="4">
        <v>183679</v>
      </c>
      <c r="H2067" s="4"/>
      <c r="I2067" s="4"/>
      <c r="J2067" s="4">
        <f>SUM(G2067:I2067)</f>
        <v>183679</v>
      </c>
      <c r="K2067" t="s">
        <v>1659</v>
      </c>
      <c r="L2067" t="s">
        <v>1659</v>
      </c>
      <c r="M2067" t="s">
        <v>748</v>
      </c>
      <c r="N2067" t="s">
        <v>1132</v>
      </c>
      <c r="O2067" t="s">
        <v>1132</v>
      </c>
      <c r="P2067" t="str">
        <f>IFERROR(VLOOKUP(F2067,Sheet1!$A$2:$B$54,2,FALSE),"")</f>
        <v/>
      </c>
    </row>
    <row r="2068" spans="1:16" x14ac:dyDescent="0.2">
      <c r="A2068" s="1">
        <v>2015</v>
      </c>
      <c r="B2068" t="s">
        <v>250</v>
      </c>
      <c r="C2068" s="10" t="s">
        <v>1678</v>
      </c>
      <c r="D2068" s="10" t="s">
        <v>1679</v>
      </c>
      <c r="E2068" s="10" t="s">
        <v>1682</v>
      </c>
      <c r="F2068" t="s">
        <v>747</v>
      </c>
      <c r="G2068" s="4">
        <v>23263</v>
      </c>
      <c r="H2068" s="4">
        <v>994286</v>
      </c>
      <c r="I2068" s="4"/>
      <c r="J2068" s="4">
        <f>SUM(G2068:I2068)</f>
        <v>1017549</v>
      </c>
      <c r="K2068" t="s">
        <v>1660</v>
      </c>
      <c r="L2068" t="s">
        <v>1659</v>
      </c>
      <c r="M2068" t="s">
        <v>1314</v>
      </c>
      <c r="N2068" t="s">
        <v>1314</v>
      </c>
      <c r="O2068" t="s">
        <v>1132</v>
      </c>
      <c r="P2068">
        <f>IFERROR(VLOOKUP(F2068,Sheet1!$A$2:$B$54,2,FALSE),"")</f>
        <v>4900690</v>
      </c>
    </row>
    <row r="2069" spans="1:16" x14ac:dyDescent="0.2">
      <c r="A2069" s="1">
        <v>2016</v>
      </c>
      <c r="B2069" t="s">
        <v>250</v>
      </c>
      <c r="C2069" s="10" t="s">
        <v>1678</v>
      </c>
      <c r="D2069" s="10" t="s">
        <v>1679</v>
      </c>
      <c r="E2069" s="10" t="s">
        <v>1682</v>
      </c>
      <c r="F2069" t="s">
        <v>747</v>
      </c>
      <c r="G2069" s="4">
        <v>36714</v>
      </c>
      <c r="H2069" s="4">
        <v>1014365</v>
      </c>
      <c r="I2069" s="4"/>
      <c r="J2069" s="4">
        <f>SUM(G2069:I2069)</f>
        <v>1051079</v>
      </c>
      <c r="K2069" t="s">
        <v>1660</v>
      </c>
      <c r="L2069" t="s">
        <v>1659</v>
      </c>
      <c r="M2069" t="s">
        <v>1314</v>
      </c>
      <c r="N2069" t="s">
        <v>1314</v>
      </c>
      <c r="O2069" t="s">
        <v>1132</v>
      </c>
      <c r="P2069">
        <f>IFERROR(VLOOKUP(F2069,Sheet1!$A$2:$B$54,2,FALSE),"")</f>
        <v>4900690</v>
      </c>
    </row>
    <row r="2070" spans="1:16" x14ac:dyDescent="0.2">
      <c r="A2070" s="1">
        <v>2017</v>
      </c>
      <c r="B2070" t="s">
        <v>250</v>
      </c>
      <c r="C2070" s="10" t="s">
        <v>1678</v>
      </c>
      <c r="D2070" s="10" t="s">
        <v>1679</v>
      </c>
      <c r="E2070" s="10" t="s">
        <v>1682</v>
      </c>
      <c r="F2070" t="s">
        <v>747</v>
      </c>
      <c r="G2070" s="4">
        <v>44127</v>
      </c>
      <c r="H2070" s="4">
        <v>1065181</v>
      </c>
      <c r="I2070" s="4"/>
      <c r="J2070" s="4">
        <f>SUM(G2070:I2070)</f>
        <v>1109308</v>
      </c>
      <c r="K2070" t="s">
        <v>1660</v>
      </c>
      <c r="L2070" t="s">
        <v>1659</v>
      </c>
      <c r="M2070" t="s">
        <v>1314</v>
      </c>
      <c r="N2070" t="s">
        <v>1314</v>
      </c>
      <c r="O2070" t="s">
        <v>1132</v>
      </c>
      <c r="P2070">
        <f>IFERROR(VLOOKUP(F2070,Sheet1!$A$2:$B$54,2,FALSE),"")</f>
        <v>4900690</v>
      </c>
    </row>
    <row r="2071" spans="1:16" x14ac:dyDescent="0.2">
      <c r="A2071" s="1">
        <v>2018</v>
      </c>
      <c r="B2071" t="s">
        <v>250</v>
      </c>
      <c r="C2071" s="10" t="s">
        <v>1678</v>
      </c>
      <c r="D2071" s="10" t="s">
        <v>1679</v>
      </c>
      <c r="E2071" s="10" t="s">
        <v>1682</v>
      </c>
      <c r="F2071" t="s">
        <v>747</v>
      </c>
      <c r="G2071" s="4">
        <v>67855</v>
      </c>
      <c r="H2071" s="4">
        <v>1206959</v>
      </c>
      <c r="I2071" s="4"/>
      <c r="J2071" s="4">
        <f>SUM(G2071:I2071)</f>
        <v>1274814</v>
      </c>
      <c r="K2071" t="s">
        <v>1660</v>
      </c>
      <c r="L2071" t="s">
        <v>1659</v>
      </c>
      <c r="M2071" t="s">
        <v>1314</v>
      </c>
      <c r="N2071" t="s">
        <v>1314</v>
      </c>
      <c r="O2071" t="s">
        <v>1132</v>
      </c>
      <c r="P2071">
        <f>IFERROR(VLOOKUP(F2071,Sheet1!$A$2:$B$54,2,FALSE),"")</f>
        <v>4900690</v>
      </c>
    </row>
    <row r="2072" spans="1:16" x14ac:dyDescent="0.2">
      <c r="A2072" s="1">
        <v>2019</v>
      </c>
      <c r="B2072" t="s">
        <v>250</v>
      </c>
      <c r="C2072" s="10" t="s">
        <v>1678</v>
      </c>
      <c r="D2072" s="10" t="s">
        <v>1679</v>
      </c>
      <c r="E2072" s="10" t="s">
        <v>1682</v>
      </c>
      <c r="F2072" t="s">
        <v>747</v>
      </c>
      <c r="G2072" s="4">
        <v>91759</v>
      </c>
      <c r="H2072" s="4">
        <v>1237953</v>
      </c>
      <c r="I2072" s="4"/>
      <c r="J2072" s="4">
        <f>SUM(G2072:I2072)</f>
        <v>1329712</v>
      </c>
      <c r="K2072" t="s">
        <v>1660</v>
      </c>
      <c r="L2072" t="s">
        <v>1659</v>
      </c>
      <c r="M2072" t="s">
        <v>1314</v>
      </c>
      <c r="N2072" t="s">
        <v>1314</v>
      </c>
      <c r="O2072" t="s">
        <v>1132</v>
      </c>
      <c r="P2072">
        <f>IFERROR(VLOOKUP(F2072,Sheet1!$A$2:$B$54,2,FALSE),"")</f>
        <v>4900690</v>
      </c>
    </row>
    <row r="2073" spans="1:16" x14ac:dyDescent="0.2">
      <c r="A2073" s="1">
        <v>2020</v>
      </c>
      <c r="B2073" t="s">
        <v>250</v>
      </c>
      <c r="C2073" s="10" t="s">
        <v>1678</v>
      </c>
      <c r="D2073" s="10" t="s">
        <v>1679</v>
      </c>
      <c r="E2073" s="10" t="s">
        <v>1682</v>
      </c>
      <c r="F2073" t="s">
        <v>747</v>
      </c>
      <c r="G2073" s="4">
        <v>109152</v>
      </c>
      <c r="H2073" s="4">
        <v>1271851</v>
      </c>
      <c r="I2073" s="4"/>
      <c r="J2073" s="4">
        <f>SUM(G2073:I2073)</f>
        <v>1381003</v>
      </c>
      <c r="K2073" t="s">
        <v>1660</v>
      </c>
      <c r="L2073" t="s">
        <v>1659</v>
      </c>
      <c r="M2073" t="s">
        <v>1314</v>
      </c>
      <c r="N2073" t="s">
        <v>1314</v>
      </c>
      <c r="O2073" t="s">
        <v>1132</v>
      </c>
      <c r="P2073">
        <f>IFERROR(VLOOKUP(F2073,Sheet1!$A$2:$B$54,2,FALSE),"")</f>
        <v>4900690</v>
      </c>
    </row>
    <row r="2074" spans="1:16" x14ac:dyDescent="0.2">
      <c r="A2074" s="1">
        <v>2021</v>
      </c>
      <c r="B2074" t="s">
        <v>250</v>
      </c>
      <c r="C2074" s="10" t="s">
        <v>1678</v>
      </c>
      <c r="D2074" s="10" t="s">
        <v>1679</v>
      </c>
      <c r="E2074" s="10" t="s">
        <v>1682</v>
      </c>
      <c r="F2074" t="s">
        <v>747</v>
      </c>
      <c r="G2074" s="4">
        <v>134932</v>
      </c>
      <c r="H2074" s="4">
        <v>1350562</v>
      </c>
      <c r="I2074" s="4"/>
      <c r="J2074" s="4">
        <f>SUM(G2074:I2074)</f>
        <v>1485494</v>
      </c>
      <c r="K2074" t="s">
        <v>1660</v>
      </c>
      <c r="L2074" t="s">
        <v>1659</v>
      </c>
      <c r="M2074" t="s">
        <v>747</v>
      </c>
      <c r="N2074" t="s">
        <v>747</v>
      </c>
      <c r="O2074" t="s">
        <v>1132</v>
      </c>
      <c r="P2074">
        <f>IFERROR(VLOOKUP(F2074,Sheet1!$A$2:$B$54,2,FALSE),"")</f>
        <v>4900690</v>
      </c>
    </row>
    <row r="2075" spans="1:16" x14ac:dyDescent="0.2">
      <c r="A2075" s="1">
        <v>2022</v>
      </c>
      <c r="B2075" t="s">
        <v>250</v>
      </c>
      <c r="C2075" s="10" t="s">
        <v>1678</v>
      </c>
      <c r="D2075" s="10" t="s">
        <v>1679</v>
      </c>
      <c r="E2075" s="10" t="s">
        <v>1682</v>
      </c>
      <c r="F2075" t="s">
        <v>747</v>
      </c>
      <c r="G2075" s="4">
        <v>177851</v>
      </c>
      <c r="H2075" s="4">
        <v>1375649</v>
      </c>
      <c r="I2075" s="4"/>
      <c r="J2075" s="4">
        <f>SUM(G2075:I2075)</f>
        <v>1553500</v>
      </c>
      <c r="K2075" t="s">
        <v>1660</v>
      </c>
      <c r="L2075" t="s">
        <v>1659</v>
      </c>
      <c r="M2075" t="s">
        <v>747</v>
      </c>
      <c r="N2075" t="s">
        <v>747</v>
      </c>
      <c r="O2075" t="s">
        <v>1132</v>
      </c>
      <c r="P2075">
        <f>IFERROR(VLOOKUP(F2075,Sheet1!$A$2:$B$54,2,FALSE),"")</f>
        <v>4900690</v>
      </c>
    </row>
    <row r="2076" spans="1:16" x14ac:dyDescent="0.2">
      <c r="A2076" s="1">
        <v>2023</v>
      </c>
      <c r="B2076" t="s">
        <v>250</v>
      </c>
      <c r="C2076" s="10" t="s">
        <v>1678</v>
      </c>
      <c r="D2076" s="10" t="s">
        <v>1679</v>
      </c>
      <c r="E2076" s="10" t="s">
        <v>1682</v>
      </c>
      <c r="F2076" t="s">
        <v>747</v>
      </c>
      <c r="G2076" s="4">
        <v>225940</v>
      </c>
      <c r="H2076" s="4">
        <v>1433515</v>
      </c>
      <c r="I2076" s="4"/>
      <c r="J2076" s="4">
        <f>SUM(G2076:I2076)</f>
        <v>1659455</v>
      </c>
      <c r="K2076" t="s">
        <v>1660</v>
      </c>
      <c r="L2076" t="s">
        <v>1659</v>
      </c>
      <c r="M2076" t="s">
        <v>747</v>
      </c>
      <c r="N2076" t="s">
        <v>747</v>
      </c>
      <c r="O2076" t="s">
        <v>1132</v>
      </c>
      <c r="P2076">
        <f>IFERROR(VLOOKUP(F2076,Sheet1!$A$2:$B$54,2,FALSE),"")</f>
        <v>4900690</v>
      </c>
    </row>
    <row r="2077" spans="1:16" x14ac:dyDescent="0.2">
      <c r="A2077" s="1">
        <v>2017</v>
      </c>
      <c r="B2077" t="s">
        <v>253</v>
      </c>
      <c r="C2077" s="10" t="s">
        <v>1678</v>
      </c>
      <c r="D2077" s="10" t="s">
        <v>1679</v>
      </c>
      <c r="E2077" s="10" t="s">
        <v>1682</v>
      </c>
      <c r="F2077" t="s">
        <v>750</v>
      </c>
      <c r="G2077" s="4">
        <v>5430</v>
      </c>
      <c r="H2077" s="4"/>
      <c r="I2077" s="4"/>
      <c r="J2077" s="4">
        <f>SUM(G2077:I2077)</f>
        <v>5430</v>
      </c>
      <c r="K2077" t="s">
        <v>1659</v>
      </c>
      <c r="L2077" t="s">
        <v>1659</v>
      </c>
      <c r="M2077" t="s">
        <v>1319</v>
      </c>
      <c r="N2077" t="s">
        <v>1132</v>
      </c>
      <c r="O2077" t="s">
        <v>1132</v>
      </c>
      <c r="P2077" t="str">
        <f>IFERROR(VLOOKUP(F2077,Sheet1!$A$2:$B$54,2,FALSE),"")</f>
        <v/>
      </c>
    </row>
    <row r="2078" spans="1:16" x14ac:dyDescent="0.2">
      <c r="A2078" s="1">
        <v>2018</v>
      </c>
      <c r="B2078" t="s">
        <v>253</v>
      </c>
      <c r="C2078" s="10" t="s">
        <v>1678</v>
      </c>
      <c r="D2078" s="10" t="s">
        <v>1679</v>
      </c>
      <c r="E2078" s="10" t="s">
        <v>1682</v>
      </c>
      <c r="F2078" t="s">
        <v>750</v>
      </c>
      <c r="G2078" s="4">
        <v>9978</v>
      </c>
      <c r="H2078" s="4"/>
      <c r="I2078" s="4"/>
      <c r="J2078" s="4">
        <f>SUM(G2078:I2078)</f>
        <v>9978</v>
      </c>
      <c r="K2078" t="s">
        <v>1659</v>
      </c>
      <c r="L2078" t="s">
        <v>1659</v>
      </c>
      <c r="M2078" t="s">
        <v>1319</v>
      </c>
      <c r="N2078" t="s">
        <v>1132</v>
      </c>
      <c r="O2078" t="s">
        <v>1132</v>
      </c>
      <c r="P2078" t="str">
        <f>IFERROR(VLOOKUP(F2078,Sheet1!$A$2:$B$54,2,FALSE),"")</f>
        <v/>
      </c>
    </row>
    <row r="2079" spans="1:16" x14ac:dyDescent="0.2">
      <c r="A2079" s="1">
        <v>2019</v>
      </c>
      <c r="B2079" t="s">
        <v>253</v>
      </c>
      <c r="C2079" s="10" t="s">
        <v>1678</v>
      </c>
      <c r="D2079" s="10" t="s">
        <v>1679</v>
      </c>
      <c r="E2079" s="10" t="s">
        <v>1682</v>
      </c>
      <c r="F2079" t="s">
        <v>750</v>
      </c>
      <c r="G2079" s="4">
        <v>11231</v>
      </c>
      <c r="H2079" s="4"/>
      <c r="I2079" s="4"/>
      <c r="J2079" s="4">
        <f>SUM(G2079:I2079)</f>
        <v>11231</v>
      </c>
      <c r="K2079" t="s">
        <v>1659</v>
      </c>
      <c r="L2079" t="s">
        <v>1659</v>
      </c>
      <c r="M2079" t="s">
        <v>1319</v>
      </c>
      <c r="N2079" t="s">
        <v>1132</v>
      </c>
      <c r="O2079" t="s">
        <v>1132</v>
      </c>
      <c r="P2079" t="str">
        <f>IFERROR(VLOOKUP(F2079,Sheet1!$A$2:$B$54,2,FALSE),"")</f>
        <v/>
      </c>
    </row>
    <row r="2080" spans="1:16" x14ac:dyDescent="0.2">
      <c r="A2080" s="1">
        <v>2020</v>
      </c>
      <c r="B2080" t="s">
        <v>253</v>
      </c>
      <c r="C2080" s="10" t="s">
        <v>1678</v>
      </c>
      <c r="D2080" s="10" t="s">
        <v>1679</v>
      </c>
      <c r="E2080" s="10" t="s">
        <v>1682</v>
      </c>
      <c r="F2080" t="s">
        <v>750</v>
      </c>
      <c r="G2080" s="4">
        <v>10165</v>
      </c>
      <c r="H2080" s="4"/>
      <c r="I2080" s="4"/>
      <c r="J2080" s="4">
        <f>SUM(G2080:I2080)</f>
        <v>10165</v>
      </c>
      <c r="K2080" t="s">
        <v>1659</v>
      </c>
      <c r="L2080" t="s">
        <v>1659</v>
      </c>
      <c r="M2080" t="s">
        <v>1319</v>
      </c>
      <c r="N2080" t="s">
        <v>1132</v>
      </c>
      <c r="O2080" t="s">
        <v>1132</v>
      </c>
      <c r="P2080" t="str">
        <f>IFERROR(VLOOKUP(F2080,Sheet1!$A$2:$B$54,2,FALSE),"")</f>
        <v/>
      </c>
    </row>
    <row r="2081" spans="1:16" x14ac:dyDescent="0.2">
      <c r="A2081" s="1">
        <v>2021</v>
      </c>
      <c r="B2081" t="s">
        <v>253</v>
      </c>
      <c r="C2081" s="10" t="s">
        <v>1678</v>
      </c>
      <c r="D2081" s="10" t="s">
        <v>1679</v>
      </c>
      <c r="E2081" s="10" t="s">
        <v>1682</v>
      </c>
      <c r="F2081" t="s">
        <v>750</v>
      </c>
      <c r="G2081" s="4">
        <v>14220</v>
      </c>
      <c r="H2081" s="4"/>
      <c r="I2081" s="4"/>
      <c r="J2081" s="4">
        <f>SUM(G2081:I2081)</f>
        <v>14220</v>
      </c>
      <c r="K2081" t="s">
        <v>1659</v>
      </c>
      <c r="L2081" t="s">
        <v>1659</v>
      </c>
      <c r="M2081" t="s">
        <v>750</v>
      </c>
      <c r="N2081" t="s">
        <v>1132</v>
      </c>
      <c r="O2081" t="s">
        <v>1132</v>
      </c>
      <c r="P2081" t="str">
        <f>IFERROR(VLOOKUP(F2081,Sheet1!$A$2:$B$54,2,FALSE),"")</f>
        <v/>
      </c>
    </row>
    <row r="2082" spans="1:16" x14ac:dyDescent="0.2">
      <c r="A2082" s="1">
        <v>2022</v>
      </c>
      <c r="B2082" t="s">
        <v>253</v>
      </c>
      <c r="C2082" s="10" t="s">
        <v>1678</v>
      </c>
      <c r="D2082" s="10" t="s">
        <v>1679</v>
      </c>
      <c r="E2082" s="10" t="s">
        <v>1682</v>
      </c>
      <c r="F2082" t="s">
        <v>750</v>
      </c>
      <c r="G2082" s="4">
        <v>13695</v>
      </c>
      <c r="H2082" s="4"/>
      <c r="I2082" s="4"/>
      <c r="J2082" s="4">
        <f>SUM(G2082:I2082)</f>
        <v>13695</v>
      </c>
      <c r="K2082" t="s">
        <v>1659</v>
      </c>
      <c r="L2082" t="s">
        <v>1659</v>
      </c>
      <c r="M2082" t="s">
        <v>750</v>
      </c>
      <c r="N2082" t="s">
        <v>1132</v>
      </c>
      <c r="O2082" t="s">
        <v>1132</v>
      </c>
      <c r="P2082" t="str">
        <f>IFERROR(VLOOKUP(F2082,Sheet1!$A$2:$B$54,2,FALSE),"")</f>
        <v/>
      </c>
    </row>
    <row r="2083" spans="1:16" x14ac:dyDescent="0.2">
      <c r="A2083" s="1">
        <v>2023</v>
      </c>
      <c r="B2083" t="s">
        <v>253</v>
      </c>
      <c r="C2083" s="10" t="s">
        <v>1678</v>
      </c>
      <c r="D2083" s="10" t="s">
        <v>1679</v>
      </c>
      <c r="E2083" s="10" t="s">
        <v>1682</v>
      </c>
      <c r="F2083" t="s">
        <v>750</v>
      </c>
      <c r="G2083" s="4">
        <v>17583</v>
      </c>
      <c r="H2083" s="4"/>
      <c r="I2083" s="4"/>
      <c r="J2083" s="4">
        <f>SUM(G2083:I2083)</f>
        <v>17583</v>
      </c>
      <c r="K2083" t="s">
        <v>1659</v>
      </c>
      <c r="L2083" t="s">
        <v>1659</v>
      </c>
      <c r="M2083" t="s">
        <v>750</v>
      </c>
      <c r="N2083" t="s">
        <v>1132</v>
      </c>
      <c r="O2083" t="s">
        <v>1132</v>
      </c>
      <c r="P2083" t="str">
        <f>IFERROR(VLOOKUP(F2083,Sheet1!$A$2:$B$54,2,FALSE),"")</f>
        <v/>
      </c>
    </row>
    <row r="2084" spans="1:16" x14ac:dyDescent="0.2">
      <c r="A2084" s="1">
        <v>2015</v>
      </c>
      <c r="B2084" t="s">
        <v>254</v>
      </c>
      <c r="C2084" s="10" t="s">
        <v>1678</v>
      </c>
      <c r="D2084" s="10" t="s">
        <v>1679</v>
      </c>
      <c r="E2084" s="10" t="s">
        <v>1682</v>
      </c>
      <c r="F2084" t="s">
        <v>751</v>
      </c>
      <c r="G2084" s="4">
        <v>206536</v>
      </c>
      <c r="H2084" s="4"/>
      <c r="I2084" s="4"/>
      <c r="J2084" s="4">
        <f>SUM(G2084:I2084)</f>
        <v>206536</v>
      </c>
      <c r="K2084" t="s">
        <v>1659</v>
      </c>
      <c r="L2084" t="s">
        <v>1659</v>
      </c>
      <c r="M2084" t="s">
        <v>1320</v>
      </c>
      <c r="N2084" t="s">
        <v>1132</v>
      </c>
      <c r="O2084" t="s">
        <v>1132</v>
      </c>
      <c r="P2084" t="str">
        <f>IFERROR(VLOOKUP(F2084,Sheet1!$A$2:$B$54,2,FALSE),"")</f>
        <v/>
      </c>
    </row>
    <row r="2085" spans="1:16" x14ac:dyDescent="0.2">
      <c r="A2085" s="1">
        <v>2016</v>
      </c>
      <c r="B2085" t="s">
        <v>254</v>
      </c>
      <c r="C2085" s="10" t="s">
        <v>1678</v>
      </c>
      <c r="D2085" s="10" t="s">
        <v>1679</v>
      </c>
      <c r="E2085" s="10" t="s">
        <v>1682</v>
      </c>
      <c r="F2085" t="s">
        <v>751</v>
      </c>
      <c r="G2085" s="4">
        <v>290398</v>
      </c>
      <c r="H2085" s="4"/>
      <c r="I2085" s="4"/>
      <c r="J2085" s="4">
        <f>SUM(G2085:I2085)</f>
        <v>290398</v>
      </c>
      <c r="K2085" t="s">
        <v>1659</v>
      </c>
      <c r="L2085" t="s">
        <v>1659</v>
      </c>
      <c r="M2085" t="s">
        <v>1320</v>
      </c>
      <c r="N2085" t="s">
        <v>1132</v>
      </c>
      <c r="O2085" t="s">
        <v>1132</v>
      </c>
      <c r="P2085" t="str">
        <f>IFERROR(VLOOKUP(F2085,Sheet1!$A$2:$B$54,2,FALSE),"")</f>
        <v/>
      </c>
    </row>
    <row r="2086" spans="1:16" x14ac:dyDescent="0.2">
      <c r="A2086" s="1">
        <v>2017</v>
      </c>
      <c r="B2086" t="s">
        <v>254</v>
      </c>
      <c r="C2086" s="10" t="s">
        <v>1678</v>
      </c>
      <c r="D2086" s="10" t="s">
        <v>1679</v>
      </c>
      <c r="E2086" s="10" t="s">
        <v>1682</v>
      </c>
      <c r="F2086" t="s">
        <v>751</v>
      </c>
      <c r="G2086" s="4">
        <v>368355</v>
      </c>
      <c r="H2086" s="4"/>
      <c r="I2086" s="4"/>
      <c r="J2086" s="4">
        <f>SUM(G2086:I2086)</f>
        <v>368355</v>
      </c>
      <c r="K2086" t="s">
        <v>1659</v>
      </c>
      <c r="L2086" t="s">
        <v>1659</v>
      </c>
      <c r="M2086" t="s">
        <v>1320</v>
      </c>
      <c r="N2086" t="s">
        <v>1132</v>
      </c>
      <c r="O2086" t="s">
        <v>1132</v>
      </c>
      <c r="P2086" t="str">
        <f>IFERROR(VLOOKUP(F2086,Sheet1!$A$2:$B$54,2,FALSE),"")</f>
        <v/>
      </c>
    </row>
    <row r="2087" spans="1:16" x14ac:dyDescent="0.2">
      <c r="A2087" s="1">
        <v>2018</v>
      </c>
      <c r="B2087" t="s">
        <v>254</v>
      </c>
      <c r="C2087" s="10" t="s">
        <v>1678</v>
      </c>
      <c r="D2087" s="10" t="s">
        <v>1679</v>
      </c>
      <c r="E2087" s="10" t="s">
        <v>1682</v>
      </c>
      <c r="F2087" t="s">
        <v>751</v>
      </c>
      <c r="G2087" s="4">
        <v>461525</v>
      </c>
      <c r="H2087" s="4"/>
      <c r="I2087" s="4"/>
      <c r="J2087" s="4">
        <f>SUM(G2087:I2087)</f>
        <v>461525</v>
      </c>
      <c r="K2087" t="s">
        <v>1659</v>
      </c>
      <c r="L2087" t="s">
        <v>1659</v>
      </c>
      <c r="M2087" t="s">
        <v>1320</v>
      </c>
      <c r="N2087" t="s">
        <v>1132</v>
      </c>
      <c r="O2087" t="s">
        <v>1132</v>
      </c>
      <c r="P2087" t="str">
        <f>IFERROR(VLOOKUP(F2087,Sheet1!$A$2:$B$54,2,FALSE),"")</f>
        <v/>
      </c>
    </row>
    <row r="2088" spans="1:16" x14ac:dyDescent="0.2">
      <c r="A2088" s="1">
        <v>2019</v>
      </c>
      <c r="B2088" t="s">
        <v>254</v>
      </c>
      <c r="C2088" s="10" t="s">
        <v>1678</v>
      </c>
      <c r="D2088" s="10" t="s">
        <v>1679</v>
      </c>
      <c r="E2088" s="10" t="s">
        <v>1682</v>
      </c>
      <c r="F2088" t="s">
        <v>751</v>
      </c>
      <c r="G2088" s="4">
        <v>559798</v>
      </c>
      <c r="H2088" s="4"/>
      <c r="I2088" s="4"/>
      <c r="J2088" s="4">
        <f>SUM(G2088:I2088)</f>
        <v>559798</v>
      </c>
      <c r="K2088" t="s">
        <v>1659</v>
      </c>
      <c r="L2088" t="s">
        <v>1659</v>
      </c>
      <c r="M2088" t="s">
        <v>1320</v>
      </c>
      <c r="N2088" t="s">
        <v>1132</v>
      </c>
      <c r="O2088" t="s">
        <v>1132</v>
      </c>
      <c r="P2088" t="str">
        <f>IFERROR(VLOOKUP(F2088,Sheet1!$A$2:$B$54,2,FALSE),"")</f>
        <v/>
      </c>
    </row>
    <row r="2089" spans="1:16" x14ac:dyDescent="0.2">
      <c r="A2089" s="1">
        <v>2020</v>
      </c>
      <c r="B2089" t="s">
        <v>254</v>
      </c>
      <c r="C2089" s="10" t="s">
        <v>1678</v>
      </c>
      <c r="D2089" s="10" t="s">
        <v>1679</v>
      </c>
      <c r="E2089" s="10" t="s">
        <v>1682</v>
      </c>
      <c r="F2089" t="s">
        <v>751</v>
      </c>
      <c r="G2089" s="4">
        <v>647017</v>
      </c>
      <c r="H2089" s="4"/>
      <c r="I2089" s="4"/>
      <c r="J2089" s="4">
        <f>SUM(G2089:I2089)</f>
        <v>647017</v>
      </c>
      <c r="K2089" t="s">
        <v>1659</v>
      </c>
      <c r="L2089" t="s">
        <v>1659</v>
      </c>
      <c r="M2089" t="s">
        <v>1320</v>
      </c>
      <c r="N2089" t="s">
        <v>1132</v>
      </c>
      <c r="O2089" t="s">
        <v>1132</v>
      </c>
      <c r="P2089" t="str">
        <f>IFERROR(VLOOKUP(F2089,Sheet1!$A$2:$B$54,2,FALSE),"")</f>
        <v/>
      </c>
    </row>
    <row r="2090" spans="1:16" x14ac:dyDescent="0.2">
      <c r="A2090" s="1">
        <v>2021</v>
      </c>
      <c r="B2090" t="s">
        <v>254</v>
      </c>
      <c r="C2090" s="10" t="s">
        <v>1678</v>
      </c>
      <c r="D2090" s="10" t="s">
        <v>1679</v>
      </c>
      <c r="E2090" s="10" t="s">
        <v>1682</v>
      </c>
      <c r="F2090" t="s">
        <v>751</v>
      </c>
      <c r="G2090" s="4">
        <v>783946</v>
      </c>
      <c r="H2090" s="4"/>
      <c r="I2090" s="4"/>
      <c r="J2090" s="4">
        <f>SUM(G2090:I2090)</f>
        <v>783946</v>
      </c>
      <c r="K2090" t="s">
        <v>1659</v>
      </c>
      <c r="L2090" t="s">
        <v>1659</v>
      </c>
      <c r="M2090" t="s">
        <v>751</v>
      </c>
      <c r="N2090" t="s">
        <v>1132</v>
      </c>
      <c r="O2090" t="s">
        <v>1132</v>
      </c>
      <c r="P2090" t="str">
        <f>IFERROR(VLOOKUP(F2090,Sheet1!$A$2:$B$54,2,FALSE),"")</f>
        <v/>
      </c>
    </row>
    <row r="2091" spans="1:16" x14ac:dyDescent="0.2">
      <c r="A2091" s="1">
        <v>2022</v>
      </c>
      <c r="B2091" t="s">
        <v>254</v>
      </c>
      <c r="C2091" s="10" t="s">
        <v>1678</v>
      </c>
      <c r="D2091" s="10" t="s">
        <v>1679</v>
      </c>
      <c r="E2091" s="10" t="s">
        <v>1682</v>
      </c>
      <c r="F2091" t="s">
        <v>751</v>
      </c>
      <c r="G2091" s="4">
        <v>918378</v>
      </c>
      <c r="H2091" s="4"/>
      <c r="I2091" s="4"/>
      <c r="J2091" s="4">
        <f>SUM(G2091:I2091)</f>
        <v>918378</v>
      </c>
      <c r="K2091" t="s">
        <v>1659</v>
      </c>
      <c r="L2091" t="s">
        <v>1659</v>
      </c>
      <c r="M2091" t="s">
        <v>751</v>
      </c>
      <c r="N2091" t="s">
        <v>1132</v>
      </c>
      <c r="O2091" t="s">
        <v>1132</v>
      </c>
      <c r="P2091" t="str">
        <f>IFERROR(VLOOKUP(F2091,Sheet1!$A$2:$B$54,2,FALSE),"")</f>
        <v/>
      </c>
    </row>
    <row r="2092" spans="1:16" x14ac:dyDescent="0.2">
      <c r="A2092" s="1">
        <v>2023</v>
      </c>
      <c r="B2092" t="s">
        <v>254</v>
      </c>
      <c r="C2092" s="10" t="s">
        <v>1678</v>
      </c>
      <c r="D2092" s="10" t="s">
        <v>1679</v>
      </c>
      <c r="E2092" s="10" t="s">
        <v>1682</v>
      </c>
      <c r="F2092" t="s">
        <v>751</v>
      </c>
      <c r="G2092" s="4">
        <v>1085631</v>
      </c>
      <c r="H2092" s="4"/>
      <c r="I2092" s="4"/>
      <c r="J2092" s="4">
        <f>SUM(G2092:I2092)</f>
        <v>1085631</v>
      </c>
      <c r="K2092" t="s">
        <v>1659</v>
      </c>
      <c r="L2092" t="s">
        <v>1659</v>
      </c>
      <c r="M2092" t="s">
        <v>751</v>
      </c>
      <c r="N2092" t="s">
        <v>1132</v>
      </c>
      <c r="O2092" t="s">
        <v>1132</v>
      </c>
      <c r="P2092" t="str">
        <f>IFERROR(VLOOKUP(F2092,Sheet1!$A$2:$B$54,2,FALSE),"")</f>
        <v/>
      </c>
    </row>
    <row r="2093" spans="1:16" x14ac:dyDescent="0.2">
      <c r="A2093" s="1">
        <v>2015</v>
      </c>
      <c r="B2093" t="s">
        <v>252</v>
      </c>
      <c r="C2093" s="10" t="s">
        <v>1678</v>
      </c>
      <c r="D2093" s="10" t="s">
        <v>1679</v>
      </c>
      <c r="E2093" s="10" t="s">
        <v>1682</v>
      </c>
      <c r="F2093" t="s">
        <v>749</v>
      </c>
      <c r="G2093" s="4">
        <v>30001</v>
      </c>
      <c r="H2093" s="4">
        <v>334742</v>
      </c>
      <c r="I2093" s="4"/>
      <c r="J2093" s="4">
        <f>SUM(G2093:I2093)</f>
        <v>364743</v>
      </c>
      <c r="K2093" t="s">
        <v>1660</v>
      </c>
      <c r="L2093" t="s">
        <v>1659</v>
      </c>
      <c r="M2093" t="s">
        <v>1317</v>
      </c>
      <c r="N2093" t="s">
        <v>1317</v>
      </c>
      <c r="O2093" t="s">
        <v>1132</v>
      </c>
      <c r="P2093">
        <f>IFERROR(VLOOKUP(F2093,Sheet1!$A$2:$B$54,2,FALSE),"")</f>
        <v>4900063</v>
      </c>
    </row>
    <row r="2094" spans="1:16" x14ac:dyDescent="0.2">
      <c r="A2094" s="1">
        <v>2016</v>
      </c>
      <c r="B2094" t="s">
        <v>252</v>
      </c>
      <c r="C2094" s="10" t="s">
        <v>1678</v>
      </c>
      <c r="D2094" s="10" t="s">
        <v>1679</v>
      </c>
      <c r="E2094" s="10" t="s">
        <v>1682</v>
      </c>
      <c r="F2094" t="s">
        <v>749</v>
      </c>
      <c r="G2094" s="4">
        <v>37295</v>
      </c>
      <c r="H2094" s="4">
        <v>399535</v>
      </c>
      <c r="I2094" s="4"/>
      <c r="J2094" s="4">
        <f>SUM(G2094:I2094)</f>
        <v>436830</v>
      </c>
      <c r="K2094" t="s">
        <v>1660</v>
      </c>
      <c r="L2094" t="s">
        <v>1659</v>
      </c>
      <c r="M2094" t="s">
        <v>1318</v>
      </c>
      <c r="N2094" t="s">
        <v>1318</v>
      </c>
      <c r="O2094" t="s">
        <v>1132</v>
      </c>
      <c r="P2094">
        <f>IFERROR(VLOOKUP(F2094,Sheet1!$A$2:$B$54,2,FALSE),"")</f>
        <v>4900063</v>
      </c>
    </row>
    <row r="2095" spans="1:16" x14ac:dyDescent="0.2">
      <c r="A2095" s="1">
        <v>2017</v>
      </c>
      <c r="B2095" t="s">
        <v>252</v>
      </c>
      <c r="C2095" s="10" t="s">
        <v>1678</v>
      </c>
      <c r="D2095" s="10" t="s">
        <v>1679</v>
      </c>
      <c r="E2095" s="10" t="s">
        <v>1682</v>
      </c>
      <c r="F2095" t="s">
        <v>749</v>
      </c>
      <c r="G2095" s="4">
        <v>38757</v>
      </c>
      <c r="H2095" s="4">
        <v>465727</v>
      </c>
      <c r="I2095" s="4"/>
      <c r="J2095" s="4">
        <f>SUM(G2095:I2095)</f>
        <v>504484</v>
      </c>
      <c r="K2095" t="s">
        <v>1660</v>
      </c>
      <c r="L2095" t="s">
        <v>1659</v>
      </c>
      <c r="M2095" t="s">
        <v>1317</v>
      </c>
      <c r="N2095" t="s">
        <v>1317</v>
      </c>
      <c r="O2095" t="s">
        <v>1132</v>
      </c>
      <c r="P2095">
        <f>IFERROR(VLOOKUP(F2095,Sheet1!$A$2:$B$54,2,FALSE),"")</f>
        <v>4900063</v>
      </c>
    </row>
    <row r="2096" spans="1:16" x14ac:dyDescent="0.2">
      <c r="A2096" s="1">
        <v>2018</v>
      </c>
      <c r="B2096" t="s">
        <v>252</v>
      </c>
      <c r="C2096" s="10" t="s">
        <v>1678</v>
      </c>
      <c r="D2096" s="10" t="s">
        <v>1679</v>
      </c>
      <c r="E2096" s="10" t="s">
        <v>1682</v>
      </c>
      <c r="F2096" t="s">
        <v>749</v>
      </c>
      <c r="G2096" s="4">
        <v>61161</v>
      </c>
      <c r="H2096" s="4">
        <v>528219</v>
      </c>
      <c r="I2096" s="4"/>
      <c r="J2096" s="4">
        <f>SUM(G2096:I2096)</f>
        <v>589380</v>
      </c>
      <c r="K2096" t="s">
        <v>1660</v>
      </c>
      <c r="L2096" t="s">
        <v>1659</v>
      </c>
      <c r="M2096" t="s">
        <v>1317</v>
      </c>
      <c r="N2096" t="s">
        <v>1317</v>
      </c>
      <c r="O2096" t="s">
        <v>1132</v>
      </c>
      <c r="P2096">
        <f>IFERROR(VLOOKUP(F2096,Sheet1!$A$2:$B$54,2,FALSE),"")</f>
        <v>4900063</v>
      </c>
    </row>
    <row r="2097" spans="1:16" x14ac:dyDescent="0.2">
      <c r="A2097" s="1">
        <v>2019</v>
      </c>
      <c r="B2097" t="s">
        <v>252</v>
      </c>
      <c r="C2097" s="10" t="s">
        <v>1678</v>
      </c>
      <c r="D2097" s="10" t="s">
        <v>1679</v>
      </c>
      <c r="E2097" s="10" t="s">
        <v>1682</v>
      </c>
      <c r="F2097" t="s">
        <v>749</v>
      </c>
      <c r="G2097" s="4">
        <v>94107</v>
      </c>
      <c r="H2097" s="4">
        <v>672532</v>
      </c>
      <c r="I2097" s="4"/>
      <c r="J2097" s="4">
        <f>SUM(G2097:I2097)</f>
        <v>766639</v>
      </c>
      <c r="K2097" t="s">
        <v>1660</v>
      </c>
      <c r="L2097" t="s">
        <v>1659</v>
      </c>
      <c r="M2097" t="s">
        <v>1318</v>
      </c>
      <c r="N2097" t="s">
        <v>1318</v>
      </c>
      <c r="O2097" t="s">
        <v>1132</v>
      </c>
      <c r="P2097">
        <f>IFERROR(VLOOKUP(F2097,Sheet1!$A$2:$B$54,2,FALSE),"")</f>
        <v>4900063</v>
      </c>
    </row>
    <row r="2098" spans="1:16" x14ac:dyDescent="0.2">
      <c r="A2098" s="1">
        <v>2020</v>
      </c>
      <c r="B2098" t="s">
        <v>252</v>
      </c>
      <c r="C2098" s="10" t="s">
        <v>1678</v>
      </c>
      <c r="D2098" s="10" t="s">
        <v>1679</v>
      </c>
      <c r="E2098" s="10" t="s">
        <v>1682</v>
      </c>
      <c r="F2098" t="s">
        <v>749</v>
      </c>
      <c r="G2098" s="4">
        <v>115077</v>
      </c>
      <c r="H2098" s="4">
        <v>792702</v>
      </c>
      <c r="I2098" s="4"/>
      <c r="J2098" s="4">
        <f>SUM(G2098:I2098)</f>
        <v>907779</v>
      </c>
      <c r="K2098" t="s">
        <v>1660</v>
      </c>
      <c r="L2098" t="s">
        <v>1659</v>
      </c>
      <c r="M2098" t="s">
        <v>1317</v>
      </c>
      <c r="N2098" t="s">
        <v>1317</v>
      </c>
      <c r="O2098" t="s">
        <v>1132</v>
      </c>
      <c r="P2098">
        <f>IFERROR(VLOOKUP(F2098,Sheet1!$A$2:$B$54,2,FALSE),"")</f>
        <v>4900063</v>
      </c>
    </row>
    <row r="2099" spans="1:16" x14ac:dyDescent="0.2">
      <c r="A2099" s="1">
        <v>2021</v>
      </c>
      <c r="B2099" t="s">
        <v>252</v>
      </c>
      <c r="C2099" s="10" t="s">
        <v>1678</v>
      </c>
      <c r="D2099" s="10" t="s">
        <v>1679</v>
      </c>
      <c r="E2099" s="10" t="s">
        <v>1682</v>
      </c>
      <c r="F2099" t="s">
        <v>749</v>
      </c>
      <c r="G2099" s="4">
        <v>114148</v>
      </c>
      <c r="H2099" s="4">
        <v>870363</v>
      </c>
      <c r="I2099" s="4"/>
      <c r="J2099" s="4">
        <f>SUM(G2099:I2099)</f>
        <v>984511</v>
      </c>
      <c r="K2099" t="s">
        <v>1660</v>
      </c>
      <c r="L2099" t="s">
        <v>1659</v>
      </c>
      <c r="M2099" t="s">
        <v>749</v>
      </c>
      <c r="N2099" t="s">
        <v>749</v>
      </c>
      <c r="O2099" t="s">
        <v>1132</v>
      </c>
      <c r="P2099">
        <f>IFERROR(VLOOKUP(F2099,Sheet1!$A$2:$B$54,2,FALSE),"")</f>
        <v>4900063</v>
      </c>
    </row>
    <row r="2100" spans="1:16" x14ac:dyDescent="0.2">
      <c r="A2100" s="1">
        <v>2022</v>
      </c>
      <c r="B2100" t="s">
        <v>252</v>
      </c>
      <c r="C2100" s="10" t="s">
        <v>1678</v>
      </c>
      <c r="D2100" s="10" t="s">
        <v>1679</v>
      </c>
      <c r="E2100" s="10" t="s">
        <v>1682</v>
      </c>
      <c r="F2100" t="s">
        <v>749</v>
      </c>
      <c r="G2100" s="4">
        <v>136583</v>
      </c>
      <c r="H2100" s="4">
        <v>958063</v>
      </c>
      <c r="I2100" s="4"/>
      <c r="J2100" s="4">
        <f>SUM(G2100:I2100)</f>
        <v>1094646</v>
      </c>
      <c r="K2100" t="s">
        <v>1660</v>
      </c>
      <c r="L2100" t="s">
        <v>1659</v>
      </c>
      <c r="M2100" t="s">
        <v>749</v>
      </c>
      <c r="N2100" t="s">
        <v>749</v>
      </c>
      <c r="O2100" t="s">
        <v>1132</v>
      </c>
      <c r="P2100">
        <f>IFERROR(VLOOKUP(F2100,Sheet1!$A$2:$B$54,2,FALSE),"")</f>
        <v>4900063</v>
      </c>
    </row>
    <row r="2101" spans="1:16" x14ac:dyDescent="0.2">
      <c r="A2101" s="1">
        <v>2023</v>
      </c>
      <c r="B2101" t="s">
        <v>252</v>
      </c>
      <c r="C2101" s="10" t="s">
        <v>1678</v>
      </c>
      <c r="D2101" s="10" t="s">
        <v>1679</v>
      </c>
      <c r="E2101" s="10" t="s">
        <v>1682</v>
      </c>
      <c r="F2101" t="s">
        <v>749</v>
      </c>
      <c r="G2101" s="4">
        <v>167088</v>
      </c>
      <c r="H2101" s="4">
        <v>1043104</v>
      </c>
      <c r="I2101" s="4"/>
      <c r="J2101" s="4">
        <f>SUM(G2101:I2101)</f>
        <v>1210192</v>
      </c>
      <c r="K2101" t="s">
        <v>1660</v>
      </c>
      <c r="L2101" t="s">
        <v>1659</v>
      </c>
      <c r="M2101" t="s">
        <v>749</v>
      </c>
      <c r="N2101" t="s">
        <v>749</v>
      </c>
      <c r="O2101" t="s">
        <v>1132</v>
      </c>
      <c r="P2101">
        <f>IFERROR(VLOOKUP(F2101,Sheet1!$A$2:$B$54,2,FALSE),"")</f>
        <v>4900063</v>
      </c>
    </row>
    <row r="2102" spans="1:16" x14ac:dyDescent="0.2">
      <c r="A2102" s="1">
        <v>2015</v>
      </c>
      <c r="B2102" t="s">
        <v>256</v>
      </c>
      <c r="C2102" s="10" t="s">
        <v>1678</v>
      </c>
      <c r="D2102" s="10" t="s">
        <v>1679</v>
      </c>
      <c r="E2102" s="10" t="s">
        <v>1682</v>
      </c>
      <c r="F2102" t="s">
        <v>753</v>
      </c>
      <c r="G2102" s="4">
        <v>8914</v>
      </c>
      <c r="H2102" s="4">
        <v>832344</v>
      </c>
      <c r="I2102" s="4">
        <v>29055</v>
      </c>
      <c r="J2102" s="4">
        <f>SUM(G2102:I2102)</f>
        <v>870313</v>
      </c>
      <c r="K2102" t="s">
        <v>1660</v>
      </c>
      <c r="L2102" t="s">
        <v>1660</v>
      </c>
      <c r="M2102" t="s">
        <v>1322</v>
      </c>
      <c r="N2102" t="s">
        <v>1322</v>
      </c>
      <c r="O2102" t="s">
        <v>1322</v>
      </c>
      <c r="P2102" t="str">
        <f>IFERROR(VLOOKUP(F2102,Sheet1!$A$2:$B$54,2,FALSE),"")</f>
        <v/>
      </c>
    </row>
    <row r="2103" spans="1:16" x14ac:dyDescent="0.2">
      <c r="A2103" s="1">
        <v>2016</v>
      </c>
      <c r="B2103" t="s">
        <v>256</v>
      </c>
      <c r="C2103" s="10" t="s">
        <v>1678</v>
      </c>
      <c r="D2103" s="10" t="s">
        <v>1679</v>
      </c>
      <c r="E2103" s="10" t="s">
        <v>1682</v>
      </c>
      <c r="F2103" t="s">
        <v>753</v>
      </c>
      <c r="G2103" s="4">
        <v>9479</v>
      </c>
      <c r="H2103" s="4">
        <v>776080</v>
      </c>
      <c r="I2103" s="4">
        <v>30277</v>
      </c>
      <c r="J2103" s="4">
        <f>SUM(G2103:I2103)</f>
        <v>815836</v>
      </c>
      <c r="K2103" t="s">
        <v>1660</v>
      </c>
      <c r="L2103" t="s">
        <v>1660</v>
      </c>
      <c r="M2103" t="s">
        <v>1323</v>
      </c>
      <c r="N2103" t="s">
        <v>1323</v>
      </c>
      <c r="O2103" t="s">
        <v>1323</v>
      </c>
      <c r="P2103" t="str">
        <f>IFERROR(VLOOKUP(F2103,Sheet1!$A$2:$B$54,2,FALSE),"")</f>
        <v/>
      </c>
    </row>
    <row r="2104" spans="1:16" x14ac:dyDescent="0.2">
      <c r="A2104" s="1">
        <v>2017</v>
      </c>
      <c r="B2104" t="s">
        <v>256</v>
      </c>
      <c r="C2104" s="10" t="s">
        <v>1678</v>
      </c>
      <c r="D2104" s="10" t="s">
        <v>1679</v>
      </c>
      <c r="E2104" s="10" t="s">
        <v>1682</v>
      </c>
      <c r="F2104" t="s">
        <v>753</v>
      </c>
      <c r="G2104" s="4">
        <v>16686</v>
      </c>
      <c r="H2104" s="4">
        <v>718367</v>
      </c>
      <c r="I2104" s="4">
        <v>15550</v>
      </c>
      <c r="J2104" s="4">
        <f>SUM(G2104:I2104)</f>
        <v>750603</v>
      </c>
      <c r="K2104" t="s">
        <v>1660</v>
      </c>
      <c r="L2104" t="s">
        <v>1660</v>
      </c>
      <c r="M2104" t="s">
        <v>1324</v>
      </c>
      <c r="N2104" t="s">
        <v>1324</v>
      </c>
      <c r="O2104" t="s">
        <v>1324</v>
      </c>
      <c r="P2104" t="str">
        <f>IFERROR(VLOOKUP(F2104,Sheet1!$A$2:$B$54,2,FALSE),"")</f>
        <v/>
      </c>
    </row>
    <row r="2105" spans="1:16" x14ac:dyDescent="0.2">
      <c r="A2105" s="1">
        <v>2018</v>
      </c>
      <c r="B2105" t="s">
        <v>256</v>
      </c>
      <c r="C2105" s="10" t="s">
        <v>1678</v>
      </c>
      <c r="D2105" s="10" t="s">
        <v>1679</v>
      </c>
      <c r="E2105" s="10" t="s">
        <v>1682</v>
      </c>
      <c r="F2105" t="s">
        <v>753</v>
      </c>
      <c r="G2105" s="4">
        <v>22032</v>
      </c>
      <c r="H2105" s="4">
        <v>707621</v>
      </c>
      <c r="I2105" s="4">
        <v>0</v>
      </c>
      <c r="J2105" s="4">
        <f>SUM(G2105:I2105)</f>
        <v>729653</v>
      </c>
      <c r="K2105" t="s">
        <v>1660</v>
      </c>
      <c r="L2105" t="s">
        <v>1660</v>
      </c>
      <c r="M2105" t="s">
        <v>1324</v>
      </c>
      <c r="N2105" t="s">
        <v>1324</v>
      </c>
      <c r="O2105" t="s">
        <v>1322</v>
      </c>
      <c r="P2105" t="str">
        <f>IFERROR(VLOOKUP(F2105,Sheet1!$A$2:$B$54,2,FALSE),"")</f>
        <v/>
      </c>
    </row>
    <row r="2106" spans="1:16" x14ac:dyDescent="0.2">
      <c r="A2106" s="1">
        <v>2019</v>
      </c>
      <c r="B2106" t="s">
        <v>256</v>
      </c>
      <c r="C2106" s="10" t="s">
        <v>1678</v>
      </c>
      <c r="D2106" s="10" t="s">
        <v>1679</v>
      </c>
      <c r="E2106" s="10" t="s">
        <v>1682</v>
      </c>
      <c r="F2106" t="s">
        <v>753</v>
      </c>
      <c r="G2106" s="4">
        <v>26491</v>
      </c>
      <c r="H2106" s="4">
        <v>687494</v>
      </c>
      <c r="I2106" s="4">
        <v>0</v>
      </c>
      <c r="J2106" s="4">
        <f>SUM(G2106:I2106)</f>
        <v>713985</v>
      </c>
      <c r="K2106" t="s">
        <v>1660</v>
      </c>
      <c r="L2106" t="s">
        <v>1660</v>
      </c>
      <c r="M2106" t="s">
        <v>1324</v>
      </c>
      <c r="N2106" t="s">
        <v>1324</v>
      </c>
      <c r="O2106" t="s">
        <v>1322</v>
      </c>
      <c r="P2106" t="str">
        <f>IFERROR(VLOOKUP(F2106,Sheet1!$A$2:$B$54,2,FALSE),"")</f>
        <v/>
      </c>
    </row>
    <row r="2107" spans="1:16" x14ac:dyDescent="0.2">
      <c r="A2107" s="1">
        <v>2020</v>
      </c>
      <c r="B2107" t="s">
        <v>256</v>
      </c>
      <c r="C2107" s="10" t="s">
        <v>1678</v>
      </c>
      <c r="D2107" s="10" t="s">
        <v>1679</v>
      </c>
      <c r="E2107" s="10" t="s">
        <v>1682</v>
      </c>
      <c r="F2107" t="s">
        <v>753</v>
      </c>
      <c r="G2107" s="4">
        <v>33634</v>
      </c>
      <c r="H2107" s="4">
        <v>625153</v>
      </c>
      <c r="I2107" s="4">
        <v>0</v>
      </c>
      <c r="J2107" s="4">
        <f>SUM(G2107:I2107)</f>
        <v>658787</v>
      </c>
      <c r="K2107" t="s">
        <v>1660</v>
      </c>
      <c r="L2107" t="s">
        <v>1660</v>
      </c>
      <c r="M2107" t="s">
        <v>1324</v>
      </c>
      <c r="N2107" t="s">
        <v>1324</v>
      </c>
      <c r="O2107" t="s">
        <v>1324</v>
      </c>
      <c r="P2107" t="str">
        <f>IFERROR(VLOOKUP(F2107,Sheet1!$A$2:$B$54,2,FALSE),"")</f>
        <v/>
      </c>
    </row>
    <row r="2108" spans="1:16" x14ac:dyDescent="0.2">
      <c r="A2108" s="1">
        <v>2021</v>
      </c>
      <c r="B2108" t="s">
        <v>256</v>
      </c>
      <c r="C2108" s="10" t="s">
        <v>1678</v>
      </c>
      <c r="D2108" s="10" t="s">
        <v>1679</v>
      </c>
      <c r="E2108" s="10" t="s">
        <v>1682</v>
      </c>
      <c r="F2108" t="s">
        <v>753</v>
      </c>
      <c r="G2108" s="4">
        <v>41168</v>
      </c>
      <c r="H2108" s="4">
        <v>555869</v>
      </c>
      <c r="I2108" s="4">
        <v>0</v>
      </c>
      <c r="J2108" s="4">
        <f>SUM(G2108:I2108)</f>
        <v>597037</v>
      </c>
      <c r="K2108" t="s">
        <v>1660</v>
      </c>
      <c r="L2108" t="s">
        <v>1660</v>
      </c>
      <c r="M2108" t="s">
        <v>753</v>
      </c>
      <c r="N2108" t="s">
        <v>753</v>
      </c>
      <c r="O2108" t="s">
        <v>753</v>
      </c>
      <c r="P2108" t="str">
        <f>IFERROR(VLOOKUP(F2108,Sheet1!$A$2:$B$54,2,FALSE),"")</f>
        <v/>
      </c>
    </row>
    <row r="2109" spans="1:16" x14ac:dyDescent="0.2">
      <c r="A2109" s="1">
        <v>2022</v>
      </c>
      <c r="B2109" t="s">
        <v>256</v>
      </c>
      <c r="C2109" s="10" t="s">
        <v>1678</v>
      </c>
      <c r="D2109" s="10" t="s">
        <v>1679</v>
      </c>
      <c r="E2109" s="10" t="s">
        <v>1682</v>
      </c>
      <c r="F2109" t="s">
        <v>753</v>
      </c>
      <c r="G2109" s="4">
        <v>66500</v>
      </c>
      <c r="H2109" s="4">
        <v>620006</v>
      </c>
      <c r="I2109" s="4">
        <v>0</v>
      </c>
      <c r="J2109" s="4">
        <f>SUM(G2109:I2109)</f>
        <v>686506</v>
      </c>
      <c r="K2109" t="s">
        <v>1660</v>
      </c>
      <c r="L2109" t="s">
        <v>1660</v>
      </c>
      <c r="M2109" t="s">
        <v>753</v>
      </c>
      <c r="N2109" t="s">
        <v>753</v>
      </c>
      <c r="O2109" t="s">
        <v>753</v>
      </c>
      <c r="P2109" t="str">
        <f>IFERROR(VLOOKUP(F2109,Sheet1!$A$2:$B$54,2,FALSE),"")</f>
        <v/>
      </c>
    </row>
    <row r="2110" spans="1:16" x14ac:dyDescent="0.2">
      <c r="A2110" s="1">
        <v>2023</v>
      </c>
      <c r="B2110" t="s">
        <v>256</v>
      </c>
      <c r="C2110" s="10" t="s">
        <v>1678</v>
      </c>
      <c r="D2110" s="10" t="s">
        <v>1679</v>
      </c>
      <c r="E2110" s="10" t="s">
        <v>1682</v>
      </c>
      <c r="F2110" t="s">
        <v>753</v>
      </c>
      <c r="G2110" s="4">
        <v>105801</v>
      </c>
      <c r="H2110" s="4">
        <v>656902</v>
      </c>
      <c r="I2110" s="4"/>
      <c r="J2110" s="4">
        <f>SUM(G2110:I2110)</f>
        <v>762703</v>
      </c>
      <c r="K2110" t="s">
        <v>1660</v>
      </c>
      <c r="L2110" t="s">
        <v>1659</v>
      </c>
      <c r="M2110" t="s">
        <v>753</v>
      </c>
      <c r="N2110" t="s">
        <v>753</v>
      </c>
      <c r="O2110" t="s">
        <v>1132</v>
      </c>
      <c r="P2110" t="str">
        <f>IFERROR(VLOOKUP(F2110,Sheet1!$A$2:$B$54,2,FALSE),"")</f>
        <v/>
      </c>
    </row>
    <row r="2111" spans="1:16" x14ac:dyDescent="0.2">
      <c r="A2111" s="1">
        <v>2016</v>
      </c>
      <c r="B2111" t="s">
        <v>257</v>
      </c>
      <c r="C2111" s="10" t="s">
        <v>1678</v>
      </c>
      <c r="D2111" s="10" t="s">
        <v>1679</v>
      </c>
      <c r="E2111" s="10" t="s">
        <v>1682</v>
      </c>
      <c r="F2111" t="s">
        <v>754</v>
      </c>
      <c r="G2111" s="4">
        <v>3862</v>
      </c>
      <c r="H2111" s="4"/>
      <c r="I2111" s="4"/>
      <c r="J2111" s="4">
        <f>SUM(G2111:I2111)</f>
        <v>3862</v>
      </c>
      <c r="K2111" t="s">
        <v>1659</v>
      </c>
      <c r="L2111" t="s">
        <v>1659</v>
      </c>
      <c r="M2111" t="s">
        <v>1325</v>
      </c>
      <c r="N2111" t="s">
        <v>1132</v>
      </c>
      <c r="O2111" t="s">
        <v>1132</v>
      </c>
      <c r="P2111" t="str">
        <f>IFERROR(VLOOKUP(F2111,Sheet1!$A$2:$B$54,2,FALSE),"")</f>
        <v/>
      </c>
    </row>
    <row r="2112" spans="1:16" x14ac:dyDescent="0.2">
      <c r="A2112" s="1">
        <v>2017</v>
      </c>
      <c r="B2112" t="s">
        <v>257</v>
      </c>
      <c r="C2112" s="10" t="s">
        <v>1678</v>
      </c>
      <c r="D2112" s="10" t="s">
        <v>1679</v>
      </c>
      <c r="E2112" s="10" t="s">
        <v>1682</v>
      </c>
      <c r="F2112" t="s">
        <v>754</v>
      </c>
      <c r="G2112" s="4">
        <v>2632</v>
      </c>
      <c r="H2112" s="4"/>
      <c r="I2112" s="4"/>
      <c r="J2112" s="4">
        <f>SUM(G2112:I2112)</f>
        <v>2632</v>
      </c>
      <c r="K2112" t="s">
        <v>1659</v>
      </c>
      <c r="L2112" t="s">
        <v>1659</v>
      </c>
      <c r="M2112" t="s">
        <v>1326</v>
      </c>
      <c r="N2112" t="s">
        <v>1132</v>
      </c>
      <c r="O2112" t="s">
        <v>1132</v>
      </c>
      <c r="P2112" t="str">
        <f>IFERROR(VLOOKUP(F2112,Sheet1!$A$2:$B$54,2,FALSE),"")</f>
        <v/>
      </c>
    </row>
    <row r="2113" spans="1:16" x14ac:dyDescent="0.2">
      <c r="A2113" s="1">
        <v>2018</v>
      </c>
      <c r="B2113" t="s">
        <v>257</v>
      </c>
      <c r="C2113" s="10" t="s">
        <v>1678</v>
      </c>
      <c r="D2113" s="10" t="s">
        <v>1679</v>
      </c>
      <c r="E2113" s="10" t="s">
        <v>1682</v>
      </c>
      <c r="F2113" t="s">
        <v>754</v>
      </c>
      <c r="G2113" s="4">
        <v>9549</v>
      </c>
      <c r="H2113" s="4"/>
      <c r="I2113" s="4"/>
      <c r="J2113" s="4">
        <f>SUM(G2113:I2113)</f>
        <v>9549</v>
      </c>
      <c r="K2113" t="s">
        <v>1659</v>
      </c>
      <c r="L2113" t="s">
        <v>1659</v>
      </c>
      <c r="M2113" t="s">
        <v>1326</v>
      </c>
      <c r="N2113" t="s">
        <v>1132</v>
      </c>
      <c r="O2113" t="s">
        <v>1132</v>
      </c>
      <c r="P2113" t="str">
        <f>IFERROR(VLOOKUP(F2113,Sheet1!$A$2:$B$54,2,FALSE),"")</f>
        <v/>
      </c>
    </row>
    <row r="2114" spans="1:16" x14ac:dyDescent="0.2">
      <c r="A2114" s="1">
        <v>2019</v>
      </c>
      <c r="B2114" t="s">
        <v>257</v>
      </c>
      <c r="C2114" s="10" t="s">
        <v>1678</v>
      </c>
      <c r="D2114" s="10" t="s">
        <v>1679</v>
      </c>
      <c r="E2114" s="10" t="s">
        <v>1682</v>
      </c>
      <c r="F2114" t="s">
        <v>754</v>
      </c>
      <c r="G2114" s="4">
        <v>12321</v>
      </c>
      <c r="H2114" s="4"/>
      <c r="I2114" s="4"/>
      <c r="J2114" s="4">
        <f>SUM(G2114:I2114)</f>
        <v>12321</v>
      </c>
      <c r="K2114" t="s">
        <v>1659</v>
      </c>
      <c r="L2114" t="s">
        <v>1659</v>
      </c>
      <c r="M2114" t="s">
        <v>1326</v>
      </c>
      <c r="N2114" t="s">
        <v>1132</v>
      </c>
      <c r="O2114" t="s">
        <v>1132</v>
      </c>
      <c r="P2114" t="str">
        <f>IFERROR(VLOOKUP(F2114,Sheet1!$A$2:$B$54,2,FALSE),"")</f>
        <v/>
      </c>
    </row>
    <row r="2115" spans="1:16" x14ac:dyDescent="0.2">
      <c r="A2115" s="1">
        <v>2020</v>
      </c>
      <c r="B2115" t="s">
        <v>257</v>
      </c>
      <c r="C2115" s="10" t="s">
        <v>1678</v>
      </c>
      <c r="D2115" s="10" t="s">
        <v>1679</v>
      </c>
      <c r="E2115" s="10" t="s">
        <v>1682</v>
      </c>
      <c r="F2115" t="s">
        <v>754</v>
      </c>
      <c r="G2115" s="4">
        <v>20457</v>
      </c>
      <c r="H2115" s="4"/>
      <c r="I2115" s="4"/>
      <c r="J2115" s="4">
        <f>SUM(G2115:I2115)</f>
        <v>20457</v>
      </c>
      <c r="K2115" t="s">
        <v>1659</v>
      </c>
      <c r="L2115" t="s">
        <v>1659</v>
      </c>
      <c r="M2115" t="s">
        <v>1327</v>
      </c>
      <c r="N2115" t="s">
        <v>1132</v>
      </c>
      <c r="O2115" t="s">
        <v>1132</v>
      </c>
      <c r="P2115" t="str">
        <f>IFERROR(VLOOKUP(F2115,Sheet1!$A$2:$B$54,2,FALSE),"")</f>
        <v/>
      </c>
    </row>
    <row r="2116" spans="1:16" x14ac:dyDescent="0.2">
      <c r="A2116" s="1">
        <v>2021</v>
      </c>
      <c r="B2116" t="s">
        <v>257</v>
      </c>
      <c r="C2116" s="10" t="s">
        <v>1678</v>
      </c>
      <c r="D2116" s="10" t="s">
        <v>1679</v>
      </c>
      <c r="E2116" s="10" t="s">
        <v>1682</v>
      </c>
      <c r="F2116" t="s">
        <v>754</v>
      </c>
      <c r="G2116" s="4">
        <v>11686</v>
      </c>
      <c r="H2116" s="4"/>
      <c r="I2116" s="4"/>
      <c r="J2116" s="4">
        <f>SUM(G2116:I2116)</f>
        <v>11686</v>
      </c>
      <c r="K2116" t="s">
        <v>1659</v>
      </c>
      <c r="L2116" t="s">
        <v>1659</v>
      </c>
      <c r="M2116" t="s">
        <v>754</v>
      </c>
      <c r="N2116" t="s">
        <v>1132</v>
      </c>
      <c r="O2116" t="s">
        <v>1132</v>
      </c>
      <c r="P2116" t="str">
        <f>IFERROR(VLOOKUP(F2116,Sheet1!$A$2:$B$54,2,FALSE),"")</f>
        <v/>
      </c>
    </row>
    <row r="2117" spans="1:16" x14ac:dyDescent="0.2">
      <c r="A2117" s="1">
        <v>2022</v>
      </c>
      <c r="B2117" t="s">
        <v>257</v>
      </c>
      <c r="C2117" s="10" t="s">
        <v>1678</v>
      </c>
      <c r="D2117" s="10" t="s">
        <v>1679</v>
      </c>
      <c r="E2117" s="10" t="s">
        <v>1682</v>
      </c>
      <c r="F2117" t="s">
        <v>754</v>
      </c>
      <c r="G2117" s="4">
        <v>21197</v>
      </c>
      <c r="H2117" s="4"/>
      <c r="I2117" s="4"/>
      <c r="J2117" s="4">
        <f>SUM(G2117:I2117)</f>
        <v>21197</v>
      </c>
      <c r="K2117" t="s">
        <v>1659</v>
      </c>
      <c r="L2117" t="s">
        <v>1659</v>
      </c>
      <c r="M2117" t="s">
        <v>754</v>
      </c>
      <c r="N2117" t="s">
        <v>1132</v>
      </c>
      <c r="O2117" t="s">
        <v>1132</v>
      </c>
      <c r="P2117" t="str">
        <f>IFERROR(VLOOKUP(F2117,Sheet1!$A$2:$B$54,2,FALSE),"")</f>
        <v/>
      </c>
    </row>
    <row r="2118" spans="1:16" x14ac:dyDescent="0.2">
      <c r="A2118" s="1">
        <v>2023</v>
      </c>
      <c r="B2118" t="s">
        <v>257</v>
      </c>
      <c r="C2118" s="10" t="s">
        <v>1678</v>
      </c>
      <c r="D2118" s="10" t="s">
        <v>1679</v>
      </c>
      <c r="E2118" s="10" t="s">
        <v>1682</v>
      </c>
      <c r="F2118" t="s">
        <v>754</v>
      </c>
      <c r="G2118" s="4">
        <v>30087</v>
      </c>
      <c r="H2118" s="4"/>
      <c r="I2118" s="4"/>
      <c r="J2118" s="4">
        <f>SUM(G2118:I2118)</f>
        <v>30087</v>
      </c>
      <c r="K2118" t="s">
        <v>1659</v>
      </c>
      <c r="L2118" t="s">
        <v>1659</v>
      </c>
      <c r="M2118" t="s">
        <v>754</v>
      </c>
      <c r="N2118" t="s">
        <v>1132</v>
      </c>
      <c r="O2118" t="s">
        <v>1132</v>
      </c>
      <c r="P2118" t="str">
        <f>IFERROR(VLOOKUP(F2118,Sheet1!$A$2:$B$54,2,FALSE),"")</f>
        <v/>
      </c>
    </row>
    <row r="2119" spans="1:16" x14ac:dyDescent="0.2">
      <c r="A2119" s="1">
        <v>2017</v>
      </c>
      <c r="B2119" t="s">
        <v>258</v>
      </c>
      <c r="C2119" s="10" t="s">
        <v>1678</v>
      </c>
      <c r="D2119" s="10" t="s">
        <v>1679</v>
      </c>
      <c r="E2119" s="10" t="s">
        <v>1682</v>
      </c>
      <c r="F2119" t="s">
        <v>755</v>
      </c>
      <c r="G2119" s="4">
        <v>652</v>
      </c>
      <c r="H2119" s="4"/>
      <c r="I2119" s="4"/>
      <c r="J2119" s="4">
        <f>SUM(G2119:I2119)</f>
        <v>652</v>
      </c>
      <c r="K2119" t="s">
        <v>1659</v>
      </c>
      <c r="L2119" t="s">
        <v>1659</v>
      </c>
      <c r="M2119" t="s">
        <v>1328</v>
      </c>
      <c r="N2119" t="s">
        <v>1132</v>
      </c>
      <c r="O2119" t="s">
        <v>1132</v>
      </c>
      <c r="P2119" t="str">
        <f>IFERROR(VLOOKUP(F2119,Sheet1!$A$2:$B$54,2,FALSE),"")</f>
        <v/>
      </c>
    </row>
    <row r="2120" spans="1:16" x14ac:dyDescent="0.2">
      <c r="A2120" s="1">
        <v>2018</v>
      </c>
      <c r="B2120" t="s">
        <v>258</v>
      </c>
      <c r="C2120" s="10" t="s">
        <v>1678</v>
      </c>
      <c r="D2120" s="10" t="s">
        <v>1679</v>
      </c>
      <c r="E2120" s="10" t="s">
        <v>1682</v>
      </c>
      <c r="F2120" t="s">
        <v>755</v>
      </c>
      <c r="G2120" s="4">
        <v>1049</v>
      </c>
      <c r="H2120" s="4"/>
      <c r="I2120" s="4"/>
      <c r="J2120" s="4">
        <f>SUM(G2120:I2120)</f>
        <v>1049</v>
      </c>
      <c r="K2120" t="s">
        <v>1659</v>
      </c>
      <c r="L2120" t="s">
        <v>1659</v>
      </c>
      <c r="M2120" t="s">
        <v>1328</v>
      </c>
      <c r="N2120" t="s">
        <v>1132</v>
      </c>
      <c r="O2120" t="s">
        <v>1132</v>
      </c>
      <c r="P2120" t="str">
        <f>IFERROR(VLOOKUP(F2120,Sheet1!$A$2:$B$54,2,FALSE),"")</f>
        <v/>
      </c>
    </row>
    <row r="2121" spans="1:16" x14ac:dyDescent="0.2">
      <c r="A2121" s="1">
        <v>2019</v>
      </c>
      <c r="B2121" t="s">
        <v>258</v>
      </c>
      <c r="C2121" s="10" t="s">
        <v>1678</v>
      </c>
      <c r="D2121" s="10" t="s">
        <v>1679</v>
      </c>
      <c r="E2121" s="10" t="s">
        <v>1682</v>
      </c>
      <c r="F2121" t="s">
        <v>755</v>
      </c>
      <c r="G2121" s="4">
        <v>3772</v>
      </c>
      <c r="H2121" s="4"/>
      <c r="I2121" s="4"/>
      <c r="J2121" s="4">
        <f>SUM(G2121:I2121)</f>
        <v>3772</v>
      </c>
      <c r="K2121" t="s">
        <v>1659</v>
      </c>
      <c r="L2121" t="s">
        <v>1659</v>
      </c>
      <c r="M2121" t="s">
        <v>1328</v>
      </c>
      <c r="N2121" t="s">
        <v>1132</v>
      </c>
      <c r="O2121" t="s">
        <v>1132</v>
      </c>
      <c r="P2121" t="str">
        <f>IFERROR(VLOOKUP(F2121,Sheet1!$A$2:$B$54,2,FALSE),"")</f>
        <v/>
      </c>
    </row>
    <row r="2122" spans="1:16" x14ac:dyDescent="0.2">
      <c r="A2122" s="1">
        <v>2020</v>
      </c>
      <c r="B2122" t="s">
        <v>258</v>
      </c>
      <c r="C2122" s="10" t="s">
        <v>1678</v>
      </c>
      <c r="D2122" s="10" t="s">
        <v>1679</v>
      </c>
      <c r="E2122" s="10" t="s">
        <v>1682</v>
      </c>
      <c r="F2122" t="s">
        <v>755</v>
      </c>
      <c r="G2122" s="4">
        <v>2191</v>
      </c>
      <c r="H2122" s="4"/>
      <c r="I2122" s="4"/>
      <c r="J2122" s="4">
        <f>SUM(G2122:I2122)</f>
        <v>2191</v>
      </c>
      <c r="K2122" t="s">
        <v>1659</v>
      </c>
      <c r="L2122" t="s">
        <v>1659</v>
      </c>
      <c r="M2122" t="s">
        <v>1328</v>
      </c>
      <c r="N2122" t="s">
        <v>1132</v>
      </c>
      <c r="O2122" t="s">
        <v>1132</v>
      </c>
      <c r="P2122" t="str">
        <f>IFERROR(VLOOKUP(F2122,Sheet1!$A$2:$B$54,2,FALSE),"")</f>
        <v/>
      </c>
    </row>
    <row r="2123" spans="1:16" x14ac:dyDescent="0.2">
      <c r="A2123" s="1">
        <v>2021</v>
      </c>
      <c r="B2123" t="s">
        <v>258</v>
      </c>
      <c r="C2123" s="10" t="s">
        <v>1678</v>
      </c>
      <c r="D2123" s="10" t="s">
        <v>1679</v>
      </c>
      <c r="E2123" s="10" t="s">
        <v>1682</v>
      </c>
      <c r="F2123" t="s">
        <v>755</v>
      </c>
      <c r="G2123" s="4">
        <v>2276</v>
      </c>
      <c r="H2123" s="4"/>
      <c r="I2123" s="4"/>
      <c r="J2123" s="4">
        <f>SUM(G2123:I2123)</f>
        <v>2276</v>
      </c>
      <c r="K2123" t="s">
        <v>1659</v>
      </c>
      <c r="L2123" t="s">
        <v>1659</v>
      </c>
      <c r="M2123" t="s">
        <v>755</v>
      </c>
      <c r="N2123" t="s">
        <v>1132</v>
      </c>
      <c r="O2123" t="s">
        <v>1132</v>
      </c>
      <c r="P2123" t="str">
        <f>IFERROR(VLOOKUP(F2123,Sheet1!$A$2:$B$54,2,FALSE),"")</f>
        <v/>
      </c>
    </row>
    <row r="2124" spans="1:16" x14ac:dyDescent="0.2">
      <c r="A2124" s="1">
        <v>2022</v>
      </c>
      <c r="B2124" t="s">
        <v>258</v>
      </c>
      <c r="C2124" s="10" t="s">
        <v>1678</v>
      </c>
      <c r="D2124" s="10" t="s">
        <v>1679</v>
      </c>
      <c r="E2124" s="10" t="s">
        <v>1682</v>
      </c>
      <c r="F2124" t="s">
        <v>755</v>
      </c>
      <c r="G2124" s="4">
        <v>5077</v>
      </c>
      <c r="H2124" s="4"/>
      <c r="I2124" s="4"/>
      <c r="J2124" s="4">
        <f>SUM(G2124:I2124)</f>
        <v>5077</v>
      </c>
      <c r="K2124" t="s">
        <v>1659</v>
      </c>
      <c r="L2124" t="s">
        <v>1659</v>
      </c>
      <c r="M2124" t="s">
        <v>755</v>
      </c>
      <c r="N2124" t="s">
        <v>1132</v>
      </c>
      <c r="O2124" t="s">
        <v>1132</v>
      </c>
      <c r="P2124" t="str">
        <f>IFERROR(VLOOKUP(F2124,Sheet1!$A$2:$B$54,2,FALSE),"")</f>
        <v/>
      </c>
    </row>
    <row r="2125" spans="1:16" x14ac:dyDescent="0.2">
      <c r="A2125" s="1">
        <v>2023</v>
      </c>
      <c r="B2125" t="s">
        <v>258</v>
      </c>
      <c r="C2125" s="10" t="s">
        <v>1678</v>
      </c>
      <c r="D2125" s="10" t="s">
        <v>1679</v>
      </c>
      <c r="E2125" s="10" t="s">
        <v>1682</v>
      </c>
      <c r="F2125" t="s">
        <v>755</v>
      </c>
      <c r="G2125" s="4">
        <v>8429</v>
      </c>
      <c r="H2125" s="4"/>
      <c r="I2125" s="4"/>
      <c r="J2125" s="4">
        <f>SUM(G2125:I2125)</f>
        <v>8429</v>
      </c>
      <c r="K2125" t="s">
        <v>1659</v>
      </c>
      <c r="L2125" t="s">
        <v>1659</v>
      </c>
      <c r="M2125" t="s">
        <v>755</v>
      </c>
      <c r="N2125" t="s">
        <v>1132</v>
      </c>
      <c r="O2125" t="s">
        <v>1132</v>
      </c>
      <c r="P2125" t="str">
        <f>IFERROR(VLOOKUP(F2125,Sheet1!$A$2:$B$54,2,FALSE),"")</f>
        <v/>
      </c>
    </row>
    <row r="2126" spans="1:16" x14ac:dyDescent="0.2">
      <c r="A2126" s="1">
        <v>2016</v>
      </c>
      <c r="B2126" t="s">
        <v>259</v>
      </c>
      <c r="C2126" s="10" t="s">
        <v>1678</v>
      </c>
      <c r="D2126" s="10" t="s">
        <v>1679</v>
      </c>
      <c r="E2126" s="10" t="s">
        <v>1682</v>
      </c>
      <c r="F2126" t="s">
        <v>756</v>
      </c>
      <c r="G2126" s="4">
        <v>285</v>
      </c>
      <c r="H2126" s="4"/>
      <c r="I2126" s="4"/>
      <c r="J2126" s="4">
        <f>SUM(G2126:I2126)</f>
        <v>285</v>
      </c>
      <c r="K2126" t="s">
        <v>1659</v>
      </c>
      <c r="L2126" t="s">
        <v>1659</v>
      </c>
      <c r="M2126" t="s">
        <v>1329</v>
      </c>
      <c r="N2126" t="s">
        <v>1132</v>
      </c>
      <c r="O2126" t="s">
        <v>1132</v>
      </c>
      <c r="P2126" t="str">
        <f>IFERROR(VLOOKUP(F2126,Sheet1!$A$2:$B$54,2,FALSE),"")</f>
        <v/>
      </c>
    </row>
    <row r="2127" spans="1:16" x14ac:dyDescent="0.2">
      <c r="A2127" s="1">
        <v>2017</v>
      </c>
      <c r="B2127" t="s">
        <v>259</v>
      </c>
      <c r="C2127" s="10" t="s">
        <v>1678</v>
      </c>
      <c r="D2127" s="10" t="s">
        <v>1679</v>
      </c>
      <c r="E2127" s="10" t="s">
        <v>1682</v>
      </c>
      <c r="F2127" t="s">
        <v>756</v>
      </c>
      <c r="G2127" s="4">
        <v>1277</v>
      </c>
      <c r="H2127" s="4"/>
      <c r="I2127" s="4"/>
      <c r="J2127" s="4">
        <f>SUM(G2127:I2127)</f>
        <v>1277</v>
      </c>
      <c r="K2127" t="s">
        <v>1659</v>
      </c>
      <c r="L2127" t="s">
        <v>1659</v>
      </c>
      <c r="M2127" t="s">
        <v>1329</v>
      </c>
      <c r="N2127" t="s">
        <v>1132</v>
      </c>
      <c r="O2127" t="s">
        <v>1132</v>
      </c>
      <c r="P2127" t="str">
        <f>IFERROR(VLOOKUP(F2127,Sheet1!$A$2:$B$54,2,FALSE),"")</f>
        <v/>
      </c>
    </row>
    <row r="2128" spans="1:16" x14ac:dyDescent="0.2">
      <c r="A2128" s="1">
        <v>2018</v>
      </c>
      <c r="B2128" t="s">
        <v>259</v>
      </c>
      <c r="C2128" s="10" t="s">
        <v>1678</v>
      </c>
      <c r="D2128" s="10" t="s">
        <v>1679</v>
      </c>
      <c r="E2128" s="10" t="s">
        <v>1682</v>
      </c>
      <c r="F2128" t="s">
        <v>756</v>
      </c>
      <c r="G2128" s="4">
        <v>1653</v>
      </c>
      <c r="H2128" s="4"/>
      <c r="I2128" s="4"/>
      <c r="J2128" s="4">
        <f>SUM(G2128:I2128)</f>
        <v>1653</v>
      </c>
      <c r="K2128" t="s">
        <v>1659</v>
      </c>
      <c r="L2128" t="s">
        <v>1659</v>
      </c>
      <c r="M2128" t="s">
        <v>1329</v>
      </c>
      <c r="N2128" t="s">
        <v>1132</v>
      </c>
      <c r="O2128" t="s">
        <v>1132</v>
      </c>
      <c r="P2128" t="str">
        <f>IFERROR(VLOOKUP(F2128,Sheet1!$A$2:$B$54,2,FALSE),"")</f>
        <v/>
      </c>
    </row>
    <row r="2129" spans="1:16" x14ac:dyDescent="0.2">
      <c r="A2129" s="1">
        <v>2019</v>
      </c>
      <c r="B2129" t="s">
        <v>259</v>
      </c>
      <c r="C2129" s="10" t="s">
        <v>1678</v>
      </c>
      <c r="D2129" s="10" t="s">
        <v>1679</v>
      </c>
      <c r="E2129" s="10" t="s">
        <v>1682</v>
      </c>
      <c r="F2129" t="s">
        <v>756</v>
      </c>
      <c r="G2129" s="4">
        <v>1955</v>
      </c>
      <c r="H2129" s="4"/>
      <c r="I2129" s="4"/>
      <c r="J2129" s="4">
        <f>SUM(G2129:I2129)</f>
        <v>1955</v>
      </c>
      <c r="K2129" t="s">
        <v>1659</v>
      </c>
      <c r="L2129" t="s">
        <v>1659</v>
      </c>
      <c r="M2129" t="s">
        <v>1329</v>
      </c>
      <c r="N2129" t="s">
        <v>1132</v>
      </c>
      <c r="O2129" t="s">
        <v>1132</v>
      </c>
      <c r="P2129" t="str">
        <f>IFERROR(VLOOKUP(F2129,Sheet1!$A$2:$B$54,2,FALSE),"")</f>
        <v/>
      </c>
    </row>
    <row r="2130" spans="1:16" x14ac:dyDescent="0.2">
      <c r="A2130" s="1">
        <v>2020</v>
      </c>
      <c r="B2130" t="s">
        <v>259</v>
      </c>
      <c r="C2130" s="10" t="s">
        <v>1678</v>
      </c>
      <c r="D2130" s="10" t="s">
        <v>1679</v>
      </c>
      <c r="E2130" s="10" t="s">
        <v>1682</v>
      </c>
      <c r="F2130" t="s">
        <v>756</v>
      </c>
      <c r="G2130" s="4">
        <v>2204</v>
      </c>
      <c r="H2130" s="4"/>
      <c r="I2130" s="4"/>
      <c r="J2130" s="4">
        <f>SUM(G2130:I2130)</f>
        <v>2204</v>
      </c>
      <c r="K2130" t="s">
        <v>1659</v>
      </c>
      <c r="L2130" t="s">
        <v>1659</v>
      </c>
      <c r="M2130" t="s">
        <v>1329</v>
      </c>
      <c r="N2130" t="s">
        <v>1132</v>
      </c>
      <c r="O2130" t="s">
        <v>1132</v>
      </c>
      <c r="P2130" t="str">
        <f>IFERROR(VLOOKUP(F2130,Sheet1!$A$2:$B$54,2,FALSE),"")</f>
        <v/>
      </c>
    </row>
    <row r="2131" spans="1:16" x14ac:dyDescent="0.2">
      <c r="A2131" s="1">
        <v>2021</v>
      </c>
      <c r="B2131" t="s">
        <v>259</v>
      </c>
      <c r="C2131" s="10" t="s">
        <v>1678</v>
      </c>
      <c r="D2131" s="10" t="s">
        <v>1679</v>
      </c>
      <c r="E2131" s="10" t="s">
        <v>1682</v>
      </c>
      <c r="F2131" t="s">
        <v>756</v>
      </c>
      <c r="G2131" s="4">
        <v>5556</v>
      </c>
      <c r="H2131" s="4"/>
      <c r="I2131" s="4"/>
      <c r="J2131" s="4">
        <f>SUM(G2131:I2131)</f>
        <v>5556</v>
      </c>
      <c r="K2131" t="s">
        <v>1659</v>
      </c>
      <c r="L2131" t="s">
        <v>1659</v>
      </c>
      <c r="M2131" t="s">
        <v>756</v>
      </c>
      <c r="N2131" t="s">
        <v>1132</v>
      </c>
      <c r="O2131" t="s">
        <v>1132</v>
      </c>
      <c r="P2131" t="str">
        <f>IFERROR(VLOOKUP(F2131,Sheet1!$A$2:$B$54,2,FALSE),"")</f>
        <v/>
      </c>
    </row>
    <row r="2132" spans="1:16" x14ac:dyDescent="0.2">
      <c r="A2132" s="1">
        <v>2022</v>
      </c>
      <c r="B2132" t="s">
        <v>259</v>
      </c>
      <c r="C2132" s="10" t="s">
        <v>1678</v>
      </c>
      <c r="D2132" s="10" t="s">
        <v>1679</v>
      </c>
      <c r="E2132" s="10" t="s">
        <v>1682</v>
      </c>
      <c r="F2132" t="s">
        <v>756</v>
      </c>
      <c r="G2132" s="4">
        <v>8604</v>
      </c>
      <c r="H2132" s="4"/>
      <c r="I2132" s="4"/>
      <c r="J2132" s="4">
        <f>SUM(G2132:I2132)</f>
        <v>8604</v>
      </c>
      <c r="K2132" t="s">
        <v>1659</v>
      </c>
      <c r="L2132" t="s">
        <v>1659</v>
      </c>
      <c r="M2132" t="s">
        <v>756</v>
      </c>
      <c r="N2132" t="s">
        <v>1132</v>
      </c>
      <c r="O2132" t="s">
        <v>1132</v>
      </c>
      <c r="P2132" t="str">
        <f>IFERROR(VLOOKUP(F2132,Sheet1!$A$2:$B$54,2,FALSE),"")</f>
        <v/>
      </c>
    </row>
    <row r="2133" spans="1:16" x14ac:dyDescent="0.2">
      <c r="A2133" s="1">
        <v>2023</v>
      </c>
      <c r="B2133" t="s">
        <v>259</v>
      </c>
      <c r="C2133" s="10" t="s">
        <v>1678</v>
      </c>
      <c r="D2133" s="10" t="s">
        <v>1679</v>
      </c>
      <c r="E2133" s="10" t="s">
        <v>1682</v>
      </c>
      <c r="F2133" t="s">
        <v>756</v>
      </c>
      <c r="G2133" s="4">
        <v>10470</v>
      </c>
      <c r="H2133" s="4"/>
      <c r="I2133" s="4"/>
      <c r="J2133" s="4">
        <f>SUM(G2133:I2133)</f>
        <v>10470</v>
      </c>
      <c r="K2133" t="s">
        <v>1659</v>
      </c>
      <c r="L2133" t="s">
        <v>1659</v>
      </c>
      <c r="M2133" t="s">
        <v>756</v>
      </c>
      <c r="N2133" t="s">
        <v>1132</v>
      </c>
      <c r="O2133" t="s">
        <v>1132</v>
      </c>
      <c r="P2133" t="str">
        <f>IFERROR(VLOOKUP(F2133,Sheet1!$A$2:$B$54,2,FALSE),"")</f>
        <v/>
      </c>
    </row>
    <row r="2134" spans="1:16" x14ac:dyDescent="0.2">
      <c r="A2134" s="1">
        <v>2015</v>
      </c>
      <c r="B2134" t="s">
        <v>260</v>
      </c>
      <c r="C2134" s="10" t="s">
        <v>1678</v>
      </c>
      <c r="D2134" s="10" t="s">
        <v>1679</v>
      </c>
      <c r="E2134" s="10" t="s">
        <v>1682</v>
      </c>
      <c r="F2134" t="s">
        <v>757</v>
      </c>
      <c r="G2134" s="4">
        <v>7629</v>
      </c>
      <c r="H2134" s="4"/>
      <c r="I2134" s="4"/>
      <c r="J2134" s="4">
        <f>SUM(G2134:I2134)</f>
        <v>7629</v>
      </c>
      <c r="K2134" t="s">
        <v>1659</v>
      </c>
      <c r="L2134" t="s">
        <v>1659</v>
      </c>
      <c r="M2134" t="s">
        <v>1330</v>
      </c>
      <c r="N2134" t="s">
        <v>1132</v>
      </c>
      <c r="O2134" t="s">
        <v>1132</v>
      </c>
      <c r="P2134" t="str">
        <f>IFERROR(VLOOKUP(F2134,Sheet1!$A$2:$B$54,2,FALSE),"")</f>
        <v/>
      </c>
    </row>
    <row r="2135" spans="1:16" x14ac:dyDescent="0.2">
      <c r="A2135" s="1">
        <v>2016</v>
      </c>
      <c r="B2135" t="s">
        <v>260</v>
      </c>
      <c r="C2135" s="10" t="s">
        <v>1678</v>
      </c>
      <c r="D2135" s="10" t="s">
        <v>1679</v>
      </c>
      <c r="E2135" s="10" t="s">
        <v>1682</v>
      </c>
      <c r="F2135" t="s">
        <v>757</v>
      </c>
      <c r="G2135" s="4">
        <v>8939</v>
      </c>
      <c r="H2135" s="4"/>
      <c r="I2135" s="4"/>
      <c r="J2135" s="4">
        <f>SUM(G2135:I2135)</f>
        <v>8939</v>
      </c>
      <c r="K2135" t="s">
        <v>1659</v>
      </c>
      <c r="L2135" t="s">
        <v>1659</v>
      </c>
      <c r="M2135" t="s">
        <v>1330</v>
      </c>
      <c r="N2135" t="s">
        <v>1132</v>
      </c>
      <c r="O2135" t="s">
        <v>1132</v>
      </c>
      <c r="P2135" t="str">
        <f>IFERROR(VLOOKUP(F2135,Sheet1!$A$2:$B$54,2,FALSE),"")</f>
        <v/>
      </c>
    </row>
    <row r="2136" spans="1:16" x14ac:dyDescent="0.2">
      <c r="A2136" s="1">
        <v>2017</v>
      </c>
      <c r="B2136" t="s">
        <v>260</v>
      </c>
      <c r="C2136" s="10" t="s">
        <v>1678</v>
      </c>
      <c r="D2136" s="10" t="s">
        <v>1679</v>
      </c>
      <c r="E2136" s="10" t="s">
        <v>1682</v>
      </c>
      <c r="F2136" t="s">
        <v>757</v>
      </c>
      <c r="G2136" s="4">
        <v>9575</v>
      </c>
      <c r="H2136" s="4"/>
      <c r="I2136" s="4"/>
      <c r="J2136" s="4">
        <f>SUM(G2136:I2136)</f>
        <v>9575</v>
      </c>
      <c r="K2136" t="s">
        <v>1659</v>
      </c>
      <c r="L2136" t="s">
        <v>1659</v>
      </c>
      <c r="M2136" t="s">
        <v>1330</v>
      </c>
      <c r="N2136" t="s">
        <v>1132</v>
      </c>
      <c r="O2136" t="s">
        <v>1132</v>
      </c>
      <c r="P2136" t="str">
        <f>IFERROR(VLOOKUP(F2136,Sheet1!$A$2:$B$54,2,FALSE),"")</f>
        <v/>
      </c>
    </row>
    <row r="2137" spans="1:16" x14ac:dyDescent="0.2">
      <c r="A2137" s="1">
        <v>2018</v>
      </c>
      <c r="B2137" t="s">
        <v>260</v>
      </c>
      <c r="C2137" s="10" t="s">
        <v>1678</v>
      </c>
      <c r="D2137" s="10" t="s">
        <v>1679</v>
      </c>
      <c r="E2137" s="10" t="s">
        <v>1682</v>
      </c>
      <c r="F2137" t="s">
        <v>757</v>
      </c>
      <c r="G2137" s="4">
        <v>10386</v>
      </c>
      <c r="H2137" s="4"/>
      <c r="I2137" s="4"/>
      <c r="J2137" s="4">
        <f>SUM(G2137:I2137)</f>
        <v>10386</v>
      </c>
      <c r="K2137" t="s">
        <v>1659</v>
      </c>
      <c r="L2137" t="s">
        <v>1659</v>
      </c>
      <c r="M2137" t="s">
        <v>1330</v>
      </c>
      <c r="N2137" t="s">
        <v>1132</v>
      </c>
      <c r="O2137" t="s">
        <v>1132</v>
      </c>
      <c r="P2137" t="str">
        <f>IFERROR(VLOOKUP(F2137,Sheet1!$A$2:$B$54,2,FALSE),"")</f>
        <v/>
      </c>
    </row>
    <row r="2138" spans="1:16" x14ac:dyDescent="0.2">
      <c r="A2138" s="1">
        <v>2019</v>
      </c>
      <c r="B2138" t="s">
        <v>260</v>
      </c>
      <c r="C2138" s="10" t="s">
        <v>1678</v>
      </c>
      <c r="D2138" s="10" t="s">
        <v>1679</v>
      </c>
      <c r="E2138" s="10" t="s">
        <v>1682</v>
      </c>
      <c r="F2138" t="s">
        <v>757</v>
      </c>
      <c r="G2138" s="4">
        <v>12217</v>
      </c>
      <c r="H2138" s="4"/>
      <c r="I2138" s="4"/>
      <c r="J2138" s="4">
        <f>SUM(G2138:I2138)</f>
        <v>12217</v>
      </c>
      <c r="K2138" t="s">
        <v>1659</v>
      </c>
      <c r="L2138" t="s">
        <v>1659</v>
      </c>
      <c r="M2138" t="s">
        <v>1330</v>
      </c>
      <c r="N2138" t="s">
        <v>1132</v>
      </c>
      <c r="O2138" t="s">
        <v>1132</v>
      </c>
      <c r="P2138" t="str">
        <f>IFERROR(VLOOKUP(F2138,Sheet1!$A$2:$B$54,2,FALSE),"")</f>
        <v/>
      </c>
    </row>
    <row r="2139" spans="1:16" x14ac:dyDescent="0.2">
      <c r="A2139" s="1">
        <v>2020</v>
      </c>
      <c r="B2139" t="s">
        <v>260</v>
      </c>
      <c r="C2139" s="10" t="s">
        <v>1678</v>
      </c>
      <c r="D2139" s="10" t="s">
        <v>1679</v>
      </c>
      <c r="E2139" s="10" t="s">
        <v>1682</v>
      </c>
      <c r="F2139" t="s">
        <v>757</v>
      </c>
      <c r="G2139" s="4">
        <v>11740</v>
      </c>
      <c r="H2139" s="4"/>
      <c r="I2139" s="4"/>
      <c r="J2139" s="4">
        <f>SUM(G2139:I2139)</f>
        <v>11740</v>
      </c>
      <c r="K2139" t="s">
        <v>1659</v>
      </c>
      <c r="L2139" t="s">
        <v>1659</v>
      </c>
      <c r="M2139" t="s">
        <v>1330</v>
      </c>
      <c r="N2139" t="s">
        <v>1132</v>
      </c>
      <c r="O2139" t="s">
        <v>1132</v>
      </c>
      <c r="P2139" t="str">
        <f>IFERROR(VLOOKUP(F2139,Sheet1!$A$2:$B$54,2,FALSE),"")</f>
        <v/>
      </c>
    </row>
    <row r="2140" spans="1:16" x14ac:dyDescent="0.2">
      <c r="A2140" s="1">
        <v>2021</v>
      </c>
      <c r="B2140" t="s">
        <v>260</v>
      </c>
      <c r="C2140" s="10" t="s">
        <v>1678</v>
      </c>
      <c r="D2140" s="10" t="s">
        <v>1679</v>
      </c>
      <c r="E2140" s="10" t="s">
        <v>1682</v>
      </c>
      <c r="F2140" t="s">
        <v>757</v>
      </c>
      <c r="G2140" s="4">
        <v>15241</v>
      </c>
      <c r="H2140" s="4"/>
      <c r="I2140" s="4"/>
      <c r="J2140" s="4">
        <f>SUM(G2140:I2140)</f>
        <v>15241</v>
      </c>
      <c r="K2140" t="s">
        <v>1659</v>
      </c>
      <c r="L2140" t="s">
        <v>1659</v>
      </c>
      <c r="M2140" t="s">
        <v>757</v>
      </c>
      <c r="N2140" t="s">
        <v>1132</v>
      </c>
      <c r="O2140" t="s">
        <v>1132</v>
      </c>
      <c r="P2140" t="str">
        <f>IFERROR(VLOOKUP(F2140,Sheet1!$A$2:$B$54,2,FALSE),"")</f>
        <v/>
      </c>
    </row>
    <row r="2141" spans="1:16" x14ac:dyDescent="0.2">
      <c r="A2141" s="1">
        <v>2022</v>
      </c>
      <c r="B2141" t="s">
        <v>260</v>
      </c>
      <c r="C2141" s="10" t="s">
        <v>1678</v>
      </c>
      <c r="D2141" s="10" t="s">
        <v>1679</v>
      </c>
      <c r="E2141" s="10" t="s">
        <v>1682</v>
      </c>
      <c r="F2141" t="s">
        <v>757</v>
      </c>
      <c r="G2141" s="4">
        <v>19648</v>
      </c>
      <c r="H2141" s="4"/>
      <c r="I2141" s="4"/>
      <c r="J2141" s="4">
        <f>SUM(G2141:I2141)</f>
        <v>19648</v>
      </c>
      <c r="K2141" t="s">
        <v>1659</v>
      </c>
      <c r="L2141" t="s">
        <v>1659</v>
      </c>
      <c r="M2141" t="s">
        <v>757</v>
      </c>
      <c r="N2141" t="s">
        <v>1132</v>
      </c>
      <c r="O2141" t="s">
        <v>1132</v>
      </c>
      <c r="P2141" t="str">
        <f>IFERROR(VLOOKUP(F2141,Sheet1!$A$2:$B$54,2,FALSE),"")</f>
        <v/>
      </c>
    </row>
    <row r="2142" spans="1:16" x14ac:dyDescent="0.2">
      <c r="A2142" s="1">
        <v>2023</v>
      </c>
      <c r="B2142" t="s">
        <v>260</v>
      </c>
      <c r="C2142" s="10" t="s">
        <v>1678</v>
      </c>
      <c r="D2142" s="10" t="s">
        <v>1679</v>
      </c>
      <c r="E2142" s="10" t="s">
        <v>1682</v>
      </c>
      <c r="F2142" t="s">
        <v>757</v>
      </c>
      <c r="G2142" s="4">
        <v>20802</v>
      </c>
      <c r="H2142" s="4"/>
      <c r="I2142" s="4"/>
      <c r="J2142" s="4">
        <f>SUM(G2142:I2142)</f>
        <v>20802</v>
      </c>
      <c r="K2142" t="s">
        <v>1659</v>
      </c>
      <c r="L2142" t="s">
        <v>1659</v>
      </c>
      <c r="M2142" t="s">
        <v>757</v>
      </c>
      <c r="N2142" t="s">
        <v>1132</v>
      </c>
      <c r="O2142" t="s">
        <v>1132</v>
      </c>
      <c r="P2142" t="str">
        <f>IFERROR(VLOOKUP(F2142,Sheet1!$A$2:$B$54,2,FALSE),"")</f>
        <v/>
      </c>
    </row>
    <row r="2143" spans="1:16" x14ac:dyDescent="0.2">
      <c r="A2143" s="1">
        <v>2015</v>
      </c>
      <c r="B2143" t="s">
        <v>261</v>
      </c>
      <c r="C2143" s="10" t="s">
        <v>1678</v>
      </c>
      <c r="D2143" s="10" t="s">
        <v>1679</v>
      </c>
      <c r="E2143" s="10" t="s">
        <v>1682</v>
      </c>
      <c r="F2143" t="s">
        <v>758</v>
      </c>
      <c r="G2143" s="4">
        <v>326780</v>
      </c>
      <c r="H2143" s="4"/>
      <c r="I2143" s="4">
        <v>29257</v>
      </c>
      <c r="J2143" s="4">
        <f>SUM(G2143:I2143)</f>
        <v>356037</v>
      </c>
      <c r="K2143" t="s">
        <v>1659</v>
      </c>
      <c r="L2143" t="s">
        <v>1660</v>
      </c>
      <c r="M2143" t="s">
        <v>1331</v>
      </c>
      <c r="N2143" t="s">
        <v>1132</v>
      </c>
      <c r="O2143" t="s">
        <v>1333</v>
      </c>
      <c r="P2143" t="str">
        <f>IFERROR(VLOOKUP(F2143,Sheet1!$A$2:$B$54,2,FALSE),"")</f>
        <v/>
      </c>
    </row>
    <row r="2144" spans="1:16" x14ac:dyDescent="0.2">
      <c r="A2144" s="1">
        <v>2016</v>
      </c>
      <c r="B2144" t="s">
        <v>261</v>
      </c>
      <c r="C2144" s="10" t="s">
        <v>1678</v>
      </c>
      <c r="D2144" s="10" t="s">
        <v>1679</v>
      </c>
      <c r="E2144" s="10" t="s">
        <v>1682</v>
      </c>
      <c r="F2144" t="s">
        <v>758</v>
      </c>
      <c r="G2144" s="4">
        <v>393414</v>
      </c>
      <c r="H2144" s="4"/>
      <c r="I2144" s="4">
        <v>21327</v>
      </c>
      <c r="J2144" s="4">
        <f>SUM(G2144:I2144)</f>
        <v>414741</v>
      </c>
      <c r="K2144" t="s">
        <v>1659</v>
      </c>
      <c r="L2144" t="s">
        <v>1660</v>
      </c>
      <c r="M2144" t="s">
        <v>1331</v>
      </c>
      <c r="N2144" t="s">
        <v>1132</v>
      </c>
      <c r="O2144" t="s">
        <v>1333</v>
      </c>
      <c r="P2144" t="str">
        <f>IFERROR(VLOOKUP(F2144,Sheet1!$A$2:$B$54,2,FALSE),"")</f>
        <v/>
      </c>
    </row>
    <row r="2145" spans="1:16" x14ac:dyDescent="0.2">
      <c r="A2145" s="1">
        <v>2017</v>
      </c>
      <c r="B2145" t="s">
        <v>261</v>
      </c>
      <c r="C2145" s="10" t="s">
        <v>1678</v>
      </c>
      <c r="D2145" s="10" t="s">
        <v>1679</v>
      </c>
      <c r="E2145" s="10" t="s">
        <v>1682</v>
      </c>
      <c r="F2145" t="s">
        <v>758</v>
      </c>
      <c r="G2145" s="4">
        <v>527627</v>
      </c>
      <c r="H2145" s="4"/>
      <c r="I2145" s="4">
        <v>10200</v>
      </c>
      <c r="J2145" s="4">
        <f>SUM(G2145:I2145)</f>
        <v>537827</v>
      </c>
      <c r="K2145" t="s">
        <v>1659</v>
      </c>
      <c r="L2145" t="s">
        <v>1660</v>
      </c>
      <c r="M2145" t="s">
        <v>1331</v>
      </c>
      <c r="N2145" t="s">
        <v>1132</v>
      </c>
      <c r="O2145" t="s">
        <v>1333</v>
      </c>
      <c r="P2145" t="str">
        <f>IFERROR(VLOOKUP(F2145,Sheet1!$A$2:$B$54,2,FALSE),"")</f>
        <v/>
      </c>
    </row>
    <row r="2146" spans="1:16" x14ac:dyDescent="0.2">
      <c r="A2146" s="1">
        <v>2018</v>
      </c>
      <c r="B2146" t="s">
        <v>261</v>
      </c>
      <c r="C2146" s="10" t="s">
        <v>1678</v>
      </c>
      <c r="D2146" s="10" t="s">
        <v>1679</v>
      </c>
      <c r="E2146" s="10" t="s">
        <v>1682</v>
      </c>
      <c r="F2146" t="s">
        <v>758</v>
      </c>
      <c r="G2146" s="4">
        <v>692368</v>
      </c>
      <c r="H2146" s="4"/>
      <c r="I2146" s="4">
        <v>0</v>
      </c>
      <c r="J2146" s="4">
        <f>SUM(G2146:I2146)</f>
        <v>692368</v>
      </c>
      <c r="K2146" t="s">
        <v>1659</v>
      </c>
      <c r="L2146" t="s">
        <v>1660</v>
      </c>
      <c r="M2146" t="s">
        <v>1331</v>
      </c>
      <c r="N2146" t="s">
        <v>1132</v>
      </c>
      <c r="O2146" t="s">
        <v>1333</v>
      </c>
      <c r="P2146" t="str">
        <f>IFERROR(VLOOKUP(F2146,Sheet1!$A$2:$B$54,2,FALSE),"")</f>
        <v/>
      </c>
    </row>
    <row r="2147" spans="1:16" x14ac:dyDescent="0.2">
      <c r="A2147" s="1">
        <v>2019</v>
      </c>
      <c r="B2147" t="s">
        <v>261</v>
      </c>
      <c r="C2147" s="10" t="s">
        <v>1678</v>
      </c>
      <c r="D2147" s="10" t="s">
        <v>1679</v>
      </c>
      <c r="E2147" s="10" t="s">
        <v>1682</v>
      </c>
      <c r="F2147" t="s">
        <v>758</v>
      </c>
      <c r="G2147" s="4">
        <v>868739</v>
      </c>
      <c r="H2147" s="4"/>
      <c r="I2147" s="4">
        <v>0</v>
      </c>
      <c r="J2147" s="4">
        <f>SUM(G2147:I2147)</f>
        <v>868739</v>
      </c>
      <c r="K2147" t="s">
        <v>1659</v>
      </c>
      <c r="L2147" t="s">
        <v>1660</v>
      </c>
      <c r="M2147" t="s">
        <v>1331</v>
      </c>
      <c r="N2147" t="s">
        <v>1132</v>
      </c>
      <c r="O2147" t="s">
        <v>1333</v>
      </c>
      <c r="P2147" t="str">
        <f>IFERROR(VLOOKUP(F2147,Sheet1!$A$2:$B$54,2,FALSE),"")</f>
        <v/>
      </c>
    </row>
    <row r="2148" spans="1:16" x14ac:dyDescent="0.2">
      <c r="A2148" s="1">
        <v>2020</v>
      </c>
      <c r="B2148" t="s">
        <v>261</v>
      </c>
      <c r="C2148" s="10" t="s">
        <v>1678</v>
      </c>
      <c r="D2148" s="10" t="s">
        <v>1679</v>
      </c>
      <c r="E2148" s="10" t="s">
        <v>1682</v>
      </c>
      <c r="F2148" t="s">
        <v>758</v>
      </c>
      <c r="G2148" s="4">
        <v>894536</v>
      </c>
      <c r="H2148" s="4"/>
      <c r="I2148" s="4">
        <v>0</v>
      </c>
      <c r="J2148" s="4">
        <f>SUM(G2148:I2148)</f>
        <v>894536</v>
      </c>
      <c r="K2148" t="s">
        <v>1659</v>
      </c>
      <c r="L2148" t="s">
        <v>1660</v>
      </c>
      <c r="M2148" t="s">
        <v>1331</v>
      </c>
      <c r="N2148" t="s">
        <v>1132</v>
      </c>
      <c r="O2148" t="s">
        <v>1333</v>
      </c>
      <c r="P2148" t="str">
        <f>IFERROR(VLOOKUP(F2148,Sheet1!$A$2:$B$54,2,FALSE),"")</f>
        <v/>
      </c>
    </row>
    <row r="2149" spans="1:16" x14ac:dyDescent="0.2">
      <c r="A2149" s="1">
        <v>2021</v>
      </c>
      <c r="B2149" t="s">
        <v>261</v>
      </c>
      <c r="C2149" s="10" t="s">
        <v>1678</v>
      </c>
      <c r="D2149" s="10" t="s">
        <v>1679</v>
      </c>
      <c r="E2149" s="10" t="s">
        <v>1682</v>
      </c>
      <c r="F2149" t="s">
        <v>758</v>
      </c>
      <c r="G2149" s="4">
        <v>993232</v>
      </c>
      <c r="H2149" s="4"/>
      <c r="I2149" s="4">
        <v>0</v>
      </c>
      <c r="J2149" s="4">
        <f>SUM(G2149:I2149)</f>
        <v>993232</v>
      </c>
      <c r="K2149" t="s">
        <v>1659</v>
      </c>
      <c r="L2149" t="s">
        <v>1660</v>
      </c>
      <c r="M2149" t="s">
        <v>758</v>
      </c>
      <c r="N2149" t="s">
        <v>1132</v>
      </c>
      <c r="O2149" t="s">
        <v>760</v>
      </c>
      <c r="P2149" t="str">
        <f>IFERROR(VLOOKUP(F2149,Sheet1!$A$2:$B$54,2,FALSE),"")</f>
        <v/>
      </c>
    </row>
    <row r="2150" spans="1:16" x14ac:dyDescent="0.2">
      <c r="A2150" s="1">
        <v>2022</v>
      </c>
      <c r="B2150" t="s">
        <v>261</v>
      </c>
      <c r="C2150" s="10" t="s">
        <v>1678</v>
      </c>
      <c r="D2150" s="10" t="s">
        <v>1679</v>
      </c>
      <c r="E2150" s="10" t="s">
        <v>1682</v>
      </c>
      <c r="F2150" t="s">
        <v>758</v>
      </c>
      <c r="G2150" s="4">
        <v>1366167</v>
      </c>
      <c r="H2150" s="4"/>
      <c r="I2150" s="4">
        <v>0</v>
      </c>
      <c r="J2150" s="4">
        <f>SUM(G2150:I2150)</f>
        <v>1366167</v>
      </c>
      <c r="K2150" t="s">
        <v>1659</v>
      </c>
      <c r="L2150" t="s">
        <v>1660</v>
      </c>
      <c r="M2150" t="s">
        <v>758</v>
      </c>
      <c r="N2150" t="s">
        <v>1132</v>
      </c>
      <c r="O2150" t="s">
        <v>760</v>
      </c>
      <c r="P2150" t="str">
        <f>IFERROR(VLOOKUP(F2150,Sheet1!$A$2:$B$54,2,FALSE),"")</f>
        <v/>
      </c>
    </row>
    <row r="2151" spans="1:16" x14ac:dyDescent="0.2">
      <c r="A2151" s="1">
        <v>2023</v>
      </c>
      <c r="B2151" t="s">
        <v>261</v>
      </c>
      <c r="C2151" s="10" t="s">
        <v>1678</v>
      </c>
      <c r="D2151" s="10" t="s">
        <v>1679</v>
      </c>
      <c r="E2151" s="10" t="s">
        <v>1682</v>
      </c>
      <c r="F2151" t="s">
        <v>758</v>
      </c>
      <c r="G2151" s="4">
        <v>1660819</v>
      </c>
      <c r="H2151" s="4"/>
      <c r="I2151" s="4"/>
      <c r="J2151" s="4">
        <f>SUM(G2151:I2151)</f>
        <v>1660819</v>
      </c>
      <c r="K2151" t="s">
        <v>1659</v>
      </c>
      <c r="L2151" t="s">
        <v>1659</v>
      </c>
      <c r="M2151" t="s">
        <v>758</v>
      </c>
      <c r="N2151" t="s">
        <v>1132</v>
      </c>
      <c r="O2151" t="s">
        <v>1132</v>
      </c>
      <c r="P2151" t="str">
        <f>IFERROR(VLOOKUP(F2151,Sheet1!$A$2:$B$54,2,FALSE),"")</f>
        <v/>
      </c>
    </row>
    <row r="2152" spans="1:16" x14ac:dyDescent="0.2">
      <c r="A2152" s="1">
        <v>2015</v>
      </c>
      <c r="B2152" t="s">
        <v>262</v>
      </c>
      <c r="C2152" s="10" t="s">
        <v>1678</v>
      </c>
      <c r="D2152" s="10" t="s">
        <v>1679</v>
      </c>
      <c r="E2152" s="10" t="s">
        <v>1682</v>
      </c>
      <c r="F2152" t="s">
        <v>759</v>
      </c>
      <c r="G2152" s="4">
        <v>10875</v>
      </c>
      <c r="H2152" s="4"/>
      <c r="I2152" s="4"/>
      <c r="J2152" s="4">
        <f>SUM(G2152:I2152)</f>
        <v>10875</v>
      </c>
      <c r="K2152" t="s">
        <v>1659</v>
      </c>
      <c r="L2152" t="s">
        <v>1659</v>
      </c>
      <c r="M2152" t="s">
        <v>1332</v>
      </c>
      <c r="N2152" t="s">
        <v>1132</v>
      </c>
      <c r="O2152" t="s">
        <v>1132</v>
      </c>
      <c r="P2152" t="str">
        <f>IFERROR(VLOOKUP(F2152,Sheet1!$A$2:$B$54,2,FALSE),"")</f>
        <v/>
      </c>
    </row>
    <row r="2153" spans="1:16" x14ac:dyDescent="0.2">
      <c r="A2153" s="1">
        <v>2016</v>
      </c>
      <c r="B2153" t="s">
        <v>262</v>
      </c>
      <c r="C2153" s="10" t="s">
        <v>1678</v>
      </c>
      <c r="D2153" s="10" t="s">
        <v>1679</v>
      </c>
      <c r="E2153" s="10" t="s">
        <v>1682</v>
      </c>
      <c r="F2153" t="s">
        <v>759</v>
      </c>
      <c r="G2153" s="4">
        <v>15890</v>
      </c>
      <c r="H2153" s="4"/>
      <c r="I2153" s="4"/>
      <c r="J2153" s="4">
        <f>SUM(G2153:I2153)</f>
        <v>15890</v>
      </c>
      <c r="K2153" t="s">
        <v>1659</v>
      </c>
      <c r="L2153" t="s">
        <v>1659</v>
      </c>
      <c r="M2153" t="s">
        <v>1332</v>
      </c>
      <c r="N2153" t="s">
        <v>1132</v>
      </c>
      <c r="O2153" t="s">
        <v>1132</v>
      </c>
      <c r="P2153" t="str">
        <f>IFERROR(VLOOKUP(F2153,Sheet1!$A$2:$B$54,2,FALSE),"")</f>
        <v/>
      </c>
    </row>
    <row r="2154" spans="1:16" x14ac:dyDescent="0.2">
      <c r="A2154" s="1">
        <v>2017</v>
      </c>
      <c r="B2154" t="s">
        <v>262</v>
      </c>
      <c r="C2154" s="10" t="s">
        <v>1678</v>
      </c>
      <c r="D2154" s="10" t="s">
        <v>1679</v>
      </c>
      <c r="E2154" s="10" t="s">
        <v>1682</v>
      </c>
      <c r="F2154" t="s">
        <v>759</v>
      </c>
      <c r="G2154" s="4">
        <v>14989</v>
      </c>
      <c r="H2154" s="4"/>
      <c r="I2154" s="4"/>
      <c r="J2154" s="4">
        <f>SUM(G2154:I2154)</f>
        <v>14989</v>
      </c>
      <c r="K2154" t="s">
        <v>1659</v>
      </c>
      <c r="L2154" t="s">
        <v>1659</v>
      </c>
      <c r="M2154" t="s">
        <v>1332</v>
      </c>
      <c r="N2154" t="s">
        <v>1132</v>
      </c>
      <c r="O2154" t="s">
        <v>1132</v>
      </c>
      <c r="P2154" t="str">
        <f>IFERROR(VLOOKUP(F2154,Sheet1!$A$2:$B$54,2,FALSE),"")</f>
        <v/>
      </c>
    </row>
    <row r="2155" spans="1:16" x14ac:dyDescent="0.2">
      <c r="A2155" s="1">
        <v>2018</v>
      </c>
      <c r="B2155" t="s">
        <v>262</v>
      </c>
      <c r="C2155" s="10" t="s">
        <v>1678</v>
      </c>
      <c r="D2155" s="10" t="s">
        <v>1679</v>
      </c>
      <c r="E2155" s="10" t="s">
        <v>1682</v>
      </c>
      <c r="F2155" t="s">
        <v>759</v>
      </c>
      <c r="G2155" s="4">
        <v>11795</v>
      </c>
      <c r="H2155" s="4"/>
      <c r="I2155" s="4"/>
      <c r="J2155" s="4">
        <f>SUM(G2155:I2155)</f>
        <v>11795</v>
      </c>
      <c r="K2155" t="s">
        <v>1659</v>
      </c>
      <c r="L2155" t="s">
        <v>1659</v>
      </c>
      <c r="M2155" t="s">
        <v>1332</v>
      </c>
      <c r="N2155" t="s">
        <v>1132</v>
      </c>
      <c r="O2155" t="s">
        <v>1132</v>
      </c>
      <c r="P2155" t="str">
        <f>IFERROR(VLOOKUP(F2155,Sheet1!$A$2:$B$54,2,FALSE),"")</f>
        <v/>
      </c>
    </row>
    <row r="2156" spans="1:16" x14ac:dyDescent="0.2">
      <c r="A2156" s="1">
        <v>2019</v>
      </c>
      <c r="B2156" t="s">
        <v>262</v>
      </c>
      <c r="C2156" s="10" t="s">
        <v>1678</v>
      </c>
      <c r="D2156" s="10" t="s">
        <v>1679</v>
      </c>
      <c r="E2156" s="10" t="s">
        <v>1682</v>
      </c>
      <c r="F2156" t="s">
        <v>759</v>
      </c>
      <c r="G2156" s="4">
        <v>14330</v>
      </c>
      <c r="H2156" s="4"/>
      <c r="I2156" s="4"/>
      <c r="J2156" s="4">
        <f>SUM(G2156:I2156)</f>
        <v>14330</v>
      </c>
      <c r="K2156" t="s">
        <v>1659</v>
      </c>
      <c r="L2156" t="s">
        <v>1659</v>
      </c>
      <c r="M2156" t="s">
        <v>1332</v>
      </c>
      <c r="N2156" t="s">
        <v>1132</v>
      </c>
      <c r="O2156" t="s">
        <v>1132</v>
      </c>
      <c r="P2156" t="str">
        <f>IFERROR(VLOOKUP(F2156,Sheet1!$A$2:$B$54,2,FALSE),"")</f>
        <v/>
      </c>
    </row>
    <row r="2157" spans="1:16" x14ac:dyDescent="0.2">
      <c r="A2157" s="1">
        <v>2020</v>
      </c>
      <c r="B2157" t="s">
        <v>262</v>
      </c>
      <c r="C2157" s="10" t="s">
        <v>1678</v>
      </c>
      <c r="D2157" s="10" t="s">
        <v>1679</v>
      </c>
      <c r="E2157" s="10" t="s">
        <v>1682</v>
      </c>
      <c r="F2157" t="s">
        <v>759</v>
      </c>
      <c r="G2157" s="4">
        <v>16091</v>
      </c>
      <c r="H2157" s="4"/>
      <c r="I2157" s="4"/>
      <c r="J2157" s="4">
        <f>SUM(G2157:I2157)</f>
        <v>16091</v>
      </c>
      <c r="K2157" t="s">
        <v>1659</v>
      </c>
      <c r="L2157" t="s">
        <v>1659</v>
      </c>
      <c r="M2157" t="s">
        <v>1332</v>
      </c>
      <c r="N2157" t="s">
        <v>1132</v>
      </c>
      <c r="O2157" t="s">
        <v>1132</v>
      </c>
      <c r="P2157" t="str">
        <f>IFERROR(VLOOKUP(F2157,Sheet1!$A$2:$B$54,2,FALSE),"")</f>
        <v/>
      </c>
    </row>
    <row r="2158" spans="1:16" x14ac:dyDescent="0.2">
      <c r="A2158" s="1">
        <v>2021</v>
      </c>
      <c r="B2158" t="s">
        <v>262</v>
      </c>
      <c r="C2158" s="10" t="s">
        <v>1678</v>
      </c>
      <c r="D2158" s="10" t="s">
        <v>1679</v>
      </c>
      <c r="E2158" s="10" t="s">
        <v>1682</v>
      </c>
      <c r="F2158" t="s">
        <v>759</v>
      </c>
      <c r="G2158" s="4">
        <v>33849</v>
      </c>
      <c r="H2158" s="4"/>
      <c r="I2158" s="4"/>
      <c r="J2158" s="4">
        <f>SUM(G2158:I2158)</f>
        <v>33849</v>
      </c>
      <c r="K2158" t="s">
        <v>1659</v>
      </c>
      <c r="L2158" t="s">
        <v>1659</v>
      </c>
      <c r="M2158" t="s">
        <v>759</v>
      </c>
      <c r="N2158" t="s">
        <v>1132</v>
      </c>
      <c r="O2158" t="s">
        <v>1132</v>
      </c>
      <c r="P2158" t="str">
        <f>IFERROR(VLOOKUP(F2158,Sheet1!$A$2:$B$54,2,FALSE),"")</f>
        <v/>
      </c>
    </row>
    <row r="2159" spans="1:16" x14ac:dyDescent="0.2">
      <c r="A2159" s="1">
        <v>2022</v>
      </c>
      <c r="B2159" t="s">
        <v>262</v>
      </c>
      <c r="C2159" s="10" t="s">
        <v>1678</v>
      </c>
      <c r="D2159" s="10" t="s">
        <v>1679</v>
      </c>
      <c r="E2159" s="10" t="s">
        <v>1682</v>
      </c>
      <c r="F2159" t="s">
        <v>759</v>
      </c>
      <c r="G2159" s="4">
        <v>92131</v>
      </c>
      <c r="H2159" s="4"/>
      <c r="I2159" s="4"/>
      <c r="J2159" s="4">
        <f>SUM(G2159:I2159)</f>
        <v>92131</v>
      </c>
      <c r="K2159" t="s">
        <v>1659</v>
      </c>
      <c r="L2159" t="s">
        <v>1659</v>
      </c>
      <c r="M2159" t="s">
        <v>759</v>
      </c>
      <c r="N2159" t="s">
        <v>1132</v>
      </c>
      <c r="O2159" t="s">
        <v>1132</v>
      </c>
      <c r="P2159" t="str">
        <f>IFERROR(VLOOKUP(F2159,Sheet1!$A$2:$B$54,2,FALSE),"")</f>
        <v/>
      </c>
    </row>
    <row r="2160" spans="1:16" x14ac:dyDescent="0.2">
      <c r="A2160" s="1">
        <v>2023</v>
      </c>
      <c r="B2160" t="s">
        <v>262</v>
      </c>
      <c r="C2160" s="10" t="s">
        <v>1678</v>
      </c>
      <c r="D2160" s="10" t="s">
        <v>1679</v>
      </c>
      <c r="E2160" s="10" t="s">
        <v>1682</v>
      </c>
      <c r="F2160" t="s">
        <v>759</v>
      </c>
      <c r="G2160" s="4">
        <v>91668</v>
      </c>
      <c r="H2160" s="4"/>
      <c r="I2160" s="4"/>
      <c r="J2160" s="4">
        <f>SUM(G2160:I2160)</f>
        <v>91668</v>
      </c>
      <c r="K2160" t="s">
        <v>1659</v>
      </c>
      <c r="L2160" t="s">
        <v>1659</v>
      </c>
      <c r="M2160" t="s">
        <v>759</v>
      </c>
      <c r="N2160" t="s">
        <v>1132</v>
      </c>
      <c r="O2160" t="s">
        <v>1132</v>
      </c>
      <c r="P2160" t="str">
        <f>IFERROR(VLOOKUP(F2160,Sheet1!$A$2:$B$54,2,FALSE),"")</f>
        <v/>
      </c>
    </row>
    <row r="2161" spans="1:16" x14ac:dyDescent="0.2">
      <c r="A2161" s="1">
        <v>2015</v>
      </c>
      <c r="B2161" t="s">
        <v>255</v>
      </c>
      <c r="C2161" s="10" t="s">
        <v>1678</v>
      </c>
      <c r="D2161" s="10" t="s">
        <v>1679</v>
      </c>
      <c r="E2161" s="10" t="s">
        <v>1682</v>
      </c>
      <c r="F2161" t="s">
        <v>752</v>
      </c>
      <c r="G2161" s="4">
        <v>844154</v>
      </c>
      <c r="H2161" s="4">
        <v>9657761</v>
      </c>
      <c r="I2161" s="4">
        <v>0</v>
      </c>
      <c r="J2161" s="4">
        <f>SUM(G2161:I2161)</f>
        <v>10501915</v>
      </c>
      <c r="K2161" t="s">
        <v>1660</v>
      </c>
      <c r="L2161" t="s">
        <v>1660</v>
      </c>
      <c r="M2161" t="s">
        <v>1321</v>
      </c>
      <c r="N2161" t="s">
        <v>1321</v>
      </c>
      <c r="O2161" t="s">
        <v>1321</v>
      </c>
      <c r="P2161">
        <f>IFERROR(VLOOKUP(F2161,Sheet1!$A$2:$B$54,2,FALSE),"")</f>
        <v>4900720</v>
      </c>
    </row>
    <row r="2162" spans="1:16" x14ac:dyDescent="0.2">
      <c r="A2162" s="1">
        <v>2016</v>
      </c>
      <c r="B2162" t="s">
        <v>255</v>
      </c>
      <c r="C2162" s="10" t="s">
        <v>1678</v>
      </c>
      <c r="D2162" s="10" t="s">
        <v>1679</v>
      </c>
      <c r="E2162" s="10" t="s">
        <v>1682</v>
      </c>
      <c r="F2162" t="s">
        <v>752</v>
      </c>
      <c r="G2162" s="4">
        <v>997501</v>
      </c>
      <c r="H2162" s="4">
        <v>9649352</v>
      </c>
      <c r="I2162" s="4"/>
      <c r="J2162" s="4">
        <f>SUM(G2162:I2162)</f>
        <v>10646853</v>
      </c>
      <c r="K2162" t="s">
        <v>1660</v>
      </c>
      <c r="L2162" t="s">
        <v>1659</v>
      </c>
      <c r="M2162" t="s">
        <v>1321</v>
      </c>
      <c r="N2162" t="s">
        <v>1321</v>
      </c>
      <c r="O2162" t="s">
        <v>1132</v>
      </c>
      <c r="P2162">
        <f>IFERROR(VLOOKUP(F2162,Sheet1!$A$2:$B$54,2,FALSE),"")</f>
        <v>4900720</v>
      </c>
    </row>
    <row r="2163" spans="1:16" x14ac:dyDescent="0.2">
      <c r="A2163" s="1">
        <v>2017</v>
      </c>
      <c r="B2163" t="s">
        <v>255</v>
      </c>
      <c r="C2163" s="10" t="s">
        <v>1678</v>
      </c>
      <c r="D2163" s="10" t="s">
        <v>1679</v>
      </c>
      <c r="E2163" s="10" t="s">
        <v>1682</v>
      </c>
      <c r="F2163" t="s">
        <v>752</v>
      </c>
      <c r="G2163" s="4">
        <v>1190515</v>
      </c>
      <c r="H2163" s="4">
        <v>9715260</v>
      </c>
      <c r="I2163" s="4"/>
      <c r="J2163" s="4">
        <f>SUM(G2163:I2163)</f>
        <v>10905775</v>
      </c>
      <c r="K2163" t="s">
        <v>1660</v>
      </c>
      <c r="L2163" t="s">
        <v>1659</v>
      </c>
      <c r="M2163" t="s">
        <v>1321</v>
      </c>
      <c r="N2163" t="s">
        <v>1321</v>
      </c>
      <c r="O2163" t="s">
        <v>1132</v>
      </c>
      <c r="P2163">
        <f>IFERROR(VLOOKUP(F2163,Sheet1!$A$2:$B$54,2,FALSE),"")</f>
        <v>4900720</v>
      </c>
    </row>
    <row r="2164" spans="1:16" x14ac:dyDescent="0.2">
      <c r="A2164" s="1">
        <v>2018</v>
      </c>
      <c r="B2164" t="s">
        <v>255</v>
      </c>
      <c r="C2164" s="10" t="s">
        <v>1678</v>
      </c>
      <c r="D2164" s="10" t="s">
        <v>1679</v>
      </c>
      <c r="E2164" s="10" t="s">
        <v>1682</v>
      </c>
      <c r="F2164" t="s">
        <v>752</v>
      </c>
      <c r="G2164" s="4">
        <v>1338569</v>
      </c>
      <c r="H2164" s="4">
        <v>9197298</v>
      </c>
      <c r="I2164" s="4"/>
      <c r="J2164" s="4">
        <f>SUM(G2164:I2164)</f>
        <v>10535867</v>
      </c>
      <c r="K2164" t="s">
        <v>1660</v>
      </c>
      <c r="L2164" t="s">
        <v>1659</v>
      </c>
      <c r="M2164" t="s">
        <v>1321</v>
      </c>
      <c r="N2164" t="s">
        <v>1321</v>
      </c>
      <c r="O2164" t="s">
        <v>1132</v>
      </c>
      <c r="P2164">
        <f>IFERROR(VLOOKUP(F2164,Sheet1!$A$2:$B$54,2,FALSE),"")</f>
        <v>4900720</v>
      </c>
    </row>
    <row r="2165" spans="1:16" x14ac:dyDescent="0.2">
      <c r="A2165" s="1">
        <v>2019</v>
      </c>
      <c r="B2165" t="s">
        <v>255</v>
      </c>
      <c r="C2165" s="10" t="s">
        <v>1678</v>
      </c>
      <c r="D2165" s="10" t="s">
        <v>1679</v>
      </c>
      <c r="E2165" s="10" t="s">
        <v>1682</v>
      </c>
      <c r="F2165" t="s">
        <v>752</v>
      </c>
      <c r="G2165" s="4">
        <v>1631221</v>
      </c>
      <c r="H2165" s="4">
        <v>9378829</v>
      </c>
      <c r="I2165" s="4"/>
      <c r="J2165" s="4">
        <f>SUM(G2165:I2165)</f>
        <v>11010050</v>
      </c>
      <c r="K2165" t="s">
        <v>1660</v>
      </c>
      <c r="L2165" t="s">
        <v>1659</v>
      </c>
      <c r="M2165" t="s">
        <v>1321</v>
      </c>
      <c r="N2165" t="s">
        <v>1321</v>
      </c>
      <c r="O2165" t="s">
        <v>1132</v>
      </c>
      <c r="P2165">
        <f>IFERROR(VLOOKUP(F2165,Sheet1!$A$2:$B$54,2,FALSE),"")</f>
        <v>4900720</v>
      </c>
    </row>
    <row r="2166" spans="1:16" x14ac:dyDescent="0.2">
      <c r="A2166" s="1">
        <v>2020</v>
      </c>
      <c r="B2166" t="s">
        <v>255</v>
      </c>
      <c r="C2166" s="10" t="s">
        <v>1678</v>
      </c>
      <c r="D2166" s="10" t="s">
        <v>1679</v>
      </c>
      <c r="E2166" s="10" t="s">
        <v>1682</v>
      </c>
      <c r="F2166" t="s">
        <v>752</v>
      </c>
      <c r="G2166" s="4">
        <v>1901955</v>
      </c>
      <c r="H2166" s="4">
        <v>9565600</v>
      </c>
      <c r="I2166" s="4"/>
      <c r="J2166" s="4">
        <f>SUM(G2166:I2166)</f>
        <v>11467555</v>
      </c>
      <c r="K2166" t="s">
        <v>1660</v>
      </c>
      <c r="L2166" t="s">
        <v>1659</v>
      </c>
      <c r="M2166" t="s">
        <v>1321</v>
      </c>
      <c r="N2166" t="s">
        <v>1321</v>
      </c>
      <c r="O2166" t="s">
        <v>1132</v>
      </c>
      <c r="P2166">
        <f>IFERROR(VLOOKUP(F2166,Sheet1!$A$2:$B$54,2,FALSE),"")</f>
        <v>4900720</v>
      </c>
    </row>
    <row r="2167" spans="1:16" x14ac:dyDescent="0.2">
      <c r="A2167" s="1">
        <v>2021</v>
      </c>
      <c r="B2167" t="s">
        <v>255</v>
      </c>
      <c r="C2167" s="10" t="s">
        <v>1678</v>
      </c>
      <c r="D2167" s="10" t="s">
        <v>1679</v>
      </c>
      <c r="E2167" s="10" t="s">
        <v>1682</v>
      </c>
      <c r="F2167" t="s">
        <v>752</v>
      </c>
      <c r="G2167" s="4">
        <v>2174209</v>
      </c>
      <c r="H2167" s="4">
        <v>9892264</v>
      </c>
      <c r="I2167" s="4"/>
      <c r="J2167" s="4">
        <f>SUM(G2167:I2167)</f>
        <v>12066473</v>
      </c>
      <c r="K2167" t="s">
        <v>1660</v>
      </c>
      <c r="L2167" t="s">
        <v>1659</v>
      </c>
      <c r="M2167" t="s">
        <v>752</v>
      </c>
      <c r="N2167" t="s">
        <v>752</v>
      </c>
      <c r="O2167" t="s">
        <v>1132</v>
      </c>
      <c r="P2167">
        <f>IFERROR(VLOOKUP(F2167,Sheet1!$A$2:$B$54,2,FALSE),"")</f>
        <v>4900720</v>
      </c>
    </row>
    <row r="2168" spans="1:16" x14ac:dyDescent="0.2">
      <c r="A2168" s="1">
        <v>2022</v>
      </c>
      <c r="B2168" t="s">
        <v>255</v>
      </c>
      <c r="C2168" s="10" t="s">
        <v>1678</v>
      </c>
      <c r="D2168" s="10" t="s">
        <v>1679</v>
      </c>
      <c r="E2168" s="10" t="s">
        <v>1682</v>
      </c>
      <c r="F2168" t="s">
        <v>752</v>
      </c>
      <c r="G2168" s="4">
        <v>2544922</v>
      </c>
      <c r="H2168" s="4">
        <v>10224117</v>
      </c>
      <c r="I2168" s="4"/>
      <c r="J2168" s="4">
        <f>SUM(G2168:I2168)</f>
        <v>12769039</v>
      </c>
      <c r="K2168" t="s">
        <v>1660</v>
      </c>
      <c r="L2168" t="s">
        <v>1659</v>
      </c>
      <c r="M2168" t="s">
        <v>752</v>
      </c>
      <c r="N2168" t="s">
        <v>752</v>
      </c>
      <c r="O2168" t="s">
        <v>1132</v>
      </c>
      <c r="P2168">
        <f>IFERROR(VLOOKUP(F2168,Sheet1!$A$2:$B$54,2,FALSE),"")</f>
        <v>4900720</v>
      </c>
    </row>
    <row r="2169" spans="1:16" x14ac:dyDescent="0.2">
      <c r="A2169" s="1">
        <v>2023</v>
      </c>
      <c r="B2169" t="s">
        <v>255</v>
      </c>
      <c r="C2169" s="10" t="s">
        <v>1678</v>
      </c>
      <c r="D2169" s="10" t="s">
        <v>1679</v>
      </c>
      <c r="E2169" s="10" t="s">
        <v>1682</v>
      </c>
      <c r="F2169" t="s">
        <v>752</v>
      </c>
      <c r="G2169" s="4">
        <v>2976939</v>
      </c>
      <c r="H2169" s="4">
        <v>11060335</v>
      </c>
      <c r="I2169" s="4"/>
      <c r="J2169" s="4">
        <f>SUM(G2169:I2169)</f>
        <v>14037274</v>
      </c>
      <c r="K2169" t="s">
        <v>1660</v>
      </c>
      <c r="L2169" t="s">
        <v>1659</v>
      </c>
      <c r="M2169" t="s">
        <v>752</v>
      </c>
      <c r="N2169" t="s">
        <v>752</v>
      </c>
      <c r="O2169" t="s">
        <v>1132</v>
      </c>
      <c r="P2169">
        <f>IFERROR(VLOOKUP(F2169,Sheet1!$A$2:$B$54,2,FALSE),"")</f>
        <v>4900720</v>
      </c>
    </row>
    <row r="2170" spans="1:16" x14ac:dyDescent="0.2">
      <c r="A2170" s="1">
        <v>2015</v>
      </c>
      <c r="B2170" t="s">
        <v>264</v>
      </c>
      <c r="C2170" s="10" t="s">
        <v>1678</v>
      </c>
      <c r="D2170" s="10" t="s">
        <v>1679</v>
      </c>
      <c r="E2170" s="10" t="s">
        <v>1682</v>
      </c>
      <c r="F2170" t="s">
        <v>761</v>
      </c>
      <c r="G2170" s="4">
        <v>7081</v>
      </c>
      <c r="H2170" s="4"/>
      <c r="I2170" s="4"/>
      <c r="J2170" s="4">
        <f>SUM(G2170:I2170)</f>
        <v>7081</v>
      </c>
      <c r="K2170" t="s">
        <v>1659</v>
      </c>
      <c r="L2170" t="s">
        <v>1659</v>
      </c>
      <c r="M2170" t="s">
        <v>1334</v>
      </c>
      <c r="N2170" t="s">
        <v>1132</v>
      </c>
      <c r="O2170" t="s">
        <v>1132</v>
      </c>
      <c r="P2170" t="str">
        <f>IFERROR(VLOOKUP(F2170,Sheet1!$A$2:$B$54,2,FALSE),"")</f>
        <v/>
      </c>
    </row>
    <row r="2171" spans="1:16" x14ac:dyDescent="0.2">
      <c r="A2171" s="1">
        <v>2016</v>
      </c>
      <c r="B2171" t="s">
        <v>264</v>
      </c>
      <c r="C2171" s="10" t="s">
        <v>1678</v>
      </c>
      <c r="D2171" s="10" t="s">
        <v>1679</v>
      </c>
      <c r="E2171" s="10" t="s">
        <v>1682</v>
      </c>
      <c r="F2171" t="s">
        <v>761</v>
      </c>
      <c r="G2171" s="4">
        <v>7806</v>
      </c>
      <c r="H2171" s="4"/>
      <c r="I2171" s="4"/>
      <c r="J2171" s="4">
        <f>SUM(G2171:I2171)</f>
        <v>7806</v>
      </c>
      <c r="K2171" t="s">
        <v>1659</v>
      </c>
      <c r="L2171" t="s">
        <v>1659</v>
      </c>
      <c r="M2171" t="s">
        <v>1334</v>
      </c>
      <c r="N2171" t="s">
        <v>1132</v>
      </c>
      <c r="O2171" t="s">
        <v>1132</v>
      </c>
      <c r="P2171" t="str">
        <f>IFERROR(VLOOKUP(F2171,Sheet1!$A$2:$B$54,2,FALSE),"")</f>
        <v/>
      </c>
    </row>
    <row r="2172" spans="1:16" x14ac:dyDescent="0.2">
      <c r="A2172" s="1">
        <v>2017</v>
      </c>
      <c r="B2172" t="s">
        <v>264</v>
      </c>
      <c r="C2172" s="10" t="s">
        <v>1678</v>
      </c>
      <c r="D2172" s="10" t="s">
        <v>1679</v>
      </c>
      <c r="E2172" s="10" t="s">
        <v>1682</v>
      </c>
      <c r="F2172" t="s">
        <v>761</v>
      </c>
      <c r="G2172" s="4">
        <v>11773</v>
      </c>
      <c r="H2172" s="4"/>
      <c r="I2172" s="4"/>
      <c r="J2172" s="4">
        <f>SUM(G2172:I2172)</f>
        <v>11773</v>
      </c>
      <c r="K2172" t="s">
        <v>1659</v>
      </c>
      <c r="L2172" t="s">
        <v>1659</v>
      </c>
      <c r="M2172" t="s">
        <v>1334</v>
      </c>
      <c r="N2172" t="s">
        <v>1132</v>
      </c>
      <c r="O2172" t="s">
        <v>1132</v>
      </c>
      <c r="P2172" t="str">
        <f>IFERROR(VLOOKUP(F2172,Sheet1!$A$2:$B$54,2,FALSE),"")</f>
        <v/>
      </c>
    </row>
    <row r="2173" spans="1:16" x14ac:dyDescent="0.2">
      <c r="A2173" s="1">
        <v>2018</v>
      </c>
      <c r="B2173" t="s">
        <v>264</v>
      </c>
      <c r="C2173" s="10" t="s">
        <v>1678</v>
      </c>
      <c r="D2173" s="10" t="s">
        <v>1679</v>
      </c>
      <c r="E2173" s="10" t="s">
        <v>1682</v>
      </c>
      <c r="F2173" t="s">
        <v>761</v>
      </c>
      <c r="G2173" s="4">
        <v>6339</v>
      </c>
      <c r="H2173" s="4"/>
      <c r="I2173" s="4"/>
      <c r="J2173" s="4">
        <f>SUM(G2173:I2173)</f>
        <v>6339</v>
      </c>
      <c r="K2173" t="s">
        <v>1659</v>
      </c>
      <c r="L2173" t="s">
        <v>1659</v>
      </c>
      <c r="M2173" t="s">
        <v>1334</v>
      </c>
      <c r="N2173" t="s">
        <v>1132</v>
      </c>
      <c r="O2173" t="s">
        <v>1132</v>
      </c>
      <c r="P2173" t="str">
        <f>IFERROR(VLOOKUP(F2173,Sheet1!$A$2:$B$54,2,FALSE),"")</f>
        <v/>
      </c>
    </row>
    <row r="2174" spans="1:16" x14ac:dyDescent="0.2">
      <c r="A2174" s="1">
        <v>2019</v>
      </c>
      <c r="B2174" t="s">
        <v>264</v>
      </c>
      <c r="C2174" s="10" t="s">
        <v>1678</v>
      </c>
      <c r="D2174" s="10" t="s">
        <v>1679</v>
      </c>
      <c r="E2174" s="10" t="s">
        <v>1682</v>
      </c>
      <c r="F2174" t="s">
        <v>761</v>
      </c>
      <c r="G2174" s="4">
        <v>11461</v>
      </c>
      <c r="H2174" s="4"/>
      <c r="I2174" s="4"/>
      <c r="J2174" s="4">
        <f>SUM(G2174:I2174)</f>
        <v>11461</v>
      </c>
      <c r="K2174" t="s">
        <v>1659</v>
      </c>
      <c r="L2174" t="s">
        <v>1659</v>
      </c>
      <c r="M2174" t="s">
        <v>1334</v>
      </c>
      <c r="N2174" t="s">
        <v>1132</v>
      </c>
      <c r="O2174" t="s">
        <v>1132</v>
      </c>
      <c r="P2174" t="str">
        <f>IFERROR(VLOOKUP(F2174,Sheet1!$A$2:$B$54,2,FALSE),"")</f>
        <v/>
      </c>
    </row>
    <row r="2175" spans="1:16" x14ac:dyDescent="0.2">
      <c r="A2175" s="1">
        <v>2020</v>
      </c>
      <c r="B2175" t="s">
        <v>264</v>
      </c>
      <c r="C2175" s="10" t="s">
        <v>1678</v>
      </c>
      <c r="D2175" s="10" t="s">
        <v>1679</v>
      </c>
      <c r="E2175" s="10" t="s">
        <v>1682</v>
      </c>
      <c r="F2175" t="s">
        <v>761</v>
      </c>
      <c r="G2175" s="4">
        <v>15394</v>
      </c>
      <c r="H2175" s="4"/>
      <c r="I2175" s="4"/>
      <c r="J2175" s="4">
        <f>SUM(G2175:I2175)</f>
        <v>15394</v>
      </c>
      <c r="K2175" t="s">
        <v>1659</v>
      </c>
      <c r="L2175" t="s">
        <v>1659</v>
      </c>
      <c r="M2175" t="s">
        <v>1334</v>
      </c>
      <c r="N2175" t="s">
        <v>1132</v>
      </c>
      <c r="O2175" t="s">
        <v>1132</v>
      </c>
      <c r="P2175" t="str">
        <f>IFERROR(VLOOKUP(F2175,Sheet1!$A$2:$B$54,2,FALSE),"")</f>
        <v/>
      </c>
    </row>
    <row r="2176" spans="1:16" x14ac:dyDescent="0.2">
      <c r="A2176" s="1">
        <v>2021</v>
      </c>
      <c r="B2176" t="s">
        <v>264</v>
      </c>
      <c r="C2176" s="10" t="s">
        <v>1678</v>
      </c>
      <c r="D2176" s="10" t="s">
        <v>1679</v>
      </c>
      <c r="E2176" s="10" t="s">
        <v>1682</v>
      </c>
      <c r="F2176" t="s">
        <v>761</v>
      </c>
      <c r="G2176" s="4">
        <v>19828</v>
      </c>
      <c r="H2176" s="4"/>
      <c r="I2176" s="4"/>
      <c r="J2176" s="4">
        <f>SUM(G2176:I2176)</f>
        <v>19828</v>
      </c>
      <c r="K2176" t="s">
        <v>1659</v>
      </c>
      <c r="L2176" t="s">
        <v>1659</v>
      </c>
      <c r="M2176" t="s">
        <v>761</v>
      </c>
      <c r="N2176" t="s">
        <v>1132</v>
      </c>
      <c r="O2176" t="s">
        <v>1132</v>
      </c>
      <c r="P2176" t="str">
        <f>IFERROR(VLOOKUP(F2176,Sheet1!$A$2:$B$54,2,FALSE),"")</f>
        <v/>
      </c>
    </row>
    <row r="2177" spans="1:16" x14ac:dyDescent="0.2">
      <c r="A2177" s="1">
        <v>2022</v>
      </c>
      <c r="B2177" t="s">
        <v>264</v>
      </c>
      <c r="C2177" s="10" t="s">
        <v>1678</v>
      </c>
      <c r="D2177" s="10" t="s">
        <v>1679</v>
      </c>
      <c r="E2177" s="10" t="s">
        <v>1682</v>
      </c>
      <c r="F2177" t="s">
        <v>761</v>
      </c>
      <c r="G2177" s="4">
        <v>24458</v>
      </c>
      <c r="H2177" s="4"/>
      <c r="I2177" s="4"/>
      <c r="J2177" s="4">
        <f>SUM(G2177:I2177)</f>
        <v>24458</v>
      </c>
      <c r="K2177" t="s">
        <v>1659</v>
      </c>
      <c r="L2177" t="s">
        <v>1659</v>
      </c>
      <c r="M2177" t="s">
        <v>761</v>
      </c>
      <c r="N2177" t="s">
        <v>1132</v>
      </c>
      <c r="O2177" t="s">
        <v>1132</v>
      </c>
      <c r="P2177" t="str">
        <f>IFERROR(VLOOKUP(F2177,Sheet1!$A$2:$B$54,2,FALSE),"")</f>
        <v/>
      </c>
    </row>
    <row r="2178" spans="1:16" x14ac:dyDescent="0.2">
      <c r="A2178" s="1">
        <v>2023</v>
      </c>
      <c r="B2178" t="s">
        <v>264</v>
      </c>
      <c r="C2178" s="10" t="s">
        <v>1678</v>
      </c>
      <c r="D2178" s="10" t="s">
        <v>1679</v>
      </c>
      <c r="E2178" s="10" t="s">
        <v>1682</v>
      </c>
      <c r="F2178" t="s">
        <v>761</v>
      </c>
      <c r="G2178" s="4">
        <v>34218</v>
      </c>
      <c r="H2178" s="4"/>
      <c r="I2178" s="4"/>
      <c r="J2178" s="4">
        <f>SUM(G2178:I2178)</f>
        <v>34218</v>
      </c>
      <c r="K2178" t="s">
        <v>1659</v>
      </c>
      <c r="L2178" t="s">
        <v>1659</v>
      </c>
      <c r="M2178" t="s">
        <v>761</v>
      </c>
      <c r="N2178" t="s">
        <v>1132</v>
      </c>
      <c r="O2178" t="s">
        <v>1132</v>
      </c>
      <c r="P2178" t="str">
        <f>IFERROR(VLOOKUP(F2178,Sheet1!$A$2:$B$54,2,FALSE),"")</f>
        <v/>
      </c>
    </row>
    <row r="2179" spans="1:16" x14ac:dyDescent="0.2">
      <c r="A2179" s="1">
        <v>2015</v>
      </c>
      <c r="B2179" t="s">
        <v>265</v>
      </c>
      <c r="C2179" s="10" t="s">
        <v>1678</v>
      </c>
      <c r="D2179" s="10" t="s">
        <v>1679</v>
      </c>
      <c r="E2179" s="10" t="s">
        <v>1682</v>
      </c>
      <c r="F2179" t="s">
        <v>762</v>
      </c>
      <c r="G2179" s="4">
        <v>63791</v>
      </c>
      <c r="H2179" s="4"/>
      <c r="I2179" s="4"/>
      <c r="J2179" s="4">
        <f>SUM(G2179:I2179)</f>
        <v>63791</v>
      </c>
      <c r="K2179" t="s">
        <v>1659</v>
      </c>
      <c r="L2179" t="s">
        <v>1659</v>
      </c>
      <c r="M2179" t="s">
        <v>1335</v>
      </c>
      <c r="N2179" t="s">
        <v>1132</v>
      </c>
      <c r="O2179" t="s">
        <v>1132</v>
      </c>
      <c r="P2179" t="str">
        <f>IFERROR(VLOOKUP(F2179,Sheet1!$A$2:$B$54,2,FALSE),"")</f>
        <v/>
      </c>
    </row>
    <row r="2180" spans="1:16" x14ac:dyDescent="0.2">
      <c r="A2180" s="1">
        <v>2016</v>
      </c>
      <c r="B2180" t="s">
        <v>265</v>
      </c>
      <c r="C2180" s="10" t="s">
        <v>1678</v>
      </c>
      <c r="D2180" s="10" t="s">
        <v>1679</v>
      </c>
      <c r="E2180" s="10" t="s">
        <v>1682</v>
      </c>
      <c r="F2180" t="s">
        <v>762</v>
      </c>
      <c r="G2180" s="4">
        <v>67646</v>
      </c>
      <c r="H2180" s="4"/>
      <c r="I2180" s="4"/>
      <c r="J2180" s="4">
        <f>SUM(G2180:I2180)</f>
        <v>67646</v>
      </c>
      <c r="K2180" t="s">
        <v>1659</v>
      </c>
      <c r="L2180" t="s">
        <v>1659</v>
      </c>
      <c r="M2180" t="s">
        <v>1335</v>
      </c>
      <c r="N2180" t="s">
        <v>1132</v>
      </c>
      <c r="O2180" t="s">
        <v>1132</v>
      </c>
      <c r="P2180" t="str">
        <f>IFERROR(VLOOKUP(F2180,Sheet1!$A$2:$B$54,2,FALSE),"")</f>
        <v/>
      </c>
    </row>
    <row r="2181" spans="1:16" x14ac:dyDescent="0.2">
      <c r="A2181" s="1">
        <v>2017</v>
      </c>
      <c r="B2181" t="s">
        <v>265</v>
      </c>
      <c r="C2181" s="10" t="s">
        <v>1678</v>
      </c>
      <c r="D2181" s="10" t="s">
        <v>1679</v>
      </c>
      <c r="E2181" s="10" t="s">
        <v>1682</v>
      </c>
      <c r="F2181" t="s">
        <v>762</v>
      </c>
      <c r="G2181" s="4">
        <v>82344</v>
      </c>
      <c r="H2181" s="4"/>
      <c r="I2181" s="4"/>
      <c r="J2181" s="4">
        <f>SUM(G2181:I2181)</f>
        <v>82344</v>
      </c>
      <c r="K2181" t="s">
        <v>1659</v>
      </c>
      <c r="L2181" t="s">
        <v>1659</v>
      </c>
      <c r="M2181" t="s">
        <v>1335</v>
      </c>
      <c r="N2181" t="s">
        <v>1132</v>
      </c>
      <c r="O2181" t="s">
        <v>1132</v>
      </c>
      <c r="P2181" t="str">
        <f>IFERROR(VLOOKUP(F2181,Sheet1!$A$2:$B$54,2,FALSE),"")</f>
        <v/>
      </c>
    </row>
    <row r="2182" spans="1:16" x14ac:dyDescent="0.2">
      <c r="A2182" s="1">
        <v>2018</v>
      </c>
      <c r="B2182" t="s">
        <v>265</v>
      </c>
      <c r="C2182" s="10" t="s">
        <v>1678</v>
      </c>
      <c r="D2182" s="10" t="s">
        <v>1679</v>
      </c>
      <c r="E2182" s="10" t="s">
        <v>1682</v>
      </c>
      <c r="F2182" t="s">
        <v>762</v>
      </c>
      <c r="G2182" s="4">
        <v>95617</v>
      </c>
      <c r="H2182" s="4"/>
      <c r="I2182" s="4"/>
      <c r="J2182" s="4">
        <f>SUM(G2182:I2182)</f>
        <v>95617</v>
      </c>
      <c r="K2182" t="s">
        <v>1659</v>
      </c>
      <c r="L2182" t="s">
        <v>1659</v>
      </c>
      <c r="M2182" t="s">
        <v>1335</v>
      </c>
      <c r="N2182" t="s">
        <v>1132</v>
      </c>
      <c r="O2182" t="s">
        <v>1132</v>
      </c>
      <c r="P2182" t="str">
        <f>IFERROR(VLOOKUP(F2182,Sheet1!$A$2:$B$54,2,FALSE),"")</f>
        <v/>
      </c>
    </row>
    <row r="2183" spans="1:16" x14ac:dyDescent="0.2">
      <c r="A2183" s="1">
        <v>2019</v>
      </c>
      <c r="B2183" t="s">
        <v>265</v>
      </c>
      <c r="C2183" s="10" t="s">
        <v>1678</v>
      </c>
      <c r="D2183" s="10" t="s">
        <v>1679</v>
      </c>
      <c r="E2183" s="10" t="s">
        <v>1682</v>
      </c>
      <c r="F2183" t="s">
        <v>762</v>
      </c>
      <c r="G2183" s="4">
        <v>106805</v>
      </c>
      <c r="H2183" s="4"/>
      <c r="I2183" s="4"/>
      <c r="J2183" s="4">
        <f>SUM(G2183:I2183)</f>
        <v>106805</v>
      </c>
      <c r="K2183" t="s">
        <v>1659</v>
      </c>
      <c r="L2183" t="s">
        <v>1659</v>
      </c>
      <c r="M2183" t="s">
        <v>1335</v>
      </c>
      <c r="N2183" t="s">
        <v>1132</v>
      </c>
      <c r="O2183" t="s">
        <v>1132</v>
      </c>
      <c r="P2183" t="str">
        <f>IFERROR(VLOOKUP(F2183,Sheet1!$A$2:$B$54,2,FALSE),"")</f>
        <v/>
      </c>
    </row>
    <row r="2184" spans="1:16" x14ac:dyDescent="0.2">
      <c r="A2184" s="1">
        <v>2020</v>
      </c>
      <c r="B2184" t="s">
        <v>265</v>
      </c>
      <c r="C2184" s="10" t="s">
        <v>1678</v>
      </c>
      <c r="D2184" s="10" t="s">
        <v>1679</v>
      </c>
      <c r="E2184" s="10" t="s">
        <v>1682</v>
      </c>
      <c r="F2184" t="s">
        <v>762</v>
      </c>
      <c r="G2184" s="4">
        <v>142811</v>
      </c>
      <c r="H2184" s="4"/>
      <c r="I2184" s="4"/>
      <c r="J2184" s="4">
        <f>SUM(G2184:I2184)</f>
        <v>142811</v>
      </c>
      <c r="K2184" t="s">
        <v>1659</v>
      </c>
      <c r="L2184" t="s">
        <v>1659</v>
      </c>
      <c r="M2184" t="s">
        <v>1335</v>
      </c>
      <c r="N2184" t="s">
        <v>1132</v>
      </c>
      <c r="O2184" t="s">
        <v>1132</v>
      </c>
      <c r="P2184" t="str">
        <f>IFERROR(VLOOKUP(F2184,Sheet1!$A$2:$B$54,2,FALSE),"")</f>
        <v/>
      </c>
    </row>
    <row r="2185" spans="1:16" x14ac:dyDescent="0.2">
      <c r="A2185" s="1">
        <v>2021</v>
      </c>
      <c r="B2185" t="s">
        <v>265</v>
      </c>
      <c r="C2185" s="10" t="s">
        <v>1678</v>
      </c>
      <c r="D2185" s="10" t="s">
        <v>1679</v>
      </c>
      <c r="E2185" s="10" t="s">
        <v>1682</v>
      </c>
      <c r="F2185" t="s">
        <v>762</v>
      </c>
      <c r="G2185" s="4">
        <v>171323</v>
      </c>
      <c r="H2185" s="4"/>
      <c r="I2185" s="4"/>
      <c r="J2185" s="4">
        <f>SUM(G2185:I2185)</f>
        <v>171323</v>
      </c>
      <c r="K2185" t="s">
        <v>1659</v>
      </c>
      <c r="L2185" t="s">
        <v>1659</v>
      </c>
      <c r="M2185" t="s">
        <v>762</v>
      </c>
      <c r="N2185" t="s">
        <v>1132</v>
      </c>
      <c r="O2185" t="s">
        <v>1132</v>
      </c>
      <c r="P2185" t="str">
        <f>IFERROR(VLOOKUP(F2185,Sheet1!$A$2:$B$54,2,FALSE),"")</f>
        <v/>
      </c>
    </row>
    <row r="2186" spans="1:16" x14ac:dyDescent="0.2">
      <c r="A2186" s="1">
        <v>2022</v>
      </c>
      <c r="B2186" t="s">
        <v>265</v>
      </c>
      <c r="C2186" s="10" t="s">
        <v>1678</v>
      </c>
      <c r="D2186" s="10" t="s">
        <v>1679</v>
      </c>
      <c r="E2186" s="10" t="s">
        <v>1682</v>
      </c>
      <c r="F2186" t="s">
        <v>762</v>
      </c>
      <c r="G2186" s="4">
        <v>241653</v>
      </c>
      <c r="H2186" s="4"/>
      <c r="I2186" s="4"/>
      <c r="J2186" s="4">
        <f>SUM(G2186:I2186)</f>
        <v>241653</v>
      </c>
      <c r="K2186" t="s">
        <v>1659</v>
      </c>
      <c r="L2186" t="s">
        <v>1659</v>
      </c>
      <c r="M2186" t="s">
        <v>762</v>
      </c>
      <c r="N2186" t="s">
        <v>1132</v>
      </c>
      <c r="O2186" t="s">
        <v>1132</v>
      </c>
      <c r="P2186" t="str">
        <f>IFERROR(VLOOKUP(F2186,Sheet1!$A$2:$B$54,2,FALSE),"")</f>
        <v/>
      </c>
    </row>
    <row r="2187" spans="1:16" x14ac:dyDescent="0.2">
      <c r="A2187" s="1">
        <v>2023</v>
      </c>
      <c r="B2187" t="s">
        <v>265</v>
      </c>
      <c r="C2187" s="10" t="s">
        <v>1678</v>
      </c>
      <c r="D2187" s="10" t="s">
        <v>1679</v>
      </c>
      <c r="E2187" s="10" t="s">
        <v>1682</v>
      </c>
      <c r="F2187" t="s">
        <v>762</v>
      </c>
      <c r="G2187" s="4">
        <v>265790</v>
      </c>
      <c r="H2187" s="4"/>
      <c r="I2187" s="4"/>
      <c r="J2187" s="4">
        <f>SUM(G2187:I2187)</f>
        <v>265790</v>
      </c>
      <c r="K2187" t="s">
        <v>1659</v>
      </c>
      <c r="L2187" t="s">
        <v>1659</v>
      </c>
      <c r="M2187" t="s">
        <v>762</v>
      </c>
      <c r="N2187" t="s">
        <v>1132</v>
      </c>
      <c r="O2187" t="s">
        <v>1132</v>
      </c>
      <c r="P2187" t="str">
        <f>IFERROR(VLOOKUP(F2187,Sheet1!$A$2:$B$54,2,FALSE),"")</f>
        <v/>
      </c>
    </row>
    <row r="2188" spans="1:16" x14ac:dyDescent="0.2">
      <c r="A2188" s="1">
        <v>2015</v>
      </c>
      <c r="B2188" t="s">
        <v>266</v>
      </c>
      <c r="C2188" s="10" t="s">
        <v>1678</v>
      </c>
      <c r="D2188" s="10" t="s">
        <v>1679</v>
      </c>
      <c r="E2188" s="10" t="s">
        <v>1682</v>
      </c>
      <c r="F2188" t="s">
        <v>763</v>
      </c>
      <c r="G2188" s="4">
        <v>5776</v>
      </c>
      <c r="H2188" s="4"/>
      <c r="I2188" s="4"/>
      <c r="J2188" s="4">
        <f>SUM(G2188:I2188)</f>
        <v>5776</v>
      </c>
      <c r="K2188" t="s">
        <v>1659</v>
      </c>
      <c r="L2188" t="s">
        <v>1659</v>
      </c>
      <c r="M2188" t="s">
        <v>1336</v>
      </c>
      <c r="N2188" t="s">
        <v>1132</v>
      </c>
      <c r="O2188" t="s">
        <v>1132</v>
      </c>
      <c r="P2188" t="str">
        <f>IFERROR(VLOOKUP(F2188,Sheet1!$A$2:$B$54,2,FALSE),"")</f>
        <v/>
      </c>
    </row>
    <row r="2189" spans="1:16" x14ac:dyDescent="0.2">
      <c r="A2189" s="1">
        <v>2016</v>
      </c>
      <c r="B2189" t="s">
        <v>266</v>
      </c>
      <c r="C2189" s="10" t="s">
        <v>1678</v>
      </c>
      <c r="D2189" s="10" t="s">
        <v>1679</v>
      </c>
      <c r="E2189" s="10" t="s">
        <v>1682</v>
      </c>
      <c r="F2189" t="s">
        <v>763</v>
      </c>
      <c r="G2189" s="4">
        <v>7968</v>
      </c>
      <c r="H2189" s="4"/>
      <c r="I2189" s="4"/>
      <c r="J2189" s="4">
        <f>SUM(G2189:I2189)</f>
        <v>7968</v>
      </c>
      <c r="K2189" t="s">
        <v>1659</v>
      </c>
      <c r="L2189" t="s">
        <v>1659</v>
      </c>
      <c r="M2189" t="s">
        <v>1336</v>
      </c>
      <c r="N2189" t="s">
        <v>1132</v>
      </c>
      <c r="O2189" t="s">
        <v>1132</v>
      </c>
      <c r="P2189" t="str">
        <f>IFERROR(VLOOKUP(F2189,Sheet1!$A$2:$B$54,2,FALSE),"")</f>
        <v/>
      </c>
    </row>
    <row r="2190" spans="1:16" x14ac:dyDescent="0.2">
      <c r="A2190" s="1">
        <v>2017</v>
      </c>
      <c r="B2190" t="s">
        <v>266</v>
      </c>
      <c r="C2190" s="10" t="s">
        <v>1678</v>
      </c>
      <c r="D2190" s="10" t="s">
        <v>1679</v>
      </c>
      <c r="E2190" s="10" t="s">
        <v>1682</v>
      </c>
      <c r="F2190" t="s">
        <v>763</v>
      </c>
      <c r="G2190" s="4">
        <v>5392</v>
      </c>
      <c r="H2190" s="4"/>
      <c r="I2190" s="4"/>
      <c r="J2190" s="4">
        <f>SUM(G2190:I2190)</f>
        <v>5392</v>
      </c>
      <c r="K2190" t="s">
        <v>1659</v>
      </c>
      <c r="L2190" t="s">
        <v>1659</v>
      </c>
      <c r="M2190" t="s">
        <v>1336</v>
      </c>
      <c r="N2190" t="s">
        <v>1132</v>
      </c>
      <c r="O2190" t="s">
        <v>1132</v>
      </c>
      <c r="P2190" t="str">
        <f>IFERROR(VLOOKUP(F2190,Sheet1!$A$2:$B$54,2,FALSE),"")</f>
        <v/>
      </c>
    </row>
    <row r="2191" spans="1:16" x14ac:dyDescent="0.2">
      <c r="A2191" s="1">
        <v>2018</v>
      </c>
      <c r="B2191" t="s">
        <v>266</v>
      </c>
      <c r="C2191" s="10" t="s">
        <v>1678</v>
      </c>
      <c r="D2191" s="10" t="s">
        <v>1679</v>
      </c>
      <c r="E2191" s="10" t="s">
        <v>1682</v>
      </c>
      <c r="F2191" t="s">
        <v>763</v>
      </c>
      <c r="G2191" s="4">
        <v>10786</v>
      </c>
      <c r="H2191" s="4"/>
      <c r="I2191" s="4"/>
      <c r="J2191" s="4">
        <f>SUM(G2191:I2191)</f>
        <v>10786</v>
      </c>
      <c r="K2191" t="s">
        <v>1659</v>
      </c>
      <c r="L2191" t="s">
        <v>1659</v>
      </c>
      <c r="M2191" t="s">
        <v>1336</v>
      </c>
      <c r="N2191" t="s">
        <v>1132</v>
      </c>
      <c r="O2191" t="s">
        <v>1132</v>
      </c>
      <c r="P2191" t="str">
        <f>IFERROR(VLOOKUP(F2191,Sheet1!$A$2:$B$54,2,FALSE),"")</f>
        <v/>
      </c>
    </row>
    <row r="2192" spans="1:16" x14ac:dyDescent="0.2">
      <c r="A2192" s="1">
        <v>2019</v>
      </c>
      <c r="B2192" t="s">
        <v>266</v>
      </c>
      <c r="C2192" s="10" t="s">
        <v>1678</v>
      </c>
      <c r="D2192" s="10" t="s">
        <v>1679</v>
      </c>
      <c r="E2192" s="10" t="s">
        <v>1682</v>
      </c>
      <c r="F2192" t="s">
        <v>763</v>
      </c>
      <c r="G2192" s="4">
        <v>13874</v>
      </c>
      <c r="H2192" s="4"/>
      <c r="I2192" s="4"/>
      <c r="J2192" s="4">
        <f>SUM(G2192:I2192)</f>
        <v>13874</v>
      </c>
      <c r="K2192" t="s">
        <v>1659</v>
      </c>
      <c r="L2192" t="s">
        <v>1659</v>
      </c>
      <c r="M2192" t="s">
        <v>1336</v>
      </c>
      <c r="N2192" t="s">
        <v>1132</v>
      </c>
      <c r="O2192" t="s">
        <v>1132</v>
      </c>
      <c r="P2192" t="str">
        <f>IFERROR(VLOOKUP(F2192,Sheet1!$A$2:$B$54,2,FALSE),"")</f>
        <v/>
      </c>
    </row>
    <row r="2193" spans="1:16" x14ac:dyDescent="0.2">
      <c r="A2193" s="1">
        <v>2020</v>
      </c>
      <c r="B2193" t="s">
        <v>266</v>
      </c>
      <c r="C2193" s="10" t="s">
        <v>1678</v>
      </c>
      <c r="D2193" s="10" t="s">
        <v>1679</v>
      </c>
      <c r="E2193" s="10" t="s">
        <v>1682</v>
      </c>
      <c r="F2193" t="s">
        <v>763</v>
      </c>
      <c r="G2193" s="4">
        <v>16406</v>
      </c>
      <c r="H2193" s="4"/>
      <c r="I2193" s="4"/>
      <c r="J2193" s="4">
        <f>SUM(G2193:I2193)</f>
        <v>16406</v>
      </c>
      <c r="K2193" t="s">
        <v>1659</v>
      </c>
      <c r="L2193" t="s">
        <v>1659</v>
      </c>
      <c r="M2193" t="s">
        <v>1336</v>
      </c>
      <c r="N2193" t="s">
        <v>1132</v>
      </c>
      <c r="O2193" t="s">
        <v>1132</v>
      </c>
      <c r="P2193" t="str">
        <f>IFERROR(VLOOKUP(F2193,Sheet1!$A$2:$B$54,2,FALSE),"")</f>
        <v/>
      </c>
    </row>
    <row r="2194" spans="1:16" x14ac:dyDescent="0.2">
      <c r="A2194" s="1">
        <v>2021</v>
      </c>
      <c r="B2194" t="s">
        <v>266</v>
      </c>
      <c r="C2194" s="10" t="s">
        <v>1678</v>
      </c>
      <c r="D2194" s="10" t="s">
        <v>1679</v>
      </c>
      <c r="E2194" s="10" t="s">
        <v>1682</v>
      </c>
      <c r="F2194" t="s">
        <v>763</v>
      </c>
      <c r="G2194" s="4">
        <v>18670</v>
      </c>
      <c r="H2194" s="4"/>
      <c r="I2194" s="4"/>
      <c r="J2194" s="4">
        <f>SUM(G2194:I2194)</f>
        <v>18670</v>
      </c>
      <c r="K2194" t="s">
        <v>1659</v>
      </c>
      <c r="L2194" t="s">
        <v>1659</v>
      </c>
      <c r="M2194" t="s">
        <v>763</v>
      </c>
      <c r="N2194" t="s">
        <v>1132</v>
      </c>
      <c r="O2194" t="s">
        <v>1132</v>
      </c>
      <c r="P2194" t="str">
        <f>IFERROR(VLOOKUP(F2194,Sheet1!$A$2:$B$54,2,FALSE),"")</f>
        <v/>
      </c>
    </row>
    <row r="2195" spans="1:16" x14ac:dyDescent="0.2">
      <c r="A2195" s="1">
        <v>2022</v>
      </c>
      <c r="B2195" t="s">
        <v>266</v>
      </c>
      <c r="C2195" s="10" t="s">
        <v>1678</v>
      </c>
      <c r="D2195" s="10" t="s">
        <v>1679</v>
      </c>
      <c r="E2195" s="10" t="s">
        <v>1682</v>
      </c>
      <c r="F2195" t="s">
        <v>763</v>
      </c>
      <c r="G2195" s="4">
        <v>32708</v>
      </c>
      <c r="H2195" s="4"/>
      <c r="I2195" s="4"/>
      <c r="J2195" s="4">
        <f>SUM(G2195:I2195)</f>
        <v>32708</v>
      </c>
      <c r="K2195" t="s">
        <v>1659</v>
      </c>
      <c r="L2195" t="s">
        <v>1659</v>
      </c>
      <c r="M2195" t="s">
        <v>763</v>
      </c>
      <c r="N2195" t="s">
        <v>1132</v>
      </c>
      <c r="O2195" t="s">
        <v>1132</v>
      </c>
      <c r="P2195" t="str">
        <f>IFERROR(VLOOKUP(F2195,Sheet1!$A$2:$B$54,2,FALSE),"")</f>
        <v/>
      </c>
    </row>
    <row r="2196" spans="1:16" x14ac:dyDescent="0.2">
      <c r="A2196" s="1">
        <v>2023</v>
      </c>
      <c r="B2196" t="s">
        <v>266</v>
      </c>
      <c r="C2196" s="10" t="s">
        <v>1678</v>
      </c>
      <c r="D2196" s="10" t="s">
        <v>1679</v>
      </c>
      <c r="E2196" s="10" t="s">
        <v>1682</v>
      </c>
      <c r="F2196" t="s">
        <v>763</v>
      </c>
      <c r="G2196" s="4">
        <v>43554</v>
      </c>
      <c r="H2196" s="4"/>
      <c r="I2196" s="4"/>
      <c r="J2196" s="4">
        <f>SUM(G2196:I2196)</f>
        <v>43554</v>
      </c>
      <c r="K2196" t="s">
        <v>1659</v>
      </c>
      <c r="L2196" t="s">
        <v>1659</v>
      </c>
      <c r="M2196" t="s">
        <v>763</v>
      </c>
      <c r="N2196" t="s">
        <v>1132</v>
      </c>
      <c r="O2196" t="s">
        <v>1132</v>
      </c>
      <c r="P2196" t="str">
        <f>IFERROR(VLOOKUP(F2196,Sheet1!$A$2:$B$54,2,FALSE),"")</f>
        <v/>
      </c>
    </row>
    <row r="2197" spans="1:16" x14ac:dyDescent="0.2">
      <c r="A2197" s="1">
        <v>2015</v>
      </c>
      <c r="B2197" t="s">
        <v>267</v>
      </c>
      <c r="C2197" s="10" t="s">
        <v>1678</v>
      </c>
      <c r="D2197" s="10" t="s">
        <v>1679</v>
      </c>
      <c r="E2197" s="10" t="s">
        <v>1682</v>
      </c>
      <c r="F2197" t="s">
        <v>764</v>
      </c>
      <c r="G2197" s="4">
        <v>5022</v>
      </c>
      <c r="H2197" s="4"/>
      <c r="I2197" s="4"/>
      <c r="J2197" s="4">
        <f>SUM(G2197:I2197)</f>
        <v>5022</v>
      </c>
      <c r="K2197" t="s">
        <v>1659</v>
      </c>
      <c r="L2197" t="s">
        <v>1659</v>
      </c>
      <c r="M2197" t="s">
        <v>1337</v>
      </c>
      <c r="N2197" t="s">
        <v>1132</v>
      </c>
      <c r="O2197" t="s">
        <v>1132</v>
      </c>
      <c r="P2197" t="str">
        <f>IFERROR(VLOOKUP(F2197,Sheet1!$A$2:$B$54,2,FALSE),"")</f>
        <v/>
      </c>
    </row>
    <row r="2198" spans="1:16" x14ac:dyDescent="0.2">
      <c r="A2198" s="1">
        <v>2016</v>
      </c>
      <c r="B2198" t="s">
        <v>267</v>
      </c>
      <c r="C2198" s="10" t="s">
        <v>1678</v>
      </c>
      <c r="D2198" s="10" t="s">
        <v>1679</v>
      </c>
      <c r="E2198" s="10" t="s">
        <v>1682</v>
      </c>
      <c r="F2198" t="s">
        <v>764</v>
      </c>
      <c r="G2198" s="4">
        <v>5179</v>
      </c>
      <c r="H2198" s="4"/>
      <c r="I2198" s="4"/>
      <c r="J2198" s="4">
        <f>SUM(G2198:I2198)</f>
        <v>5179</v>
      </c>
      <c r="K2198" t="s">
        <v>1659</v>
      </c>
      <c r="L2198" t="s">
        <v>1659</v>
      </c>
      <c r="M2198" t="s">
        <v>1337</v>
      </c>
      <c r="N2198" t="s">
        <v>1132</v>
      </c>
      <c r="O2198" t="s">
        <v>1132</v>
      </c>
      <c r="P2198" t="str">
        <f>IFERROR(VLOOKUP(F2198,Sheet1!$A$2:$B$54,2,FALSE),"")</f>
        <v/>
      </c>
    </row>
    <row r="2199" spans="1:16" x14ac:dyDescent="0.2">
      <c r="A2199" s="1">
        <v>2017</v>
      </c>
      <c r="B2199" t="s">
        <v>267</v>
      </c>
      <c r="C2199" s="10" t="s">
        <v>1678</v>
      </c>
      <c r="D2199" s="10" t="s">
        <v>1679</v>
      </c>
      <c r="E2199" s="10" t="s">
        <v>1682</v>
      </c>
      <c r="F2199" t="s">
        <v>764</v>
      </c>
      <c r="G2199" s="4">
        <v>5536</v>
      </c>
      <c r="H2199" s="4"/>
      <c r="I2199" s="4"/>
      <c r="J2199" s="4">
        <f>SUM(G2199:I2199)</f>
        <v>5536</v>
      </c>
      <c r="K2199" t="s">
        <v>1659</v>
      </c>
      <c r="L2199" t="s">
        <v>1659</v>
      </c>
      <c r="M2199" t="s">
        <v>1337</v>
      </c>
      <c r="N2199" t="s">
        <v>1132</v>
      </c>
      <c r="O2199" t="s">
        <v>1132</v>
      </c>
      <c r="P2199" t="str">
        <f>IFERROR(VLOOKUP(F2199,Sheet1!$A$2:$B$54,2,FALSE),"")</f>
        <v/>
      </c>
    </row>
    <row r="2200" spans="1:16" x14ac:dyDescent="0.2">
      <c r="A2200" s="1">
        <v>2018</v>
      </c>
      <c r="B2200" t="s">
        <v>267</v>
      </c>
      <c r="C2200" s="10" t="s">
        <v>1678</v>
      </c>
      <c r="D2200" s="10" t="s">
        <v>1679</v>
      </c>
      <c r="E2200" s="10" t="s">
        <v>1682</v>
      </c>
      <c r="F2200" t="s">
        <v>764</v>
      </c>
      <c r="G2200" s="4">
        <v>6287</v>
      </c>
      <c r="H2200" s="4"/>
      <c r="I2200" s="4"/>
      <c r="J2200" s="4">
        <f>SUM(G2200:I2200)</f>
        <v>6287</v>
      </c>
      <c r="K2200" t="s">
        <v>1659</v>
      </c>
      <c r="L2200" t="s">
        <v>1659</v>
      </c>
      <c r="M2200" t="s">
        <v>1337</v>
      </c>
      <c r="N2200" t="s">
        <v>1132</v>
      </c>
      <c r="O2200" t="s">
        <v>1132</v>
      </c>
      <c r="P2200" t="str">
        <f>IFERROR(VLOOKUP(F2200,Sheet1!$A$2:$B$54,2,FALSE),"")</f>
        <v/>
      </c>
    </row>
    <row r="2201" spans="1:16" x14ac:dyDescent="0.2">
      <c r="A2201" s="1">
        <v>2019</v>
      </c>
      <c r="B2201" t="s">
        <v>267</v>
      </c>
      <c r="C2201" s="10" t="s">
        <v>1678</v>
      </c>
      <c r="D2201" s="10" t="s">
        <v>1679</v>
      </c>
      <c r="E2201" s="10" t="s">
        <v>1682</v>
      </c>
      <c r="F2201" t="s">
        <v>764</v>
      </c>
      <c r="G2201" s="4">
        <v>9014</v>
      </c>
      <c r="H2201" s="4"/>
      <c r="I2201" s="4"/>
      <c r="J2201" s="4">
        <f>SUM(G2201:I2201)</f>
        <v>9014</v>
      </c>
      <c r="K2201" t="s">
        <v>1659</v>
      </c>
      <c r="L2201" t="s">
        <v>1659</v>
      </c>
      <c r="M2201" t="s">
        <v>1337</v>
      </c>
      <c r="N2201" t="s">
        <v>1132</v>
      </c>
      <c r="O2201" t="s">
        <v>1132</v>
      </c>
      <c r="P2201" t="str">
        <f>IFERROR(VLOOKUP(F2201,Sheet1!$A$2:$B$54,2,FALSE),"")</f>
        <v/>
      </c>
    </row>
    <row r="2202" spans="1:16" x14ac:dyDescent="0.2">
      <c r="A2202" s="1">
        <v>2020</v>
      </c>
      <c r="B2202" t="s">
        <v>267</v>
      </c>
      <c r="C2202" s="10" t="s">
        <v>1678</v>
      </c>
      <c r="D2202" s="10" t="s">
        <v>1679</v>
      </c>
      <c r="E2202" s="10" t="s">
        <v>1682</v>
      </c>
      <c r="F2202" t="s">
        <v>764</v>
      </c>
      <c r="G2202" s="4">
        <v>9145</v>
      </c>
      <c r="H2202" s="4"/>
      <c r="I2202" s="4"/>
      <c r="J2202" s="4">
        <f>SUM(G2202:I2202)</f>
        <v>9145</v>
      </c>
      <c r="K2202" t="s">
        <v>1659</v>
      </c>
      <c r="L2202" t="s">
        <v>1659</v>
      </c>
      <c r="M2202" t="s">
        <v>1337</v>
      </c>
      <c r="N2202" t="s">
        <v>1132</v>
      </c>
      <c r="O2202" t="s">
        <v>1132</v>
      </c>
      <c r="P2202" t="str">
        <f>IFERROR(VLOOKUP(F2202,Sheet1!$A$2:$B$54,2,FALSE),"")</f>
        <v/>
      </c>
    </row>
    <row r="2203" spans="1:16" x14ac:dyDescent="0.2">
      <c r="A2203" s="1">
        <v>2021</v>
      </c>
      <c r="B2203" t="s">
        <v>267</v>
      </c>
      <c r="C2203" s="10" t="s">
        <v>1678</v>
      </c>
      <c r="D2203" s="10" t="s">
        <v>1679</v>
      </c>
      <c r="E2203" s="10" t="s">
        <v>1682</v>
      </c>
      <c r="F2203" t="s">
        <v>764</v>
      </c>
      <c r="G2203" s="4">
        <v>9968</v>
      </c>
      <c r="H2203" s="4"/>
      <c r="I2203" s="4"/>
      <c r="J2203" s="4">
        <f>SUM(G2203:I2203)</f>
        <v>9968</v>
      </c>
      <c r="K2203" t="s">
        <v>1659</v>
      </c>
      <c r="L2203" t="s">
        <v>1659</v>
      </c>
      <c r="M2203" t="s">
        <v>764</v>
      </c>
      <c r="N2203" t="s">
        <v>1132</v>
      </c>
      <c r="O2203" t="s">
        <v>1132</v>
      </c>
      <c r="P2203" t="str">
        <f>IFERROR(VLOOKUP(F2203,Sheet1!$A$2:$B$54,2,FALSE),"")</f>
        <v/>
      </c>
    </row>
    <row r="2204" spans="1:16" x14ac:dyDescent="0.2">
      <c r="A2204" s="1">
        <v>2022</v>
      </c>
      <c r="B2204" t="s">
        <v>267</v>
      </c>
      <c r="C2204" s="10" t="s">
        <v>1678</v>
      </c>
      <c r="D2204" s="10" t="s">
        <v>1679</v>
      </c>
      <c r="E2204" s="10" t="s">
        <v>1682</v>
      </c>
      <c r="F2204" t="s">
        <v>764</v>
      </c>
      <c r="G2204" s="4">
        <v>11735</v>
      </c>
      <c r="H2204" s="4"/>
      <c r="I2204" s="4"/>
      <c r="J2204" s="4">
        <f>SUM(G2204:I2204)</f>
        <v>11735</v>
      </c>
      <c r="K2204" t="s">
        <v>1659</v>
      </c>
      <c r="L2204" t="s">
        <v>1659</v>
      </c>
      <c r="M2204" t="s">
        <v>764</v>
      </c>
      <c r="N2204" t="s">
        <v>1132</v>
      </c>
      <c r="O2204" t="s">
        <v>1132</v>
      </c>
      <c r="P2204" t="str">
        <f>IFERROR(VLOOKUP(F2204,Sheet1!$A$2:$B$54,2,FALSE),"")</f>
        <v/>
      </c>
    </row>
    <row r="2205" spans="1:16" x14ac:dyDescent="0.2">
      <c r="A2205" s="1">
        <v>2023</v>
      </c>
      <c r="B2205" t="s">
        <v>267</v>
      </c>
      <c r="C2205" s="10" t="s">
        <v>1678</v>
      </c>
      <c r="D2205" s="10" t="s">
        <v>1679</v>
      </c>
      <c r="E2205" s="10" t="s">
        <v>1682</v>
      </c>
      <c r="F2205" t="s">
        <v>764</v>
      </c>
      <c r="G2205" s="4">
        <v>14331</v>
      </c>
      <c r="H2205" s="4"/>
      <c r="I2205" s="4"/>
      <c r="J2205" s="4">
        <f>SUM(G2205:I2205)</f>
        <v>14331</v>
      </c>
      <c r="K2205" t="s">
        <v>1659</v>
      </c>
      <c r="L2205" t="s">
        <v>1659</v>
      </c>
      <c r="M2205" t="s">
        <v>764</v>
      </c>
      <c r="N2205" t="s">
        <v>1132</v>
      </c>
      <c r="O2205" t="s">
        <v>1132</v>
      </c>
      <c r="P2205" t="str">
        <f>IFERROR(VLOOKUP(F2205,Sheet1!$A$2:$B$54,2,FALSE),"")</f>
        <v/>
      </c>
    </row>
    <row r="2206" spans="1:16" x14ac:dyDescent="0.2">
      <c r="A2206" s="1">
        <v>2015</v>
      </c>
      <c r="B2206" t="s">
        <v>263</v>
      </c>
      <c r="C2206" s="10" t="s">
        <v>1678</v>
      </c>
      <c r="D2206" s="10" t="s">
        <v>1679</v>
      </c>
      <c r="E2206" s="10" t="s">
        <v>1682</v>
      </c>
      <c r="F2206" t="s">
        <v>760</v>
      </c>
      <c r="G2206" s="4">
        <v>309642</v>
      </c>
      <c r="H2206" s="4">
        <v>5867185</v>
      </c>
      <c r="I2206" s="4"/>
      <c r="J2206" s="4">
        <f>SUM(G2206:I2206)</f>
        <v>6176827</v>
      </c>
      <c r="K2206" t="s">
        <v>1660</v>
      </c>
      <c r="L2206" t="s">
        <v>1659</v>
      </c>
      <c r="M2206" t="s">
        <v>1333</v>
      </c>
      <c r="N2206" t="s">
        <v>1333</v>
      </c>
      <c r="O2206" t="s">
        <v>1132</v>
      </c>
      <c r="P2206">
        <f>IFERROR(VLOOKUP(F2206,Sheet1!$A$2:$B$54,2,FALSE),"")</f>
        <v>4900750</v>
      </c>
    </row>
    <row r="2207" spans="1:16" x14ac:dyDescent="0.2">
      <c r="A2207" s="1">
        <v>2016</v>
      </c>
      <c r="B2207" t="s">
        <v>263</v>
      </c>
      <c r="C2207" s="10" t="s">
        <v>1678</v>
      </c>
      <c r="D2207" s="10" t="s">
        <v>1679</v>
      </c>
      <c r="E2207" s="10" t="s">
        <v>1682</v>
      </c>
      <c r="F2207" t="s">
        <v>760</v>
      </c>
      <c r="G2207" s="4">
        <v>411218</v>
      </c>
      <c r="H2207" s="4">
        <v>5872915</v>
      </c>
      <c r="I2207" s="4"/>
      <c r="J2207" s="4">
        <f>SUM(G2207:I2207)</f>
        <v>6284133</v>
      </c>
      <c r="K2207" t="s">
        <v>1660</v>
      </c>
      <c r="L2207" t="s">
        <v>1659</v>
      </c>
      <c r="M2207" t="s">
        <v>1333</v>
      </c>
      <c r="N2207" t="s">
        <v>1333</v>
      </c>
      <c r="O2207" t="s">
        <v>1132</v>
      </c>
      <c r="P2207">
        <f>IFERROR(VLOOKUP(F2207,Sheet1!$A$2:$B$54,2,FALSE),"")</f>
        <v>4900750</v>
      </c>
    </row>
    <row r="2208" spans="1:16" x14ac:dyDescent="0.2">
      <c r="A2208" s="1">
        <v>2017</v>
      </c>
      <c r="B2208" t="s">
        <v>263</v>
      </c>
      <c r="C2208" s="10" t="s">
        <v>1678</v>
      </c>
      <c r="D2208" s="10" t="s">
        <v>1679</v>
      </c>
      <c r="E2208" s="10" t="s">
        <v>1682</v>
      </c>
      <c r="F2208" t="s">
        <v>760</v>
      </c>
      <c r="G2208" s="4">
        <v>604779</v>
      </c>
      <c r="H2208" s="4">
        <v>6126770</v>
      </c>
      <c r="I2208" s="4"/>
      <c r="J2208" s="4">
        <f>SUM(G2208:I2208)</f>
        <v>6731549</v>
      </c>
      <c r="K2208" t="s">
        <v>1660</v>
      </c>
      <c r="L2208" t="s">
        <v>1659</v>
      </c>
      <c r="M2208" t="s">
        <v>1333</v>
      </c>
      <c r="N2208" t="s">
        <v>1333</v>
      </c>
      <c r="O2208" t="s">
        <v>1132</v>
      </c>
      <c r="P2208">
        <f>IFERROR(VLOOKUP(F2208,Sheet1!$A$2:$B$54,2,FALSE),"")</f>
        <v>4900750</v>
      </c>
    </row>
    <row r="2209" spans="1:16" x14ac:dyDescent="0.2">
      <c r="A2209" s="1">
        <v>2018</v>
      </c>
      <c r="B2209" t="s">
        <v>263</v>
      </c>
      <c r="C2209" s="10" t="s">
        <v>1678</v>
      </c>
      <c r="D2209" s="10" t="s">
        <v>1679</v>
      </c>
      <c r="E2209" s="10" t="s">
        <v>1682</v>
      </c>
      <c r="F2209" t="s">
        <v>760</v>
      </c>
      <c r="G2209" s="4">
        <v>859447</v>
      </c>
      <c r="H2209" s="4">
        <v>6682215</v>
      </c>
      <c r="I2209" s="4"/>
      <c r="J2209" s="4">
        <f>SUM(G2209:I2209)</f>
        <v>7541662</v>
      </c>
      <c r="K2209" t="s">
        <v>1660</v>
      </c>
      <c r="L2209" t="s">
        <v>1659</v>
      </c>
      <c r="M2209" t="s">
        <v>1333</v>
      </c>
      <c r="N2209" t="s">
        <v>1333</v>
      </c>
      <c r="O2209" t="s">
        <v>1132</v>
      </c>
      <c r="P2209">
        <f>IFERROR(VLOOKUP(F2209,Sheet1!$A$2:$B$54,2,FALSE),"")</f>
        <v>4900750</v>
      </c>
    </row>
    <row r="2210" spans="1:16" x14ac:dyDescent="0.2">
      <c r="A2210" s="1">
        <v>2019</v>
      </c>
      <c r="B2210" t="s">
        <v>263</v>
      </c>
      <c r="C2210" s="10" t="s">
        <v>1678</v>
      </c>
      <c r="D2210" s="10" t="s">
        <v>1679</v>
      </c>
      <c r="E2210" s="10" t="s">
        <v>1682</v>
      </c>
      <c r="F2210" t="s">
        <v>760</v>
      </c>
      <c r="G2210" s="4">
        <v>1075989</v>
      </c>
      <c r="H2210" s="4">
        <v>6833156</v>
      </c>
      <c r="I2210" s="4"/>
      <c r="J2210" s="4">
        <f>SUM(G2210:I2210)</f>
        <v>7909145</v>
      </c>
      <c r="K2210" t="s">
        <v>1660</v>
      </c>
      <c r="L2210" t="s">
        <v>1659</v>
      </c>
      <c r="M2210" t="s">
        <v>1333</v>
      </c>
      <c r="N2210" t="s">
        <v>1333</v>
      </c>
      <c r="O2210" t="s">
        <v>1132</v>
      </c>
      <c r="P2210">
        <f>IFERROR(VLOOKUP(F2210,Sheet1!$A$2:$B$54,2,FALSE),"")</f>
        <v>4900750</v>
      </c>
    </row>
    <row r="2211" spans="1:16" x14ac:dyDescent="0.2">
      <c r="A2211" s="1">
        <v>2020</v>
      </c>
      <c r="B2211" t="s">
        <v>263</v>
      </c>
      <c r="C2211" s="10" t="s">
        <v>1678</v>
      </c>
      <c r="D2211" s="10" t="s">
        <v>1679</v>
      </c>
      <c r="E2211" s="10" t="s">
        <v>1682</v>
      </c>
      <c r="F2211" t="s">
        <v>760</v>
      </c>
      <c r="G2211" s="4">
        <v>1221638</v>
      </c>
      <c r="H2211" s="4">
        <v>6957643</v>
      </c>
      <c r="I2211" s="4"/>
      <c r="J2211" s="4">
        <f>SUM(G2211:I2211)</f>
        <v>8179281</v>
      </c>
      <c r="K2211" t="s">
        <v>1660</v>
      </c>
      <c r="L2211" t="s">
        <v>1659</v>
      </c>
      <c r="M2211" t="s">
        <v>1333</v>
      </c>
      <c r="N2211" t="s">
        <v>1333</v>
      </c>
      <c r="O2211" t="s">
        <v>1132</v>
      </c>
      <c r="P2211">
        <f>IFERROR(VLOOKUP(F2211,Sheet1!$A$2:$B$54,2,FALSE),"")</f>
        <v>4900750</v>
      </c>
    </row>
    <row r="2212" spans="1:16" x14ac:dyDescent="0.2">
      <c r="A2212" s="1">
        <v>2021</v>
      </c>
      <c r="B2212" t="s">
        <v>263</v>
      </c>
      <c r="C2212" s="10" t="s">
        <v>1678</v>
      </c>
      <c r="D2212" s="10" t="s">
        <v>1679</v>
      </c>
      <c r="E2212" s="10" t="s">
        <v>1682</v>
      </c>
      <c r="F2212" t="s">
        <v>760</v>
      </c>
      <c r="G2212" s="4">
        <v>1381991</v>
      </c>
      <c r="H2212" s="4">
        <v>7074776</v>
      </c>
      <c r="I2212" s="4"/>
      <c r="J2212" s="4">
        <f>SUM(G2212:I2212)</f>
        <v>8456767</v>
      </c>
      <c r="K2212" t="s">
        <v>1660</v>
      </c>
      <c r="L2212" t="s">
        <v>1659</v>
      </c>
      <c r="M2212" t="s">
        <v>760</v>
      </c>
      <c r="N2212" t="s">
        <v>760</v>
      </c>
      <c r="O2212" t="s">
        <v>1132</v>
      </c>
      <c r="P2212">
        <f>IFERROR(VLOOKUP(F2212,Sheet1!$A$2:$B$54,2,FALSE),"")</f>
        <v>4900750</v>
      </c>
    </row>
    <row r="2213" spans="1:16" x14ac:dyDescent="0.2">
      <c r="A2213" s="1">
        <v>2022</v>
      </c>
      <c r="B2213" t="s">
        <v>263</v>
      </c>
      <c r="C2213" s="10" t="s">
        <v>1678</v>
      </c>
      <c r="D2213" s="10" t="s">
        <v>1679</v>
      </c>
      <c r="E2213" s="10" t="s">
        <v>1682</v>
      </c>
      <c r="F2213" t="s">
        <v>760</v>
      </c>
      <c r="G2213" s="4">
        <v>1519541</v>
      </c>
      <c r="H2213" s="4">
        <v>7056534</v>
      </c>
      <c r="I2213" s="4"/>
      <c r="J2213" s="4">
        <f>SUM(G2213:I2213)</f>
        <v>8576075</v>
      </c>
      <c r="K2213" t="s">
        <v>1660</v>
      </c>
      <c r="L2213" t="s">
        <v>1659</v>
      </c>
      <c r="M2213" t="s">
        <v>760</v>
      </c>
      <c r="N2213" t="s">
        <v>760</v>
      </c>
      <c r="O2213" t="s">
        <v>1132</v>
      </c>
      <c r="P2213">
        <f>IFERROR(VLOOKUP(F2213,Sheet1!$A$2:$B$54,2,FALSE),"")</f>
        <v>4900750</v>
      </c>
    </row>
    <row r="2214" spans="1:16" x14ac:dyDescent="0.2">
      <c r="A2214" s="1">
        <v>2023</v>
      </c>
      <c r="B2214" t="s">
        <v>263</v>
      </c>
      <c r="C2214" s="10" t="s">
        <v>1678</v>
      </c>
      <c r="D2214" s="10" t="s">
        <v>1679</v>
      </c>
      <c r="E2214" s="10" t="s">
        <v>1682</v>
      </c>
      <c r="F2214" t="s">
        <v>760</v>
      </c>
      <c r="G2214" s="4">
        <v>1855389</v>
      </c>
      <c r="H2214" s="4">
        <v>7906758</v>
      </c>
      <c r="I2214" s="4"/>
      <c r="J2214" s="4">
        <f>SUM(G2214:I2214)</f>
        <v>9762147</v>
      </c>
      <c r="K2214" t="s">
        <v>1660</v>
      </c>
      <c r="L2214" t="s">
        <v>1659</v>
      </c>
      <c r="M2214" t="s">
        <v>760</v>
      </c>
      <c r="N2214" t="s">
        <v>760</v>
      </c>
      <c r="O2214" t="s">
        <v>1132</v>
      </c>
      <c r="P2214">
        <f>IFERROR(VLOOKUP(F2214,Sheet1!$A$2:$B$54,2,FALSE),"")</f>
        <v>4900750</v>
      </c>
    </row>
    <row r="2215" spans="1:16" x14ac:dyDescent="0.2">
      <c r="A2215" s="1">
        <v>2015</v>
      </c>
      <c r="B2215" t="s">
        <v>269</v>
      </c>
      <c r="C2215" s="10" t="s">
        <v>1678</v>
      </c>
      <c r="D2215" s="10" t="s">
        <v>1679</v>
      </c>
      <c r="E2215" s="10" t="s">
        <v>1682</v>
      </c>
      <c r="F2215" t="s">
        <v>766</v>
      </c>
      <c r="G2215" s="4">
        <v>1805</v>
      </c>
      <c r="H2215" s="4"/>
      <c r="I2215" s="4"/>
      <c r="J2215" s="4">
        <f>SUM(G2215:I2215)</f>
        <v>1805</v>
      </c>
      <c r="K2215" t="s">
        <v>1659</v>
      </c>
      <c r="L2215" t="s">
        <v>1659</v>
      </c>
      <c r="M2215" t="s">
        <v>1339</v>
      </c>
      <c r="N2215" t="s">
        <v>1132</v>
      </c>
      <c r="O2215" t="s">
        <v>1132</v>
      </c>
      <c r="P2215" t="str">
        <f>IFERROR(VLOOKUP(F2215,Sheet1!$A$2:$B$54,2,FALSE),"")</f>
        <v/>
      </c>
    </row>
    <row r="2216" spans="1:16" x14ac:dyDescent="0.2">
      <c r="A2216" s="1">
        <v>2016</v>
      </c>
      <c r="B2216" t="s">
        <v>269</v>
      </c>
      <c r="C2216" s="10" t="s">
        <v>1678</v>
      </c>
      <c r="D2216" s="10" t="s">
        <v>1679</v>
      </c>
      <c r="E2216" s="10" t="s">
        <v>1682</v>
      </c>
      <c r="F2216" t="s">
        <v>766</v>
      </c>
      <c r="G2216" s="4">
        <v>4440</v>
      </c>
      <c r="H2216" s="4"/>
      <c r="I2216" s="4"/>
      <c r="J2216" s="4">
        <f>SUM(G2216:I2216)</f>
        <v>4440</v>
      </c>
      <c r="K2216" t="s">
        <v>1659</v>
      </c>
      <c r="L2216" t="s">
        <v>1659</v>
      </c>
      <c r="M2216" t="s">
        <v>1339</v>
      </c>
      <c r="N2216" t="s">
        <v>1132</v>
      </c>
      <c r="O2216" t="s">
        <v>1132</v>
      </c>
      <c r="P2216" t="str">
        <f>IFERROR(VLOOKUP(F2216,Sheet1!$A$2:$B$54,2,FALSE),"")</f>
        <v/>
      </c>
    </row>
    <row r="2217" spans="1:16" x14ac:dyDescent="0.2">
      <c r="A2217" s="1">
        <v>2017</v>
      </c>
      <c r="B2217" t="s">
        <v>269</v>
      </c>
      <c r="C2217" s="10" t="s">
        <v>1678</v>
      </c>
      <c r="D2217" s="10" t="s">
        <v>1679</v>
      </c>
      <c r="E2217" s="10" t="s">
        <v>1682</v>
      </c>
      <c r="F2217" t="s">
        <v>766</v>
      </c>
      <c r="G2217" s="4">
        <v>4250</v>
      </c>
      <c r="H2217" s="4"/>
      <c r="I2217" s="4"/>
      <c r="J2217" s="4">
        <f>SUM(G2217:I2217)</f>
        <v>4250</v>
      </c>
      <c r="K2217" t="s">
        <v>1659</v>
      </c>
      <c r="L2217" t="s">
        <v>1659</v>
      </c>
      <c r="M2217" t="s">
        <v>1339</v>
      </c>
      <c r="N2217" t="s">
        <v>1132</v>
      </c>
      <c r="O2217" t="s">
        <v>1132</v>
      </c>
      <c r="P2217" t="str">
        <f>IFERROR(VLOOKUP(F2217,Sheet1!$A$2:$B$54,2,FALSE),"")</f>
        <v/>
      </c>
    </row>
    <row r="2218" spans="1:16" x14ac:dyDescent="0.2">
      <c r="A2218" s="1">
        <v>2018</v>
      </c>
      <c r="B2218" t="s">
        <v>269</v>
      </c>
      <c r="C2218" s="10" t="s">
        <v>1678</v>
      </c>
      <c r="D2218" s="10" t="s">
        <v>1679</v>
      </c>
      <c r="E2218" s="10" t="s">
        <v>1682</v>
      </c>
      <c r="F2218" t="s">
        <v>766</v>
      </c>
      <c r="G2218" s="4">
        <v>7494</v>
      </c>
      <c r="H2218" s="4"/>
      <c r="I2218" s="4"/>
      <c r="J2218" s="4">
        <f>SUM(G2218:I2218)</f>
        <v>7494</v>
      </c>
      <c r="K2218" t="s">
        <v>1659</v>
      </c>
      <c r="L2218" t="s">
        <v>1659</v>
      </c>
      <c r="M2218" t="s">
        <v>1339</v>
      </c>
      <c r="N2218" t="s">
        <v>1132</v>
      </c>
      <c r="O2218" t="s">
        <v>1132</v>
      </c>
      <c r="P2218" t="str">
        <f>IFERROR(VLOOKUP(F2218,Sheet1!$A$2:$B$54,2,FALSE),"")</f>
        <v/>
      </c>
    </row>
    <row r="2219" spans="1:16" x14ac:dyDescent="0.2">
      <c r="A2219" s="1">
        <v>2019</v>
      </c>
      <c r="B2219" t="s">
        <v>269</v>
      </c>
      <c r="C2219" s="10" t="s">
        <v>1678</v>
      </c>
      <c r="D2219" s="10" t="s">
        <v>1679</v>
      </c>
      <c r="E2219" s="10" t="s">
        <v>1682</v>
      </c>
      <c r="F2219" t="s">
        <v>766</v>
      </c>
      <c r="G2219" s="4">
        <v>6060</v>
      </c>
      <c r="H2219" s="4"/>
      <c r="I2219" s="4"/>
      <c r="J2219" s="4">
        <f>SUM(G2219:I2219)</f>
        <v>6060</v>
      </c>
      <c r="K2219" t="s">
        <v>1659</v>
      </c>
      <c r="L2219" t="s">
        <v>1659</v>
      </c>
      <c r="M2219" t="s">
        <v>1339</v>
      </c>
      <c r="N2219" t="s">
        <v>1132</v>
      </c>
      <c r="O2219" t="s">
        <v>1132</v>
      </c>
      <c r="P2219" t="str">
        <f>IFERROR(VLOOKUP(F2219,Sheet1!$A$2:$B$54,2,FALSE),"")</f>
        <v/>
      </c>
    </row>
    <row r="2220" spans="1:16" x14ac:dyDescent="0.2">
      <c r="A2220" s="1">
        <v>2020</v>
      </c>
      <c r="B2220" t="s">
        <v>269</v>
      </c>
      <c r="C2220" s="10" t="s">
        <v>1678</v>
      </c>
      <c r="D2220" s="10" t="s">
        <v>1679</v>
      </c>
      <c r="E2220" s="10" t="s">
        <v>1682</v>
      </c>
      <c r="F2220" t="s">
        <v>766</v>
      </c>
      <c r="G2220" s="4">
        <v>10782</v>
      </c>
      <c r="H2220" s="4"/>
      <c r="I2220" s="4"/>
      <c r="J2220" s="4">
        <f>SUM(G2220:I2220)</f>
        <v>10782</v>
      </c>
      <c r="K2220" t="s">
        <v>1659</v>
      </c>
      <c r="L2220" t="s">
        <v>1659</v>
      </c>
      <c r="M2220" t="s">
        <v>1339</v>
      </c>
      <c r="N2220" t="s">
        <v>1132</v>
      </c>
      <c r="O2220" t="s">
        <v>1132</v>
      </c>
      <c r="P2220" t="str">
        <f>IFERROR(VLOOKUP(F2220,Sheet1!$A$2:$B$54,2,FALSE),"")</f>
        <v/>
      </c>
    </row>
    <row r="2221" spans="1:16" x14ac:dyDescent="0.2">
      <c r="A2221" s="1">
        <v>2021</v>
      </c>
      <c r="B2221" t="s">
        <v>269</v>
      </c>
      <c r="C2221" s="10" t="s">
        <v>1678</v>
      </c>
      <c r="D2221" s="10" t="s">
        <v>1679</v>
      </c>
      <c r="E2221" s="10" t="s">
        <v>1682</v>
      </c>
      <c r="F2221" t="s">
        <v>766</v>
      </c>
      <c r="G2221" s="4">
        <v>12052</v>
      </c>
      <c r="H2221" s="4"/>
      <c r="I2221" s="4"/>
      <c r="J2221" s="4">
        <f>SUM(G2221:I2221)</f>
        <v>12052</v>
      </c>
      <c r="K2221" t="s">
        <v>1659</v>
      </c>
      <c r="L2221" t="s">
        <v>1659</v>
      </c>
      <c r="M2221" t="s">
        <v>766</v>
      </c>
      <c r="N2221" t="s">
        <v>1132</v>
      </c>
      <c r="O2221" t="s">
        <v>1132</v>
      </c>
      <c r="P2221" t="str">
        <f>IFERROR(VLOOKUP(F2221,Sheet1!$A$2:$B$54,2,FALSE),"")</f>
        <v/>
      </c>
    </row>
    <row r="2222" spans="1:16" x14ac:dyDescent="0.2">
      <c r="A2222" s="1">
        <v>2022</v>
      </c>
      <c r="B2222" t="s">
        <v>269</v>
      </c>
      <c r="C2222" s="10" t="s">
        <v>1678</v>
      </c>
      <c r="D2222" s="10" t="s">
        <v>1679</v>
      </c>
      <c r="E2222" s="10" t="s">
        <v>1682</v>
      </c>
      <c r="F2222" t="s">
        <v>766</v>
      </c>
      <c r="G2222" s="4">
        <v>12089</v>
      </c>
      <c r="H2222" s="4"/>
      <c r="I2222" s="4"/>
      <c r="J2222" s="4">
        <f>SUM(G2222:I2222)</f>
        <v>12089</v>
      </c>
      <c r="K2222" t="s">
        <v>1659</v>
      </c>
      <c r="L2222" t="s">
        <v>1659</v>
      </c>
      <c r="M2222" t="s">
        <v>766</v>
      </c>
      <c r="N2222" t="s">
        <v>1132</v>
      </c>
      <c r="O2222" t="s">
        <v>1132</v>
      </c>
      <c r="P2222" t="str">
        <f>IFERROR(VLOOKUP(F2222,Sheet1!$A$2:$B$54,2,FALSE),"")</f>
        <v/>
      </c>
    </row>
    <row r="2223" spans="1:16" x14ac:dyDescent="0.2">
      <c r="A2223" s="1">
        <v>2023</v>
      </c>
      <c r="B2223" t="s">
        <v>269</v>
      </c>
      <c r="C2223" s="10" t="s">
        <v>1678</v>
      </c>
      <c r="D2223" s="10" t="s">
        <v>1679</v>
      </c>
      <c r="E2223" s="10" t="s">
        <v>1682</v>
      </c>
      <c r="F2223" t="s">
        <v>766</v>
      </c>
      <c r="G2223" s="4">
        <v>14411</v>
      </c>
      <c r="H2223" s="4"/>
      <c r="I2223" s="4"/>
      <c r="J2223" s="4">
        <f>SUM(G2223:I2223)</f>
        <v>14411</v>
      </c>
      <c r="K2223" t="s">
        <v>1659</v>
      </c>
      <c r="L2223" t="s">
        <v>1659</v>
      </c>
      <c r="M2223" t="s">
        <v>766</v>
      </c>
      <c r="N2223" t="s">
        <v>1132</v>
      </c>
      <c r="O2223" t="s">
        <v>1132</v>
      </c>
      <c r="P2223" t="str">
        <f>IFERROR(VLOOKUP(F2223,Sheet1!$A$2:$B$54,2,FALSE),"")</f>
        <v/>
      </c>
    </row>
    <row r="2224" spans="1:16" x14ac:dyDescent="0.2">
      <c r="A2224" s="1">
        <v>2015</v>
      </c>
      <c r="B2224" t="s">
        <v>270</v>
      </c>
      <c r="C2224" s="10" t="s">
        <v>1678</v>
      </c>
      <c r="D2224" s="10" t="s">
        <v>1679</v>
      </c>
      <c r="E2224" s="10" t="s">
        <v>1682</v>
      </c>
      <c r="F2224" t="s">
        <v>767</v>
      </c>
      <c r="G2224" s="4">
        <v>33873</v>
      </c>
      <c r="H2224" s="4"/>
      <c r="I2224" s="4"/>
      <c r="J2224" s="4">
        <f>SUM(G2224:I2224)</f>
        <v>33873</v>
      </c>
      <c r="K2224" t="s">
        <v>1659</v>
      </c>
      <c r="L2224" t="s">
        <v>1659</v>
      </c>
      <c r="M2224" t="s">
        <v>1340</v>
      </c>
      <c r="N2224" t="s">
        <v>1132</v>
      </c>
      <c r="O2224" t="s">
        <v>1132</v>
      </c>
      <c r="P2224" t="str">
        <f>IFERROR(VLOOKUP(F2224,Sheet1!$A$2:$B$54,2,FALSE),"")</f>
        <v/>
      </c>
    </row>
    <row r="2225" spans="1:16" x14ac:dyDescent="0.2">
      <c r="A2225" s="1">
        <v>2016</v>
      </c>
      <c r="B2225" t="s">
        <v>270</v>
      </c>
      <c r="C2225" s="10" t="s">
        <v>1678</v>
      </c>
      <c r="D2225" s="10" t="s">
        <v>1679</v>
      </c>
      <c r="E2225" s="10" t="s">
        <v>1682</v>
      </c>
      <c r="F2225" t="s">
        <v>767</v>
      </c>
      <c r="G2225" s="4">
        <v>47840</v>
      </c>
      <c r="H2225" s="4"/>
      <c r="I2225" s="4"/>
      <c r="J2225" s="4">
        <f>SUM(G2225:I2225)</f>
        <v>47840</v>
      </c>
      <c r="K2225" t="s">
        <v>1659</v>
      </c>
      <c r="L2225" t="s">
        <v>1659</v>
      </c>
      <c r="M2225" t="s">
        <v>1340</v>
      </c>
      <c r="N2225" t="s">
        <v>1132</v>
      </c>
      <c r="O2225" t="s">
        <v>1132</v>
      </c>
      <c r="P2225" t="str">
        <f>IFERROR(VLOOKUP(F2225,Sheet1!$A$2:$B$54,2,FALSE),"")</f>
        <v/>
      </c>
    </row>
    <row r="2226" spans="1:16" x14ac:dyDescent="0.2">
      <c r="A2226" s="1">
        <v>2017</v>
      </c>
      <c r="B2226" t="s">
        <v>270</v>
      </c>
      <c r="C2226" s="10" t="s">
        <v>1678</v>
      </c>
      <c r="D2226" s="10" t="s">
        <v>1679</v>
      </c>
      <c r="E2226" s="10" t="s">
        <v>1682</v>
      </c>
      <c r="F2226" t="s">
        <v>767</v>
      </c>
      <c r="G2226" s="4">
        <v>56466</v>
      </c>
      <c r="H2226" s="4"/>
      <c r="I2226" s="4"/>
      <c r="J2226" s="4">
        <f>SUM(G2226:I2226)</f>
        <v>56466</v>
      </c>
      <c r="K2226" t="s">
        <v>1659</v>
      </c>
      <c r="L2226" t="s">
        <v>1659</v>
      </c>
      <c r="M2226" t="s">
        <v>1340</v>
      </c>
      <c r="N2226" t="s">
        <v>1132</v>
      </c>
      <c r="O2226" t="s">
        <v>1132</v>
      </c>
      <c r="P2226" t="str">
        <f>IFERROR(VLOOKUP(F2226,Sheet1!$A$2:$B$54,2,FALSE),"")</f>
        <v/>
      </c>
    </row>
    <row r="2227" spans="1:16" x14ac:dyDescent="0.2">
      <c r="A2227" s="1">
        <v>2018</v>
      </c>
      <c r="B2227" t="s">
        <v>270</v>
      </c>
      <c r="C2227" s="10" t="s">
        <v>1678</v>
      </c>
      <c r="D2227" s="10" t="s">
        <v>1679</v>
      </c>
      <c r="E2227" s="10" t="s">
        <v>1682</v>
      </c>
      <c r="F2227" t="s">
        <v>767</v>
      </c>
      <c r="G2227" s="4">
        <v>75973</v>
      </c>
      <c r="H2227" s="4"/>
      <c r="I2227" s="4"/>
      <c r="J2227" s="4">
        <f>SUM(G2227:I2227)</f>
        <v>75973</v>
      </c>
      <c r="K2227" t="s">
        <v>1659</v>
      </c>
      <c r="L2227" t="s">
        <v>1659</v>
      </c>
      <c r="M2227" t="s">
        <v>1340</v>
      </c>
      <c r="N2227" t="s">
        <v>1132</v>
      </c>
      <c r="O2227" t="s">
        <v>1132</v>
      </c>
      <c r="P2227" t="str">
        <f>IFERROR(VLOOKUP(F2227,Sheet1!$A$2:$B$54,2,FALSE),"")</f>
        <v/>
      </c>
    </row>
    <row r="2228" spans="1:16" x14ac:dyDescent="0.2">
      <c r="A2228" s="1">
        <v>2019</v>
      </c>
      <c r="B2228" t="s">
        <v>270</v>
      </c>
      <c r="C2228" s="10" t="s">
        <v>1678</v>
      </c>
      <c r="D2228" s="10" t="s">
        <v>1679</v>
      </c>
      <c r="E2228" s="10" t="s">
        <v>1682</v>
      </c>
      <c r="F2228" t="s">
        <v>767</v>
      </c>
      <c r="G2228" s="4">
        <v>116253</v>
      </c>
      <c r="H2228" s="4"/>
      <c r="I2228" s="4"/>
      <c r="J2228" s="4">
        <f>SUM(G2228:I2228)</f>
        <v>116253</v>
      </c>
      <c r="K2228" t="s">
        <v>1659</v>
      </c>
      <c r="L2228" t="s">
        <v>1659</v>
      </c>
      <c r="M2228" t="s">
        <v>1340</v>
      </c>
      <c r="N2228" t="s">
        <v>1132</v>
      </c>
      <c r="O2228" t="s">
        <v>1132</v>
      </c>
      <c r="P2228" t="str">
        <f>IFERROR(VLOOKUP(F2228,Sheet1!$A$2:$B$54,2,FALSE),"")</f>
        <v/>
      </c>
    </row>
    <row r="2229" spans="1:16" x14ac:dyDescent="0.2">
      <c r="A2229" s="1">
        <v>2020</v>
      </c>
      <c r="B2229" t="s">
        <v>270</v>
      </c>
      <c r="C2229" s="10" t="s">
        <v>1678</v>
      </c>
      <c r="D2229" s="10" t="s">
        <v>1679</v>
      </c>
      <c r="E2229" s="10" t="s">
        <v>1682</v>
      </c>
      <c r="F2229" t="s">
        <v>767</v>
      </c>
      <c r="G2229" s="4">
        <v>109447</v>
      </c>
      <c r="H2229" s="4"/>
      <c r="I2229" s="4"/>
      <c r="J2229" s="4">
        <f>SUM(G2229:I2229)</f>
        <v>109447</v>
      </c>
      <c r="K2229" t="s">
        <v>1659</v>
      </c>
      <c r="L2229" t="s">
        <v>1659</v>
      </c>
      <c r="M2229" t="s">
        <v>1340</v>
      </c>
      <c r="N2229" t="s">
        <v>1132</v>
      </c>
      <c r="O2229" t="s">
        <v>1132</v>
      </c>
      <c r="P2229" t="str">
        <f>IFERROR(VLOOKUP(F2229,Sheet1!$A$2:$B$54,2,FALSE),"")</f>
        <v/>
      </c>
    </row>
    <row r="2230" spans="1:16" x14ac:dyDescent="0.2">
      <c r="A2230" s="1">
        <v>2021</v>
      </c>
      <c r="B2230" t="s">
        <v>270</v>
      </c>
      <c r="C2230" s="10" t="s">
        <v>1678</v>
      </c>
      <c r="D2230" s="10" t="s">
        <v>1679</v>
      </c>
      <c r="E2230" s="10" t="s">
        <v>1682</v>
      </c>
      <c r="F2230" t="s">
        <v>767</v>
      </c>
      <c r="G2230" s="4">
        <v>139172</v>
      </c>
      <c r="H2230" s="4"/>
      <c r="I2230" s="4"/>
      <c r="J2230" s="4">
        <f>SUM(G2230:I2230)</f>
        <v>139172</v>
      </c>
      <c r="K2230" t="s">
        <v>1659</v>
      </c>
      <c r="L2230" t="s">
        <v>1659</v>
      </c>
      <c r="M2230" t="s">
        <v>767</v>
      </c>
      <c r="N2230" t="s">
        <v>1132</v>
      </c>
      <c r="O2230" t="s">
        <v>1132</v>
      </c>
      <c r="P2230" t="str">
        <f>IFERROR(VLOOKUP(F2230,Sheet1!$A$2:$B$54,2,FALSE),"")</f>
        <v/>
      </c>
    </row>
    <row r="2231" spans="1:16" x14ac:dyDescent="0.2">
      <c r="A2231" s="1">
        <v>2022</v>
      </c>
      <c r="B2231" t="s">
        <v>270</v>
      </c>
      <c r="C2231" s="10" t="s">
        <v>1678</v>
      </c>
      <c r="D2231" s="10" t="s">
        <v>1679</v>
      </c>
      <c r="E2231" s="10" t="s">
        <v>1682</v>
      </c>
      <c r="F2231" t="s">
        <v>767</v>
      </c>
      <c r="G2231" s="4">
        <v>157569</v>
      </c>
      <c r="H2231" s="4"/>
      <c r="I2231" s="4"/>
      <c r="J2231" s="4">
        <f>SUM(G2231:I2231)</f>
        <v>157569</v>
      </c>
      <c r="K2231" t="s">
        <v>1659</v>
      </c>
      <c r="L2231" t="s">
        <v>1659</v>
      </c>
      <c r="M2231" t="s">
        <v>767</v>
      </c>
      <c r="N2231" t="s">
        <v>1132</v>
      </c>
      <c r="O2231" t="s">
        <v>1132</v>
      </c>
      <c r="P2231" t="str">
        <f>IFERROR(VLOOKUP(F2231,Sheet1!$A$2:$B$54,2,FALSE),"")</f>
        <v/>
      </c>
    </row>
    <row r="2232" spans="1:16" x14ac:dyDescent="0.2">
      <c r="A2232" s="1">
        <v>2023</v>
      </c>
      <c r="B2232" t="s">
        <v>270</v>
      </c>
      <c r="C2232" s="10" t="s">
        <v>1678</v>
      </c>
      <c r="D2232" s="10" t="s">
        <v>1679</v>
      </c>
      <c r="E2232" s="10" t="s">
        <v>1682</v>
      </c>
      <c r="F2232" t="s">
        <v>767</v>
      </c>
      <c r="G2232" s="4">
        <v>209396</v>
      </c>
      <c r="H2232" s="4"/>
      <c r="I2232" s="4"/>
      <c r="J2232" s="4">
        <f>SUM(G2232:I2232)</f>
        <v>209396</v>
      </c>
      <c r="K2232" t="s">
        <v>1659</v>
      </c>
      <c r="L2232" t="s">
        <v>1659</v>
      </c>
      <c r="M2232" t="s">
        <v>767</v>
      </c>
      <c r="N2232" t="s">
        <v>1132</v>
      </c>
      <c r="O2232" t="s">
        <v>1132</v>
      </c>
      <c r="P2232" t="str">
        <f>IFERROR(VLOOKUP(F2232,Sheet1!$A$2:$B$54,2,FALSE),"")</f>
        <v/>
      </c>
    </row>
    <row r="2233" spans="1:16" x14ac:dyDescent="0.2">
      <c r="A2233" s="1">
        <v>2015</v>
      </c>
      <c r="B2233" t="s">
        <v>271</v>
      </c>
      <c r="C2233" s="10" t="s">
        <v>1678</v>
      </c>
      <c r="D2233" s="10" t="s">
        <v>1679</v>
      </c>
      <c r="E2233" s="10" t="s">
        <v>1682</v>
      </c>
      <c r="F2233" t="s">
        <v>768</v>
      </c>
      <c r="G2233" s="4">
        <v>3760</v>
      </c>
      <c r="H2233" s="4"/>
      <c r="I2233" s="4"/>
      <c r="J2233" s="4">
        <f>SUM(G2233:I2233)</f>
        <v>3760</v>
      </c>
      <c r="K2233" t="s">
        <v>1659</v>
      </c>
      <c r="L2233" t="s">
        <v>1659</v>
      </c>
      <c r="M2233" t="s">
        <v>1341</v>
      </c>
      <c r="N2233" t="s">
        <v>1132</v>
      </c>
      <c r="O2233" t="s">
        <v>1132</v>
      </c>
      <c r="P2233" t="str">
        <f>IFERROR(VLOOKUP(F2233,Sheet1!$A$2:$B$54,2,FALSE),"")</f>
        <v/>
      </c>
    </row>
    <row r="2234" spans="1:16" x14ac:dyDescent="0.2">
      <c r="A2234" s="1">
        <v>2016</v>
      </c>
      <c r="B2234" t="s">
        <v>271</v>
      </c>
      <c r="C2234" s="10" t="s">
        <v>1678</v>
      </c>
      <c r="D2234" s="10" t="s">
        <v>1679</v>
      </c>
      <c r="E2234" s="10" t="s">
        <v>1682</v>
      </c>
      <c r="F2234" t="s">
        <v>768</v>
      </c>
      <c r="G2234" s="4">
        <v>5626</v>
      </c>
      <c r="H2234" s="4"/>
      <c r="I2234" s="4"/>
      <c r="J2234" s="4">
        <f>SUM(G2234:I2234)</f>
        <v>5626</v>
      </c>
      <c r="K2234" t="s">
        <v>1659</v>
      </c>
      <c r="L2234" t="s">
        <v>1659</v>
      </c>
      <c r="M2234" t="s">
        <v>1341</v>
      </c>
      <c r="N2234" t="s">
        <v>1132</v>
      </c>
      <c r="O2234" t="s">
        <v>1132</v>
      </c>
      <c r="P2234" t="str">
        <f>IFERROR(VLOOKUP(F2234,Sheet1!$A$2:$B$54,2,FALSE),"")</f>
        <v/>
      </c>
    </row>
    <row r="2235" spans="1:16" x14ac:dyDescent="0.2">
      <c r="A2235" s="1">
        <v>2017</v>
      </c>
      <c r="B2235" t="s">
        <v>271</v>
      </c>
      <c r="C2235" s="10" t="s">
        <v>1678</v>
      </c>
      <c r="D2235" s="10" t="s">
        <v>1679</v>
      </c>
      <c r="E2235" s="10" t="s">
        <v>1682</v>
      </c>
      <c r="F2235" t="s">
        <v>768</v>
      </c>
      <c r="G2235" s="4">
        <v>14584</v>
      </c>
      <c r="H2235" s="4"/>
      <c r="I2235" s="4"/>
      <c r="J2235" s="4">
        <f>SUM(G2235:I2235)</f>
        <v>14584</v>
      </c>
      <c r="K2235" t="s">
        <v>1659</v>
      </c>
      <c r="L2235" t="s">
        <v>1659</v>
      </c>
      <c r="M2235" t="s">
        <v>1341</v>
      </c>
      <c r="N2235" t="s">
        <v>1132</v>
      </c>
      <c r="O2235" t="s">
        <v>1132</v>
      </c>
      <c r="P2235" t="str">
        <f>IFERROR(VLOOKUP(F2235,Sheet1!$A$2:$B$54,2,FALSE),"")</f>
        <v/>
      </c>
    </row>
    <row r="2236" spans="1:16" x14ac:dyDescent="0.2">
      <c r="A2236" s="1">
        <v>2018</v>
      </c>
      <c r="B2236" t="s">
        <v>271</v>
      </c>
      <c r="C2236" s="10" t="s">
        <v>1678</v>
      </c>
      <c r="D2236" s="10" t="s">
        <v>1679</v>
      </c>
      <c r="E2236" s="10" t="s">
        <v>1682</v>
      </c>
      <c r="F2236" t="s">
        <v>768</v>
      </c>
      <c r="G2236" s="4">
        <v>17982</v>
      </c>
      <c r="H2236" s="4"/>
      <c r="I2236" s="4"/>
      <c r="J2236" s="4">
        <f>SUM(G2236:I2236)</f>
        <v>17982</v>
      </c>
      <c r="K2236" t="s">
        <v>1659</v>
      </c>
      <c r="L2236" t="s">
        <v>1659</v>
      </c>
      <c r="M2236" t="s">
        <v>1341</v>
      </c>
      <c r="N2236" t="s">
        <v>1132</v>
      </c>
      <c r="O2236" t="s">
        <v>1132</v>
      </c>
      <c r="P2236" t="str">
        <f>IFERROR(VLOOKUP(F2236,Sheet1!$A$2:$B$54,2,FALSE),"")</f>
        <v/>
      </c>
    </row>
    <row r="2237" spans="1:16" x14ac:dyDescent="0.2">
      <c r="A2237" s="1">
        <v>2019</v>
      </c>
      <c r="B2237" t="s">
        <v>271</v>
      </c>
      <c r="C2237" s="10" t="s">
        <v>1678</v>
      </c>
      <c r="D2237" s="10" t="s">
        <v>1679</v>
      </c>
      <c r="E2237" s="10" t="s">
        <v>1682</v>
      </c>
      <c r="F2237" t="s">
        <v>768</v>
      </c>
      <c r="G2237" s="4">
        <v>18264</v>
      </c>
      <c r="H2237" s="4"/>
      <c r="I2237" s="4"/>
      <c r="J2237" s="4">
        <f>SUM(G2237:I2237)</f>
        <v>18264</v>
      </c>
      <c r="K2237" t="s">
        <v>1659</v>
      </c>
      <c r="L2237" t="s">
        <v>1659</v>
      </c>
      <c r="M2237" t="s">
        <v>1341</v>
      </c>
      <c r="N2237" t="s">
        <v>1132</v>
      </c>
      <c r="O2237" t="s">
        <v>1132</v>
      </c>
      <c r="P2237" t="str">
        <f>IFERROR(VLOOKUP(F2237,Sheet1!$A$2:$B$54,2,FALSE),"")</f>
        <v/>
      </c>
    </row>
    <row r="2238" spans="1:16" x14ac:dyDescent="0.2">
      <c r="A2238" s="1">
        <v>2020</v>
      </c>
      <c r="B2238" t="s">
        <v>271</v>
      </c>
      <c r="C2238" s="10" t="s">
        <v>1678</v>
      </c>
      <c r="D2238" s="10" t="s">
        <v>1679</v>
      </c>
      <c r="E2238" s="10" t="s">
        <v>1682</v>
      </c>
      <c r="F2238" t="s">
        <v>768</v>
      </c>
      <c r="G2238" s="4">
        <v>24319</v>
      </c>
      <c r="H2238" s="4"/>
      <c r="I2238" s="4"/>
      <c r="J2238" s="4">
        <f>SUM(G2238:I2238)</f>
        <v>24319</v>
      </c>
      <c r="K2238" t="s">
        <v>1659</v>
      </c>
      <c r="L2238" t="s">
        <v>1659</v>
      </c>
      <c r="M2238" t="s">
        <v>1341</v>
      </c>
      <c r="N2238" t="s">
        <v>1132</v>
      </c>
      <c r="O2238" t="s">
        <v>1132</v>
      </c>
      <c r="P2238" t="str">
        <f>IFERROR(VLOOKUP(F2238,Sheet1!$A$2:$B$54,2,FALSE),"")</f>
        <v/>
      </c>
    </row>
    <row r="2239" spans="1:16" x14ac:dyDescent="0.2">
      <c r="A2239" s="1">
        <v>2021</v>
      </c>
      <c r="B2239" t="s">
        <v>271</v>
      </c>
      <c r="C2239" s="10" t="s">
        <v>1678</v>
      </c>
      <c r="D2239" s="10" t="s">
        <v>1679</v>
      </c>
      <c r="E2239" s="10" t="s">
        <v>1682</v>
      </c>
      <c r="F2239" t="s">
        <v>768</v>
      </c>
      <c r="G2239" s="4">
        <v>25668</v>
      </c>
      <c r="H2239" s="4"/>
      <c r="I2239" s="4"/>
      <c r="J2239" s="4">
        <f>SUM(G2239:I2239)</f>
        <v>25668</v>
      </c>
      <c r="K2239" t="s">
        <v>1659</v>
      </c>
      <c r="L2239" t="s">
        <v>1659</v>
      </c>
      <c r="M2239" t="s">
        <v>768</v>
      </c>
      <c r="N2239" t="s">
        <v>1132</v>
      </c>
      <c r="O2239" t="s">
        <v>1132</v>
      </c>
      <c r="P2239" t="str">
        <f>IFERROR(VLOOKUP(F2239,Sheet1!$A$2:$B$54,2,FALSE),"")</f>
        <v/>
      </c>
    </row>
    <row r="2240" spans="1:16" x14ac:dyDescent="0.2">
      <c r="A2240" s="1">
        <v>2022</v>
      </c>
      <c r="B2240" t="s">
        <v>271</v>
      </c>
      <c r="C2240" s="10" t="s">
        <v>1678</v>
      </c>
      <c r="D2240" s="10" t="s">
        <v>1679</v>
      </c>
      <c r="E2240" s="10" t="s">
        <v>1682</v>
      </c>
      <c r="F2240" t="s">
        <v>768</v>
      </c>
      <c r="G2240" s="4">
        <v>45517</v>
      </c>
      <c r="H2240" s="4"/>
      <c r="I2240" s="4"/>
      <c r="J2240" s="4">
        <f>SUM(G2240:I2240)</f>
        <v>45517</v>
      </c>
      <c r="K2240" t="s">
        <v>1659</v>
      </c>
      <c r="L2240" t="s">
        <v>1659</v>
      </c>
      <c r="M2240" t="s">
        <v>768</v>
      </c>
      <c r="N2240" t="s">
        <v>1132</v>
      </c>
      <c r="O2240" t="s">
        <v>1132</v>
      </c>
      <c r="P2240" t="str">
        <f>IFERROR(VLOOKUP(F2240,Sheet1!$A$2:$B$54,2,FALSE),"")</f>
        <v/>
      </c>
    </row>
    <row r="2241" spans="1:16" x14ac:dyDescent="0.2">
      <c r="A2241" s="1">
        <v>2023</v>
      </c>
      <c r="B2241" t="s">
        <v>271</v>
      </c>
      <c r="C2241" s="10" t="s">
        <v>1678</v>
      </c>
      <c r="D2241" s="10" t="s">
        <v>1679</v>
      </c>
      <c r="E2241" s="10" t="s">
        <v>1682</v>
      </c>
      <c r="F2241" t="s">
        <v>768</v>
      </c>
      <c r="G2241" s="4">
        <v>58195</v>
      </c>
      <c r="H2241" s="4"/>
      <c r="I2241" s="4"/>
      <c r="J2241" s="4">
        <f>SUM(G2241:I2241)</f>
        <v>58195</v>
      </c>
      <c r="K2241" t="s">
        <v>1659</v>
      </c>
      <c r="L2241" t="s">
        <v>1659</v>
      </c>
      <c r="M2241" t="s">
        <v>768</v>
      </c>
      <c r="N2241" t="s">
        <v>1132</v>
      </c>
      <c r="O2241" t="s">
        <v>1132</v>
      </c>
      <c r="P2241" t="str">
        <f>IFERROR(VLOOKUP(F2241,Sheet1!$A$2:$B$54,2,FALSE),"")</f>
        <v/>
      </c>
    </row>
    <row r="2242" spans="1:16" x14ac:dyDescent="0.2">
      <c r="A2242" s="1">
        <v>2019</v>
      </c>
      <c r="B2242" t="s">
        <v>272</v>
      </c>
      <c r="C2242" s="10" t="s">
        <v>1678</v>
      </c>
      <c r="D2242" s="10" t="s">
        <v>1679</v>
      </c>
      <c r="E2242" s="10" t="s">
        <v>1682</v>
      </c>
      <c r="F2242" t="s">
        <v>769</v>
      </c>
      <c r="G2242" s="4">
        <v>8746</v>
      </c>
      <c r="H2242" s="4"/>
      <c r="I2242" s="4"/>
      <c r="J2242" s="4">
        <f>SUM(G2242:I2242)</f>
        <v>8746</v>
      </c>
      <c r="K2242" t="s">
        <v>1659</v>
      </c>
      <c r="L2242" t="s">
        <v>1659</v>
      </c>
      <c r="M2242" t="s">
        <v>1342</v>
      </c>
      <c r="N2242" t="s">
        <v>1132</v>
      </c>
      <c r="O2242" t="s">
        <v>1132</v>
      </c>
      <c r="P2242" t="str">
        <f>IFERROR(VLOOKUP(F2242,Sheet1!$A$2:$B$54,2,FALSE),"")</f>
        <v/>
      </c>
    </row>
    <row r="2243" spans="1:16" x14ac:dyDescent="0.2">
      <c r="A2243" s="1">
        <v>2020</v>
      </c>
      <c r="B2243" t="s">
        <v>272</v>
      </c>
      <c r="C2243" s="10" t="s">
        <v>1678</v>
      </c>
      <c r="D2243" s="10" t="s">
        <v>1679</v>
      </c>
      <c r="E2243" s="10" t="s">
        <v>1682</v>
      </c>
      <c r="F2243" t="s">
        <v>769</v>
      </c>
      <c r="G2243" s="4">
        <v>16162</v>
      </c>
      <c r="H2243" s="4"/>
      <c r="I2243" s="4"/>
      <c r="J2243" s="4">
        <f>SUM(G2243:I2243)</f>
        <v>16162</v>
      </c>
      <c r="K2243" t="s">
        <v>1659</v>
      </c>
      <c r="L2243" t="s">
        <v>1659</v>
      </c>
      <c r="M2243" t="s">
        <v>1342</v>
      </c>
      <c r="N2243" t="s">
        <v>1132</v>
      </c>
      <c r="O2243" t="s">
        <v>1132</v>
      </c>
      <c r="P2243" t="str">
        <f>IFERROR(VLOOKUP(F2243,Sheet1!$A$2:$B$54,2,FALSE),"")</f>
        <v/>
      </c>
    </row>
    <row r="2244" spans="1:16" x14ac:dyDescent="0.2">
      <c r="A2244" s="1">
        <v>2021</v>
      </c>
      <c r="B2244" t="s">
        <v>272</v>
      </c>
      <c r="C2244" s="10" t="s">
        <v>1678</v>
      </c>
      <c r="D2244" s="10" t="s">
        <v>1679</v>
      </c>
      <c r="E2244" s="10" t="s">
        <v>1682</v>
      </c>
      <c r="F2244" t="s">
        <v>769</v>
      </c>
      <c r="G2244" s="4">
        <v>17881</v>
      </c>
      <c r="H2244" s="4"/>
      <c r="I2244" s="4"/>
      <c r="J2244" s="4">
        <f>SUM(G2244:I2244)</f>
        <v>17881</v>
      </c>
      <c r="K2244" t="s">
        <v>1659</v>
      </c>
      <c r="L2244" t="s">
        <v>1659</v>
      </c>
      <c r="M2244" t="s">
        <v>769</v>
      </c>
      <c r="N2244" t="s">
        <v>1132</v>
      </c>
      <c r="O2244" t="s">
        <v>1132</v>
      </c>
      <c r="P2244" t="str">
        <f>IFERROR(VLOOKUP(F2244,Sheet1!$A$2:$B$54,2,FALSE),"")</f>
        <v/>
      </c>
    </row>
    <row r="2245" spans="1:16" x14ac:dyDescent="0.2">
      <c r="A2245" s="1">
        <v>2022</v>
      </c>
      <c r="B2245" t="s">
        <v>272</v>
      </c>
      <c r="C2245" s="10" t="s">
        <v>1678</v>
      </c>
      <c r="D2245" s="10" t="s">
        <v>1679</v>
      </c>
      <c r="E2245" s="10" t="s">
        <v>1682</v>
      </c>
      <c r="F2245" t="s">
        <v>769</v>
      </c>
      <c r="G2245" s="4">
        <v>28536</v>
      </c>
      <c r="H2245" s="4"/>
      <c r="I2245" s="4"/>
      <c r="J2245" s="4">
        <f>SUM(G2245:I2245)</f>
        <v>28536</v>
      </c>
      <c r="K2245" t="s">
        <v>1659</v>
      </c>
      <c r="L2245" t="s">
        <v>1659</v>
      </c>
      <c r="M2245" t="s">
        <v>769</v>
      </c>
      <c r="N2245" t="s">
        <v>1132</v>
      </c>
      <c r="O2245" t="s">
        <v>1132</v>
      </c>
      <c r="P2245" t="str">
        <f>IFERROR(VLOOKUP(F2245,Sheet1!$A$2:$B$54,2,FALSE),"")</f>
        <v/>
      </c>
    </row>
    <row r="2246" spans="1:16" x14ac:dyDescent="0.2">
      <c r="A2246" s="1">
        <v>2023</v>
      </c>
      <c r="B2246" t="s">
        <v>272</v>
      </c>
      <c r="C2246" s="10" t="s">
        <v>1678</v>
      </c>
      <c r="D2246" s="10" t="s">
        <v>1679</v>
      </c>
      <c r="E2246" s="10" t="s">
        <v>1682</v>
      </c>
      <c r="F2246" t="s">
        <v>769</v>
      </c>
      <c r="G2246" s="4">
        <v>32221</v>
      </c>
      <c r="H2246" s="4"/>
      <c r="I2246" s="4"/>
      <c r="J2246" s="4">
        <f>SUM(G2246:I2246)</f>
        <v>32221</v>
      </c>
      <c r="K2246" t="s">
        <v>1659</v>
      </c>
      <c r="L2246" t="s">
        <v>1659</v>
      </c>
      <c r="M2246" t="s">
        <v>769</v>
      </c>
      <c r="N2246" t="s">
        <v>1132</v>
      </c>
      <c r="O2246" t="s">
        <v>1132</v>
      </c>
      <c r="P2246" t="str">
        <f>IFERROR(VLOOKUP(F2246,Sheet1!$A$2:$B$54,2,FALSE),"")</f>
        <v/>
      </c>
    </row>
    <row r="2247" spans="1:16" x14ac:dyDescent="0.2">
      <c r="A2247" s="1">
        <v>2015</v>
      </c>
      <c r="B2247" t="s">
        <v>273</v>
      </c>
      <c r="C2247" s="10" t="s">
        <v>1678</v>
      </c>
      <c r="D2247" s="10" t="s">
        <v>1679</v>
      </c>
      <c r="E2247" s="10" t="s">
        <v>1682</v>
      </c>
      <c r="F2247" t="s">
        <v>770</v>
      </c>
      <c r="G2247" s="4">
        <v>25830</v>
      </c>
      <c r="H2247" s="4"/>
      <c r="I2247" s="4"/>
      <c r="J2247" s="4">
        <f>SUM(G2247:I2247)</f>
        <v>25830</v>
      </c>
      <c r="K2247" t="s">
        <v>1659</v>
      </c>
      <c r="L2247" t="s">
        <v>1659</v>
      </c>
      <c r="M2247" t="s">
        <v>1343</v>
      </c>
      <c r="N2247" t="s">
        <v>1132</v>
      </c>
      <c r="O2247" t="s">
        <v>1132</v>
      </c>
      <c r="P2247" t="str">
        <f>IFERROR(VLOOKUP(F2247,Sheet1!$A$2:$B$54,2,FALSE),"")</f>
        <v/>
      </c>
    </row>
    <row r="2248" spans="1:16" x14ac:dyDescent="0.2">
      <c r="A2248" s="1">
        <v>2016</v>
      </c>
      <c r="B2248" t="s">
        <v>273</v>
      </c>
      <c r="C2248" s="10" t="s">
        <v>1678</v>
      </c>
      <c r="D2248" s="10" t="s">
        <v>1679</v>
      </c>
      <c r="E2248" s="10" t="s">
        <v>1682</v>
      </c>
      <c r="F2248" t="s">
        <v>770</v>
      </c>
      <c r="G2248" s="4">
        <v>26263</v>
      </c>
      <c r="H2248" s="4"/>
      <c r="I2248" s="4"/>
      <c r="J2248" s="4">
        <f>SUM(G2248:I2248)</f>
        <v>26263</v>
      </c>
      <c r="K2248" t="s">
        <v>1659</v>
      </c>
      <c r="L2248" t="s">
        <v>1659</v>
      </c>
      <c r="M2248" t="s">
        <v>1343</v>
      </c>
      <c r="N2248" t="s">
        <v>1132</v>
      </c>
      <c r="O2248" t="s">
        <v>1132</v>
      </c>
      <c r="P2248" t="str">
        <f>IFERROR(VLOOKUP(F2248,Sheet1!$A$2:$B$54,2,FALSE),"")</f>
        <v/>
      </c>
    </row>
    <row r="2249" spans="1:16" x14ac:dyDescent="0.2">
      <c r="A2249" s="1">
        <v>2017</v>
      </c>
      <c r="B2249" t="s">
        <v>273</v>
      </c>
      <c r="C2249" s="10" t="s">
        <v>1678</v>
      </c>
      <c r="D2249" s="10" t="s">
        <v>1679</v>
      </c>
      <c r="E2249" s="10" t="s">
        <v>1682</v>
      </c>
      <c r="F2249" t="s">
        <v>770</v>
      </c>
      <c r="G2249" s="4">
        <v>33647</v>
      </c>
      <c r="H2249" s="4"/>
      <c r="I2249" s="4"/>
      <c r="J2249" s="4">
        <f>SUM(G2249:I2249)</f>
        <v>33647</v>
      </c>
      <c r="K2249" t="s">
        <v>1659</v>
      </c>
      <c r="L2249" t="s">
        <v>1659</v>
      </c>
      <c r="M2249" t="s">
        <v>1343</v>
      </c>
      <c r="N2249" t="s">
        <v>1132</v>
      </c>
      <c r="O2249" t="s">
        <v>1132</v>
      </c>
      <c r="P2249" t="str">
        <f>IFERROR(VLOOKUP(F2249,Sheet1!$A$2:$B$54,2,FALSE),"")</f>
        <v/>
      </c>
    </row>
    <row r="2250" spans="1:16" x14ac:dyDescent="0.2">
      <c r="A2250" s="1">
        <v>2018</v>
      </c>
      <c r="B2250" t="s">
        <v>273</v>
      </c>
      <c r="C2250" s="10" t="s">
        <v>1678</v>
      </c>
      <c r="D2250" s="10" t="s">
        <v>1679</v>
      </c>
      <c r="E2250" s="10" t="s">
        <v>1682</v>
      </c>
      <c r="F2250" t="s">
        <v>770</v>
      </c>
      <c r="G2250" s="4">
        <v>41537</v>
      </c>
      <c r="H2250" s="4"/>
      <c r="I2250" s="4"/>
      <c r="J2250" s="4">
        <f>SUM(G2250:I2250)</f>
        <v>41537</v>
      </c>
      <c r="K2250" t="s">
        <v>1659</v>
      </c>
      <c r="L2250" t="s">
        <v>1659</v>
      </c>
      <c r="M2250" t="s">
        <v>1343</v>
      </c>
      <c r="N2250" t="s">
        <v>1132</v>
      </c>
      <c r="O2250" t="s">
        <v>1132</v>
      </c>
      <c r="P2250" t="str">
        <f>IFERROR(VLOOKUP(F2250,Sheet1!$A$2:$B$54,2,FALSE),"")</f>
        <v/>
      </c>
    </row>
    <row r="2251" spans="1:16" x14ac:dyDescent="0.2">
      <c r="A2251" s="1">
        <v>2019</v>
      </c>
      <c r="B2251" t="s">
        <v>273</v>
      </c>
      <c r="C2251" s="10" t="s">
        <v>1678</v>
      </c>
      <c r="D2251" s="10" t="s">
        <v>1679</v>
      </c>
      <c r="E2251" s="10" t="s">
        <v>1682</v>
      </c>
      <c r="F2251" t="s">
        <v>770</v>
      </c>
      <c r="G2251" s="4">
        <v>45999</v>
      </c>
      <c r="H2251" s="4"/>
      <c r="I2251" s="4"/>
      <c r="J2251" s="4">
        <f>SUM(G2251:I2251)</f>
        <v>45999</v>
      </c>
      <c r="K2251" t="s">
        <v>1659</v>
      </c>
      <c r="L2251" t="s">
        <v>1659</v>
      </c>
      <c r="M2251" t="s">
        <v>1343</v>
      </c>
      <c r="N2251" t="s">
        <v>1132</v>
      </c>
      <c r="O2251" t="s">
        <v>1132</v>
      </c>
      <c r="P2251" t="str">
        <f>IFERROR(VLOOKUP(F2251,Sheet1!$A$2:$B$54,2,FALSE),"")</f>
        <v/>
      </c>
    </row>
    <row r="2252" spans="1:16" x14ac:dyDescent="0.2">
      <c r="A2252" s="1">
        <v>2020</v>
      </c>
      <c r="B2252" t="s">
        <v>273</v>
      </c>
      <c r="C2252" s="10" t="s">
        <v>1678</v>
      </c>
      <c r="D2252" s="10" t="s">
        <v>1679</v>
      </c>
      <c r="E2252" s="10" t="s">
        <v>1682</v>
      </c>
      <c r="F2252" t="s">
        <v>770</v>
      </c>
      <c r="G2252" s="4">
        <v>56502</v>
      </c>
      <c r="H2252" s="4"/>
      <c r="I2252" s="4"/>
      <c r="J2252" s="4">
        <f>SUM(G2252:I2252)</f>
        <v>56502</v>
      </c>
      <c r="K2252" t="s">
        <v>1659</v>
      </c>
      <c r="L2252" t="s">
        <v>1659</v>
      </c>
      <c r="M2252" t="s">
        <v>1343</v>
      </c>
      <c r="N2252" t="s">
        <v>1132</v>
      </c>
      <c r="O2252" t="s">
        <v>1132</v>
      </c>
      <c r="P2252" t="str">
        <f>IFERROR(VLOOKUP(F2252,Sheet1!$A$2:$B$54,2,FALSE),"")</f>
        <v/>
      </c>
    </row>
    <row r="2253" spans="1:16" x14ac:dyDescent="0.2">
      <c r="A2253" s="1">
        <v>2021</v>
      </c>
      <c r="B2253" t="s">
        <v>273</v>
      </c>
      <c r="C2253" s="10" t="s">
        <v>1678</v>
      </c>
      <c r="D2253" s="10" t="s">
        <v>1679</v>
      </c>
      <c r="E2253" s="10" t="s">
        <v>1682</v>
      </c>
      <c r="F2253" t="s">
        <v>770</v>
      </c>
      <c r="G2253" s="4">
        <v>66986</v>
      </c>
      <c r="H2253" s="4"/>
      <c r="I2253" s="4"/>
      <c r="J2253" s="4">
        <f>SUM(G2253:I2253)</f>
        <v>66986</v>
      </c>
      <c r="K2253" t="s">
        <v>1659</v>
      </c>
      <c r="L2253" t="s">
        <v>1659</v>
      </c>
      <c r="M2253" t="s">
        <v>770</v>
      </c>
      <c r="N2253" t="s">
        <v>1132</v>
      </c>
      <c r="O2253" t="s">
        <v>1132</v>
      </c>
      <c r="P2253" t="str">
        <f>IFERROR(VLOOKUP(F2253,Sheet1!$A$2:$B$54,2,FALSE),"")</f>
        <v/>
      </c>
    </row>
    <row r="2254" spans="1:16" x14ac:dyDescent="0.2">
      <c r="A2254" s="1">
        <v>2022</v>
      </c>
      <c r="B2254" t="s">
        <v>273</v>
      </c>
      <c r="C2254" s="10" t="s">
        <v>1678</v>
      </c>
      <c r="D2254" s="10" t="s">
        <v>1679</v>
      </c>
      <c r="E2254" s="10" t="s">
        <v>1682</v>
      </c>
      <c r="F2254" t="s">
        <v>770</v>
      </c>
      <c r="G2254" s="4">
        <v>74789</v>
      </c>
      <c r="H2254" s="4"/>
      <c r="I2254" s="4"/>
      <c r="J2254" s="4">
        <f>SUM(G2254:I2254)</f>
        <v>74789</v>
      </c>
      <c r="K2254" t="s">
        <v>1659</v>
      </c>
      <c r="L2254" t="s">
        <v>1659</v>
      </c>
      <c r="M2254" t="s">
        <v>770</v>
      </c>
      <c r="N2254" t="s">
        <v>1132</v>
      </c>
      <c r="O2254" t="s">
        <v>1132</v>
      </c>
      <c r="P2254" t="str">
        <f>IFERROR(VLOOKUP(F2254,Sheet1!$A$2:$B$54,2,FALSE),"")</f>
        <v/>
      </c>
    </row>
    <row r="2255" spans="1:16" x14ac:dyDescent="0.2">
      <c r="A2255" s="1">
        <v>2023</v>
      </c>
      <c r="B2255" t="s">
        <v>273</v>
      </c>
      <c r="C2255" s="10" t="s">
        <v>1678</v>
      </c>
      <c r="D2255" s="10" t="s">
        <v>1679</v>
      </c>
      <c r="E2255" s="10" t="s">
        <v>1682</v>
      </c>
      <c r="F2255" t="s">
        <v>770</v>
      </c>
      <c r="G2255" s="4">
        <v>90296</v>
      </c>
      <c r="H2255" s="4"/>
      <c r="I2255" s="4"/>
      <c r="J2255" s="4">
        <f>SUM(G2255:I2255)</f>
        <v>90296</v>
      </c>
      <c r="K2255" t="s">
        <v>1659</v>
      </c>
      <c r="L2255" t="s">
        <v>1659</v>
      </c>
      <c r="M2255" t="s">
        <v>770</v>
      </c>
      <c r="N2255" t="s">
        <v>1132</v>
      </c>
      <c r="O2255" t="s">
        <v>1132</v>
      </c>
      <c r="P2255" t="str">
        <f>IFERROR(VLOOKUP(F2255,Sheet1!$A$2:$B$54,2,FALSE),"")</f>
        <v/>
      </c>
    </row>
    <row r="2256" spans="1:16" x14ac:dyDescent="0.2">
      <c r="A2256" s="1">
        <v>2015</v>
      </c>
      <c r="B2256" t="s">
        <v>274</v>
      </c>
      <c r="C2256" s="10" t="s">
        <v>1678</v>
      </c>
      <c r="D2256" s="10" t="s">
        <v>1679</v>
      </c>
      <c r="E2256" s="10" t="s">
        <v>1682</v>
      </c>
      <c r="F2256" t="s">
        <v>771</v>
      </c>
      <c r="G2256" s="4">
        <v>5508</v>
      </c>
      <c r="H2256" s="4"/>
      <c r="I2256" s="4"/>
      <c r="J2256" s="4">
        <f>SUM(G2256:I2256)</f>
        <v>5508</v>
      </c>
      <c r="K2256" t="s">
        <v>1659</v>
      </c>
      <c r="L2256" t="s">
        <v>1659</v>
      </c>
      <c r="M2256" t="s">
        <v>1344</v>
      </c>
      <c r="N2256" t="s">
        <v>1132</v>
      </c>
      <c r="O2256" t="s">
        <v>1132</v>
      </c>
      <c r="P2256" t="str">
        <f>IFERROR(VLOOKUP(F2256,Sheet1!$A$2:$B$54,2,FALSE),"")</f>
        <v/>
      </c>
    </row>
    <row r="2257" spans="1:16" x14ac:dyDescent="0.2">
      <c r="A2257" s="1">
        <v>2016</v>
      </c>
      <c r="B2257" t="s">
        <v>274</v>
      </c>
      <c r="C2257" s="10" t="s">
        <v>1678</v>
      </c>
      <c r="D2257" s="10" t="s">
        <v>1679</v>
      </c>
      <c r="E2257" s="10" t="s">
        <v>1682</v>
      </c>
      <c r="F2257" t="s">
        <v>771</v>
      </c>
      <c r="G2257" s="4">
        <v>13054</v>
      </c>
      <c r="H2257" s="4"/>
      <c r="I2257" s="4"/>
      <c r="J2257" s="4">
        <f>SUM(G2257:I2257)</f>
        <v>13054</v>
      </c>
      <c r="K2257" t="s">
        <v>1659</v>
      </c>
      <c r="L2257" t="s">
        <v>1659</v>
      </c>
      <c r="M2257" t="s">
        <v>1344</v>
      </c>
      <c r="N2257" t="s">
        <v>1132</v>
      </c>
      <c r="O2257" t="s">
        <v>1132</v>
      </c>
      <c r="P2257" t="str">
        <f>IFERROR(VLOOKUP(F2257,Sheet1!$A$2:$B$54,2,FALSE),"")</f>
        <v/>
      </c>
    </row>
    <row r="2258" spans="1:16" x14ac:dyDescent="0.2">
      <c r="A2258" s="1">
        <v>2017</v>
      </c>
      <c r="B2258" t="s">
        <v>274</v>
      </c>
      <c r="C2258" s="10" t="s">
        <v>1678</v>
      </c>
      <c r="D2258" s="10" t="s">
        <v>1679</v>
      </c>
      <c r="E2258" s="10" t="s">
        <v>1682</v>
      </c>
      <c r="F2258" t="s">
        <v>771</v>
      </c>
      <c r="G2258" s="4">
        <v>17897</v>
      </c>
      <c r="H2258" s="4"/>
      <c r="I2258" s="4"/>
      <c r="J2258" s="4">
        <f>SUM(G2258:I2258)</f>
        <v>17897</v>
      </c>
      <c r="K2258" t="s">
        <v>1659</v>
      </c>
      <c r="L2258" t="s">
        <v>1659</v>
      </c>
      <c r="M2258" t="s">
        <v>1345</v>
      </c>
      <c r="N2258" t="s">
        <v>1132</v>
      </c>
      <c r="O2258" t="s">
        <v>1132</v>
      </c>
      <c r="P2258" t="str">
        <f>IFERROR(VLOOKUP(F2258,Sheet1!$A$2:$B$54,2,FALSE),"")</f>
        <v/>
      </c>
    </row>
    <row r="2259" spans="1:16" x14ac:dyDescent="0.2">
      <c r="A2259" s="1">
        <v>2018</v>
      </c>
      <c r="B2259" t="s">
        <v>274</v>
      </c>
      <c r="C2259" s="10" t="s">
        <v>1678</v>
      </c>
      <c r="D2259" s="10" t="s">
        <v>1679</v>
      </c>
      <c r="E2259" s="10" t="s">
        <v>1682</v>
      </c>
      <c r="F2259" t="s">
        <v>771</v>
      </c>
      <c r="G2259" s="4">
        <v>25147</v>
      </c>
      <c r="H2259" s="4"/>
      <c r="I2259" s="4"/>
      <c r="J2259" s="4">
        <f>SUM(G2259:I2259)</f>
        <v>25147</v>
      </c>
      <c r="K2259" t="s">
        <v>1659</v>
      </c>
      <c r="L2259" t="s">
        <v>1659</v>
      </c>
      <c r="M2259" t="s">
        <v>1345</v>
      </c>
      <c r="N2259" t="s">
        <v>1132</v>
      </c>
      <c r="O2259" t="s">
        <v>1132</v>
      </c>
      <c r="P2259" t="str">
        <f>IFERROR(VLOOKUP(F2259,Sheet1!$A$2:$B$54,2,FALSE),"")</f>
        <v/>
      </c>
    </row>
    <row r="2260" spans="1:16" x14ac:dyDescent="0.2">
      <c r="A2260" s="1">
        <v>2019</v>
      </c>
      <c r="B2260" t="s">
        <v>274</v>
      </c>
      <c r="C2260" s="10" t="s">
        <v>1678</v>
      </c>
      <c r="D2260" s="10" t="s">
        <v>1679</v>
      </c>
      <c r="E2260" s="10" t="s">
        <v>1682</v>
      </c>
      <c r="F2260" t="s">
        <v>771</v>
      </c>
      <c r="G2260" s="4">
        <v>31010</v>
      </c>
      <c r="H2260" s="4"/>
      <c r="I2260" s="4"/>
      <c r="J2260" s="4">
        <f>SUM(G2260:I2260)</f>
        <v>31010</v>
      </c>
      <c r="K2260" t="s">
        <v>1659</v>
      </c>
      <c r="L2260" t="s">
        <v>1659</v>
      </c>
      <c r="M2260" t="s">
        <v>1345</v>
      </c>
      <c r="N2260" t="s">
        <v>1132</v>
      </c>
      <c r="O2260" t="s">
        <v>1132</v>
      </c>
      <c r="P2260" t="str">
        <f>IFERROR(VLOOKUP(F2260,Sheet1!$A$2:$B$54,2,FALSE),"")</f>
        <v/>
      </c>
    </row>
    <row r="2261" spans="1:16" x14ac:dyDescent="0.2">
      <c r="A2261" s="1">
        <v>2020</v>
      </c>
      <c r="B2261" t="s">
        <v>274</v>
      </c>
      <c r="C2261" s="10" t="s">
        <v>1678</v>
      </c>
      <c r="D2261" s="10" t="s">
        <v>1679</v>
      </c>
      <c r="E2261" s="10" t="s">
        <v>1682</v>
      </c>
      <c r="F2261" t="s">
        <v>771</v>
      </c>
      <c r="G2261" s="4">
        <v>33357</v>
      </c>
      <c r="H2261" s="4"/>
      <c r="I2261" s="4"/>
      <c r="J2261" s="4">
        <f>SUM(G2261:I2261)</f>
        <v>33357</v>
      </c>
      <c r="K2261" t="s">
        <v>1659</v>
      </c>
      <c r="L2261" t="s">
        <v>1659</v>
      </c>
      <c r="M2261" t="s">
        <v>1345</v>
      </c>
      <c r="N2261" t="s">
        <v>1132</v>
      </c>
      <c r="O2261" t="s">
        <v>1132</v>
      </c>
      <c r="P2261" t="str">
        <f>IFERROR(VLOOKUP(F2261,Sheet1!$A$2:$B$54,2,FALSE),"")</f>
        <v/>
      </c>
    </row>
    <row r="2262" spans="1:16" x14ac:dyDescent="0.2">
      <c r="A2262" s="1">
        <v>2021</v>
      </c>
      <c r="B2262" t="s">
        <v>274</v>
      </c>
      <c r="C2262" s="10" t="s">
        <v>1678</v>
      </c>
      <c r="D2262" s="10" t="s">
        <v>1679</v>
      </c>
      <c r="E2262" s="10" t="s">
        <v>1682</v>
      </c>
      <c r="F2262" t="s">
        <v>771</v>
      </c>
      <c r="G2262" s="4">
        <v>37806</v>
      </c>
      <c r="H2262" s="4"/>
      <c r="I2262" s="4"/>
      <c r="J2262" s="4">
        <f>SUM(G2262:I2262)</f>
        <v>37806</v>
      </c>
      <c r="K2262" t="s">
        <v>1659</v>
      </c>
      <c r="L2262" t="s">
        <v>1659</v>
      </c>
      <c r="M2262" t="s">
        <v>771</v>
      </c>
      <c r="N2262" t="s">
        <v>1132</v>
      </c>
      <c r="O2262" t="s">
        <v>1132</v>
      </c>
      <c r="P2262" t="str">
        <f>IFERROR(VLOOKUP(F2262,Sheet1!$A$2:$B$54,2,FALSE),"")</f>
        <v/>
      </c>
    </row>
    <row r="2263" spans="1:16" x14ac:dyDescent="0.2">
      <c r="A2263" s="1">
        <v>2022</v>
      </c>
      <c r="B2263" t="s">
        <v>274</v>
      </c>
      <c r="C2263" s="10" t="s">
        <v>1678</v>
      </c>
      <c r="D2263" s="10" t="s">
        <v>1679</v>
      </c>
      <c r="E2263" s="10" t="s">
        <v>1682</v>
      </c>
      <c r="F2263" t="s">
        <v>771</v>
      </c>
      <c r="G2263" s="4">
        <v>47061</v>
      </c>
      <c r="H2263" s="4"/>
      <c r="I2263" s="4"/>
      <c r="J2263" s="4">
        <f>SUM(G2263:I2263)</f>
        <v>47061</v>
      </c>
      <c r="K2263" t="s">
        <v>1659</v>
      </c>
      <c r="L2263" t="s">
        <v>1659</v>
      </c>
      <c r="M2263" t="s">
        <v>771</v>
      </c>
      <c r="N2263" t="s">
        <v>1132</v>
      </c>
      <c r="O2263" t="s">
        <v>1132</v>
      </c>
      <c r="P2263" t="str">
        <f>IFERROR(VLOOKUP(F2263,Sheet1!$A$2:$B$54,2,FALSE),"")</f>
        <v/>
      </c>
    </row>
    <row r="2264" spans="1:16" x14ac:dyDescent="0.2">
      <c r="A2264" s="1">
        <v>2023</v>
      </c>
      <c r="B2264" t="s">
        <v>274</v>
      </c>
      <c r="C2264" s="10" t="s">
        <v>1678</v>
      </c>
      <c r="D2264" s="10" t="s">
        <v>1679</v>
      </c>
      <c r="E2264" s="10" t="s">
        <v>1682</v>
      </c>
      <c r="F2264" t="s">
        <v>771</v>
      </c>
      <c r="G2264" s="4">
        <v>66287</v>
      </c>
      <c r="H2264" s="4"/>
      <c r="I2264" s="4"/>
      <c r="J2264" s="4">
        <f>SUM(G2264:I2264)</f>
        <v>66287</v>
      </c>
      <c r="K2264" t="s">
        <v>1659</v>
      </c>
      <c r="L2264" t="s">
        <v>1659</v>
      </c>
      <c r="M2264" t="s">
        <v>771</v>
      </c>
      <c r="N2264" t="s">
        <v>1132</v>
      </c>
      <c r="O2264" t="s">
        <v>1132</v>
      </c>
      <c r="P2264" t="str">
        <f>IFERROR(VLOOKUP(F2264,Sheet1!$A$2:$B$54,2,FALSE),"")</f>
        <v/>
      </c>
    </row>
    <row r="2265" spans="1:16" x14ac:dyDescent="0.2">
      <c r="A2265" s="1">
        <v>2015</v>
      </c>
      <c r="B2265" t="s">
        <v>275</v>
      </c>
      <c r="C2265" s="10" t="s">
        <v>1678</v>
      </c>
      <c r="D2265" s="10" t="s">
        <v>1679</v>
      </c>
      <c r="E2265" s="10" t="s">
        <v>1682</v>
      </c>
      <c r="F2265" t="s">
        <v>772</v>
      </c>
      <c r="G2265" s="4">
        <v>2567</v>
      </c>
      <c r="H2265" s="4"/>
      <c r="I2265" s="4"/>
      <c r="J2265" s="4">
        <f>SUM(G2265:I2265)</f>
        <v>2567</v>
      </c>
      <c r="K2265" t="s">
        <v>1659</v>
      </c>
      <c r="L2265" t="s">
        <v>1659</v>
      </c>
      <c r="M2265" t="s">
        <v>1346</v>
      </c>
      <c r="N2265" t="s">
        <v>1132</v>
      </c>
      <c r="O2265" t="s">
        <v>1132</v>
      </c>
      <c r="P2265" t="str">
        <f>IFERROR(VLOOKUP(F2265,Sheet1!$A$2:$B$54,2,FALSE),"")</f>
        <v/>
      </c>
    </row>
    <row r="2266" spans="1:16" x14ac:dyDescent="0.2">
      <c r="A2266" s="1">
        <v>2016</v>
      </c>
      <c r="B2266" t="s">
        <v>275</v>
      </c>
      <c r="C2266" s="10" t="s">
        <v>1678</v>
      </c>
      <c r="D2266" s="10" t="s">
        <v>1679</v>
      </c>
      <c r="E2266" s="10" t="s">
        <v>1682</v>
      </c>
      <c r="F2266" t="s">
        <v>772</v>
      </c>
      <c r="G2266" s="4">
        <v>9673</v>
      </c>
      <c r="H2266" s="4"/>
      <c r="I2266" s="4"/>
      <c r="J2266" s="4">
        <f>SUM(G2266:I2266)</f>
        <v>9673</v>
      </c>
      <c r="K2266" t="s">
        <v>1659</v>
      </c>
      <c r="L2266" t="s">
        <v>1659</v>
      </c>
      <c r="M2266" t="s">
        <v>1346</v>
      </c>
      <c r="N2266" t="s">
        <v>1132</v>
      </c>
      <c r="O2266" t="s">
        <v>1132</v>
      </c>
      <c r="P2266" t="str">
        <f>IFERROR(VLOOKUP(F2266,Sheet1!$A$2:$B$54,2,FALSE),"")</f>
        <v/>
      </c>
    </row>
    <row r="2267" spans="1:16" x14ac:dyDescent="0.2">
      <c r="A2267" s="1">
        <v>2017</v>
      </c>
      <c r="B2267" t="s">
        <v>275</v>
      </c>
      <c r="C2267" s="10" t="s">
        <v>1678</v>
      </c>
      <c r="D2267" s="10" t="s">
        <v>1679</v>
      </c>
      <c r="E2267" s="10" t="s">
        <v>1682</v>
      </c>
      <c r="F2267" t="s">
        <v>772</v>
      </c>
      <c r="G2267" s="4">
        <v>12700</v>
      </c>
      <c r="H2267" s="4"/>
      <c r="I2267" s="4"/>
      <c r="J2267" s="4">
        <f>SUM(G2267:I2267)</f>
        <v>12700</v>
      </c>
      <c r="K2267" t="s">
        <v>1659</v>
      </c>
      <c r="L2267" t="s">
        <v>1659</v>
      </c>
      <c r="M2267" t="s">
        <v>1346</v>
      </c>
      <c r="N2267" t="s">
        <v>1132</v>
      </c>
      <c r="O2267" t="s">
        <v>1132</v>
      </c>
      <c r="P2267" t="str">
        <f>IFERROR(VLOOKUP(F2267,Sheet1!$A$2:$B$54,2,FALSE),"")</f>
        <v/>
      </c>
    </row>
    <row r="2268" spans="1:16" x14ac:dyDescent="0.2">
      <c r="A2268" s="1">
        <v>2018</v>
      </c>
      <c r="B2268" t="s">
        <v>275</v>
      </c>
      <c r="C2268" s="10" t="s">
        <v>1678</v>
      </c>
      <c r="D2268" s="10" t="s">
        <v>1679</v>
      </c>
      <c r="E2268" s="10" t="s">
        <v>1682</v>
      </c>
      <c r="F2268" t="s">
        <v>772</v>
      </c>
      <c r="G2268" s="4">
        <v>17982</v>
      </c>
      <c r="H2268" s="4"/>
      <c r="I2268" s="4"/>
      <c r="J2268" s="4">
        <f>SUM(G2268:I2268)</f>
        <v>17982</v>
      </c>
      <c r="K2268" t="s">
        <v>1659</v>
      </c>
      <c r="L2268" t="s">
        <v>1659</v>
      </c>
      <c r="M2268" t="s">
        <v>1346</v>
      </c>
      <c r="N2268" t="s">
        <v>1132</v>
      </c>
      <c r="O2268" t="s">
        <v>1132</v>
      </c>
      <c r="P2268" t="str">
        <f>IFERROR(VLOOKUP(F2268,Sheet1!$A$2:$B$54,2,FALSE),"")</f>
        <v/>
      </c>
    </row>
    <row r="2269" spans="1:16" x14ac:dyDescent="0.2">
      <c r="A2269" s="1">
        <v>2019</v>
      </c>
      <c r="B2269" t="s">
        <v>275</v>
      </c>
      <c r="C2269" s="10" t="s">
        <v>1678</v>
      </c>
      <c r="D2269" s="10" t="s">
        <v>1679</v>
      </c>
      <c r="E2269" s="10" t="s">
        <v>1682</v>
      </c>
      <c r="F2269" t="s">
        <v>772</v>
      </c>
      <c r="G2269" s="4">
        <v>21808</v>
      </c>
      <c r="H2269" s="4"/>
      <c r="I2269" s="4"/>
      <c r="J2269" s="4">
        <f>SUM(G2269:I2269)</f>
        <v>21808</v>
      </c>
      <c r="K2269" t="s">
        <v>1659</v>
      </c>
      <c r="L2269" t="s">
        <v>1659</v>
      </c>
      <c r="M2269" t="s">
        <v>1346</v>
      </c>
      <c r="N2269" t="s">
        <v>1132</v>
      </c>
      <c r="O2269" t="s">
        <v>1132</v>
      </c>
      <c r="P2269" t="str">
        <f>IFERROR(VLOOKUP(F2269,Sheet1!$A$2:$B$54,2,FALSE),"")</f>
        <v/>
      </c>
    </row>
    <row r="2270" spans="1:16" x14ac:dyDescent="0.2">
      <c r="A2270" s="1">
        <v>2020</v>
      </c>
      <c r="B2270" t="s">
        <v>275</v>
      </c>
      <c r="C2270" s="10" t="s">
        <v>1678</v>
      </c>
      <c r="D2270" s="10" t="s">
        <v>1679</v>
      </c>
      <c r="E2270" s="10" t="s">
        <v>1682</v>
      </c>
      <c r="F2270" t="s">
        <v>772</v>
      </c>
      <c r="G2270" s="4">
        <v>19409</v>
      </c>
      <c r="H2270" s="4"/>
      <c r="I2270" s="4"/>
      <c r="J2270" s="4">
        <f>SUM(G2270:I2270)</f>
        <v>19409</v>
      </c>
      <c r="K2270" t="s">
        <v>1659</v>
      </c>
      <c r="L2270" t="s">
        <v>1659</v>
      </c>
      <c r="M2270" t="s">
        <v>1346</v>
      </c>
      <c r="N2270" t="s">
        <v>1132</v>
      </c>
      <c r="O2270" t="s">
        <v>1132</v>
      </c>
      <c r="P2270" t="str">
        <f>IFERROR(VLOOKUP(F2270,Sheet1!$A$2:$B$54,2,FALSE),"")</f>
        <v/>
      </c>
    </row>
    <row r="2271" spans="1:16" x14ac:dyDescent="0.2">
      <c r="A2271" s="1">
        <v>2021</v>
      </c>
      <c r="B2271" t="s">
        <v>275</v>
      </c>
      <c r="C2271" s="10" t="s">
        <v>1678</v>
      </c>
      <c r="D2271" s="10" t="s">
        <v>1679</v>
      </c>
      <c r="E2271" s="10" t="s">
        <v>1682</v>
      </c>
      <c r="F2271" t="s">
        <v>772</v>
      </c>
      <c r="G2271" s="4">
        <v>28426</v>
      </c>
      <c r="H2271" s="4"/>
      <c r="I2271" s="4"/>
      <c r="J2271" s="4">
        <f>SUM(G2271:I2271)</f>
        <v>28426</v>
      </c>
      <c r="K2271" t="s">
        <v>1659</v>
      </c>
      <c r="L2271" t="s">
        <v>1659</v>
      </c>
      <c r="M2271" t="s">
        <v>772</v>
      </c>
      <c r="N2271" t="s">
        <v>1132</v>
      </c>
      <c r="O2271" t="s">
        <v>1132</v>
      </c>
      <c r="P2271" t="str">
        <f>IFERROR(VLOOKUP(F2271,Sheet1!$A$2:$B$54,2,FALSE),"")</f>
        <v/>
      </c>
    </row>
    <row r="2272" spans="1:16" x14ac:dyDescent="0.2">
      <c r="A2272" s="1">
        <v>2022</v>
      </c>
      <c r="B2272" t="s">
        <v>275</v>
      </c>
      <c r="C2272" s="10" t="s">
        <v>1678</v>
      </c>
      <c r="D2272" s="10" t="s">
        <v>1679</v>
      </c>
      <c r="E2272" s="10" t="s">
        <v>1682</v>
      </c>
      <c r="F2272" t="s">
        <v>772</v>
      </c>
      <c r="G2272" s="4">
        <v>38398</v>
      </c>
      <c r="H2272" s="4"/>
      <c r="I2272" s="4"/>
      <c r="J2272" s="4">
        <f>SUM(G2272:I2272)</f>
        <v>38398</v>
      </c>
      <c r="K2272" t="s">
        <v>1659</v>
      </c>
      <c r="L2272" t="s">
        <v>1659</v>
      </c>
      <c r="M2272" t="s">
        <v>772</v>
      </c>
      <c r="N2272" t="s">
        <v>1132</v>
      </c>
      <c r="O2272" t="s">
        <v>1132</v>
      </c>
      <c r="P2272" t="str">
        <f>IFERROR(VLOOKUP(F2272,Sheet1!$A$2:$B$54,2,FALSE),"")</f>
        <v/>
      </c>
    </row>
    <row r="2273" spans="1:16" x14ac:dyDescent="0.2">
      <c r="A2273" s="1">
        <v>2023</v>
      </c>
      <c r="B2273" t="s">
        <v>275</v>
      </c>
      <c r="C2273" s="10" t="s">
        <v>1678</v>
      </c>
      <c r="D2273" s="10" t="s">
        <v>1679</v>
      </c>
      <c r="E2273" s="10" t="s">
        <v>1682</v>
      </c>
      <c r="F2273" t="s">
        <v>772</v>
      </c>
      <c r="G2273" s="4">
        <v>52826</v>
      </c>
      <c r="H2273" s="4"/>
      <c r="I2273" s="4"/>
      <c r="J2273" s="4">
        <f>SUM(G2273:I2273)</f>
        <v>52826</v>
      </c>
      <c r="K2273" t="s">
        <v>1659</v>
      </c>
      <c r="L2273" t="s">
        <v>1659</v>
      </c>
      <c r="M2273" t="s">
        <v>772</v>
      </c>
      <c r="N2273" t="s">
        <v>1132</v>
      </c>
      <c r="O2273" t="s">
        <v>1132</v>
      </c>
      <c r="P2273" t="str">
        <f>IFERROR(VLOOKUP(F2273,Sheet1!$A$2:$B$54,2,FALSE),"")</f>
        <v/>
      </c>
    </row>
    <row r="2274" spans="1:16" x14ac:dyDescent="0.2">
      <c r="A2274" s="1">
        <v>2015</v>
      </c>
      <c r="B2274" t="s">
        <v>276</v>
      </c>
      <c r="C2274" s="10" t="s">
        <v>1678</v>
      </c>
      <c r="D2274" s="10" t="s">
        <v>1679</v>
      </c>
      <c r="E2274" s="10" t="s">
        <v>1682</v>
      </c>
      <c r="F2274" t="s">
        <v>773</v>
      </c>
      <c r="G2274" s="4">
        <v>352938</v>
      </c>
      <c r="H2274" s="4"/>
      <c r="I2274" s="4"/>
      <c r="J2274" s="4">
        <f>SUM(G2274:I2274)</f>
        <v>352938</v>
      </c>
      <c r="K2274" t="s">
        <v>1659</v>
      </c>
      <c r="L2274" t="s">
        <v>1659</v>
      </c>
      <c r="M2274" t="s">
        <v>1347</v>
      </c>
      <c r="N2274" t="s">
        <v>1132</v>
      </c>
      <c r="O2274" t="s">
        <v>1132</v>
      </c>
      <c r="P2274" t="str">
        <f>IFERROR(VLOOKUP(F2274,Sheet1!$A$2:$B$54,2,FALSE),"")</f>
        <v/>
      </c>
    </row>
    <row r="2275" spans="1:16" x14ac:dyDescent="0.2">
      <c r="A2275" s="1">
        <v>2016</v>
      </c>
      <c r="B2275" t="s">
        <v>276</v>
      </c>
      <c r="C2275" s="10" t="s">
        <v>1678</v>
      </c>
      <c r="D2275" s="10" t="s">
        <v>1679</v>
      </c>
      <c r="E2275" s="10" t="s">
        <v>1682</v>
      </c>
      <c r="F2275" t="s">
        <v>773</v>
      </c>
      <c r="G2275" s="4">
        <v>455318</v>
      </c>
      <c r="H2275" s="4"/>
      <c r="I2275" s="4"/>
      <c r="J2275" s="4">
        <f>SUM(G2275:I2275)</f>
        <v>455318</v>
      </c>
      <c r="K2275" t="s">
        <v>1659</v>
      </c>
      <c r="L2275" t="s">
        <v>1659</v>
      </c>
      <c r="M2275" t="s">
        <v>1347</v>
      </c>
      <c r="N2275" t="s">
        <v>1132</v>
      </c>
      <c r="O2275" t="s">
        <v>1132</v>
      </c>
      <c r="P2275" t="str">
        <f>IFERROR(VLOOKUP(F2275,Sheet1!$A$2:$B$54,2,FALSE),"")</f>
        <v/>
      </c>
    </row>
    <row r="2276" spans="1:16" x14ac:dyDescent="0.2">
      <c r="A2276" s="1">
        <v>2017</v>
      </c>
      <c r="B2276" t="s">
        <v>276</v>
      </c>
      <c r="C2276" s="10" t="s">
        <v>1678</v>
      </c>
      <c r="D2276" s="10" t="s">
        <v>1679</v>
      </c>
      <c r="E2276" s="10" t="s">
        <v>1682</v>
      </c>
      <c r="F2276" t="s">
        <v>773</v>
      </c>
      <c r="G2276" s="4">
        <v>545632</v>
      </c>
      <c r="H2276" s="4"/>
      <c r="I2276" s="4"/>
      <c r="J2276" s="4">
        <f>SUM(G2276:I2276)</f>
        <v>545632</v>
      </c>
      <c r="K2276" t="s">
        <v>1659</v>
      </c>
      <c r="L2276" t="s">
        <v>1659</v>
      </c>
      <c r="M2276" t="s">
        <v>1347</v>
      </c>
      <c r="N2276" t="s">
        <v>1132</v>
      </c>
      <c r="O2276" t="s">
        <v>1132</v>
      </c>
      <c r="P2276" t="str">
        <f>IFERROR(VLOOKUP(F2276,Sheet1!$A$2:$B$54,2,FALSE),"")</f>
        <v/>
      </c>
    </row>
    <row r="2277" spans="1:16" x14ac:dyDescent="0.2">
      <c r="A2277" s="1">
        <v>2018</v>
      </c>
      <c r="B2277" t="s">
        <v>276</v>
      </c>
      <c r="C2277" s="10" t="s">
        <v>1678</v>
      </c>
      <c r="D2277" s="10" t="s">
        <v>1679</v>
      </c>
      <c r="E2277" s="10" t="s">
        <v>1682</v>
      </c>
      <c r="F2277" t="s">
        <v>773</v>
      </c>
      <c r="G2277" s="4">
        <v>687616</v>
      </c>
      <c r="H2277" s="4"/>
      <c r="I2277" s="4"/>
      <c r="J2277" s="4">
        <f>SUM(G2277:I2277)</f>
        <v>687616</v>
      </c>
      <c r="K2277" t="s">
        <v>1659</v>
      </c>
      <c r="L2277" t="s">
        <v>1659</v>
      </c>
      <c r="M2277" t="s">
        <v>1347</v>
      </c>
      <c r="N2277" t="s">
        <v>1132</v>
      </c>
      <c r="O2277" t="s">
        <v>1132</v>
      </c>
      <c r="P2277" t="str">
        <f>IFERROR(VLOOKUP(F2277,Sheet1!$A$2:$B$54,2,FALSE),"")</f>
        <v/>
      </c>
    </row>
    <row r="2278" spans="1:16" x14ac:dyDescent="0.2">
      <c r="A2278" s="1">
        <v>2019</v>
      </c>
      <c r="B2278" t="s">
        <v>276</v>
      </c>
      <c r="C2278" s="10" t="s">
        <v>1678</v>
      </c>
      <c r="D2278" s="10" t="s">
        <v>1679</v>
      </c>
      <c r="E2278" s="10" t="s">
        <v>1682</v>
      </c>
      <c r="F2278" t="s">
        <v>773</v>
      </c>
      <c r="G2278" s="4">
        <v>815172</v>
      </c>
      <c r="H2278" s="4"/>
      <c r="I2278" s="4"/>
      <c r="J2278" s="4">
        <f>SUM(G2278:I2278)</f>
        <v>815172</v>
      </c>
      <c r="K2278" t="s">
        <v>1659</v>
      </c>
      <c r="L2278" t="s">
        <v>1659</v>
      </c>
      <c r="M2278" t="s">
        <v>1347</v>
      </c>
      <c r="N2278" t="s">
        <v>1132</v>
      </c>
      <c r="O2278" t="s">
        <v>1132</v>
      </c>
      <c r="P2278" t="str">
        <f>IFERROR(VLOOKUP(F2278,Sheet1!$A$2:$B$54,2,FALSE),"")</f>
        <v/>
      </c>
    </row>
    <row r="2279" spans="1:16" x14ac:dyDescent="0.2">
      <c r="A2279" s="1">
        <v>2020</v>
      </c>
      <c r="B2279" t="s">
        <v>276</v>
      </c>
      <c r="C2279" s="10" t="s">
        <v>1678</v>
      </c>
      <c r="D2279" s="10" t="s">
        <v>1679</v>
      </c>
      <c r="E2279" s="10" t="s">
        <v>1682</v>
      </c>
      <c r="F2279" t="s">
        <v>773</v>
      </c>
      <c r="G2279" s="4">
        <v>877144</v>
      </c>
      <c r="H2279" s="4">
        <v>0</v>
      </c>
      <c r="I2279" s="4"/>
      <c r="J2279" s="4">
        <f>SUM(G2279:I2279)</f>
        <v>877144</v>
      </c>
      <c r="K2279" t="s">
        <v>1660</v>
      </c>
      <c r="L2279" t="s">
        <v>1659</v>
      </c>
      <c r="M2279" t="s">
        <v>1347</v>
      </c>
      <c r="N2279" t="s">
        <v>1347</v>
      </c>
      <c r="O2279" t="s">
        <v>1132</v>
      </c>
      <c r="P2279" t="str">
        <f>IFERROR(VLOOKUP(F2279,Sheet1!$A$2:$B$54,2,FALSE),"")</f>
        <v/>
      </c>
    </row>
    <row r="2280" spans="1:16" x14ac:dyDescent="0.2">
      <c r="A2280" s="1">
        <v>2021</v>
      </c>
      <c r="B2280" t="s">
        <v>276</v>
      </c>
      <c r="C2280" s="10" t="s">
        <v>1678</v>
      </c>
      <c r="D2280" s="10" t="s">
        <v>1679</v>
      </c>
      <c r="E2280" s="10" t="s">
        <v>1682</v>
      </c>
      <c r="F2280" t="s">
        <v>773</v>
      </c>
      <c r="G2280" s="4">
        <v>1018504</v>
      </c>
      <c r="H2280" s="4"/>
      <c r="I2280" s="4"/>
      <c r="J2280" s="4">
        <f>SUM(G2280:I2280)</f>
        <v>1018504</v>
      </c>
      <c r="K2280" t="s">
        <v>1659</v>
      </c>
      <c r="L2280" t="s">
        <v>1659</v>
      </c>
      <c r="M2280" t="s">
        <v>773</v>
      </c>
      <c r="N2280" t="s">
        <v>1132</v>
      </c>
      <c r="O2280" t="s">
        <v>1132</v>
      </c>
      <c r="P2280" t="str">
        <f>IFERROR(VLOOKUP(F2280,Sheet1!$A$2:$B$54,2,FALSE),"")</f>
        <v/>
      </c>
    </row>
    <row r="2281" spans="1:16" x14ac:dyDescent="0.2">
      <c r="A2281" s="1">
        <v>2022</v>
      </c>
      <c r="B2281" t="s">
        <v>276</v>
      </c>
      <c r="C2281" s="10" t="s">
        <v>1678</v>
      </c>
      <c r="D2281" s="10" t="s">
        <v>1679</v>
      </c>
      <c r="E2281" s="10" t="s">
        <v>1682</v>
      </c>
      <c r="F2281" t="s">
        <v>773</v>
      </c>
      <c r="G2281" s="4">
        <v>1278232</v>
      </c>
      <c r="H2281" s="4">
        <v>0</v>
      </c>
      <c r="I2281" s="4"/>
      <c r="J2281" s="4">
        <f>SUM(G2281:I2281)</f>
        <v>1278232</v>
      </c>
      <c r="K2281" t="s">
        <v>1660</v>
      </c>
      <c r="L2281" t="s">
        <v>1659</v>
      </c>
      <c r="M2281" t="s">
        <v>773</v>
      </c>
      <c r="N2281" t="s">
        <v>773</v>
      </c>
      <c r="O2281" t="s">
        <v>1132</v>
      </c>
      <c r="P2281" t="str">
        <f>IFERROR(VLOOKUP(F2281,Sheet1!$A$2:$B$54,2,FALSE),"")</f>
        <v/>
      </c>
    </row>
    <row r="2282" spans="1:16" x14ac:dyDescent="0.2">
      <c r="A2282" s="1">
        <v>2023</v>
      </c>
      <c r="B2282" t="s">
        <v>276</v>
      </c>
      <c r="C2282" s="10" t="s">
        <v>1678</v>
      </c>
      <c r="D2282" s="10" t="s">
        <v>1679</v>
      </c>
      <c r="E2282" s="10" t="s">
        <v>1682</v>
      </c>
      <c r="F2282" t="s">
        <v>773</v>
      </c>
      <c r="G2282" s="4">
        <v>1615150</v>
      </c>
      <c r="H2282" s="4"/>
      <c r="I2282" s="4"/>
      <c r="J2282" s="4">
        <f>SUM(G2282:I2282)</f>
        <v>1615150</v>
      </c>
      <c r="K2282" t="s">
        <v>1659</v>
      </c>
      <c r="L2282" t="s">
        <v>1659</v>
      </c>
      <c r="M2282" t="s">
        <v>773</v>
      </c>
      <c r="N2282" t="s">
        <v>1132</v>
      </c>
      <c r="O2282" t="s">
        <v>1132</v>
      </c>
      <c r="P2282" t="str">
        <f>IFERROR(VLOOKUP(F2282,Sheet1!$A$2:$B$54,2,FALSE),"")</f>
        <v/>
      </c>
    </row>
    <row r="2283" spans="1:16" x14ac:dyDescent="0.2">
      <c r="A2283" s="1">
        <v>2015</v>
      </c>
      <c r="B2283" t="s">
        <v>277</v>
      </c>
      <c r="C2283" s="10" t="s">
        <v>1678</v>
      </c>
      <c r="D2283" s="10" t="s">
        <v>1679</v>
      </c>
      <c r="E2283" s="10" t="s">
        <v>1682</v>
      </c>
      <c r="F2283" t="s">
        <v>774</v>
      </c>
      <c r="G2283" s="4">
        <v>12438</v>
      </c>
      <c r="H2283" s="4"/>
      <c r="I2283" s="4"/>
      <c r="J2283" s="4">
        <f>SUM(G2283:I2283)</f>
        <v>12438</v>
      </c>
      <c r="K2283" t="s">
        <v>1659</v>
      </c>
      <c r="L2283" t="s">
        <v>1659</v>
      </c>
      <c r="M2283" t="s">
        <v>1348</v>
      </c>
      <c r="N2283" t="s">
        <v>1132</v>
      </c>
      <c r="O2283" t="s">
        <v>1132</v>
      </c>
      <c r="P2283" t="str">
        <f>IFERROR(VLOOKUP(F2283,Sheet1!$A$2:$B$54,2,FALSE),"")</f>
        <v/>
      </c>
    </row>
    <row r="2284" spans="1:16" x14ac:dyDescent="0.2">
      <c r="A2284" s="1">
        <v>2016</v>
      </c>
      <c r="B2284" t="s">
        <v>277</v>
      </c>
      <c r="C2284" s="10" t="s">
        <v>1678</v>
      </c>
      <c r="D2284" s="10" t="s">
        <v>1679</v>
      </c>
      <c r="E2284" s="10" t="s">
        <v>1682</v>
      </c>
      <c r="F2284" t="s">
        <v>774</v>
      </c>
      <c r="G2284" s="4">
        <v>16204</v>
      </c>
      <c r="H2284" s="4"/>
      <c r="I2284" s="4"/>
      <c r="J2284" s="4">
        <f>SUM(G2284:I2284)</f>
        <v>16204</v>
      </c>
      <c r="K2284" t="s">
        <v>1659</v>
      </c>
      <c r="L2284" t="s">
        <v>1659</v>
      </c>
      <c r="M2284" t="s">
        <v>1348</v>
      </c>
      <c r="N2284" t="s">
        <v>1132</v>
      </c>
      <c r="O2284" t="s">
        <v>1132</v>
      </c>
      <c r="P2284" t="str">
        <f>IFERROR(VLOOKUP(F2284,Sheet1!$A$2:$B$54,2,FALSE),"")</f>
        <v/>
      </c>
    </row>
    <row r="2285" spans="1:16" x14ac:dyDescent="0.2">
      <c r="A2285" s="1">
        <v>2017</v>
      </c>
      <c r="B2285" t="s">
        <v>277</v>
      </c>
      <c r="C2285" s="10" t="s">
        <v>1678</v>
      </c>
      <c r="D2285" s="10" t="s">
        <v>1679</v>
      </c>
      <c r="E2285" s="10" t="s">
        <v>1682</v>
      </c>
      <c r="F2285" t="s">
        <v>774</v>
      </c>
      <c r="G2285" s="4">
        <v>26611</v>
      </c>
      <c r="H2285" s="4"/>
      <c r="I2285" s="4"/>
      <c r="J2285" s="4">
        <f>SUM(G2285:I2285)</f>
        <v>26611</v>
      </c>
      <c r="K2285" t="s">
        <v>1659</v>
      </c>
      <c r="L2285" t="s">
        <v>1659</v>
      </c>
      <c r="M2285" t="s">
        <v>1348</v>
      </c>
      <c r="N2285" t="s">
        <v>1132</v>
      </c>
      <c r="O2285" t="s">
        <v>1132</v>
      </c>
      <c r="P2285" t="str">
        <f>IFERROR(VLOOKUP(F2285,Sheet1!$A$2:$B$54,2,FALSE),"")</f>
        <v/>
      </c>
    </row>
    <row r="2286" spans="1:16" x14ac:dyDescent="0.2">
      <c r="A2286" s="1">
        <v>2018</v>
      </c>
      <c r="B2286" t="s">
        <v>277</v>
      </c>
      <c r="C2286" s="10" t="s">
        <v>1678</v>
      </c>
      <c r="D2286" s="10" t="s">
        <v>1679</v>
      </c>
      <c r="E2286" s="10" t="s">
        <v>1682</v>
      </c>
      <c r="F2286" t="s">
        <v>774</v>
      </c>
      <c r="G2286" s="4">
        <v>22092</v>
      </c>
      <c r="H2286" s="4"/>
      <c r="I2286" s="4"/>
      <c r="J2286" s="4">
        <f>SUM(G2286:I2286)</f>
        <v>22092</v>
      </c>
      <c r="K2286" t="s">
        <v>1659</v>
      </c>
      <c r="L2286" t="s">
        <v>1659</v>
      </c>
      <c r="M2286" t="s">
        <v>1348</v>
      </c>
      <c r="N2286" t="s">
        <v>1132</v>
      </c>
      <c r="O2286" t="s">
        <v>1132</v>
      </c>
      <c r="P2286" t="str">
        <f>IFERROR(VLOOKUP(F2286,Sheet1!$A$2:$B$54,2,FALSE),"")</f>
        <v/>
      </c>
    </row>
    <row r="2287" spans="1:16" x14ac:dyDescent="0.2">
      <c r="A2287" s="1">
        <v>2019</v>
      </c>
      <c r="B2287" t="s">
        <v>277</v>
      </c>
      <c r="C2287" s="10" t="s">
        <v>1678</v>
      </c>
      <c r="D2287" s="10" t="s">
        <v>1679</v>
      </c>
      <c r="E2287" s="10" t="s">
        <v>1682</v>
      </c>
      <c r="F2287" t="s">
        <v>774</v>
      </c>
      <c r="G2287" s="4">
        <v>23254</v>
      </c>
      <c r="H2287" s="4"/>
      <c r="I2287" s="4"/>
      <c r="J2287" s="4">
        <f>SUM(G2287:I2287)</f>
        <v>23254</v>
      </c>
      <c r="K2287" t="s">
        <v>1659</v>
      </c>
      <c r="L2287" t="s">
        <v>1659</v>
      </c>
      <c r="M2287" t="s">
        <v>1348</v>
      </c>
      <c r="N2287" t="s">
        <v>1132</v>
      </c>
      <c r="O2287" t="s">
        <v>1132</v>
      </c>
      <c r="P2287" t="str">
        <f>IFERROR(VLOOKUP(F2287,Sheet1!$A$2:$B$54,2,FALSE),"")</f>
        <v/>
      </c>
    </row>
    <row r="2288" spans="1:16" x14ac:dyDescent="0.2">
      <c r="A2288" s="1">
        <v>2020</v>
      </c>
      <c r="B2288" t="s">
        <v>277</v>
      </c>
      <c r="C2288" s="10" t="s">
        <v>1678</v>
      </c>
      <c r="D2288" s="10" t="s">
        <v>1679</v>
      </c>
      <c r="E2288" s="10" t="s">
        <v>1682</v>
      </c>
      <c r="F2288" t="s">
        <v>774</v>
      </c>
      <c r="G2288" s="4">
        <v>19390</v>
      </c>
      <c r="H2288" s="4"/>
      <c r="I2288" s="4"/>
      <c r="J2288" s="4">
        <f>SUM(G2288:I2288)</f>
        <v>19390</v>
      </c>
      <c r="K2288" t="s">
        <v>1659</v>
      </c>
      <c r="L2288" t="s">
        <v>1659</v>
      </c>
      <c r="M2288" t="s">
        <v>1348</v>
      </c>
      <c r="N2288" t="s">
        <v>1132</v>
      </c>
      <c r="O2288" t="s">
        <v>1132</v>
      </c>
      <c r="P2288" t="str">
        <f>IFERROR(VLOOKUP(F2288,Sheet1!$A$2:$B$54,2,FALSE),"")</f>
        <v/>
      </c>
    </row>
    <row r="2289" spans="1:16" x14ac:dyDescent="0.2">
      <c r="A2289" s="1">
        <v>2021</v>
      </c>
      <c r="B2289" t="s">
        <v>277</v>
      </c>
      <c r="C2289" s="10" t="s">
        <v>1678</v>
      </c>
      <c r="D2289" s="10" t="s">
        <v>1679</v>
      </c>
      <c r="E2289" s="10" t="s">
        <v>1682</v>
      </c>
      <c r="F2289" t="s">
        <v>774</v>
      </c>
      <c r="G2289" s="4">
        <v>21119</v>
      </c>
      <c r="H2289" s="4">
        <v>68</v>
      </c>
      <c r="I2289" s="4"/>
      <c r="J2289" s="4">
        <f>SUM(G2289:I2289)</f>
        <v>21187</v>
      </c>
      <c r="K2289" t="s">
        <v>1660</v>
      </c>
      <c r="L2289" t="s">
        <v>1659</v>
      </c>
      <c r="M2289" t="s">
        <v>774</v>
      </c>
      <c r="N2289" t="s">
        <v>774</v>
      </c>
      <c r="O2289" t="s">
        <v>1132</v>
      </c>
      <c r="P2289" t="str">
        <f>IFERROR(VLOOKUP(F2289,Sheet1!$A$2:$B$54,2,FALSE),"")</f>
        <v/>
      </c>
    </row>
    <row r="2290" spans="1:16" x14ac:dyDescent="0.2">
      <c r="A2290" s="1">
        <v>2022</v>
      </c>
      <c r="B2290" t="s">
        <v>277</v>
      </c>
      <c r="C2290" s="10" t="s">
        <v>1678</v>
      </c>
      <c r="D2290" s="10" t="s">
        <v>1679</v>
      </c>
      <c r="E2290" s="10" t="s">
        <v>1682</v>
      </c>
      <c r="F2290" t="s">
        <v>774</v>
      </c>
      <c r="G2290" s="4">
        <v>27992</v>
      </c>
      <c r="H2290" s="4">
        <v>0</v>
      </c>
      <c r="I2290" s="4"/>
      <c r="J2290" s="4">
        <f>SUM(G2290:I2290)</f>
        <v>27992</v>
      </c>
      <c r="K2290" t="s">
        <v>1660</v>
      </c>
      <c r="L2290" t="s">
        <v>1659</v>
      </c>
      <c r="M2290" t="s">
        <v>774</v>
      </c>
      <c r="N2290" t="s">
        <v>774</v>
      </c>
      <c r="O2290" t="s">
        <v>1132</v>
      </c>
      <c r="P2290" t="str">
        <f>IFERROR(VLOOKUP(F2290,Sheet1!$A$2:$B$54,2,FALSE),"")</f>
        <v/>
      </c>
    </row>
    <row r="2291" spans="1:16" x14ac:dyDescent="0.2">
      <c r="A2291" s="1">
        <v>2023</v>
      </c>
      <c r="B2291" t="s">
        <v>277</v>
      </c>
      <c r="C2291" s="10" t="s">
        <v>1678</v>
      </c>
      <c r="D2291" s="10" t="s">
        <v>1679</v>
      </c>
      <c r="E2291" s="10" t="s">
        <v>1682</v>
      </c>
      <c r="F2291" t="s">
        <v>774</v>
      </c>
      <c r="G2291" s="4">
        <v>62145</v>
      </c>
      <c r="H2291" s="4">
        <v>0</v>
      </c>
      <c r="I2291" s="4"/>
      <c r="J2291" s="4">
        <f>SUM(G2291:I2291)</f>
        <v>62145</v>
      </c>
      <c r="K2291" t="s">
        <v>1660</v>
      </c>
      <c r="L2291" t="s">
        <v>1659</v>
      </c>
      <c r="M2291" t="s">
        <v>774</v>
      </c>
      <c r="N2291" t="s">
        <v>774</v>
      </c>
      <c r="O2291" t="s">
        <v>1132</v>
      </c>
      <c r="P2291" t="str">
        <f>IFERROR(VLOOKUP(F2291,Sheet1!$A$2:$B$54,2,FALSE),"")</f>
        <v/>
      </c>
    </row>
    <row r="2292" spans="1:16" x14ac:dyDescent="0.2">
      <c r="A2292" s="1">
        <v>2015</v>
      </c>
      <c r="B2292" t="s">
        <v>278</v>
      </c>
      <c r="C2292" s="10" t="s">
        <v>1678</v>
      </c>
      <c r="D2292" s="10" t="s">
        <v>1679</v>
      </c>
      <c r="E2292" s="10" t="s">
        <v>1682</v>
      </c>
      <c r="F2292" t="s">
        <v>775</v>
      </c>
      <c r="G2292" s="4">
        <v>5762</v>
      </c>
      <c r="H2292" s="4"/>
      <c r="I2292" s="4"/>
      <c r="J2292" s="4">
        <f>SUM(G2292:I2292)</f>
        <v>5762</v>
      </c>
      <c r="K2292" t="s">
        <v>1659</v>
      </c>
      <c r="L2292" t="s">
        <v>1659</v>
      </c>
      <c r="M2292" t="s">
        <v>1349</v>
      </c>
      <c r="N2292" t="s">
        <v>1132</v>
      </c>
      <c r="O2292" t="s">
        <v>1132</v>
      </c>
      <c r="P2292" t="str">
        <f>IFERROR(VLOOKUP(F2292,Sheet1!$A$2:$B$54,2,FALSE),"")</f>
        <v/>
      </c>
    </row>
    <row r="2293" spans="1:16" x14ac:dyDescent="0.2">
      <c r="A2293" s="1">
        <v>2016</v>
      </c>
      <c r="B2293" t="s">
        <v>278</v>
      </c>
      <c r="C2293" s="10" t="s">
        <v>1678</v>
      </c>
      <c r="D2293" s="10" t="s">
        <v>1679</v>
      </c>
      <c r="E2293" s="10" t="s">
        <v>1682</v>
      </c>
      <c r="F2293" t="s">
        <v>775</v>
      </c>
      <c r="G2293" s="4">
        <v>9544</v>
      </c>
      <c r="H2293" s="4"/>
      <c r="I2293" s="4"/>
      <c r="J2293" s="4">
        <f>SUM(G2293:I2293)</f>
        <v>9544</v>
      </c>
      <c r="K2293" t="s">
        <v>1659</v>
      </c>
      <c r="L2293" t="s">
        <v>1659</v>
      </c>
      <c r="M2293" t="s">
        <v>1349</v>
      </c>
      <c r="N2293" t="s">
        <v>1132</v>
      </c>
      <c r="O2293" t="s">
        <v>1132</v>
      </c>
      <c r="P2293" t="str">
        <f>IFERROR(VLOOKUP(F2293,Sheet1!$A$2:$B$54,2,FALSE),"")</f>
        <v/>
      </c>
    </row>
    <row r="2294" spans="1:16" x14ac:dyDescent="0.2">
      <c r="A2294" s="1">
        <v>2017</v>
      </c>
      <c r="B2294" t="s">
        <v>278</v>
      </c>
      <c r="C2294" s="10" t="s">
        <v>1678</v>
      </c>
      <c r="D2294" s="10" t="s">
        <v>1679</v>
      </c>
      <c r="E2294" s="10" t="s">
        <v>1682</v>
      </c>
      <c r="F2294" t="s">
        <v>775</v>
      </c>
      <c r="G2294" s="4">
        <v>12513</v>
      </c>
      <c r="H2294" s="4"/>
      <c r="I2294" s="4"/>
      <c r="J2294" s="4">
        <f>SUM(G2294:I2294)</f>
        <v>12513</v>
      </c>
      <c r="K2294" t="s">
        <v>1659</v>
      </c>
      <c r="L2294" t="s">
        <v>1659</v>
      </c>
      <c r="M2294" t="s">
        <v>1349</v>
      </c>
      <c r="N2294" t="s">
        <v>1132</v>
      </c>
      <c r="O2294" t="s">
        <v>1132</v>
      </c>
      <c r="P2294" t="str">
        <f>IFERROR(VLOOKUP(F2294,Sheet1!$A$2:$B$54,2,FALSE),"")</f>
        <v/>
      </c>
    </row>
    <row r="2295" spans="1:16" x14ac:dyDescent="0.2">
      <c r="A2295" s="1">
        <v>2018</v>
      </c>
      <c r="B2295" t="s">
        <v>278</v>
      </c>
      <c r="C2295" s="10" t="s">
        <v>1678</v>
      </c>
      <c r="D2295" s="10" t="s">
        <v>1679</v>
      </c>
      <c r="E2295" s="10" t="s">
        <v>1682</v>
      </c>
      <c r="F2295" t="s">
        <v>775</v>
      </c>
      <c r="G2295" s="4">
        <v>12030</v>
      </c>
      <c r="H2295" s="4"/>
      <c r="I2295" s="4"/>
      <c r="J2295" s="4">
        <f>SUM(G2295:I2295)</f>
        <v>12030</v>
      </c>
      <c r="K2295" t="s">
        <v>1659</v>
      </c>
      <c r="L2295" t="s">
        <v>1659</v>
      </c>
      <c r="M2295" t="s">
        <v>1349</v>
      </c>
      <c r="N2295" t="s">
        <v>1132</v>
      </c>
      <c r="O2295" t="s">
        <v>1132</v>
      </c>
      <c r="P2295" t="str">
        <f>IFERROR(VLOOKUP(F2295,Sheet1!$A$2:$B$54,2,FALSE),"")</f>
        <v/>
      </c>
    </row>
    <row r="2296" spans="1:16" x14ac:dyDescent="0.2">
      <c r="A2296" s="1">
        <v>2019</v>
      </c>
      <c r="B2296" t="s">
        <v>278</v>
      </c>
      <c r="C2296" s="10" t="s">
        <v>1678</v>
      </c>
      <c r="D2296" s="10" t="s">
        <v>1679</v>
      </c>
      <c r="E2296" s="10" t="s">
        <v>1682</v>
      </c>
      <c r="F2296" t="s">
        <v>775</v>
      </c>
      <c r="G2296" s="4">
        <v>14664</v>
      </c>
      <c r="H2296" s="4"/>
      <c r="I2296" s="4"/>
      <c r="J2296" s="4">
        <f>SUM(G2296:I2296)</f>
        <v>14664</v>
      </c>
      <c r="K2296" t="s">
        <v>1659</v>
      </c>
      <c r="L2296" t="s">
        <v>1659</v>
      </c>
      <c r="M2296" t="s">
        <v>1349</v>
      </c>
      <c r="N2296" t="s">
        <v>1132</v>
      </c>
      <c r="O2296" t="s">
        <v>1132</v>
      </c>
      <c r="P2296" t="str">
        <f>IFERROR(VLOOKUP(F2296,Sheet1!$A$2:$B$54,2,FALSE),"")</f>
        <v/>
      </c>
    </row>
    <row r="2297" spans="1:16" x14ac:dyDescent="0.2">
      <c r="A2297" s="1">
        <v>2020</v>
      </c>
      <c r="B2297" t="s">
        <v>278</v>
      </c>
      <c r="C2297" s="10" t="s">
        <v>1678</v>
      </c>
      <c r="D2297" s="10" t="s">
        <v>1679</v>
      </c>
      <c r="E2297" s="10" t="s">
        <v>1682</v>
      </c>
      <c r="F2297" t="s">
        <v>775</v>
      </c>
      <c r="G2297" s="4">
        <v>25863</v>
      </c>
      <c r="H2297" s="4"/>
      <c r="I2297" s="4"/>
      <c r="J2297" s="4">
        <f>SUM(G2297:I2297)</f>
        <v>25863</v>
      </c>
      <c r="K2297" t="s">
        <v>1659</v>
      </c>
      <c r="L2297" t="s">
        <v>1659</v>
      </c>
      <c r="M2297" t="s">
        <v>1349</v>
      </c>
      <c r="N2297" t="s">
        <v>1132</v>
      </c>
      <c r="O2297" t="s">
        <v>1132</v>
      </c>
      <c r="P2297" t="str">
        <f>IFERROR(VLOOKUP(F2297,Sheet1!$A$2:$B$54,2,FALSE),"")</f>
        <v/>
      </c>
    </row>
    <row r="2298" spans="1:16" x14ac:dyDescent="0.2">
      <c r="A2298" s="1">
        <v>2021</v>
      </c>
      <c r="B2298" t="s">
        <v>278</v>
      </c>
      <c r="C2298" s="10" t="s">
        <v>1678</v>
      </c>
      <c r="D2298" s="10" t="s">
        <v>1679</v>
      </c>
      <c r="E2298" s="10" t="s">
        <v>1682</v>
      </c>
      <c r="F2298" t="s">
        <v>775</v>
      </c>
      <c r="G2298" s="4">
        <v>25288</v>
      </c>
      <c r="H2298" s="4"/>
      <c r="I2298" s="4"/>
      <c r="J2298" s="4">
        <f>SUM(G2298:I2298)</f>
        <v>25288</v>
      </c>
      <c r="K2298" t="s">
        <v>1659</v>
      </c>
      <c r="L2298" t="s">
        <v>1659</v>
      </c>
      <c r="M2298" t="s">
        <v>775</v>
      </c>
      <c r="N2298" t="s">
        <v>1132</v>
      </c>
      <c r="O2298" t="s">
        <v>1132</v>
      </c>
      <c r="P2298" t="str">
        <f>IFERROR(VLOOKUP(F2298,Sheet1!$A$2:$B$54,2,FALSE),"")</f>
        <v/>
      </c>
    </row>
    <row r="2299" spans="1:16" x14ac:dyDescent="0.2">
      <c r="A2299" s="1">
        <v>2022</v>
      </c>
      <c r="B2299" t="s">
        <v>278</v>
      </c>
      <c r="C2299" s="10" t="s">
        <v>1678</v>
      </c>
      <c r="D2299" s="10" t="s">
        <v>1679</v>
      </c>
      <c r="E2299" s="10" t="s">
        <v>1682</v>
      </c>
      <c r="F2299" t="s">
        <v>775</v>
      </c>
      <c r="G2299" s="4">
        <v>37839</v>
      </c>
      <c r="H2299" s="4"/>
      <c r="I2299" s="4"/>
      <c r="J2299" s="4">
        <f>SUM(G2299:I2299)</f>
        <v>37839</v>
      </c>
      <c r="K2299" t="s">
        <v>1659</v>
      </c>
      <c r="L2299" t="s">
        <v>1659</v>
      </c>
      <c r="M2299" t="s">
        <v>775</v>
      </c>
      <c r="N2299" t="s">
        <v>1132</v>
      </c>
      <c r="O2299" t="s">
        <v>1132</v>
      </c>
      <c r="P2299" t="str">
        <f>IFERROR(VLOOKUP(F2299,Sheet1!$A$2:$B$54,2,FALSE),"")</f>
        <v/>
      </c>
    </row>
    <row r="2300" spans="1:16" x14ac:dyDescent="0.2">
      <c r="A2300" s="1">
        <v>2023</v>
      </c>
      <c r="B2300" t="s">
        <v>278</v>
      </c>
      <c r="C2300" s="10" t="s">
        <v>1678</v>
      </c>
      <c r="D2300" s="10" t="s">
        <v>1679</v>
      </c>
      <c r="E2300" s="10" t="s">
        <v>1682</v>
      </c>
      <c r="F2300" t="s">
        <v>775</v>
      </c>
      <c r="G2300" s="4">
        <v>52797</v>
      </c>
      <c r="H2300" s="4"/>
      <c r="I2300" s="4"/>
      <c r="J2300" s="4">
        <f>SUM(G2300:I2300)</f>
        <v>52797</v>
      </c>
      <c r="K2300" t="s">
        <v>1659</v>
      </c>
      <c r="L2300" t="s">
        <v>1659</v>
      </c>
      <c r="M2300" t="s">
        <v>775</v>
      </c>
      <c r="N2300" t="s">
        <v>1132</v>
      </c>
      <c r="O2300" t="s">
        <v>1132</v>
      </c>
      <c r="P2300" t="str">
        <f>IFERROR(VLOOKUP(F2300,Sheet1!$A$2:$B$54,2,FALSE),"")</f>
        <v/>
      </c>
    </row>
    <row r="2301" spans="1:16" x14ac:dyDescent="0.2">
      <c r="A2301" s="1">
        <v>2015</v>
      </c>
      <c r="B2301" t="s">
        <v>268</v>
      </c>
      <c r="C2301" s="10" t="s">
        <v>1678</v>
      </c>
      <c r="D2301" s="10" t="s">
        <v>1679</v>
      </c>
      <c r="E2301" s="10" t="s">
        <v>1682</v>
      </c>
      <c r="F2301" t="s">
        <v>765</v>
      </c>
      <c r="G2301" s="4">
        <v>20207</v>
      </c>
      <c r="H2301" s="4">
        <v>409871</v>
      </c>
      <c r="I2301" s="4"/>
      <c r="J2301" s="4">
        <f>SUM(G2301:I2301)</f>
        <v>430078</v>
      </c>
      <c r="K2301" t="s">
        <v>1660</v>
      </c>
      <c r="L2301" t="s">
        <v>1659</v>
      </c>
      <c r="M2301" t="s">
        <v>1338</v>
      </c>
      <c r="N2301" t="s">
        <v>1338</v>
      </c>
      <c r="O2301" t="s">
        <v>1132</v>
      </c>
      <c r="P2301">
        <f>IFERROR(VLOOKUP(F2301,Sheet1!$A$2:$B$54,2,FALSE),"")</f>
        <v>4900780</v>
      </c>
    </row>
    <row r="2302" spans="1:16" x14ac:dyDescent="0.2">
      <c r="A2302" s="1">
        <v>2016</v>
      </c>
      <c r="B2302" t="s">
        <v>268</v>
      </c>
      <c r="C2302" s="10" t="s">
        <v>1678</v>
      </c>
      <c r="D2302" s="10" t="s">
        <v>1679</v>
      </c>
      <c r="E2302" s="10" t="s">
        <v>1682</v>
      </c>
      <c r="F2302" t="s">
        <v>765</v>
      </c>
      <c r="G2302" s="4">
        <v>26089</v>
      </c>
      <c r="H2302" s="4">
        <v>403163</v>
      </c>
      <c r="I2302" s="4"/>
      <c r="J2302" s="4">
        <f>SUM(G2302:I2302)</f>
        <v>429252</v>
      </c>
      <c r="K2302" t="s">
        <v>1660</v>
      </c>
      <c r="L2302" t="s">
        <v>1659</v>
      </c>
      <c r="M2302" t="s">
        <v>1338</v>
      </c>
      <c r="N2302" t="s">
        <v>1338</v>
      </c>
      <c r="O2302" t="s">
        <v>1132</v>
      </c>
      <c r="P2302">
        <f>IFERROR(VLOOKUP(F2302,Sheet1!$A$2:$B$54,2,FALSE),"")</f>
        <v>4900780</v>
      </c>
    </row>
    <row r="2303" spans="1:16" x14ac:dyDescent="0.2">
      <c r="A2303" s="1">
        <v>2017</v>
      </c>
      <c r="B2303" t="s">
        <v>268</v>
      </c>
      <c r="C2303" s="10" t="s">
        <v>1678</v>
      </c>
      <c r="D2303" s="10" t="s">
        <v>1679</v>
      </c>
      <c r="E2303" s="10" t="s">
        <v>1682</v>
      </c>
      <c r="F2303" t="s">
        <v>765</v>
      </c>
      <c r="G2303" s="4">
        <v>33463</v>
      </c>
      <c r="H2303" s="4">
        <v>397299</v>
      </c>
      <c r="I2303" s="4"/>
      <c r="J2303" s="4">
        <f>SUM(G2303:I2303)</f>
        <v>430762</v>
      </c>
      <c r="K2303" t="s">
        <v>1660</v>
      </c>
      <c r="L2303" t="s">
        <v>1659</v>
      </c>
      <c r="M2303" t="s">
        <v>1338</v>
      </c>
      <c r="N2303" t="s">
        <v>1338</v>
      </c>
      <c r="O2303" t="s">
        <v>1132</v>
      </c>
      <c r="P2303">
        <f>IFERROR(VLOOKUP(F2303,Sheet1!$A$2:$B$54,2,FALSE),"")</f>
        <v>4900780</v>
      </c>
    </row>
    <row r="2304" spans="1:16" x14ac:dyDescent="0.2">
      <c r="A2304" s="1">
        <v>2018</v>
      </c>
      <c r="B2304" t="s">
        <v>268</v>
      </c>
      <c r="C2304" s="10" t="s">
        <v>1678</v>
      </c>
      <c r="D2304" s="10" t="s">
        <v>1679</v>
      </c>
      <c r="E2304" s="10" t="s">
        <v>1682</v>
      </c>
      <c r="F2304" t="s">
        <v>765</v>
      </c>
      <c r="G2304" s="4">
        <v>36690</v>
      </c>
      <c r="H2304" s="4">
        <v>386333</v>
      </c>
      <c r="I2304" s="4"/>
      <c r="J2304" s="4">
        <f>SUM(G2304:I2304)</f>
        <v>423023</v>
      </c>
      <c r="K2304" t="s">
        <v>1660</v>
      </c>
      <c r="L2304" t="s">
        <v>1659</v>
      </c>
      <c r="M2304" t="s">
        <v>1338</v>
      </c>
      <c r="N2304" t="s">
        <v>1338</v>
      </c>
      <c r="O2304" t="s">
        <v>1132</v>
      </c>
      <c r="P2304">
        <f>IFERROR(VLOOKUP(F2304,Sheet1!$A$2:$B$54,2,FALSE),"")</f>
        <v>4900780</v>
      </c>
    </row>
    <row r="2305" spans="1:16" x14ac:dyDescent="0.2">
      <c r="A2305" s="1">
        <v>2019</v>
      </c>
      <c r="B2305" t="s">
        <v>268</v>
      </c>
      <c r="C2305" s="10" t="s">
        <v>1678</v>
      </c>
      <c r="D2305" s="10" t="s">
        <v>1679</v>
      </c>
      <c r="E2305" s="10" t="s">
        <v>1682</v>
      </c>
      <c r="F2305" t="s">
        <v>765</v>
      </c>
      <c r="G2305" s="4">
        <v>37880</v>
      </c>
      <c r="H2305" s="4">
        <v>395370</v>
      </c>
      <c r="I2305" s="4"/>
      <c r="J2305" s="4">
        <f>SUM(G2305:I2305)</f>
        <v>433250</v>
      </c>
      <c r="K2305" t="s">
        <v>1660</v>
      </c>
      <c r="L2305" t="s">
        <v>1659</v>
      </c>
      <c r="M2305" t="s">
        <v>1338</v>
      </c>
      <c r="N2305" t="s">
        <v>1338</v>
      </c>
      <c r="O2305" t="s">
        <v>1132</v>
      </c>
      <c r="P2305">
        <f>IFERROR(VLOOKUP(F2305,Sheet1!$A$2:$B$54,2,FALSE),"")</f>
        <v>4900780</v>
      </c>
    </row>
    <row r="2306" spans="1:16" x14ac:dyDescent="0.2">
      <c r="A2306" s="1">
        <v>2020</v>
      </c>
      <c r="B2306" t="s">
        <v>268</v>
      </c>
      <c r="C2306" s="10" t="s">
        <v>1678</v>
      </c>
      <c r="D2306" s="10" t="s">
        <v>1679</v>
      </c>
      <c r="E2306" s="10" t="s">
        <v>1682</v>
      </c>
      <c r="F2306" t="s">
        <v>765</v>
      </c>
      <c r="G2306" s="4">
        <v>49782</v>
      </c>
      <c r="H2306" s="4">
        <v>388375</v>
      </c>
      <c r="I2306" s="4"/>
      <c r="J2306" s="4">
        <f>SUM(G2306:I2306)</f>
        <v>438157</v>
      </c>
      <c r="K2306" t="s">
        <v>1660</v>
      </c>
      <c r="L2306" t="s">
        <v>1659</v>
      </c>
      <c r="M2306" t="s">
        <v>1338</v>
      </c>
      <c r="N2306" t="s">
        <v>1338</v>
      </c>
      <c r="O2306" t="s">
        <v>1132</v>
      </c>
      <c r="P2306">
        <f>IFERROR(VLOOKUP(F2306,Sheet1!$A$2:$B$54,2,FALSE),"")</f>
        <v>4900780</v>
      </c>
    </row>
    <row r="2307" spans="1:16" x14ac:dyDescent="0.2">
      <c r="A2307" s="1">
        <v>2021</v>
      </c>
      <c r="B2307" t="s">
        <v>268</v>
      </c>
      <c r="C2307" s="10" t="s">
        <v>1678</v>
      </c>
      <c r="D2307" s="10" t="s">
        <v>1679</v>
      </c>
      <c r="E2307" s="10" t="s">
        <v>1682</v>
      </c>
      <c r="F2307" t="s">
        <v>765</v>
      </c>
      <c r="G2307" s="4">
        <v>77851</v>
      </c>
      <c r="H2307" s="4">
        <v>431715</v>
      </c>
      <c r="I2307" s="4"/>
      <c r="J2307" s="4">
        <f>SUM(G2307:I2307)</f>
        <v>509566</v>
      </c>
      <c r="K2307" t="s">
        <v>1660</v>
      </c>
      <c r="L2307" t="s">
        <v>1659</v>
      </c>
      <c r="M2307" t="s">
        <v>765</v>
      </c>
      <c r="N2307" t="s">
        <v>765</v>
      </c>
      <c r="O2307" t="s">
        <v>1132</v>
      </c>
      <c r="P2307">
        <f>IFERROR(VLOOKUP(F2307,Sheet1!$A$2:$B$54,2,FALSE),"")</f>
        <v>4900780</v>
      </c>
    </row>
    <row r="2308" spans="1:16" x14ac:dyDescent="0.2">
      <c r="A2308" s="1">
        <v>2022</v>
      </c>
      <c r="B2308" t="s">
        <v>268</v>
      </c>
      <c r="C2308" s="10" t="s">
        <v>1678</v>
      </c>
      <c r="D2308" s="10" t="s">
        <v>1679</v>
      </c>
      <c r="E2308" s="10" t="s">
        <v>1682</v>
      </c>
      <c r="F2308" t="s">
        <v>765</v>
      </c>
      <c r="G2308" s="4">
        <v>105021</v>
      </c>
      <c r="H2308" s="4">
        <v>453682</v>
      </c>
      <c r="I2308" s="4"/>
      <c r="J2308" s="4">
        <f>SUM(G2308:I2308)</f>
        <v>558703</v>
      </c>
      <c r="K2308" t="s">
        <v>1660</v>
      </c>
      <c r="L2308" t="s">
        <v>1659</v>
      </c>
      <c r="M2308" t="s">
        <v>765</v>
      </c>
      <c r="N2308" t="s">
        <v>765</v>
      </c>
      <c r="O2308" t="s">
        <v>1132</v>
      </c>
      <c r="P2308">
        <f>IFERROR(VLOOKUP(F2308,Sheet1!$A$2:$B$54,2,FALSE),"")</f>
        <v>4900780</v>
      </c>
    </row>
    <row r="2309" spans="1:16" x14ac:dyDescent="0.2">
      <c r="A2309" s="1">
        <v>2023</v>
      </c>
      <c r="B2309" t="s">
        <v>268</v>
      </c>
      <c r="C2309" s="10" t="s">
        <v>1678</v>
      </c>
      <c r="D2309" s="10" t="s">
        <v>1679</v>
      </c>
      <c r="E2309" s="10" t="s">
        <v>1682</v>
      </c>
      <c r="F2309" t="s">
        <v>765</v>
      </c>
      <c r="G2309" s="4">
        <v>125821</v>
      </c>
      <c r="H2309" s="4">
        <v>478367</v>
      </c>
      <c r="I2309" s="4"/>
      <c r="J2309" s="4">
        <f>SUM(G2309:I2309)</f>
        <v>604188</v>
      </c>
      <c r="K2309" t="s">
        <v>1660</v>
      </c>
      <c r="L2309" t="s">
        <v>1659</v>
      </c>
      <c r="M2309" t="s">
        <v>765</v>
      </c>
      <c r="N2309" t="s">
        <v>765</v>
      </c>
      <c r="O2309" t="s">
        <v>1132</v>
      </c>
      <c r="P2309">
        <f>IFERROR(VLOOKUP(F2309,Sheet1!$A$2:$B$54,2,FALSE),"")</f>
        <v>4900780</v>
      </c>
    </row>
    <row r="2310" spans="1:16" x14ac:dyDescent="0.2">
      <c r="A2310" s="1">
        <v>2015</v>
      </c>
      <c r="B2310" t="s">
        <v>280</v>
      </c>
      <c r="C2310" s="10" t="s">
        <v>1678</v>
      </c>
      <c r="D2310" s="10" t="s">
        <v>1679</v>
      </c>
      <c r="E2310" s="10" t="s">
        <v>1682</v>
      </c>
      <c r="F2310" t="s">
        <v>777</v>
      </c>
      <c r="G2310" s="4">
        <v>17899</v>
      </c>
      <c r="H2310" s="4"/>
      <c r="I2310" s="4"/>
      <c r="J2310" s="4">
        <f>SUM(G2310:I2310)</f>
        <v>17899</v>
      </c>
      <c r="K2310" t="s">
        <v>1659</v>
      </c>
      <c r="L2310" t="s">
        <v>1659</v>
      </c>
      <c r="M2310" t="s">
        <v>1351</v>
      </c>
      <c r="N2310" t="s">
        <v>1132</v>
      </c>
      <c r="O2310" t="s">
        <v>1132</v>
      </c>
      <c r="P2310" t="str">
        <f>IFERROR(VLOOKUP(F2310,Sheet1!$A$2:$B$54,2,FALSE),"")</f>
        <v/>
      </c>
    </row>
    <row r="2311" spans="1:16" x14ac:dyDescent="0.2">
      <c r="A2311" s="1">
        <v>2016</v>
      </c>
      <c r="B2311" t="s">
        <v>280</v>
      </c>
      <c r="C2311" s="10" t="s">
        <v>1678</v>
      </c>
      <c r="D2311" s="10" t="s">
        <v>1679</v>
      </c>
      <c r="E2311" s="10" t="s">
        <v>1682</v>
      </c>
      <c r="F2311" t="s">
        <v>777</v>
      </c>
      <c r="G2311" s="4">
        <v>18607</v>
      </c>
      <c r="H2311" s="4"/>
      <c r="I2311" s="4"/>
      <c r="J2311" s="4">
        <f>SUM(G2311:I2311)</f>
        <v>18607</v>
      </c>
      <c r="K2311" t="s">
        <v>1659</v>
      </c>
      <c r="L2311" t="s">
        <v>1659</v>
      </c>
      <c r="M2311" t="s">
        <v>1351</v>
      </c>
      <c r="N2311" t="s">
        <v>1132</v>
      </c>
      <c r="O2311" t="s">
        <v>1132</v>
      </c>
      <c r="P2311" t="str">
        <f>IFERROR(VLOOKUP(F2311,Sheet1!$A$2:$B$54,2,FALSE),"")</f>
        <v/>
      </c>
    </row>
    <row r="2312" spans="1:16" x14ac:dyDescent="0.2">
      <c r="A2312" s="1">
        <v>2017</v>
      </c>
      <c r="B2312" t="s">
        <v>280</v>
      </c>
      <c r="C2312" s="10" t="s">
        <v>1678</v>
      </c>
      <c r="D2312" s="10" t="s">
        <v>1679</v>
      </c>
      <c r="E2312" s="10" t="s">
        <v>1682</v>
      </c>
      <c r="F2312" t="s">
        <v>777</v>
      </c>
      <c r="G2312" s="4">
        <v>19525</v>
      </c>
      <c r="H2312" s="4"/>
      <c r="I2312" s="4"/>
      <c r="J2312" s="4">
        <f>SUM(G2312:I2312)</f>
        <v>19525</v>
      </c>
      <c r="K2312" t="s">
        <v>1659</v>
      </c>
      <c r="L2312" t="s">
        <v>1659</v>
      </c>
      <c r="M2312" t="s">
        <v>1351</v>
      </c>
      <c r="N2312" t="s">
        <v>1132</v>
      </c>
      <c r="O2312" t="s">
        <v>1132</v>
      </c>
      <c r="P2312" t="str">
        <f>IFERROR(VLOOKUP(F2312,Sheet1!$A$2:$B$54,2,FALSE),"")</f>
        <v/>
      </c>
    </row>
    <row r="2313" spans="1:16" x14ac:dyDescent="0.2">
      <c r="A2313" s="1">
        <v>2018</v>
      </c>
      <c r="B2313" t="s">
        <v>280</v>
      </c>
      <c r="C2313" s="10" t="s">
        <v>1678</v>
      </c>
      <c r="D2313" s="10" t="s">
        <v>1679</v>
      </c>
      <c r="E2313" s="10" t="s">
        <v>1682</v>
      </c>
      <c r="F2313" t="s">
        <v>777</v>
      </c>
      <c r="G2313" s="4">
        <v>19549</v>
      </c>
      <c r="H2313" s="4"/>
      <c r="I2313" s="4"/>
      <c r="J2313" s="4">
        <f>SUM(G2313:I2313)</f>
        <v>19549</v>
      </c>
      <c r="K2313" t="s">
        <v>1659</v>
      </c>
      <c r="L2313" t="s">
        <v>1659</v>
      </c>
      <c r="M2313" t="s">
        <v>1351</v>
      </c>
      <c r="N2313" t="s">
        <v>1132</v>
      </c>
      <c r="O2313" t="s">
        <v>1132</v>
      </c>
      <c r="P2313" t="str">
        <f>IFERROR(VLOOKUP(F2313,Sheet1!$A$2:$B$54,2,FALSE),"")</f>
        <v/>
      </c>
    </row>
    <row r="2314" spans="1:16" x14ac:dyDescent="0.2">
      <c r="A2314" s="1">
        <v>2019</v>
      </c>
      <c r="B2314" t="s">
        <v>280</v>
      </c>
      <c r="C2314" s="10" t="s">
        <v>1678</v>
      </c>
      <c r="D2314" s="10" t="s">
        <v>1679</v>
      </c>
      <c r="E2314" s="10" t="s">
        <v>1682</v>
      </c>
      <c r="F2314" t="s">
        <v>777</v>
      </c>
      <c r="G2314" s="4">
        <v>20686</v>
      </c>
      <c r="H2314" s="4"/>
      <c r="I2314" s="4"/>
      <c r="J2314" s="4">
        <f>SUM(G2314:I2314)</f>
        <v>20686</v>
      </c>
      <c r="K2314" t="s">
        <v>1659</v>
      </c>
      <c r="L2314" t="s">
        <v>1659</v>
      </c>
      <c r="M2314" t="s">
        <v>1351</v>
      </c>
      <c r="N2314" t="s">
        <v>1132</v>
      </c>
      <c r="O2314" t="s">
        <v>1132</v>
      </c>
      <c r="P2314" t="str">
        <f>IFERROR(VLOOKUP(F2314,Sheet1!$A$2:$B$54,2,FALSE),"")</f>
        <v/>
      </c>
    </row>
    <row r="2315" spans="1:16" x14ac:dyDescent="0.2">
      <c r="A2315" s="1">
        <v>2020</v>
      </c>
      <c r="B2315" t="s">
        <v>280</v>
      </c>
      <c r="C2315" s="10" t="s">
        <v>1678</v>
      </c>
      <c r="D2315" s="10" t="s">
        <v>1679</v>
      </c>
      <c r="E2315" s="10" t="s">
        <v>1682</v>
      </c>
      <c r="F2315" t="s">
        <v>777</v>
      </c>
      <c r="G2315" s="4">
        <v>23476</v>
      </c>
      <c r="H2315" s="4"/>
      <c r="I2315" s="4"/>
      <c r="J2315" s="4">
        <f>SUM(G2315:I2315)</f>
        <v>23476</v>
      </c>
      <c r="K2315" t="s">
        <v>1659</v>
      </c>
      <c r="L2315" t="s">
        <v>1659</v>
      </c>
      <c r="M2315" t="s">
        <v>1351</v>
      </c>
      <c r="N2315" t="s">
        <v>1132</v>
      </c>
      <c r="O2315" t="s">
        <v>1132</v>
      </c>
      <c r="P2315" t="str">
        <f>IFERROR(VLOOKUP(F2315,Sheet1!$A$2:$B$54,2,FALSE),"")</f>
        <v/>
      </c>
    </row>
    <row r="2316" spans="1:16" x14ac:dyDescent="0.2">
      <c r="A2316" s="1">
        <v>2021</v>
      </c>
      <c r="B2316" t="s">
        <v>280</v>
      </c>
      <c r="C2316" s="10" t="s">
        <v>1678</v>
      </c>
      <c r="D2316" s="10" t="s">
        <v>1679</v>
      </c>
      <c r="E2316" s="10" t="s">
        <v>1682</v>
      </c>
      <c r="F2316" t="s">
        <v>777</v>
      </c>
      <c r="G2316" s="4">
        <v>29466</v>
      </c>
      <c r="H2316" s="4"/>
      <c r="I2316" s="4"/>
      <c r="J2316" s="4">
        <f>SUM(G2316:I2316)</f>
        <v>29466</v>
      </c>
      <c r="K2316" t="s">
        <v>1659</v>
      </c>
      <c r="L2316" t="s">
        <v>1659</v>
      </c>
      <c r="M2316" t="s">
        <v>777</v>
      </c>
      <c r="N2316" t="s">
        <v>1132</v>
      </c>
      <c r="O2316" t="s">
        <v>1132</v>
      </c>
      <c r="P2316" t="str">
        <f>IFERROR(VLOOKUP(F2316,Sheet1!$A$2:$B$54,2,FALSE),"")</f>
        <v/>
      </c>
    </row>
    <row r="2317" spans="1:16" x14ac:dyDescent="0.2">
      <c r="A2317" s="1">
        <v>2022</v>
      </c>
      <c r="B2317" t="s">
        <v>280</v>
      </c>
      <c r="C2317" s="10" t="s">
        <v>1678</v>
      </c>
      <c r="D2317" s="10" t="s">
        <v>1679</v>
      </c>
      <c r="E2317" s="10" t="s">
        <v>1682</v>
      </c>
      <c r="F2317" t="s">
        <v>777</v>
      </c>
      <c r="G2317" s="4">
        <v>36316</v>
      </c>
      <c r="H2317" s="4"/>
      <c r="I2317" s="4"/>
      <c r="J2317" s="4">
        <f>SUM(G2317:I2317)</f>
        <v>36316</v>
      </c>
      <c r="K2317" t="s">
        <v>1659</v>
      </c>
      <c r="L2317" t="s">
        <v>1659</v>
      </c>
      <c r="M2317" t="s">
        <v>777</v>
      </c>
      <c r="N2317" t="s">
        <v>1132</v>
      </c>
      <c r="O2317" t="s">
        <v>1132</v>
      </c>
      <c r="P2317" t="str">
        <f>IFERROR(VLOOKUP(F2317,Sheet1!$A$2:$B$54,2,FALSE),"")</f>
        <v/>
      </c>
    </row>
    <row r="2318" spans="1:16" x14ac:dyDescent="0.2">
      <c r="A2318" s="1">
        <v>2023</v>
      </c>
      <c r="B2318" t="s">
        <v>280</v>
      </c>
      <c r="C2318" s="10" t="s">
        <v>1678</v>
      </c>
      <c r="D2318" s="10" t="s">
        <v>1679</v>
      </c>
      <c r="E2318" s="10" t="s">
        <v>1682</v>
      </c>
      <c r="F2318" t="s">
        <v>777</v>
      </c>
      <c r="G2318" s="4">
        <v>54934</v>
      </c>
      <c r="H2318" s="4"/>
      <c r="I2318" s="4"/>
      <c r="J2318" s="4">
        <f>SUM(G2318:I2318)</f>
        <v>54934</v>
      </c>
      <c r="K2318" t="s">
        <v>1659</v>
      </c>
      <c r="L2318" t="s">
        <v>1659</v>
      </c>
      <c r="M2318" t="s">
        <v>777</v>
      </c>
      <c r="N2318" t="s">
        <v>1132</v>
      </c>
      <c r="O2318" t="s">
        <v>1132</v>
      </c>
      <c r="P2318" t="str">
        <f>IFERROR(VLOOKUP(F2318,Sheet1!$A$2:$B$54,2,FALSE),"")</f>
        <v/>
      </c>
    </row>
    <row r="2319" spans="1:16" x14ac:dyDescent="0.2">
      <c r="A2319" s="1">
        <v>2015</v>
      </c>
      <c r="B2319" t="s">
        <v>279</v>
      </c>
      <c r="C2319" s="10" t="s">
        <v>1678</v>
      </c>
      <c r="D2319" s="10" t="s">
        <v>1679</v>
      </c>
      <c r="E2319" s="10" t="s">
        <v>1682</v>
      </c>
      <c r="F2319" t="s">
        <v>776</v>
      </c>
      <c r="G2319" s="4">
        <v>896421</v>
      </c>
      <c r="H2319" s="4">
        <v>10181411</v>
      </c>
      <c r="I2319" s="4">
        <v>83238</v>
      </c>
      <c r="J2319" s="4">
        <f>SUM(G2319:I2319)</f>
        <v>11161070</v>
      </c>
      <c r="K2319" t="s">
        <v>1660</v>
      </c>
      <c r="L2319" t="s">
        <v>1660</v>
      </c>
      <c r="M2319" t="s">
        <v>1350</v>
      </c>
      <c r="N2319" t="s">
        <v>1350</v>
      </c>
      <c r="O2319" t="s">
        <v>1350</v>
      </c>
      <c r="P2319">
        <f>IFERROR(VLOOKUP(F2319,Sheet1!$A$2:$B$54,2,FALSE),"")</f>
        <v>4900810</v>
      </c>
    </row>
    <row r="2320" spans="1:16" x14ac:dyDescent="0.2">
      <c r="A2320" s="1">
        <v>2016</v>
      </c>
      <c r="B2320" t="s">
        <v>279</v>
      </c>
      <c r="C2320" s="10" t="s">
        <v>1678</v>
      </c>
      <c r="D2320" s="10" t="s">
        <v>1679</v>
      </c>
      <c r="E2320" s="10" t="s">
        <v>1682</v>
      </c>
      <c r="F2320" t="s">
        <v>776</v>
      </c>
      <c r="G2320" s="4">
        <v>1032168</v>
      </c>
      <c r="H2320" s="4">
        <v>10318684</v>
      </c>
      <c r="I2320" s="4">
        <v>67179</v>
      </c>
      <c r="J2320" s="4">
        <f>SUM(G2320:I2320)</f>
        <v>11418031</v>
      </c>
      <c r="K2320" t="s">
        <v>1660</v>
      </c>
      <c r="L2320" t="s">
        <v>1660</v>
      </c>
      <c r="M2320" t="s">
        <v>1350</v>
      </c>
      <c r="N2320" t="s">
        <v>1350</v>
      </c>
      <c r="O2320" t="s">
        <v>1350</v>
      </c>
      <c r="P2320">
        <f>IFERROR(VLOOKUP(F2320,Sheet1!$A$2:$B$54,2,FALSE),"")</f>
        <v>4900810</v>
      </c>
    </row>
    <row r="2321" spans="1:16" x14ac:dyDescent="0.2">
      <c r="A2321" s="1">
        <v>2017</v>
      </c>
      <c r="B2321" t="s">
        <v>279</v>
      </c>
      <c r="C2321" s="10" t="s">
        <v>1678</v>
      </c>
      <c r="D2321" s="10" t="s">
        <v>1679</v>
      </c>
      <c r="E2321" s="10" t="s">
        <v>1682</v>
      </c>
      <c r="F2321" t="s">
        <v>776</v>
      </c>
      <c r="G2321" s="4">
        <v>1248359</v>
      </c>
      <c r="H2321" s="4">
        <v>10798617</v>
      </c>
      <c r="I2321" s="4">
        <v>46946</v>
      </c>
      <c r="J2321" s="4">
        <f>SUM(G2321:I2321)</f>
        <v>12093922</v>
      </c>
      <c r="K2321" t="s">
        <v>1660</v>
      </c>
      <c r="L2321" t="s">
        <v>1660</v>
      </c>
      <c r="M2321" t="s">
        <v>1350</v>
      </c>
      <c r="N2321" t="s">
        <v>1350</v>
      </c>
      <c r="O2321" t="s">
        <v>1350</v>
      </c>
      <c r="P2321">
        <f>IFERROR(VLOOKUP(F2321,Sheet1!$A$2:$B$54,2,FALSE),"")</f>
        <v>4900810</v>
      </c>
    </row>
    <row r="2322" spans="1:16" x14ac:dyDescent="0.2">
      <c r="A2322" s="1">
        <v>2018</v>
      </c>
      <c r="B2322" t="s">
        <v>279</v>
      </c>
      <c r="C2322" s="10" t="s">
        <v>1678</v>
      </c>
      <c r="D2322" s="10" t="s">
        <v>1679</v>
      </c>
      <c r="E2322" s="10" t="s">
        <v>1682</v>
      </c>
      <c r="F2322" t="s">
        <v>776</v>
      </c>
      <c r="G2322" s="4">
        <v>1486801</v>
      </c>
      <c r="H2322" s="4">
        <v>10681310</v>
      </c>
      <c r="I2322" s="4">
        <v>31510</v>
      </c>
      <c r="J2322" s="4">
        <f>SUM(G2322:I2322)</f>
        <v>12199621</v>
      </c>
      <c r="K2322" t="s">
        <v>1660</v>
      </c>
      <c r="L2322" t="s">
        <v>1660</v>
      </c>
      <c r="M2322" t="s">
        <v>1350</v>
      </c>
      <c r="N2322" t="s">
        <v>1350</v>
      </c>
      <c r="O2322" t="s">
        <v>1350</v>
      </c>
      <c r="P2322">
        <f>IFERROR(VLOOKUP(F2322,Sheet1!$A$2:$B$54,2,FALSE),"")</f>
        <v>4900810</v>
      </c>
    </row>
    <row r="2323" spans="1:16" x14ac:dyDescent="0.2">
      <c r="A2323" s="1">
        <v>2019</v>
      </c>
      <c r="B2323" t="s">
        <v>279</v>
      </c>
      <c r="C2323" s="10" t="s">
        <v>1678</v>
      </c>
      <c r="D2323" s="10" t="s">
        <v>1679</v>
      </c>
      <c r="E2323" s="10" t="s">
        <v>1682</v>
      </c>
      <c r="F2323" t="s">
        <v>776</v>
      </c>
      <c r="G2323" s="4">
        <v>1747562</v>
      </c>
      <c r="H2323" s="4">
        <v>11125811</v>
      </c>
      <c r="I2323" s="4">
        <v>25219</v>
      </c>
      <c r="J2323" s="4">
        <f>SUM(G2323:I2323)</f>
        <v>12898592</v>
      </c>
      <c r="K2323" t="s">
        <v>1660</v>
      </c>
      <c r="L2323" t="s">
        <v>1660</v>
      </c>
      <c r="M2323" t="s">
        <v>1350</v>
      </c>
      <c r="N2323" t="s">
        <v>1350</v>
      </c>
      <c r="O2323" t="s">
        <v>1350</v>
      </c>
      <c r="P2323">
        <f>IFERROR(VLOOKUP(F2323,Sheet1!$A$2:$B$54,2,FALSE),"")</f>
        <v>4900810</v>
      </c>
    </row>
    <row r="2324" spans="1:16" x14ac:dyDescent="0.2">
      <c r="A2324" s="1">
        <v>2020</v>
      </c>
      <c r="B2324" t="s">
        <v>279</v>
      </c>
      <c r="C2324" s="10" t="s">
        <v>1678</v>
      </c>
      <c r="D2324" s="10" t="s">
        <v>1679</v>
      </c>
      <c r="E2324" s="10" t="s">
        <v>1682</v>
      </c>
      <c r="F2324" t="s">
        <v>776</v>
      </c>
      <c r="G2324" s="4">
        <v>1933217</v>
      </c>
      <c r="H2324" s="4">
        <v>11289362</v>
      </c>
      <c r="I2324" s="4">
        <v>24778</v>
      </c>
      <c r="J2324" s="4">
        <f>SUM(G2324:I2324)</f>
        <v>13247357</v>
      </c>
      <c r="K2324" t="s">
        <v>1660</v>
      </c>
      <c r="L2324" t="s">
        <v>1660</v>
      </c>
      <c r="M2324" t="s">
        <v>1350</v>
      </c>
      <c r="N2324" t="s">
        <v>1350</v>
      </c>
      <c r="O2324" t="s">
        <v>1350</v>
      </c>
      <c r="P2324">
        <f>IFERROR(VLOOKUP(F2324,Sheet1!$A$2:$B$54,2,FALSE),"")</f>
        <v>4900810</v>
      </c>
    </row>
    <row r="2325" spans="1:16" x14ac:dyDescent="0.2">
      <c r="A2325" s="1">
        <v>2021</v>
      </c>
      <c r="B2325" t="s">
        <v>279</v>
      </c>
      <c r="C2325" s="10" t="s">
        <v>1678</v>
      </c>
      <c r="D2325" s="10" t="s">
        <v>1679</v>
      </c>
      <c r="E2325" s="10" t="s">
        <v>1682</v>
      </c>
      <c r="F2325" t="s">
        <v>776</v>
      </c>
      <c r="G2325" s="4">
        <v>2369715</v>
      </c>
      <c r="H2325" s="4">
        <v>12345474</v>
      </c>
      <c r="I2325" s="4">
        <v>22003</v>
      </c>
      <c r="J2325" s="4">
        <f>SUM(G2325:I2325)</f>
        <v>14737192</v>
      </c>
      <c r="K2325" t="s">
        <v>1660</v>
      </c>
      <c r="L2325" t="s">
        <v>1660</v>
      </c>
      <c r="M2325" t="s">
        <v>776</v>
      </c>
      <c r="N2325" t="s">
        <v>776</v>
      </c>
      <c r="O2325" t="s">
        <v>776</v>
      </c>
      <c r="P2325">
        <f>IFERROR(VLOOKUP(F2325,Sheet1!$A$2:$B$54,2,FALSE),"")</f>
        <v>4900810</v>
      </c>
    </row>
    <row r="2326" spans="1:16" x14ac:dyDescent="0.2">
      <c r="A2326" s="1">
        <v>2022</v>
      </c>
      <c r="B2326" t="s">
        <v>279</v>
      </c>
      <c r="C2326" s="10" t="s">
        <v>1678</v>
      </c>
      <c r="D2326" s="10" t="s">
        <v>1679</v>
      </c>
      <c r="E2326" s="10" t="s">
        <v>1682</v>
      </c>
      <c r="F2326" t="s">
        <v>776</v>
      </c>
      <c r="G2326" s="4">
        <v>2695726</v>
      </c>
      <c r="H2326" s="4">
        <v>12481796</v>
      </c>
      <c r="I2326" s="4">
        <v>14171</v>
      </c>
      <c r="J2326" s="4">
        <f>SUM(G2326:I2326)</f>
        <v>15191693</v>
      </c>
      <c r="K2326" t="s">
        <v>1660</v>
      </c>
      <c r="L2326" t="s">
        <v>1660</v>
      </c>
      <c r="M2326" t="s">
        <v>776</v>
      </c>
      <c r="N2326" t="s">
        <v>776</v>
      </c>
      <c r="O2326" t="s">
        <v>776</v>
      </c>
      <c r="P2326">
        <f>IFERROR(VLOOKUP(F2326,Sheet1!$A$2:$B$54,2,FALSE),"")</f>
        <v>4900810</v>
      </c>
    </row>
    <row r="2327" spans="1:16" x14ac:dyDescent="0.2">
      <c r="A2327" s="1">
        <v>2023</v>
      </c>
      <c r="B2327" t="s">
        <v>279</v>
      </c>
      <c r="C2327" s="10" t="s">
        <v>1678</v>
      </c>
      <c r="D2327" s="10" t="s">
        <v>1679</v>
      </c>
      <c r="E2327" s="10" t="s">
        <v>1682</v>
      </c>
      <c r="F2327" t="s">
        <v>776</v>
      </c>
      <c r="G2327" s="4">
        <v>3022291</v>
      </c>
      <c r="H2327" s="4">
        <v>12832278</v>
      </c>
      <c r="I2327" s="4">
        <v>14841</v>
      </c>
      <c r="J2327" s="4">
        <f>SUM(G2327:I2327)</f>
        <v>15869410</v>
      </c>
      <c r="K2327" t="s">
        <v>1660</v>
      </c>
      <c r="L2327" t="s">
        <v>1660</v>
      </c>
      <c r="M2327" t="s">
        <v>776</v>
      </c>
      <c r="N2327" t="s">
        <v>776</v>
      </c>
      <c r="O2327" t="s">
        <v>776</v>
      </c>
      <c r="P2327">
        <f>IFERROR(VLOOKUP(F2327,Sheet1!$A$2:$B$54,2,FALSE),"")</f>
        <v>4900810</v>
      </c>
    </row>
    <row r="2328" spans="1:16" x14ac:dyDescent="0.2">
      <c r="A2328" s="1">
        <v>2015</v>
      </c>
      <c r="B2328" t="s">
        <v>282</v>
      </c>
      <c r="C2328" s="10" t="s">
        <v>1678</v>
      </c>
      <c r="D2328" s="10" t="s">
        <v>1679</v>
      </c>
      <c r="E2328" s="10" t="s">
        <v>1682</v>
      </c>
      <c r="F2328" t="s">
        <v>779</v>
      </c>
      <c r="G2328" s="4">
        <v>898</v>
      </c>
      <c r="H2328" s="4"/>
      <c r="I2328" s="4"/>
      <c r="J2328" s="4">
        <f>SUM(G2328:I2328)</f>
        <v>898</v>
      </c>
      <c r="K2328" t="s">
        <v>1659</v>
      </c>
      <c r="L2328" t="s">
        <v>1659</v>
      </c>
      <c r="M2328" t="s">
        <v>1353</v>
      </c>
      <c r="N2328" t="s">
        <v>1132</v>
      </c>
      <c r="O2328" t="s">
        <v>1132</v>
      </c>
      <c r="P2328" t="str">
        <f>IFERROR(VLOOKUP(F2328,Sheet1!$A$2:$B$54,2,FALSE),"")</f>
        <v/>
      </c>
    </row>
    <row r="2329" spans="1:16" x14ac:dyDescent="0.2">
      <c r="A2329" s="1">
        <v>2016</v>
      </c>
      <c r="B2329" t="s">
        <v>282</v>
      </c>
      <c r="C2329" s="10" t="s">
        <v>1678</v>
      </c>
      <c r="D2329" s="10" t="s">
        <v>1679</v>
      </c>
      <c r="E2329" s="10" t="s">
        <v>1682</v>
      </c>
      <c r="F2329" t="s">
        <v>779</v>
      </c>
      <c r="G2329" s="4">
        <v>4832</v>
      </c>
      <c r="H2329" s="4"/>
      <c r="I2329" s="4"/>
      <c r="J2329" s="4">
        <f>SUM(G2329:I2329)</f>
        <v>4832</v>
      </c>
      <c r="K2329" t="s">
        <v>1659</v>
      </c>
      <c r="L2329" t="s">
        <v>1659</v>
      </c>
      <c r="M2329" t="s">
        <v>1353</v>
      </c>
      <c r="N2329" t="s">
        <v>1132</v>
      </c>
      <c r="O2329" t="s">
        <v>1132</v>
      </c>
      <c r="P2329" t="str">
        <f>IFERROR(VLOOKUP(F2329,Sheet1!$A$2:$B$54,2,FALSE),"")</f>
        <v/>
      </c>
    </row>
    <row r="2330" spans="1:16" x14ac:dyDescent="0.2">
      <c r="A2330" s="1">
        <v>2017</v>
      </c>
      <c r="B2330" t="s">
        <v>282</v>
      </c>
      <c r="C2330" s="10" t="s">
        <v>1678</v>
      </c>
      <c r="D2330" s="10" t="s">
        <v>1679</v>
      </c>
      <c r="E2330" s="10" t="s">
        <v>1682</v>
      </c>
      <c r="F2330" t="s">
        <v>779</v>
      </c>
      <c r="G2330" s="4">
        <v>6515</v>
      </c>
      <c r="H2330" s="4"/>
      <c r="I2330" s="4"/>
      <c r="J2330" s="4">
        <f>SUM(G2330:I2330)</f>
        <v>6515</v>
      </c>
      <c r="K2330" t="s">
        <v>1659</v>
      </c>
      <c r="L2330" t="s">
        <v>1659</v>
      </c>
      <c r="M2330" t="s">
        <v>1353</v>
      </c>
      <c r="N2330" t="s">
        <v>1132</v>
      </c>
      <c r="O2330" t="s">
        <v>1132</v>
      </c>
      <c r="P2330" t="str">
        <f>IFERROR(VLOOKUP(F2330,Sheet1!$A$2:$B$54,2,FALSE),"")</f>
        <v/>
      </c>
    </row>
    <row r="2331" spans="1:16" x14ac:dyDescent="0.2">
      <c r="A2331" s="1">
        <v>2018</v>
      </c>
      <c r="B2331" t="s">
        <v>282</v>
      </c>
      <c r="C2331" s="10" t="s">
        <v>1678</v>
      </c>
      <c r="D2331" s="10" t="s">
        <v>1679</v>
      </c>
      <c r="E2331" s="10" t="s">
        <v>1682</v>
      </c>
      <c r="F2331" t="s">
        <v>779</v>
      </c>
      <c r="G2331" s="4">
        <v>8824</v>
      </c>
      <c r="H2331" s="4"/>
      <c r="I2331" s="4"/>
      <c r="J2331" s="4">
        <f>SUM(G2331:I2331)</f>
        <v>8824</v>
      </c>
      <c r="K2331" t="s">
        <v>1659</v>
      </c>
      <c r="L2331" t="s">
        <v>1659</v>
      </c>
      <c r="M2331" t="s">
        <v>1353</v>
      </c>
      <c r="N2331" t="s">
        <v>1132</v>
      </c>
      <c r="O2331" t="s">
        <v>1132</v>
      </c>
      <c r="P2331" t="str">
        <f>IFERROR(VLOOKUP(F2331,Sheet1!$A$2:$B$54,2,FALSE),"")</f>
        <v/>
      </c>
    </row>
    <row r="2332" spans="1:16" x14ac:dyDescent="0.2">
      <c r="A2332" s="1">
        <v>2019</v>
      </c>
      <c r="B2332" t="s">
        <v>282</v>
      </c>
      <c r="C2332" s="10" t="s">
        <v>1678</v>
      </c>
      <c r="D2332" s="10" t="s">
        <v>1679</v>
      </c>
      <c r="E2332" s="10" t="s">
        <v>1682</v>
      </c>
      <c r="F2332" t="s">
        <v>779</v>
      </c>
      <c r="G2332" s="4">
        <v>10719</v>
      </c>
      <c r="H2332" s="4"/>
      <c r="I2332" s="4"/>
      <c r="J2332" s="4">
        <f>SUM(G2332:I2332)</f>
        <v>10719</v>
      </c>
      <c r="K2332" t="s">
        <v>1659</v>
      </c>
      <c r="L2332" t="s">
        <v>1659</v>
      </c>
      <c r="M2332" t="s">
        <v>1353</v>
      </c>
      <c r="N2332" t="s">
        <v>1132</v>
      </c>
      <c r="O2332" t="s">
        <v>1132</v>
      </c>
      <c r="P2332" t="str">
        <f>IFERROR(VLOOKUP(F2332,Sheet1!$A$2:$B$54,2,FALSE),"")</f>
        <v/>
      </c>
    </row>
    <row r="2333" spans="1:16" x14ac:dyDescent="0.2">
      <c r="A2333" s="1">
        <v>2020</v>
      </c>
      <c r="B2333" t="s">
        <v>282</v>
      </c>
      <c r="C2333" s="10" t="s">
        <v>1678</v>
      </c>
      <c r="D2333" s="10" t="s">
        <v>1679</v>
      </c>
      <c r="E2333" s="10" t="s">
        <v>1682</v>
      </c>
      <c r="F2333" t="s">
        <v>779</v>
      </c>
      <c r="G2333" s="4">
        <v>16803</v>
      </c>
      <c r="H2333" s="4"/>
      <c r="I2333" s="4"/>
      <c r="J2333" s="4">
        <f>SUM(G2333:I2333)</f>
        <v>16803</v>
      </c>
      <c r="K2333" t="s">
        <v>1659</v>
      </c>
      <c r="L2333" t="s">
        <v>1659</v>
      </c>
      <c r="M2333" t="s">
        <v>1353</v>
      </c>
      <c r="N2333" t="s">
        <v>1132</v>
      </c>
      <c r="O2333" t="s">
        <v>1132</v>
      </c>
      <c r="P2333" t="str">
        <f>IFERROR(VLOOKUP(F2333,Sheet1!$A$2:$B$54,2,FALSE),"")</f>
        <v/>
      </c>
    </row>
    <row r="2334" spans="1:16" x14ac:dyDescent="0.2">
      <c r="A2334" s="1">
        <v>2021</v>
      </c>
      <c r="B2334" t="s">
        <v>282</v>
      </c>
      <c r="C2334" s="10" t="s">
        <v>1678</v>
      </c>
      <c r="D2334" s="10" t="s">
        <v>1679</v>
      </c>
      <c r="E2334" s="10" t="s">
        <v>1682</v>
      </c>
      <c r="F2334" t="s">
        <v>779</v>
      </c>
      <c r="G2334" s="4">
        <v>25033</v>
      </c>
      <c r="H2334" s="4"/>
      <c r="I2334" s="4"/>
      <c r="J2334" s="4">
        <f>SUM(G2334:I2334)</f>
        <v>25033</v>
      </c>
      <c r="K2334" t="s">
        <v>1659</v>
      </c>
      <c r="L2334" t="s">
        <v>1659</v>
      </c>
      <c r="M2334" t="s">
        <v>779</v>
      </c>
      <c r="N2334" t="s">
        <v>1132</v>
      </c>
      <c r="O2334" t="s">
        <v>1132</v>
      </c>
      <c r="P2334" t="str">
        <f>IFERROR(VLOOKUP(F2334,Sheet1!$A$2:$B$54,2,FALSE),"")</f>
        <v/>
      </c>
    </row>
    <row r="2335" spans="1:16" x14ac:dyDescent="0.2">
      <c r="A2335" s="1">
        <v>2022</v>
      </c>
      <c r="B2335" t="s">
        <v>282</v>
      </c>
      <c r="C2335" s="10" t="s">
        <v>1678</v>
      </c>
      <c r="D2335" s="10" t="s">
        <v>1679</v>
      </c>
      <c r="E2335" s="10" t="s">
        <v>1682</v>
      </c>
      <c r="F2335" t="s">
        <v>779</v>
      </c>
      <c r="G2335" s="4">
        <v>24273</v>
      </c>
      <c r="H2335" s="4"/>
      <c r="I2335" s="4"/>
      <c r="J2335" s="4">
        <f>SUM(G2335:I2335)</f>
        <v>24273</v>
      </c>
      <c r="K2335" t="s">
        <v>1659</v>
      </c>
      <c r="L2335" t="s">
        <v>1659</v>
      </c>
      <c r="M2335" t="s">
        <v>779</v>
      </c>
      <c r="N2335" t="s">
        <v>1132</v>
      </c>
      <c r="O2335" t="s">
        <v>1132</v>
      </c>
      <c r="P2335" t="str">
        <f>IFERROR(VLOOKUP(F2335,Sheet1!$A$2:$B$54,2,FALSE),"")</f>
        <v/>
      </c>
    </row>
    <row r="2336" spans="1:16" x14ac:dyDescent="0.2">
      <c r="A2336" s="1">
        <v>2023</v>
      </c>
      <c r="B2336" t="s">
        <v>282</v>
      </c>
      <c r="C2336" s="10" t="s">
        <v>1678</v>
      </c>
      <c r="D2336" s="10" t="s">
        <v>1679</v>
      </c>
      <c r="E2336" s="10" t="s">
        <v>1682</v>
      </c>
      <c r="F2336" t="s">
        <v>779</v>
      </c>
      <c r="G2336" s="4">
        <v>47855</v>
      </c>
      <c r="H2336" s="4"/>
      <c r="I2336" s="4"/>
      <c r="J2336" s="4">
        <f>SUM(G2336:I2336)</f>
        <v>47855</v>
      </c>
      <c r="K2336" t="s">
        <v>1659</v>
      </c>
      <c r="L2336" t="s">
        <v>1659</v>
      </c>
      <c r="M2336" t="s">
        <v>779</v>
      </c>
      <c r="N2336" t="s">
        <v>1132</v>
      </c>
      <c r="O2336" t="s">
        <v>1132</v>
      </c>
      <c r="P2336" t="str">
        <f>IFERROR(VLOOKUP(F2336,Sheet1!$A$2:$B$54,2,FALSE),"")</f>
        <v/>
      </c>
    </row>
    <row r="2337" spans="1:16" x14ac:dyDescent="0.2">
      <c r="A2337" s="1">
        <v>2015</v>
      </c>
      <c r="B2337" t="s">
        <v>283</v>
      </c>
      <c r="C2337" s="10" t="s">
        <v>1678</v>
      </c>
      <c r="D2337" s="10" t="s">
        <v>1679</v>
      </c>
      <c r="E2337" s="10" t="s">
        <v>1682</v>
      </c>
      <c r="F2337" t="s">
        <v>780</v>
      </c>
      <c r="G2337" s="4">
        <v>2530</v>
      </c>
      <c r="H2337" s="4"/>
      <c r="I2337" s="4"/>
      <c r="J2337" s="4">
        <f>SUM(G2337:I2337)</f>
        <v>2530</v>
      </c>
      <c r="K2337" t="s">
        <v>1659</v>
      </c>
      <c r="L2337" t="s">
        <v>1659</v>
      </c>
      <c r="M2337" t="s">
        <v>1354</v>
      </c>
      <c r="N2337" t="s">
        <v>1132</v>
      </c>
      <c r="O2337" t="s">
        <v>1132</v>
      </c>
      <c r="P2337" t="str">
        <f>IFERROR(VLOOKUP(F2337,Sheet1!$A$2:$B$54,2,FALSE),"")</f>
        <v/>
      </c>
    </row>
    <row r="2338" spans="1:16" x14ac:dyDescent="0.2">
      <c r="A2338" s="1">
        <v>2016</v>
      </c>
      <c r="B2338" t="s">
        <v>283</v>
      </c>
      <c r="C2338" s="10" t="s">
        <v>1678</v>
      </c>
      <c r="D2338" s="10" t="s">
        <v>1679</v>
      </c>
      <c r="E2338" s="10" t="s">
        <v>1682</v>
      </c>
      <c r="F2338" t="s">
        <v>780</v>
      </c>
      <c r="G2338" s="4">
        <v>6068</v>
      </c>
      <c r="H2338" s="4"/>
      <c r="I2338" s="4"/>
      <c r="J2338" s="4">
        <f>SUM(G2338:I2338)</f>
        <v>6068</v>
      </c>
      <c r="K2338" t="s">
        <v>1659</v>
      </c>
      <c r="L2338" t="s">
        <v>1659</v>
      </c>
      <c r="M2338" t="s">
        <v>1354</v>
      </c>
      <c r="N2338" t="s">
        <v>1132</v>
      </c>
      <c r="O2338" t="s">
        <v>1132</v>
      </c>
      <c r="P2338" t="str">
        <f>IFERROR(VLOOKUP(F2338,Sheet1!$A$2:$B$54,2,FALSE),"")</f>
        <v/>
      </c>
    </row>
    <row r="2339" spans="1:16" x14ac:dyDescent="0.2">
      <c r="A2339" s="1">
        <v>2017</v>
      </c>
      <c r="B2339" t="s">
        <v>283</v>
      </c>
      <c r="C2339" s="10" t="s">
        <v>1678</v>
      </c>
      <c r="D2339" s="10" t="s">
        <v>1679</v>
      </c>
      <c r="E2339" s="10" t="s">
        <v>1682</v>
      </c>
      <c r="F2339" t="s">
        <v>780</v>
      </c>
      <c r="G2339" s="4">
        <v>11929</v>
      </c>
      <c r="H2339" s="4"/>
      <c r="I2339" s="4"/>
      <c r="J2339" s="4">
        <f>SUM(G2339:I2339)</f>
        <v>11929</v>
      </c>
      <c r="K2339" t="s">
        <v>1659</v>
      </c>
      <c r="L2339" t="s">
        <v>1659</v>
      </c>
      <c r="M2339" t="s">
        <v>1354</v>
      </c>
      <c r="N2339" t="s">
        <v>1132</v>
      </c>
      <c r="O2339" t="s">
        <v>1132</v>
      </c>
      <c r="P2339" t="str">
        <f>IFERROR(VLOOKUP(F2339,Sheet1!$A$2:$B$54,2,FALSE),"")</f>
        <v/>
      </c>
    </row>
    <row r="2340" spans="1:16" x14ac:dyDescent="0.2">
      <c r="A2340" s="1">
        <v>2018</v>
      </c>
      <c r="B2340" t="s">
        <v>283</v>
      </c>
      <c r="C2340" s="10" t="s">
        <v>1678</v>
      </c>
      <c r="D2340" s="10" t="s">
        <v>1679</v>
      </c>
      <c r="E2340" s="10" t="s">
        <v>1682</v>
      </c>
      <c r="F2340" t="s">
        <v>780</v>
      </c>
      <c r="G2340" s="4">
        <v>15082</v>
      </c>
      <c r="H2340" s="4"/>
      <c r="I2340" s="4"/>
      <c r="J2340" s="4">
        <f>SUM(G2340:I2340)</f>
        <v>15082</v>
      </c>
      <c r="K2340" t="s">
        <v>1659</v>
      </c>
      <c r="L2340" t="s">
        <v>1659</v>
      </c>
      <c r="M2340" t="s">
        <v>1354</v>
      </c>
      <c r="N2340" t="s">
        <v>1132</v>
      </c>
      <c r="O2340" t="s">
        <v>1132</v>
      </c>
      <c r="P2340" t="str">
        <f>IFERROR(VLOOKUP(F2340,Sheet1!$A$2:$B$54,2,FALSE),"")</f>
        <v/>
      </c>
    </row>
    <row r="2341" spans="1:16" x14ac:dyDescent="0.2">
      <c r="A2341" s="1">
        <v>2019</v>
      </c>
      <c r="B2341" t="s">
        <v>283</v>
      </c>
      <c r="C2341" s="10" t="s">
        <v>1678</v>
      </c>
      <c r="D2341" s="10" t="s">
        <v>1679</v>
      </c>
      <c r="E2341" s="10" t="s">
        <v>1682</v>
      </c>
      <c r="F2341" t="s">
        <v>780</v>
      </c>
      <c r="G2341" s="4">
        <v>15470</v>
      </c>
      <c r="H2341" s="4"/>
      <c r="I2341" s="4"/>
      <c r="J2341" s="4">
        <f>SUM(G2341:I2341)</f>
        <v>15470</v>
      </c>
      <c r="K2341" t="s">
        <v>1659</v>
      </c>
      <c r="L2341" t="s">
        <v>1659</v>
      </c>
      <c r="M2341" t="s">
        <v>1354</v>
      </c>
      <c r="N2341" t="s">
        <v>1132</v>
      </c>
      <c r="O2341" t="s">
        <v>1132</v>
      </c>
      <c r="P2341" t="str">
        <f>IFERROR(VLOOKUP(F2341,Sheet1!$A$2:$B$54,2,FALSE),"")</f>
        <v/>
      </c>
    </row>
    <row r="2342" spans="1:16" x14ac:dyDescent="0.2">
      <c r="A2342" s="1">
        <v>2020</v>
      </c>
      <c r="B2342" t="s">
        <v>283</v>
      </c>
      <c r="C2342" s="10" t="s">
        <v>1678</v>
      </c>
      <c r="D2342" s="10" t="s">
        <v>1679</v>
      </c>
      <c r="E2342" s="10" t="s">
        <v>1682</v>
      </c>
      <c r="F2342" t="s">
        <v>780</v>
      </c>
      <c r="G2342" s="4">
        <v>17303</v>
      </c>
      <c r="H2342" s="4"/>
      <c r="I2342" s="4"/>
      <c r="J2342" s="4">
        <f>SUM(G2342:I2342)</f>
        <v>17303</v>
      </c>
      <c r="K2342" t="s">
        <v>1659</v>
      </c>
      <c r="L2342" t="s">
        <v>1659</v>
      </c>
      <c r="M2342" t="s">
        <v>1354</v>
      </c>
      <c r="N2342" t="s">
        <v>1132</v>
      </c>
      <c r="O2342" t="s">
        <v>1132</v>
      </c>
      <c r="P2342" t="str">
        <f>IFERROR(VLOOKUP(F2342,Sheet1!$A$2:$B$54,2,FALSE),"")</f>
        <v/>
      </c>
    </row>
    <row r="2343" spans="1:16" x14ac:dyDescent="0.2">
      <c r="A2343" s="1">
        <v>2021</v>
      </c>
      <c r="B2343" t="s">
        <v>283</v>
      </c>
      <c r="C2343" s="10" t="s">
        <v>1678</v>
      </c>
      <c r="D2343" s="10" t="s">
        <v>1679</v>
      </c>
      <c r="E2343" s="10" t="s">
        <v>1682</v>
      </c>
      <c r="F2343" t="s">
        <v>780</v>
      </c>
      <c r="G2343" s="4">
        <v>19297</v>
      </c>
      <c r="H2343" s="4"/>
      <c r="I2343" s="4"/>
      <c r="J2343" s="4">
        <f>SUM(G2343:I2343)</f>
        <v>19297</v>
      </c>
      <c r="K2343" t="s">
        <v>1659</v>
      </c>
      <c r="L2343" t="s">
        <v>1659</v>
      </c>
      <c r="M2343" t="s">
        <v>780</v>
      </c>
      <c r="N2343" t="s">
        <v>1132</v>
      </c>
      <c r="O2343" t="s">
        <v>1132</v>
      </c>
      <c r="P2343" t="str">
        <f>IFERROR(VLOOKUP(F2343,Sheet1!$A$2:$B$54,2,FALSE),"")</f>
        <v/>
      </c>
    </row>
    <row r="2344" spans="1:16" x14ac:dyDescent="0.2">
      <c r="A2344" s="1">
        <v>2022</v>
      </c>
      <c r="B2344" t="s">
        <v>283</v>
      </c>
      <c r="C2344" s="10" t="s">
        <v>1678</v>
      </c>
      <c r="D2344" s="10" t="s">
        <v>1679</v>
      </c>
      <c r="E2344" s="10" t="s">
        <v>1682</v>
      </c>
      <c r="F2344" t="s">
        <v>780</v>
      </c>
      <c r="G2344" s="4">
        <v>31092</v>
      </c>
      <c r="H2344" s="4"/>
      <c r="I2344" s="4"/>
      <c r="J2344" s="4">
        <f>SUM(G2344:I2344)</f>
        <v>31092</v>
      </c>
      <c r="K2344" t="s">
        <v>1659</v>
      </c>
      <c r="L2344" t="s">
        <v>1659</v>
      </c>
      <c r="M2344" t="s">
        <v>780</v>
      </c>
      <c r="N2344" t="s">
        <v>1132</v>
      </c>
      <c r="O2344" t="s">
        <v>1132</v>
      </c>
      <c r="P2344" t="str">
        <f>IFERROR(VLOOKUP(F2344,Sheet1!$A$2:$B$54,2,FALSE),"")</f>
        <v/>
      </c>
    </row>
    <row r="2345" spans="1:16" x14ac:dyDescent="0.2">
      <c r="A2345" s="1">
        <v>2023</v>
      </c>
      <c r="B2345" t="s">
        <v>283</v>
      </c>
      <c r="C2345" s="10" t="s">
        <v>1678</v>
      </c>
      <c r="D2345" s="10" t="s">
        <v>1679</v>
      </c>
      <c r="E2345" s="10" t="s">
        <v>1682</v>
      </c>
      <c r="F2345" t="s">
        <v>780</v>
      </c>
      <c r="G2345" s="4">
        <v>43831</v>
      </c>
      <c r="H2345" s="4"/>
      <c r="I2345" s="4"/>
      <c r="J2345" s="4">
        <f>SUM(G2345:I2345)</f>
        <v>43831</v>
      </c>
      <c r="K2345" t="s">
        <v>1659</v>
      </c>
      <c r="L2345" t="s">
        <v>1659</v>
      </c>
      <c r="M2345" t="s">
        <v>780</v>
      </c>
      <c r="N2345" t="s">
        <v>1132</v>
      </c>
      <c r="O2345" t="s">
        <v>1132</v>
      </c>
      <c r="P2345" t="str">
        <f>IFERROR(VLOOKUP(F2345,Sheet1!$A$2:$B$54,2,FALSE),"")</f>
        <v/>
      </c>
    </row>
    <row r="2346" spans="1:16" x14ac:dyDescent="0.2">
      <c r="A2346" s="1">
        <v>2015</v>
      </c>
      <c r="B2346" t="s">
        <v>284</v>
      </c>
      <c r="C2346" s="10" t="s">
        <v>1678</v>
      </c>
      <c r="D2346" s="10" t="s">
        <v>1679</v>
      </c>
      <c r="E2346" s="10" t="s">
        <v>1682</v>
      </c>
      <c r="F2346" t="s">
        <v>781</v>
      </c>
      <c r="G2346" s="4">
        <v>2530</v>
      </c>
      <c r="H2346" s="4"/>
      <c r="I2346" s="4"/>
      <c r="J2346" s="4">
        <f>SUM(G2346:I2346)</f>
        <v>2530</v>
      </c>
      <c r="K2346" t="s">
        <v>1659</v>
      </c>
      <c r="L2346" t="s">
        <v>1659</v>
      </c>
      <c r="M2346" t="s">
        <v>1355</v>
      </c>
      <c r="N2346" t="s">
        <v>1132</v>
      </c>
      <c r="O2346" t="s">
        <v>1132</v>
      </c>
      <c r="P2346" t="str">
        <f>IFERROR(VLOOKUP(F2346,Sheet1!$A$2:$B$54,2,FALSE),"")</f>
        <v/>
      </c>
    </row>
    <row r="2347" spans="1:16" x14ac:dyDescent="0.2">
      <c r="A2347" s="1">
        <v>2016</v>
      </c>
      <c r="B2347" t="s">
        <v>284</v>
      </c>
      <c r="C2347" s="10" t="s">
        <v>1678</v>
      </c>
      <c r="D2347" s="10" t="s">
        <v>1679</v>
      </c>
      <c r="E2347" s="10" t="s">
        <v>1682</v>
      </c>
      <c r="F2347" t="s">
        <v>781</v>
      </c>
      <c r="G2347" s="4">
        <v>14115</v>
      </c>
      <c r="H2347" s="4"/>
      <c r="I2347" s="4"/>
      <c r="J2347" s="4">
        <f>SUM(G2347:I2347)</f>
        <v>14115</v>
      </c>
      <c r="K2347" t="s">
        <v>1659</v>
      </c>
      <c r="L2347" t="s">
        <v>1659</v>
      </c>
      <c r="M2347" t="s">
        <v>1355</v>
      </c>
      <c r="N2347" t="s">
        <v>1132</v>
      </c>
      <c r="O2347" t="s">
        <v>1132</v>
      </c>
      <c r="P2347" t="str">
        <f>IFERROR(VLOOKUP(F2347,Sheet1!$A$2:$B$54,2,FALSE),"")</f>
        <v/>
      </c>
    </row>
    <row r="2348" spans="1:16" x14ac:dyDescent="0.2">
      <c r="A2348" s="1">
        <v>2017</v>
      </c>
      <c r="B2348" t="s">
        <v>284</v>
      </c>
      <c r="C2348" s="10" t="s">
        <v>1678</v>
      </c>
      <c r="D2348" s="10" t="s">
        <v>1679</v>
      </c>
      <c r="E2348" s="10" t="s">
        <v>1682</v>
      </c>
      <c r="F2348" t="s">
        <v>781</v>
      </c>
      <c r="G2348" s="4">
        <v>20708</v>
      </c>
      <c r="H2348" s="4"/>
      <c r="I2348" s="4"/>
      <c r="J2348" s="4">
        <f>SUM(G2348:I2348)</f>
        <v>20708</v>
      </c>
      <c r="K2348" t="s">
        <v>1659</v>
      </c>
      <c r="L2348" t="s">
        <v>1659</v>
      </c>
      <c r="M2348" t="s">
        <v>1355</v>
      </c>
      <c r="N2348" t="s">
        <v>1132</v>
      </c>
      <c r="O2348" t="s">
        <v>1132</v>
      </c>
      <c r="P2348" t="str">
        <f>IFERROR(VLOOKUP(F2348,Sheet1!$A$2:$B$54,2,FALSE),"")</f>
        <v/>
      </c>
    </row>
    <row r="2349" spans="1:16" x14ac:dyDescent="0.2">
      <c r="A2349" s="1">
        <v>2018</v>
      </c>
      <c r="B2349" t="s">
        <v>284</v>
      </c>
      <c r="C2349" s="10" t="s">
        <v>1678</v>
      </c>
      <c r="D2349" s="10" t="s">
        <v>1679</v>
      </c>
      <c r="E2349" s="10" t="s">
        <v>1682</v>
      </c>
      <c r="F2349" t="s">
        <v>781</v>
      </c>
      <c r="G2349" s="4">
        <v>26121</v>
      </c>
      <c r="H2349" s="4"/>
      <c r="I2349" s="4"/>
      <c r="J2349" s="4">
        <f>SUM(G2349:I2349)</f>
        <v>26121</v>
      </c>
      <c r="K2349" t="s">
        <v>1659</v>
      </c>
      <c r="L2349" t="s">
        <v>1659</v>
      </c>
      <c r="M2349" t="s">
        <v>1355</v>
      </c>
      <c r="N2349" t="s">
        <v>1132</v>
      </c>
      <c r="O2349" t="s">
        <v>1132</v>
      </c>
      <c r="P2349" t="str">
        <f>IFERROR(VLOOKUP(F2349,Sheet1!$A$2:$B$54,2,FALSE),"")</f>
        <v/>
      </c>
    </row>
    <row r="2350" spans="1:16" x14ac:dyDescent="0.2">
      <c r="A2350" s="1">
        <v>2019</v>
      </c>
      <c r="B2350" t="s">
        <v>284</v>
      </c>
      <c r="C2350" s="10" t="s">
        <v>1678</v>
      </c>
      <c r="D2350" s="10" t="s">
        <v>1679</v>
      </c>
      <c r="E2350" s="10" t="s">
        <v>1682</v>
      </c>
      <c r="F2350" t="s">
        <v>781</v>
      </c>
      <c r="G2350" s="4">
        <v>37157</v>
      </c>
      <c r="H2350" s="4"/>
      <c r="I2350" s="4"/>
      <c r="J2350" s="4">
        <f>SUM(G2350:I2350)</f>
        <v>37157</v>
      </c>
      <c r="K2350" t="s">
        <v>1659</v>
      </c>
      <c r="L2350" t="s">
        <v>1659</v>
      </c>
      <c r="M2350" t="s">
        <v>1355</v>
      </c>
      <c r="N2350" t="s">
        <v>1132</v>
      </c>
      <c r="O2350" t="s">
        <v>1132</v>
      </c>
      <c r="P2350" t="str">
        <f>IFERROR(VLOOKUP(F2350,Sheet1!$A$2:$B$54,2,FALSE),"")</f>
        <v/>
      </c>
    </row>
    <row r="2351" spans="1:16" x14ac:dyDescent="0.2">
      <c r="A2351" s="1">
        <v>2020</v>
      </c>
      <c r="B2351" t="s">
        <v>284</v>
      </c>
      <c r="C2351" s="10" t="s">
        <v>1678</v>
      </c>
      <c r="D2351" s="10" t="s">
        <v>1679</v>
      </c>
      <c r="E2351" s="10" t="s">
        <v>1682</v>
      </c>
      <c r="F2351" t="s">
        <v>781</v>
      </c>
      <c r="G2351" s="4">
        <v>47026</v>
      </c>
      <c r="H2351" s="4"/>
      <c r="I2351" s="4"/>
      <c r="J2351" s="4">
        <f>SUM(G2351:I2351)</f>
        <v>47026</v>
      </c>
      <c r="K2351" t="s">
        <v>1659</v>
      </c>
      <c r="L2351" t="s">
        <v>1659</v>
      </c>
      <c r="M2351" t="s">
        <v>1355</v>
      </c>
      <c r="N2351" t="s">
        <v>1132</v>
      </c>
      <c r="O2351" t="s">
        <v>1132</v>
      </c>
      <c r="P2351" t="str">
        <f>IFERROR(VLOOKUP(F2351,Sheet1!$A$2:$B$54,2,FALSE),"")</f>
        <v/>
      </c>
    </row>
    <row r="2352" spans="1:16" x14ac:dyDescent="0.2">
      <c r="A2352" s="1">
        <v>2021</v>
      </c>
      <c r="B2352" t="s">
        <v>284</v>
      </c>
      <c r="C2352" s="10" t="s">
        <v>1678</v>
      </c>
      <c r="D2352" s="10" t="s">
        <v>1679</v>
      </c>
      <c r="E2352" s="10" t="s">
        <v>1682</v>
      </c>
      <c r="F2352" t="s">
        <v>781</v>
      </c>
      <c r="G2352" s="4">
        <v>55456</v>
      </c>
      <c r="H2352" s="4"/>
      <c r="I2352" s="4"/>
      <c r="J2352" s="4">
        <f>SUM(G2352:I2352)</f>
        <v>55456</v>
      </c>
      <c r="K2352" t="s">
        <v>1659</v>
      </c>
      <c r="L2352" t="s">
        <v>1659</v>
      </c>
      <c r="M2352" t="s">
        <v>781</v>
      </c>
      <c r="N2352" t="s">
        <v>1132</v>
      </c>
      <c r="O2352" t="s">
        <v>1132</v>
      </c>
      <c r="P2352" t="str">
        <f>IFERROR(VLOOKUP(F2352,Sheet1!$A$2:$B$54,2,FALSE),"")</f>
        <v/>
      </c>
    </row>
    <row r="2353" spans="1:16" x14ac:dyDescent="0.2">
      <c r="A2353" s="1">
        <v>2022</v>
      </c>
      <c r="B2353" t="s">
        <v>284</v>
      </c>
      <c r="C2353" s="10" t="s">
        <v>1678</v>
      </c>
      <c r="D2353" s="10" t="s">
        <v>1679</v>
      </c>
      <c r="E2353" s="10" t="s">
        <v>1682</v>
      </c>
      <c r="F2353" t="s">
        <v>781</v>
      </c>
      <c r="G2353" s="4">
        <v>70026</v>
      </c>
      <c r="H2353" s="4"/>
      <c r="I2353" s="4"/>
      <c r="J2353" s="4">
        <f>SUM(G2353:I2353)</f>
        <v>70026</v>
      </c>
      <c r="K2353" t="s">
        <v>1659</v>
      </c>
      <c r="L2353" t="s">
        <v>1659</v>
      </c>
      <c r="M2353" t="s">
        <v>781</v>
      </c>
      <c r="N2353" t="s">
        <v>1132</v>
      </c>
      <c r="O2353" t="s">
        <v>1132</v>
      </c>
      <c r="P2353" t="str">
        <f>IFERROR(VLOOKUP(F2353,Sheet1!$A$2:$B$54,2,FALSE),"")</f>
        <v/>
      </c>
    </row>
    <row r="2354" spans="1:16" x14ac:dyDescent="0.2">
      <c r="A2354" s="1">
        <v>2023</v>
      </c>
      <c r="B2354" t="s">
        <v>284</v>
      </c>
      <c r="C2354" s="10" t="s">
        <v>1678</v>
      </c>
      <c r="D2354" s="10" t="s">
        <v>1679</v>
      </c>
      <c r="E2354" s="10" t="s">
        <v>1682</v>
      </c>
      <c r="F2354" t="s">
        <v>781</v>
      </c>
      <c r="G2354" s="4">
        <v>81205</v>
      </c>
      <c r="H2354" s="4"/>
      <c r="I2354" s="4"/>
      <c r="J2354" s="4">
        <f>SUM(G2354:I2354)</f>
        <v>81205</v>
      </c>
      <c r="K2354" t="s">
        <v>1659</v>
      </c>
      <c r="L2354" t="s">
        <v>1659</v>
      </c>
      <c r="M2354" t="s">
        <v>781</v>
      </c>
      <c r="N2354" t="s">
        <v>1132</v>
      </c>
      <c r="O2354" t="s">
        <v>1132</v>
      </c>
      <c r="P2354" t="str">
        <f>IFERROR(VLOOKUP(F2354,Sheet1!$A$2:$B$54,2,FALSE),"")</f>
        <v/>
      </c>
    </row>
    <row r="2355" spans="1:16" x14ac:dyDescent="0.2">
      <c r="A2355" s="1">
        <v>2015</v>
      </c>
      <c r="B2355" t="s">
        <v>285</v>
      </c>
      <c r="C2355" s="10" t="s">
        <v>1678</v>
      </c>
      <c r="D2355" s="10" t="s">
        <v>1679</v>
      </c>
      <c r="E2355" s="10" t="s">
        <v>1682</v>
      </c>
      <c r="F2355" t="s">
        <v>782</v>
      </c>
      <c r="G2355" s="4">
        <v>12205</v>
      </c>
      <c r="H2355" s="4"/>
      <c r="I2355" s="4"/>
      <c r="J2355" s="4">
        <f>SUM(G2355:I2355)</f>
        <v>12205</v>
      </c>
      <c r="K2355" t="s">
        <v>1659</v>
      </c>
      <c r="L2355" t="s">
        <v>1659</v>
      </c>
      <c r="M2355" t="s">
        <v>1356</v>
      </c>
      <c r="N2355" t="s">
        <v>1132</v>
      </c>
      <c r="O2355" t="s">
        <v>1132</v>
      </c>
      <c r="P2355" t="str">
        <f>IFERROR(VLOOKUP(F2355,Sheet1!$A$2:$B$54,2,FALSE),"")</f>
        <v/>
      </c>
    </row>
    <row r="2356" spans="1:16" x14ac:dyDescent="0.2">
      <c r="A2356" s="1">
        <v>2016</v>
      </c>
      <c r="B2356" t="s">
        <v>285</v>
      </c>
      <c r="C2356" s="10" t="s">
        <v>1678</v>
      </c>
      <c r="D2356" s="10" t="s">
        <v>1679</v>
      </c>
      <c r="E2356" s="10" t="s">
        <v>1682</v>
      </c>
      <c r="F2356" t="s">
        <v>782</v>
      </c>
      <c r="G2356" s="4">
        <v>22449</v>
      </c>
      <c r="H2356" s="4"/>
      <c r="I2356" s="4"/>
      <c r="J2356" s="4">
        <f>SUM(G2356:I2356)</f>
        <v>22449</v>
      </c>
      <c r="K2356" t="s">
        <v>1659</v>
      </c>
      <c r="L2356" t="s">
        <v>1659</v>
      </c>
      <c r="M2356" t="s">
        <v>1356</v>
      </c>
      <c r="N2356" t="s">
        <v>1132</v>
      </c>
      <c r="O2356" t="s">
        <v>1132</v>
      </c>
      <c r="P2356" t="str">
        <f>IFERROR(VLOOKUP(F2356,Sheet1!$A$2:$B$54,2,FALSE),"")</f>
        <v/>
      </c>
    </row>
    <row r="2357" spans="1:16" x14ac:dyDescent="0.2">
      <c r="A2357" s="1">
        <v>2017</v>
      </c>
      <c r="B2357" t="s">
        <v>285</v>
      </c>
      <c r="C2357" s="10" t="s">
        <v>1678</v>
      </c>
      <c r="D2357" s="10" t="s">
        <v>1679</v>
      </c>
      <c r="E2357" s="10" t="s">
        <v>1682</v>
      </c>
      <c r="F2357" t="s">
        <v>782</v>
      </c>
      <c r="G2357" s="4">
        <v>24968</v>
      </c>
      <c r="H2357" s="4"/>
      <c r="I2357" s="4"/>
      <c r="J2357" s="4">
        <f>SUM(G2357:I2357)</f>
        <v>24968</v>
      </c>
      <c r="K2357" t="s">
        <v>1659</v>
      </c>
      <c r="L2357" t="s">
        <v>1659</v>
      </c>
      <c r="M2357" t="s">
        <v>1356</v>
      </c>
      <c r="N2357" t="s">
        <v>1132</v>
      </c>
      <c r="O2357" t="s">
        <v>1132</v>
      </c>
      <c r="P2357" t="str">
        <f>IFERROR(VLOOKUP(F2357,Sheet1!$A$2:$B$54,2,FALSE),"")</f>
        <v/>
      </c>
    </row>
    <row r="2358" spans="1:16" x14ac:dyDescent="0.2">
      <c r="A2358" s="1">
        <v>2018</v>
      </c>
      <c r="B2358" t="s">
        <v>285</v>
      </c>
      <c r="C2358" s="10" t="s">
        <v>1678</v>
      </c>
      <c r="D2358" s="10" t="s">
        <v>1679</v>
      </c>
      <c r="E2358" s="10" t="s">
        <v>1682</v>
      </c>
      <c r="F2358" t="s">
        <v>782</v>
      </c>
      <c r="G2358" s="4">
        <v>36350</v>
      </c>
      <c r="H2358" s="4"/>
      <c r="I2358" s="4"/>
      <c r="J2358" s="4">
        <f>SUM(G2358:I2358)</f>
        <v>36350</v>
      </c>
      <c r="K2358" t="s">
        <v>1659</v>
      </c>
      <c r="L2358" t="s">
        <v>1659</v>
      </c>
      <c r="M2358" t="s">
        <v>1356</v>
      </c>
      <c r="N2358" t="s">
        <v>1132</v>
      </c>
      <c r="O2358" t="s">
        <v>1132</v>
      </c>
      <c r="P2358" t="str">
        <f>IFERROR(VLOOKUP(F2358,Sheet1!$A$2:$B$54,2,FALSE),"")</f>
        <v/>
      </c>
    </row>
    <row r="2359" spans="1:16" x14ac:dyDescent="0.2">
      <c r="A2359" s="1">
        <v>2019</v>
      </c>
      <c r="B2359" t="s">
        <v>285</v>
      </c>
      <c r="C2359" s="10" t="s">
        <v>1678</v>
      </c>
      <c r="D2359" s="10" t="s">
        <v>1679</v>
      </c>
      <c r="E2359" s="10" t="s">
        <v>1682</v>
      </c>
      <c r="F2359" t="s">
        <v>782</v>
      </c>
      <c r="G2359" s="4">
        <v>42240</v>
      </c>
      <c r="H2359" s="4"/>
      <c r="I2359" s="4"/>
      <c r="J2359" s="4">
        <f>SUM(G2359:I2359)</f>
        <v>42240</v>
      </c>
      <c r="K2359" t="s">
        <v>1659</v>
      </c>
      <c r="L2359" t="s">
        <v>1659</v>
      </c>
      <c r="M2359" t="s">
        <v>1356</v>
      </c>
      <c r="N2359" t="s">
        <v>1132</v>
      </c>
      <c r="O2359" t="s">
        <v>1132</v>
      </c>
      <c r="P2359" t="str">
        <f>IFERROR(VLOOKUP(F2359,Sheet1!$A$2:$B$54,2,FALSE),"")</f>
        <v/>
      </c>
    </row>
    <row r="2360" spans="1:16" x14ac:dyDescent="0.2">
      <c r="A2360" s="1">
        <v>2020</v>
      </c>
      <c r="B2360" t="s">
        <v>285</v>
      </c>
      <c r="C2360" s="10" t="s">
        <v>1678</v>
      </c>
      <c r="D2360" s="10" t="s">
        <v>1679</v>
      </c>
      <c r="E2360" s="10" t="s">
        <v>1682</v>
      </c>
      <c r="F2360" t="s">
        <v>782</v>
      </c>
      <c r="G2360" s="4">
        <v>31729</v>
      </c>
      <c r="H2360" s="4"/>
      <c r="I2360" s="4"/>
      <c r="J2360" s="4">
        <f>SUM(G2360:I2360)</f>
        <v>31729</v>
      </c>
      <c r="K2360" t="s">
        <v>1659</v>
      </c>
      <c r="L2360" t="s">
        <v>1659</v>
      </c>
      <c r="M2360" t="s">
        <v>1356</v>
      </c>
      <c r="N2360" t="s">
        <v>1132</v>
      </c>
      <c r="O2360" t="s">
        <v>1132</v>
      </c>
      <c r="P2360" t="str">
        <f>IFERROR(VLOOKUP(F2360,Sheet1!$A$2:$B$54,2,FALSE),"")</f>
        <v/>
      </c>
    </row>
    <row r="2361" spans="1:16" x14ac:dyDescent="0.2">
      <c r="A2361" s="1">
        <v>2021</v>
      </c>
      <c r="B2361" t="s">
        <v>285</v>
      </c>
      <c r="C2361" s="10" t="s">
        <v>1678</v>
      </c>
      <c r="D2361" s="10" t="s">
        <v>1679</v>
      </c>
      <c r="E2361" s="10" t="s">
        <v>1682</v>
      </c>
      <c r="F2361" t="s">
        <v>782</v>
      </c>
      <c r="G2361" s="4">
        <v>51796</v>
      </c>
      <c r="H2361" s="4"/>
      <c r="I2361" s="4"/>
      <c r="J2361" s="4">
        <f>SUM(G2361:I2361)</f>
        <v>51796</v>
      </c>
      <c r="K2361" t="s">
        <v>1659</v>
      </c>
      <c r="L2361" t="s">
        <v>1659</v>
      </c>
      <c r="M2361" t="s">
        <v>782</v>
      </c>
      <c r="N2361" t="s">
        <v>1132</v>
      </c>
      <c r="O2361" t="s">
        <v>1132</v>
      </c>
      <c r="P2361" t="str">
        <f>IFERROR(VLOOKUP(F2361,Sheet1!$A$2:$B$54,2,FALSE),"")</f>
        <v/>
      </c>
    </row>
    <row r="2362" spans="1:16" x14ac:dyDescent="0.2">
      <c r="A2362" s="1">
        <v>2022</v>
      </c>
      <c r="B2362" t="s">
        <v>285</v>
      </c>
      <c r="C2362" s="10" t="s">
        <v>1678</v>
      </c>
      <c r="D2362" s="10" t="s">
        <v>1679</v>
      </c>
      <c r="E2362" s="10" t="s">
        <v>1682</v>
      </c>
      <c r="F2362" t="s">
        <v>782</v>
      </c>
      <c r="G2362" s="4">
        <v>65806</v>
      </c>
      <c r="H2362" s="4"/>
      <c r="I2362" s="4"/>
      <c r="J2362" s="4">
        <f>SUM(G2362:I2362)</f>
        <v>65806</v>
      </c>
      <c r="K2362" t="s">
        <v>1659</v>
      </c>
      <c r="L2362" t="s">
        <v>1659</v>
      </c>
      <c r="M2362" t="s">
        <v>782</v>
      </c>
      <c r="N2362" t="s">
        <v>1132</v>
      </c>
      <c r="O2362" t="s">
        <v>1132</v>
      </c>
      <c r="P2362" t="str">
        <f>IFERROR(VLOOKUP(F2362,Sheet1!$A$2:$B$54,2,FALSE),"")</f>
        <v/>
      </c>
    </row>
    <row r="2363" spans="1:16" x14ac:dyDescent="0.2">
      <c r="A2363" s="1">
        <v>2023</v>
      </c>
      <c r="B2363" t="s">
        <v>285</v>
      </c>
      <c r="C2363" s="10" t="s">
        <v>1678</v>
      </c>
      <c r="D2363" s="10" t="s">
        <v>1679</v>
      </c>
      <c r="E2363" s="10" t="s">
        <v>1682</v>
      </c>
      <c r="F2363" t="s">
        <v>782</v>
      </c>
      <c r="G2363" s="4">
        <v>81624</v>
      </c>
      <c r="H2363" s="4"/>
      <c r="I2363" s="4"/>
      <c r="J2363" s="4">
        <f>SUM(G2363:I2363)</f>
        <v>81624</v>
      </c>
      <c r="K2363" t="s">
        <v>1659</v>
      </c>
      <c r="L2363" t="s">
        <v>1659</v>
      </c>
      <c r="M2363" t="s">
        <v>782</v>
      </c>
      <c r="N2363" t="s">
        <v>1132</v>
      </c>
      <c r="O2363" t="s">
        <v>1132</v>
      </c>
      <c r="P2363" t="str">
        <f>IFERROR(VLOOKUP(F2363,Sheet1!$A$2:$B$54,2,FALSE),"")</f>
        <v/>
      </c>
    </row>
    <row r="2364" spans="1:16" x14ac:dyDescent="0.2">
      <c r="A2364" s="1">
        <v>2023</v>
      </c>
      <c r="B2364" t="s">
        <v>286</v>
      </c>
      <c r="C2364" s="10" t="s">
        <v>1678</v>
      </c>
      <c r="D2364" s="10" t="s">
        <v>1679</v>
      </c>
      <c r="E2364" s="10" t="s">
        <v>1682</v>
      </c>
      <c r="F2364" t="s">
        <v>783</v>
      </c>
      <c r="G2364" s="4">
        <v>1236</v>
      </c>
      <c r="H2364" s="4"/>
      <c r="I2364" s="4"/>
      <c r="J2364" s="4">
        <f>SUM(G2364:I2364)</f>
        <v>1236</v>
      </c>
      <c r="K2364" t="s">
        <v>1659</v>
      </c>
      <c r="L2364" t="s">
        <v>1659</v>
      </c>
      <c r="M2364" t="s">
        <v>783</v>
      </c>
      <c r="N2364" t="s">
        <v>1132</v>
      </c>
      <c r="O2364" t="s">
        <v>1132</v>
      </c>
      <c r="P2364" t="str">
        <f>IFERROR(VLOOKUP(F2364,Sheet1!$A$2:$B$54,2,FALSE),"")</f>
        <v/>
      </c>
    </row>
    <row r="2365" spans="1:16" x14ac:dyDescent="0.2">
      <c r="A2365" s="1">
        <v>2015</v>
      </c>
      <c r="B2365" t="s">
        <v>287</v>
      </c>
      <c r="C2365" s="10" t="s">
        <v>1678</v>
      </c>
      <c r="D2365" s="10" t="s">
        <v>1679</v>
      </c>
      <c r="E2365" s="10" t="s">
        <v>1682</v>
      </c>
      <c r="F2365" t="s">
        <v>784</v>
      </c>
      <c r="G2365" s="4">
        <v>41384</v>
      </c>
      <c r="H2365" s="4"/>
      <c r="I2365" s="4"/>
      <c r="J2365" s="4">
        <f>SUM(G2365:I2365)</f>
        <v>41384</v>
      </c>
      <c r="K2365" t="s">
        <v>1659</v>
      </c>
      <c r="L2365" t="s">
        <v>1659</v>
      </c>
      <c r="M2365" t="s">
        <v>1357</v>
      </c>
      <c r="N2365" t="s">
        <v>1132</v>
      </c>
      <c r="O2365" t="s">
        <v>1132</v>
      </c>
      <c r="P2365" t="str">
        <f>IFERROR(VLOOKUP(F2365,Sheet1!$A$2:$B$54,2,FALSE),"")</f>
        <v/>
      </c>
    </row>
    <row r="2366" spans="1:16" x14ac:dyDescent="0.2">
      <c r="A2366" s="1">
        <v>2016</v>
      </c>
      <c r="B2366" t="s">
        <v>287</v>
      </c>
      <c r="C2366" s="10" t="s">
        <v>1678</v>
      </c>
      <c r="D2366" s="10" t="s">
        <v>1679</v>
      </c>
      <c r="E2366" s="10" t="s">
        <v>1682</v>
      </c>
      <c r="F2366" t="s">
        <v>784</v>
      </c>
      <c r="G2366" s="4">
        <v>54047</v>
      </c>
      <c r="H2366" s="4"/>
      <c r="I2366" s="4"/>
      <c r="J2366" s="4">
        <f>SUM(G2366:I2366)</f>
        <v>54047</v>
      </c>
      <c r="K2366" t="s">
        <v>1659</v>
      </c>
      <c r="L2366" t="s">
        <v>1659</v>
      </c>
      <c r="M2366" t="s">
        <v>1357</v>
      </c>
      <c r="N2366" t="s">
        <v>1132</v>
      </c>
      <c r="O2366" t="s">
        <v>1132</v>
      </c>
      <c r="P2366" t="str">
        <f>IFERROR(VLOOKUP(F2366,Sheet1!$A$2:$B$54,2,FALSE),"")</f>
        <v/>
      </c>
    </row>
    <row r="2367" spans="1:16" x14ac:dyDescent="0.2">
      <c r="A2367" s="1">
        <v>2017</v>
      </c>
      <c r="B2367" t="s">
        <v>287</v>
      </c>
      <c r="C2367" s="10" t="s">
        <v>1678</v>
      </c>
      <c r="D2367" s="10" t="s">
        <v>1679</v>
      </c>
      <c r="E2367" s="10" t="s">
        <v>1682</v>
      </c>
      <c r="F2367" t="s">
        <v>784</v>
      </c>
      <c r="G2367" s="4">
        <v>68996</v>
      </c>
      <c r="H2367" s="4"/>
      <c r="I2367" s="4"/>
      <c r="J2367" s="4">
        <f>SUM(G2367:I2367)</f>
        <v>68996</v>
      </c>
      <c r="K2367" t="s">
        <v>1659</v>
      </c>
      <c r="L2367" t="s">
        <v>1659</v>
      </c>
      <c r="M2367" t="s">
        <v>1357</v>
      </c>
      <c r="N2367" t="s">
        <v>1132</v>
      </c>
      <c r="O2367" t="s">
        <v>1132</v>
      </c>
      <c r="P2367" t="str">
        <f>IFERROR(VLOOKUP(F2367,Sheet1!$A$2:$B$54,2,FALSE),"")</f>
        <v/>
      </c>
    </row>
    <row r="2368" spans="1:16" x14ac:dyDescent="0.2">
      <c r="A2368" s="1">
        <v>2018</v>
      </c>
      <c r="B2368" t="s">
        <v>287</v>
      </c>
      <c r="C2368" s="10" t="s">
        <v>1678</v>
      </c>
      <c r="D2368" s="10" t="s">
        <v>1679</v>
      </c>
      <c r="E2368" s="10" t="s">
        <v>1682</v>
      </c>
      <c r="F2368" t="s">
        <v>784</v>
      </c>
      <c r="G2368" s="4">
        <v>79076</v>
      </c>
      <c r="H2368" s="4"/>
      <c r="I2368" s="4"/>
      <c r="J2368" s="4">
        <f>SUM(G2368:I2368)</f>
        <v>79076</v>
      </c>
      <c r="K2368" t="s">
        <v>1659</v>
      </c>
      <c r="L2368" t="s">
        <v>1659</v>
      </c>
      <c r="M2368" t="s">
        <v>1357</v>
      </c>
      <c r="N2368" t="s">
        <v>1132</v>
      </c>
      <c r="O2368" t="s">
        <v>1132</v>
      </c>
      <c r="P2368" t="str">
        <f>IFERROR(VLOOKUP(F2368,Sheet1!$A$2:$B$54,2,FALSE),"")</f>
        <v/>
      </c>
    </row>
    <row r="2369" spans="1:16" x14ac:dyDescent="0.2">
      <c r="A2369" s="1">
        <v>2019</v>
      </c>
      <c r="B2369" t="s">
        <v>287</v>
      </c>
      <c r="C2369" s="10" t="s">
        <v>1678</v>
      </c>
      <c r="D2369" s="10" t="s">
        <v>1679</v>
      </c>
      <c r="E2369" s="10" t="s">
        <v>1682</v>
      </c>
      <c r="F2369" t="s">
        <v>784</v>
      </c>
      <c r="G2369" s="4">
        <v>83777</v>
      </c>
      <c r="H2369" s="4"/>
      <c r="I2369" s="4"/>
      <c r="J2369" s="4">
        <f>SUM(G2369:I2369)</f>
        <v>83777</v>
      </c>
      <c r="K2369" t="s">
        <v>1659</v>
      </c>
      <c r="L2369" t="s">
        <v>1659</v>
      </c>
      <c r="M2369" t="s">
        <v>1357</v>
      </c>
      <c r="N2369" t="s">
        <v>1132</v>
      </c>
      <c r="O2369" t="s">
        <v>1132</v>
      </c>
      <c r="P2369" t="str">
        <f>IFERROR(VLOOKUP(F2369,Sheet1!$A$2:$B$54,2,FALSE),"")</f>
        <v/>
      </c>
    </row>
    <row r="2370" spans="1:16" x14ac:dyDescent="0.2">
      <c r="A2370" s="1">
        <v>2020</v>
      </c>
      <c r="B2370" t="s">
        <v>287</v>
      </c>
      <c r="C2370" s="10" t="s">
        <v>1678</v>
      </c>
      <c r="D2370" s="10" t="s">
        <v>1679</v>
      </c>
      <c r="E2370" s="10" t="s">
        <v>1682</v>
      </c>
      <c r="F2370" t="s">
        <v>784</v>
      </c>
      <c r="G2370" s="4">
        <v>92613</v>
      </c>
      <c r="H2370" s="4"/>
      <c r="I2370" s="4"/>
      <c r="J2370" s="4">
        <f>SUM(G2370:I2370)</f>
        <v>92613</v>
      </c>
      <c r="K2370" t="s">
        <v>1659</v>
      </c>
      <c r="L2370" t="s">
        <v>1659</v>
      </c>
      <c r="M2370" t="s">
        <v>1357</v>
      </c>
      <c r="N2370" t="s">
        <v>1132</v>
      </c>
      <c r="O2370" t="s">
        <v>1132</v>
      </c>
      <c r="P2370" t="str">
        <f>IFERROR(VLOOKUP(F2370,Sheet1!$A$2:$B$54,2,FALSE),"")</f>
        <v/>
      </c>
    </row>
    <row r="2371" spans="1:16" x14ac:dyDescent="0.2">
      <c r="A2371" s="1">
        <v>2021</v>
      </c>
      <c r="B2371" t="s">
        <v>287</v>
      </c>
      <c r="C2371" s="10" t="s">
        <v>1678</v>
      </c>
      <c r="D2371" s="10" t="s">
        <v>1679</v>
      </c>
      <c r="E2371" s="10" t="s">
        <v>1682</v>
      </c>
      <c r="F2371" t="s">
        <v>784</v>
      </c>
      <c r="G2371" s="4">
        <v>118448</v>
      </c>
      <c r="H2371" s="4"/>
      <c r="I2371" s="4"/>
      <c r="J2371" s="4">
        <f>SUM(G2371:I2371)</f>
        <v>118448</v>
      </c>
      <c r="K2371" t="s">
        <v>1659</v>
      </c>
      <c r="L2371" t="s">
        <v>1659</v>
      </c>
      <c r="M2371" t="s">
        <v>784</v>
      </c>
      <c r="N2371" t="s">
        <v>1132</v>
      </c>
      <c r="O2371" t="s">
        <v>1132</v>
      </c>
      <c r="P2371" t="str">
        <f>IFERROR(VLOOKUP(F2371,Sheet1!$A$2:$B$54,2,FALSE),"")</f>
        <v/>
      </c>
    </row>
    <row r="2372" spans="1:16" x14ac:dyDescent="0.2">
      <c r="A2372" s="1">
        <v>2022</v>
      </c>
      <c r="B2372" t="s">
        <v>287</v>
      </c>
      <c r="C2372" s="10" t="s">
        <v>1678</v>
      </c>
      <c r="D2372" s="10" t="s">
        <v>1679</v>
      </c>
      <c r="E2372" s="10" t="s">
        <v>1682</v>
      </c>
      <c r="F2372" t="s">
        <v>784</v>
      </c>
      <c r="G2372" s="4">
        <v>154067</v>
      </c>
      <c r="H2372" s="4"/>
      <c r="I2372" s="4"/>
      <c r="J2372" s="4">
        <f>SUM(G2372:I2372)</f>
        <v>154067</v>
      </c>
      <c r="K2372" t="s">
        <v>1659</v>
      </c>
      <c r="L2372" t="s">
        <v>1659</v>
      </c>
      <c r="M2372" t="s">
        <v>784</v>
      </c>
      <c r="N2372" t="s">
        <v>1132</v>
      </c>
      <c r="O2372" t="s">
        <v>1132</v>
      </c>
      <c r="P2372" t="str">
        <f>IFERROR(VLOOKUP(F2372,Sheet1!$A$2:$B$54,2,FALSE),"")</f>
        <v/>
      </c>
    </row>
    <row r="2373" spans="1:16" x14ac:dyDescent="0.2">
      <c r="A2373" s="1">
        <v>2023</v>
      </c>
      <c r="B2373" t="s">
        <v>287</v>
      </c>
      <c r="C2373" s="10" t="s">
        <v>1678</v>
      </c>
      <c r="D2373" s="10" t="s">
        <v>1679</v>
      </c>
      <c r="E2373" s="10" t="s">
        <v>1682</v>
      </c>
      <c r="F2373" t="s">
        <v>784</v>
      </c>
      <c r="G2373" s="4">
        <v>171351</v>
      </c>
      <c r="H2373" s="4"/>
      <c r="I2373" s="4"/>
      <c r="J2373" s="4">
        <f>SUM(G2373:I2373)</f>
        <v>171351</v>
      </c>
      <c r="K2373" t="s">
        <v>1659</v>
      </c>
      <c r="L2373" t="s">
        <v>1659</v>
      </c>
      <c r="M2373" t="s">
        <v>784</v>
      </c>
      <c r="N2373" t="s">
        <v>1132</v>
      </c>
      <c r="O2373" t="s">
        <v>1132</v>
      </c>
      <c r="P2373" t="str">
        <f>IFERROR(VLOOKUP(F2373,Sheet1!$A$2:$B$54,2,FALSE),"")</f>
        <v/>
      </c>
    </row>
    <row r="2374" spans="1:16" x14ac:dyDescent="0.2">
      <c r="A2374" s="1">
        <v>2015</v>
      </c>
      <c r="B2374" t="s">
        <v>288</v>
      </c>
      <c r="C2374" s="10" t="s">
        <v>1678</v>
      </c>
      <c r="D2374" s="10" t="s">
        <v>1679</v>
      </c>
      <c r="E2374" s="10" t="s">
        <v>1682</v>
      </c>
      <c r="F2374" t="s">
        <v>785</v>
      </c>
      <c r="G2374" s="4">
        <v>13240</v>
      </c>
      <c r="H2374" s="4"/>
      <c r="I2374" s="4"/>
      <c r="J2374" s="4">
        <f>SUM(G2374:I2374)</f>
        <v>13240</v>
      </c>
      <c r="K2374" t="s">
        <v>1659</v>
      </c>
      <c r="L2374" t="s">
        <v>1659</v>
      </c>
      <c r="M2374" t="s">
        <v>1358</v>
      </c>
      <c r="N2374" t="s">
        <v>1132</v>
      </c>
      <c r="O2374" t="s">
        <v>1132</v>
      </c>
      <c r="P2374" t="str">
        <f>IFERROR(VLOOKUP(F2374,Sheet1!$A$2:$B$54,2,FALSE),"")</f>
        <v/>
      </c>
    </row>
    <row r="2375" spans="1:16" x14ac:dyDescent="0.2">
      <c r="A2375" s="1">
        <v>2016</v>
      </c>
      <c r="B2375" t="s">
        <v>288</v>
      </c>
      <c r="C2375" s="10" t="s">
        <v>1678</v>
      </c>
      <c r="D2375" s="10" t="s">
        <v>1679</v>
      </c>
      <c r="E2375" s="10" t="s">
        <v>1682</v>
      </c>
      <c r="F2375" t="s">
        <v>785</v>
      </c>
      <c r="G2375" s="4">
        <v>14490</v>
      </c>
      <c r="H2375" s="4"/>
      <c r="I2375" s="4"/>
      <c r="J2375" s="4">
        <f>SUM(G2375:I2375)</f>
        <v>14490</v>
      </c>
      <c r="K2375" t="s">
        <v>1659</v>
      </c>
      <c r="L2375" t="s">
        <v>1659</v>
      </c>
      <c r="M2375" t="s">
        <v>1359</v>
      </c>
      <c r="N2375" t="s">
        <v>1132</v>
      </c>
      <c r="O2375" t="s">
        <v>1132</v>
      </c>
      <c r="P2375" t="str">
        <f>IFERROR(VLOOKUP(F2375,Sheet1!$A$2:$B$54,2,FALSE),"")</f>
        <v/>
      </c>
    </row>
    <row r="2376" spans="1:16" x14ac:dyDescent="0.2">
      <c r="A2376" s="1">
        <v>2017</v>
      </c>
      <c r="B2376" t="s">
        <v>288</v>
      </c>
      <c r="C2376" s="10" t="s">
        <v>1678</v>
      </c>
      <c r="D2376" s="10" t="s">
        <v>1679</v>
      </c>
      <c r="E2376" s="10" t="s">
        <v>1682</v>
      </c>
      <c r="F2376" t="s">
        <v>785</v>
      </c>
      <c r="G2376" s="4">
        <v>18396</v>
      </c>
      <c r="H2376" s="4"/>
      <c r="I2376" s="4"/>
      <c r="J2376" s="4">
        <f>SUM(G2376:I2376)</f>
        <v>18396</v>
      </c>
      <c r="K2376" t="s">
        <v>1659</v>
      </c>
      <c r="L2376" t="s">
        <v>1659</v>
      </c>
      <c r="M2376" t="s">
        <v>1360</v>
      </c>
      <c r="N2376" t="s">
        <v>1132</v>
      </c>
      <c r="O2376" t="s">
        <v>1132</v>
      </c>
      <c r="P2376" t="str">
        <f>IFERROR(VLOOKUP(F2376,Sheet1!$A$2:$B$54,2,FALSE),"")</f>
        <v/>
      </c>
    </row>
    <row r="2377" spans="1:16" x14ac:dyDescent="0.2">
      <c r="A2377" s="1">
        <v>2018</v>
      </c>
      <c r="B2377" t="s">
        <v>288</v>
      </c>
      <c r="C2377" s="10" t="s">
        <v>1678</v>
      </c>
      <c r="D2377" s="10" t="s">
        <v>1679</v>
      </c>
      <c r="E2377" s="10" t="s">
        <v>1682</v>
      </c>
      <c r="F2377" t="s">
        <v>785</v>
      </c>
      <c r="G2377" s="4">
        <v>21566</v>
      </c>
      <c r="H2377" s="4"/>
      <c r="I2377" s="4"/>
      <c r="J2377" s="4">
        <f>SUM(G2377:I2377)</f>
        <v>21566</v>
      </c>
      <c r="K2377" t="s">
        <v>1659</v>
      </c>
      <c r="L2377" t="s">
        <v>1659</v>
      </c>
      <c r="M2377" t="s">
        <v>1360</v>
      </c>
      <c r="N2377" t="s">
        <v>1132</v>
      </c>
      <c r="O2377" t="s">
        <v>1132</v>
      </c>
      <c r="P2377" t="str">
        <f>IFERROR(VLOOKUP(F2377,Sheet1!$A$2:$B$54,2,FALSE),"")</f>
        <v/>
      </c>
    </row>
    <row r="2378" spans="1:16" x14ac:dyDescent="0.2">
      <c r="A2378" s="1">
        <v>2019</v>
      </c>
      <c r="B2378" t="s">
        <v>288</v>
      </c>
      <c r="C2378" s="10" t="s">
        <v>1678</v>
      </c>
      <c r="D2378" s="10" t="s">
        <v>1679</v>
      </c>
      <c r="E2378" s="10" t="s">
        <v>1682</v>
      </c>
      <c r="F2378" t="s">
        <v>785</v>
      </c>
      <c r="G2378" s="4">
        <v>28671</v>
      </c>
      <c r="H2378" s="4"/>
      <c r="I2378" s="4"/>
      <c r="J2378" s="4">
        <f>SUM(G2378:I2378)</f>
        <v>28671</v>
      </c>
      <c r="K2378" t="s">
        <v>1659</v>
      </c>
      <c r="L2378" t="s">
        <v>1659</v>
      </c>
      <c r="M2378" t="s">
        <v>1360</v>
      </c>
      <c r="N2378" t="s">
        <v>1132</v>
      </c>
      <c r="O2378" t="s">
        <v>1132</v>
      </c>
      <c r="P2378" t="str">
        <f>IFERROR(VLOOKUP(F2378,Sheet1!$A$2:$B$54,2,FALSE),"")</f>
        <v/>
      </c>
    </row>
    <row r="2379" spans="1:16" x14ac:dyDescent="0.2">
      <c r="A2379" s="1">
        <v>2020</v>
      </c>
      <c r="B2379" t="s">
        <v>288</v>
      </c>
      <c r="C2379" s="10" t="s">
        <v>1678</v>
      </c>
      <c r="D2379" s="10" t="s">
        <v>1679</v>
      </c>
      <c r="E2379" s="10" t="s">
        <v>1682</v>
      </c>
      <c r="F2379" t="s">
        <v>785</v>
      </c>
      <c r="G2379" s="4">
        <v>41695</v>
      </c>
      <c r="H2379" s="4"/>
      <c r="I2379" s="4"/>
      <c r="J2379" s="4">
        <f>SUM(G2379:I2379)</f>
        <v>41695</v>
      </c>
      <c r="K2379" t="s">
        <v>1659</v>
      </c>
      <c r="L2379" t="s">
        <v>1659</v>
      </c>
      <c r="M2379" t="s">
        <v>1360</v>
      </c>
      <c r="N2379" t="s">
        <v>1132</v>
      </c>
      <c r="O2379" t="s">
        <v>1132</v>
      </c>
      <c r="P2379" t="str">
        <f>IFERROR(VLOOKUP(F2379,Sheet1!$A$2:$B$54,2,FALSE),"")</f>
        <v/>
      </c>
    </row>
    <row r="2380" spans="1:16" x14ac:dyDescent="0.2">
      <c r="A2380" s="1">
        <v>2021</v>
      </c>
      <c r="B2380" t="s">
        <v>288</v>
      </c>
      <c r="C2380" s="10" t="s">
        <v>1678</v>
      </c>
      <c r="D2380" s="10" t="s">
        <v>1679</v>
      </c>
      <c r="E2380" s="10" t="s">
        <v>1682</v>
      </c>
      <c r="F2380" t="s">
        <v>785</v>
      </c>
      <c r="G2380" s="4">
        <v>45286</v>
      </c>
      <c r="H2380" s="4"/>
      <c r="I2380" s="4"/>
      <c r="J2380" s="4">
        <f>SUM(G2380:I2380)</f>
        <v>45286</v>
      </c>
      <c r="K2380" t="s">
        <v>1659</v>
      </c>
      <c r="L2380" t="s">
        <v>1659</v>
      </c>
      <c r="M2380" t="s">
        <v>785</v>
      </c>
      <c r="N2380" t="s">
        <v>1132</v>
      </c>
      <c r="O2380" t="s">
        <v>1132</v>
      </c>
      <c r="P2380" t="str">
        <f>IFERROR(VLOOKUP(F2380,Sheet1!$A$2:$B$54,2,FALSE),"")</f>
        <v/>
      </c>
    </row>
    <row r="2381" spans="1:16" x14ac:dyDescent="0.2">
      <c r="A2381" s="1">
        <v>2022</v>
      </c>
      <c r="B2381" t="s">
        <v>288</v>
      </c>
      <c r="C2381" s="10" t="s">
        <v>1678</v>
      </c>
      <c r="D2381" s="10" t="s">
        <v>1679</v>
      </c>
      <c r="E2381" s="10" t="s">
        <v>1682</v>
      </c>
      <c r="F2381" t="s">
        <v>785</v>
      </c>
      <c r="G2381" s="4">
        <v>46180</v>
      </c>
      <c r="H2381" s="4"/>
      <c r="I2381" s="4"/>
      <c r="J2381" s="4">
        <f>SUM(G2381:I2381)</f>
        <v>46180</v>
      </c>
      <c r="K2381" t="s">
        <v>1659</v>
      </c>
      <c r="L2381" t="s">
        <v>1659</v>
      </c>
      <c r="M2381" t="s">
        <v>785</v>
      </c>
      <c r="N2381" t="s">
        <v>1132</v>
      </c>
      <c r="O2381" t="s">
        <v>1132</v>
      </c>
      <c r="P2381" t="str">
        <f>IFERROR(VLOOKUP(F2381,Sheet1!$A$2:$B$54,2,FALSE),"")</f>
        <v/>
      </c>
    </row>
    <row r="2382" spans="1:16" x14ac:dyDescent="0.2">
      <c r="A2382" s="1">
        <v>2023</v>
      </c>
      <c r="B2382" t="s">
        <v>288</v>
      </c>
      <c r="C2382" s="10" t="s">
        <v>1678</v>
      </c>
      <c r="D2382" s="10" t="s">
        <v>1679</v>
      </c>
      <c r="E2382" s="10" t="s">
        <v>1682</v>
      </c>
      <c r="F2382" t="s">
        <v>785</v>
      </c>
      <c r="G2382" s="4">
        <v>43798</v>
      </c>
      <c r="H2382" s="4"/>
      <c r="I2382" s="4"/>
      <c r="J2382" s="4">
        <f>SUM(G2382:I2382)</f>
        <v>43798</v>
      </c>
      <c r="K2382" t="s">
        <v>1659</v>
      </c>
      <c r="L2382" t="s">
        <v>1659</v>
      </c>
      <c r="M2382" t="s">
        <v>785</v>
      </c>
      <c r="N2382" t="s">
        <v>1132</v>
      </c>
      <c r="O2382" t="s">
        <v>1132</v>
      </c>
      <c r="P2382" t="str">
        <f>IFERROR(VLOOKUP(F2382,Sheet1!$A$2:$B$54,2,FALSE),"")</f>
        <v/>
      </c>
    </row>
    <row r="2383" spans="1:16" x14ac:dyDescent="0.2">
      <c r="A2383" s="1">
        <v>2015</v>
      </c>
      <c r="B2383" t="s">
        <v>289</v>
      </c>
      <c r="C2383" s="10" t="s">
        <v>1678</v>
      </c>
      <c r="D2383" s="10" t="s">
        <v>1679</v>
      </c>
      <c r="E2383" s="10" t="s">
        <v>1682</v>
      </c>
      <c r="F2383" t="s">
        <v>786</v>
      </c>
      <c r="G2383" s="4">
        <v>1502</v>
      </c>
      <c r="H2383" s="4"/>
      <c r="I2383" s="4"/>
      <c r="J2383" s="4">
        <f>SUM(G2383:I2383)</f>
        <v>1502</v>
      </c>
      <c r="K2383" t="s">
        <v>1659</v>
      </c>
      <c r="L2383" t="s">
        <v>1659</v>
      </c>
      <c r="M2383" t="s">
        <v>1361</v>
      </c>
      <c r="N2383" t="s">
        <v>1132</v>
      </c>
      <c r="O2383" t="s">
        <v>1132</v>
      </c>
      <c r="P2383" t="str">
        <f>IFERROR(VLOOKUP(F2383,Sheet1!$A$2:$B$54,2,FALSE),"")</f>
        <v/>
      </c>
    </row>
    <row r="2384" spans="1:16" x14ac:dyDescent="0.2">
      <c r="A2384" s="1">
        <v>2016</v>
      </c>
      <c r="B2384" t="s">
        <v>289</v>
      </c>
      <c r="C2384" s="10" t="s">
        <v>1678</v>
      </c>
      <c r="D2384" s="10" t="s">
        <v>1679</v>
      </c>
      <c r="E2384" s="10" t="s">
        <v>1682</v>
      </c>
      <c r="F2384" t="s">
        <v>786</v>
      </c>
      <c r="G2384" s="4">
        <v>4809</v>
      </c>
      <c r="H2384" s="4"/>
      <c r="I2384" s="4"/>
      <c r="J2384" s="4">
        <f>SUM(G2384:I2384)</f>
        <v>4809</v>
      </c>
      <c r="K2384" t="s">
        <v>1659</v>
      </c>
      <c r="L2384" t="s">
        <v>1659</v>
      </c>
      <c r="M2384" t="s">
        <v>1361</v>
      </c>
      <c r="N2384" t="s">
        <v>1132</v>
      </c>
      <c r="O2384" t="s">
        <v>1132</v>
      </c>
      <c r="P2384" t="str">
        <f>IFERROR(VLOOKUP(F2384,Sheet1!$A$2:$B$54,2,FALSE),"")</f>
        <v/>
      </c>
    </row>
    <row r="2385" spans="1:16" x14ac:dyDescent="0.2">
      <c r="A2385" s="1">
        <v>2017</v>
      </c>
      <c r="B2385" t="s">
        <v>289</v>
      </c>
      <c r="C2385" s="10" t="s">
        <v>1678</v>
      </c>
      <c r="D2385" s="10" t="s">
        <v>1679</v>
      </c>
      <c r="E2385" s="10" t="s">
        <v>1682</v>
      </c>
      <c r="F2385" t="s">
        <v>786</v>
      </c>
      <c r="G2385" s="4">
        <v>3445</v>
      </c>
      <c r="H2385" s="4"/>
      <c r="I2385" s="4"/>
      <c r="J2385" s="4">
        <f>SUM(G2385:I2385)</f>
        <v>3445</v>
      </c>
      <c r="K2385" t="s">
        <v>1659</v>
      </c>
      <c r="L2385" t="s">
        <v>1659</v>
      </c>
      <c r="M2385" t="s">
        <v>1361</v>
      </c>
      <c r="N2385" t="s">
        <v>1132</v>
      </c>
      <c r="O2385" t="s">
        <v>1132</v>
      </c>
      <c r="P2385" t="str">
        <f>IFERROR(VLOOKUP(F2385,Sheet1!$A$2:$B$54,2,FALSE),"")</f>
        <v/>
      </c>
    </row>
    <row r="2386" spans="1:16" x14ac:dyDescent="0.2">
      <c r="A2386" s="1">
        <v>2018</v>
      </c>
      <c r="B2386" t="s">
        <v>289</v>
      </c>
      <c r="C2386" s="10" t="s">
        <v>1678</v>
      </c>
      <c r="D2386" s="10" t="s">
        <v>1679</v>
      </c>
      <c r="E2386" s="10" t="s">
        <v>1682</v>
      </c>
      <c r="F2386" t="s">
        <v>786</v>
      </c>
      <c r="G2386" s="4">
        <v>14207</v>
      </c>
      <c r="H2386" s="4"/>
      <c r="I2386" s="4"/>
      <c r="J2386" s="4">
        <f>SUM(G2386:I2386)</f>
        <v>14207</v>
      </c>
      <c r="K2386" t="s">
        <v>1659</v>
      </c>
      <c r="L2386" t="s">
        <v>1659</v>
      </c>
      <c r="M2386" t="s">
        <v>1361</v>
      </c>
      <c r="N2386" t="s">
        <v>1132</v>
      </c>
      <c r="O2386" t="s">
        <v>1132</v>
      </c>
      <c r="P2386" t="str">
        <f>IFERROR(VLOOKUP(F2386,Sheet1!$A$2:$B$54,2,FALSE),"")</f>
        <v/>
      </c>
    </row>
    <row r="2387" spans="1:16" x14ac:dyDescent="0.2">
      <c r="A2387" s="1">
        <v>2019</v>
      </c>
      <c r="B2387" t="s">
        <v>289</v>
      </c>
      <c r="C2387" s="10" t="s">
        <v>1678</v>
      </c>
      <c r="D2387" s="10" t="s">
        <v>1679</v>
      </c>
      <c r="E2387" s="10" t="s">
        <v>1682</v>
      </c>
      <c r="F2387" t="s">
        <v>786</v>
      </c>
      <c r="G2387" s="4">
        <v>25631</v>
      </c>
      <c r="H2387" s="4"/>
      <c r="I2387" s="4"/>
      <c r="J2387" s="4">
        <f>SUM(G2387:I2387)</f>
        <v>25631</v>
      </c>
      <c r="K2387" t="s">
        <v>1659</v>
      </c>
      <c r="L2387" t="s">
        <v>1659</v>
      </c>
      <c r="M2387" t="s">
        <v>1361</v>
      </c>
      <c r="N2387" t="s">
        <v>1132</v>
      </c>
      <c r="O2387" t="s">
        <v>1132</v>
      </c>
      <c r="P2387" t="str">
        <f>IFERROR(VLOOKUP(F2387,Sheet1!$A$2:$B$54,2,FALSE),"")</f>
        <v/>
      </c>
    </row>
    <row r="2388" spans="1:16" x14ac:dyDescent="0.2">
      <c r="A2388" s="1">
        <v>2020</v>
      </c>
      <c r="B2388" t="s">
        <v>289</v>
      </c>
      <c r="C2388" s="10" t="s">
        <v>1678</v>
      </c>
      <c r="D2388" s="10" t="s">
        <v>1679</v>
      </c>
      <c r="E2388" s="10" t="s">
        <v>1682</v>
      </c>
      <c r="F2388" t="s">
        <v>786</v>
      </c>
      <c r="G2388" s="4">
        <v>34903</v>
      </c>
      <c r="H2388" s="4"/>
      <c r="I2388" s="4"/>
      <c r="J2388" s="4">
        <f>SUM(G2388:I2388)</f>
        <v>34903</v>
      </c>
      <c r="K2388" t="s">
        <v>1659</v>
      </c>
      <c r="L2388" t="s">
        <v>1659</v>
      </c>
      <c r="M2388" t="s">
        <v>1361</v>
      </c>
      <c r="N2388" t="s">
        <v>1132</v>
      </c>
      <c r="O2388" t="s">
        <v>1132</v>
      </c>
      <c r="P2388" t="str">
        <f>IFERROR(VLOOKUP(F2388,Sheet1!$A$2:$B$54,2,FALSE),"")</f>
        <v/>
      </c>
    </row>
    <row r="2389" spans="1:16" x14ac:dyDescent="0.2">
      <c r="A2389" s="1">
        <v>2021</v>
      </c>
      <c r="B2389" t="s">
        <v>289</v>
      </c>
      <c r="C2389" s="10" t="s">
        <v>1678</v>
      </c>
      <c r="D2389" s="10" t="s">
        <v>1679</v>
      </c>
      <c r="E2389" s="10" t="s">
        <v>1682</v>
      </c>
      <c r="F2389" t="s">
        <v>786</v>
      </c>
      <c r="G2389" s="4">
        <v>56034</v>
      </c>
      <c r="H2389" s="4"/>
      <c r="I2389" s="4"/>
      <c r="J2389" s="4">
        <f>SUM(G2389:I2389)</f>
        <v>56034</v>
      </c>
      <c r="K2389" t="s">
        <v>1659</v>
      </c>
      <c r="L2389" t="s">
        <v>1659</v>
      </c>
      <c r="M2389" t="s">
        <v>786</v>
      </c>
      <c r="N2389" t="s">
        <v>1132</v>
      </c>
      <c r="O2389" t="s">
        <v>1132</v>
      </c>
      <c r="P2389" t="str">
        <f>IFERROR(VLOOKUP(F2389,Sheet1!$A$2:$B$54,2,FALSE),"")</f>
        <v/>
      </c>
    </row>
    <row r="2390" spans="1:16" x14ac:dyDescent="0.2">
      <c r="A2390" s="1">
        <v>2022</v>
      </c>
      <c r="B2390" t="s">
        <v>289</v>
      </c>
      <c r="C2390" s="10" t="s">
        <v>1678</v>
      </c>
      <c r="D2390" s="10" t="s">
        <v>1679</v>
      </c>
      <c r="E2390" s="10" t="s">
        <v>1682</v>
      </c>
      <c r="F2390" t="s">
        <v>786</v>
      </c>
      <c r="G2390" s="4">
        <v>74101</v>
      </c>
      <c r="H2390" s="4"/>
      <c r="I2390" s="4"/>
      <c r="J2390" s="4">
        <f>SUM(G2390:I2390)</f>
        <v>74101</v>
      </c>
      <c r="K2390" t="s">
        <v>1659</v>
      </c>
      <c r="L2390" t="s">
        <v>1659</v>
      </c>
      <c r="M2390" t="s">
        <v>786</v>
      </c>
      <c r="N2390" t="s">
        <v>1132</v>
      </c>
      <c r="O2390" t="s">
        <v>1132</v>
      </c>
      <c r="P2390" t="str">
        <f>IFERROR(VLOOKUP(F2390,Sheet1!$A$2:$B$54,2,FALSE),"")</f>
        <v/>
      </c>
    </row>
    <row r="2391" spans="1:16" x14ac:dyDescent="0.2">
      <c r="A2391" s="1">
        <v>2023</v>
      </c>
      <c r="B2391" t="s">
        <v>289</v>
      </c>
      <c r="C2391" s="10" t="s">
        <v>1678</v>
      </c>
      <c r="D2391" s="10" t="s">
        <v>1679</v>
      </c>
      <c r="E2391" s="10" t="s">
        <v>1682</v>
      </c>
      <c r="F2391" t="s">
        <v>786</v>
      </c>
      <c r="G2391" s="4">
        <v>77536</v>
      </c>
      <c r="H2391" s="4"/>
      <c r="I2391" s="4"/>
      <c r="J2391" s="4">
        <f>SUM(G2391:I2391)</f>
        <v>77536</v>
      </c>
      <c r="K2391" t="s">
        <v>1659</v>
      </c>
      <c r="L2391" t="s">
        <v>1659</v>
      </c>
      <c r="M2391" t="s">
        <v>786</v>
      </c>
      <c r="N2391" t="s">
        <v>1132</v>
      </c>
      <c r="O2391" t="s">
        <v>1132</v>
      </c>
      <c r="P2391" t="str">
        <f>IFERROR(VLOOKUP(F2391,Sheet1!$A$2:$B$54,2,FALSE),"")</f>
        <v/>
      </c>
    </row>
    <row r="2392" spans="1:16" x14ac:dyDescent="0.2">
      <c r="A2392" s="1">
        <v>2015</v>
      </c>
      <c r="B2392" t="s">
        <v>290</v>
      </c>
      <c r="C2392" s="10" t="s">
        <v>1678</v>
      </c>
      <c r="D2392" s="10" t="s">
        <v>1679</v>
      </c>
      <c r="E2392" s="10" t="s">
        <v>1682</v>
      </c>
      <c r="F2392" t="s">
        <v>787</v>
      </c>
      <c r="G2392" s="4">
        <v>8754</v>
      </c>
      <c r="H2392" s="4"/>
      <c r="I2392" s="4"/>
      <c r="J2392" s="4">
        <f>SUM(G2392:I2392)</f>
        <v>8754</v>
      </c>
      <c r="K2392" t="s">
        <v>1659</v>
      </c>
      <c r="L2392" t="s">
        <v>1659</v>
      </c>
      <c r="M2392" t="s">
        <v>1362</v>
      </c>
      <c r="N2392" t="s">
        <v>1132</v>
      </c>
      <c r="O2392" t="s">
        <v>1132</v>
      </c>
      <c r="P2392" t="str">
        <f>IFERROR(VLOOKUP(F2392,Sheet1!$A$2:$B$54,2,FALSE),"")</f>
        <v/>
      </c>
    </row>
    <row r="2393" spans="1:16" x14ac:dyDescent="0.2">
      <c r="A2393" s="1">
        <v>2016</v>
      </c>
      <c r="B2393" t="s">
        <v>290</v>
      </c>
      <c r="C2393" s="10" t="s">
        <v>1678</v>
      </c>
      <c r="D2393" s="10" t="s">
        <v>1679</v>
      </c>
      <c r="E2393" s="10" t="s">
        <v>1682</v>
      </c>
      <c r="F2393" t="s">
        <v>787</v>
      </c>
      <c r="G2393" s="4">
        <v>12169</v>
      </c>
      <c r="H2393" s="4"/>
      <c r="I2393" s="4"/>
      <c r="J2393" s="4">
        <f>SUM(G2393:I2393)</f>
        <v>12169</v>
      </c>
      <c r="K2393" t="s">
        <v>1659</v>
      </c>
      <c r="L2393" t="s">
        <v>1659</v>
      </c>
      <c r="M2393" t="s">
        <v>1362</v>
      </c>
      <c r="N2393" t="s">
        <v>1132</v>
      </c>
      <c r="O2393" t="s">
        <v>1132</v>
      </c>
      <c r="P2393" t="str">
        <f>IFERROR(VLOOKUP(F2393,Sheet1!$A$2:$B$54,2,FALSE),"")</f>
        <v/>
      </c>
    </row>
    <row r="2394" spans="1:16" x14ac:dyDescent="0.2">
      <c r="A2394" s="1">
        <v>2017</v>
      </c>
      <c r="B2394" t="s">
        <v>290</v>
      </c>
      <c r="C2394" s="10" t="s">
        <v>1678</v>
      </c>
      <c r="D2394" s="10" t="s">
        <v>1679</v>
      </c>
      <c r="E2394" s="10" t="s">
        <v>1682</v>
      </c>
      <c r="F2394" t="s">
        <v>787</v>
      </c>
      <c r="G2394" s="4">
        <v>19477</v>
      </c>
      <c r="H2394" s="4"/>
      <c r="I2394" s="4"/>
      <c r="J2394" s="4">
        <f>SUM(G2394:I2394)</f>
        <v>19477</v>
      </c>
      <c r="K2394" t="s">
        <v>1659</v>
      </c>
      <c r="L2394" t="s">
        <v>1659</v>
      </c>
      <c r="M2394" t="s">
        <v>1362</v>
      </c>
      <c r="N2394" t="s">
        <v>1132</v>
      </c>
      <c r="O2394" t="s">
        <v>1132</v>
      </c>
      <c r="P2394" t="str">
        <f>IFERROR(VLOOKUP(F2394,Sheet1!$A$2:$B$54,2,FALSE),"")</f>
        <v/>
      </c>
    </row>
    <row r="2395" spans="1:16" x14ac:dyDescent="0.2">
      <c r="A2395" s="1">
        <v>2018</v>
      </c>
      <c r="B2395" t="s">
        <v>290</v>
      </c>
      <c r="C2395" s="10" t="s">
        <v>1678</v>
      </c>
      <c r="D2395" s="10" t="s">
        <v>1679</v>
      </c>
      <c r="E2395" s="10" t="s">
        <v>1682</v>
      </c>
      <c r="F2395" t="s">
        <v>787</v>
      </c>
      <c r="G2395" s="4">
        <v>31391</v>
      </c>
      <c r="H2395" s="4"/>
      <c r="I2395" s="4"/>
      <c r="J2395" s="4">
        <f>SUM(G2395:I2395)</f>
        <v>31391</v>
      </c>
      <c r="K2395" t="s">
        <v>1659</v>
      </c>
      <c r="L2395" t="s">
        <v>1659</v>
      </c>
      <c r="M2395" t="s">
        <v>1362</v>
      </c>
      <c r="N2395" t="s">
        <v>1132</v>
      </c>
      <c r="O2395" t="s">
        <v>1132</v>
      </c>
      <c r="P2395" t="str">
        <f>IFERROR(VLOOKUP(F2395,Sheet1!$A$2:$B$54,2,FALSE),"")</f>
        <v/>
      </c>
    </row>
    <row r="2396" spans="1:16" x14ac:dyDescent="0.2">
      <c r="A2396" s="1">
        <v>2019</v>
      </c>
      <c r="B2396" t="s">
        <v>290</v>
      </c>
      <c r="C2396" s="10" t="s">
        <v>1678</v>
      </c>
      <c r="D2396" s="10" t="s">
        <v>1679</v>
      </c>
      <c r="E2396" s="10" t="s">
        <v>1682</v>
      </c>
      <c r="F2396" t="s">
        <v>787</v>
      </c>
      <c r="G2396" s="4">
        <v>44278</v>
      </c>
      <c r="H2396" s="4"/>
      <c r="I2396" s="4"/>
      <c r="J2396" s="4">
        <f>SUM(G2396:I2396)</f>
        <v>44278</v>
      </c>
      <c r="K2396" t="s">
        <v>1659</v>
      </c>
      <c r="L2396" t="s">
        <v>1659</v>
      </c>
      <c r="M2396" t="s">
        <v>1362</v>
      </c>
      <c r="N2396" t="s">
        <v>1132</v>
      </c>
      <c r="O2396" t="s">
        <v>1132</v>
      </c>
      <c r="P2396" t="str">
        <f>IFERROR(VLOOKUP(F2396,Sheet1!$A$2:$B$54,2,FALSE),"")</f>
        <v/>
      </c>
    </row>
    <row r="2397" spans="1:16" x14ac:dyDescent="0.2">
      <c r="A2397" s="1">
        <v>2020</v>
      </c>
      <c r="B2397" t="s">
        <v>290</v>
      </c>
      <c r="C2397" s="10" t="s">
        <v>1678</v>
      </c>
      <c r="D2397" s="10" t="s">
        <v>1679</v>
      </c>
      <c r="E2397" s="10" t="s">
        <v>1682</v>
      </c>
      <c r="F2397" t="s">
        <v>787</v>
      </c>
      <c r="G2397" s="4">
        <v>61316</v>
      </c>
      <c r="H2397" s="4"/>
      <c r="I2397" s="4"/>
      <c r="J2397" s="4">
        <f>SUM(G2397:I2397)</f>
        <v>61316</v>
      </c>
      <c r="K2397" t="s">
        <v>1659</v>
      </c>
      <c r="L2397" t="s">
        <v>1659</v>
      </c>
      <c r="M2397" t="s">
        <v>1362</v>
      </c>
      <c r="N2397" t="s">
        <v>1132</v>
      </c>
      <c r="O2397" t="s">
        <v>1132</v>
      </c>
      <c r="P2397" t="str">
        <f>IFERROR(VLOOKUP(F2397,Sheet1!$A$2:$B$54,2,FALSE),"")</f>
        <v/>
      </c>
    </row>
    <row r="2398" spans="1:16" x14ac:dyDescent="0.2">
      <c r="A2398" s="1">
        <v>2021</v>
      </c>
      <c r="B2398" t="s">
        <v>290</v>
      </c>
      <c r="C2398" s="10" t="s">
        <v>1678</v>
      </c>
      <c r="D2398" s="10" t="s">
        <v>1679</v>
      </c>
      <c r="E2398" s="10" t="s">
        <v>1682</v>
      </c>
      <c r="F2398" t="s">
        <v>787</v>
      </c>
      <c r="G2398" s="4">
        <v>92036</v>
      </c>
      <c r="H2398" s="4"/>
      <c r="I2398" s="4"/>
      <c r="J2398" s="4">
        <f>SUM(G2398:I2398)</f>
        <v>92036</v>
      </c>
      <c r="K2398" t="s">
        <v>1659</v>
      </c>
      <c r="L2398" t="s">
        <v>1659</v>
      </c>
      <c r="M2398" t="s">
        <v>787</v>
      </c>
      <c r="N2398" t="s">
        <v>1132</v>
      </c>
      <c r="O2398" t="s">
        <v>1132</v>
      </c>
      <c r="P2398" t="str">
        <f>IFERROR(VLOOKUP(F2398,Sheet1!$A$2:$B$54,2,FALSE),"")</f>
        <v/>
      </c>
    </row>
    <row r="2399" spans="1:16" x14ac:dyDescent="0.2">
      <c r="A2399" s="1">
        <v>2022</v>
      </c>
      <c r="B2399" t="s">
        <v>290</v>
      </c>
      <c r="C2399" s="10" t="s">
        <v>1678</v>
      </c>
      <c r="D2399" s="10" t="s">
        <v>1679</v>
      </c>
      <c r="E2399" s="10" t="s">
        <v>1682</v>
      </c>
      <c r="F2399" t="s">
        <v>787</v>
      </c>
      <c r="G2399" s="4">
        <v>148009</v>
      </c>
      <c r="H2399" s="4"/>
      <c r="I2399" s="4"/>
      <c r="J2399" s="4">
        <f>SUM(G2399:I2399)</f>
        <v>148009</v>
      </c>
      <c r="K2399" t="s">
        <v>1659</v>
      </c>
      <c r="L2399" t="s">
        <v>1659</v>
      </c>
      <c r="M2399" t="s">
        <v>787</v>
      </c>
      <c r="N2399" t="s">
        <v>1132</v>
      </c>
      <c r="O2399" t="s">
        <v>1132</v>
      </c>
      <c r="P2399" t="str">
        <f>IFERROR(VLOOKUP(F2399,Sheet1!$A$2:$B$54,2,FALSE),"")</f>
        <v/>
      </c>
    </row>
    <row r="2400" spans="1:16" x14ac:dyDescent="0.2">
      <c r="A2400" s="1">
        <v>2023</v>
      </c>
      <c r="B2400" t="s">
        <v>290</v>
      </c>
      <c r="C2400" s="10" t="s">
        <v>1678</v>
      </c>
      <c r="D2400" s="10" t="s">
        <v>1679</v>
      </c>
      <c r="E2400" s="10" t="s">
        <v>1682</v>
      </c>
      <c r="F2400" t="s">
        <v>787</v>
      </c>
      <c r="G2400" s="4">
        <v>186194</v>
      </c>
      <c r="H2400" s="4"/>
      <c r="I2400" s="4"/>
      <c r="J2400" s="4">
        <f>SUM(G2400:I2400)</f>
        <v>186194</v>
      </c>
      <c r="K2400" t="s">
        <v>1659</v>
      </c>
      <c r="L2400" t="s">
        <v>1659</v>
      </c>
      <c r="M2400" t="s">
        <v>787</v>
      </c>
      <c r="N2400" t="s">
        <v>1132</v>
      </c>
      <c r="O2400" t="s">
        <v>1132</v>
      </c>
      <c r="P2400" t="str">
        <f>IFERROR(VLOOKUP(F2400,Sheet1!$A$2:$B$54,2,FALSE),"")</f>
        <v/>
      </c>
    </row>
    <row r="2401" spans="1:16" x14ac:dyDescent="0.2">
      <c r="A2401" s="1">
        <v>2015</v>
      </c>
      <c r="B2401" t="s">
        <v>291</v>
      </c>
      <c r="C2401" s="10" t="s">
        <v>1678</v>
      </c>
      <c r="D2401" s="10" t="s">
        <v>1679</v>
      </c>
      <c r="E2401" s="10" t="s">
        <v>1682</v>
      </c>
      <c r="F2401" t="s">
        <v>788</v>
      </c>
      <c r="G2401" s="4">
        <v>1491</v>
      </c>
      <c r="H2401" s="4"/>
      <c r="I2401" s="4"/>
      <c r="J2401" s="4">
        <f>SUM(G2401:I2401)</f>
        <v>1491</v>
      </c>
      <c r="K2401" t="s">
        <v>1659</v>
      </c>
      <c r="L2401" t="s">
        <v>1659</v>
      </c>
      <c r="M2401" t="s">
        <v>1363</v>
      </c>
      <c r="N2401" t="s">
        <v>1132</v>
      </c>
      <c r="O2401" t="s">
        <v>1132</v>
      </c>
      <c r="P2401" t="str">
        <f>IFERROR(VLOOKUP(F2401,Sheet1!$A$2:$B$54,2,FALSE),"")</f>
        <v/>
      </c>
    </row>
    <row r="2402" spans="1:16" x14ac:dyDescent="0.2">
      <c r="A2402" s="1">
        <v>2016</v>
      </c>
      <c r="B2402" t="s">
        <v>291</v>
      </c>
      <c r="C2402" s="10" t="s">
        <v>1678</v>
      </c>
      <c r="D2402" s="10" t="s">
        <v>1679</v>
      </c>
      <c r="E2402" s="10" t="s">
        <v>1682</v>
      </c>
      <c r="F2402" t="s">
        <v>788</v>
      </c>
      <c r="G2402" s="4">
        <v>2954</v>
      </c>
      <c r="H2402" s="4"/>
      <c r="I2402" s="4"/>
      <c r="J2402" s="4">
        <f>SUM(G2402:I2402)</f>
        <v>2954</v>
      </c>
      <c r="K2402" t="s">
        <v>1659</v>
      </c>
      <c r="L2402" t="s">
        <v>1659</v>
      </c>
      <c r="M2402" t="s">
        <v>1363</v>
      </c>
      <c r="N2402" t="s">
        <v>1132</v>
      </c>
      <c r="O2402" t="s">
        <v>1132</v>
      </c>
      <c r="P2402" t="str">
        <f>IFERROR(VLOOKUP(F2402,Sheet1!$A$2:$B$54,2,FALSE),"")</f>
        <v/>
      </c>
    </row>
    <row r="2403" spans="1:16" x14ac:dyDescent="0.2">
      <c r="A2403" s="1">
        <v>2017</v>
      </c>
      <c r="B2403" t="s">
        <v>291</v>
      </c>
      <c r="C2403" s="10" t="s">
        <v>1678</v>
      </c>
      <c r="D2403" s="10" t="s">
        <v>1679</v>
      </c>
      <c r="E2403" s="10" t="s">
        <v>1682</v>
      </c>
      <c r="F2403" t="s">
        <v>788</v>
      </c>
      <c r="G2403" s="4">
        <v>5041</v>
      </c>
      <c r="H2403" s="4"/>
      <c r="I2403" s="4"/>
      <c r="J2403" s="4">
        <f>SUM(G2403:I2403)</f>
        <v>5041</v>
      </c>
      <c r="K2403" t="s">
        <v>1659</v>
      </c>
      <c r="L2403" t="s">
        <v>1659</v>
      </c>
      <c r="M2403" t="s">
        <v>1363</v>
      </c>
      <c r="N2403" t="s">
        <v>1132</v>
      </c>
      <c r="O2403" t="s">
        <v>1132</v>
      </c>
      <c r="P2403" t="str">
        <f>IFERROR(VLOOKUP(F2403,Sheet1!$A$2:$B$54,2,FALSE),"")</f>
        <v/>
      </c>
    </row>
    <row r="2404" spans="1:16" x14ac:dyDescent="0.2">
      <c r="A2404" s="1">
        <v>2018</v>
      </c>
      <c r="B2404" t="s">
        <v>291</v>
      </c>
      <c r="C2404" s="10" t="s">
        <v>1678</v>
      </c>
      <c r="D2404" s="10" t="s">
        <v>1679</v>
      </c>
      <c r="E2404" s="10" t="s">
        <v>1682</v>
      </c>
      <c r="F2404" t="s">
        <v>788</v>
      </c>
      <c r="G2404" s="4">
        <v>6184</v>
      </c>
      <c r="H2404" s="4"/>
      <c r="I2404" s="4"/>
      <c r="J2404" s="4">
        <f>SUM(G2404:I2404)</f>
        <v>6184</v>
      </c>
      <c r="K2404" t="s">
        <v>1659</v>
      </c>
      <c r="L2404" t="s">
        <v>1659</v>
      </c>
      <c r="M2404" t="s">
        <v>1363</v>
      </c>
      <c r="N2404" t="s">
        <v>1132</v>
      </c>
      <c r="O2404" t="s">
        <v>1132</v>
      </c>
      <c r="P2404" t="str">
        <f>IFERROR(VLOOKUP(F2404,Sheet1!$A$2:$B$54,2,FALSE),"")</f>
        <v/>
      </c>
    </row>
    <row r="2405" spans="1:16" x14ac:dyDescent="0.2">
      <c r="A2405" s="1">
        <v>2019</v>
      </c>
      <c r="B2405" t="s">
        <v>291</v>
      </c>
      <c r="C2405" s="10" t="s">
        <v>1678</v>
      </c>
      <c r="D2405" s="10" t="s">
        <v>1679</v>
      </c>
      <c r="E2405" s="10" t="s">
        <v>1682</v>
      </c>
      <c r="F2405" t="s">
        <v>788</v>
      </c>
      <c r="G2405" s="4">
        <v>5422</v>
      </c>
      <c r="H2405" s="4"/>
      <c r="I2405" s="4"/>
      <c r="J2405" s="4">
        <f>SUM(G2405:I2405)</f>
        <v>5422</v>
      </c>
      <c r="K2405" t="s">
        <v>1659</v>
      </c>
      <c r="L2405" t="s">
        <v>1659</v>
      </c>
      <c r="M2405" t="s">
        <v>1363</v>
      </c>
      <c r="N2405" t="s">
        <v>1132</v>
      </c>
      <c r="O2405" t="s">
        <v>1132</v>
      </c>
      <c r="P2405" t="str">
        <f>IFERROR(VLOOKUP(F2405,Sheet1!$A$2:$B$54,2,FALSE),"")</f>
        <v/>
      </c>
    </row>
    <row r="2406" spans="1:16" x14ac:dyDescent="0.2">
      <c r="A2406" s="1">
        <v>2020</v>
      </c>
      <c r="B2406" t="s">
        <v>291</v>
      </c>
      <c r="C2406" s="10" t="s">
        <v>1678</v>
      </c>
      <c r="D2406" s="10" t="s">
        <v>1679</v>
      </c>
      <c r="E2406" s="10" t="s">
        <v>1682</v>
      </c>
      <c r="F2406" t="s">
        <v>788</v>
      </c>
      <c r="G2406" s="4">
        <v>6814</v>
      </c>
      <c r="H2406" s="4"/>
      <c r="I2406" s="4"/>
      <c r="J2406" s="4">
        <f>SUM(G2406:I2406)</f>
        <v>6814</v>
      </c>
      <c r="K2406" t="s">
        <v>1659</v>
      </c>
      <c r="L2406" t="s">
        <v>1659</v>
      </c>
      <c r="M2406" t="s">
        <v>1363</v>
      </c>
      <c r="N2406" t="s">
        <v>1132</v>
      </c>
      <c r="O2406" t="s">
        <v>1132</v>
      </c>
      <c r="P2406" t="str">
        <f>IFERROR(VLOOKUP(F2406,Sheet1!$A$2:$B$54,2,FALSE),"")</f>
        <v/>
      </c>
    </row>
    <row r="2407" spans="1:16" x14ac:dyDescent="0.2">
      <c r="A2407" s="1">
        <v>2021</v>
      </c>
      <c r="B2407" t="s">
        <v>291</v>
      </c>
      <c r="C2407" s="10" t="s">
        <v>1678</v>
      </c>
      <c r="D2407" s="10" t="s">
        <v>1679</v>
      </c>
      <c r="E2407" s="10" t="s">
        <v>1682</v>
      </c>
      <c r="F2407" t="s">
        <v>788</v>
      </c>
      <c r="G2407" s="4">
        <v>12767</v>
      </c>
      <c r="H2407" s="4"/>
      <c r="I2407" s="4"/>
      <c r="J2407" s="4">
        <f>SUM(G2407:I2407)</f>
        <v>12767</v>
      </c>
      <c r="K2407" t="s">
        <v>1659</v>
      </c>
      <c r="L2407" t="s">
        <v>1659</v>
      </c>
      <c r="M2407" t="s">
        <v>788</v>
      </c>
      <c r="N2407" t="s">
        <v>1132</v>
      </c>
      <c r="O2407" t="s">
        <v>1132</v>
      </c>
      <c r="P2407" t="str">
        <f>IFERROR(VLOOKUP(F2407,Sheet1!$A$2:$B$54,2,FALSE),"")</f>
        <v/>
      </c>
    </row>
    <row r="2408" spans="1:16" x14ac:dyDescent="0.2">
      <c r="A2408" s="1">
        <v>2022</v>
      </c>
      <c r="B2408" t="s">
        <v>291</v>
      </c>
      <c r="C2408" s="10" t="s">
        <v>1678</v>
      </c>
      <c r="D2408" s="10" t="s">
        <v>1679</v>
      </c>
      <c r="E2408" s="10" t="s">
        <v>1682</v>
      </c>
      <c r="F2408" t="s">
        <v>788</v>
      </c>
      <c r="G2408" s="4">
        <v>24142</v>
      </c>
      <c r="H2408" s="4"/>
      <c r="I2408" s="4"/>
      <c r="J2408" s="4">
        <f>SUM(G2408:I2408)</f>
        <v>24142</v>
      </c>
      <c r="K2408" t="s">
        <v>1659</v>
      </c>
      <c r="L2408" t="s">
        <v>1659</v>
      </c>
      <c r="M2408" t="s">
        <v>788</v>
      </c>
      <c r="N2408" t="s">
        <v>1132</v>
      </c>
      <c r="O2408" t="s">
        <v>1132</v>
      </c>
      <c r="P2408" t="str">
        <f>IFERROR(VLOOKUP(F2408,Sheet1!$A$2:$B$54,2,FALSE),"")</f>
        <v/>
      </c>
    </row>
    <row r="2409" spans="1:16" x14ac:dyDescent="0.2">
      <c r="A2409" s="1">
        <v>2023</v>
      </c>
      <c r="B2409" t="s">
        <v>291</v>
      </c>
      <c r="C2409" s="10" t="s">
        <v>1678</v>
      </c>
      <c r="D2409" s="10" t="s">
        <v>1679</v>
      </c>
      <c r="E2409" s="10" t="s">
        <v>1682</v>
      </c>
      <c r="F2409" t="s">
        <v>788</v>
      </c>
      <c r="G2409" s="4">
        <v>26959</v>
      </c>
      <c r="H2409" s="4"/>
      <c r="I2409" s="4"/>
      <c r="J2409" s="4">
        <f>SUM(G2409:I2409)</f>
        <v>26959</v>
      </c>
      <c r="K2409" t="s">
        <v>1659</v>
      </c>
      <c r="L2409" t="s">
        <v>1659</v>
      </c>
      <c r="M2409" t="s">
        <v>788</v>
      </c>
      <c r="N2409" t="s">
        <v>1132</v>
      </c>
      <c r="O2409" t="s">
        <v>1132</v>
      </c>
      <c r="P2409" t="str">
        <f>IFERROR(VLOOKUP(F2409,Sheet1!$A$2:$B$54,2,FALSE),"")</f>
        <v/>
      </c>
    </row>
    <row r="2410" spans="1:16" x14ac:dyDescent="0.2">
      <c r="A2410" s="1">
        <v>2015</v>
      </c>
      <c r="B2410" t="s">
        <v>281</v>
      </c>
      <c r="C2410" s="10" t="s">
        <v>1678</v>
      </c>
      <c r="D2410" s="10" t="s">
        <v>1679</v>
      </c>
      <c r="E2410" s="10" t="s">
        <v>1682</v>
      </c>
      <c r="F2410" t="s">
        <v>778</v>
      </c>
      <c r="G2410" s="4">
        <v>19650</v>
      </c>
      <c r="H2410" s="4">
        <v>611227</v>
      </c>
      <c r="I2410" s="4"/>
      <c r="J2410" s="4">
        <f>SUM(G2410:I2410)</f>
        <v>630877</v>
      </c>
      <c r="K2410" t="s">
        <v>1660</v>
      </c>
      <c r="L2410" t="s">
        <v>1659</v>
      </c>
      <c r="M2410" t="s">
        <v>1352</v>
      </c>
      <c r="N2410" t="s">
        <v>1352</v>
      </c>
      <c r="O2410" t="s">
        <v>1132</v>
      </c>
      <c r="P2410">
        <f>IFERROR(VLOOKUP(F2410,Sheet1!$A$2:$B$54,2,FALSE),"")</f>
        <v>4900840</v>
      </c>
    </row>
    <row r="2411" spans="1:16" x14ac:dyDescent="0.2">
      <c r="A2411" s="1">
        <v>2016</v>
      </c>
      <c r="B2411" t="s">
        <v>281</v>
      </c>
      <c r="C2411" s="10" t="s">
        <v>1678</v>
      </c>
      <c r="D2411" s="10" t="s">
        <v>1679</v>
      </c>
      <c r="E2411" s="10" t="s">
        <v>1682</v>
      </c>
      <c r="F2411" t="s">
        <v>778</v>
      </c>
      <c r="G2411" s="4">
        <v>27996</v>
      </c>
      <c r="H2411" s="4">
        <v>634959</v>
      </c>
      <c r="I2411" s="4"/>
      <c r="J2411" s="4">
        <f>SUM(G2411:I2411)</f>
        <v>662955</v>
      </c>
      <c r="K2411" t="s">
        <v>1660</v>
      </c>
      <c r="L2411" t="s">
        <v>1659</v>
      </c>
      <c r="M2411" t="s">
        <v>1352</v>
      </c>
      <c r="N2411" t="s">
        <v>1352</v>
      </c>
      <c r="O2411" t="s">
        <v>1132</v>
      </c>
      <c r="P2411">
        <f>IFERROR(VLOOKUP(F2411,Sheet1!$A$2:$B$54,2,FALSE),"")</f>
        <v>4900840</v>
      </c>
    </row>
    <row r="2412" spans="1:16" x14ac:dyDescent="0.2">
      <c r="A2412" s="1">
        <v>2017</v>
      </c>
      <c r="B2412" t="s">
        <v>281</v>
      </c>
      <c r="C2412" s="10" t="s">
        <v>1678</v>
      </c>
      <c r="D2412" s="10" t="s">
        <v>1679</v>
      </c>
      <c r="E2412" s="10" t="s">
        <v>1682</v>
      </c>
      <c r="F2412" t="s">
        <v>778</v>
      </c>
      <c r="G2412" s="4">
        <v>37782</v>
      </c>
      <c r="H2412" s="4">
        <v>670216</v>
      </c>
      <c r="I2412" s="4"/>
      <c r="J2412" s="4">
        <f>SUM(G2412:I2412)</f>
        <v>707998</v>
      </c>
      <c r="K2412" t="s">
        <v>1660</v>
      </c>
      <c r="L2412" t="s">
        <v>1659</v>
      </c>
      <c r="M2412" t="s">
        <v>1352</v>
      </c>
      <c r="N2412" t="s">
        <v>1352</v>
      </c>
      <c r="O2412" t="s">
        <v>1132</v>
      </c>
      <c r="P2412">
        <f>IFERROR(VLOOKUP(F2412,Sheet1!$A$2:$B$54,2,FALSE),"")</f>
        <v>4900840</v>
      </c>
    </row>
    <row r="2413" spans="1:16" x14ac:dyDescent="0.2">
      <c r="A2413" s="1">
        <v>2018</v>
      </c>
      <c r="B2413" t="s">
        <v>281</v>
      </c>
      <c r="C2413" s="10" t="s">
        <v>1678</v>
      </c>
      <c r="D2413" s="10" t="s">
        <v>1679</v>
      </c>
      <c r="E2413" s="10" t="s">
        <v>1682</v>
      </c>
      <c r="F2413" t="s">
        <v>778</v>
      </c>
      <c r="G2413" s="4">
        <v>45907</v>
      </c>
      <c r="H2413" s="4">
        <v>699062</v>
      </c>
      <c r="I2413" s="4"/>
      <c r="J2413" s="4">
        <f>SUM(G2413:I2413)</f>
        <v>744969</v>
      </c>
      <c r="K2413" t="s">
        <v>1660</v>
      </c>
      <c r="L2413" t="s">
        <v>1659</v>
      </c>
      <c r="M2413" t="s">
        <v>1352</v>
      </c>
      <c r="N2413" t="s">
        <v>1352</v>
      </c>
      <c r="O2413" t="s">
        <v>1132</v>
      </c>
      <c r="P2413">
        <f>IFERROR(VLOOKUP(F2413,Sheet1!$A$2:$B$54,2,FALSE),"")</f>
        <v>4900840</v>
      </c>
    </row>
    <row r="2414" spans="1:16" x14ac:dyDescent="0.2">
      <c r="A2414" s="1">
        <v>2019</v>
      </c>
      <c r="B2414" t="s">
        <v>281</v>
      </c>
      <c r="C2414" s="10" t="s">
        <v>1678</v>
      </c>
      <c r="D2414" s="10" t="s">
        <v>1679</v>
      </c>
      <c r="E2414" s="10" t="s">
        <v>1682</v>
      </c>
      <c r="F2414" t="s">
        <v>778</v>
      </c>
      <c r="G2414" s="4">
        <v>51660</v>
      </c>
      <c r="H2414" s="4">
        <v>710598</v>
      </c>
      <c r="I2414" s="4"/>
      <c r="J2414" s="4">
        <f>SUM(G2414:I2414)</f>
        <v>762258</v>
      </c>
      <c r="K2414" t="s">
        <v>1660</v>
      </c>
      <c r="L2414" t="s">
        <v>1659</v>
      </c>
      <c r="M2414" t="s">
        <v>1352</v>
      </c>
      <c r="N2414" t="s">
        <v>1352</v>
      </c>
      <c r="O2414" t="s">
        <v>1132</v>
      </c>
      <c r="P2414">
        <f>IFERROR(VLOOKUP(F2414,Sheet1!$A$2:$B$54,2,FALSE),"")</f>
        <v>4900840</v>
      </c>
    </row>
    <row r="2415" spans="1:16" x14ac:dyDescent="0.2">
      <c r="A2415" s="1">
        <v>2020</v>
      </c>
      <c r="B2415" t="s">
        <v>281</v>
      </c>
      <c r="C2415" s="10" t="s">
        <v>1678</v>
      </c>
      <c r="D2415" s="10" t="s">
        <v>1679</v>
      </c>
      <c r="E2415" s="10" t="s">
        <v>1682</v>
      </c>
      <c r="F2415" t="s">
        <v>778</v>
      </c>
      <c r="G2415" s="4">
        <v>66149</v>
      </c>
      <c r="H2415" s="4">
        <v>711361</v>
      </c>
      <c r="I2415" s="4"/>
      <c r="J2415" s="4">
        <f>SUM(G2415:I2415)</f>
        <v>777510</v>
      </c>
      <c r="K2415" t="s">
        <v>1660</v>
      </c>
      <c r="L2415" t="s">
        <v>1659</v>
      </c>
      <c r="M2415" t="s">
        <v>1352</v>
      </c>
      <c r="N2415" t="s">
        <v>1352</v>
      </c>
      <c r="O2415" t="s">
        <v>1132</v>
      </c>
      <c r="P2415">
        <f>IFERROR(VLOOKUP(F2415,Sheet1!$A$2:$B$54,2,FALSE),"")</f>
        <v>4900840</v>
      </c>
    </row>
    <row r="2416" spans="1:16" x14ac:dyDescent="0.2">
      <c r="A2416" s="1">
        <v>2021</v>
      </c>
      <c r="B2416" t="s">
        <v>281</v>
      </c>
      <c r="C2416" s="10" t="s">
        <v>1678</v>
      </c>
      <c r="D2416" s="10" t="s">
        <v>1679</v>
      </c>
      <c r="E2416" s="10" t="s">
        <v>1682</v>
      </c>
      <c r="F2416" t="s">
        <v>778</v>
      </c>
      <c r="G2416" s="4">
        <v>80986</v>
      </c>
      <c r="H2416" s="4">
        <v>751010</v>
      </c>
      <c r="I2416" s="4"/>
      <c r="J2416" s="4">
        <f>SUM(G2416:I2416)</f>
        <v>831996</v>
      </c>
      <c r="K2416" t="s">
        <v>1660</v>
      </c>
      <c r="L2416" t="s">
        <v>1659</v>
      </c>
      <c r="M2416" t="s">
        <v>778</v>
      </c>
      <c r="N2416" t="s">
        <v>778</v>
      </c>
      <c r="O2416" t="s">
        <v>1132</v>
      </c>
      <c r="P2416">
        <f>IFERROR(VLOOKUP(F2416,Sheet1!$A$2:$B$54,2,FALSE),"")</f>
        <v>4900840</v>
      </c>
    </row>
    <row r="2417" spans="1:16" x14ac:dyDescent="0.2">
      <c r="A2417" s="1">
        <v>2022</v>
      </c>
      <c r="B2417" t="s">
        <v>281</v>
      </c>
      <c r="C2417" s="10" t="s">
        <v>1678</v>
      </c>
      <c r="D2417" s="10" t="s">
        <v>1679</v>
      </c>
      <c r="E2417" s="10" t="s">
        <v>1682</v>
      </c>
      <c r="F2417" t="s">
        <v>778</v>
      </c>
      <c r="G2417" s="4">
        <v>103814</v>
      </c>
      <c r="H2417" s="4">
        <v>794239</v>
      </c>
      <c r="I2417" s="4"/>
      <c r="J2417" s="4">
        <f>SUM(G2417:I2417)</f>
        <v>898053</v>
      </c>
      <c r="K2417" t="s">
        <v>1660</v>
      </c>
      <c r="L2417" t="s">
        <v>1659</v>
      </c>
      <c r="M2417" t="s">
        <v>778</v>
      </c>
      <c r="N2417" t="s">
        <v>778</v>
      </c>
      <c r="O2417" t="s">
        <v>1132</v>
      </c>
      <c r="P2417">
        <f>IFERROR(VLOOKUP(F2417,Sheet1!$A$2:$B$54,2,FALSE),"")</f>
        <v>4900840</v>
      </c>
    </row>
    <row r="2418" spans="1:16" x14ac:dyDescent="0.2">
      <c r="A2418" s="1">
        <v>2023</v>
      </c>
      <c r="B2418" t="s">
        <v>281</v>
      </c>
      <c r="C2418" s="10" t="s">
        <v>1678</v>
      </c>
      <c r="D2418" s="10" t="s">
        <v>1679</v>
      </c>
      <c r="E2418" s="10" t="s">
        <v>1682</v>
      </c>
      <c r="F2418" t="s">
        <v>778</v>
      </c>
      <c r="G2418" s="4">
        <v>136249</v>
      </c>
      <c r="H2418" s="4">
        <v>839191</v>
      </c>
      <c r="I2418" s="4"/>
      <c r="J2418" s="4">
        <f>SUM(G2418:I2418)</f>
        <v>975440</v>
      </c>
      <c r="K2418" t="s">
        <v>1660</v>
      </c>
      <c r="L2418" t="s">
        <v>1659</v>
      </c>
      <c r="M2418" t="s">
        <v>778</v>
      </c>
      <c r="N2418" t="s">
        <v>778</v>
      </c>
      <c r="O2418" t="s">
        <v>1132</v>
      </c>
      <c r="P2418">
        <f>IFERROR(VLOOKUP(F2418,Sheet1!$A$2:$B$54,2,FALSE),"")</f>
        <v>4900840</v>
      </c>
    </row>
    <row r="2419" spans="1:16" x14ac:dyDescent="0.2">
      <c r="A2419" s="1">
        <v>2015</v>
      </c>
      <c r="B2419" t="s">
        <v>293</v>
      </c>
      <c r="C2419" s="10" t="s">
        <v>1678</v>
      </c>
      <c r="D2419" s="10" t="s">
        <v>1679</v>
      </c>
      <c r="E2419" s="10" t="s">
        <v>1682</v>
      </c>
      <c r="F2419" t="s">
        <v>790</v>
      </c>
      <c r="G2419" s="4">
        <v>1384628</v>
      </c>
      <c r="H2419" s="4"/>
      <c r="I2419" s="4"/>
      <c r="J2419" s="4">
        <f>SUM(G2419:I2419)</f>
        <v>1384628</v>
      </c>
      <c r="K2419" t="s">
        <v>1659</v>
      </c>
      <c r="L2419" t="s">
        <v>1659</v>
      </c>
      <c r="M2419" t="s">
        <v>1365</v>
      </c>
      <c r="N2419" t="s">
        <v>1132</v>
      </c>
      <c r="O2419" t="s">
        <v>1132</v>
      </c>
      <c r="P2419" t="str">
        <f>IFERROR(VLOOKUP(F2419,Sheet1!$A$2:$B$54,2,FALSE),"")</f>
        <v/>
      </c>
    </row>
    <row r="2420" spans="1:16" x14ac:dyDescent="0.2">
      <c r="A2420" s="1">
        <v>2016</v>
      </c>
      <c r="B2420" t="s">
        <v>293</v>
      </c>
      <c r="C2420" s="10" t="s">
        <v>1678</v>
      </c>
      <c r="D2420" s="10" t="s">
        <v>1679</v>
      </c>
      <c r="E2420" s="10" t="s">
        <v>1682</v>
      </c>
      <c r="F2420" t="s">
        <v>790</v>
      </c>
      <c r="G2420" s="4">
        <v>1864960</v>
      </c>
      <c r="H2420" s="4"/>
      <c r="I2420" s="4"/>
      <c r="J2420" s="4">
        <f>SUM(G2420:I2420)</f>
        <v>1864960</v>
      </c>
      <c r="K2420" t="s">
        <v>1659</v>
      </c>
      <c r="L2420" t="s">
        <v>1659</v>
      </c>
      <c r="M2420" t="s">
        <v>1365</v>
      </c>
      <c r="N2420" t="s">
        <v>1132</v>
      </c>
      <c r="O2420" t="s">
        <v>1132</v>
      </c>
      <c r="P2420" t="str">
        <f>IFERROR(VLOOKUP(F2420,Sheet1!$A$2:$B$54,2,FALSE),"")</f>
        <v/>
      </c>
    </row>
    <row r="2421" spans="1:16" x14ac:dyDescent="0.2">
      <c r="A2421" s="1">
        <v>2017</v>
      </c>
      <c r="B2421" t="s">
        <v>293</v>
      </c>
      <c r="C2421" s="10" t="s">
        <v>1678</v>
      </c>
      <c r="D2421" s="10" t="s">
        <v>1679</v>
      </c>
      <c r="E2421" s="10" t="s">
        <v>1682</v>
      </c>
      <c r="F2421" t="s">
        <v>790</v>
      </c>
      <c r="G2421" s="4">
        <v>2218151</v>
      </c>
      <c r="H2421" s="4"/>
      <c r="I2421" s="4"/>
      <c r="J2421" s="4">
        <f>SUM(G2421:I2421)</f>
        <v>2218151</v>
      </c>
      <c r="K2421" t="s">
        <v>1659</v>
      </c>
      <c r="L2421" t="s">
        <v>1659</v>
      </c>
      <c r="M2421" t="s">
        <v>1365</v>
      </c>
      <c r="N2421" t="s">
        <v>1132</v>
      </c>
      <c r="O2421" t="s">
        <v>1132</v>
      </c>
      <c r="P2421" t="str">
        <f>IFERROR(VLOOKUP(F2421,Sheet1!$A$2:$B$54,2,FALSE),"")</f>
        <v/>
      </c>
    </row>
    <row r="2422" spans="1:16" x14ac:dyDescent="0.2">
      <c r="A2422" s="1">
        <v>2018</v>
      </c>
      <c r="B2422" t="s">
        <v>293</v>
      </c>
      <c r="C2422" s="10" t="s">
        <v>1678</v>
      </c>
      <c r="D2422" s="10" t="s">
        <v>1679</v>
      </c>
      <c r="E2422" s="10" t="s">
        <v>1682</v>
      </c>
      <c r="F2422" t="s">
        <v>790</v>
      </c>
      <c r="G2422" s="4">
        <v>2792215</v>
      </c>
      <c r="H2422" s="4"/>
      <c r="I2422" s="4"/>
      <c r="J2422" s="4">
        <f>SUM(G2422:I2422)</f>
        <v>2792215</v>
      </c>
      <c r="K2422" t="s">
        <v>1659</v>
      </c>
      <c r="L2422" t="s">
        <v>1659</v>
      </c>
      <c r="M2422" t="s">
        <v>1365</v>
      </c>
      <c r="N2422" t="s">
        <v>1132</v>
      </c>
      <c r="O2422" t="s">
        <v>1132</v>
      </c>
      <c r="P2422" t="str">
        <f>IFERROR(VLOOKUP(F2422,Sheet1!$A$2:$B$54,2,FALSE),"")</f>
        <v/>
      </c>
    </row>
    <row r="2423" spans="1:16" x14ac:dyDescent="0.2">
      <c r="A2423" s="1">
        <v>2019</v>
      </c>
      <c r="B2423" t="s">
        <v>293</v>
      </c>
      <c r="C2423" s="10" t="s">
        <v>1678</v>
      </c>
      <c r="D2423" s="10" t="s">
        <v>1679</v>
      </c>
      <c r="E2423" s="10" t="s">
        <v>1682</v>
      </c>
      <c r="F2423" t="s">
        <v>790</v>
      </c>
      <c r="G2423" s="4">
        <v>3552860</v>
      </c>
      <c r="H2423" s="4"/>
      <c r="I2423" s="4"/>
      <c r="J2423" s="4">
        <f>SUM(G2423:I2423)</f>
        <v>3552860</v>
      </c>
      <c r="K2423" t="s">
        <v>1659</v>
      </c>
      <c r="L2423" t="s">
        <v>1659</v>
      </c>
      <c r="M2423" t="s">
        <v>1365</v>
      </c>
      <c r="N2423" t="s">
        <v>1132</v>
      </c>
      <c r="O2423" t="s">
        <v>1132</v>
      </c>
      <c r="P2423" t="str">
        <f>IFERROR(VLOOKUP(F2423,Sheet1!$A$2:$B$54,2,FALSE),"")</f>
        <v/>
      </c>
    </row>
    <row r="2424" spans="1:16" x14ac:dyDescent="0.2">
      <c r="A2424" s="1">
        <v>2020</v>
      </c>
      <c r="B2424" t="s">
        <v>293</v>
      </c>
      <c r="C2424" s="10" t="s">
        <v>1678</v>
      </c>
      <c r="D2424" s="10" t="s">
        <v>1679</v>
      </c>
      <c r="E2424" s="10" t="s">
        <v>1682</v>
      </c>
      <c r="F2424" t="s">
        <v>790</v>
      </c>
      <c r="G2424" s="4">
        <v>4182240</v>
      </c>
      <c r="H2424" s="4"/>
      <c r="I2424" s="4"/>
      <c r="J2424" s="4">
        <f>SUM(G2424:I2424)</f>
        <v>4182240</v>
      </c>
      <c r="K2424" t="s">
        <v>1659</v>
      </c>
      <c r="L2424" t="s">
        <v>1659</v>
      </c>
      <c r="M2424" t="s">
        <v>1365</v>
      </c>
      <c r="N2424" t="s">
        <v>1132</v>
      </c>
      <c r="O2424" t="s">
        <v>1132</v>
      </c>
      <c r="P2424" t="str">
        <f>IFERROR(VLOOKUP(F2424,Sheet1!$A$2:$B$54,2,FALSE),"")</f>
        <v/>
      </c>
    </row>
    <row r="2425" spans="1:16" x14ac:dyDescent="0.2">
      <c r="A2425" s="1">
        <v>2021</v>
      </c>
      <c r="B2425" t="s">
        <v>293</v>
      </c>
      <c r="C2425" s="10" t="s">
        <v>1678</v>
      </c>
      <c r="D2425" s="10" t="s">
        <v>1679</v>
      </c>
      <c r="E2425" s="10" t="s">
        <v>1682</v>
      </c>
      <c r="F2425" t="s">
        <v>790</v>
      </c>
      <c r="G2425" s="4">
        <v>4829281</v>
      </c>
      <c r="H2425" s="4"/>
      <c r="I2425" s="4"/>
      <c r="J2425" s="4">
        <f>SUM(G2425:I2425)</f>
        <v>4829281</v>
      </c>
      <c r="K2425" t="s">
        <v>1659</v>
      </c>
      <c r="L2425" t="s">
        <v>1659</v>
      </c>
      <c r="M2425" t="s">
        <v>790</v>
      </c>
      <c r="N2425" t="s">
        <v>1132</v>
      </c>
      <c r="O2425" t="s">
        <v>1132</v>
      </c>
      <c r="P2425" t="str">
        <f>IFERROR(VLOOKUP(F2425,Sheet1!$A$2:$B$54,2,FALSE),"")</f>
        <v/>
      </c>
    </row>
    <row r="2426" spans="1:16" x14ac:dyDescent="0.2">
      <c r="A2426" s="1">
        <v>2022</v>
      </c>
      <c r="B2426" t="s">
        <v>293</v>
      </c>
      <c r="C2426" s="10" t="s">
        <v>1678</v>
      </c>
      <c r="D2426" s="10" t="s">
        <v>1679</v>
      </c>
      <c r="E2426" s="10" t="s">
        <v>1682</v>
      </c>
      <c r="F2426" t="s">
        <v>790</v>
      </c>
      <c r="G2426" s="4">
        <v>6315996</v>
      </c>
      <c r="H2426" s="4"/>
      <c r="I2426" s="4"/>
      <c r="J2426" s="4">
        <f>SUM(G2426:I2426)</f>
        <v>6315996</v>
      </c>
      <c r="K2426" t="s">
        <v>1659</v>
      </c>
      <c r="L2426" t="s">
        <v>1659</v>
      </c>
      <c r="M2426" t="s">
        <v>790</v>
      </c>
      <c r="N2426" t="s">
        <v>1132</v>
      </c>
      <c r="O2426" t="s">
        <v>1132</v>
      </c>
      <c r="P2426" t="str">
        <f>IFERROR(VLOOKUP(F2426,Sheet1!$A$2:$B$54,2,FALSE),"")</f>
        <v/>
      </c>
    </row>
    <row r="2427" spans="1:16" x14ac:dyDescent="0.2">
      <c r="A2427" s="1">
        <v>2023</v>
      </c>
      <c r="B2427" t="s">
        <v>293</v>
      </c>
      <c r="C2427" s="10" t="s">
        <v>1678</v>
      </c>
      <c r="D2427" s="10" t="s">
        <v>1679</v>
      </c>
      <c r="E2427" s="10" t="s">
        <v>1682</v>
      </c>
      <c r="F2427" t="s">
        <v>790</v>
      </c>
      <c r="G2427" s="4">
        <v>7959321</v>
      </c>
      <c r="H2427" s="4"/>
      <c r="I2427" s="4"/>
      <c r="J2427" s="4">
        <f>SUM(G2427:I2427)</f>
        <v>7959321</v>
      </c>
      <c r="K2427" t="s">
        <v>1659</v>
      </c>
      <c r="L2427" t="s">
        <v>1659</v>
      </c>
      <c r="M2427" t="s">
        <v>790</v>
      </c>
      <c r="N2427" t="s">
        <v>1132</v>
      </c>
      <c r="O2427" t="s">
        <v>1132</v>
      </c>
      <c r="P2427" t="str">
        <f>IFERROR(VLOOKUP(F2427,Sheet1!$A$2:$B$54,2,FALSE),"")</f>
        <v/>
      </c>
    </row>
    <row r="2428" spans="1:16" x14ac:dyDescent="0.2">
      <c r="A2428" s="1">
        <v>2015</v>
      </c>
      <c r="B2428" t="s">
        <v>294</v>
      </c>
      <c r="C2428" s="10" t="s">
        <v>1678</v>
      </c>
      <c r="D2428" s="10" t="s">
        <v>1679</v>
      </c>
      <c r="E2428" s="10" t="s">
        <v>1682</v>
      </c>
      <c r="F2428" t="s">
        <v>791</v>
      </c>
      <c r="G2428" s="4">
        <v>54044</v>
      </c>
      <c r="H2428" s="4"/>
      <c r="I2428" s="4"/>
      <c r="J2428" s="4">
        <f>SUM(G2428:I2428)</f>
        <v>54044</v>
      </c>
      <c r="K2428" t="s">
        <v>1659</v>
      </c>
      <c r="L2428" t="s">
        <v>1659</v>
      </c>
      <c r="M2428" t="s">
        <v>1366</v>
      </c>
      <c r="N2428" t="s">
        <v>1132</v>
      </c>
      <c r="O2428" t="s">
        <v>1132</v>
      </c>
      <c r="P2428" t="str">
        <f>IFERROR(VLOOKUP(F2428,Sheet1!$A$2:$B$54,2,FALSE),"")</f>
        <v/>
      </c>
    </row>
    <row r="2429" spans="1:16" x14ac:dyDescent="0.2">
      <c r="A2429" s="1">
        <v>2016</v>
      </c>
      <c r="B2429" t="s">
        <v>294</v>
      </c>
      <c r="C2429" s="10" t="s">
        <v>1678</v>
      </c>
      <c r="D2429" s="10" t="s">
        <v>1679</v>
      </c>
      <c r="E2429" s="10" t="s">
        <v>1682</v>
      </c>
      <c r="F2429" t="s">
        <v>791</v>
      </c>
      <c r="G2429" s="4">
        <v>80217</v>
      </c>
      <c r="H2429" s="4"/>
      <c r="I2429" s="4"/>
      <c r="J2429" s="4">
        <f>SUM(G2429:I2429)</f>
        <v>80217</v>
      </c>
      <c r="K2429" t="s">
        <v>1659</v>
      </c>
      <c r="L2429" t="s">
        <v>1659</v>
      </c>
      <c r="M2429" t="s">
        <v>1366</v>
      </c>
      <c r="N2429" t="s">
        <v>1132</v>
      </c>
      <c r="O2429" t="s">
        <v>1132</v>
      </c>
      <c r="P2429" t="str">
        <f>IFERROR(VLOOKUP(F2429,Sheet1!$A$2:$B$54,2,FALSE),"")</f>
        <v/>
      </c>
    </row>
    <row r="2430" spans="1:16" x14ac:dyDescent="0.2">
      <c r="A2430" s="1">
        <v>2017</v>
      </c>
      <c r="B2430" t="s">
        <v>294</v>
      </c>
      <c r="C2430" s="10" t="s">
        <v>1678</v>
      </c>
      <c r="D2430" s="10" t="s">
        <v>1679</v>
      </c>
      <c r="E2430" s="10" t="s">
        <v>1682</v>
      </c>
      <c r="F2430" t="s">
        <v>791</v>
      </c>
      <c r="G2430" s="4">
        <v>104534</v>
      </c>
      <c r="H2430" s="4"/>
      <c r="I2430" s="4"/>
      <c r="J2430" s="4">
        <f>SUM(G2430:I2430)</f>
        <v>104534</v>
      </c>
      <c r="K2430" t="s">
        <v>1659</v>
      </c>
      <c r="L2430" t="s">
        <v>1659</v>
      </c>
      <c r="M2430" t="s">
        <v>1366</v>
      </c>
      <c r="N2430" t="s">
        <v>1132</v>
      </c>
      <c r="O2430" t="s">
        <v>1132</v>
      </c>
      <c r="P2430" t="str">
        <f>IFERROR(VLOOKUP(F2430,Sheet1!$A$2:$B$54,2,FALSE),"")</f>
        <v/>
      </c>
    </row>
    <row r="2431" spans="1:16" x14ac:dyDescent="0.2">
      <c r="A2431" s="1">
        <v>2018</v>
      </c>
      <c r="B2431" t="s">
        <v>294</v>
      </c>
      <c r="C2431" s="10" t="s">
        <v>1678</v>
      </c>
      <c r="D2431" s="10" t="s">
        <v>1679</v>
      </c>
      <c r="E2431" s="10" t="s">
        <v>1682</v>
      </c>
      <c r="F2431" t="s">
        <v>791</v>
      </c>
      <c r="G2431" s="4">
        <v>157635</v>
      </c>
      <c r="H2431" s="4"/>
      <c r="I2431" s="4"/>
      <c r="J2431" s="4">
        <f>SUM(G2431:I2431)</f>
        <v>157635</v>
      </c>
      <c r="K2431" t="s">
        <v>1659</v>
      </c>
      <c r="L2431" t="s">
        <v>1659</v>
      </c>
      <c r="M2431" t="s">
        <v>1366</v>
      </c>
      <c r="N2431" t="s">
        <v>1132</v>
      </c>
      <c r="O2431" t="s">
        <v>1132</v>
      </c>
      <c r="P2431" t="str">
        <f>IFERROR(VLOOKUP(F2431,Sheet1!$A$2:$B$54,2,FALSE),"")</f>
        <v/>
      </c>
    </row>
    <row r="2432" spans="1:16" x14ac:dyDescent="0.2">
      <c r="A2432" s="1">
        <v>2019</v>
      </c>
      <c r="B2432" t="s">
        <v>294</v>
      </c>
      <c r="C2432" s="10" t="s">
        <v>1678</v>
      </c>
      <c r="D2432" s="10" t="s">
        <v>1679</v>
      </c>
      <c r="E2432" s="10" t="s">
        <v>1682</v>
      </c>
      <c r="F2432" t="s">
        <v>791</v>
      </c>
      <c r="G2432" s="4">
        <v>202226</v>
      </c>
      <c r="H2432" s="4"/>
      <c r="I2432" s="4"/>
      <c r="J2432" s="4">
        <f>SUM(G2432:I2432)</f>
        <v>202226</v>
      </c>
      <c r="K2432" t="s">
        <v>1659</v>
      </c>
      <c r="L2432" t="s">
        <v>1659</v>
      </c>
      <c r="M2432" t="s">
        <v>1366</v>
      </c>
      <c r="N2432" t="s">
        <v>1132</v>
      </c>
      <c r="O2432" t="s">
        <v>1132</v>
      </c>
      <c r="P2432" t="str">
        <f>IFERROR(VLOOKUP(F2432,Sheet1!$A$2:$B$54,2,FALSE),"")</f>
        <v/>
      </c>
    </row>
    <row r="2433" spans="1:16" x14ac:dyDescent="0.2">
      <c r="A2433" s="1">
        <v>2020</v>
      </c>
      <c r="B2433" t="s">
        <v>294</v>
      </c>
      <c r="C2433" s="10" t="s">
        <v>1678</v>
      </c>
      <c r="D2433" s="10" t="s">
        <v>1679</v>
      </c>
      <c r="E2433" s="10" t="s">
        <v>1682</v>
      </c>
      <c r="F2433" t="s">
        <v>791</v>
      </c>
      <c r="G2433" s="4">
        <v>218287</v>
      </c>
      <c r="H2433" s="4"/>
      <c r="I2433" s="4"/>
      <c r="J2433" s="4">
        <f>SUM(G2433:I2433)</f>
        <v>218287</v>
      </c>
      <c r="K2433" t="s">
        <v>1659</v>
      </c>
      <c r="L2433" t="s">
        <v>1659</v>
      </c>
      <c r="M2433" t="s">
        <v>1366</v>
      </c>
      <c r="N2433" t="s">
        <v>1132</v>
      </c>
      <c r="O2433" t="s">
        <v>1132</v>
      </c>
      <c r="P2433" t="str">
        <f>IFERROR(VLOOKUP(F2433,Sheet1!$A$2:$B$54,2,FALSE),"")</f>
        <v/>
      </c>
    </row>
    <row r="2434" spans="1:16" x14ac:dyDescent="0.2">
      <c r="A2434" s="1">
        <v>2021</v>
      </c>
      <c r="B2434" t="s">
        <v>294</v>
      </c>
      <c r="C2434" s="10" t="s">
        <v>1678</v>
      </c>
      <c r="D2434" s="10" t="s">
        <v>1679</v>
      </c>
      <c r="E2434" s="10" t="s">
        <v>1682</v>
      </c>
      <c r="F2434" t="s">
        <v>791</v>
      </c>
      <c r="G2434" s="4">
        <v>251976</v>
      </c>
      <c r="H2434" s="4"/>
      <c r="I2434" s="4"/>
      <c r="J2434" s="4">
        <f>SUM(G2434:I2434)</f>
        <v>251976</v>
      </c>
      <c r="K2434" t="s">
        <v>1659</v>
      </c>
      <c r="L2434" t="s">
        <v>1659</v>
      </c>
      <c r="M2434" t="s">
        <v>791</v>
      </c>
      <c r="N2434" t="s">
        <v>1132</v>
      </c>
      <c r="O2434" t="s">
        <v>1132</v>
      </c>
      <c r="P2434" t="str">
        <f>IFERROR(VLOOKUP(F2434,Sheet1!$A$2:$B$54,2,FALSE),"")</f>
        <v/>
      </c>
    </row>
    <row r="2435" spans="1:16" x14ac:dyDescent="0.2">
      <c r="A2435" s="1">
        <v>2022</v>
      </c>
      <c r="B2435" t="s">
        <v>294</v>
      </c>
      <c r="C2435" s="10" t="s">
        <v>1678</v>
      </c>
      <c r="D2435" s="10" t="s">
        <v>1679</v>
      </c>
      <c r="E2435" s="10" t="s">
        <v>1682</v>
      </c>
      <c r="F2435" t="s">
        <v>791</v>
      </c>
      <c r="G2435" s="4">
        <v>329310</v>
      </c>
      <c r="H2435" s="4"/>
      <c r="I2435" s="4"/>
      <c r="J2435" s="4">
        <f>SUM(G2435:I2435)</f>
        <v>329310</v>
      </c>
      <c r="K2435" t="s">
        <v>1659</v>
      </c>
      <c r="L2435" t="s">
        <v>1659</v>
      </c>
      <c r="M2435" t="s">
        <v>791</v>
      </c>
      <c r="N2435" t="s">
        <v>1132</v>
      </c>
      <c r="O2435" t="s">
        <v>1132</v>
      </c>
      <c r="P2435" t="str">
        <f>IFERROR(VLOOKUP(F2435,Sheet1!$A$2:$B$54,2,FALSE),"")</f>
        <v/>
      </c>
    </row>
    <row r="2436" spans="1:16" x14ac:dyDescent="0.2">
      <c r="A2436" s="1">
        <v>2023</v>
      </c>
      <c r="B2436" t="s">
        <v>294</v>
      </c>
      <c r="C2436" s="10" t="s">
        <v>1678</v>
      </c>
      <c r="D2436" s="10" t="s">
        <v>1679</v>
      </c>
      <c r="E2436" s="10" t="s">
        <v>1682</v>
      </c>
      <c r="F2436" t="s">
        <v>791</v>
      </c>
      <c r="G2436" s="4">
        <v>385573</v>
      </c>
      <c r="H2436" s="4"/>
      <c r="I2436" s="4"/>
      <c r="J2436" s="4">
        <f>SUM(G2436:I2436)</f>
        <v>385573</v>
      </c>
      <c r="K2436" t="s">
        <v>1659</v>
      </c>
      <c r="L2436" t="s">
        <v>1659</v>
      </c>
      <c r="M2436" t="s">
        <v>791</v>
      </c>
      <c r="N2436" t="s">
        <v>1132</v>
      </c>
      <c r="O2436" t="s">
        <v>1132</v>
      </c>
      <c r="P2436" t="str">
        <f>IFERROR(VLOOKUP(F2436,Sheet1!$A$2:$B$54,2,FALSE),"")</f>
        <v/>
      </c>
    </row>
    <row r="2437" spans="1:16" x14ac:dyDescent="0.2">
      <c r="A2437" s="1">
        <v>2019</v>
      </c>
      <c r="B2437" t="s">
        <v>295</v>
      </c>
      <c r="C2437" s="10" t="s">
        <v>1678</v>
      </c>
      <c r="D2437" s="10" t="s">
        <v>1679</v>
      </c>
      <c r="E2437" s="10" t="s">
        <v>1682</v>
      </c>
      <c r="F2437" t="s">
        <v>792</v>
      </c>
      <c r="G2437" s="4">
        <v>2491</v>
      </c>
      <c r="H2437" s="4"/>
      <c r="I2437" s="4"/>
      <c r="J2437" s="4">
        <f>SUM(G2437:I2437)</f>
        <v>2491</v>
      </c>
      <c r="K2437" t="s">
        <v>1659</v>
      </c>
      <c r="L2437" t="s">
        <v>1659</v>
      </c>
      <c r="M2437" t="s">
        <v>1367</v>
      </c>
      <c r="N2437" t="s">
        <v>1132</v>
      </c>
      <c r="O2437" t="s">
        <v>1132</v>
      </c>
      <c r="P2437" t="str">
        <f>IFERROR(VLOOKUP(F2437,Sheet1!$A$2:$B$54,2,FALSE),"")</f>
        <v/>
      </c>
    </row>
    <row r="2438" spans="1:16" x14ac:dyDescent="0.2">
      <c r="A2438" s="1">
        <v>2020</v>
      </c>
      <c r="B2438" t="s">
        <v>295</v>
      </c>
      <c r="C2438" s="10" t="s">
        <v>1678</v>
      </c>
      <c r="D2438" s="10" t="s">
        <v>1679</v>
      </c>
      <c r="E2438" s="10" t="s">
        <v>1682</v>
      </c>
      <c r="F2438" t="s">
        <v>792</v>
      </c>
      <c r="G2438" s="4">
        <v>5104</v>
      </c>
      <c r="H2438" s="4"/>
      <c r="I2438" s="4"/>
      <c r="J2438" s="4">
        <f>SUM(G2438:I2438)</f>
        <v>5104</v>
      </c>
      <c r="K2438" t="s">
        <v>1659</v>
      </c>
      <c r="L2438" t="s">
        <v>1659</v>
      </c>
      <c r="M2438" t="s">
        <v>1367</v>
      </c>
      <c r="N2438" t="s">
        <v>1132</v>
      </c>
      <c r="O2438" t="s">
        <v>1132</v>
      </c>
      <c r="P2438" t="str">
        <f>IFERROR(VLOOKUP(F2438,Sheet1!$A$2:$B$54,2,FALSE),"")</f>
        <v/>
      </c>
    </row>
    <row r="2439" spans="1:16" x14ac:dyDescent="0.2">
      <c r="A2439" s="1">
        <v>2021</v>
      </c>
      <c r="B2439" t="s">
        <v>295</v>
      </c>
      <c r="C2439" s="10" t="s">
        <v>1678</v>
      </c>
      <c r="D2439" s="10" t="s">
        <v>1679</v>
      </c>
      <c r="E2439" s="10" t="s">
        <v>1682</v>
      </c>
      <c r="F2439" t="s">
        <v>792</v>
      </c>
      <c r="G2439" s="4">
        <v>5093</v>
      </c>
      <c r="H2439" s="4"/>
      <c r="I2439" s="4"/>
      <c r="J2439" s="4">
        <f>SUM(G2439:I2439)</f>
        <v>5093</v>
      </c>
      <c r="K2439" t="s">
        <v>1659</v>
      </c>
      <c r="L2439" t="s">
        <v>1659</v>
      </c>
      <c r="M2439" t="s">
        <v>792</v>
      </c>
      <c r="N2439" t="s">
        <v>1132</v>
      </c>
      <c r="O2439" t="s">
        <v>1132</v>
      </c>
      <c r="P2439" t="str">
        <f>IFERROR(VLOOKUP(F2439,Sheet1!$A$2:$B$54,2,FALSE),"")</f>
        <v/>
      </c>
    </row>
    <row r="2440" spans="1:16" x14ac:dyDescent="0.2">
      <c r="A2440" s="1">
        <v>2022</v>
      </c>
      <c r="B2440" t="s">
        <v>295</v>
      </c>
      <c r="C2440" s="10" t="s">
        <v>1678</v>
      </c>
      <c r="D2440" s="10" t="s">
        <v>1679</v>
      </c>
      <c r="E2440" s="10" t="s">
        <v>1682</v>
      </c>
      <c r="F2440" t="s">
        <v>792</v>
      </c>
      <c r="G2440" s="4">
        <v>8361</v>
      </c>
      <c r="H2440" s="4"/>
      <c r="I2440" s="4"/>
      <c r="J2440" s="4">
        <f>SUM(G2440:I2440)</f>
        <v>8361</v>
      </c>
      <c r="K2440" t="s">
        <v>1659</v>
      </c>
      <c r="L2440" t="s">
        <v>1659</v>
      </c>
      <c r="M2440" t="s">
        <v>792</v>
      </c>
      <c r="N2440" t="s">
        <v>1132</v>
      </c>
      <c r="O2440" t="s">
        <v>1132</v>
      </c>
      <c r="P2440" t="str">
        <f>IFERROR(VLOOKUP(F2440,Sheet1!$A$2:$B$54,2,FALSE),"")</f>
        <v/>
      </c>
    </row>
    <row r="2441" spans="1:16" x14ac:dyDescent="0.2">
      <c r="A2441" s="1">
        <v>2023</v>
      </c>
      <c r="B2441" t="s">
        <v>295</v>
      </c>
      <c r="C2441" s="10" t="s">
        <v>1678</v>
      </c>
      <c r="D2441" s="10" t="s">
        <v>1679</v>
      </c>
      <c r="E2441" s="10" t="s">
        <v>1682</v>
      </c>
      <c r="F2441" t="s">
        <v>792</v>
      </c>
      <c r="G2441" s="4">
        <v>19335</v>
      </c>
      <c r="H2441" s="4"/>
      <c r="I2441" s="4"/>
      <c r="J2441" s="4">
        <f>SUM(G2441:I2441)</f>
        <v>19335</v>
      </c>
      <c r="K2441" t="s">
        <v>1659</v>
      </c>
      <c r="L2441" t="s">
        <v>1659</v>
      </c>
      <c r="M2441" t="s">
        <v>792</v>
      </c>
      <c r="N2441" t="s">
        <v>1132</v>
      </c>
      <c r="O2441" t="s">
        <v>1132</v>
      </c>
      <c r="P2441" t="str">
        <f>IFERROR(VLOOKUP(F2441,Sheet1!$A$2:$B$54,2,FALSE),"")</f>
        <v/>
      </c>
    </row>
    <row r="2442" spans="1:16" x14ac:dyDescent="0.2">
      <c r="A2442" s="1">
        <v>2015</v>
      </c>
      <c r="B2442" t="s">
        <v>296</v>
      </c>
      <c r="C2442" s="10" t="s">
        <v>1678</v>
      </c>
      <c r="D2442" s="10" t="s">
        <v>1679</v>
      </c>
      <c r="E2442" s="10" t="s">
        <v>1682</v>
      </c>
      <c r="F2442" t="s">
        <v>793</v>
      </c>
      <c r="G2442" s="4">
        <v>324348</v>
      </c>
      <c r="H2442" s="4">
        <v>3735895</v>
      </c>
      <c r="I2442" s="4">
        <v>74581</v>
      </c>
      <c r="J2442" s="4">
        <f>SUM(G2442:I2442)</f>
        <v>4134824</v>
      </c>
      <c r="K2442" t="s">
        <v>1660</v>
      </c>
      <c r="L2442" t="s">
        <v>1660</v>
      </c>
      <c r="M2442" t="s">
        <v>1368</v>
      </c>
      <c r="N2442" t="s">
        <v>1368</v>
      </c>
      <c r="O2442" t="s">
        <v>1368</v>
      </c>
      <c r="P2442" t="str">
        <f>IFERROR(VLOOKUP(F2442,Sheet1!$A$2:$B$54,2,FALSE),"")</f>
        <v/>
      </c>
    </row>
    <row r="2443" spans="1:16" x14ac:dyDescent="0.2">
      <c r="A2443" s="1">
        <v>2016</v>
      </c>
      <c r="B2443" t="s">
        <v>296</v>
      </c>
      <c r="C2443" s="10" t="s">
        <v>1678</v>
      </c>
      <c r="D2443" s="10" t="s">
        <v>1679</v>
      </c>
      <c r="E2443" s="10" t="s">
        <v>1682</v>
      </c>
      <c r="F2443" t="s">
        <v>793</v>
      </c>
      <c r="G2443" s="4">
        <v>428881</v>
      </c>
      <c r="H2443" s="4">
        <v>4052730</v>
      </c>
      <c r="I2443" s="4">
        <v>68627</v>
      </c>
      <c r="J2443" s="4">
        <f>SUM(G2443:I2443)</f>
        <v>4550238</v>
      </c>
      <c r="K2443" t="s">
        <v>1660</v>
      </c>
      <c r="L2443" t="s">
        <v>1660</v>
      </c>
      <c r="M2443" t="s">
        <v>1368</v>
      </c>
      <c r="N2443" t="s">
        <v>1368</v>
      </c>
      <c r="O2443" t="s">
        <v>1368</v>
      </c>
      <c r="P2443" t="str">
        <f>IFERROR(VLOOKUP(F2443,Sheet1!$A$2:$B$54,2,FALSE),"")</f>
        <v/>
      </c>
    </row>
    <row r="2444" spans="1:16" x14ac:dyDescent="0.2">
      <c r="A2444" s="1">
        <v>2017</v>
      </c>
      <c r="B2444" t="s">
        <v>296</v>
      </c>
      <c r="C2444" s="10" t="s">
        <v>1678</v>
      </c>
      <c r="D2444" s="10" t="s">
        <v>1679</v>
      </c>
      <c r="E2444" s="10" t="s">
        <v>1682</v>
      </c>
      <c r="F2444" t="s">
        <v>793</v>
      </c>
      <c r="G2444" s="4">
        <v>385073</v>
      </c>
      <c r="H2444" s="4">
        <v>3695975</v>
      </c>
      <c r="I2444" s="4">
        <v>45487</v>
      </c>
      <c r="J2444" s="4">
        <f>SUM(G2444:I2444)</f>
        <v>4126535</v>
      </c>
      <c r="K2444" t="s">
        <v>1660</v>
      </c>
      <c r="L2444" t="s">
        <v>1660</v>
      </c>
      <c r="M2444" t="s">
        <v>1368</v>
      </c>
      <c r="N2444" t="s">
        <v>1368</v>
      </c>
      <c r="O2444" t="s">
        <v>1368</v>
      </c>
      <c r="P2444" t="str">
        <f>IFERROR(VLOOKUP(F2444,Sheet1!$A$2:$B$54,2,FALSE),"")</f>
        <v/>
      </c>
    </row>
    <row r="2445" spans="1:16" x14ac:dyDescent="0.2">
      <c r="A2445" s="1">
        <v>2018</v>
      </c>
      <c r="B2445" t="s">
        <v>296</v>
      </c>
      <c r="C2445" s="10" t="s">
        <v>1678</v>
      </c>
      <c r="D2445" s="10" t="s">
        <v>1679</v>
      </c>
      <c r="E2445" s="10" t="s">
        <v>1682</v>
      </c>
      <c r="F2445" t="s">
        <v>793</v>
      </c>
      <c r="G2445" s="4">
        <v>389493</v>
      </c>
      <c r="H2445" s="4">
        <v>3864635</v>
      </c>
      <c r="I2445" s="4">
        <v>47469</v>
      </c>
      <c r="J2445" s="4">
        <f>SUM(G2445:I2445)</f>
        <v>4301597</v>
      </c>
      <c r="K2445" t="s">
        <v>1660</v>
      </c>
      <c r="L2445" t="s">
        <v>1660</v>
      </c>
      <c r="M2445" t="s">
        <v>1368</v>
      </c>
      <c r="N2445" t="s">
        <v>1368</v>
      </c>
      <c r="O2445" t="s">
        <v>1368</v>
      </c>
      <c r="P2445" t="str">
        <f>IFERROR(VLOOKUP(F2445,Sheet1!$A$2:$B$54,2,FALSE),"")</f>
        <v/>
      </c>
    </row>
    <row r="2446" spans="1:16" x14ac:dyDescent="0.2">
      <c r="A2446" s="1">
        <v>2019</v>
      </c>
      <c r="B2446" t="s">
        <v>296</v>
      </c>
      <c r="C2446" s="10" t="s">
        <v>1678</v>
      </c>
      <c r="D2446" s="10" t="s">
        <v>1679</v>
      </c>
      <c r="E2446" s="10" t="s">
        <v>1682</v>
      </c>
      <c r="F2446" t="s">
        <v>793</v>
      </c>
      <c r="G2446" s="4">
        <v>409844</v>
      </c>
      <c r="H2446" s="4"/>
      <c r="I2446" s="4"/>
      <c r="J2446" s="4">
        <f>SUM(G2446:I2446)</f>
        <v>409844</v>
      </c>
      <c r="K2446" t="s">
        <v>1659</v>
      </c>
      <c r="L2446" t="s">
        <v>1659</v>
      </c>
      <c r="M2446" t="s">
        <v>1368</v>
      </c>
      <c r="N2446" t="s">
        <v>1132</v>
      </c>
      <c r="O2446" t="s">
        <v>1132</v>
      </c>
      <c r="P2446" t="str">
        <f>IFERROR(VLOOKUP(F2446,Sheet1!$A$2:$B$54,2,FALSE),"")</f>
        <v/>
      </c>
    </row>
    <row r="2447" spans="1:16" x14ac:dyDescent="0.2">
      <c r="A2447" s="1">
        <v>2020</v>
      </c>
      <c r="B2447" t="s">
        <v>296</v>
      </c>
      <c r="C2447" s="10" t="s">
        <v>1678</v>
      </c>
      <c r="D2447" s="10" t="s">
        <v>1679</v>
      </c>
      <c r="E2447" s="10" t="s">
        <v>1682</v>
      </c>
      <c r="F2447" t="s">
        <v>793</v>
      </c>
      <c r="G2447" s="4">
        <v>393180</v>
      </c>
      <c r="H2447" s="4"/>
      <c r="I2447" s="4"/>
      <c r="J2447" s="4">
        <f>SUM(G2447:I2447)</f>
        <v>393180</v>
      </c>
      <c r="K2447" t="s">
        <v>1659</v>
      </c>
      <c r="L2447" t="s">
        <v>1659</v>
      </c>
      <c r="M2447" t="s">
        <v>1368</v>
      </c>
      <c r="N2447" t="s">
        <v>1132</v>
      </c>
      <c r="O2447" t="s">
        <v>1132</v>
      </c>
      <c r="P2447" t="str">
        <f>IFERROR(VLOOKUP(F2447,Sheet1!$A$2:$B$54,2,FALSE),"")</f>
        <v/>
      </c>
    </row>
    <row r="2448" spans="1:16" x14ac:dyDescent="0.2">
      <c r="A2448" s="1">
        <v>2021</v>
      </c>
      <c r="B2448" t="s">
        <v>296</v>
      </c>
      <c r="C2448" s="10" t="s">
        <v>1678</v>
      </c>
      <c r="D2448" s="10" t="s">
        <v>1679</v>
      </c>
      <c r="E2448" s="10" t="s">
        <v>1682</v>
      </c>
      <c r="F2448" t="s">
        <v>793</v>
      </c>
      <c r="G2448" s="4">
        <v>409916</v>
      </c>
      <c r="H2448" s="4"/>
      <c r="I2448" s="4"/>
      <c r="J2448" s="4">
        <f>SUM(G2448:I2448)</f>
        <v>409916</v>
      </c>
      <c r="K2448" t="s">
        <v>1659</v>
      </c>
      <c r="L2448" t="s">
        <v>1659</v>
      </c>
      <c r="M2448" t="s">
        <v>793</v>
      </c>
      <c r="N2448" t="s">
        <v>1132</v>
      </c>
      <c r="O2448" t="s">
        <v>1132</v>
      </c>
      <c r="P2448" t="str">
        <f>IFERROR(VLOOKUP(F2448,Sheet1!$A$2:$B$54,2,FALSE),"")</f>
        <v/>
      </c>
    </row>
    <row r="2449" spans="1:16" x14ac:dyDescent="0.2">
      <c r="A2449" s="1">
        <v>2022</v>
      </c>
      <c r="B2449" t="s">
        <v>296</v>
      </c>
      <c r="C2449" s="10" t="s">
        <v>1678</v>
      </c>
      <c r="D2449" s="10" t="s">
        <v>1679</v>
      </c>
      <c r="E2449" s="10" t="s">
        <v>1682</v>
      </c>
      <c r="F2449" t="s">
        <v>793</v>
      </c>
      <c r="G2449" s="4">
        <v>443118</v>
      </c>
      <c r="H2449" s="4"/>
      <c r="I2449" s="4"/>
      <c r="J2449" s="4">
        <f>SUM(G2449:I2449)</f>
        <v>443118</v>
      </c>
      <c r="K2449" t="s">
        <v>1659</v>
      </c>
      <c r="L2449" t="s">
        <v>1659</v>
      </c>
      <c r="M2449" t="s">
        <v>793</v>
      </c>
      <c r="N2449" t="s">
        <v>1132</v>
      </c>
      <c r="O2449" t="s">
        <v>1132</v>
      </c>
      <c r="P2449" t="str">
        <f>IFERROR(VLOOKUP(F2449,Sheet1!$A$2:$B$54,2,FALSE),"")</f>
        <v/>
      </c>
    </row>
    <row r="2450" spans="1:16" x14ac:dyDescent="0.2">
      <c r="A2450" s="1">
        <v>2023</v>
      </c>
      <c r="B2450" t="s">
        <v>296</v>
      </c>
      <c r="C2450" s="10" t="s">
        <v>1678</v>
      </c>
      <c r="D2450" s="10" t="s">
        <v>1679</v>
      </c>
      <c r="E2450" s="10" t="s">
        <v>1682</v>
      </c>
      <c r="F2450" t="s">
        <v>793</v>
      </c>
      <c r="G2450" s="4">
        <v>498352</v>
      </c>
      <c r="H2450" s="4"/>
      <c r="I2450" s="4"/>
      <c r="J2450" s="4">
        <f>SUM(G2450:I2450)</f>
        <v>498352</v>
      </c>
      <c r="K2450" t="s">
        <v>1659</v>
      </c>
      <c r="L2450" t="s">
        <v>1659</v>
      </c>
      <c r="M2450" t="s">
        <v>793</v>
      </c>
      <c r="N2450" t="s">
        <v>1132</v>
      </c>
      <c r="O2450" t="s">
        <v>1132</v>
      </c>
      <c r="P2450" t="str">
        <f>IFERROR(VLOOKUP(F2450,Sheet1!$A$2:$B$54,2,FALSE),"")</f>
        <v/>
      </c>
    </row>
    <row r="2451" spans="1:16" x14ac:dyDescent="0.2">
      <c r="A2451" s="1">
        <v>2015</v>
      </c>
      <c r="B2451" t="s">
        <v>297</v>
      </c>
      <c r="C2451" s="10" t="s">
        <v>1678</v>
      </c>
      <c r="D2451" s="10" t="s">
        <v>1679</v>
      </c>
      <c r="E2451" s="10" t="s">
        <v>1682</v>
      </c>
      <c r="F2451" t="s">
        <v>794</v>
      </c>
      <c r="G2451" s="4">
        <v>1703842</v>
      </c>
      <c r="H2451" s="4"/>
      <c r="I2451" s="4"/>
      <c r="J2451" s="4">
        <f>SUM(G2451:I2451)</f>
        <v>1703842</v>
      </c>
      <c r="K2451" t="s">
        <v>1659</v>
      </c>
      <c r="L2451" t="s">
        <v>1659</v>
      </c>
      <c r="M2451" t="s">
        <v>1369</v>
      </c>
      <c r="N2451" t="s">
        <v>1132</v>
      </c>
      <c r="O2451" t="s">
        <v>1132</v>
      </c>
      <c r="P2451" t="str">
        <f>IFERROR(VLOOKUP(F2451,Sheet1!$A$2:$B$54,2,FALSE),"")</f>
        <v/>
      </c>
    </row>
    <row r="2452" spans="1:16" x14ac:dyDescent="0.2">
      <c r="A2452" s="1">
        <v>2016</v>
      </c>
      <c r="B2452" t="s">
        <v>297</v>
      </c>
      <c r="C2452" s="10" t="s">
        <v>1678</v>
      </c>
      <c r="D2452" s="10" t="s">
        <v>1679</v>
      </c>
      <c r="E2452" s="10" t="s">
        <v>1682</v>
      </c>
      <c r="F2452" t="s">
        <v>794</v>
      </c>
      <c r="G2452" s="4">
        <v>2293617</v>
      </c>
      <c r="H2452" s="4"/>
      <c r="I2452" s="4"/>
      <c r="J2452" s="4">
        <f>SUM(G2452:I2452)</f>
        <v>2293617</v>
      </c>
      <c r="K2452" t="s">
        <v>1659</v>
      </c>
      <c r="L2452" t="s">
        <v>1659</v>
      </c>
      <c r="M2452" t="s">
        <v>1369</v>
      </c>
      <c r="N2452" t="s">
        <v>1132</v>
      </c>
      <c r="O2452" t="s">
        <v>1132</v>
      </c>
      <c r="P2452" t="str">
        <f>IFERROR(VLOOKUP(F2452,Sheet1!$A$2:$B$54,2,FALSE),"")</f>
        <v/>
      </c>
    </row>
    <row r="2453" spans="1:16" x14ac:dyDescent="0.2">
      <c r="A2453" s="1">
        <v>2017</v>
      </c>
      <c r="B2453" t="s">
        <v>297</v>
      </c>
      <c r="C2453" s="10" t="s">
        <v>1678</v>
      </c>
      <c r="D2453" s="10" t="s">
        <v>1679</v>
      </c>
      <c r="E2453" s="10" t="s">
        <v>1682</v>
      </c>
      <c r="F2453" t="s">
        <v>794</v>
      </c>
      <c r="G2453" s="4">
        <v>2768307</v>
      </c>
      <c r="H2453" s="4"/>
      <c r="I2453" s="4"/>
      <c r="J2453" s="4">
        <f>SUM(G2453:I2453)</f>
        <v>2768307</v>
      </c>
      <c r="K2453" t="s">
        <v>1659</v>
      </c>
      <c r="L2453" t="s">
        <v>1659</v>
      </c>
      <c r="M2453" t="s">
        <v>1369</v>
      </c>
      <c r="N2453" t="s">
        <v>1132</v>
      </c>
      <c r="O2453" t="s">
        <v>1132</v>
      </c>
      <c r="P2453" t="str">
        <f>IFERROR(VLOOKUP(F2453,Sheet1!$A$2:$B$54,2,FALSE),"")</f>
        <v/>
      </c>
    </row>
    <row r="2454" spans="1:16" x14ac:dyDescent="0.2">
      <c r="A2454" s="1">
        <v>2018</v>
      </c>
      <c r="B2454" t="s">
        <v>297</v>
      </c>
      <c r="C2454" s="10" t="s">
        <v>1678</v>
      </c>
      <c r="D2454" s="10" t="s">
        <v>1679</v>
      </c>
      <c r="E2454" s="10" t="s">
        <v>1682</v>
      </c>
      <c r="F2454" t="s">
        <v>794</v>
      </c>
      <c r="G2454" s="4">
        <v>3537538</v>
      </c>
      <c r="H2454" s="4"/>
      <c r="I2454" s="4"/>
      <c r="J2454" s="4">
        <f>SUM(G2454:I2454)</f>
        <v>3537538</v>
      </c>
      <c r="K2454" t="s">
        <v>1659</v>
      </c>
      <c r="L2454" t="s">
        <v>1659</v>
      </c>
      <c r="M2454" t="s">
        <v>1369</v>
      </c>
      <c r="N2454" t="s">
        <v>1132</v>
      </c>
      <c r="O2454" t="s">
        <v>1132</v>
      </c>
      <c r="P2454" t="str">
        <f>IFERROR(VLOOKUP(F2454,Sheet1!$A$2:$B$54,2,FALSE),"")</f>
        <v/>
      </c>
    </row>
    <row r="2455" spans="1:16" x14ac:dyDescent="0.2">
      <c r="A2455" s="1">
        <v>2019</v>
      </c>
      <c r="B2455" t="s">
        <v>297</v>
      </c>
      <c r="C2455" s="10" t="s">
        <v>1678</v>
      </c>
      <c r="D2455" s="10" t="s">
        <v>1679</v>
      </c>
      <c r="E2455" s="10" t="s">
        <v>1682</v>
      </c>
      <c r="F2455" t="s">
        <v>794</v>
      </c>
      <c r="G2455" s="4">
        <v>4218037</v>
      </c>
      <c r="H2455" s="4"/>
      <c r="I2455" s="4"/>
      <c r="J2455" s="4">
        <f>SUM(G2455:I2455)</f>
        <v>4218037</v>
      </c>
      <c r="K2455" t="s">
        <v>1659</v>
      </c>
      <c r="L2455" t="s">
        <v>1659</v>
      </c>
      <c r="M2455" t="s">
        <v>1369</v>
      </c>
      <c r="N2455" t="s">
        <v>1132</v>
      </c>
      <c r="O2455" t="s">
        <v>1132</v>
      </c>
      <c r="P2455" t="str">
        <f>IFERROR(VLOOKUP(F2455,Sheet1!$A$2:$B$54,2,FALSE),"")</f>
        <v/>
      </c>
    </row>
    <row r="2456" spans="1:16" x14ac:dyDescent="0.2">
      <c r="A2456" s="1">
        <v>2020</v>
      </c>
      <c r="B2456" t="s">
        <v>297</v>
      </c>
      <c r="C2456" s="10" t="s">
        <v>1678</v>
      </c>
      <c r="D2456" s="10" t="s">
        <v>1679</v>
      </c>
      <c r="E2456" s="10" t="s">
        <v>1682</v>
      </c>
      <c r="F2456" t="s">
        <v>794</v>
      </c>
      <c r="G2456" s="4">
        <v>4817532</v>
      </c>
      <c r="H2456" s="4"/>
      <c r="I2456" s="4"/>
      <c r="J2456" s="4">
        <f>SUM(G2456:I2456)</f>
        <v>4817532</v>
      </c>
      <c r="K2456" t="s">
        <v>1659</v>
      </c>
      <c r="L2456" t="s">
        <v>1659</v>
      </c>
      <c r="M2456" t="s">
        <v>1369</v>
      </c>
      <c r="N2456" t="s">
        <v>1132</v>
      </c>
      <c r="O2456" t="s">
        <v>1132</v>
      </c>
      <c r="P2456" t="str">
        <f>IFERROR(VLOOKUP(F2456,Sheet1!$A$2:$B$54,2,FALSE),"")</f>
        <v/>
      </c>
    </row>
    <row r="2457" spans="1:16" x14ac:dyDescent="0.2">
      <c r="A2457" s="1">
        <v>2021</v>
      </c>
      <c r="B2457" t="s">
        <v>297</v>
      </c>
      <c r="C2457" s="10" t="s">
        <v>1678</v>
      </c>
      <c r="D2457" s="10" t="s">
        <v>1679</v>
      </c>
      <c r="E2457" s="10" t="s">
        <v>1682</v>
      </c>
      <c r="F2457" t="s">
        <v>794</v>
      </c>
      <c r="G2457" s="4">
        <v>5391341</v>
      </c>
      <c r="H2457" s="4"/>
      <c r="I2457" s="4"/>
      <c r="J2457" s="4">
        <f>SUM(G2457:I2457)</f>
        <v>5391341</v>
      </c>
      <c r="K2457" t="s">
        <v>1659</v>
      </c>
      <c r="L2457" t="s">
        <v>1659</v>
      </c>
      <c r="M2457" t="s">
        <v>794</v>
      </c>
      <c r="N2457" t="s">
        <v>1132</v>
      </c>
      <c r="O2457" t="s">
        <v>1132</v>
      </c>
      <c r="P2457" t="str">
        <f>IFERROR(VLOOKUP(F2457,Sheet1!$A$2:$B$54,2,FALSE),"")</f>
        <v/>
      </c>
    </row>
    <row r="2458" spans="1:16" x14ac:dyDescent="0.2">
      <c r="A2458" s="1">
        <v>2022</v>
      </c>
      <c r="B2458" t="s">
        <v>297</v>
      </c>
      <c r="C2458" s="10" t="s">
        <v>1678</v>
      </c>
      <c r="D2458" s="10" t="s">
        <v>1679</v>
      </c>
      <c r="E2458" s="10" t="s">
        <v>1682</v>
      </c>
      <c r="F2458" t="s">
        <v>794</v>
      </c>
      <c r="G2458" s="4">
        <v>6924889</v>
      </c>
      <c r="H2458" s="4"/>
      <c r="I2458" s="4"/>
      <c r="J2458" s="4">
        <f>SUM(G2458:I2458)</f>
        <v>6924889</v>
      </c>
      <c r="K2458" t="s">
        <v>1659</v>
      </c>
      <c r="L2458" t="s">
        <v>1659</v>
      </c>
      <c r="M2458" t="s">
        <v>794</v>
      </c>
      <c r="N2458" t="s">
        <v>1132</v>
      </c>
      <c r="O2458" t="s">
        <v>1132</v>
      </c>
      <c r="P2458" t="str">
        <f>IFERROR(VLOOKUP(F2458,Sheet1!$A$2:$B$54,2,FALSE),"")</f>
        <v/>
      </c>
    </row>
    <row r="2459" spans="1:16" x14ac:dyDescent="0.2">
      <c r="A2459" s="1">
        <v>2023</v>
      </c>
      <c r="B2459" t="s">
        <v>297</v>
      </c>
      <c r="C2459" s="10" t="s">
        <v>1678</v>
      </c>
      <c r="D2459" s="10" t="s">
        <v>1679</v>
      </c>
      <c r="E2459" s="10" t="s">
        <v>1682</v>
      </c>
      <c r="F2459" t="s">
        <v>794</v>
      </c>
      <c r="G2459" s="4">
        <v>8329181</v>
      </c>
      <c r="H2459" s="4"/>
      <c r="I2459" s="4"/>
      <c r="J2459" s="4">
        <f>SUM(G2459:I2459)</f>
        <v>8329181</v>
      </c>
      <c r="K2459" t="s">
        <v>1659</v>
      </c>
      <c r="L2459" t="s">
        <v>1659</v>
      </c>
      <c r="M2459" t="s">
        <v>794</v>
      </c>
      <c r="N2459" t="s">
        <v>1132</v>
      </c>
      <c r="O2459" t="s">
        <v>1132</v>
      </c>
      <c r="P2459" t="str">
        <f>IFERROR(VLOOKUP(F2459,Sheet1!$A$2:$B$54,2,FALSE),"")</f>
        <v/>
      </c>
    </row>
    <row r="2460" spans="1:16" x14ac:dyDescent="0.2">
      <c r="A2460" s="1">
        <v>2015</v>
      </c>
      <c r="B2460" t="s">
        <v>292</v>
      </c>
      <c r="C2460" s="10" t="s">
        <v>1678</v>
      </c>
      <c r="D2460" s="10" t="s">
        <v>1679</v>
      </c>
      <c r="E2460" s="10" t="s">
        <v>1682</v>
      </c>
      <c r="F2460" t="s">
        <v>789</v>
      </c>
      <c r="G2460" s="4">
        <v>27695</v>
      </c>
      <c r="H2460" s="4">
        <v>219828</v>
      </c>
      <c r="I2460" s="4"/>
      <c r="J2460" s="4">
        <f>SUM(G2460:I2460)</f>
        <v>247523</v>
      </c>
      <c r="K2460" t="s">
        <v>1660</v>
      </c>
      <c r="L2460" t="s">
        <v>1659</v>
      </c>
      <c r="M2460" t="s">
        <v>1364</v>
      </c>
      <c r="N2460" t="s">
        <v>1364</v>
      </c>
      <c r="O2460" t="s">
        <v>1132</v>
      </c>
      <c r="P2460">
        <f>IFERROR(VLOOKUP(F2460,Sheet1!$A$2:$B$54,2,FALSE),"")</f>
        <v>4900197</v>
      </c>
    </row>
    <row r="2461" spans="1:16" x14ac:dyDescent="0.2">
      <c r="A2461" s="1">
        <v>2016</v>
      </c>
      <c r="B2461" t="s">
        <v>292</v>
      </c>
      <c r="C2461" s="10" t="s">
        <v>1678</v>
      </c>
      <c r="D2461" s="10" t="s">
        <v>1679</v>
      </c>
      <c r="E2461" s="10" t="s">
        <v>1682</v>
      </c>
      <c r="F2461" t="s">
        <v>789</v>
      </c>
      <c r="G2461" s="4">
        <v>34515</v>
      </c>
      <c r="H2461" s="4">
        <v>235487</v>
      </c>
      <c r="I2461" s="4"/>
      <c r="J2461" s="4">
        <f>SUM(G2461:I2461)</f>
        <v>270002</v>
      </c>
      <c r="K2461" t="s">
        <v>1660</v>
      </c>
      <c r="L2461" t="s">
        <v>1659</v>
      </c>
      <c r="M2461" t="s">
        <v>1364</v>
      </c>
      <c r="N2461" t="s">
        <v>1364</v>
      </c>
      <c r="O2461" t="s">
        <v>1132</v>
      </c>
      <c r="P2461">
        <f>IFERROR(VLOOKUP(F2461,Sheet1!$A$2:$B$54,2,FALSE),"")</f>
        <v>4900197</v>
      </c>
    </row>
    <row r="2462" spans="1:16" x14ac:dyDescent="0.2">
      <c r="A2462" s="1">
        <v>2017</v>
      </c>
      <c r="B2462" t="s">
        <v>292</v>
      </c>
      <c r="C2462" s="10" t="s">
        <v>1678</v>
      </c>
      <c r="D2462" s="10" t="s">
        <v>1679</v>
      </c>
      <c r="E2462" s="10" t="s">
        <v>1682</v>
      </c>
      <c r="F2462" t="s">
        <v>789</v>
      </c>
      <c r="G2462" s="4">
        <v>34665</v>
      </c>
      <c r="H2462" s="4">
        <v>256817</v>
      </c>
      <c r="I2462" s="4"/>
      <c r="J2462" s="4">
        <f>SUM(G2462:I2462)</f>
        <v>291482</v>
      </c>
      <c r="K2462" t="s">
        <v>1660</v>
      </c>
      <c r="L2462" t="s">
        <v>1659</v>
      </c>
      <c r="M2462" t="s">
        <v>1364</v>
      </c>
      <c r="N2462" t="s">
        <v>1364</v>
      </c>
      <c r="O2462" t="s">
        <v>1132</v>
      </c>
      <c r="P2462">
        <f>IFERROR(VLOOKUP(F2462,Sheet1!$A$2:$B$54,2,FALSE),"")</f>
        <v>4900197</v>
      </c>
    </row>
    <row r="2463" spans="1:16" x14ac:dyDescent="0.2">
      <c r="A2463" s="1">
        <v>2018</v>
      </c>
      <c r="B2463" t="s">
        <v>292</v>
      </c>
      <c r="C2463" s="10" t="s">
        <v>1678</v>
      </c>
      <c r="D2463" s="10" t="s">
        <v>1679</v>
      </c>
      <c r="E2463" s="10" t="s">
        <v>1682</v>
      </c>
      <c r="F2463" t="s">
        <v>789</v>
      </c>
      <c r="G2463" s="4">
        <v>35464</v>
      </c>
      <c r="H2463" s="4">
        <v>279855</v>
      </c>
      <c r="I2463" s="4"/>
      <c r="J2463" s="4">
        <f>SUM(G2463:I2463)</f>
        <v>315319</v>
      </c>
      <c r="K2463" t="s">
        <v>1660</v>
      </c>
      <c r="L2463" t="s">
        <v>1659</v>
      </c>
      <c r="M2463" t="s">
        <v>1364</v>
      </c>
      <c r="N2463" t="s">
        <v>1364</v>
      </c>
      <c r="O2463" t="s">
        <v>1132</v>
      </c>
      <c r="P2463">
        <f>IFERROR(VLOOKUP(F2463,Sheet1!$A$2:$B$54,2,FALSE),"")</f>
        <v>4900197</v>
      </c>
    </row>
    <row r="2464" spans="1:16" x14ac:dyDescent="0.2">
      <c r="A2464" s="1">
        <v>2019</v>
      </c>
      <c r="B2464" t="s">
        <v>292</v>
      </c>
      <c r="C2464" s="10" t="s">
        <v>1678</v>
      </c>
      <c r="D2464" s="10" t="s">
        <v>1679</v>
      </c>
      <c r="E2464" s="10" t="s">
        <v>1682</v>
      </c>
      <c r="F2464" t="s">
        <v>789</v>
      </c>
      <c r="G2464" s="4">
        <v>42837</v>
      </c>
      <c r="H2464" s="4">
        <v>306067</v>
      </c>
      <c r="I2464" s="4"/>
      <c r="J2464" s="4">
        <f>SUM(G2464:I2464)</f>
        <v>348904</v>
      </c>
      <c r="K2464" t="s">
        <v>1660</v>
      </c>
      <c r="L2464" t="s">
        <v>1659</v>
      </c>
      <c r="M2464" t="s">
        <v>1364</v>
      </c>
      <c r="N2464" t="s">
        <v>1364</v>
      </c>
      <c r="O2464" t="s">
        <v>1132</v>
      </c>
      <c r="P2464">
        <f>IFERROR(VLOOKUP(F2464,Sheet1!$A$2:$B$54,2,FALSE),"")</f>
        <v>4900197</v>
      </c>
    </row>
    <row r="2465" spans="1:16" x14ac:dyDescent="0.2">
      <c r="A2465" s="1">
        <v>2020</v>
      </c>
      <c r="B2465" t="s">
        <v>292</v>
      </c>
      <c r="C2465" s="10" t="s">
        <v>1678</v>
      </c>
      <c r="D2465" s="10" t="s">
        <v>1679</v>
      </c>
      <c r="E2465" s="10" t="s">
        <v>1682</v>
      </c>
      <c r="F2465" t="s">
        <v>789</v>
      </c>
      <c r="G2465" s="4">
        <v>55286</v>
      </c>
      <c r="H2465" s="4">
        <v>360635</v>
      </c>
      <c r="I2465" s="4"/>
      <c r="J2465" s="4">
        <f>SUM(G2465:I2465)</f>
        <v>415921</v>
      </c>
      <c r="K2465" t="s">
        <v>1660</v>
      </c>
      <c r="L2465" t="s">
        <v>1659</v>
      </c>
      <c r="M2465" t="s">
        <v>1364</v>
      </c>
      <c r="N2465" t="s">
        <v>1364</v>
      </c>
      <c r="O2465" t="s">
        <v>1132</v>
      </c>
      <c r="P2465">
        <f>IFERROR(VLOOKUP(F2465,Sheet1!$A$2:$B$54,2,FALSE),"")</f>
        <v>4900197</v>
      </c>
    </row>
    <row r="2466" spans="1:16" x14ac:dyDescent="0.2">
      <c r="A2466" s="1">
        <v>2021</v>
      </c>
      <c r="B2466" t="s">
        <v>292</v>
      </c>
      <c r="C2466" s="10" t="s">
        <v>1678</v>
      </c>
      <c r="D2466" s="10" t="s">
        <v>1679</v>
      </c>
      <c r="E2466" s="10" t="s">
        <v>1682</v>
      </c>
      <c r="F2466" t="s">
        <v>789</v>
      </c>
      <c r="G2466" s="4">
        <v>59972</v>
      </c>
      <c r="H2466" s="4">
        <v>374385</v>
      </c>
      <c r="I2466" s="4"/>
      <c r="J2466" s="4">
        <f>SUM(G2466:I2466)</f>
        <v>434357</v>
      </c>
      <c r="K2466" t="s">
        <v>1660</v>
      </c>
      <c r="L2466" t="s">
        <v>1659</v>
      </c>
      <c r="M2466" t="s">
        <v>789</v>
      </c>
      <c r="N2466" t="s">
        <v>789</v>
      </c>
      <c r="O2466" t="s">
        <v>1132</v>
      </c>
      <c r="P2466">
        <f>IFERROR(VLOOKUP(F2466,Sheet1!$A$2:$B$54,2,FALSE),"")</f>
        <v>4900197</v>
      </c>
    </row>
    <row r="2467" spans="1:16" x14ac:dyDescent="0.2">
      <c r="A2467" s="1">
        <v>2022</v>
      </c>
      <c r="B2467" t="s">
        <v>292</v>
      </c>
      <c r="C2467" s="10" t="s">
        <v>1678</v>
      </c>
      <c r="D2467" s="10" t="s">
        <v>1679</v>
      </c>
      <c r="E2467" s="10" t="s">
        <v>1682</v>
      </c>
      <c r="F2467" t="s">
        <v>789</v>
      </c>
      <c r="G2467" s="4">
        <v>66729</v>
      </c>
      <c r="H2467" s="4">
        <v>392105</v>
      </c>
      <c r="I2467" s="4"/>
      <c r="J2467" s="4">
        <f>SUM(G2467:I2467)</f>
        <v>458834</v>
      </c>
      <c r="K2467" t="s">
        <v>1660</v>
      </c>
      <c r="L2467" t="s">
        <v>1659</v>
      </c>
      <c r="M2467" t="s">
        <v>789</v>
      </c>
      <c r="N2467" t="s">
        <v>789</v>
      </c>
      <c r="O2467" t="s">
        <v>1132</v>
      </c>
      <c r="P2467">
        <f>IFERROR(VLOOKUP(F2467,Sheet1!$A$2:$B$54,2,FALSE),"")</f>
        <v>4900197</v>
      </c>
    </row>
    <row r="2468" spans="1:16" x14ac:dyDescent="0.2">
      <c r="A2468" s="1">
        <v>2023</v>
      </c>
      <c r="B2468" t="s">
        <v>292</v>
      </c>
      <c r="C2468" s="10" t="s">
        <v>1678</v>
      </c>
      <c r="D2468" s="10" t="s">
        <v>1679</v>
      </c>
      <c r="E2468" s="10" t="s">
        <v>1682</v>
      </c>
      <c r="F2468" t="s">
        <v>789</v>
      </c>
      <c r="G2468" s="4">
        <v>80491</v>
      </c>
      <c r="H2468" s="4">
        <v>402602</v>
      </c>
      <c r="I2468" s="4"/>
      <c r="J2468" s="4">
        <f>SUM(G2468:I2468)</f>
        <v>483093</v>
      </c>
      <c r="K2468" t="s">
        <v>1660</v>
      </c>
      <c r="L2468" t="s">
        <v>1659</v>
      </c>
      <c r="M2468" t="s">
        <v>789</v>
      </c>
      <c r="N2468" t="s">
        <v>789</v>
      </c>
      <c r="O2468" t="s">
        <v>1132</v>
      </c>
      <c r="P2468">
        <f>IFERROR(VLOOKUP(F2468,Sheet1!$A$2:$B$54,2,FALSE),"")</f>
        <v>4900197</v>
      </c>
    </row>
    <row r="2469" spans="1:16" x14ac:dyDescent="0.2">
      <c r="A2469" s="1">
        <v>2015</v>
      </c>
      <c r="B2469" t="s">
        <v>299</v>
      </c>
      <c r="C2469" s="10" t="s">
        <v>1678</v>
      </c>
      <c r="D2469" s="10" t="s">
        <v>1679</v>
      </c>
      <c r="E2469" s="10" t="s">
        <v>1682</v>
      </c>
      <c r="F2469" t="s">
        <v>796</v>
      </c>
      <c r="G2469" s="4">
        <v>35425</v>
      </c>
      <c r="H2469" s="4"/>
      <c r="I2469" s="4"/>
      <c r="J2469" s="4">
        <f>SUM(G2469:I2469)</f>
        <v>35425</v>
      </c>
      <c r="K2469" t="s">
        <v>1659</v>
      </c>
      <c r="L2469" t="s">
        <v>1659</v>
      </c>
      <c r="M2469" t="s">
        <v>1371</v>
      </c>
      <c r="N2469" t="s">
        <v>1132</v>
      </c>
      <c r="O2469" t="s">
        <v>1132</v>
      </c>
      <c r="P2469" t="str">
        <f>IFERROR(VLOOKUP(F2469,Sheet1!$A$2:$B$54,2,FALSE),"")</f>
        <v/>
      </c>
    </row>
    <row r="2470" spans="1:16" x14ac:dyDescent="0.2">
      <c r="A2470" s="1">
        <v>2016</v>
      </c>
      <c r="B2470" t="s">
        <v>299</v>
      </c>
      <c r="C2470" s="10" t="s">
        <v>1678</v>
      </c>
      <c r="D2470" s="10" t="s">
        <v>1679</v>
      </c>
      <c r="E2470" s="10" t="s">
        <v>1682</v>
      </c>
      <c r="F2470" t="s">
        <v>796</v>
      </c>
      <c r="G2470" s="4">
        <v>47446</v>
      </c>
      <c r="H2470" s="4"/>
      <c r="I2470" s="4"/>
      <c r="J2470" s="4">
        <f>SUM(G2470:I2470)</f>
        <v>47446</v>
      </c>
      <c r="K2470" t="s">
        <v>1659</v>
      </c>
      <c r="L2470" t="s">
        <v>1659</v>
      </c>
      <c r="M2470" t="s">
        <v>1371</v>
      </c>
      <c r="N2470" t="s">
        <v>1132</v>
      </c>
      <c r="O2470" t="s">
        <v>1132</v>
      </c>
      <c r="P2470" t="str">
        <f>IFERROR(VLOOKUP(F2470,Sheet1!$A$2:$B$54,2,FALSE),"")</f>
        <v/>
      </c>
    </row>
    <row r="2471" spans="1:16" x14ac:dyDescent="0.2">
      <c r="A2471" s="1">
        <v>2017</v>
      </c>
      <c r="B2471" t="s">
        <v>299</v>
      </c>
      <c r="C2471" s="10" t="s">
        <v>1678</v>
      </c>
      <c r="D2471" s="10" t="s">
        <v>1679</v>
      </c>
      <c r="E2471" s="10" t="s">
        <v>1682</v>
      </c>
      <c r="F2471" t="s">
        <v>796</v>
      </c>
      <c r="G2471" s="4">
        <v>64727</v>
      </c>
      <c r="H2471" s="4"/>
      <c r="I2471" s="4"/>
      <c r="J2471" s="4">
        <f>SUM(G2471:I2471)</f>
        <v>64727</v>
      </c>
      <c r="K2471" t="s">
        <v>1659</v>
      </c>
      <c r="L2471" t="s">
        <v>1659</v>
      </c>
      <c r="M2471" t="s">
        <v>1371</v>
      </c>
      <c r="N2471" t="s">
        <v>1132</v>
      </c>
      <c r="O2471" t="s">
        <v>1132</v>
      </c>
      <c r="P2471" t="str">
        <f>IFERROR(VLOOKUP(F2471,Sheet1!$A$2:$B$54,2,FALSE),"")</f>
        <v/>
      </c>
    </row>
    <row r="2472" spans="1:16" x14ac:dyDescent="0.2">
      <c r="A2472" s="1">
        <v>2018</v>
      </c>
      <c r="B2472" t="s">
        <v>299</v>
      </c>
      <c r="C2472" s="10" t="s">
        <v>1678</v>
      </c>
      <c r="D2472" s="10" t="s">
        <v>1679</v>
      </c>
      <c r="E2472" s="10" t="s">
        <v>1682</v>
      </c>
      <c r="F2472" t="s">
        <v>796</v>
      </c>
      <c r="G2472" s="4">
        <v>95878</v>
      </c>
      <c r="H2472" s="4"/>
      <c r="I2472" s="4"/>
      <c r="J2472" s="4">
        <f>SUM(G2472:I2472)</f>
        <v>95878</v>
      </c>
      <c r="K2472" t="s">
        <v>1659</v>
      </c>
      <c r="L2472" t="s">
        <v>1659</v>
      </c>
      <c r="M2472" t="s">
        <v>1371</v>
      </c>
      <c r="N2472" t="s">
        <v>1132</v>
      </c>
      <c r="O2472" t="s">
        <v>1132</v>
      </c>
      <c r="P2472" t="str">
        <f>IFERROR(VLOOKUP(F2472,Sheet1!$A$2:$B$54,2,FALSE),"")</f>
        <v/>
      </c>
    </row>
    <row r="2473" spans="1:16" x14ac:dyDescent="0.2">
      <c r="A2473" s="1">
        <v>2019</v>
      </c>
      <c r="B2473" t="s">
        <v>299</v>
      </c>
      <c r="C2473" s="10" t="s">
        <v>1678</v>
      </c>
      <c r="D2473" s="10" t="s">
        <v>1679</v>
      </c>
      <c r="E2473" s="10" t="s">
        <v>1682</v>
      </c>
      <c r="F2473" t="s">
        <v>796</v>
      </c>
      <c r="G2473" s="4">
        <v>94100</v>
      </c>
      <c r="H2473" s="4"/>
      <c r="I2473" s="4"/>
      <c r="J2473" s="4">
        <f>SUM(G2473:I2473)</f>
        <v>94100</v>
      </c>
      <c r="K2473" t="s">
        <v>1659</v>
      </c>
      <c r="L2473" t="s">
        <v>1659</v>
      </c>
      <c r="M2473" t="s">
        <v>1371</v>
      </c>
      <c r="N2473" t="s">
        <v>1132</v>
      </c>
      <c r="O2473" t="s">
        <v>1132</v>
      </c>
      <c r="P2473" t="str">
        <f>IFERROR(VLOOKUP(F2473,Sheet1!$A$2:$B$54,2,FALSE),"")</f>
        <v/>
      </c>
    </row>
    <row r="2474" spans="1:16" x14ac:dyDescent="0.2">
      <c r="A2474" s="1">
        <v>2020</v>
      </c>
      <c r="B2474" t="s">
        <v>299</v>
      </c>
      <c r="C2474" s="10" t="s">
        <v>1678</v>
      </c>
      <c r="D2474" s="10" t="s">
        <v>1679</v>
      </c>
      <c r="E2474" s="10" t="s">
        <v>1682</v>
      </c>
      <c r="F2474" t="s">
        <v>796</v>
      </c>
      <c r="G2474" s="4">
        <v>118893</v>
      </c>
      <c r="H2474" s="4"/>
      <c r="I2474" s="4"/>
      <c r="J2474" s="4">
        <f>SUM(G2474:I2474)</f>
        <v>118893</v>
      </c>
      <c r="K2474" t="s">
        <v>1659</v>
      </c>
      <c r="L2474" t="s">
        <v>1659</v>
      </c>
      <c r="M2474" t="s">
        <v>1371</v>
      </c>
      <c r="N2474" t="s">
        <v>1132</v>
      </c>
      <c r="O2474" t="s">
        <v>1132</v>
      </c>
      <c r="P2474" t="str">
        <f>IFERROR(VLOOKUP(F2474,Sheet1!$A$2:$B$54,2,FALSE),"")</f>
        <v/>
      </c>
    </row>
    <row r="2475" spans="1:16" x14ac:dyDescent="0.2">
      <c r="A2475" s="1">
        <v>2021</v>
      </c>
      <c r="B2475" t="s">
        <v>299</v>
      </c>
      <c r="C2475" s="10" t="s">
        <v>1678</v>
      </c>
      <c r="D2475" s="10" t="s">
        <v>1679</v>
      </c>
      <c r="E2475" s="10" t="s">
        <v>1682</v>
      </c>
      <c r="F2475" t="s">
        <v>796</v>
      </c>
      <c r="G2475" s="4">
        <v>131816</v>
      </c>
      <c r="H2475" s="4"/>
      <c r="I2475" s="4"/>
      <c r="J2475" s="4">
        <f>SUM(G2475:I2475)</f>
        <v>131816</v>
      </c>
      <c r="K2475" t="s">
        <v>1659</v>
      </c>
      <c r="L2475" t="s">
        <v>1659</v>
      </c>
      <c r="M2475" t="s">
        <v>796</v>
      </c>
      <c r="N2475" t="s">
        <v>1132</v>
      </c>
      <c r="O2475" t="s">
        <v>1132</v>
      </c>
      <c r="P2475" t="str">
        <f>IFERROR(VLOOKUP(F2475,Sheet1!$A$2:$B$54,2,FALSE),"")</f>
        <v/>
      </c>
    </row>
    <row r="2476" spans="1:16" x14ac:dyDescent="0.2">
      <c r="A2476" s="1">
        <v>2022</v>
      </c>
      <c r="B2476" t="s">
        <v>299</v>
      </c>
      <c r="C2476" s="10" t="s">
        <v>1678</v>
      </c>
      <c r="D2476" s="10" t="s">
        <v>1679</v>
      </c>
      <c r="E2476" s="10" t="s">
        <v>1682</v>
      </c>
      <c r="F2476" t="s">
        <v>796</v>
      </c>
      <c r="G2476" s="4">
        <v>165894</v>
      </c>
      <c r="H2476" s="4"/>
      <c r="I2476" s="4"/>
      <c r="J2476" s="4">
        <f>SUM(G2476:I2476)</f>
        <v>165894</v>
      </c>
      <c r="K2476" t="s">
        <v>1659</v>
      </c>
      <c r="L2476" t="s">
        <v>1659</v>
      </c>
      <c r="M2476" t="s">
        <v>796</v>
      </c>
      <c r="N2476" t="s">
        <v>1132</v>
      </c>
      <c r="O2476" t="s">
        <v>1132</v>
      </c>
      <c r="P2476" t="str">
        <f>IFERROR(VLOOKUP(F2476,Sheet1!$A$2:$B$54,2,FALSE),"")</f>
        <v/>
      </c>
    </row>
    <row r="2477" spans="1:16" x14ac:dyDescent="0.2">
      <c r="A2477" s="1">
        <v>2023</v>
      </c>
      <c r="B2477" t="s">
        <v>299</v>
      </c>
      <c r="C2477" s="10" t="s">
        <v>1678</v>
      </c>
      <c r="D2477" s="10" t="s">
        <v>1679</v>
      </c>
      <c r="E2477" s="10" t="s">
        <v>1682</v>
      </c>
      <c r="F2477" t="s">
        <v>796</v>
      </c>
      <c r="G2477" s="4">
        <v>232336</v>
      </c>
      <c r="H2477" s="4"/>
      <c r="I2477" s="4"/>
      <c r="J2477" s="4">
        <f>SUM(G2477:I2477)</f>
        <v>232336</v>
      </c>
      <c r="K2477" t="s">
        <v>1659</v>
      </c>
      <c r="L2477" t="s">
        <v>1659</v>
      </c>
      <c r="M2477" t="s">
        <v>796</v>
      </c>
      <c r="N2477" t="s">
        <v>1132</v>
      </c>
      <c r="O2477" t="s">
        <v>1132</v>
      </c>
      <c r="P2477" t="str">
        <f>IFERROR(VLOOKUP(F2477,Sheet1!$A$2:$B$54,2,FALSE),"")</f>
        <v/>
      </c>
    </row>
    <row r="2478" spans="1:16" x14ac:dyDescent="0.2">
      <c r="A2478" s="1">
        <v>2015</v>
      </c>
      <c r="B2478" t="s">
        <v>300</v>
      </c>
      <c r="C2478" s="10" t="s">
        <v>1678</v>
      </c>
      <c r="D2478" s="10" t="s">
        <v>1679</v>
      </c>
      <c r="E2478" s="10" t="s">
        <v>1682</v>
      </c>
      <c r="F2478" t="s">
        <v>797</v>
      </c>
      <c r="G2478" s="4">
        <v>9485</v>
      </c>
      <c r="H2478" s="4"/>
      <c r="I2478" s="4"/>
      <c r="J2478" s="4">
        <f>SUM(G2478:I2478)</f>
        <v>9485</v>
      </c>
      <c r="K2478" t="s">
        <v>1659</v>
      </c>
      <c r="L2478" t="s">
        <v>1659</v>
      </c>
      <c r="M2478" t="s">
        <v>1372</v>
      </c>
      <c r="N2478" t="s">
        <v>1132</v>
      </c>
      <c r="O2478" t="s">
        <v>1132</v>
      </c>
      <c r="P2478" t="str">
        <f>IFERROR(VLOOKUP(F2478,Sheet1!$A$2:$B$54,2,FALSE),"")</f>
        <v/>
      </c>
    </row>
    <row r="2479" spans="1:16" x14ac:dyDescent="0.2">
      <c r="A2479" s="1">
        <v>2016</v>
      </c>
      <c r="B2479" t="s">
        <v>300</v>
      </c>
      <c r="C2479" s="10" t="s">
        <v>1678</v>
      </c>
      <c r="D2479" s="10" t="s">
        <v>1679</v>
      </c>
      <c r="E2479" s="10" t="s">
        <v>1682</v>
      </c>
      <c r="F2479" t="s">
        <v>797</v>
      </c>
      <c r="G2479" s="4">
        <v>11256</v>
      </c>
      <c r="H2479" s="4"/>
      <c r="I2479" s="4"/>
      <c r="J2479" s="4">
        <f>SUM(G2479:I2479)</f>
        <v>11256</v>
      </c>
      <c r="K2479" t="s">
        <v>1659</v>
      </c>
      <c r="L2479" t="s">
        <v>1659</v>
      </c>
      <c r="M2479" t="s">
        <v>1372</v>
      </c>
      <c r="N2479" t="s">
        <v>1132</v>
      </c>
      <c r="O2479" t="s">
        <v>1132</v>
      </c>
      <c r="P2479" t="str">
        <f>IFERROR(VLOOKUP(F2479,Sheet1!$A$2:$B$54,2,FALSE),"")</f>
        <v/>
      </c>
    </row>
    <row r="2480" spans="1:16" x14ac:dyDescent="0.2">
      <c r="A2480" s="1">
        <v>2017</v>
      </c>
      <c r="B2480" t="s">
        <v>300</v>
      </c>
      <c r="C2480" s="10" t="s">
        <v>1678</v>
      </c>
      <c r="D2480" s="10" t="s">
        <v>1679</v>
      </c>
      <c r="E2480" s="10" t="s">
        <v>1682</v>
      </c>
      <c r="F2480" t="s">
        <v>797</v>
      </c>
      <c r="G2480" s="4">
        <v>10486</v>
      </c>
      <c r="H2480" s="4"/>
      <c r="I2480" s="4"/>
      <c r="J2480" s="4">
        <f>SUM(G2480:I2480)</f>
        <v>10486</v>
      </c>
      <c r="K2480" t="s">
        <v>1659</v>
      </c>
      <c r="L2480" t="s">
        <v>1659</v>
      </c>
      <c r="M2480" t="s">
        <v>1372</v>
      </c>
      <c r="N2480" t="s">
        <v>1132</v>
      </c>
      <c r="O2480" t="s">
        <v>1132</v>
      </c>
      <c r="P2480" t="str">
        <f>IFERROR(VLOOKUP(F2480,Sheet1!$A$2:$B$54,2,FALSE),"")</f>
        <v/>
      </c>
    </row>
    <row r="2481" spans="1:16" x14ac:dyDescent="0.2">
      <c r="A2481" s="1">
        <v>2018</v>
      </c>
      <c r="B2481" t="s">
        <v>300</v>
      </c>
      <c r="C2481" s="10" t="s">
        <v>1678</v>
      </c>
      <c r="D2481" s="10" t="s">
        <v>1679</v>
      </c>
      <c r="E2481" s="10" t="s">
        <v>1682</v>
      </c>
      <c r="F2481" t="s">
        <v>797</v>
      </c>
      <c r="G2481" s="4">
        <v>20959</v>
      </c>
      <c r="H2481" s="4"/>
      <c r="I2481" s="4"/>
      <c r="J2481" s="4">
        <f>SUM(G2481:I2481)</f>
        <v>20959</v>
      </c>
      <c r="K2481" t="s">
        <v>1659</v>
      </c>
      <c r="L2481" t="s">
        <v>1659</v>
      </c>
      <c r="M2481" t="s">
        <v>1372</v>
      </c>
      <c r="N2481" t="s">
        <v>1132</v>
      </c>
      <c r="O2481" t="s">
        <v>1132</v>
      </c>
      <c r="P2481" t="str">
        <f>IFERROR(VLOOKUP(F2481,Sheet1!$A$2:$B$54,2,FALSE),"")</f>
        <v/>
      </c>
    </row>
    <row r="2482" spans="1:16" x14ac:dyDescent="0.2">
      <c r="A2482" s="1">
        <v>2019</v>
      </c>
      <c r="B2482" t="s">
        <v>300</v>
      </c>
      <c r="C2482" s="10" t="s">
        <v>1678</v>
      </c>
      <c r="D2482" s="10" t="s">
        <v>1679</v>
      </c>
      <c r="E2482" s="10" t="s">
        <v>1682</v>
      </c>
      <c r="F2482" t="s">
        <v>797</v>
      </c>
      <c r="G2482" s="4">
        <v>29766</v>
      </c>
      <c r="H2482" s="4"/>
      <c r="I2482" s="4"/>
      <c r="J2482" s="4">
        <f>SUM(G2482:I2482)</f>
        <v>29766</v>
      </c>
      <c r="K2482" t="s">
        <v>1659</v>
      </c>
      <c r="L2482" t="s">
        <v>1659</v>
      </c>
      <c r="M2482" t="s">
        <v>1372</v>
      </c>
      <c r="N2482" t="s">
        <v>1132</v>
      </c>
      <c r="O2482" t="s">
        <v>1132</v>
      </c>
      <c r="P2482" t="str">
        <f>IFERROR(VLOOKUP(F2482,Sheet1!$A$2:$B$54,2,FALSE),"")</f>
        <v/>
      </c>
    </row>
    <row r="2483" spans="1:16" x14ac:dyDescent="0.2">
      <c r="A2483" s="1">
        <v>2020</v>
      </c>
      <c r="B2483" t="s">
        <v>300</v>
      </c>
      <c r="C2483" s="10" t="s">
        <v>1678</v>
      </c>
      <c r="D2483" s="10" t="s">
        <v>1679</v>
      </c>
      <c r="E2483" s="10" t="s">
        <v>1682</v>
      </c>
      <c r="F2483" t="s">
        <v>797</v>
      </c>
      <c r="G2483" s="4">
        <v>29485</v>
      </c>
      <c r="H2483" s="4"/>
      <c r="I2483" s="4"/>
      <c r="J2483" s="4">
        <f>SUM(G2483:I2483)</f>
        <v>29485</v>
      </c>
      <c r="K2483" t="s">
        <v>1659</v>
      </c>
      <c r="L2483" t="s">
        <v>1659</v>
      </c>
      <c r="M2483" t="s">
        <v>1372</v>
      </c>
      <c r="N2483" t="s">
        <v>1132</v>
      </c>
      <c r="O2483" t="s">
        <v>1132</v>
      </c>
      <c r="P2483" t="str">
        <f>IFERROR(VLOOKUP(F2483,Sheet1!$A$2:$B$54,2,FALSE),"")</f>
        <v/>
      </c>
    </row>
    <row r="2484" spans="1:16" x14ac:dyDescent="0.2">
      <c r="A2484" s="1">
        <v>2021</v>
      </c>
      <c r="B2484" t="s">
        <v>300</v>
      </c>
      <c r="C2484" s="10" t="s">
        <v>1678</v>
      </c>
      <c r="D2484" s="10" t="s">
        <v>1679</v>
      </c>
      <c r="E2484" s="10" t="s">
        <v>1682</v>
      </c>
      <c r="F2484" t="s">
        <v>797</v>
      </c>
      <c r="G2484" s="4">
        <v>44466</v>
      </c>
      <c r="H2484" s="4"/>
      <c r="I2484" s="4"/>
      <c r="J2484" s="4">
        <f>SUM(G2484:I2484)</f>
        <v>44466</v>
      </c>
      <c r="K2484" t="s">
        <v>1659</v>
      </c>
      <c r="L2484" t="s">
        <v>1659</v>
      </c>
      <c r="M2484" t="s">
        <v>797</v>
      </c>
      <c r="N2484" t="s">
        <v>1132</v>
      </c>
      <c r="O2484" t="s">
        <v>1132</v>
      </c>
      <c r="P2484" t="str">
        <f>IFERROR(VLOOKUP(F2484,Sheet1!$A$2:$B$54,2,FALSE),"")</f>
        <v/>
      </c>
    </row>
    <row r="2485" spans="1:16" x14ac:dyDescent="0.2">
      <c r="A2485" s="1">
        <v>2022</v>
      </c>
      <c r="B2485" t="s">
        <v>300</v>
      </c>
      <c r="C2485" s="10" t="s">
        <v>1678</v>
      </c>
      <c r="D2485" s="10" t="s">
        <v>1679</v>
      </c>
      <c r="E2485" s="10" t="s">
        <v>1682</v>
      </c>
      <c r="F2485" t="s">
        <v>797</v>
      </c>
      <c r="G2485" s="4">
        <v>51984</v>
      </c>
      <c r="H2485" s="4"/>
      <c r="I2485" s="4"/>
      <c r="J2485" s="4">
        <f>SUM(G2485:I2485)</f>
        <v>51984</v>
      </c>
      <c r="K2485" t="s">
        <v>1659</v>
      </c>
      <c r="L2485" t="s">
        <v>1659</v>
      </c>
      <c r="M2485" t="s">
        <v>797</v>
      </c>
      <c r="N2485" t="s">
        <v>1132</v>
      </c>
      <c r="O2485" t="s">
        <v>1132</v>
      </c>
      <c r="P2485" t="str">
        <f>IFERROR(VLOOKUP(F2485,Sheet1!$A$2:$B$54,2,FALSE),"")</f>
        <v/>
      </c>
    </row>
    <row r="2486" spans="1:16" x14ac:dyDescent="0.2">
      <c r="A2486" s="1">
        <v>2023</v>
      </c>
      <c r="B2486" t="s">
        <v>300</v>
      </c>
      <c r="C2486" s="10" t="s">
        <v>1678</v>
      </c>
      <c r="D2486" s="10" t="s">
        <v>1679</v>
      </c>
      <c r="E2486" s="10" t="s">
        <v>1682</v>
      </c>
      <c r="F2486" t="s">
        <v>797</v>
      </c>
      <c r="G2486" s="4">
        <v>60901</v>
      </c>
      <c r="H2486" s="4"/>
      <c r="I2486" s="4"/>
      <c r="J2486" s="4">
        <f>SUM(G2486:I2486)</f>
        <v>60901</v>
      </c>
      <c r="K2486" t="s">
        <v>1659</v>
      </c>
      <c r="L2486" t="s">
        <v>1659</v>
      </c>
      <c r="M2486" t="s">
        <v>797</v>
      </c>
      <c r="N2486" t="s">
        <v>1132</v>
      </c>
      <c r="O2486" t="s">
        <v>1132</v>
      </c>
      <c r="P2486" t="str">
        <f>IFERROR(VLOOKUP(F2486,Sheet1!$A$2:$B$54,2,FALSE),"")</f>
        <v/>
      </c>
    </row>
    <row r="2487" spans="1:16" x14ac:dyDescent="0.2">
      <c r="A2487" s="1">
        <v>2015</v>
      </c>
      <c r="B2487" t="s">
        <v>298</v>
      </c>
      <c r="C2487" s="10" t="s">
        <v>1678</v>
      </c>
      <c r="D2487" s="10" t="s">
        <v>1679</v>
      </c>
      <c r="E2487" s="10" t="s">
        <v>1682</v>
      </c>
      <c r="F2487" t="s">
        <v>795</v>
      </c>
      <c r="G2487" s="4">
        <v>1121029</v>
      </c>
      <c r="H2487" s="4">
        <v>24321885</v>
      </c>
      <c r="I2487" s="4">
        <v>287136</v>
      </c>
      <c r="J2487" s="4">
        <f>SUM(G2487:I2487)</f>
        <v>25730050</v>
      </c>
      <c r="K2487" t="s">
        <v>1660</v>
      </c>
      <c r="L2487" t="s">
        <v>1660</v>
      </c>
      <c r="M2487" t="s">
        <v>1370</v>
      </c>
      <c r="N2487" t="s">
        <v>1370</v>
      </c>
      <c r="O2487" t="s">
        <v>1370</v>
      </c>
      <c r="P2487">
        <f>IFERROR(VLOOKUP(F2487,Sheet1!$A$2:$B$54,2,FALSE),"")</f>
        <v>4900870</v>
      </c>
    </row>
    <row r="2488" spans="1:16" x14ac:dyDescent="0.2">
      <c r="A2488" s="1">
        <v>2016</v>
      </c>
      <c r="B2488" t="s">
        <v>298</v>
      </c>
      <c r="C2488" s="10" t="s">
        <v>1678</v>
      </c>
      <c r="D2488" s="10" t="s">
        <v>1679</v>
      </c>
      <c r="E2488" s="10" t="s">
        <v>1682</v>
      </c>
      <c r="F2488" t="s">
        <v>795</v>
      </c>
      <c r="G2488" s="4">
        <v>1508150</v>
      </c>
      <c r="H2488" s="4">
        <v>24260150</v>
      </c>
      <c r="I2488" s="4">
        <v>255008</v>
      </c>
      <c r="J2488" s="4">
        <f>SUM(G2488:I2488)</f>
        <v>26023308</v>
      </c>
      <c r="K2488" t="s">
        <v>1660</v>
      </c>
      <c r="L2488" t="s">
        <v>1660</v>
      </c>
      <c r="M2488" t="s">
        <v>1370</v>
      </c>
      <c r="N2488" t="s">
        <v>1370</v>
      </c>
      <c r="O2488" t="s">
        <v>1370</v>
      </c>
      <c r="P2488">
        <f>IFERROR(VLOOKUP(F2488,Sheet1!$A$2:$B$54,2,FALSE),"")</f>
        <v>4900870</v>
      </c>
    </row>
    <row r="2489" spans="1:16" x14ac:dyDescent="0.2">
      <c r="A2489" s="1">
        <v>2017</v>
      </c>
      <c r="B2489" t="s">
        <v>298</v>
      </c>
      <c r="C2489" s="10" t="s">
        <v>1678</v>
      </c>
      <c r="D2489" s="10" t="s">
        <v>1679</v>
      </c>
      <c r="E2489" s="10" t="s">
        <v>1682</v>
      </c>
      <c r="F2489" t="s">
        <v>795</v>
      </c>
      <c r="G2489" s="4">
        <v>1861507</v>
      </c>
      <c r="H2489" s="4">
        <v>24603882</v>
      </c>
      <c r="I2489" s="4">
        <v>223985</v>
      </c>
      <c r="J2489" s="4">
        <f>SUM(G2489:I2489)</f>
        <v>26689374</v>
      </c>
      <c r="K2489" t="s">
        <v>1660</v>
      </c>
      <c r="L2489" t="s">
        <v>1660</v>
      </c>
      <c r="M2489" t="s">
        <v>1370</v>
      </c>
      <c r="N2489" t="s">
        <v>1370</v>
      </c>
      <c r="O2489" t="s">
        <v>1370</v>
      </c>
      <c r="P2489">
        <f>IFERROR(VLOOKUP(F2489,Sheet1!$A$2:$B$54,2,FALSE),"")</f>
        <v>4900870</v>
      </c>
    </row>
    <row r="2490" spans="1:16" x14ac:dyDescent="0.2">
      <c r="A2490" s="1">
        <v>2018</v>
      </c>
      <c r="B2490" t="s">
        <v>298</v>
      </c>
      <c r="C2490" s="10" t="s">
        <v>1678</v>
      </c>
      <c r="D2490" s="10" t="s">
        <v>1679</v>
      </c>
      <c r="E2490" s="10" t="s">
        <v>1682</v>
      </c>
      <c r="F2490" t="s">
        <v>795</v>
      </c>
      <c r="G2490" s="4">
        <v>2278301</v>
      </c>
      <c r="H2490" s="4">
        <v>25043503</v>
      </c>
      <c r="I2490" s="4">
        <v>192671</v>
      </c>
      <c r="J2490" s="4">
        <f>SUM(G2490:I2490)</f>
        <v>27514475</v>
      </c>
      <c r="K2490" t="s">
        <v>1660</v>
      </c>
      <c r="L2490" t="s">
        <v>1660</v>
      </c>
      <c r="M2490" t="s">
        <v>1370</v>
      </c>
      <c r="N2490" t="s">
        <v>1370</v>
      </c>
      <c r="O2490" t="s">
        <v>1370</v>
      </c>
      <c r="P2490">
        <f>IFERROR(VLOOKUP(F2490,Sheet1!$A$2:$B$54,2,FALSE),"")</f>
        <v>4900870</v>
      </c>
    </row>
    <row r="2491" spans="1:16" x14ac:dyDescent="0.2">
      <c r="A2491" s="1">
        <v>2019</v>
      </c>
      <c r="B2491" t="s">
        <v>298</v>
      </c>
      <c r="C2491" s="10" t="s">
        <v>1678</v>
      </c>
      <c r="D2491" s="10" t="s">
        <v>1679</v>
      </c>
      <c r="E2491" s="10" t="s">
        <v>1682</v>
      </c>
      <c r="F2491" t="s">
        <v>795</v>
      </c>
      <c r="G2491" s="4">
        <v>2722399</v>
      </c>
      <c r="H2491" s="4">
        <v>25324606</v>
      </c>
      <c r="I2491" s="4">
        <v>156073</v>
      </c>
      <c r="J2491" s="4">
        <f>SUM(G2491:I2491)</f>
        <v>28203078</v>
      </c>
      <c r="K2491" t="s">
        <v>1660</v>
      </c>
      <c r="L2491" t="s">
        <v>1660</v>
      </c>
      <c r="M2491" t="s">
        <v>1370</v>
      </c>
      <c r="N2491" t="s">
        <v>1370</v>
      </c>
      <c r="O2491" t="s">
        <v>1370</v>
      </c>
      <c r="P2491">
        <f>IFERROR(VLOOKUP(F2491,Sheet1!$A$2:$B$54,2,FALSE),"")</f>
        <v>4900870</v>
      </c>
    </row>
    <row r="2492" spans="1:16" x14ac:dyDescent="0.2">
      <c r="A2492" s="1">
        <v>2020</v>
      </c>
      <c r="B2492" t="s">
        <v>298</v>
      </c>
      <c r="C2492" s="10" t="s">
        <v>1678</v>
      </c>
      <c r="D2492" s="10" t="s">
        <v>1679</v>
      </c>
      <c r="E2492" s="10" t="s">
        <v>1682</v>
      </c>
      <c r="F2492" t="s">
        <v>795</v>
      </c>
      <c r="G2492" s="4">
        <v>3143689</v>
      </c>
      <c r="H2492" s="4">
        <v>26071226</v>
      </c>
      <c r="I2492" s="4">
        <v>154603</v>
      </c>
      <c r="J2492" s="4">
        <f>SUM(G2492:I2492)</f>
        <v>29369518</v>
      </c>
      <c r="K2492" t="s">
        <v>1660</v>
      </c>
      <c r="L2492" t="s">
        <v>1660</v>
      </c>
      <c r="M2492" t="s">
        <v>1370</v>
      </c>
      <c r="N2492" t="s">
        <v>1370</v>
      </c>
      <c r="O2492" t="s">
        <v>1370</v>
      </c>
      <c r="P2492">
        <f>IFERROR(VLOOKUP(F2492,Sheet1!$A$2:$B$54,2,FALSE),"")</f>
        <v>4900870</v>
      </c>
    </row>
    <row r="2493" spans="1:16" x14ac:dyDescent="0.2">
      <c r="A2493" s="1">
        <v>2021</v>
      </c>
      <c r="B2493" t="s">
        <v>298</v>
      </c>
      <c r="C2493" s="10" t="s">
        <v>1678</v>
      </c>
      <c r="D2493" s="10" t="s">
        <v>1679</v>
      </c>
      <c r="E2493" s="10" t="s">
        <v>1682</v>
      </c>
      <c r="F2493" t="s">
        <v>795</v>
      </c>
      <c r="G2493" s="4">
        <v>3821119</v>
      </c>
      <c r="H2493" s="4">
        <v>27233361</v>
      </c>
      <c r="I2493" s="4">
        <v>131991</v>
      </c>
      <c r="J2493" s="4">
        <f>SUM(G2493:I2493)</f>
        <v>31186471</v>
      </c>
      <c r="K2493" t="s">
        <v>1660</v>
      </c>
      <c r="L2493" t="s">
        <v>1660</v>
      </c>
      <c r="M2493" t="s">
        <v>795</v>
      </c>
      <c r="N2493" t="s">
        <v>795</v>
      </c>
      <c r="O2493" t="s">
        <v>795</v>
      </c>
      <c r="P2493">
        <f>IFERROR(VLOOKUP(F2493,Sheet1!$A$2:$B$54,2,FALSE),"")</f>
        <v>4900870</v>
      </c>
    </row>
    <row r="2494" spans="1:16" x14ac:dyDescent="0.2">
      <c r="A2494" s="1">
        <v>2022</v>
      </c>
      <c r="B2494" t="s">
        <v>298</v>
      </c>
      <c r="C2494" s="10" t="s">
        <v>1678</v>
      </c>
      <c r="D2494" s="10" t="s">
        <v>1679</v>
      </c>
      <c r="E2494" s="10" t="s">
        <v>1682</v>
      </c>
      <c r="F2494" t="s">
        <v>795</v>
      </c>
      <c r="G2494" s="4">
        <v>4471326</v>
      </c>
      <c r="H2494" s="4">
        <v>27522211</v>
      </c>
      <c r="I2494" s="4">
        <v>105044</v>
      </c>
      <c r="J2494" s="4">
        <f>SUM(G2494:I2494)</f>
        <v>32098581</v>
      </c>
      <c r="K2494" t="s">
        <v>1660</v>
      </c>
      <c r="L2494" t="s">
        <v>1660</v>
      </c>
      <c r="M2494" t="s">
        <v>795</v>
      </c>
      <c r="N2494" t="s">
        <v>795</v>
      </c>
      <c r="O2494" t="s">
        <v>795</v>
      </c>
      <c r="P2494">
        <f>IFERROR(VLOOKUP(F2494,Sheet1!$A$2:$B$54,2,FALSE),"")</f>
        <v>4900870</v>
      </c>
    </row>
    <row r="2495" spans="1:16" x14ac:dyDescent="0.2">
      <c r="A2495" s="1">
        <v>2023</v>
      </c>
      <c r="B2495" t="s">
        <v>298</v>
      </c>
      <c r="C2495" s="10" t="s">
        <v>1678</v>
      </c>
      <c r="D2495" s="10" t="s">
        <v>1679</v>
      </c>
      <c r="E2495" s="10" t="s">
        <v>1682</v>
      </c>
      <c r="F2495" t="s">
        <v>795</v>
      </c>
      <c r="G2495" s="4">
        <v>5210397</v>
      </c>
      <c r="H2495" s="4">
        <v>28450111</v>
      </c>
      <c r="I2495" s="4">
        <v>101474</v>
      </c>
      <c r="J2495" s="4">
        <f>SUM(G2495:I2495)</f>
        <v>33761982</v>
      </c>
      <c r="K2495" t="s">
        <v>1660</v>
      </c>
      <c r="L2495" t="s">
        <v>1660</v>
      </c>
      <c r="M2495" t="s">
        <v>795</v>
      </c>
      <c r="N2495" t="s">
        <v>795</v>
      </c>
      <c r="O2495" t="s">
        <v>795</v>
      </c>
      <c r="P2495">
        <f>IFERROR(VLOOKUP(F2495,Sheet1!$A$2:$B$54,2,FALSE),"")</f>
        <v>4900870</v>
      </c>
    </row>
    <row r="2496" spans="1:16" x14ac:dyDescent="0.2">
      <c r="A2496" s="1">
        <v>2022</v>
      </c>
      <c r="B2496" t="s">
        <v>302</v>
      </c>
      <c r="C2496" s="10" t="s">
        <v>1678</v>
      </c>
      <c r="D2496" s="10" t="s">
        <v>1679</v>
      </c>
      <c r="E2496" s="10" t="s">
        <v>1682</v>
      </c>
      <c r="F2496" t="s">
        <v>799</v>
      </c>
      <c r="G2496" s="4">
        <v>5718</v>
      </c>
      <c r="H2496" s="4"/>
      <c r="I2496" s="4"/>
      <c r="J2496" s="4">
        <f>SUM(G2496:I2496)</f>
        <v>5718</v>
      </c>
      <c r="K2496" t="s">
        <v>1659</v>
      </c>
      <c r="L2496" t="s">
        <v>1659</v>
      </c>
      <c r="M2496" t="s">
        <v>799</v>
      </c>
      <c r="N2496" t="s">
        <v>1132</v>
      </c>
      <c r="O2496" t="s">
        <v>1132</v>
      </c>
      <c r="P2496" t="str">
        <f>IFERROR(VLOOKUP(F2496,Sheet1!$A$2:$B$54,2,FALSE),"")</f>
        <v/>
      </c>
    </row>
    <row r="2497" spans="1:16" x14ac:dyDescent="0.2">
      <c r="A2497" s="1">
        <v>2023</v>
      </c>
      <c r="B2497" t="s">
        <v>302</v>
      </c>
      <c r="C2497" s="10" t="s">
        <v>1678</v>
      </c>
      <c r="D2497" s="10" t="s">
        <v>1679</v>
      </c>
      <c r="E2497" s="10" t="s">
        <v>1682</v>
      </c>
      <c r="F2497" t="s">
        <v>799</v>
      </c>
      <c r="G2497" s="4">
        <v>11158</v>
      </c>
      <c r="H2497" s="4"/>
      <c r="I2497" s="4"/>
      <c r="J2497" s="4">
        <f>SUM(G2497:I2497)</f>
        <v>11158</v>
      </c>
      <c r="K2497" t="s">
        <v>1659</v>
      </c>
      <c r="L2497" t="s">
        <v>1659</v>
      </c>
      <c r="M2497" t="s">
        <v>799</v>
      </c>
      <c r="N2497" t="s">
        <v>1132</v>
      </c>
      <c r="O2497" t="s">
        <v>1132</v>
      </c>
      <c r="P2497" t="str">
        <f>IFERROR(VLOOKUP(F2497,Sheet1!$A$2:$B$54,2,FALSE),"")</f>
        <v/>
      </c>
    </row>
    <row r="2498" spans="1:16" x14ac:dyDescent="0.2">
      <c r="A2498" s="1">
        <v>2015</v>
      </c>
      <c r="B2498" t="s">
        <v>303</v>
      </c>
      <c r="C2498" s="10" t="s">
        <v>1678</v>
      </c>
      <c r="D2498" s="10" t="s">
        <v>1679</v>
      </c>
      <c r="E2498" s="10" t="s">
        <v>1682</v>
      </c>
      <c r="F2498" t="s">
        <v>800</v>
      </c>
      <c r="G2498" s="4">
        <v>155841</v>
      </c>
      <c r="H2498" s="4"/>
      <c r="I2498" s="4"/>
      <c r="J2498" s="4">
        <f>SUM(G2498:I2498)</f>
        <v>155841</v>
      </c>
      <c r="K2498" t="s">
        <v>1659</v>
      </c>
      <c r="L2498" t="s">
        <v>1659</v>
      </c>
      <c r="M2498" t="s">
        <v>1374</v>
      </c>
      <c r="N2498" t="s">
        <v>1132</v>
      </c>
      <c r="O2498" t="s">
        <v>1132</v>
      </c>
      <c r="P2498" t="str">
        <f>IFERROR(VLOOKUP(F2498,Sheet1!$A$2:$B$54,2,FALSE),"")</f>
        <v/>
      </c>
    </row>
    <row r="2499" spans="1:16" x14ac:dyDescent="0.2">
      <c r="A2499" s="1">
        <v>2016</v>
      </c>
      <c r="B2499" t="s">
        <v>303</v>
      </c>
      <c r="C2499" s="10" t="s">
        <v>1678</v>
      </c>
      <c r="D2499" s="10" t="s">
        <v>1679</v>
      </c>
      <c r="E2499" s="10" t="s">
        <v>1682</v>
      </c>
      <c r="F2499" t="s">
        <v>800</v>
      </c>
      <c r="G2499" s="4">
        <v>232336</v>
      </c>
      <c r="H2499" s="4"/>
      <c r="I2499" s="4"/>
      <c r="J2499" s="4">
        <f>SUM(G2499:I2499)</f>
        <v>232336</v>
      </c>
      <c r="K2499" t="s">
        <v>1659</v>
      </c>
      <c r="L2499" t="s">
        <v>1659</v>
      </c>
      <c r="M2499" t="s">
        <v>1374</v>
      </c>
      <c r="N2499" t="s">
        <v>1132</v>
      </c>
      <c r="O2499" t="s">
        <v>1132</v>
      </c>
      <c r="P2499" t="str">
        <f>IFERROR(VLOOKUP(F2499,Sheet1!$A$2:$B$54,2,FALSE),"")</f>
        <v/>
      </c>
    </row>
    <row r="2500" spans="1:16" x14ac:dyDescent="0.2">
      <c r="A2500" s="1">
        <v>2017</v>
      </c>
      <c r="B2500" t="s">
        <v>303</v>
      </c>
      <c r="C2500" s="10" t="s">
        <v>1678</v>
      </c>
      <c r="D2500" s="10" t="s">
        <v>1679</v>
      </c>
      <c r="E2500" s="10" t="s">
        <v>1682</v>
      </c>
      <c r="F2500" t="s">
        <v>800</v>
      </c>
      <c r="G2500" s="4">
        <v>275754</v>
      </c>
      <c r="H2500" s="4"/>
      <c r="I2500" s="4"/>
      <c r="J2500" s="4">
        <f>SUM(G2500:I2500)</f>
        <v>275754</v>
      </c>
      <c r="K2500" t="s">
        <v>1659</v>
      </c>
      <c r="L2500" t="s">
        <v>1659</v>
      </c>
      <c r="M2500" t="s">
        <v>1374</v>
      </c>
      <c r="N2500" t="s">
        <v>1132</v>
      </c>
      <c r="O2500" t="s">
        <v>1132</v>
      </c>
      <c r="P2500" t="str">
        <f>IFERROR(VLOOKUP(F2500,Sheet1!$A$2:$B$54,2,FALSE),"")</f>
        <v/>
      </c>
    </row>
    <row r="2501" spans="1:16" x14ac:dyDescent="0.2">
      <c r="A2501" s="1">
        <v>2018</v>
      </c>
      <c r="B2501" t="s">
        <v>303</v>
      </c>
      <c r="C2501" s="10" t="s">
        <v>1678</v>
      </c>
      <c r="D2501" s="10" t="s">
        <v>1679</v>
      </c>
      <c r="E2501" s="10" t="s">
        <v>1682</v>
      </c>
      <c r="F2501" t="s">
        <v>800</v>
      </c>
      <c r="G2501" s="4">
        <v>389024</v>
      </c>
      <c r="H2501" s="4"/>
      <c r="I2501" s="4"/>
      <c r="J2501" s="4">
        <f>SUM(G2501:I2501)</f>
        <v>389024</v>
      </c>
      <c r="K2501" t="s">
        <v>1659</v>
      </c>
      <c r="L2501" t="s">
        <v>1659</v>
      </c>
      <c r="M2501" t="s">
        <v>1374</v>
      </c>
      <c r="N2501" t="s">
        <v>1132</v>
      </c>
      <c r="O2501" t="s">
        <v>1132</v>
      </c>
      <c r="P2501" t="str">
        <f>IFERROR(VLOOKUP(F2501,Sheet1!$A$2:$B$54,2,FALSE),"")</f>
        <v/>
      </c>
    </row>
    <row r="2502" spans="1:16" x14ac:dyDescent="0.2">
      <c r="A2502" s="1">
        <v>2019</v>
      </c>
      <c r="B2502" t="s">
        <v>303</v>
      </c>
      <c r="C2502" s="10" t="s">
        <v>1678</v>
      </c>
      <c r="D2502" s="10" t="s">
        <v>1679</v>
      </c>
      <c r="E2502" s="10" t="s">
        <v>1682</v>
      </c>
      <c r="F2502" t="s">
        <v>800</v>
      </c>
      <c r="G2502" s="4">
        <v>485505</v>
      </c>
      <c r="H2502" s="4"/>
      <c r="I2502" s="4"/>
      <c r="J2502" s="4">
        <f>SUM(G2502:I2502)</f>
        <v>485505</v>
      </c>
      <c r="K2502" t="s">
        <v>1659</v>
      </c>
      <c r="L2502" t="s">
        <v>1659</v>
      </c>
      <c r="M2502" t="s">
        <v>1374</v>
      </c>
      <c r="N2502" t="s">
        <v>1132</v>
      </c>
      <c r="O2502" t="s">
        <v>1132</v>
      </c>
      <c r="P2502" t="str">
        <f>IFERROR(VLOOKUP(F2502,Sheet1!$A$2:$B$54,2,FALSE),"")</f>
        <v/>
      </c>
    </row>
    <row r="2503" spans="1:16" x14ac:dyDescent="0.2">
      <c r="A2503" s="1">
        <v>2020</v>
      </c>
      <c r="B2503" t="s">
        <v>303</v>
      </c>
      <c r="C2503" s="10" t="s">
        <v>1678</v>
      </c>
      <c r="D2503" s="10" t="s">
        <v>1679</v>
      </c>
      <c r="E2503" s="10" t="s">
        <v>1682</v>
      </c>
      <c r="F2503" t="s">
        <v>800</v>
      </c>
      <c r="G2503" s="4">
        <v>523698</v>
      </c>
      <c r="H2503" s="4"/>
      <c r="I2503" s="4"/>
      <c r="J2503" s="4">
        <f>SUM(G2503:I2503)</f>
        <v>523698</v>
      </c>
      <c r="K2503" t="s">
        <v>1659</v>
      </c>
      <c r="L2503" t="s">
        <v>1659</v>
      </c>
      <c r="M2503" t="s">
        <v>1374</v>
      </c>
      <c r="N2503" t="s">
        <v>1132</v>
      </c>
      <c r="O2503" t="s">
        <v>1132</v>
      </c>
      <c r="P2503" t="str">
        <f>IFERROR(VLOOKUP(F2503,Sheet1!$A$2:$B$54,2,FALSE),"")</f>
        <v/>
      </c>
    </row>
    <row r="2504" spans="1:16" x14ac:dyDescent="0.2">
      <c r="A2504" s="1">
        <v>2021</v>
      </c>
      <c r="B2504" t="s">
        <v>303</v>
      </c>
      <c r="C2504" s="10" t="s">
        <v>1678</v>
      </c>
      <c r="D2504" s="10" t="s">
        <v>1679</v>
      </c>
      <c r="E2504" s="10" t="s">
        <v>1682</v>
      </c>
      <c r="F2504" t="s">
        <v>800</v>
      </c>
      <c r="G2504" s="4">
        <v>612793</v>
      </c>
      <c r="H2504" s="4"/>
      <c r="I2504" s="4"/>
      <c r="J2504" s="4">
        <f>SUM(G2504:I2504)</f>
        <v>612793</v>
      </c>
      <c r="K2504" t="s">
        <v>1659</v>
      </c>
      <c r="L2504" t="s">
        <v>1659</v>
      </c>
      <c r="M2504" t="s">
        <v>800</v>
      </c>
      <c r="N2504" t="s">
        <v>1132</v>
      </c>
      <c r="O2504" t="s">
        <v>1132</v>
      </c>
      <c r="P2504" t="str">
        <f>IFERROR(VLOOKUP(F2504,Sheet1!$A$2:$B$54,2,FALSE),"")</f>
        <v/>
      </c>
    </row>
    <row r="2505" spans="1:16" x14ac:dyDescent="0.2">
      <c r="A2505" s="1">
        <v>2022</v>
      </c>
      <c r="B2505" t="s">
        <v>303</v>
      </c>
      <c r="C2505" s="10" t="s">
        <v>1678</v>
      </c>
      <c r="D2505" s="10" t="s">
        <v>1679</v>
      </c>
      <c r="E2505" s="10" t="s">
        <v>1682</v>
      </c>
      <c r="F2505" t="s">
        <v>800</v>
      </c>
      <c r="G2505" s="4">
        <v>699735</v>
      </c>
      <c r="H2505" s="4"/>
      <c r="I2505" s="4"/>
      <c r="J2505" s="4">
        <f>SUM(G2505:I2505)</f>
        <v>699735</v>
      </c>
      <c r="K2505" t="s">
        <v>1659</v>
      </c>
      <c r="L2505" t="s">
        <v>1659</v>
      </c>
      <c r="M2505" t="s">
        <v>800</v>
      </c>
      <c r="N2505" t="s">
        <v>1132</v>
      </c>
      <c r="O2505" t="s">
        <v>1132</v>
      </c>
      <c r="P2505" t="str">
        <f>IFERROR(VLOOKUP(F2505,Sheet1!$A$2:$B$54,2,FALSE),"")</f>
        <v/>
      </c>
    </row>
    <row r="2506" spans="1:16" x14ac:dyDescent="0.2">
      <c r="A2506" s="1">
        <v>2023</v>
      </c>
      <c r="B2506" t="s">
        <v>303</v>
      </c>
      <c r="C2506" s="10" t="s">
        <v>1678</v>
      </c>
      <c r="D2506" s="10" t="s">
        <v>1679</v>
      </c>
      <c r="E2506" s="10" t="s">
        <v>1682</v>
      </c>
      <c r="F2506" t="s">
        <v>800</v>
      </c>
      <c r="G2506" s="4">
        <v>850844</v>
      </c>
      <c r="H2506" s="4"/>
      <c r="I2506" s="4"/>
      <c r="J2506" s="4">
        <f>SUM(G2506:I2506)</f>
        <v>850844</v>
      </c>
      <c r="K2506" t="s">
        <v>1659</v>
      </c>
      <c r="L2506" t="s">
        <v>1659</v>
      </c>
      <c r="M2506" t="s">
        <v>800</v>
      </c>
      <c r="N2506" t="s">
        <v>1132</v>
      </c>
      <c r="O2506" t="s">
        <v>1132</v>
      </c>
      <c r="P2506" t="str">
        <f>IFERROR(VLOOKUP(F2506,Sheet1!$A$2:$B$54,2,FALSE),"")</f>
        <v/>
      </c>
    </row>
    <row r="2507" spans="1:16" x14ac:dyDescent="0.2">
      <c r="A2507" s="1">
        <v>2015</v>
      </c>
      <c r="B2507" t="s">
        <v>304</v>
      </c>
      <c r="C2507" s="10" t="s">
        <v>1678</v>
      </c>
      <c r="D2507" s="10" t="s">
        <v>1679</v>
      </c>
      <c r="E2507" s="10" t="s">
        <v>1682</v>
      </c>
      <c r="F2507" t="s">
        <v>801</v>
      </c>
      <c r="G2507" s="4">
        <v>3514</v>
      </c>
      <c r="H2507" s="4"/>
      <c r="I2507" s="4"/>
      <c r="J2507" s="4">
        <f>SUM(G2507:I2507)</f>
        <v>3514</v>
      </c>
      <c r="K2507" t="s">
        <v>1659</v>
      </c>
      <c r="L2507" t="s">
        <v>1659</v>
      </c>
      <c r="M2507" t="s">
        <v>1375</v>
      </c>
      <c r="N2507" t="s">
        <v>1132</v>
      </c>
      <c r="O2507" t="s">
        <v>1132</v>
      </c>
      <c r="P2507" t="str">
        <f>IFERROR(VLOOKUP(F2507,Sheet1!$A$2:$B$54,2,FALSE),"")</f>
        <v/>
      </c>
    </row>
    <row r="2508" spans="1:16" x14ac:dyDescent="0.2">
      <c r="A2508" s="1">
        <v>2016</v>
      </c>
      <c r="B2508" t="s">
        <v>304</v>
      </c>
      <c r="C2508" s="10" t="s">
        <v>1678</v>
      </c>
      <c r="D2508" s="10" t="s">
        <v>1679</v>
      </c>
      <c r="E2508" s="10" t="s">
        <v>1682</v>
      </c>
      <c r="F2508" t="s">
        <v>801</v>
      </c>
      <c r="G2508" s="4">
        <v>3719</v>
      </c>
      <c r="H2508" s="4"/>
      <c r="I2508" s="4"/>
      <c r="J2508" s="4">
        <f>SUM(G2508:I2508)</f>
        <v>3719</v>
      </c>
      <c r="K2508" t="s">
        <v>1659</v>
      </c>
      <c r="L2508" t="s">
        <v>1659</v>
      </c>
      <c r="M2508" t="s">
        <v>1375</v>
      </c>
      <c r="N2508" t="s">
        <v>1132</v>
      </c>
      <c r="O2508" t="s">
        <v>1132</v>
      </c>
      <c r="P2508" t="str">
        <f>IFERROR(VLOOKUP(F2508,Sheet1!$A$2:$B$54,2,FALSE),"")</f>
        <v/>
      </c>
    </row>
    <row r="2509" spans="1:16" x14ac:dyDescent="0.2">
      <c r="A2509" s="1">
        <v>2017</v>
      </c>
      <c r="B2509" t="s">
        <v>304</v>
      </c>
      <c r="C2509" s="10" t="s">
        <v>1678</v>
      </c>
      <c r="D2509" s="10" t="s">
        <v>1679</v>
      </c>
      <c r="E2509" s="10" t="s">
        <v>1682</v>
      </c>
      <c r="F2509" t="s">
        <v>801</v>
      </c>
      <c r="G2509" s="4">
        <v>3968</v>
      </c>
      <c r="H2509" s="4"/>
      <c r="I2509" s="4"/>
      <c r="J2509" s="4">
        <f>SUM(G2509:I2509)</f>
        <v>3968</v>
      </c>
      <c r="K2509" t="s">
        <v>1659</v>
      </c>
      <c r="L2509" t="s">
        <v>1659</v>
      </c>
      <c r="M2509" t="s">
        <v>1376</v>
      </c>
      <c r="N2509" t="s">
        <v>1132</v>
      </c>
      <c r="O2509" t="s">
        <v>1132</v>
      </c>
      <c r="P2509" t="str">
        <f>IFERROR(VLOOKUP(F2509,Sheet1!$A$2:$B$54,2,FALSE),"")</f>
        <v/>
      </c>
    </row>
    <row r="2510" spans="1:16" x14ac:dyDescent="0.2">
      <c r="A2510" s="1">
        <v>2018</v>
      </c>
      <c r="B2510" t="s">
        <v>304</v>
      </c>
      <c r="C2510" s="10" t="s">
        <v>1678</v>
      </c>
      <c r="D2510" s="10" t="s">
        <v>1679</v>
      </c>
      <c r="E2510" s="10" t="s">
        <v>1682</v>
      </c>
      <c r="F2510" t="s">
        <v>801</v>
      </c>
      <c r="G2510" s="4">
        <v>4298</v>
      </c>
      <c r="H2510" s="4"/>
      <c r="I2510" s="4"/>
      <c r="J2510" s="4">
        <f>SUM(G2510:I2510)</f>
        <v>4298</v>
      </c>
      <c r="K2510" t="s">
        <v>1659</v>
      </c>
      <c r="L2510" t="s">
        <v>1659</v>
      </c>
      <c r="M2510" t="s">
        <v>1376</v>
      </c>
      <c r="N2510" t="s">
        <v>1132</v>
      </c>
      <c r="O2510" t="s">
        <v>1132</v>
      </c>
      <c r="P2510" t="str">
        <f>IFERROR(VLOOKUP(F2510,Sheet1!$A$2:$B$54,2,FALSE),"")</f>
        <v/>
      </c>
    </row>
    <row r="2511" spans="1:16" x14ac:dyDescent="0.2">
      <c r="A2511" s="1">
        <v>2019</v>
      </c>
      <c r="B2511" t="s">
        <v>304</v>
      </c>
      <c r="C2511" s="10" t="s">
        <v>1678</v>
      </c>
      <c r="D2511" s="10" t="s">
        <v>1679</v>
      </c>
      <c r="E2511" s="10" t="s">
        <v>1682</v>
      </c>
      <c r="F2511" t="s">
        <v>801</v>
      </c>
      <c r="G2511" s="4">
        <v>4615</v>
      </c>
      <c r="H2511" s="4"/>
      <c r="I2511" s="4"/>
      <c r="J2511" s="4">
        <f>SUM(G2511:I2511)</f>
        <v>4615</v>
      </c>
      <c r="K2511" t="s">
        <v>1659</v>
      </c>
      <c r="L2511" t="s">
        <v>1659</v>
      </c>
      <c r="M2511" t="s">
        <v>1377</v>
      </c>
      <c r="N2511" t="s">
        <v>1132</v>
      </c>
      <c r="O2511" t="s">
        <v>1132</v>
      </c>
      <c r="P2511" t="str">
        <f>IFERROR(VLOOKUP(F2511,Sheet1!$A$2:$B$54,2,FALSE),"")</f>
        <v/>
      </c>
    </row>
    <row r="2512" spans="1:16" x14ac:dyDescent="0.2">
      <c r="A2512" s="1">
        <v>2020</v>
      </c>
      <c r="B2512" t="s">
        <v>304</v>
      </c>
      <c r="C2512" s="10" t="s">
        <v>1678</v>
      </c>
      <c r="D2512" s="10" t="s">
        <v>1679</v>
      </c>
      <c r="E2512" s="10" t="s">
        <v>1682</v>
      </c>
      <c r="F2512" t="s">
        <v>801</v>
      </c>
      <c r="G2512" s="4">
        <v>5110</v>
      </c>
      <c r="H2512" s="4"/>
      <c r="I2512" s="4"/>
      <c r="J2512" s="4">
        <f>SUM(G2512:I2512)</f>
        <v>5110</v>
      </c>
      <c r="K2512" t="s">
        <v>1659</v>
      </c>
      <c r="L2512" t="s">
        <v>1659</v>
      </c>
      <c r="M2512" t="s">
        <v>1376</v>
      </c>
      <c r="N2512" t="s">
        <v>1132</v>
      </c>
      <c r="O2512" t="s">
        <v>1132</v>
      </c>
      <c r="P2512" t="str">
        <f>IFERROR(VLOOKUP(F2512,Sheet1!$A$2:$B$54,2,FALSE),"")</f>
        <v/>
      </c>
    </row>
    <row r="2513" spans="1:16" x14ac:dyDescent="0.2">
      <c r="A2513" s="1">
        <v>2021</v>
      </c>
      <c r="B2513" t="s">
        <v>304</v>
      </c>
      <c r="C2513" s="10" t="s">
        <v>1678</v>
      </c>
      <c r="D2513" s="10" t="s">
        <v>1679</v>
      </c>
      <c r="E2513" s="10" t="s">
        <v>1682</v>
      </c>
      <c r="F2513" t="s">
        <v>801</v>
      </c>
      <c r="G2513" s="4">
        <v>5667</v>
      </c>
      <c r="H2513" s="4"/>
      <c r="I2513" s="4"/>
      <c r="J2513" s="4">
        <f>SUM(G2513:I2513)</f>
        <v>5667</v>
      </c>
      <c r="K2513" t="s">
        <v>1659</v>
      </c>
      <c r="L2513" t="s">
        <v>1659</v>
      </c>
      <c r="M2513" t="s">
        <v>801</v>
      </c>
      <c r="N2513" t="s">
        <v>1132</v>
      </c>
      <c r="O2513" t="s">
        <v>1132</v>
      </c>
      <c r="P2513" t="str">
        <f>IFERROR(VLOOKUP(F2513,Sheet1!$A$2:$B$54,2,FALSE),"")</f>
        <v/>
      </c>
    </row>
    <row r="2514" spans="1:16" x14ac:dyDescent="0.2">
      <c r="A2514" s="1">
        <v>2022</v>
      </c>
      <c r="B2514" t="s">
        <v>304</v>
      </c>
      <c r="C2514" s="10" t="s">
        <v>1678</v>
      </c>
      <c r="D2514" s="10" t="s">
        <v>1679</v>
      </c>
      <c r="E2514" s="10" t="s">
        <v>1682</v>
      </c>
      <c r="F2514" t="s">
        <v>801</v>
      </c>
      <c r="G2514" s="4">
        <v>10399</v>
      </c>
      <c r="H2514" s="4"/>
      <c r="I2514" s="4"/>
      <c r="J2514" s="4">
        <f>SUM(G2514:I2514)</f>
        <v>10399</v>
      </c>
      <c r="K2514" t="s">
        <v>1659</v>
      </c>
      <c r="L2514" t="s">
        <v>1659</v>
      </c>
      <c r="M2514" t="s">
        <v>801</v>
      </c>
      <c r="N2514" t="s">
        <v>1132</v>
      </c>
      <c r="O2514" t="s">
        <v>1132</v>
      </c>
      <c r="P2514" t="str">
        <f>IFERROR(VLOOKUP(F2514,Sheet1!$A$2:$B$54,2,FALSE),"")</f>
        <v/>
      </c>
    </row>
    <row r="2515" spans="1:16" x14ac:dyDescent="0.2">
      <c r="A2515" s="1">
        <v>2023</v>
      </c>
      <c r="B2515" t="s">
        <v>304</v>
      </c>
      <c r="C2515" s="10" t="s">
        <v>1678</v>
      </c>
      <c r="D2515" s="10" t="s">
        <v>1679</v>
      </c>
      <c r="E2515" s="10" t="s">
        <v>1682</v>
      </c>
      <c r="F2515" t="s">
        <v>801</v>
      </c>
      <c r="G2515" s="4">
        <v>12499</v>
      </c>
      <c r="H2515" s="4"/>
      <c r="I2515" s="4"/>
      <c r="J2515" s="4">
        <f>SUM(G2515:I2515)</f>
        <v>12499</v>
      </c>
      <c r="K2515" t="s">
        <v>1659</v>
      </c>
      <c r="L2515" t="s">
        <v>1659</v>
      </c>
      <c r="M2515" t="s">
        <v>801</v>
      </c>
      <c r="N2515" t="s">
        <v>1132</v>
      </c>
      <c r="O2515" t="s">
        <v>1132</v>
      </c>
      <c r="P2515" t="str">
        <f>IFERROR(VLOOKUP(F2515,Sheet1!$A$2:$B$54,2,FALSE),"")</f>
        <v/>
      </c>
    </row>
    <row r="2516" spans="1:16" x14ac:dyDescent="0.2">
      <c r="A2516" s="1">
        <v>2015</v>
      </c>
      <c r="B2516" t="s">
        <v>305</v>
      </c>
      <c r="C2516" s="10" t="s">
        <v>1678</v>
      </c>
      <c r="D2516" s="10" t="s">
        <v>1679</v>
      </c>
      <c r="E2516" s="10" t="s">
        <v>1682</v>
      </c>
      <c r="F2516" t="s">
        <v>802</v>
      </c>
      <c r="G2516" s="4">
        <v>27968</v>
      </c>
      <c r="H2516" s="4"/>
      <c r="I2516" s="4"/>
      <c r="J2516" s="4">
        <f>SUM(G2516:I2516)</f>
        <v>27968</v>
      </c>
      <c r="K2516" t="s">
        <v>1659</v>
      </c>
      <c r="L2516" t="s">
        <v>1659</v>
      </c>
      <c r="M2516" t="s">
        <v>1378</v>
      </c>
      <c r="N2516" t="s">
        <v>1132</v>
      </c>
      <c r="O2516" t="s">
        <v>1132</v>
      </c>
      <c r="P2516" t="str">
        <f>IFERROR(VLOOKUP(F2516,Sheet1!$A$2:$B$54,2,FALSE),"")</f>
        <v/>
      </c>
    </row>
    <row r="2517" spans="1:16" x14ac:dyDescent="0.2">
      <c r="A2517" s="1">
        <v>2016</v>
      </c>
      <c r="B2517" t="s">
        <v>305</v>
      </c>
      <c r="C2517" s="10" t="s">
        <v>1678</v>
      </c>
      <c r="D2517" s="10" t="s">
        <v>1679</v>
      </c>
      <c r="E2517" s="10" t="s">
        <v>1682</v>
      </c>
      <c r="F2517" t="s">
        <v>802</v>
      </c>
      <c r="G2517" s="4">
        <v>42583</v>
      </c>
      <c r="H2517" s="4"/>
      <c r="I2517" s="4"/>
      <c r="J2517" s="4">
        <f>SUM(G2517:I2517)</f>
        <v>42583</v>
      </c>
      <c r="K2517" t="s">
        <v>1659</v>
      </c>
      <c r="L2517" t="s">
        <v>1659</v>
      </c>
      <c r="M2517" t="s">
        <v>1378</v>
      </c>
      <c r="N2517" t="s">
        <v>1132</v>
      </c>
      <c r="O2517" t="s">
        <v>1132</v>
      </c>
      <c r="P2517" t="str">
        <f>IFERROR(VLOOKUP(F2517,Sheet1!$A$2:$B$54,2,FALSE),"")</f>
        <v/>
      </c>
    </row>
    <row r="2518" spans="1:16" x14ac:dyDescent="0.2">
      <c r="A2518" s="1">
        <v>2017</v>
      </c>
      <c r="B2518" t="s">
        <v>305</v>
      </c>
      <c r="C2518" s="10" t="s">
        <v>1678</v>
      </c>
      <c r="D2518" s="10" t="s">
        <v>1679</v>
      </c>
      <c r="E2518" s="10" t="s">
        <v>1682</v>
      </c>
      <c r="F2518" t="s">
        <v>802</v>
      </c>
      <c r="G2518" s="4">
        <v>51268</v>
      </c>
      <c r="H2518" s="4"/>
      <c r="I2518" s="4"/>
      <c r="J2518" s="4">
        <f>SUM(G2518:I2518)</f>
        <v>51268</v>
      </c>
      <c r="K2518" t="s">
        <v>1659</v>
      </c>
      <c r="L2518" t="s">
        <v>1659</v>
      </c>
      <c r="M2518" t="s">
        <v>1378</v>
      </c>
      <c r="N2518" t="s">
        <v>1132</v>
      </c>
      <c r="O2518" t="s">
        <v>1132</v>
      </c>
      <c r="P2518" t="str">
        <f>IFERROR(VLOOKUP(F2518,Sheet1!$A$2:$B$54,2,FALSE),"")</f>
        <v/>
      </c>
    </row>
    <row r="2519" spans="1:16" x14ac:dyDescent="0.2">
      <c r="A2519" s="1">
        <v>2018</v>
      </c>
      <c r="B2519" t="s">
        <v>305</v>
      </c>
      <c r="C2519" s="10" t="s">
        <v>1678</v>
      </c>
      <c r="D2519" s="10" t="s">
        <v>1679</v>
      </c>
      <c r="E2519" s="10" t="s">
        <v>1682</v>
      </c>
      <c r="F2519" t="s">
        <v>802</v>
      </c>
      <c r="G2519" s="4">
        <v>59339</v>
      </c>
      <c r="H2519" s="4"/>
      <c r="I2519" s="4"/>
      <c r="J2519" s="4">
        <f>SUM(G2519:I2519)</f>
        <v>59339</v>
      </c>
      <c r="K2519" t="s">
        <v>1659</v>
      </c>
      <c r="L2519" t="s">
        <v>1659</v>
      </c>
      <c r="M2519" t="s">
        <v>1378</v>
      </c>
      <c r="N2519" t="s">
        <v>1132</v>
      </c>
      <c r="O2519" t="s">
        <v>1132</v>
      </c>
      <c r="P2519" t="str">
        <f>IFERROR(VLOOKUP(F2519,Sheet1!$A$2:$B$54,2,FALSE),"")</f>
        <v/>
      </c>
    </row>
    <row r="2520" spans="1:16" x14ac:dyDescent="0.2">
      <c r="A2520" s="1">
        <v>2019</v>
      </c>
      <c r="B2520" t="s">
        <v>305</v>
      </c>
      <c r="C2520" s="10" t="s">
        <v>1678</v>
      </c>
      <c r="D2520" s="10" t="s">
        <v>1679</v>
      </c>
      <c r="E2520" s="10" t="s">
        <v>1682</v>
      </c>
      <c r="F2520" t="s">
        <v>802</v>
      </c>
      <c r="G2520" s="4">
        <v>71923</v>
      </c>
      <c r="H2520" s="4"/>
      <c r="I2520" s="4"/>
      <c r="J2520" s="4">
        <f>SUM(G2520:I2520)</f>
        <v>71923</v>
      </c>
      <c r="K2520" t="s">
        <v>1659</v>
      </c>
      <c r="L2520" t="s">
        <v>1659</v>
      </c>
      <c r="M2520" t="s">
        <v>1378</v>
      </c>
      <c r="N2520" t="s">
        <v>1132</v>
      </c>
      <c r="O2520" t="s">
        <v>1132</v>
      </c>
      <c r="P2520" t="str">
        <f>IFERROR(VLOOKUP(F2520,Sheet1!$A$2:$B$54,2,FALSE),"")</f>
        <v/>
      </c>
    </row>
    <row r="2521" spans="1:16" x14ac:dyDescent="0.2">
      <c r="A2521" s="1">
        <v>2020</v>
      </c>
      <c r="B2521" t="s">
        <v>305</v>
      </c>
      <c r="C2521" s="10" t="s">
        <v>1678</v>
      </c>
      <c r="D2521" s="10" t="s">
        <v>1679</v>
      </c>
      <c r="E2521" s="10" t="s">
        <v>1682</v>
      </c>
      <c r="F2521" t="s">
        <v>802</v>
      </c>
      <c r="G2521" s="4">
        <v>77132</v>
      </c>
      <c r="H2521" s="4"/>
      <c r="I2521" s="4"/>
      <c r="J2521" s="4">
        <f>SUM(G2521:I2521)</f>
        <v>77132</v>
      </c>
      <c r="K2521" t="s">
        <v>1659</v>
      </c>
      <c r="L2521" t="s">
        <v>1659</v>
      </c>
      <c r="M2521" t="s">
        <v>1378</v>
      </c>
      <c r="N2521" t="s">
        <v>1132</v>
      </c>
      <c r="O2521" t="s">
        <v>1132</v>
      </c>
      <c r="P2521" t="str">
        <f>IFERROR(VLOOKUP(F2521,Sheet1!$A$2:$B$54,2,FALSE),"")</f>
        <v/>
      </c>
    </row>
    <row r="2522" spans="1:16" x14ac:dyDescent="0.2">
      <c r="A2522" s="1">
        <v>2021</v>
      </c>
      <c r="B2522" t="s">
        <v>305</v>
      </c>
      <c r="C2522" s="10" t="s">
        <v>1678</v>
      </c>
      <c r="D2522" s="10" t="s">
        <v>1679</v>
      </c>
      <c r="E2522" s="10" t="s">
        <v>1682</v>
      </c>
      <c r="F2522" t="s">
        <v>802</v>
      </c>
      <c r="G2522" s="4">
        <v>94294</v>
      </c>
      <c r="H2522" s="4"/>
      <c r="I2522" s="4"/>
      <c r="J2522" s="4">
        <f>SUM(G2522:I2522)</f>
        <v>94294</v>
      </c>
      <c r="K2522" t="s">
        <v>1659</v>
      </c>
      <c r="L2522" t="s">
        <v>1659</v>
      </c>
      <c r="M2522" t="s">
        <v>802</v>
      </c>
      <c r="N2522" t="s">
        <v>1132</v>
      </c>
      <c r="O2522" t="s">
        <v>1132</v>
      </c>
      <c r="P2522" t="str">
        <f>IFERROR(VLOOKUP(F2522,Sheet1!$A$2:$B$54,2,FALSE),"")</f>
        <v/>
      </c>
    </row>
    <row r="2523" spans="1:16" x14ac:dyDescent="0.2">
      <c r="A2523" s="1">
        <v>2022</v>
      </c>
      <c r="B2523" t="s">
        <v>305</v>
      </c>
      <c r="C2523" s="10" t="s">
        <v>1678</v>
      </c>
      <c r="D2523" s="10" t="s">
        <v>1679</v>
      </c>
      <c r="E2523" s="10" t="s">
        <v>1682</v>
      </c>
      <c r="F2523" t="s">
        <v>802</v>
      </c>
      <c r="G2523" s="4">
        <v>105893</v>
      </c>
      <c r="H2523" s="4"/>
      <c r="I2523" s="4"/>
      <c r="J2523" s="4">
        <f>SUM(G2523:I2523)</f>
        <v>105893</v>
      </c>
      <c r="K2523" t="s">
        <v>1659</v>
      </c>
      <c r="L2523" t="s">
        <v>1659</v>
      </c>
      <c r="M2523" t="s">
        <v>802</v>
      </c>
      <c r="N2523" t="s">
        <v>1132</v>
      </c>
      <c r="O2523" t="s">
        <v>1132</v>
      </c>
      <c r="P2523" t="str">
        <f>IFERROR(VLOOKUP(F2523,Sheet1!$A$2:$B$54,2,FALSE),"")</f>
        <v/>
      </c>
    </row>
    <row r="2524" spans="1:16" x14ac:dyDescent="0.2">
      <c r="A2524" s="1">
        <v>2023</v>
      </c>
      <c r="B2524" t="s">
        <v>305</v>
      </c>
      <c r="C2524" s="10" t="s">
        <v>1678</v>
      </c>
      <c r="D2524" s="10" t="s">
        <v>1679</v>
      </c>
      <c r="E2524" s="10" t="s">
        <v>1682</v>
      </c>
      <c r="F2524" t="s">
        <v>802</v>
      </c>
      <c r="G2524" s="4">
        <v>146137</v>
      </c>
      <c r="H2524" s="4"/>
      <c r="I2524" s="4"/>
      <c r="J2524" s="4">
        <f>SUM(G2524:I2524)</f>
        <v>146137</v>
      </c>
      <c r="K2524" t="s">
        <v>1659</v>
      </c>
      <c r="L2524" t="s">
        <v>1659</v>
      </c>
      <c r="M2524" t="s">
        <v>802</v>
      </c>
      <c r="N2524" t="s">
        <v>1132</v>
      </c>
      <c r="O2524" t="s">
        <v>1132</v>
      </c>
      <c r="P2524" t="str">
        <f>IFERROR(VLOOKUP(F2524,Sheet1!$A$2:$B$54,2,FALSE),"")</f>
        <v/>
      </c>
    </row>
    <row r="2525" spans="1:16" x14ac:dyDescent="0.2">
      <c r="A2525" s="1">
        <v>2015</v>
      </c>
      <c r="B2525" t="s">
        <v>306</v>
      </c>
      <c r="C2525" s="10" t="s">
        <v>1678</v>
      </c>
      <c r="D2525" s="10" t="s">
        <v>1679</v>
      </c>
      <c r="E2525" s="10" t="s">
        <v>1682</v>
      </c>
      <c r="F2525" t="s">
        <v>803</v>
      </c>
      <c r="G2525" s="4">
        <v>15403</v>
      </c>
      <c r="H2525" s="4"/>
      <c r="I2525" s="4"/>
      <c r="J2525" s="4">
        <f>SUM(G2525:I2525)</f>
        <v>15403</v>
      </c>
      <c r="K2525" t="s">
        <v>1659</v>
      </c>
      <c r="L2525" t="s">
        <v>1659</v>
      </c>
      <c r="M2525" t="s">
        <v>1379</v>
      </c>
      <c r="N2525" t="s">
        <v>1132</v>
      </c>
      <c r="O2525" t="s">
        <v>1132</v>
      </c>
      <c r="P2525" t="str">
        <f>IFERROR(VLOOKUP(F2525,Sheet1!$A$2:$B$54,2,FALSE),"")</f>
        <v/>
      </c>
    </row>
    <row r="2526" spans="1:16" x14ac:dyDescent="0.2">
      <c r="A2526" s="1">
        <v>2016</v>
      </c>
      <c r="B2526" t="s">
        <v>306</v>
      </c>
      <c r="C2526" s="10" t="s">
        <v>1678</v>
      </c>
      <c r="D2526" s="10" t="s">
        <v>1679</v>
      </c>
      <c r="E2526" s="10" t="s">
        <v>1682</v>
      </c>
      <c r="F2526" t="s">
        <v>803</v>
      </c>
      <c r="G2526" s="4">
        <v>16194</v>
      </c>
      <c r="H2526" s="4"/>
      <c r="I2526" s="4"/>
      <c r="J2526" s="4">
        <f>SUM(G2526:I2526)</f>
        <v>16194</v>
      </c>
      <c r="K2526" t="s">
        <v>1659</v>
      </c>
      <c r="L2526" t="s">
        <v>1659</v>
      </c>
      <c r="M2526" t="s">
        <v>1379</v>
      </c>
      <c r="N2526" t="s">
        <v>1132</v>
      </c>
      <c r="O2526" t="s">
        <v>1132</v>
      </c>
      <c r="P2526" t="str">
        <f>IFERROR(VLOOKUP(F2526,Sheet1!$A$2:$B$54,2,FALSE),"")</f>
        <v/>
      </c>
    </row>
    <row r="2527" spans="1:16" x14ac:dyDescent="0.2">
      <c r="A2527" s="1">
        <v>2017</v>
      </c>
      <c r="B2527" t="s">
        <v>306</v>
      </c>
      <c r="C2527" s="10" t="s">
        <v>1678</v>
      </c>
      <c r="D2527" s="10" t="s">
        <v>1679</v>
      </c>
      <c r="E2527" s="10" t="s">
        <v>1682</v>
      </c>
      <c r="F2527" t="s">
        <v>803</v>
      </c>
      <c r="G2527" s="4">
        <v>20823</v>
      </c>
      <c r="H2527" s="4"/>
      <c r="I2527" s="4"/>
      <c r="J2527" s="4">
        <f>SUM(G2527:I2527)</f>
        <v>20823</v>
      </c>
      <c r="K2527" t="s">
        <v>1659</v>
      </c>
      <c r="L2527" t="s">
        <v>1659</v>
      </c>
      <c r="M2527" t="s">
        <v>1379</v>
      </c>
      <c r="N2527" t="s">
        <v>1132</v>
      </c>
      <c r="O2527" t="s">
        <v>1132</v>
      </c>
      <c r="P2527" t="str">
        <f>IFERROR(VLOOKUP(F2527,Sheet1!$A$2:$B$54,2,FALSE),"")</f>
        <v/>
      </c>
    </row>
    <row r="2528" spans="1:16" x14ac:dyDescent="0.2">
      <c r="A2528" s="1">
        <v>2018</v>
      </c>
      <c r="B2528" t="s">
        <v>306</v>
      </c>
      <c r="C2528" s="10" t="s">
        <v>1678</v>
      </c>
      <c r="D2528" s="10" t="s">
        <v>1679</v>
      </c>
      <c r="E2528" s="10" t="s">
        <v>1682</v>
      </c>
      <c r="F2528" t="s">
        <v>803</v>
      </c>
      <c r="G2528" s="4">
        <v>26253</v>
      </c>
      <c r="H2528" s="4"/>
      <c r="I2528" s="4"/>
      <c r="J2528" s="4">
        <f>SUM(G2528:I2528)</f>
        <v>26253</v>
      </c>
      <c r="K2528" t="s">
        <v>1659</v>
      </c>
      <c r="L2528" t="s">
        <v>1659</v>
      </c>
      <c r="M2528" t="s">
        <v>1379</v>
      </c>
      <c r="N2528" t="s">
        <v>1132</v>
      </c>
      <c r="O2528" t="s">
        <v>1132</v>
      </c>
      <c r="P2528" t="str">
        <f>IFERROR(VLOOKUP(F2528,Sheet1!$A$2:$B$54,2,FALSE),"")</f>
        <v/>
      </c>
    </row>
    <row r="2529" spans="1:16" x14ac:dyDescent="0.2">
      <c r="A2529" s="1">
        <v>2019</v>
      </c>
      <c r="B2529" t="s">
        <v>306</v>
      </c>
      <c r="C2529" s="10" t="s">
        <v>1678</v>
      </c>
      <c r="D2529" s="10" t="s">
        <v>1679</v>
      </c>
      <c r="E2529" s="10" t="s">
        <v>1682</v>
      </c>
      <c r="F2529" t="s">
        <v>803</v>
      </c>
      <c r="G2529" s="4">
        <v>33169</v>
      </c>
      <c r="H2529" s="4"/>
      <c r="I2529" s="4"/>
      <c r="J2529" s="4">
        <f>SUM(G2529:I2529)</f>
        <v>33169</v>
      </c>
      <c r="K2529" t="s">
        <v>1659</v>
      </c>
      <c r="L2529" t="s">
        <v>1659</v>
      </c>
      <c r="M2529" t="s">
        <v>1379</v>
      </c>
      <c r="N2529" t="s">
        <v>1132</v>
      </c>
      <c r="O2529" t="s">
        <v>1132</v>
      </c>
      <c r="P2529" t="str">
        <f>IFERROR(VLOOKUP(F2529,Sheet1!$A$2:$B$54,2,FALSE),"")</f>
        <v/>
      </c>
    </row>
    <row r="2530" spans="1:16" x14ac:dyDescent="0.2">
      <c r="A2530" s="1">
        <v>2020</v>
      </c>
      <c r="B2530" t="s">
        <v>306</v>
      </c>
      <c r="C2530" s="10" t="s">
        <v>1678</v>
      </c>
      <c r="D2530" s="10" t="s">
        <v>1679</v>
      </c>
      <c r="E2530" s="10" t="s">
        <v>1682</v>
      </c>
      <c r="F2530" t="s">
        <v>803</v>
      </c>
      <c r="G2530" s="4">
        <v>43726</v>
      </c>
      <c r="H2530" s="4"/>
      <c r="I2530" s="4"/>
      <c r="J2530" s="4">
        <f>SUM(G2530:I2530)</f>
        <v>43726</v>
      </c>
      <c r="K2530" t="s">
        <v>1659</v>
      </c>
      <c r="L2530" t="s">
        <v>1659</v>
      </c>
      <c r="M2530" t="s">
        <v>1379</v>
      </c>
      <c r="N2530" t="s">
        <v>1132</v>
      </c>
      <c r="O2530" t="s">
        <v>1132</v>
      </c>
      <c r="P2530" t="str">
        <f>IFERROR(VLOOKUP(F2530,Sheet1!$A$2:$B$54,2,FALSE),"")</f>
        <v/>
      </c>
    </row>
    <row r="2531" spans="1:16" x14ac:dyDescent="0.2">
      <c r="A2531" s="1">
        <v>2021</v>
      </c>
      <c r="B2531" t="s">
        <v>306</v>
      </c>
      <c r="C2531" s="10" t="s">
        <v>1678</v>
      </c>
      <c r="D2531" s="10" t="s">
        <v>1679</v>
      </c>
      <c r="E2531" s="10" t="s">
        <v>1682</v>
      </c>
      <c r="F2531" t="s">
        <v>803</v>
      </c>
      <c r="G2531" s="4">
        <v>62537</v>
      </c>
      <c r="H2531" s="4"/>
      <c r="I2531" s="4"/>
      <c r="J2531" s="4">
        <f>SUM(G2531:I2531)</f>
        <v>62537</v>
      </c>
      <c r="K2531" t="s">
        <v>1659</v>
      </c>
      <c r="L2531" t="s">
        <v>1659</v>
      </c>
      <c r="M2531" t="s">
        <v>803</v>
      </c>
      <c r="N2531" t="s">
        <v>1132</v>
      </c>
      <c r="O2531" t="s">
        <v>1132</v>
      </c>
      <c r="P2531" t="str">
        <f>IFERROR(VLOOKUP(F2531,Sheet1!$A$2:$B$54,2,FALSE),"")</f>
        <v/>
      </c>
    </row>
    <row r="2532" spans="1:16" x14ac:dyDescent="0.2">
      <c r="A2532" s="1">
        <v>2022</v>
      </c>
      <c r="B2532" t="s">
        <v>306</v>
      </c>
      <c r="C2532" s="10" t="s">
        <v>1678</v>
      </c>
      <c r="D2532" s="10" t="s">
        <v>1679</v>
      </c>
      <c r="E2532" s="10" t="s">
        <v>1682</v>
      </c>
      <c r="F2532" t="s">
        <v>803</v>
      </c>
      <c r="G2532" s="4">
        <v>83529</v>
      </c>
      <c r="H2532" s="4"/>
      <c r="I2532" s="4"/>
      <c r="J2532" s="4">
        <f>SUM(G2532:I2532)</f>
        <v>83529</v>
      </c>
      <c r="K2532" t="s">
        <v>1659</v>
      </c>
      <c r="L2532" t="s">
        <v>1659</v>
      </c>
      <c r="M2532" t="s">
        <v>803</v>
      </c>
      <c r="N2532" t="s">
        <v>1132</v>
      </c>
      <c r="O2532" t="s">
        <v>1132</v>
      </c>
      <c r="P2532" t="str">
        <f>IFERROR(VLOOKUP(F2532,Sheet1!$A$2:$B$54,2,FALSE),"")</f>
        <v/>
      </c>
    </row>
    <row r="2533" spans="1:16" x14ac:dyDescent="0.2">
      <c r="A2533" s="1">
        <v>2023</v>
      </c>
      <c r="B2533" t="s">
        <v>306</v>
      </c>
      <c r="C2533" s="10" t="s">
        <v>1678</v>
      </c>
      <c r="D2533" s="10" t="s">
        <v>1679</v>
      </c>
      <c r="E2533" s="10" t="s">
        <v>1682</v>
      </c>
      <c r="F2533" t="s">
        <v>803</v>
      </c>
      <c r="G2533" s="4">
        <v>94140</v>
      </c>
      <c r="H2533" s="4"/>
      <c r="I2533" s="4"/>
      <c r="J2533" s="4">
        <f>SUM(G2533:I2533)</f>
        <v>94140</v>
      </c>
      <c r="K2533" t="s">
        <v>1659</v>
      </c>
      <c r="L2533" t="s">
        <v>1659</v>
      </c>
      <c r="M2533" t="s">
        <v>803</v>
      </c>
      <c r="N2533" t="s">
        <v>1132</v>
      </c>
      <c r="O2533" t="s">
        <v>1132</v>
      </c>
      <c r="P2533" t="str">
        <f>IFERROR(VLOOKUP(F2533,Sheet1!$A$2:$B$54,2,FALSE),"")</f>
        <v/>
      </c>
    </row>
    <row r="2534" spans="1:16" x14ac:dyDescent="0.2">
      <c r="A2534" s="1">
        <v>2015</v>
      </c>
      <c r="B2534" t="s">
        <v>307</v>
      </c>
      <c r="C2534" s="10" t="s">
        <v>1678</v>
      </c>
      <c r="D2534" s="10" t="s">
        <v>1679</v>
      </c>
      <c r="E2534" s="10" t="s">
        <v>1682</v>
      </c>
      <c r="F2534" t="s">
        <v>804</v>
      </c>
      <c r="G2534" s="4">
        <v>25927</v>
      </c>
      <c r="H2534" s="4"/>
      <c r="I2534" s="4"/>
      <c r="J2534" s="4">
        <f>SUM(G2534:I2534)</f>
        <v>25927</v>
      </c>
      <c r="K2534" t="s">
        <v>1659</v>
      </c>
      <c r="L2534" t="s">
        <v>1659</v>
      </c>
      <c r="M2534" t="s">
        <v>1380</v>
      </c>
      <c r="N2534" t="s">
        <v>1132</v>
      </c>
      <c r="O2534" t="s">
        <v>1132</v>
      </c>
      <c r="P2534" t="str">
        <f>IFERROR(VLOOKUP(F2534,Sheet1!$A$2:$B$54,2,FALSE),"")</f>
        <v/>
      </c>
    </row>
    <row r="2535" spans="1:16" x14ac:dyDescent="0.2">
      <c r="A2535" s="1">
        <v>2016</v>
      </c>
      <c r="B2535" t="s">
        <v>307</v>
      </c>
      <c r="C2535" s="10" t="s">
        <v>1678</v>
      </c>
      <c r="D2535" s="10" t="s">
        <v>1679</v>
      </c>
      <c r="E2535" s="10" t="s">
        <v>1682</v>
      </c>
      <c r="F2535" t="s">
        <v>804</v>
      </c>
      <c r="G2535" s="4">
        <v>42650</v>
      </c>
      <c r="H2535" s="4"/>
      <c r="I2535" s="4"/>
      <c r="J2535" s="4">
        <f>SUM(G2535:I2535)</f>
        <v>42650</v>
      </c>
      <c r="K2535" t="s">
        <v>1659</v>
      </c>
      <c r="L2535" t="s">
        <v>1659</v>
      </c>
      <c r="M2535" t="s">
        <v>1380</v>
      </c>
      <c r="N2535" t="s">
        <v>1132</v>
      </c>
      <c r="O2535" t="s">
        <v>1132</v>
      </c>
      <c r="P2535" t="str">
        <f>IFERROR(VLOOKUP(F2535,Sheet1!$A$2:$B$54,2,FALSE),"")</f>
        <v/>
      </c>
    </row>
    <row r="2536" spans="1:16" x14ac:dyDescent="0.2">
      <c r="A2536" s="1">
        <v>2017</v>
      </c>
      <c r="B2536" t="s">
        <v>307</v>
      </c>
      <c r="C2536" s="10" t="s">
        <v>1678</v>
      </c>
      <c r="D2536" s="10" t="s">
        <v>1679</v>
      </c>
      <c r="E2536" s="10" t="s">
        <v>1682</v>
      </c>
      <c r="F2536" t="s">
        <v>804</v>
      </c>
      <c r="G2536" s="4">
        <v>51313</v>
      </c>
      <c r="H2536" s="4"/>
      <c r="I2536" s="4"/>
      <c r="J2536" s="4">
        <f>SUM(G2536:I2536)</f>
        <v>51313</v>
      </c>
      <c r="K2536" t="s">
        <v>1659</v>
      </c>
      <c r="L2536" t="s">
        <v>1659</v>
      </c>
      <c r="M2536" t="s">
        <v>1380</v>
      </c>
      <c r="N2536" t="s">
        <v>1132</v>
      </c>
      <c r="O2536" t="s">
        <v>1132</v>
      </c>
      <c r="P2536" t="str">
        <f>IFERROR(VLOOKUP(F2536,Sheet1!$A$2:$B$54,2,FALSE),"")</f>
        <v/>
      </c>
    </row>
    <row r="2537" spans="1:16" x14ac:dyDescent="0.2">
      <c r="A2537" s="1">
        <v>2018</v>
      </c>
      <c r="B2537" t="s">
        <v>307</v>
      </c>
      <c r="C2537" s="10" t="s">
        <v>1678</v>
      </c>
      <c r="D2537" s="10" t="s">
        <v>1679</v>
      </c>
      <c r="E2537" s="10" t="s">
        <v>1682</v>
      </c>
      <c r="F2537" t="s">
        <v>804</v>
      </c>
      <c r="G2537" s="4">
        <v>58659</v>
      </c>
      <c r="H2537" s="4"/>
      <c r="I2537" s="4"/>
      <c r="J2537" s="4">
        <f>SUM(G2537:I2537)</f>
        <v>58659</v>
      </c>
      <c r="K2537" t="s">
        <v>1659</v>
      </c>
      <c r="L2537" t="s">
        <v>1659</v>
      </c>
      <c r="M2537" t="s">
        <v>1380</v>
      </c>
      <c r="N2537" t="s">
        <v>1132</v>
      </c>
      <c r="O2537" t="s">
        <v>1132</v>
      </c>
      <c r="P2537" t="str">
        <f>IFERROR(VLOOKUP(F2537,Sheet1!$A$2:$B$54,2,FALSE),"")</f>
        <v/>
      </c>
    </row>
    <row r="2538" spans="1:16" x14ac:dyDescent="0.2">
      <c r="A2538" s="1">
        <v>2019</v>
      </c>
      <c r="B2538" t="s">
        <v>307</v>
      </c>
      <c r="C2538" s="10" t="s">
        <v>1678</v>
      </c>
      <c r="D2538" s="10" t="s">
        <v>1679</v>
      </c>
      <c r="E2538" s="10" t="s">
        <v>1682</v>
      </c>
      <c r="F2538" t="s">
        <v>804</v>
      </c>
      <c r="G2538" s="4">
        <v>71959</v>
      </c>
      <c r="H2538" s="4"/>
      <c r="I2538" s="4"/>
      <c r="J2538" s="4">
        <f>SUM(G2538:I2538)</f>
        <v>71959</v>
      </c>
      <c r="K2538" t="s">
        <v>1659</v>
      </c>
      <c r="L2538" t="s">
        <v>1659</v>
      </c>
      <c r="M2538" t="s">
        <v>1380</v>
      </c>
      <c r="N2538" t="s">
        <v>1132</v>
      </c>
      <c r="O2538" t="s">
        <v>1132</v>
      </c>
      <c r="P2538" t="str">
        <f>IFERROR(VLOOKUP(F2538,Sheet1!$A$2:$B$54,2,FALSE),"")</f>
        <v/>
      </c>
    </row>
    <row r="2539" spans="1:16" x14ac:dyDescent="0.2">
      <c r="A2539" s="1">
        <v>2020</v>
      </c>
      <c r="B2539" t="s">
        <v>307</v>
      </c>
      <c r="C2539" s="10" t="s">
        <v>1678</v>
      </c>
      <c r="D2539" s="10" t="s">
        <v>1679</v>
      </c>
      <c r="E2539" s="10" t="s">
        <v>1682</v>
      </c>
      <c r="F2539" t="s">
        <v>804</v>
      </c>
      <c r="G2539" s="4">
        <v>82723</v>
      </c>
      <c r="H2539" s="4"/>
      <c r="I2539" s="4"/>
      <c r="J2539" s="4">
        <f>SUM(G2539:I2539)</f>
        <v>82723</v>
      </c>
      <c r="K2539" t="s">
        <v>1659</v>
      </c>
      <c r="L2539" t="s">
        <v>1659</v>
      </c>
      <c r="M2539" t="s">
        <v>1380</v>
      </c>
      <c r="N2539" t="s">
        <v>1132</v>
      </c>
      <c r="O2539" t="s">
        <v>1132</v>
      </c>
      <c r="P2539" t="str">
        <f>IFERROR(VLOOKUP(F2539,Sheet1!$A$2:$B$54,2,FALSE),"")</f>
        <v/>
      </c>
    </row>
    <row r="2540" spans="1:16" x14ac:dyDescent="0.2">
      <c r="A2540" s="1">
        <v>2021</v>
      </c>
      <c r="B2540" t="s">
        <v>307</v>
      </c>
      <c r="C2540" s="10" t="s">
        <v>1678</v>
      </c>
      <c r="D2540" s="10" t="s">
        <v>1679</v>
      </c>
      <c r="E2540" s="10" t="s">
        <v>1682</v>
      </c>
      <c r="F2540" t="s">
        <v>804</v>
      </c>
      <c r="G2540" s="4">
        <v>108825</v>
      </c>
      <c r="H2540" s="4"/>
      <c r="I2540" s="4"/>
      <c r="J2540" s="4">
        <f>SUM(G2540:I2540)</f>
        <v>108825</v>
      </c>
      <c r="K2540" t="s">
        <v>1659</v>
      </c>
      <c r="L2540" t="s">
        <v>1659</v>
      </c>
      <c r="M2540" t="s">
        <v>804</v>
      </c>
      <c r="N2540" t="s">
        <v>1132</v>
      </c>
      <c r="O2540" t="s">
        <v>1132</v>
      </c>
      <c r="P2540" t="str">
        <f>IFERROR(VLOOKUP(F2540,Sheet1!$A$2:$B$54,2,FALSE),"")</f>
        <v/>
      </c>
    </row>
    <row r="2541" spans="1:16" x14ac:dyDescent="0.2">
      <c r="A2541" s="1">
        <v>2022</v>
      </c>
      <c r="B2541" t="s">
        <v>307</v>
      </c>
      <c r="C2541" s="10" t="s">
        <v>1678</v>
      </c>
      <c r="D2541" s="10" t="s">
        <v>1679</v>
      </c>
      <c r="E2541" s="10" t="s">
        <v>1682</v>
      </c>
      <c r="F2541" t="s">
        <v>804</v>
      </c>
      <c r="G2541" s="4">
        <v>154672</v>
      </c>
      <c r="H2541" s="4"/>
      <c r="I2541" s="4"/>
      <c r="J2541" s="4">
        <f>SUM(G2541:I2541)</f>
        <v>154672</v>
      </c>
      <c r="K2541" t="s">
        <v>1659</v>
      </c>
      <c r="L2541" t="s">
        <v>1659</v>
      </c>
      <c r="M2541" t="s">
        <v>804</v>
      </c>
      <c r="N2541" t="s">
        <v>1132</v>
      </c>
      <c r="O2541" t="s">
        <v>1132</v>
      </c>
      <c r="P2541" t="str">
        <f>IFERROR(VLOOKUP(F2541,Sheet1!$A$2:$B$54,2,FALSE),"")</f>
        <v/>
      </c>
    </row>
    <row r="2542" spans="1:16" x14ac:dyDescent="0.2">
      <c r="A2542" s="1">
        <v>2023</v>
      </c>
      <c r="B2542" t="s">
        <v>307</v>
      </c>
      <c r="C2542" s="10" t="s">
        <v>1678</v>
      </c>
      <c r="D2542" s="10" t="s">
        <v>1679</v>
      </c>
      <c r="E2542" s="10" t="s">
        <v>1682</v>
      </c>
      <c r="F2542" t="s">
        <v>804</v>
      </c>
      <c r="G2542" s="4">
        <v>200375</v>
      </c>
      <c r="H2542" s="4"/>
      <c r="I2542" s="4"/>
      <c r="J2542" s="4">
        <f>SUM(G2542:I2542)</f>
        <v>200375</v>
      </c>
      <c r="K2542" t="s">
        <v>1659</v>
      </c>
      <c r="L2542" t="s">
        <v>1659</v>
      </c>
      <c r="M2542" t="s">
        <v>804</v>
      </c>
      <c r="N2542" t="s">
        <v>1132</v>
      </c>
      <c r="O2542" t="s">
        <v>1132</v>
      </c>
      <c r="P2542" t="str">
        <f>IFERROR(VLOOKUP(F2542,Sheet1!$A$2:$B$54,2,FALSE),"")</f>
        <v/>
      </c>
    </row>
    <row r="2543" spans="1:16" x14ac:dyDescent="0.2">
      <c r="A2543" s="1">
        <v>2015</v>
      </c>
      <c r="B2543" t="s">
        <v>301</v>
      </c>
      <c r="C2543" s="10" t="s">
        <v>1678</v>
      </c>
      <c r="D2543" s="10" t="s">
        <v>1679</v>
      </c>
      <c r="E2543" s="10" t="s">
        <v>1682</v>
      </c>
      <c r="F2543" t="s">
        <v>798</v>
      </c>
      <c r="G2543" s="4">
        <v>210752</v>
      </c>
      <c r="H2543" s="4">
        <v>3480123</v>
      </c>
      <c r="I2543" s="4">
        <v>14599</v>
      </c>
      <c r="J2543" s="4">
        <f>SUM(G2543:I2543)</f>
        <v>3705474</v>
      </c>
      <c r="K2543" t="s">
        <v>1660</v>
      </c>
      <c r="L2543" t="s">
        <v>1660</v>
      </c>
      <c r="M2543" t="s">
        <v>1373</v>
      </c>
      <c r="N2543" t="s">
        <v>1373</v>
      </c>
      <c r="O2543" t="s">
        <v>1373</v>
      </c>
      <c r="P2543">
        <f>IFERROR(VLOOKUP(F2543,Sheet1!$A$2:$B$54,2,FALSE),"")</f>
        <v>4900900</v>
      </c>
    </row>
    <row r="2544" spans="1:16" x14ac:dyDescent="0.2">
      <c r="A2544" s="1">
        <v>2016</v>
      </c>
      <c r="B2544" t="s">
        <v>301</v>
      </c>
      <c r="C2544" s="10" t="s">
        <v>1678</v>
      </c>
      <c r="D2544" s="10" t="s">
        <v>1679</v>
      </c>
      <c r="E2544" s="10" t="s">
        <v>1682</v>
      </c>
      <c r="F2544" t="s">
        <v>798</v>
      </c>
      <c r="G2544" s="4">
        <v>261631</v>
      </c>
      <c r="H2544" s="4">
        <v>3514110</v>
      </c>
      <c r="I2544" s="4">
        <v>11687</v>
      </c>
      <c r="J2544" s="4">
        <f>SUM(G2544:I2544)</f>
        <v>3787428</v>
      </c>
      <c r="K2544" t="s">
        <v>1660</v>
      </c>
      <c r="L2544" t="s">
        <v>1660</v>
      </c>
      <c r="M2544" t="s">
        <v>1373</v>
      </c>
      <c r="N2544" t="s">
        <v>1373</v>
      </c>
      <c r="O2544" t="s">
        <v>1373</v>
      </c>
      <c r="P2544">
        <f>IFERROR(VLOOKUP(F2544,Sheet1!$A$2:$B$54,2,FALSE),"")</f>
        <v>4900900</v>
      </c>
    </row>
    <row r="2545" spans="1:16" x14ac:dyDescent="0.2">
      <c r="A2545" s="1">
        <v>2017</v>
      </c>
      <c r="B2545" t="s">
        <v>301</v>
      </c>
      <c r="C2545" s="10" t="s">
        <v>1678</v>
      </c>
      <c r="D2545" s="10" t="s">
        <v>1679</v>
      </c>
      <c r="E2545" s="10" t="s">
        <v>1682</v>
      </c>
      <c r="F2545" t="s">
        <v>798</v>
      </c>
      <c r="G2545" s="4">
        <v>323223</v>
      </c>
      <c r="H2545" s="4">
        <v>3538681</v>
      </c>
      <c r="I2545" s="4">
        <v>3581</v>
      </c>
      <c r="J2545" s="4">
        <f>SUM(G2545:I2545)</f>
        <v>3865485</v>
      </c>
      <c r="K2545" t="s">
        <v>1660</v>
      </c>
      <c r="L2545" t="s">
        <v>1660</v>
      </c>
      <c r="M2545" t="s">
        <v>1373</v>
      </c>
      <c r="N2545" t="s">
        <v>1373</v>
      </c>
      <c r="O2545" t="s">
        <v>1373</v>
      </c>
      <c r="P2545">
        <f>IFERROR(VLOOKUP(F2545,Sheet1!$A$2:$B$54,2,FALSE),"")</f>
        <v>4900900</v>
      </c>
    </row>
    <row r="2546" spans="1:16" x14ac:dyDescent="0.2">
      <c r="A2546" s="1">
        <v>2018</v>
      </c>
      <c r="B2546" t="s">
        <v>301</v>
      </c>
      <c r="C2546" s="10" t="s">
        <v>1678</v>
      </c>
      <c r="D2546" s="10" t="s">
        <v>1679</v>
      </c>
      <c r="E2546" s="10" t="s">
        <v>1682</v>
      </c>
      <c r="F2546" t="s">
        <v>798</v>
      </c>
      <c r="G2546" s="4">
        <v>399260</v>
      </c>
      <c r="H2546" s="4">
        <v>3656387</v>
      </c>
      <c r="I2546" s="4">
        <v>3667</v>
      </c>
      <c r="J2546" s="4">
        <f>SUM(G2546:I2546)</f>
        <v>4059314</v>
      </c>
      <c r="K2546" t="s">
        <v>1660</v>
      </c>
      <c r="L2546" t="s">
        <v>1660</v>
      </c>
      <c r="M2546" t="s">
        <v>1373</v>
      </c>
      <c r="N2546" t="s">
        <v>1373</v>
      </c>
      <c r="O2546" t="s">
        <v>1373</v>
      </c>
      <c r="P2546">
        <f>IFERROR(VLOOKUP(F2546,Sheet1!$A$2:$B$54,2,FALSE),"")</f>
        <v>4900900</v>
      </c>
    </row>
    <row r="2547" spans="1:16" x14ac:dyDescent="0.2">
      <c r="A2547" s="1">
        <v>2019</v>
      </c>
      <c r="B2547" t="s">
        <v>301</v>
      </c>
      <c r="C2547" s="10" t="s">
        <v>1678</v>
      </c>
      <c r="D2547" s="10" t="s">
        <v>1679</v>
      </c>
      <c r="E2547" s="10" t="s">
        <v>1682</v>
      </c>
      <c r="F2547" t="s">
        <v>798</v>
      </c>
      <c r="G2547" s="4">
        <v>472417</v>
      </c>
      <c r="H2547" s="4">
        <v>3647820</v>
      </c>
      <c r="I2547" s="4">
        <v>2936</v>
      </c>
      <c r="J2547" s="4">
        <f>SUM(G2547:I2547)</f>
        <v>4123173</v>
      </c>
      <c r="K2547" t="s">
        <v>1660</v>
      </c>
      <c r="L2547" t="s">
        <v>1660</v>
      </c>
      <c r="M2547" t="s">
        <v>1373</v>
      </c>
      <c r="N2547" t="s">
        <v>1373</v>
      </c>
      <c r="O2547" t="s">
        <v>1373</v>
      </c>
      <c r="P2547">
        <f>IFERROR(VLOOKUP(F2547,Sheet1!$A$2:$B$54,2,FALSE),"")</f>
        <v>4900900</v>
      </c>
    </row>
    <row r="2548" spans="1:16" x14ac:dyDescent="0.2">
      <c r="A2548" s="1">
        <v>2020</v>
      </c>
      <c r="B2548" t="s">
        <v>301</v>
      </c>
      <c r="C2548" s="10" t="s">
        <v>1678</v>
      </c>
      <c r="D2548" s="10" t="s">
        <v>1679</v>
      </c>
      <c r="E2548" s="10" t="s">
        <v>1682</v>
      </c>
      <c r="F2548" t="s">
        <v>798</v>
      </c>
      <c r="G2548" s="4">
        <v>547653</v>
      </c>
      <c r="H2548" s="4">
        <v>3633511</v>
      </c>
      <c r="I2548" s="4">
        <v>2674</v>
      </c>
      <c r="J2548" s="4">
        <f>SUM(G2548:I2548)</f>
        <v>4183838</v>
      </c>
      <c r="K2548" t="s">
        <v>1660</v>
      </c>
      <c r="L2548" t="s">
        <v>1660</v>
      </c>
      <c r="M2548" t="s">
        <v>1373</v>
      </c>
      <c r="N2548" t="s">
        <v>1373</v>
      </c>
      <c r="O2548" t="s">
        <v>1373</v>
      </c>
      <c r="P2548">
        <f>IFERROR(VLOOKUP(F2548,Sheet1!$A$2:$B$54,2,FALSE),"")</f>
        <v>4900900</v>
      </c>
    </row>
    <row r="2549" spans="1:16" x14ac:dyDescent="0.2">
      <c r="A2549" s="1">
        <v>2021</v>
      </c>
      <c r="B2549" t="s">
        <v>301</v>
      </c>
      <c r="C2549" s="10" t="s">
        <v>1678</v>
      </c>
      <c r="D2549" s="10" t="s">
        <v>1679</v>
      </c>
      <c r="E2549" s="10" t="s">
        <v>1682</v>
      </c>
      <c r="F2549" t="s">
        <v>798</v>
      </c>
      <c r="G2549" s="4">
        <v>626703</v>
      </c>
      <c r="H2549" s="4">
        <v>3685608</v>
      </c>
      <c r="I2549" s="4">
        <v>2862</v>
      </c>
      <c r="J2549" s="4">
        <f>SUM(G2549:I2549)</f>
        <v>4315173</v>
      </c>
      <c r="K2549" t="s">
        <v>1660</v>
      </c>
      <c r="L2549" t="s">
        <v>1660</v>
      </c>
      <c r="M2549" t="s">
        <v>798</v>
      </c>
      <c r="N2549" t="s">
        <v>798</v>
      </c>
      <c r="O2549" t="s">
        <v>798</v>
      </c>
      <c r="P2549">
        <f>IFERROR(VLOOKUP(F2549,Sheet1!$A$2:$B$54,2,FALSE),"")</f>
        <v>4900900</v>
      </c>
    </row>
    <row r="2550" spans="1:16" x14ac:dyDescent="0.2">
      <c r="A2550" s="1">
        <v>2022</v>
      </c>
      <c r="B2550" t="s">
        <v>301</v>
      </c>
      <c r="C2550" s="10" t="s">
        <v>1678</v>
      </c>
      <c r="D2550" s="10" t="s">
        <v>1679</v>
      </c>
      <c r="E2550" s="10" t="s">
        <v>1682</v>
      </c>
      <c r="F2550" t="s">
        <v>798</v>
      </c>
      <c r="G2550" s="4">
        <v>760370</v>
      </c>
      <c r="H2550" s="4">
        <v>3954212</v>
      </c>
      <c r="I2550" s="4">
        <v>1518</v>
      </c>
      <c r="J2550" s="4">
        <f>SUM(G2550:I2550)</f>
        <v>4716100</v>
      </c>
      <c r="K2550" t="s">
        <v>1660</v>
      </c>
      <c r="L2550" t="s">
        <v>1660</v>
      </c>
      <c r="M2550" t="s">
        <v>798</v>
      </c>
      <c r="N2550" t="s">
        <v>798</v>
      </c>
      <c r="O2550" t="s">
        <v>798</v>
      </c>
      <c r="P2550">
        <f>IFERROR(VLOOKUP(F2550,Sheet1!$A$2:$B$54,2,FALSE),"")</f>
        <v>4900900</v>
      </c>
    </row>
    <row r="2551" spans="1:16" x14ac:dyDescent="0.2">
      <c r="A2551" s="1">
        <v>2023</v>
      </c>
      <c r="B2551" t="s">
        <v>301</v>
      </c>
      <c r="C2551" s="10" t="s">
        <v>1678</v>
      </c>
      <c r="D2551" s="10" t="s">
        <v>1679</v>
      </c>
      <c r="E2551" s="10" t="s">
        <v>1682</v>
      </c>
      <c r="F2551" t="s">
        <v>798</v>
      </c>
      <c r="G2551" s="4">
        <v>892972</v>
      </c>
      <c r="H2551" s="4">
        <v>4129709</v>
      </c>
      <c r="I2551" s="4">
        <v>0</v>
      </c>
      <c r="J2551" s="4">
        <f>SUM(G2551:I2551)</f>
        <v>5022681</v>
      </c>
      <c r="K2551" t="s">
        <v>1660</v>
      </c>
      <c r="L2551" t="s">
        <v>1660</v>
      </c>
      <c r="M2551" t="s">
        <v>798</v>
      </c>
      <c r="N2551" t="s">
        <v>798</v>
      </c>
      <c r="O2551" t="s">
        <v>798</v>
      </c>
      <c r="P2551">
        <f>IFERROR(VLOOKUP(F2551,Sheet1!$A$2:$B$54,2,FALSE),"")</f>
        <v>4900900</v>
      </c>
    </row>
    <row r="2552" spans="1:16" x14ac:dyDescent="0.2">
      <c r="A2552" s="1">
        <v>2015</v>
      </c>
      <c r="B2552" t="s">
        <v>309</v>
      </c>
      <c r="C2552" s="10" t="s">
        <v>1678</v>
      </c>
      <c r="D2552" s="10" t="s">
        <v>1679</v>
      </c>
      <c r="E2552" s="10" t="s">
        <v>1682</v>
      </c>
      <c r="F2552" t="s">
        <v>806</v>
      </c>
      <c r="G2552" s="4">
        <v>5593</v>
      </c>
      <c r="H2552" s="4"/>
      <c r="I2552" s="4"/>
      <c r="J2552" s="4">
        <f>SUM(G2552:I2552)</f>
        <v>5593</v>
      </c>
      <c r="K2552" t="s">
        <v>1659</v>
      </c>
      <c r="L2552" t="s">
        <v>1659</v>
      </c>
      <c r="M2552" t="s">
        <v>1382</v>
      </c>
      <c r="N2552" t="s">
        <v>1132</v>
      </c>
      <c r="O2552" t="s">
        <v>1132</v>
      </c>
      <c r="P2552" t="str">
        <f>IFERROR(VLOOKUP(F2552,Sheet1!$A$2:$B$54,2,FALSE),"")</f>
        <v/>
      </c>
    </row>
    <row r="2553" spans="1:16" x14ac:dyDescent="0.2">
      <c r="A2553" s="1">
        <v>2016</v>
      </c>
      <c r="B2553" t="s">
        <v>309</v>
      </c>
      <c r="C2553" s="10" t="s">
        <v>1678</v>
      </c>
      <c r="D2553" s="10" t="s">
        <v>1679</v>
      </c>
      <c r="E2553" s="10" t="s">
        <v>1682</v>
      </c>
      <c r="F2553" t="s">
        <v>806</v>
      </c>
      <c r="G2553" s="4">
        <v>3571</v>
      </c>
      <c r="H2553" s="4"/>
      <c r="I2553" s="4"/>
      <c r="J2553" s="4">
        <f>SUM(G2553:I2553)</f>
        <v>3571</v>
      </c>
      <c r="K2553" t="s">
        <v>1659</v>
      </c>
      <c r="L2553" t="s">
        <v>1659</v>
      </c>
      <c r="M2553" t="s">
        <v>1382</v>
      </c>
      <c r="N2553" t="s">
        <v>1132</v>
      </c>
      <c r="O2553" t="s">
        <v>1132</v>
      </c>
      <c r="P2553" t="str">
        <f>IFERROR(VLOOKUP(F2553,Sheet1!$A$2:$B$54,2,FALSE),"")</f>
        <v/>
      </c>
    </row>
    <row r="2554" spans="1:16" x14ac:dyDescent="0.2">
      <c r="A2554" s="1">
        <v>2017</v>
      </c>
      <c r="B2554" t="s">
        <v>309</v>
      </c>
      <c r="C2554" s="10" t="s">
        <v>1678</v>
      </c>
      <c r="D2554" s="10" t="s">
        <v>1679</v>
      </c>
      <c r="E2554" s="10" t="s">
        <v>1682</v>
      </c>
      <c r="F2554" t="s">
        <v>806</v>
      </c>
      <c r="G2554" s="4">
        <v>3780</v>
      </c>
      <c r="H2554" s="4"/>
      <c r="I2554" s="4"/>
      <c r="J2554" s="4">
        <f>SUM(G2554:I2554)</f>
        <v>3780</v>
      </c>
      <c r="K2554" t="s">
        <v>1659</v>
      </c>
      <c r="L2554" t="s">
        <v>1659</v>
      </c>
      <c r="M2554" t="s">
        <v>1383</v>
      </c>
      <c r="N2554" t="s">
        <v>1132</v>
      </c>
      <c r="O2554" t="s">
        <v>1132</v>
      </c>
      <c r="P2554" t="str">
        <f>IFERROR(VLOOKUP(F2554,Sheet1!$A$2:$B$54,2,FALSE),"")</f>
        <v/>
      </c>
    </row>
    <row r="2555" spans="1:16" x14ac:dyDescent="0.2">
      <c r="A2555" s="1">
        <v>2018</v>
      </c>
      <c r="B2555" t="s">
        <v>309</v>
      </c>
      <c r="C2555" s="10" t="s">
        <v>1678</v>
      </c>
      <c r="D2555" s="10" t="s">
        <v>1679</v>
      </c>
      <c r="E2555" s="10" t="s">
        <v>1682</v>
      </c>
      <c r="F2555" t="s">
        <v>806</v>
      </c>
      <c r="G2555" s="4">
        <v>11083</v>
      </c>
      <c r="H2555" s="4"/>
      <c r="I2555" s="4"/>
      <c r="J2555" s="4">
        <f>SUM(G2555:I2555)</f>
        <v>11083</v>
      </c>
      <c r="K2555" t="s">
        <v>1659</v>
      </c>
      <c r="L2555" t="s">
        <v>1659</v>
      </c>
      <c r="M2555" t="s">
        <v>1383</v>
      </c>
      <c r="N2555" t="s">
        <v>1132</v>
      </c>
      <c r="O2555" t="s">
        <v>1132</v>
      </c>
      <c r="P2555" t="str">
        <f>IFERROR(VLOOKUP(F2555,Sheet1!$A$2:$B$54,2,FALSE),"")</f>
        <v/>
      </c>
    </row>
    <row r="2556" spans="1:16" x14ac:dyDescent="0.2">
      <c r="A2556" s="1">
        <v>2019</v>
      </c>
      <c r="B2556" t="s">
        <v>309</v>
      </c>
      <c r="C2556" s="10" t="s">
        <v>1678</v>
      </c>
      <c r="D2556" s="10" t="s">
        <v>1679</v>
      </c>
      <c r="E2556" s="10" t="s">
        <v>1682</v>
      </c>
      <c r="F2556" t="s">
        <v>806</v>
      </c>
      <c r="G2556" s="4">
        <v>23973</v>
      </c>
      <c r="H2556" s="4"/>
      <c r="I2556" s="4"/>
      <c r="J2556" s="4">
        <f>SUM(G2556:I2556)</f>
        <v>23973</v>
      </c>
      <c r="K2556" t="s">
        <v>1659</v>
      </c>
      <c r="L2556" t="s">
        <v>1659</v>
      </c>
      <c r="M2556" t="s">
        <v>1383</v>
      </c>
      <c r="N2556" t="s">
        <v>1132</v>
      </c>
      <c r="O2556" t="s">
        <v>1132</v>
      </c>
      <c r="P2556" t="str">
        <f>IFERROR(VLOOKUP(F2556,Sheet1!$A$2:$B$54,2,FALSE),"")</f>
        <v/>
      </c>
    </row>
    <row r="2557" spans="1:16" x14ac:dyDescent="0.2">
      <c r="A2557" s="1">
        <v>2020</v>
      </c>
      <c r="B2557" t="s">
        <v>309</v>
      </c>
      <c r="C2557" s="10" t="s">
        <v>1678</v>
      </c>
      <c r="D2557" s="10" t="s">
        <v>1679</v>
      </c>
      <c r="E2557" s="10" t="s">
        <v>1682</v>
      </c>
      <c r="F2557" t="s">
        <v>806</v>
      </c>
      <c r="G2557" s="4">
        <v>31788</v>
      </c>
      <c r="H2557" s="4"/>
      <c r="I2557" s="4"/>
      <c r="J2557" s="4">
        <f>SUM(G2557:I2557)</f>
        <v>31788</v>
      </c>
      <c r="K2557" t="s">
        <v>1659</v>
      </c>
      <c r="L2557" t="s">
        <v>1659</v>
      </c>
      <c r="M2557" t="s">
        <v>1383</v>
      </c>
      <c r="N2557" t="s">
        <v>1132</v>
      </c>
      <c r="O2557" t="s">
        <v>1132</v>
      </c>
      <c r="P2557" t="str">
        <f>IFERROR(VLOOKUP(F2557,Sheet1!$A$2:$B$54,2,FALSE),"")</f>
        <v/>
      </c>
    </row>
    <row r="2558" spans="1:16" x14ac:dyDescent="0.2">
      <c r="A2558" s="1">
        <v>2021</v>
      </c>
      <c r="B2558" t="s">
        <v>309</v>
      </c>
      <c r="C2558" s="10" t="s">
        <v>1678</v>
      </c>
      <c r="D2558" s="10" t="s">
        <v>1679</v>
      </c>
      <c r="E2558" s="10" t="s">
        <v>1682</v>
      </c>
      <c r="F2558" t="s">
        <v>806</v>
      </c>
      <c r="G2558" s="4">
        <v>45792</v>
      </c>
      <c r="H2558" s="4"/>
      <c r="I2558" s="4"/>
      <c r="J2558" s="4">
        <f>SUM(G2558:I2558)</f>
        <v>45792</v>
      </c>
      <c r="K2558" t="s">
        <v>1659</v>
      </c>
      <c r="L2558" t="s">
        <v>1659</v>
      </c>
      <c r="M2558" t="s">
        <v>1384</v>
      </c>
      <c r="N2558" t="s">
        <v>1132</v>
      </c>
      <c r="O2558" t="s">
        <v>1132</v>
      </c>
      <c r="P2558" t="str">
        <f>IFERROR(VLOOKUP(F2558,Sheet1!$A$2:$B$54,2,FALSE),"")</f>
        <v/>
      </c>
    </row>
    <row r="2559" spans="1:16" x14ac:dyDescent="0.2">
      <c r="A2559" s="1">
        <v>2022</v>
      </c>
      <c r="B2559" t="s">
        <v>309</v>
      </c>
      <c r="C2559" s="10" t="s">
        <v>1678</v>
      </c>
      <c r="D2559" s="10" t="s">
        <v>1679</v>
      </c>
      <c r="E2559" s="10" t="s">
        <v>1682</v>
      </c>
      <c r="F2559" t="s">
        <v>806</v>
      </c>
      <c r="G2559" s="4">
        <v>50140</v>
      </c>
      <c r="H2559" s="4"/>
      <c r="I2559" s="4"/>
      <c r="J2559" s="4">
        <f>SUM(G2559:I2559)</f>
        <v>50140</v>
      </c>
      <c r="K2559" t="s">
        <v>1659</v>
      </c>
      <c r="L2559" t="s">
        <v>1659</v>
      </c>
      <c r="M2559" t="s">
        <v>1384</v>
      </c>
      <c r="N2559" t="s">
        <v>1132</v>
      </c>
      <c r="O2559" t="s">
        <v>1132</v>
      </c>
      <c r="P2559" t="str">
        <f>IFERROR(VLOOKUP(F2559,Sheet1!$A$2:$B$54,2,FALSE),"")</f>
        <v/>
      </c>
    </row>
    <row r="2560" spans="1:16" x14ac:dyDescent="0.2">
      <c r="A2560" s="1">
        <v>2023</v>
      </c>
      <c r="B2560" t="s">
        <v>309</v>
      </c>
      <c r="C2560" s="10" t="s">
        <v>1678</v>
      </c>
      <c r="D2560" s="10" t="s">
        <v>1679</v>
      </c>
      <c r="E2560" s="10" t="s">
        <v>1682</v>
      </c>
      <c r="F2560" t="s">
        <v>806</v>
      </c>
      <c r="G2560" s="4">
        <v>69503</v>
      </c>
      <c r="H2560" s="4"/>
      <c r="I2560" s="4"/>
      <c r="J2560" s="4">
        <f>SUM(G2560:I2560)</f>
        <v>69503</v>
      </c>
      <c r="K2560" t="s">
        <v>1659</v>
      </c>
      <c r="L2560" t="s">
        <v>1659</v>
      </c>
      <c r="M2560" t="s">
        <v>806</v>
      </c>
      <c r="N2560" t="s">
        <v>1132</v>
      </c>
      <c r="O2560" t="s">
        <v>1132</v>
      </c>
      <c r="P2560" t="str">
        <f>IFERROR(VLOOKUP(F2560,Sheet1!$A$2:$B$54,2,FALSE),"")</f>
        <v/>
      </c>
    </row>
    <row r="2561" spans="1:16" x14ac:dyDescent="0.2">
      <c r="A2561" s="1">
        <v>2015</v>
      </c>
      <c r="B2561" t="s">
        <v>310</v>
      </c>
      <c r="C2561" s="10" t="s">
        <v>1678</v>
      </c>
      <c r="D2561" s="10" t="s">
        <v>1679</v>
      </c>
      <c r="E2561" s="10" t="s">
        <v>1682</v>
      </c>
      <c r="F2561" t="s">
        <v>807</v>
      </c>
      <c r="G2561" s="4">
        <v>9229</v>
      </c>
      <c r="H2561" s="4"/>
      <c r="I2561" s="4"/>
      <c r="J2561" s="4">
        <f>SUM(G2561:I2561)</f>
        <v>9229</v>
      </c>
      <c r="K2561" t="s">
        <v>1659</v>
      </c>
      <c r="L2561" t="s">
        <v>1659</v>
      </c>
      <c r="M2561" t="s">
        <v>1385</v>
      </c>
      <c r="N2561" t="s">
        <v>1132</v>
      </c>
      <c r="O2561" t="s">
        <v>1132</v>
      </c>
      <c r="P2561" t="str">
        <f>IFERROR(VLOOKUP(F2561,Sheet1!$A$2:$B$54,2,FALSE),"")</f>
        <v/>
      </c>
    </row>
    <row r="2562" spans="1:16" x14ac:dyDescent="0.2">
      <c r="A2562" s="1">
        <v>2016</v>
      </c>
      <c r="B2562" t="s">
        <v>310</v>
      </c>
      <c r="C2562" s="10" t="s">
        <v>1678</v>
      </c>
      <c r="D2562" s="10" t="s">
        <v>1679</v>
      </c>
      <c r="E2562" s="10" t="s">
        <v>1682</v>
      </c>
      <c r="F2562" t="s">
        <v>807</v>
      </c>
      <c r="G2562" s="4">
        <v>13259</v>
      </c>
      <c r="H2562" s="4"/>
      <c r="I2562" s="4"/>
      <c r="J2562" s="4">
        <f>SUM(G2562:I2562)</f>
        <v>13259</v>
      </c>
      <c r="K2562" t="s">
        <v>1659</v>
      </c>
      <c r="L2562" t="s">
        <v>1659</v>
      </c>
      <c r="M2562" t="s">
        <v>1386</v>
      </c>
      <c r="N2562" t="s">
        <v>1132</v>
      </c>
      <c r="O2562" t="s">
        <v>1132</v>
      </c>
      <c r="P2562" t="str">
        <f>IFERROR(VLOOKUP(F2562,Sheet1!$A$2:$B$54,2,FALSE),"")</f>
        <v/>
      </c>
    </row>
    <row r="2563" spans="1:16" x14ac:dyDescent="0.2">
      <c r="A2563" s="1">
        <v>2017</v>
      </c>
      <c r="B2563" t="s">
        <v>310</v>
      </c>
      <c r="C2563" s="10" t="s">
        <v>1678</v>
      </c>
      <c r="D2563" s="10" t="s">
        <v>1679</v>
      </c>
      <c r="E2563" s="10" t="s">
        <v>1682</v>
      </c>
      <c r="F2563" t="s">
        <v>807</v>
      </c>
      <c r="G2563" s="4">
        <v>18131</v>
      </c>
      <c r="H2563" s="4"/>
      <c r="I2563" s="4"/>
      <c r="J2563" s="4">
        <f>SUM(G2563:I2563)</f>
        <v>18131</v>
      </c>
      <c r="K2563" t="s">
        <v>1659</v>
      </c>
      <c r="L2563" t="s">
        <v>1659</v>
      </c>
      <c r="M2563" t="s">
        <v>1386</v>
      </c>
      <c r="N2563" t="s">
        <v>1132</v>
      </c>
      <c r="O2563" t="s">
        <v>1132</v>
      </c>
      <c r="P2563" t="str">
        <f>IFERROR(VLOOKUP(F2563,Sheet1!$A$2:$B$54,2,FALSE),"")</f>
        <v/>
      </c>
    </row>
    <row r="2564" spans="1:16" x14ac:dyDescent="0.2">
      <c r="A2564" s="1">
        <v>2018</v>
      </c>
      <c r="B2564" t="s">
        <v>310</v>
      </c>
      <c r="C2564" s="10" t="s">
        <v>1678</v>
      </c>
      <c r="D2564" s="10" t="s">
        <v>1679</v>
      </c>
      <c r="E2564" s="10" t="s">
        <v>1682</v>
      </c>
      <c r="F2564" t="s">
        <v>807</v>
      </c>
      <c r="G2564" s="4">
        <v>23031</v>
      </c>
      <c r="H2564" s="4"/>
      <c r="I2564" s="4"/>
      <c r="J2564" s="4">
        <f>SUM(G2564:I2564)</f>
        <v>23031</v>
      </c>
      <c r="K2564" t="s">
        <v>1659</v>
      </c>
      <c r="L2564" t="s">
        <v>1659</v>
      </c>
      <c r="M2564" t="s">
        <v>1386</v>
      </c>
      <c r="N2564" t="s">
        <v>1132</v>
      </c>
      <c r="O2564" t="s">
        <v>1132</v>
      </c>
      <c r="P2564" t="str">
        <f>IFERROR(VLOOKUP(F2564,Sheet1!$A$2:$B$54,2,FALSE),"")</f>
        <v/>
      </c>
    </row>
    <row r="2565" spans="1:16" x14ac:dyDescent="0.2">
      <c r="A2565" s="1">
        <v>2019</v>
      </c>
      <c r="B2565" t="s">
        <v>310</v>
      </c>
      <c r="C2565" s="10" t="s">
        <v>1678</v>
      </c>
      <c r="D2565" s="10" t="s">
        <v>1679</v>
      </c>
      <c r="E2565" s="10" t="s">
        <v>1682</v>
      </c>
      <c r="F2565" t="s">
        <v>807</v>
      </c>
      <c r="G2565" s="4">
        <v>24976</v>
      </c>
      <c r="H2565" s="4"/>
      <c r="I2565" s="4"/>
      <c r="J2565" s="4">
        <f>SUM(G2565:I2565)</f>
        <v>24976</v>
      </c>
      <c r="K2565" t="s">
        <v>1659</v>
      </c>
      <c r="L2565" t="s">
        <v>1659</v>
      </c>
      <c r="M2565" t="s">
        <v>1385</v>
      </c>
      <c r="N2565" t="s">
        <v>1132</v>
      </c>
      <c r="O2565" t="s">
        <v>1132</v>
      </c>
      <c r="P2565" t="str">
        <f>IFERROR(VLOOKUP(F2565,Sheet1!$A$2:$B$54,2,FALSE),"")</f>
        <v/>
      </c>
    </row>
    <row r="2566" spans="1:16" x14ac:dyDescent="0.2">
      <c r="A2566" s="1">
        <v>2020</v>
      </c>
      <c r="B2566" t="s">
        <v>310</v>
      </c>
      <c r="C2566" s="10" t="s">
        <v>1678</v>
      </c>
      <c r="D2566" s="10" t="s">
        <v>1679</v>
      </c>
      <c r="E2566" s="10" t="s">
        <v>1682</v>
      </c>
      <c r="F2566" t="s">
        <v>807</v>
      </c>
      <c r="G2566" s="4">
        <v>28724</v>
      </c>
      <c r="H2566" s="4"/>
      <c r="I2566" s="4"/>
      <c r="J2566" s="4">
        <f>SUM(G2566:I2566)</f>
        <v>28724</v>
      </c>
      <c r="K2566" t="s">
        <v>1659</v>
      </c>
      <c r="L2566" t="s">
        <v>1659</v>
      </c>
      <c r="M2566" t="s">
        <v>1385</v>
      </c>
      <c r="N2566" t="s">
        <v>1132</v>
      </c>
      <c r="O2566" t="s">
        <v>1132</v>
      </c>
      <c r="P2566" t="str">
        <f>IFERROR(VLOOKUP(F2566,Sheet1!$A$2:$B$54,2,FALSE),"")</f>
        <v/>
      </c>
    </row>
    <row r="2567" spans="1:16" x14ac:dyDescent="0.2">
      <c r="A2567" s="1">
        <v>2021</v>
      </c>
      <c r="B2567" t="s">
        <v>310</v>
      </c>
      <c r="C2567" s="10" t="s">
        <v>1678</v>
      </c>
      <c r="D2567" s="10" t="s">
        <v>1679</v>
      </c>
      <c r="E2567" s="10" t="s">
        <v>1682</v>
      </c>
      <c r="F2567" t="s">
        <v>807</v>
      </c>
      <c r="G2567" s="4">
        <v>34218</v>
      </c>
      <c r="H2567" s="4"/>
      <c r="I2567" s="4"/>
      <c r="J2567" s="4">
        <f>SUM(G2567:I2567)</f>
        <v>34218</v>
      </c>
      <c r="K2567" t="s">
        <v>1659</v>
      </c>
      <c r="L2567" t="s">
        <v>1659</v>
      </c>
      <c r="M2567" t="s">
        <v>807</v>
      </c>
      <c r="N2567" t="s">
        <v>1132</v>
      </c>
      <c r="O2567" t="s">
        <v>1132</v>
      </c>
      <c r="P2567" t="str">
        <f>IFERROR(VLOOKUP(F2567,Sheet1!$A$2:$B$54,2,FALSE),"")</f>
        <v/>
      </c>
    </row>
    <row r="2568" spans="1:16" x14ac:dyDescent="0.2">
      <c r="A2568" s="1">
        <v>2022</v>
      </c>
      <c r="B2568" t="s">
        <v>310</v>
      </c>
      <c r="C2568" s="10" t="s">
        <v>1678</v>
      </c>
      <c r="D2568" s="10" t="s">
        <v>1679</v>
      </c>
      <c r="E2568" s="10" t="s">
        <v>1682</v>
      </c>
      <c r="F2568" t="s">
        <v>807</v>
      </c>
      <c r="G2568" s="4">
        <v>43836</v>
      </c>
      <c r="H2568" s="4"/>
      <c r="I2568" s="4"/>
      <c r="J2568" s="4">
        <f>SUM(G2568:I2568)</f>
        <v>43836</v>
      </c>
      <c r="K2568" t="s">
        <v>1659</v>
      </c>
      <c r="L2568" t="s">
        <v>1659</v>
      </c>
      <c r="M2568" t="s">
        <v>807</v>
      </c>
      <c r="N2568" t="s">
        <v>1132</v>
      </c>
      <c r="O2568" t="s">
        <v>1132</v>
      </c>
      <c r="P2568" t="str">
        <f>IFERROR(VLOOKUP(F2568,Sheet1!$A$2:$B$54,2,FALSE),"")</f>
        <v/>
      </c>
    </row>
    <row r="2569" spans="1:16" x14ac:dyDescent="0.2">
      <c r="A2569" s="1">
        <v>2023</v>
      </c>
      <c r="B2569" t="s">
        <v>310</v>
      </c>
      <c r="C2569" s="10" t="s">
        <v>1678</v>
      </c>
      <c r="D2569" s="10" t="s">
        <v>1679</v>
      </c>
      <c r="E2569" s="10" t="s">
        <v>1682</v>
      </c>
      <c r="F2569" t="s">
        <v>807</v>
      </c>
      <c r="G2569" s="4">
        <v>61720</v>
      </c>
      <c r="H2569" s="4"/>
      <c r="I2569" s="4"/>
      <c r="J2569" s="4">
        <f>SUM(G2569:I2569)</f>
        <v>61720</v>
      </c>
      <c r="K2569" t="s">
        <v>1659</v>
      </c>
      <c r="L2569" t="s">
        <v>1659</v>
      </c>
      <c r="M2569" t="s">
        <v>807</v>
      </c>
      <c r="N2569" t="s">
        <v>1132</v>
      </c>
      <c r="O2569" t="s">
        <v>1132</v>
      </c>
      <c r="P2569" t="str">
        <f>IFERROR(VLOOKUP(F2569,Sheet1!$A$2:$B$54,2,FALSE),"")</f>
        <v/>
      </c>
    </row>
    <row r="2570" spans="1:16" x14ac:dyDescent="0.2">
      <c r="A2570" s="1">
        <v>2015</v>
      </c>
      <c r="B2570" t="s">
        <v>311</v>
      </c>
      <c r="C2570" s="10" t="s">
        <v>1678</v>
      </c>
      <c r="D2570" s="10" t="s">
        <v>1679</v>
      </c>
      <c r="E2570" s="10" t="s">
        <v>1682</v>
      </c>
      <c r="F2570" t="s">
        <v>808</v>
      </c>
      <c r="G2570" s="4">
        <v>21206</v>
      </c>
      <c r="H2570" s="4"/>
      <c r="I2570" s="4"/>
      <c r="J2570" s="4">
        <f>SUM(G2570:I2570)</f>
        <v>21206</v>
      </c>
      <c r="K2570" t="s">
        <v>1659</v>
      </c>
      <c r="L2570" t="s">
        <v>1659</v>
      </c>
      <c r="M2570" t="s">
        <v>1387</v>
      </c>
      <c r="N2570" t="s">
        <v>1132</v>
      </c>
      <c r="O2570" t="s">
        <v>1132</v>
      </c>
      <c r="P2570" t="str">
        <f>IFERROR(VLOOKUP(F2570,Sheet1!$A$2:$B$54,2,FALSE),"")</f>
        <v/>
      </c>
    </row>
    <row r="2571" spans="1:16" x14ac:dyDescent="0.2">
      <c r="A2571" s="1">
        <v>2016</v>
      </c>
      <c r="B2571" t="s">
        <v>311</v>
      </c>
      <c r="C2571" s="10" t="s">
        <v>1678</v>
      </c>
      <c r="D2571" s="10" t="s">
        <v>1679</v>
      </c>
      <c r="E2571" s="10" t="s">
        <v>1682</v>
      </c>
      <c r="F2571" t="s">
        <v>808</v>
      </c>
      <c r="G2571" s="4">
        <v>27208</v>
      </c>
      <c r="H2571" s="4"/>
      <c r="I2571" s="4"/>
      <c r="J2571" s="4">
        <f>SUM(G2571:I2571)</f>
        <v>27208</v>
      </c>
      <c r="K2571" t="s">
        <v>1659</v>
      </c>
      <c r="L2571" t="s">
        <v>1659</v>
      </c>
      <c r="M2571" t="s">
        <v>1387</v>
      </c>
      <c r="N2571" t="s">
        <v>1132</v>
      </c>
      <c r="O2571" t="s">
        <v>1132</v>
      </c>
      <c r="P2571" t="str">
        <f>IFERROR(VLOOKUP(F2571,Sheet1!$A$2:$B$54,2,FALSE),"")</f>
        <v/>
      </c>
    </row>
    <row r="2572" spans="1:16" x14ac:dyDescent="0.2">
      <c r="A2572" s="1">
        <v>2017</v>
      </c>
      <c r="B2572" t="s">
        <v>311</v>
      </c>
      <c r="C2572" s="10" t="s">
        <v>1678</v>
      </c>
      <c r="D2572" s="10" t="s">
        <v>1679</v>
      </c>
      <c r="E2572" s="10" t="s">
        <v>1682</v>
      </c>
      <c r="F2572" t="s">
        <v>808</v>
      </c>
      <c r="G2572" s="4">
        <v>27856</v>
      </c>
      <c r="H2572" s="4"/>
      <c r="I2572" s="4"/>
      <c r="J2572" s="4">
        <f>SUM(G2572:I2572)</f>
        <v>27856</v>
      </c>
      <c r="K2572" t="s">
        <v>1659</v>
      </c>
      <c r="L2572" t="s">
        <v>1659</v>
      </c>
      <c r="M2572" t="s">
        <v>1387</v>
      </c>
      <c r="N2572" t="s">
        <v>1132</v>
      </c>
      <c r="O2572" t="s">
        <v>1132</v>
      </c>
      <c r="P2572" t="str">
        <f>IFERROR(VLOOKUP(F2572,Sheet1!$A$2:$B$54,2,FALSE),"")</f>
        <v/>
      </c>
    </row>
    <row r="2573" spans="1:16" x14ac:dyDescent="0.2">
      <c r="A2573" s="1">
        <v>2018</v>
      </c>
      <c r="B2573" t="s">
        <v>311</v>
      </c>
      <c r="C2573" s="10" t="s">
        <v>1678</v>
      </c>
      <c r="D2573" s="10" t="s">
        <v>1679</v>
      </c>
      <c r="E2573" s="10" t="s">
        <v>1682</v>
      </c>
      <c r="F2573" t="s">
        <v>808</v>
      </c>
      <c r="G2573" s="4">
        <v>22807</v>
      </c>
      <c r="H2573" s="4"/>
      <c r="I2573" s="4"/>
      <c r="J2573" s="4">
        <f>SUM(G2573:I2573)</f>
        <v>22807</v>
      </c>
      <c r="K2573" t="s">
        <v>1659</v>
      </c>
      <c r="L2573" t="s">
        <v>1659</v>
      </c>
      <c r="M2573" t="s">
        <v>1387</v>
      </c>
      <c r="N2573" t="s">
        <v>1132</v>
      </c>
      <c r="O2573" t="s">
        <v>1132</v>
      </c>
      <c r="P2573" t="str">
        <f>IFERROR(VLOOKUP(F2573,Sheet1!$A$2:$B$54,2,FALSE),"")</f>
        <v/>
      </c>
    </row>
    <row r="2574" spans="1:16" x14ac:dyDescent="0.2">
      <c r="A2574" s="1">
        <v>2019</v>
      </c>
      <c r="B2574" t="s">
        <v>311</v>
      </c>
      <c r="C2574" s="10" t="s">
        <v>1678</v>
      </c>
      <c r="D2574" s="10" t="s">
        <v>1679</v>
      </c>
      <c r="E2574" s="10" t="s">
        <v>1682</v>
      </c>
      <c r="F2574" t="s">
        <v>808</v>
      </c>
      <c r="G2574" s="4">
        <v>27481</v>
      </c>
      <c r="H2574" s="4"/>
      <c r="I2574" s="4"/>
      <c r="J2574" s="4">
        <f>SUM(G2574:I2574)</f>
        <v>27481</v>
      </c>
      <c r="K2574" t="s">
        <v>1659</v>
      </c>
      <c r="L2574" t="s">
        <v>1659</v>
      </c>
      <c r="M2574" t="s">
        <v>1387</v>
      </c>
      <c r="N2574" t="s">
        <v>1132</v>
      </c>
      <c r="O2574" t="s">
        <v>1132</v>
      </c>
      <c r="P2574" t="str">
        <f>IFERROR(VLOOKUP(F2574,Sheet1!$A$2:$B$54,2,FALSE),"")</f>
        <v/>
      </c>
    </row>
    <row r="2575" spans="1:16" x14ac:dyDescent="0.2">
      <c r="A2575" s="1">
        <v>2020</v>
      </c>
      <c r="B2575" t="s">
        <v>311</v>
      </c>
      <c r="C2575" s="10" t="s">
        <v>1678</v>
      </c>
      <c r="D2575" s="10" t="s">
        <v>1679</v>
      </c>
      <c r="E2575" s="10" t="s">
        <v>1682</v>
      </c>
      <c r="F2575" t="s">
        <v>808</v>
      </c>
      <c r="G2575" s="4">
        <v>35345</v>
      </c>
      <c r="H2575" s="4"/>
      <c r="I2575" s="4"/>
      <c r="J2575" s="4">
        <f>SUM(G2575:I2575)</f>
        <v>35345</v>
      </c>
      <c r="K2575" t="s">
        <v>1659</v>
      </c>
      <c r="L2575" t="s">
        <v>1659</v>
      </c>
      <c r="M2575" t="s">
        <v>1387</v>
      </c>
      <c r="N2575" t="s">
        <v>1132</v>
      </c>
      <c r="O2575" t="s">
        <v>1132</v>
      </c>
      <c r="P2575" t="str">
        <f>IFERROR(VLOOKUP(F2575,Sheet1!$A$2:$B$54,2,FALSE),"")</f>
        <v/>
      </c>
    </row>
    <row r="2576" spans="1:16" x14ac:dyDescent="0.2">
      <c r="A2576" s="1">
        <v>2021</v>
      </c>
      <c r="B2576" t="s">
        <v>311</v>
      </c>
      <c r="C2576" s="10" t="s">
        <v>1678</v>
      </c>
      <c r="D2576" s="10" t="s">
        <v>1679</v>
      </c>
      <c r="E2576" s="10" t="s">
        <v>1682</v>
      </c>
      <c r="F2576" t="s">
        <v>808</v>
      </c>
      <c r="G2576" s="4">
        <v>42170</v>
      </c>
      <c r="H2576" s="4"/>
      <c r="I2576" s="4"/>
      <c r="J2576" s="4">
        <f>SUM(G2576:I2576)</f>
        <v>42170</v>
      </c>
      <c r="K2576" t="s">
        <v>1659</v>
      </c>
      <c r="L2576" t="s">
        <v>1659</v>
      </c>
      <c r="M2576" t="s">
        <v>808</v>
      </c>
      <c r="N2576" t="s">
        <v>1132</v>
      </c>
      <c r="O2576" t="s">
        <v>1132</v>
      </c>
      <c r="P2576" t="str">
        <f>IFERROR(VLOOKUP(F2576,Sheet1!$A$2:$B$54,2,FALSE),"")</f>
        <v/>
      </c>
    </row>
    <row r="2577" spans="1:16" x14ac:dyDescent="0.2">
      <c r="A2577" s="1">
        <v>2022</v>
      </c>
      <c r="B2577" t="s">
        <v>311</v>
      </c>
      <c r="C2577" s="10" t="s">
        <v>1678</v>
      </c>
      <c r="D2577" s="10" t="s">
        <v>1679</v>
      </c>
      <c r="E2577" s="10" t="s">
        <v>1682</v>
      </c>
      <c r="F2577" t="s">
        <v>808</v>
      </c>
      <c r="G2577" s="4">
        <v>55147</v>
      </c>
      <c r="H2577" s="4"/>
      <c r="I2577" s="4"/>
      <c r="J2577" s="4">
        <f>SUM(G2577:I2577)</f>
        <v>55147</v>
      </c>
      <c r="K2577" t="s">
        <v>1659</v>
      </c>
      <c r="L2577" t="s">
        <v>1659</v>
      </c>
      <c r="M2577" t="s">
        <v>808</v>
      </c>
      <c r="N2577" t="s">
        <v>1132</v>
      </c>
      <c r="O2577" t="s">
        <v>1132</v>
      </c>
      <c r="P2577" t="str">
        <f>IFERROR(VLOOKUP(F2577,Sheet1!$A$2:$B$54,2,FALSE),"")</f>
        <v/>
      </c>
    </row>
    <row r="2578" spans="1:16" x14ac:dyDescent="0.2">
      <c r="A2578" s="1">
        <v>2023</v>
      </c>
      <c r="B2578" t="s">
        <v>311</v>
      </c>
      <c r="C2578" s="10" t="s">
        <v>1678</v>
      </c>
      <c r="D2578" s="10" t="s">
        <v>1679</v>
      </c>
      <c r="E2578" s="10" t="s">
        <v>1682</v>
      </c>
      <c r="F2578" t="s">
        <v>808</v>
      </c>
      <c r="G2578" s="4">
        <v>72202</v>
      </c>
      <c r="H2578" s="4"/>
      <c r="I2578" s="4"/>
      <c r="J2578" s="4">
        <f>SUM(G2578:I2578)</f>
        <v>72202</v>
      </c>
      <c r="K2578" t="s">
        <v>1659</v>
      </c>
      <c r="L2578" t="s">
        <v>1659</v>
      </c>
      <c r="M2578" t="s">
        <v>808</v>
      </c>
      <c r="N2578" t="s">
        <v>1132</v>
      </c>
      <c r="O2578" t="s">
        <v>1132</v>
      </c>
      <c r="P2578" t="str">
        <f>IFERROR(VLOOKUP(F2578,Sheet1!$A$2:$B$54,2,FALSE),"")</f>
        <v/>
      </c>
    </row>
    <row r="2579" spans="1:16" x14ac:dyDescent="0.2">
      <c r="A2579" s="1">
        <v>2015</v>
      </c>
      <c r="B2579" t="s">
        <v>312</v>
      </c>
      <c r="C2579" s="10" t="s">
        <v>1678</v>
      </c>
      <c r="D2579" s="10" t="s">
        <v>1679</v>
      </c>
      <c r="E2579" s="10" t="s">
        <v>1682</v>
      </c>
      <c r="F2579" t="s">
        <v>809</v>
      </c>
      <c r="G2579" s="4">
        <v>42211</v>
      </c>
      <c r="H2579" s="4">
        <v>875594</v>
      </c>
      <c r="I2579" s="4">
        <v>7250</v>
      </c>
      <c r="J2579" s="4">
        <f>SUM(G2579:I2579)</f>
        <v>925055</v>
      </c>
      <c r="K2579" t="s">
        <v>1660</v>
      </c>
      <c r="L2579" t="s">
        <v>1660</v>
      </c>
      <c r="M2579" t="s">
        <v>1388</v>
      </c>
      <c r="N2579" t="s">
        <v>1388</v>
      </c>
      <c r="O2579" t="s">
        <v>1388</v>
      </c>
      <c r="P2579" t="str">
        <f>IFERROR(VLOOKUP(F2579,Sheet1!$A$2:$B$54,2,FALSE),"")</f>
        <v/>
      </c>
    </row>
    <row r="2580" spans="1:16" x14ac:dyDescent="0.2">
      <c r="A2580" s="1">
        <v>2016</v>
      </c>
      <c r="B2580" t="s">
        <v>312</v>
      </c>
      <c r="C2580" s="10" t="s">
        <v>1678</v>
      </c>
      <c r="D2580" s="10" t="s">
        <v>1679</v>
      </c>
      <c r="E2580" s="10" t="s">
        <v>1682</v>
      </c>
      <c r="F2580" t="s">
        <v>809</v>
      </c>
      <c r="G2580" s="4">
        <v>39969</v>
      </c>
      <c r="H2580" s="4">
        <v>918114</v>
      </c>
      <c r="I2580" s="4">
        <v>7431</v>
      </c>
      <c r="J2580" s="4">
        <f>SUM(G2580:I2580)</f>
        <v>965514</v>
      </c>
      <c r="K2580" t="s">
        <v>1660</v>
      </c>
      <c r="L2580" t="s">
        <v>1660</v>
      </c>
      <c r="M2580" t="s">
        <v>1388</v>
      </c>
      <c r="N2580" t="s">
        <v>1388</v>
      </c>
      <c r="O2580" t="s">
        <v>1388</v>
      </c>
      <c r="P2580" t="str">
        <f>IFERROR(VLOOKUP(F2580,Sheet1!$A$2:$B$54,2,FALSE),"")</f>
        <v/>
      </c>
    </row>
    <row r="2581" spans="1:16" x14ac:dyDescent="0.2">
      <c r="A2581" s="1">
        <v>2017</v>
      </c>
      <c r="B2581" t="s">
        <v>312</v>
      </c>
      <c r="C2581" s="10" t="s">
        <v>1678</v>
      </c>
      <c r="D2581" s="10" t="s">
        <v>1679</v>
      </c>
      <c r="E2581" s="10" t="s">
        <v>1682</v>
      </c>
      <c r="F2581" t="s">
        <v>809</v>
      </c>
      <c r="G2581" s="4">
        <v>38593</v>
      </c>
      <c r="H2581" s="4">
        <v>888796</v>
      </c>
      <c r="I2581" s="4">
        <v>7889</v>
      </c>
      <c r="J2581" s="4">
        <f>SUM(G2581:I2581)</f>
        <v>935278</v>
      </c>
      <c r="K2581" t="s">
        <v>1660</v>
      </c>
      <c r="L2581" t="s">
        <v>1660</v>
      </c>
      <c r="M2581" t="s">
        <v>1388</v>
      </c>
      <c r="N2581" t="s">
        <v>1388</v>
      </c>
      <c r="O2581" t="s">
        <v>1388</v>
      </c>
      <c r="P2581" t="str">
        <f>IFERROR(VLOOKUP(F2581,Sheet1!$A$2:$B$54,2,FALSE),"")</f>
        <v/>
      </c>
    </row>
    <row r="2582" spans="1:16" x14ac:dyDescent="0.2">
      <c r="A2582" s="1">
        <v>2018</v>
      </c>
      <c r="B2582" t="s">
        <v>312</v>
      </c>
      <c r="C2582" s="10" t="s">
        <v>1678</v>
      </c>
      <c r="D2582" s="10" t="s">
        <v>1679</v>
      </c>
      <c r="E2582" s="10" t="s">
        <v>1682</v>
      </c>
      <c r="F2582" t="s">
        <v>809</v>
      </c>
      <c r="G2582" s="4">
        <v>42538</v>
      </c>
      <c r="H2582" s="4">
        <v>922050</v>
      </c>
      <c r="I2582" s="4">
        <v>8377</v>
      </c>
      <c r="J2582" s="4">
        <f>SUM(G2582:I2582)</f>
        <v>972965</v>
      </c>
      <c r="K2582" t="s">
        <v>1660</v>
      </c>
      <c r="L2582" t="s">
        <v>1660</v>
      </c>
      <c r="M2582" t="s">
        <v>1388</v>
      </c>
      <c r="N2582" t="s">
        <v>1388</v>
      </c>
      <c r="O2582" t="s">
        <v>1388</v>
      </c>
      <c r="P2582" t="str">
        <f>IFERROR(VLOOKUP(F2582,Sheet1!$A$2:$B$54,2,FALSE),"")</f>
        <v/>
      </c>
    </row>
    <row r="2583" spans="1:16" x14ac:dyDescent="0.2">
      <c r="A2583" s="1">
        <v>2019</v>
      </c>
      <c r="B2583" t="s">
        <v>312</v>
      </c>
      <c r="C2583" s="10" t="s">
        <v>1678</v>
      </c>
      <c r="D2583" s="10" t="s">
        <v>1679</v>
      </c>
      <c r="E2583" s="10" t="s">
        <v>1682</v>
      </c>
      <c r="F2583" t="s">
        <v>809</v>
      </c>
      <c r="G2583" s="4">
        <v>39695</v>
      </c>
      <c r="H2583" s="4"/>
      <c r="I2583" s="4"/>
      <c r="J2583" s="4">
        <f>SUM(G2583:I2583)</f>
        <v>39695</v>
      </c>
      <c r="K2583" t="s">
        <v>1659</v>
      </c>
      <c r="L2583" t="s">
        <v>1659</v>
      </c>
      <c r="M2583" t="s">
        <v>1388</v>
      </c>
      <c r="N2583" t="s">
        <v>1132</v>
      </c>
      <c r="O2583" t="s">
        <v>1132</v>
      </c>
      <c r="P2583" t="str">
        <f>IFERROR(VLOOKUP(F2583,Sheet1!$A$2:$B$54,2,FALSE),"")</f>
        <v/>
      </c>
    </row>
    <row r="2584" spans="1:16" x14ac:dyDescent="0.2">
      <c r="A2584" s="1">
        <v>2020</v>
      </c>
      <c r="B2584" t="s">
        <v>312</v>
      </c>
      <c r="C2584" s="10" t="s">
        <v>1678</v>
      </c>
      <c r="D2584" s="10" t="s">
        <v>1679</v>
      </c>
      <c r="E2584" s="10" t="s">
        <v>1682</v>
      </c>
      <c r="F2584" t="s">
        <v>809</v>
      </c>
      <c r="G2584" s="4">
        <v>43160</v>
      </c>
      <c r="H2584" s="4"/>
      <c r="I2584" s="4"/>
      <c r="J2584" s="4">
        <f>SUM(G2584:I2584)</f>
        <v>43160</v>
      </c>
      <c r="K2584" t="s">
        <v>1659</v>
      </c>
      <c r="L2584" t="s">
        <v>1659</v>
      </c>
      <c r="M2584" t="s">
        <v>1388</v>
      </c>
      <c r="N2584" t="s">
        <v>1132</v>
      </c>
      <c r="O2584" t="s">
        <v>1132</v>
      </c>
      <c r="P2584" t="str">
        <f>IFERROR(VLOOKUP(F2584,Sheet1!$A$2:$B$54,2,FALSE),"")</f>
        <v/>
      </c>
    </row>
    <row r="2585" spans="1:16" x14ac:dyDescent="0.2">
      <c r="A2585" s="1">
        <v>2021</v>
      </c>
      <c r="B2585" t="s">
        <v>312</v>
      </c>
      <c r="C2585" s="10" t="s">
        <v>1678</v>
      </c>
      <c r="D2585" s="10" t="s">
        <v>1679</v>
      </c>
      <c r="E2585" s="10" t="s">
        <v>1682</v>
      </c>
      <c r="F2585" t="s">
        <v>809</v>
      </c>
      <c r="G2585" s="4">
        <v>45689</v>
      </c>
      <c r="H2585" s="4"/>
      <c r="I2585" s="4"/>
      <c r="J2585" s="4">
        <f>SUM(G2585:I2585)</f>
        <v>45689</v>
      </c>
      <c r="K2585" t="s">
        <v>1659</v>
      </c>
      <c r="L2585" t="s">
        <v>1659</v>
      </c>
      <c r="M2585" t="s">
        <v>809</v>
      </c>
      <c r="N2585" t="s">
        <v>1132</v>
      </c>
      <c r="O2585" t="s">
        <v>1132</v>
      </c>
      <c r="P2585" t="str">
        <f>IFERROR(VLOOKUP(F2585,Sheet1!$A$2:$B$54,2,FALSE),"")</f>
        <v/>
      </c>
    </row>
    <row r="2586" spans="1:16" x14ac:dyDescent="0.2">
      <c r="A2586" s="1">
        <v>2022</v>
      </c>
      <c r="B2586" t="s">
        <v>312</v>
      </c>
      <c r="C2586" s="10" t="s">
        <v>1678</v>
      </c>
      <c r="D2586" s="10" t="s">
        <v>1679</v>
      </c>
      <c r="E2586" s="10" t="s">
        <v>1682</v>
      </c>
      <c r="F2586" t="s">
        <v>809</v>
      </c>
      <c r="G2586" s="4">
        <v>54291</v>
      </c>
      <c r="H2586" s="4"/>
      <c r="I2586" s="4"/>
      <c r="J2586" s="4">
        <f>SUM(G2586:I2586)</f>
        <v>54291</v>
      </c>
      <c r="K2586" t="s">
        <v>1659</v>
      </c>
      <c r="L2586" t="s">
        <v>1659</v>
      </c>
      <c r="M2586" t="s">
        <v>809</v>
      </c>
      <c r="N2586" t="s">
        <v>1132</v>
      </c>
      <c r="O2586" t="s">
        <v>1132</v>
      </c>
      <c r="P2586" t="str">
        <f>IFERROR(VLOOKUP(F2586,Sheet1!$A$2:$B$54,2,FALSE),"")</f>
        <v/>
      </c>
    </row>
    <row r="2587" spans="1:16" x14ac:dyDescent="0.2">
      <c r="A2587" s="1">
        <v>2023</v>
      </c>
      <c r="B2587" t="s">
        <v>312</v>
      </c>
      <c r="C2587" s="10" t="s">
        <v>1678</v>
      </c>
      <c r="D2587" s="10" t="s">
        <v>1679</v>
      </c>
      <c r="E2587" s="10" t="s">
        <v>1682</v>
      </c>
      <c r="F2587" t="s">
        <v>809</v>
      </c>
      <c r="G2587" s="4">
        <v>69258</v>
      </c>
      <c r="H2587" s="4"/>
      <c r="I2587" s="4"/>
      <c r="J2587" s="4">
        <f>SUM(G2587:I2587)</f>
        <v>69258</v>
      </c>
      <c r="K2587" t="s">
        <v>1659</v>
      </c>
      <c r="L2587" t="s">
        <v>1659</v>
      </c>
      <c r="M2587" t="s">
        <v>809</v>
      </c>
      <c r="N2587" t="s">
        <v>1132</v>
      </c>
      <c r="O2587" t="s">
        <v>1132</v>
      </c>
      <c r="P2587" t="str">
        <f>IFERROR(VLOOKUP(F2587,Sheet1!$A$2:$B$54,2,FALSE),"")</f>
        <v/>
      </c>
    </row>
    <row r="2588" spans="1:16" x14ac:dyDescent="0.2">
      <c r="A2588" s="1">
        <v>2016</v>
      </c>
      <c r="B2588" t="s">
        <v>313</v>
      </c>
      <c r="C2588" s="10" t="s">
        <v>1678</v>
      </c>
      <c r="D2588" s="10" t="s">
        <v>1679</v>
      </c>
      <c r="E2588" s="10" t="s">
        <v>1682</v>
      </c>
      <c r="F2588" t="s">
        <v>810</v>
      </c>
      <c r="G2588" s="4">
        <v>74286</v>
      </c>
      <c r="H2588" s="4"/>
      <c r="I2588" s="4"/>
      <c r="J2588" s="4">
        <f>SUM(G2588:I2588)</f>
        <v>74286</v>
      </c>
      <c r="K2588" t="s">
        <v>1659</v>
      </c>
      <c r="L2588" t="s">
        <v>1659</v>
      </c>
      <c r="M2588" t="s">
        <v>1389</v>
      </c>
      <c r="N2588" t="s">
        <v>1132</v>
      </c>
      <c r="O2588" t="s">
        <v>1132</v>
      </c>
      <c r="P2588" t="str">
        <f>IFERROR(VLOOKUP(F2588,Sheet1!$A$2:$B$54,2,FALSE),"")</f>
        <v/>
      </c>
    </row>
    <row r="2589" spans="1:16" x14ac:dyDescent="0.2">
      <c r="A2589" s="1">
        <v>2017</v>
      </c>
      <c r="B2589" t="s">
        <v>313</v>
      </c>
      <c r="C2589" s="10" t="s">
        <v>1678</v>
      </c>
      <c r="D2589" s="10" t="s">
        <v>1679</v>
      </c>
      <c r="E2589" s="10" t="s">
        <v>1682</v>
      </c>
      <c r="F2589" t="s">
        <v>810</v>
      </c>
      <c r="G2589" s="4">
        <v>56642</v>
      </c>
      <c r="H2589" s="4"/>
      <c r="I2589" s="4"/>
      <c r="J2589" s="4">
        <f>SUM(G2589:I2589)</f>
        <v>56642</v>
      </c>
      <c r="K2589" t="s">
        <v>1659</v>
      </c>
      <c r="L2589" t="s">
        <v>1659</v>
      </c>
      <c r="M2589" t="s">
        <v>1390</v>
      </c>
      <c r="N2589" t="s">
        <v>1132</v>
      </c>
      <c r="O2589" t="s">
        <v>1132</v>
      </c>
      <c r="P2589" t="str">
        <f>IFERROR(VLOOKUP(F2589,Sheet1!$A$2:$B$54,2,FALSE),"")</f>
        <v/>
      </c>
    </row>
    <row r="2590" spans="1:16" x14ac:dyDescent="0.2">
      <c r="A2590" s="1">
        <v>2018</v>
      </c>
      <c r="B2590" t="s">
        <v>313</v>
      </c>
      <c r="C2590" s="10" t="s">
        <v>1678</v>
      </c>
      <c r="D2590" s="10" t="s">
        <v>1679</v>
      </c>
      <c r="E2590" s="10" t="s">
        <v>1682</v>
      </c>
      <c r="F2590" t="s">
        <v>810</v>
      </c>
      <c r="G2590" s="4">
        <v>62383</v>
      </c>
      <c r="H2590" s="4"/>
      <c r="I2590" s="4"/>
      <c r="J2590" s="4">
        <f>SUM(G2590:I2590)</f>
        <v>62383</v>
      </c>
      <c r="K2590" t="s">
        <v>1659</v>
      </c>
      <c r="L2590" t="s">
        <v>1659</v>
      </c>
      <c r="M2590" t="s">
        <v>1390</v>
      </c>
      <c r="N2590" t="s">
        <v>1132</v>
      </c>
      <c r="O2590" t="s">
        <v>1132</v>
      </c>
      <c r="P2590" t="str">
        <f>IFERROR(VLOOKUP(F2590,Sheet1!$A$2:$B$54,2,FALSE),"")</f>
        <v/>
      </c>
    </row>
    <row r="2591" spans="1:16" x14ac:dyDescent="0.2">
      <c r="A2591" s="1">
        <v>2019</v>
      </c>
      <c r="B2591" t="s">
        <v>313</v>
      </c>
      <c r="C2591" s="10" t="s">
        <v>1678</v>
      </c>
      <c r="D2591" s="10" t="s">
        <v>1679</v>
      </c>
      <c r="E2591" s="10" t="s">
        <v>1682</v>
      </c>
      <c r="F2591" t="s">
        <v>810</v>
      </c>
      <c r="G2591" s="4">
        <v>68055</v>
      </c>
      <c r="H2591" s="4"/>
      <c r="I2591" s="4"/>
      <c r="J2591" s="4">
        <f>SUM(G2591:I2591)</f>
        <v>68055</v>
      </c>
      <c r="K2591" t="s">
        <v>1659</v>
      </c>
      <c r="L2591" t="s">
        <v>1659</v>
      </c>
      <c r="M2591" t="s">
        <v>1391</v>
      </c>
      <c r="N2591" t="s">
        <v>1132</v>
      </c>
      <c r="O2591" t="s">
        <v>1132</v>
      </c>
      <c r="P2591" t="str">
        <f>IFERROR(VLOOKUP(F2591,Sheet1!$A$2:$B$54,2,FALSE),"")</f>
        <v/>
      </c>
    </row>
    <row r="2592" spans="1:16" x14ac:dyDescent="0.2">
      <c r="A2592" s="1">
        <v>2020</v>
      </c>
      <c r="B2592" t="s">
        <v>313</v>
      </c>
      <c r="C2592" s="10" t="s">
        <v>1678</v>
      </c>
      <c r="D2592" s="10" t="s">
        <v>1679</v>
      </c>
      <c r="E2592" s="10" t="s">
        <v>1682</v>
      </c>
      <c r="F2592" t="s">
        <v>810</v>
      </c>
      <c r="G2592" s="4">
        <v>76694</v>
      </c>
      <c r="H2592" s="4"/>
      <c r="I2592" s="4"/>
      <c r="J2592" s="4">
        <f>SUM(G2592:I2592)</f>
        <v>76694</v>
      </c>
      <c r="K2592" t="s">
        <v>1659</v>
      </c>
      <c r="L2592" t="s">
        <v>1659</v>
      </c>
      <c r="M2592" t="s">
        <v>1390</v>
      </c>
      <c r="N2592" t="s">
        <v>1132</v>
      </c>
      <c r="O2592" t="s">
        <v>1132</v>
      </c>
      <c r="P2592" t="str">
        <f>IFERROR(VLOOKUP(F2592,Sheet1!$A$2:$B$54,2,FALSE),"")</f>
        <v/>
      </c>
    </row>
    <row r="2593" spans="1:16" x14ac:dyDescent="0.2">
      <c r="A2593" s="1">
        <v>2021</v>
      </c>
      <c r="B2593" t="s">
        <v>313</v>
      </c>
      <c r="C2593" s="10" t="s">
        <v>1678</v>
      </c>
      <c r="D2593" s="10" t="s">
        <v>1679</v>
      </c>
      <c r="E2593" s="10" t="s">
        <v>1682</v>
      </c>
      <c r="F2593" t="s">
        <v>810</v>
      </c>
      <c r="G2593" s="4">
        <v>98014</v>
      </c>
      <c r="H2593" s="4"/>
      <c r="I2593" s="4"/>
      <c r="J2593" s="4">
        <f>SUM(G2593:I2593)</f>
        <v>98014</v>
      </c>
      <c r="K2593" t="s">
        <v>1659</v>
      </c>
      <c r="L2593" t="s">
        <v>1659</v>
      </c>
      <c r="M2593" t="s">
        <v>1392</v>
      </c>
      <c r="N2593" t="s">
        <v>1132</v>
      </c>
      <c r="O2593" t="s">
        <v>1132</v>
      </c>
      <c r="P2593" t="str">
        <f>IFERROR(VLOOKUP(F2593,Sheet1!$A$2:$B$54,2,FALSE),"")</f>
        <v/>
      </c>
    </row>
    <row r="2594" spans="1:16" x14ac:dyDescent="0.2">
      <c r="A2594" s="1">
        <v>2022</v>
      </c>
      <c r="B2594" t="s">
        <v>313</v>
      </c>
      <c r="C2594" s="10" t="s">
        <v>1678</v>
      </c>
      <c r="D2594" s="10" t="s">
        <v>1679</v>
      </c>
      <c r="E2594" s="10" t="s">
        <v>1682</v>
      </c>
      <c r="F2594" t="s">
        <v>810</v>
      </c>
      <c r="G2594" s="4">
        <v>134223</v>
      </c>
      <c r="H2594" s="4"/>
      <c r="I2594" s="4"/>
      <c r="J2594" s="4">
        <f>SUM(G2594:I2594)</f>
        <v>134223</v>
      </c>
      <c r="K2594" t="s">
        <v>1659</v>
      </c>
      <c r="L2594" t="s">
        <v>1659</v>
      </c>
      <c r="M2594" t="s">
        <v>810</v>
      </c>
      <c r="N2594" t="s">
        <v>1132</v>
      </c>
      <c r="O2594" t="s">
        <v>1132</v>
      </c>
      <c r="P2594" t="str">
        <f>IFERROR(VLOOKUP(F2594,Sheet1!$A$2:$B$54,2,FALSE),"")</f>
        <v/>
      </c>
    </row>
    <row r="2595" spans="1:16" x14ac:dyDescent="0.2">
      <c r="A2595" s="1">
        <v>2023</v>
      </c>
      <c r="B2595" t="s">
        <v>313</v>
      </c>
      <c r="C2595" s="10" t="s">
        <v>1678</v>
      </c>
      <c r="D2595" s="10" t="s">
        <v>1679</v>
      </c>
      <c r="E2595" s="10" t="s">
        <v>1682</v>
      </c>
      <c r="F2595" t="s">
        <v>810</v>
      </c>
      <c r="G2595" s="4">
        <v>159402</v>
      </c>
      <c r="H2595" s="4"/>
      <c r="I2595" s="4"/>
      <c r="J2595" s="4">
        <f>SUM(G2595:I2595)</f>
        <v>159402</v>
      </c>
      <c r="K2595" t="s">
        <v>1659</v>
      </c>
      <c r="L2595" t="s">
        <v>1659</v>
      </c>
      <c r="M2595" t="s">
        <v>810</v>
      </c>
      <c r="N2595" t="s">
        <v>1132</v>
      </c>
      <c r="O2595" t="s">
        <v>1132</v>
      </c>
      <c r="P2595" t="str">
        <f>IFERROR(VLOOKUP(F2595,Sheet1!$A$2:$B$54,2,FALSE),"")</f>
        <v/>
      </c>
    </row>
    <row r="2596" spans="1:16" x14ac:dyDescent="0.2">
      <c r="A2596" s="1">
        <v>2015</v>
      </c>
      <c r="B2596" t="s">
        <v>314</v>
      </c>
      <c r="C2596" s="10" t="s">
        <v>1678</v>
      </c>
      <c r="D2596" s="10" t="s">
        <v>1679</v>
      </c>
      <c r="E2596" s="10" t="s">
        <v>1682</v>
      </c>
      <c r="F2596" t="s">
        <v>811</v>
      </c>
      <c r="G2596" s="4">
        <v>18838</v>
      </c>
      <c r="H2596" s="4"/>
      <c r="I2596" s="4"/>
      <c r="J2596" s="4">
        <f>SUM(G2596:I2596)</f>
        <v>18838</v>
      </c>
      <c r="K2596" t="s">
        <v>1659</v>
      </c>
      <c r="L2596" t="s">
        <v>1659</v>
      </c>
      <c r="M2596" t="s">
        <v>1393</v>
      </c>
      <c r="N2596" t="s">
        <v>1132</v>
      </c>
      <c r="O2596" t="s">
        <v>1132</v>
      </c>
      <c r="P2596" t="str">
        <f>IFERROR(VLOOKUP(F2596,Sheet1!$A$2:$B$54,2,FALSE),"")</f>
        <v/>
      </c>
    </row>
    <row r="2597" spans="1:16" x14ac:dyDescent="0.2">
      <c r="A2597" s="1">
        <v>2016</v>
      </c>
      <c r="B2597" t="s">
        <v>314</v>
      </c>
      <c r="C2597" s="10" t="s">
        <v>1678</v>
      </c>
      <c r="D2597" s="10" t="s">
        <v>1679</v>
      </c>
      <c r="E2597" s="10" t="s">
        <v>1682</v>
      </c>
      <c r="F2597" t="s">
        <v>811</v>
      </c>
      <c r="G2597" s="4">
        <v>22076</v>
      </c>
      <c r="H2597" s="4"/>
      <c r="I2597" s="4"/>
      <c r="J2597" s="4">
        <f>SUM(G2597:I2597)</f>
        <v>22076</v>
      </c>
      <c r="K2597" t="s">
        <v>1659</v>
      </c>
      <c r="L2597" t="s">
        <v>1659</v>
      </c>
      <c r="M2597" t="s">
        <v>1393</v>
      </c>
      <c r="N2597" t="s">
        <v>1132</v>
      </c>
      <c r="O2597" t="s">
        <v>1132</v>
      </c>
      <c r="P2597" t="str">
        <f>IFERROR(VLOOKUP(F2597,Sheet1!$A$2:$B$54,2,FALSE),"")</f>
        <v/>
      </c>
    </row>
    <row r="2598" spans="1:16" x14ac:dyDescent="0.2">
      <c r="A2598" s="1">
        <v>2017</v>
      </c>
      <c r="B2598" t="s">
        <v>314</v>
      </c>
      <c r="C2598" s="10" t="s">
        <v>1678</v>
      </c>
      <c r="D2598" s="10" t="s">
        <v>1679</v>
      </c>
      <c r="E2598" s="10" t="s">
        <v>1682</v>
      </c>
      <c r="F2598" t="s">
        <v>811</v>
      </c>
      <c r="G2598" s="4">
        <v>24027</v>
      </c>
      <c r="H2598" s="4"/>
      <c r="I2598" s="4"/>
      <c r="J2598" s="4">
        <f>SUM(G2598:I2598)</f>
        <v>24027</v>
      </c>
      <c r="K2598" t="s">
        <v>1659</v>
      </c>
      <c r="L2598" t="s">
        <v>1659</v>
      </c>
      <c r="M2598" t="s">
        <v>1394</v>
      </c>
      <c r="N2598" t="s">
        <v>1132</v>
      </c>
      <c r="O2598" t="s">
        <v>1132</v>
      </c>
      <c r="P2598" t="str">
        <f>IFERROR(VLOOKUP(F2598,Sheet1!$A$2:$B$54,2,FALSE),"")</f>
        <v/>
      </c>
    </row>
    <row r="2599" spans="1:16" x14ac:dyDescent="0.2">
      <c r="A2599" s="1">
        <v>2018</v>
      </c>
      <c r="B2599" t="s">
        <v>314</v>
      </c>
      <c r="C2599" s="10" t="s">
        <v>1678</v>
      </c>
      <c r="D2599" s="10" t="s">
        <v>1679</v>
      </c>
      <c r="E2599" s="10" t="s">
        <v>1682</v>
      </c>
      <c r="F2599" t="s">
        <v>811</v>
      </c>
      <c r="G2599" s="4">
        <v>29467</v>
      </c>
      <c r="H2599" s="4"/>
      <c r="I2599" s="4"/>
      <c r="J2599" s="4">
        <f>SUM(G2599:I2599)</f>
        <v>29467</v>
      </c>
      <c r="K2599" t="s">
        <v>1659</v>
      </c>
      <c r="L2599" t="s">
        <v>1659</v>
      </c>
      <c r="M2599" t="s">
        <v>1394</v>
      </c>
      <c r="N2599" t="s">
        <v>1132</v>
      </c>
      <c r="O2599" t="s">
        <v>1132</v>
      </c>
      <c r="P2599" t="str">
        <f>IFERROR(VLOOKUP(F2599,Sheet1!$A$2:$B$54,2,FALSE),"")</f>
        <v/>
      </c>
    </row>
    <row r="2600" spans="1:16" x14ac:dyDescent="0.2">
      <c r="A2600" s="1">
        <v>2019</v>
      </c>
      <c r="B2600" t="s">
        <v>314</v>
      </c>
      <c r="C2600" s="10" t="s">
        <v>1678</v>
      </c>
      <c r="D2600" s="10" t="s">
        <v>1679</v>
      </c>
      <c r="E2600" s="10" t="s">
        <v>1682</v>
      </c>
      <c r="F2600" t="s">
        <v>811</v>
      </c>
      <c r="G2600" s="4">
        <v>39014</v>
      </c>
      <c r="H2600" s="4"/>
      <c r="I2600" s="4"/>
      <c r="J2600" s="4">
        <f>SUM(G2600:I2600)</f>
        <v>39014</v>
      </c>
      <c r="K2600" t="s">
        <v>1659</v>
      </c>
      <c r="L2600" t="s">
        <v>1659</v>
      </c>
      <c r="M2600" t="s">
        <v>1394</v>
      </c>
      <c r="N2600" t="s">
        <v>1132</v>
      </c>
      <c r="O2600" t="s">
        <v>1132</v>
      </c>
      <c r="P2600" t="str">
        <f>IFERROR(VLOOKUP(F2600,Sheet1!$A$2:$B$54,2,FALSE),"")</f>
        <v/>
      </c>
    </row>
    <row r="2601" spans="1:16" x14ac:dyDescent="0.2">
      <c r="A2601" s="1">
        <v>2020</v>
      </c>
      <c r="B2601" t="s">
        <v>314</v>
      </c>
      <c r="C2601" s="10" t="s">
        <v>1678</v>
      </c>
      <c r="D2601" s="10" t="s">
        <v>1679</v>
      </c>
      <c r="E2601" s="10" t="s">
        <v>1682</v>
      </c>
      <c r="F2601" t="s">
        <v>811</v>
      </c>
      <c r="G2601" s="4">
        <v>43555</v>
      </c>
      <c r="H2601" s="4"/>
      <c r="I2601" s="4"/>
      <c r="J2601" s="4">
        <f>SUM(G2601:I2601)</f>
        <v>43555</v>
      </c>
      <c r="K2601" t="s">
        <v>1659</v>
      </c>
      <c r="L2601" t="s">
        <v>1659</v>
      </c>
      <c r="M2601" t="s">
        <v>1394</v>
      </c>
      <c r="N2601" t="s">
        <v>1132</v>
      </c>
      <c r="O2601" t="s">
        <v>1132</v>
      </c>
      <c r="P2601" t="str">
        <f>IFERROR(VLOOKUP(F2601,Sheet1!$A$2:$B$54,2,FALSE),"")</f>
        <v/>
      </c>
    </row>
    <row r="2602" spans="1:16" x14ac:dyDescent="0.2">
      <c r="A2602" s="1">
        <v>2021</v>
      </c>
      <c r="B2602" t="s">
        <v>314</v>
      </c>
      <c r="C2602" s="10" t="s">
        <v>1678</v>
      </c>
      <c r="D2602" s="10" t="s">
        <v>1679</v>
      </c>
      <c r="E2602" s="10" t="s">
        <v>1682</v>
      </c>
      <c r="F2602" t="s">
        <v>811</v>
      </c>
      <c r="G2602" s="4">
        <v>49190</v>
      </c>
      <c r="H2602" s="4"/>
      <c r="I2602" s="4"/>
      <c r="J2602" s="4">
        <f>SUM(G2602:I2602)</f>
        <v>49190</v>
      </c>
      <c r="K2602" t="s">
        <v>1659</v>
      </c>
      <c r="L2602" t="s">
        <v>1659</v>
      </c>
      <c r="M2602" t="s">
        <v>811</v>
      </c>
      <c r="N2602" t="s">
        <v>1132</v>
      </c>
      <c r="O2602" t="s">
        <v>1132</v>
      </c>
      <c r="P2602" t="str">
        <f>IFERROR(VLOOKUP(F2602,Sheet1!$A$2:$B$54,2,FALSE),"")</f>
        <v/>
      </c>
    </row>
    <row r="2603" spans="1:16" x14ac:dyDescent="0.2">
      <c r="A2603" s="1">
        <v>2022</v>
      </c>
      <c r="B2603" t="s">
        <v>314</v>
      </c>
      <c r="C2603" s="10" t="s">
        <v>1678</v>
      </c>
      <c r="D2603" s="10" t="s">
        <v>1679</v>
      </c>
      <c r="E2603" s="10" t="s">
        <v>1682</v>
      </c>
      <c r="F2603" t="s">
        <v>811</v>
      </c>
      <c r="G2603" s="4">
        <v>75576</v>
      </c>
      <c r="H2603" s="4"/>
      <c r="I2603" s="4"/>
      <c r="J2603" s="4">
        <f>SUM(G2603:I2603)</f>
        <v>75576</v>
      </c>
      <c r="K2603" t="s">
        <v>1659</v>
      </c>
      <c r="L2603" t="s">
        <v>1659</v>
      </c>
      <c r="M2603" t="s">
        <v>811</v>
      </c>
      <c r="N2603" t="s">
        <v>1132</v>
      </c>
      <c r="O2603" t="s">
        <v>1132</v>
      </c>
      <c r="P2603" t="str">
        <f>IFERROR(VLOOKUP(F2603,Sheet1!$A$2:$B$54,2,FALSE),"")</f>
        <v/>
      </c>
    </row>
    <row r="2604" spans="1:16" x14ac:dyDescent="0.2">
      <c r="A2604" s="1">
        <v>2023</v>
      </c>
      <c r="B2604" t="s">
        <v>314</v>
      </c>
      <c r="C2604" s="10" t="s">
        <v>1678</v>
      </c>
      <c r="D2604" s="10" t="s">
        <v>1679</v>
      </c>
      <c r="E2604" s="10" t="s">
        <v>1682</v>
      </c>
      <c r="F2604" t="s">
        <v>811</v>
      </c>
      <c r="G2604" s="4">
        <v>99702</v>
      </c>
      <c r="H2604" s="4"/>
      <c r="I2604" s="4"/>
      <c r="J2604" s="4">
        <f>SUM(G2604:I2604)</f>
        <v>99702</v>
      </c>
      <c r="K2604" t="s">
        <v>1659</v>
      </c>
      <c r="L2604" t="s">
        <v>1659</v>
      </c>
      <c r="M2604" t="s">
        <v>811</v>
      </c>
      <c r="N2604" t="s">
        <v>1132</v>
      </c>
      <c r="O2604" t="s">
        <v>1132</v>
      </c>
      <c r="P2604" t="str">
        <f>IFERROR(VLOOKUP(F2604,Sheet1!$A$2:$B$54,2,FALSE),"")</f>
        <v/>
      </c>
    </row>
    <row r="2605" spans="1:16" x14ac:dyDescent="0.2">
      <c r="A2605" s="1">
        <v>2018</v>
      </c>
      <c r="B2605" t="s">
        <v>315</v>
      </c>
      <c r="C2605" s="10" t="s">
        <v>1678</v>
      </c>
      <c r="D2605" s="10" t="s">
        <v>1679</v>
      </c>
      <c r="E2605" s="10" t="s">
        <v>1682</v>
      </c>
      <c r="F2605" t="s">
        <v>812</v>
      </c>
      <c r="G2605" s="4">
        <v>2386</v>
      </c>
      <c r="H2605" s="4"/>
      <c r="I2605" s="4"/>
      <c r="J2605" s="4">
        <f>SUM(G2605:I2605)</f>
        <v>2386</v>
      </c>
      <c r="K2605" t="s">
        <v>1659</v>
      </c>
      <c r="L2605" t="s">
        <v>1659</v>
      </c>
      <c r="M2605" t="s">
        <v>1395</v>
      </c>
      <c r="N2605" t="s">
        <v>1132</v>
      </c>
      <c r="O2605" t="s">
        <v>1132</v>
      </c>
      <c r="P2605" t="str">
        <f>IFERROR(VLOOKUP(F2605,Sheet1!$A$2:$B$54,2,FALSE),"")</f>
        <v/>
      </c>
    </row>
    <row r="2606" spans="1:16" x14ac:dyDescent="0.2">
      <c r="A2606" s="1">
        <v>2019</v>
      </c>
      <c r="B2606" t="s">
        <v>315</v>
      </c>
      <c r="C2606" s="10" t="s">
        <v>1678</v>
      </c>
      <c r="D2606" s="10" t="s">
        <v>1679</v>
      </c>
      <c r="E2606" s="10" t="s">
        <v>1682</v>
      </c>
      <c r="F2606" t="s">
        <v>812</v>
      </c>
      <c r="G2606" s="4">
        <v>3737</v>
      </c>
      <c r="H2606" s="4"/>
      <c r="I2606" s="4"/>
      <c r="J2606" s="4">
        <f>SUM(G2606:I2606)</f>
        <v>3737</v>
      </c>
      <c r="K2606" t="s">
        <v>1659</v>
      </c>
      <c r="L2606" t="s">
        <v>1659</v>
      </c>
      <c r="M2606" t="s">
        <v>1395</v>
      </c>
      <c r="N2606" t="s">
        <v>1132</v>
      </c>
      <c r="O2606" t="s">
        <v>1132</v>
      </c>
      <c r="P2606" t="str">
        <f>IFERROR(VLOOKUP(F2606,Sheet1!$A$2:$B$54,2,FALSE),"")</f>
        <v/>
      </c>
    </row>
    <row r="2607" spans="1:16" x14ac:dyDescent="0.2">
      <c r="A2607" s="1">
        <v>2020</v>
      </c>
      <c r="B2607" t="s">
        <v>315</v>
      </c>
      <c r="C2607" s="10" t="s">
        <v>1678</v>
      </c>
      <c r="D2607" s="10" t="s">
        <v>1679</v>
      </c>
      <c r="E2607" s="10" t="s">
        <v>1682</v>
      </c>
      <c r="F2607" t="s">
        <v>812</v>
      </c>
      <c r="G2607" s="4">
        <v>3963</v>
      </c>
      <c r="H2607" s="4"/>
      <c r="I2607" s="4"/>
      <c r="J2607" s="4">
        <f>SUM(G2607:I2607)</f>
        <v>3963</v>
      </c>
      <c r="K2607" t="s">
        <v>1659</v>
      </c>
      <c r="L2607" t="s">
        <v>1659</v>
      </c>
      <c r="M2607" t="s">
        <v>1395</v>
      </c>
      <c r="N2607" t="s">
        <v>1132</v>
      </c>
      <c r="O2607" t="s">
        <v>1132</v>
      </c>
      <c r="P2607" t="str">
        <f>IFERROR(VLOOKUP(F2607,Sheet1!$A$2:$B$54,2,FALSE),"")</f>
        <v/>
      </c>
    </row>
    <row r="2608" spans="1:16" x14ac:dyDescent="0.2">
      <c r="A2608" s="1">
        <v>2021</v>
      </c>
      <c r="B2608" t="s">
        <v>315</v>
      </c>
      <c r="C2608" s="10" t="s">
        <v>1678</v>
      </c>
      <c r="D2608" s="10" t="s">
        <v>1679</v>
      </c>
      <c r="E2608" s="10" t="s">
        <v>1682</v>
      </c>
      <c r="F2608" t="s">
        <v>812</v>
      </c>
      <c r="G2608" s="4">
        <v>4333</v>
      </c>
      <c r="H2608" s="4"/>
      <c r="I2608" s="4"/>
      <c r="J2608" s="4">
        <f>SUM(G2608:I2608)</f>
        <v>4333</v>
      </c>
      <c r="K2608" t="s">
        <v>1659</v>
      </c>
      <c r="L2608" t="s">
        <v>1659</v>
      </c>
      <c r="M2608" t="s">
        <v>812</v>
      </c>
      <c r="N2608" t="s">
        <v>1132</v>
      </c>
      <c r="O2608" t="s">
        <v>1132</v>
      </c>
      <c r="P2608" t="str">
        <f>IFERROR(VLOOKUP(F2608,Sheet1!$A$2:$B$54,2,FALSE),"")</f>
        <v/>
      </c>
    </row>
    <row r="2609" spans="1:16" x14ac:dyDescent="0.2">
      <c r="A2609" s="1">
        <v>2022</v>
      </c>
      <c r="B2609" t="s">
        <v>315</v>
      </c>
      <c r="C2609" s="10" t="s">
        <v>1678</v>
      </c>
      <c r="D2609" s="10" t="s">
        <v>1679</v>
      </c>
      <c r="E2609" s="10" t="s">
        <v>1682</v>
      </c>
      <c r="F2609" t="s">
        <v>812</v>
      </c>
      <c r="G2609" s="4">
        <v>5047</v>
      </c>
      <c r="H2609" s="4"/>
      <c r="I2609" s="4"/>
      <c r="J2609" s="4">
        <f>SUM(G2609:I2609)</f>
        <v>5047</v>
      </c>
      <c r="K2609" t="s">
        <v>1659</v>
      </c>
      <c r="L2609" t="s">
        <v>1659</v>
      </c>
      <c r="M2609" t="s">
        <v>812</v>
      </c>
      <c r="N2609" t="s">
        <v>1132</v>
      </c>
      <c r="O2609" t="s">
        <v>1132</v>
      </c>
      <c r="P2609" t="str">
        <f>IFERROR(VLOOKUP(F2609,Sheet1!$A$2:$B$54,2,FALSE),"")</f>
        <v/>
      </c>
    </row>
    <row r="2610" spans="1:16" x14ac:dyDescent="0.2">
      <c r="A2610" s="1">
        <v>2023</v>
      </c>
      <c r="B2610" t="s">
        <v>315</v>
      </c>
      <c r="C2610" s="10" t="s">
        <v>1678</v>
      </c>
      <c r="D2610" s="10" t="s">
        <v>1679</v>
      </c>
      <c r="E2610" s="10" t="s">
        <v>1682</v>
      </c>
      <c r="F2610" t="s">
        <v>812</v>
      </c>
      <c r="G2610" s="4">
        <v>5585</v>
      </c>
      <c r="H2610" s="4"/>
      <c r="I2610" s="4"/>
      <c r="J2610" s="4">
        <f>SUM(G2610:I2610)</f>
        <v>5585</v>
      </c>
      <c r="K2610" t="s">
        <v>1659</v>
      </c>
      <c r="L2610" t="s">
        <v>1659</v>
      </c>
      <c r="M2610" t="s">
        <v>812</v>
      </c>
      <c r="N2610" t="s">
        <v>1132</v>
      </c>
      <c r="O2610" t="s">
        <v>1132</v>
      </c>
      <c r="P2610" t="str">
        <f>IFERROR(VLOOKUP(F2610,Sheet1!$A$2:$B$54,2,FALSE),"")</f>
        <v/>
      </c>
    </row>
    <row r="2611" spans="1:16" x14ac:dyDescent="0.2">
      <c r="A2611" s="1">
        <v>2015</v>
      </c>
      <c r="B2611" t="s">
        <v>316</v>
      </c>
      <c r="C2611" s="10" t="s">
        <v>1678</v>
      </c>
      <c r="D2611" s="10" t="s">
        <v>1679</v>
      </c>
      <c r="E2611" s="10" t="s">
        <v>1682</v>
      </c>
      <c r="F2611" t="s">
        <v>813</v>
      </c>
      <c r="G2611" s="4">
        <v>7344</v>
      </c>
      <c r="H2611" s="4"/>
      <c r="I2611" s="4"/>
      <c r="J2611" s="4">
        <f>SUM(G2611:I2611)</f>
        <v>7344</v>
      </c>
      <c r="K2611" t="s">
        <v>1659</v>
      </c>
      <c r="L2611" t="s">
        <v>1659</v>
      </c>
      <c r="M2611" t="s">
        <v>1396</v>
      </c>
      <c r="N2611" t="s">
        <v>1132</v>
      </c>
      <c r="O2611" t="s">
        <v>1132</v>
      </c>
      <c r="P2611" t="str">
        <f>IFERROR(VLOOKUP(F2611,Sheet1!$A$2:$B$54,2,FALSE),"")</f>
        <v/>
      </c>
    </row>
    <row r="2612" spans="1:16" x14ac:dyDescent="0.2">
      <c r="A2612" s="1">
        <v>2016</v>
      </c>
      <c r="B2612" t="s">
        <v>316</v>
      </c>
      <c r="C2612" s="10" t="s">
        <v>1678</v>
      </c>
      <c r="D2612" s="10" t="s">
        <v>1679</v>
      </c>
      <c r="E2612" s="10" t="s">
        <v>1682</v>
      </c>
      <c r="F2612" t="s">
        <v>813</v>
      </c>
      <c r="G2612" s="4">
        <v>7980</v>
      </c>
      <c r="H2612" s="4"/>
      <c r="I2612" s="4"/>
      <c r="J2612" s="4">
        <f>SUM(G2612:I2612)</f>
        <v>7980</v>
      </c>
      <c r="K2612" t="s">
        <v>1659</v>
      </c>
      <c r="L2612" t="s">
        <v>1659</v>
      </c>
      <c r="M2612" t="s">
        <v>1396</v>
      </c>
      <c r="N2612" t="s">
        <v>1132</v>
      </c>
      <c r="O2612" t="s">
        <v>1132</v>
      </c>
      <c r="P2612" t="str">
        <f>IFERROR(VLOOKUP(F2612,Sheet1!$A$2:$B$54,2,FALSE),"")</f>
        <v/>
      </c>
    </row>
    <row r="2613" spans="1:16" x14ac:dyDescent="0.2">
      <c r="A2613" s="1">
        <v>2017</v>
      </c>
      <c r="B2613" t="s">
        <v>316</v>
      </c>
      <c r="C2613" s="10" t="s">
        <v>1678</v>
      </c>
      <c r="D2613" s="10" t="s">
        <v>1679</v>
      </c>
      <c r="E2613" s="10" t="s">
        <v>1682</v>
      </c>
      <c r="F2613" t="s">
        <v>813</v>
      </c>
      <c r="G2613" s="4">
        <v>8976</v>
      </c>
      <c r="H2613" s="4"/>
      <c r="I2613" s="4"/>
      <c r="J2613" s="4">
        <f>SUM(G2613:I2613)</f>
        <v>8976</v>
      </c>
      <c r="K2613" t="s">
        <v>1659</v>
      </c>
      <c r="L2613" t="s">
        <v>1659</v>
      </c>
      <c r="M2613" t="s">
        <v>1396</v>
      </c>
      <c r="N2613" t="s">
        <v>1132</v>
      </c>
      <c r="O2613" t="s">
        <v>1132</v>
      </c>
      <c r="P2613" t="str">
        <f>IFERROR(VLOOKUP(F2613,Sheet1!$A$2:$B$54,2,FALSE),"")</f>
        <v/>
      </c>
    </row>
    <row r="2614" spans="1:16" x14ac:dyDescent="0.2">
      <c r="A2614" s="1">
        <v>2018</v>
      </c>
      <c r="B2614" t="s">
        <v>316</v>
      </c>
      <c r="C2614" s="10" t="s">
        <v>1678</v>
      </c>
      <c r="D2614" s="10" t="s">
        <v>1679</v>
      </c>
      <c r="E2614" s="10" t="s">
        <v>1682</v>
      </c>
      <c r="F2614" t="s">
        <v>813</v>
      </c>
      <c r="G2614" s="4">
        <v>18274</v>
      </c>
      <c r="H2614" s="4"/>
      <c r="I2614" s="4"/>
      <c r="J2614" s="4">
        <f>SUM(G2614:I2614)</f>
        <v>18274</v>
      </c>
      <c r="K2614" t="s">
        <v>1659</v>
      </c>
      <c r="L2614" t="s">
        <v>1659</v>
      </c>
      <c r="M2614" t="s">
        <v>1396</v>
      </c>
      <c r="N2614" t="s">
        <v>1132</v>
      </c>
      <c r="O2614" t="s">
        <v>1132</v>
      </c>
      <c r="P2614" t="str">
        <f>IFERROR(VLOOKUP(F2614,Sheet1!$A$2:$B$54,2,FALSE),"")</f>
        <v/>
      </c>
    </row>
    <row r="2615" spans="1:16" x14ac:dyDescent="0.2">
      <c r="A2615" s="1">
        <v>2019</v>
      </c>
      <c r="B2615" t="s">
        <v>316</v>
      </c>
      <c r="C2615" s="10" t="s">
        <v>1678</v>
      </c>
      <c r="D2615" s="10" t="s">
        <v>1679</v>
      </c>
      <c r="E2615" s="10" t="s">
        <v>1682</v>
      </c>
      <c r="F2615" t="s">
        <v>813</v>
      </c>
      <c r="G2615" s="4">
        <v>26065</v>
      </c>
      <c r="H2615" s="4"/>
      <c r="I2615" s="4"/>
      <c r="J2615" s="4">
        <f>SUM(G2615:I2615)</f>
        <v>26065</v>
      </c>
      <c r="K2615" t="s">
        <v>1659</v>
      </c>
      <c r="L2615" t="s">
        <v>1659</v>
      </c>
      <c r="M2615" t="s">
        <v>1396</v>
      </c>
      <c r="N2615" t="s">
        <v>1132</v>
      </c>
      <c r="O2615" t="s">
        <v>1132</v>
      </c>
      <c r="P2615" t="str">
        <f>IFERROR(VLOOKUP(F2615,Sheet1!$A$2:$B$54,2,FALSE),"")</f>
        <v/>
      </c>
    </row>
    <row r="2616" spans="1:16" x14ac:dyDescent="0.2">
      <c r="A2616" s="1">
        <v>2020</v>
      </c>
      <c r="B2616" t="s">
        <v>316</v>
      </c>
      <c r="C2616" s="10" t="s">
        <v>1678</v>
      </c>
      <c r="D2616" s="10" t="s">
        <v>1679</v>
      </c>
      <c r="E2616" s="10" t="s">
        <v>1682</v>
      </c>
      <c r="F2616" t="s">
        <v>813</v>
      </c>
      <c r="G2616" s="4">
        <v>32233</v>
      </c>
      <c r="H2616" s="4"/>
      <c r="I2616" s="4"/>
      <c r="J2616" s="4">
        <f>SUM(G2616:I2616)</f>
        <v>32233</v>
      </c>
      <c r="K2616" t="s">
        <v>1659</v>
      </c>
      <c r="L2616" t="s">
        <v>1659</v>
      </c>
      <c r="M2616" t="s">
        <v>1396</v>
      </c>
      <c r="N2616" t="s">
        <v>1132</v>
      </c>
      <c r="O2616" t="s">
        <v>1132</v>
      </c>
      <c r="P2616" t="str">
        <f>IFERROR(VLOOKUP(F2616,Sheet1!$A$2:$B$54,2,FALSE),"")</f>
        <v/>
      </c>
    </row>
    <row r="2617" spans="1:16" x14ac:dyDescent="0.2">
      <c r="A2617" s="1">
        <v>2021</v>
      </c>
      <c r="B2617" t="s">
        <v>316</v>
      </c>
      <c r="C2617" s="10" t="s">
        <v>1678</v>
      </c>
      <c r="D2617" s="10" t="s">
        <v>1679</v>
      </c>
      <c r="E2617" s="10" t="s">
        <v>1682</v>
      </c>
      <c r="F2617" t="s">
        <v>813</v>
      </c>
      <c r="G2617" s="4">
        <v>37321</v>
      </c>
      <c r="H2617" s="4"/>
      <c r="I2617" s="4"/>
      <c r="J2617" s="4">
        <f>SUM(G2617:I2617)</f>
        <v>37321</v>
      </c>
      <c r="K2617" t="s">
        <v>1659</v>
      </c>
      <c r="L2617" t="s">
        <v>1659</v>
      </c>
      <c r="M2617" t="s">
        <v>813</v>
      </c>
      <c r="N2617" t="s">
        <v>1132</v>
      </c>
      <c r="O2617" t="s">
        <v>1132</v>
      </c>
      <c r="P2617" t="str">
        <f>IFERROR(VLOOKUP(F2617,Sheet1!$A$2:$B$54,2,FALSE),"")</f>
        <v/>
      </c>
    </row>
    <row r="2618" spans="1:16" x14ac:dyDescent="0.2">
      <c r="A2618" s="1">
        <v>2022</v>
      </c>
      <c r="B2618" t="s">
        <v>316</v>
      </c>
      <c r="C2618" s="10" t="s">
        <v>1678</v>
      </c>
      <c r="D2618" s="10" t="s">
        <v>1679</v>
      </c>
      <c r="E2618" s="10" t="s">
        <v>1682</v>
      </c>
      <c r="F2618" t="s">
        <v>813</v>
      </c>
      <c r="G2618" s="4">
        <v>53367</v>
      </c>
      <c r="H2618" s="4"/>
      <c r="I2618" s="4"/>
      <c r="J2618" s="4">
        <f>SUM(G2618:I2618)</f>
        <v>53367</v>
      </c>
      <c r="K2618" t="s">
        <v>1659</v>
      </c>
      <c r="L2618" t="s">
        <v>1659</v>
      </c>
      <c r="M2618" t="s">
        <v>813</v>
      </c>
      <c r="N2618" t="s">
        <v>1132</v>
      </c>
      <c r="O2618" t="s">
        <v>1132</v>
      </c>
      <c r="P2618" t="str">
        <f>IFERROR(VLOOKUP(F2618,Sheet1!$A$2:$B$54,2,FALSE),"")</f>
        <v/>
      </c>
    </row>
    <row r="2619" spans="1:16" x14ac:dyDescent="0.2">
      <c r="A2619" s="1">
        <v>2023</v>
      </c>
      <c r="B2619" t="s">
        <v>316</v>
      </c>
      <c r="C2619" s="10" t="s">
        <v>1678</v>
      </c>
      <c r="D2619" s="10" t="s">
        <v>1679</v>
      </c>
      <c r="E2619" s="10" t="s">
        <v>1682</v>
      </c>
      <c r="F2619" t="s">
        <v>813</v>
      </c>
      <c r="G2619" s="4">
        <v>53042</v>
      </c>
      <c r="H2619" s="4"/>
      <c r="I2619" s="4"/>
      <c r="J2619" s="4">
        <f>SUM(G2619:I2619)</f>
        <v>53042</v>
      </c>
      <c r="K2619" t="s">
        <v>1659</v>
      </c>
      <c r="L2619" t="s">
        <v>1659</v>
      </c>
      <c r="M2619" t="s">
        <v>813</v>
      </c>
      <c r="N2619" t="s">
        <v>1132</v>
      </c>
      <c r="O2619" t="s">
        <v>1132</v>
      </c>
      <c r="P2619" t="str">
        <f>IFERROR(VLOOKUP(F2619,Sheet1!$A$2:$B$54,2,FALSE),"")</f>
        <v/>
      </c>
    </row>
    <row r="2620" spans="1:16" x14ac:dyDescent="0.2">
      <c r="A2620" s="1">
        <v>2015</v>
      </c>
      <c r="B2620" t="s">
        <v>317</v>
      </c>
      <c r="C2620" s="10" t="s">
        <v>1678</v>
      </c>
      <c r="D2620" s="10" t="s">
        <v>1679</v>
      </c>
      <c r="E2620" s="10" t="s">
        <v>1682</v>
      </c>
      <c r="F2620" t="s">
        <v>814</v>
      </c>
      <c r="G2620" s="4">
        <v>4718</v>
      </c>
      <c r="H2620" s="4"/>
      <c r="I2620" s="4"/>
      <c r="J2620" s="4">
        <f>SUM(G2620:I2620)</f>
        <v>4718</v>
      </c>
      <c r="K2620" t="s">
        <v>1659</v>
      </c>
      <c r="L2620" t="s">
        <v>1659</v>
      </c>
      <c r="M2620" t="s">
        <v>1397</v>
      </c>
      <c r="N2620" t="s">
        <v>1132</v>
      </c>
      <c r="O2620" t="s">
        <v>1132</v>
      </c>
      <c r="P2620" t="str">
        <f>IFERROR(VLOOKUP(F2620,Sheet1!$A$2:$B$54,2,FALSE),"")</f>
        <v/>
      </c>
    </row>
    <row r="2621" spans="1:16" x14ac:dyDescent="0.2">
      <c r="A2621" s="1">
        <v>2016</v>
      </c>
      <c r="B2621" t="s">
        <v>317</v>
      </c>
      <c r="C2621" s="10" t="s">
        <v>1678</v>
      </c>
      <c r="D2621" s="10" t="s">
        <v>1679</v>
      </c>
      <c r="E2621" s="10" t="s">
        <v>1682</v>
      </c>
      <c r="F2621" t="s">
        <v>814</v>
      </c>
      <c r="G2621" s="4">
        <v>7342</v>
      </c>
      <c r="H2621" s="4"/>
      <c r="I2621" s="4"/>
      <c r="J2621" s="4">
        <f>SUM(G2621:I2621)</f>
        <v>7342</v>
      </c>
      <c r="K2621" t="s">
        <v>1659</v>
      </c>
      <c r="L2621" t="s">
        <v>1659</v>
      </c>
      <c r="M2621" t="s">
        <v>1398</v>
      </c>
      <c r="N2621" t="s">
        <v>1132</v>
      </c>
      <c r="O2621" t="s">
        <v>1132</v>
      </c>
      <c r="P2621" t="str">
        <f>IFERROR(VLOOKUP(F2621,Sheet1!$A$2:$B$54,2,FALSE),"")</f>
        <v/>
      </c>
    </row>
    <row r="2622" spans="1:16" x14ac:dyDescent="0.2">
      <c r="A2622" s="1">
        <v>2017</v>
      </c>
      <c r="B2622" t="s">
        <v>317</v>
      </c>
      <c r="C2622" s="10" t="s">
        <v>1678</v>
      </c>
      <c r="D2622" s="10" t="s">
        <v>1679</v>
      </c>
      <c r="E2622" s="10" t="s">
        <v>1682</v>
      </c>
      <c r="F2622" t="s">
        <v>814</v>
      </c>
      <c r="G2622" s="4">
        <v>7801</v>
      </c>
      <c r="H2622" s="4"/>
      <c r="I2622" s="4"/>
      <c r="J2622" s="4">
        <f>SUM(G2622:I2622)</f>
        <v>7801</v>
      </c>
      <c r="K2622" t="s">
        <v>1659</v>
      </c>
      <c r="L2622" t="s">
        <v>1659</v>
      </c>
      <c r="M2622" t="s">
        <v>1399</v>
      </c>
      <c r="N2622" t="s">
        <v>1132</v>
      </c>
      <c r="O2622" t="s">
        <v>1132</v>
      </c>
      <c r="P2622" t="str">
        <f>IFERROR(VLOOKUP(F2622,Sheet1!$A$2:$B$54,2,FALSE),"")</f>
        <v/>
      </c>
    </row>
    <row r="2623" spans="1:16" x14ac:dyDescent="0.2">
      <c r="A2623" s="1">
        <v>2018</v>
      </c>
      <c r="B2623" t="s">
        <v>317</v>
      </c>
      <c r="C2623" s="10" t="s">
        <v>1678</v>
      </c>
      <c r="D2623" s="10" t="s">
        <v>1679</v>
      </c>
      <c r="E2623" s="10" t="s">
        <v>1682</v>
      </c>
      <c r="F2623" t="s">
        <v>814</v>
      </c>
      <c r="G2623" s="4">
        <v>12269</v>
      </c>
      <c r="H2623" s="4"/>
      <c r="I2623" s="4"/>
      <c r="J2623" s="4">
        <f>SUM(G2623:I2623)</f>
        <v>12269</v>
      </c>
      <c r="K2623" t="s">
        <v>1659</v>
      </c>
      <c r="L2623" t="s">
        <v>1659</v>
      </c>
      <c r="M2623" t="s">
        <v>1399</v>
      </c>
      <c r="N2623" t="s">
        <v>1132</v>
      </c>
      <c r="O2623" t="s">
        <v>1132</v>
      </c>
      <c r="P2623" t="str">
        <f>IFERROR(VLOOKUP(F2623,Sheet1!$A$2:$B$54,2,FALSE),"")</f>
        <v/>
      </c>
    </row>
    <row r="2624" spans="1:16" x14ac:dyDescent="0.2">
      <c r="A2624" s="1">
        <v>2019</v>
      </c>
      <c r="B2624" t="s">
        <v>317</v>
      </c>
      <c r="C2624" s="10" t="s">
        <v>1678</v>
      </c>
      <c r="D2624" s="10" t="s">
        <v>1679</v>
      </c>
      <c r="E2624" s="10" t="s">
        <v>1682</v>
      </c>
      <c r="F2624" t="s">
        <v>814</v>
      </c>
      <c r="G2624" s="4">
        <v>9290</v>
      </c>
      <c r="H2624" s="4"/>
      <c r="I2624" s="4"/>
      <c r="J2624" s="4">
        <f>SUM(G2624:I2624)</f>
        <v>9290</v>
      </c>
      <c r="K2624" t="s">
        <v>1659</v>
      </c>
      <c r="L2624" t="s">
        <v>1659</v>
      </c>
      <c r="M2624" t="s">
        <v>1400</v>
      </c>
      <c r="N2624" t="s">
        <v>1132</v>
      </c>
      <c r="O2624" t="s">
        <v>1132</v>
      </c>
      <c r="P2624" t="str">
        <f>IFERROR(VLOOKUP(F2624,Sheet1!$A$2:$B$54,2,FALSE),"")</f>
        <v/>
      </c>
    </row>
    <row r="2625" spans="1:16" x14ac:dyDescent="0.2">
      <c r="A2625" s="1">
        <v>2020</v>
      </c>
      <c r="B2625" t="s">
        <v>317</v>
      </c>
      <c r="C2625" s="10" t="s">
        <v>1678</v>
      </c>
      <c r="D2625" s="10" t="s">
        <v>1679</v>
      </c>
      <c r="E2625" s="10" t="s">
        <v>1682</v>
      </c>
      <c r="F2625" t="s">
        <v>814</v>
      </c>
      <c r="G2625" s="4">
        <v>9991</v>
      </c>
      <c r="H2625" s="4"/>
      <c r="I2625" s="4"/>
      <c r="J2625" s="4">
        <f>SUM(G2625:I2625)</f>
        <v>9991</v>
      </c>
      <c r="K2625" t="s">
        <v>1659</v>
      </c>
      <c r="L2625" t="s">
        <v>1659</v>
      </c>
      <c r="M2625" t="s">
        <v>1400</v>
      </c>
      <c r="N2625" t="s">
        <v>1132</v>
      </c>
      <c r="O2625" t="s">
        <v>1132</v>
      </c>
      <c r="P2625" t="str">
        <f>IFERROR(VLOOKUP(F2625,Sheet1!$A$2:$B$54,2,FALSE),"")</f>
        <v/>
      </c>
    </row>
    <row r="2626" spans="1:16" x14ac:dyDescent="0.2">
      <c r="A2626" s="1">
        <v>2021</v>
      </c>
      <c r="B2626" t="s">
        <v>317</v>
      </c>
      <c r="C2626" s="10" t="s">
        <v>1678</v>
      </c>
      <c r="D2626" s="10" t="s">
        <v>1679</v>
      </c>
      <c r="E2626" s="10" t="s">
        <v>1682</v>
      </c>
      <c r="F2626" t="s">
        <v>814</v>
      </c>
      <c r="G2626" s="4">
        <v>10538</v>
      </c>
      <c r="H2626" s="4"/>
      <c r="I2626" s="4"/>
      <c r="J2626" s="4">
        <f>SUM(G2626:I2626)</f>
        <v>10538</v>
      </c>
      <c r="K2626" t="s">
        <v>1659</v>
      </c>
      <c r="L2626" t="s">
        <v>1659</v>
      </c>
      <c r="M2626" t="s">
        <v>814</v>
      </c>
      <c r="N2626" t="s">
        <v>1132</v>
      </c>
      <c r="O2626" t="s">
        <v>1132</v>
      </c>
      <c r="P2626" t="str">
        <f>IFERROR(VLOOKUP(F2626,Sheet1!$A$2:$B$54,2,FALSE),"")</f>
        <v/>
      </c>
    </row>
    <row r="2627" spans="1:16" x14ac:dyDescent="0.2">
      <c r="A2627" s="1">
        <v>2022</v>
      </c>
      <c r="B2627" t="s">
        <v>317</v>
      </c>
      <c r="C2627" s="10" t="s">
        <v>1678</v>
      </c>
      <c r="D2627" s="10" t="s">
        <v>1679</v>
      </c>
      <c r="E2627" s="10" t="s">
        <v>1682</v>
      </c>
      <c r="F2627" t="s">
        <v>814</v>
      </c>
      <c r="G2627" s="4">
        <v>11208</v>
      </c>
      <c r="H2627" s="4"/>
      <c r="I2627" s="4"/>
      <c r="J2627" s="4">
        <f>SUM(G2627:I2627)</f>
        <v>11208</v>
      </c>
      <c r="K2627" t="s">
        <v>1659</v>
      </c>
      <c r="L2627" t="s">
        <v>1659</v>
      </c>
      <c r="M2627" t="s">
        <v>814</v>
      </c>
      <c r="N2627" t="s">
        <v>1132</v>
      </c>
      <c r="O2627" t="s">
        <v>1132</v>
      </c>
      <c r="P2627" t="str">
        <f>IFERROR(VLOOKUP(F2627,Sheet1!$A$2:$B$54,2,FALSE),"")</f>
        <v/>
      </c>
    </row>
    <row r="2628" spans="1:16" x14ac:dyDescent="0.2">
      <c r="A2628" s="1">
        <v>2023</v>
      </c>
      <c r="B2628" t="s">
        <v>317</v>
      </c>
      <c r="C2628" s="10" t="s">
        <v>1678</v>
      </c>
      <c r="D2628" s="10" t="s">
        <v>1679</v>
      </c>
      <c r="E2628" s="10" t="s">
        <v>1682</v>
      </c>
      <c r="F2628" t="s">
        <v>814</v>
      </c>
      <c r="G2628" s="4">
        <v>12601</v>
      </c>
      <c r="H2628" s="4"/>
      <c r="I2628" s="4"/>
      <c r="J2628" s="4">
        <f>SUM(G2628:I2628)</f>
        <v>12601</v>
      </c>
      <c r="K2628" t="s">
        <v>1659</v>
      </c>
      <c r="L2628" t="s">
        <v>1659</v>
      </c>
      <c r="M2628" t="s">
        <v>814</v>
      </c>
      <c r="N2628" t="s">
        <v>1132</v>
      </c>
      <c r="O2628" t="s">
        <v>1132</v>
      </c>
      <c r="P2628" t="str">
        <f>IFERROR(VLOOKUP(F2628,Sheet1!$A$2:$B$54,2,FALSE),"")</f>
        <v/>
      </c>
    </row>
    <row r="2629" spans="1:16" x14ac:dyDescent="0.2">
      <c r="A2629" s="1">
        <v>2016</v>
      </c>
      <c r="B2629" t="s">
        <v>318</v>
      </c>
      <c r="C2629" s="10" t="s">
        <v>1678</v>
      </c>
      <c r="D2629" s="10" t="s">
        <v>1679</v>
      </c>
      <c r="E2629" s="10" t="s">
        <v>1682</v>
      </c>
      <c r="F2629" t="s">
        <v>815</v>
      </c>
      <c r="G2629" s="4">
        <v>975</v>
      </c>
      <c r="H2629" s="4"/>
      <c r="I2629" s="4"/>
      <c r="J2629" s="4">
        <f>SUM(G2629:I2629)</f>
        <v>975</v>
      </c>
      <c r="K2629" t="s">
        <v>1659</v>
      </c>
      <c r="L2629" t="s">
        <v>1659</v>
      </c>
      <c r="M2629" t="s">
        <v>1401</v>
      </c>
      <c r="N2629" t="s">
        <v>1132</v>
      </c>
      <c r="O2629" t="s">
        <v>1132</v>
      </c>
      <c r="P2629" t="str">
        <f>IFERROR(VLOOKUP(F2629,Sheet1!$A$2:$B$54,2,FALSE),"")</f>
        <v/>
      </c>
    </row>
    <row r="2630" spans="1:16" x14ac:dyDescent="0.2">
      <c r="A2630" s="1">
        <v>2017</v>
      </c>
      <c r="B2630" t="s">
        <v>318</v>
      </c>
      <c r="C2630" s="10" t="s">
        <v>1678</v>
      </c>
      <c r="D2630" s="10" t="s">
        <v>1679</v>
      </c>
      <c r="E2630" s="10" t="s">
        <v>1682</v>
      </c>
      <c r="F2630" t="s">
        <v>815</v>
      </c>
      <c r="G2630" s="4">
        <v>4686</v>
      </c>
      <c r="H2630" s="4"/>
      <c r="I2630" s="4"/>
      <c r="J2630" s="4">
        <f>SUM(G2630:I2630)</f>
        <v>4686</v>
      </c>
      <c r="K2630" t="s">
        <v>1659</v>
      </c>
      <c r="L2630" t="s">
        <v>1659</v>
      </c>
      <c r="M2630" t="s">
        <v>1401</v>
      </c>
      <c r="N2630" t="s">
        <v>1132</v>
      </c>
      <c r="O2630" t="s">
        <v>1132</v>
      </c>
      <c r="P2630" t="str">
        <f>IFERROR(VLOOKUP(F2630,Sheet1!$A$2:$B$54,2,FALSE),"")</f>
        <v/>
      </c>
    </row>
    <row r="2631" spans="1:16" x14ac:dyDescent="0.2">
      <c r="A2631" s="1">
        <v>2018</v>
      </c>
      <c r="B2631" t="s">
        <v>318</v>
      </c>
      <c r="C2631" s="10" t="s">
        <v>1678</v>
      </c>
      <c r="D2631" s="10" t="s">
        <v>1679</v>
      </c>
      <c r="E2631" s="10" t="s">
        <v>1682</v>
      </c>
      <c r="F2631" t="s">
        <v>815</v>
      </c>
      <c r="G2631" s="4">
        <v>5266</v>
      </c>
      <c r="H2631" s="4"/>
      <c r="I2631" s="4"/>
      <c r="J2631" s="4">
        <f>SUM(G2631:I2631)</f>
        <v>5266</v>
      </c>
      <c r="K2631" t="s">
        <v>1659</v>
      </c>
      <c r="L2631" t="s">
        <v>1659</v>
      </c>
      <c r="M2631" t="s">
        <v>1401</v>
      </c>
      <c r="N2631" t="s">
        <v>1132</v>
      </c>
      <c r="O2631" t="s">
        <v>1132</v>
      </c>
      <c r="P2631" t="str">
        <f>IFERROR(VLOOKUP(F2631,Sheet1!$A$2:$B$54,2,FALSE),"")</f>
        <v/>
      </c>
    </row>
    <row r="2632" spans="1:16" x14ac:dyDescent="0.2">
      <c r="A2632" s="1">
        <v>2019</v>
      </c>
      <c r="B2632" t="s">
        <v>318</v>
      </c>
      <c r="C2632" s="10" t="s">
        <v>1678</v>
      </c>
      <c r="D2632" s="10" t="s">
        <v>1679</v>
      </c>
      <c r="E2632" s="10" t="s">
        <v>1682</v>
      </c>
      <c r="F2632" t="s">
        <v>815</v>
      </c>
      <c r="G2632" s="4">
        <v>5515</v>
      </c>
      <c r="H2632" s="4"/>
      <c r="I2632" s="4"/>
      <c r="J2632" s="4">
        <f>SUM(G2632:I2632)</f>
        <v>5515</v>
      </c>
      <c r="K2632" t="s">
        <v>1659</v>
      </c>
      <c r="L2632" t="s">
        <v>1659</v>
      </c>
      <c r="M2632" t="s">
        <v>1401</v>
      </c>
      <c r="N2632" t="s">
        <v>1132</v>
      </c>
      <c r="O2632" t="s">
        <v>1132</v>
      </c>
      <c r="P2632" t="str">
        <f>IFERROR(VLOOKUP(F2632,Sheet1!$A$2:$B$54,2,FALSE),"")</f>
        <v/>
      </c>
    </row>
    <row r="2633" spans="1:16" x14ac:dyDescent="0.2">
      <c r="A2633" s="1">
        <v>2020</v>
      </c>
      <c r="B2633" t="s">
        <v>318</v>
      </c>
      <c r="C2633" s="10" t="s">
        <v>1678</v>
      </c>
      <c r="D2633" s="10" t="s">
        <v>1679</v>
      </c>
      <c r="E2633" s="10" t="s">
        <v>1682</v>
      </c>
      <c r="F2633" t="s">
        <v>815</v>
      </c>
      <c r="G2633" s="4">
        <v>5806</v>
      </c>
      <c r="H2633" s="4"/>
      <c r="I2633" s="4"/>
      <c r="J2633" s="4">
        <f>SUM(G2633:I2633)</f>
        <v>5806</v>
      </c>
      <c r="K2633" t="s">
        <v>1659</v>
      </c>
      <c r="L2633" t="s">
        <v>1659</v>
      </c>
      <c r="M2633" t="s">
        <v>1401</v>
      </c>
      <c r="N2633" t="s">
        <v>1132</v>
      </c>
      <c r="O2633" t="s">
        <v>1132</v>
      </c>
      <c r="P2633" t="str">
        <f>IFERROR(VLOOKUP(F2633,Sheet1!$A$2:$B$54,2,FALSE),"")</f>
        <v/>
      </c>
    </row>
    <row r="2634" spans="1:16" x14ac:dyDescent="0.2">
      <c r="A2634" s="1">
        <v>2021</v>
      </c>
      <c r="B2634" t="s">
        <v>318</v>
      </c>
      <c r="C2634" s="10" t="s">
        <v>1678</v>
      </c>
      <c r="D2634" s="10" t="s">
        <v>1679</v>
      </c>
      <c r="E2634" s="10" t="s">
        <v>1682</v>
      </c>
      <c r="F2634" t="s">
        <v>815</v>
      </c>
      <c r="G2634" s="4">
        <v>6122</v>
      </c>
      <c r="H2634" s="4"/>
      <c r="I2634" s="4"/>
      <c r="J2634" s="4">
        <f>SUM(G2634:I2634)</f>
        <v>6122</v>
      </c>
      <c r="K2634" t="s">
        <v>1659</v>
      </c>
      <c r="L2634" t="s">
        <v>1659</v>
      </c>
      <c r="M2634" t="s">
        <v>815</v>
      </c>
      <c r="N2634" t="s">
        <v>1132</v>
      </c>
      <c r="O2634" t="s">
        <v>1132</v>
      </c>
      <c r="P2634" t="str">
        <f>IFERROR(VLOOKUP(F2634,Sheet1!$A$2:$B$54,2,FALSE),"")</f>
        <v/>
      </c>
    </row>
    <row r="2635" spans="1:16" x14ac:dyDescent="0.2">
      <c r="A2635" s="1">
        <v>2022</v>
      </c>
      <c r="B2635" t="s">
        <v>318</v>
      </c>
      <c r="C2635" s="10" t="s">
        <v>1678</v>
      </c>
      <c r="D2635" s="10" t="s">
        <v>1679</v>
      </c>
      <c r="E2635" s="10" t="s">
        <v>1682</v>
      </c>
      <c r="F2635" t="s">
        <v>815</v>
      </c>
      <c r="G2635" s="4">
        <v>10638</v>
      </c>
      <c r="H2635" s="4"/>
      <c r="I2635" s="4"/>
      <c r="J2635" s="4">
        <f>SUM(G2635:I2635)</f>
        <v>10638</v>
      </c>
      <c r="K2635" t="s">
        <v>1659</v>
      </c>
      <c r="L2635" t="s">
        <v>1659</v>
      </c>
      <c r="M2635" t="s">
        <v>815</v>
      </c>
      <c r="N2635" t="s">
        <v>1132</v>
      </c>
      <c r="O2635" t="s">
        <v>1132</v>
      </c>
      <c r="P2635" t="str">
        <f>IFERROR(VLOOKUP(F2635,Sheet1!$A$2:$B$54,2,FALSE),"")</f>
        <v/>
      </c>
    </row>
    <row r="2636" spans="1:16" x14ac:dyDescent="0.2">
      <c r="A2636" s="1">
        <v>2023</v>
      </c>
      <c r="B2636" t="s">
        <v>318</v>
      </c>
      <c r="C2636" s="10" t="s">
        <v>1678</v>
      </c>
      <c r="D2636" s="10" t="s">
        <v>1679</v>
      </c>
      <c r="E2636" s="10" t="s">
        <v>1682</v>
      </c>
      <c r="F2636" t="s">
        <v>815</v>
      </c>
      <c r="G2636" s="4">
        <v>13363</v>
      </c>
      <c r="H2636" s="4"/>
      <c r="I2636" s="4"/>
      <c r="J2636" s="4">
        <f>SUM(G2636:I2636)</f>
        <v>13363</v>
      </c>
      <c r="K2636" t="s">
        <v>1659</v>
      </c>
      <c r="L2636" t="s">
        <v>1659</v>
      </c>
      <c r="M2636" t="s">
        <v>815</v>
      </c>
      <c r="N2636" t="s">
        <v>1132</v>
      </c>
      <c r="O2636" t="s">
        <v>1132</v>
      </c>
      <c r="P2636" t="str">
        <f>IFERROR(VLOOKUP(F2636,Sheet1!$A$2:$B$54,2,FALSE),"")</f>
        <v/>
      </c>
    </row>
    <row r="2637" spans="1:16" x14ac:dyDescent="0.2">
      <c r="A2637" s="1">
        <v>2021</v>
      </c>
      <c r="B2637" t="s">
        <v>319</v>
      </c>
      <c r="C2637" s="10" t="s">
        <v>1678</v>
      </c>
      <c r="D2637" s="10" t="s">
        <v>1679</v>
      </c>
      <c r="E2637" s="10" t="s">
        <v>1682</v>
      </c>
      <c r="F2637" t="s">
        <v>816</v>
      </c>
      <c r="G2637" s="4">
        <v>6215</v>
      </c>
      <c r="H2637" s="4"/>
      <c r="I2637" s="4"/>
      <c r="J2637" s="4">
        <f>SUM(G2637:I2637)</f>
        <v>6215</v>
      </c>
      <c r="K2637" t="s">
        <v>1659</v>
      </c>
      <c r="L2637" t="s">
        <v>1659</v>
      </c>
      <c r="M2637" t="s">
        <v>816</v>
      </c>
      <c r="N2637" t="s">
        <v>1132</v>
      </c>
      <c r="O2637" t="s">
        <v>1132</v>
      </c>
      <c r="P2637" t="str">
        <f>IFERROR(VLOOKUP(F2637,Sheet1!$A$2:$B$54,2,FALSE),"")</f>
        <v/>
      </c>
    </row>
    <row r="2638" spans="1:16" x14ac:dyDescent="0.2">
      <c r="A2638" s="1">
        <v>2022</v>
      </c>
      <c r="B2638" t="s">
        <v>319</v>
      </c>
      <c r="C2638" s="10" t="s">
        <v>1678</v>
      </c>
      <c r="D2638" s="10" t="s">
        <v>1679</v>
      </c>
      <c r="E2638" s="10" t="s">
        <v>1682</v>
      </c>
      <c r="F2638" t="s">
        <v>816</v>
      </c>
      <c r="G2638" s="4">
        <v>12386</v>
      </c>
      <c r="H2638" s="4"/>
      <c r="I2638" s="4"/>
      <c r="J2638" s="4">
        <f>SUM(G2638:I2638)</f>
        <v>12386</v>
      </c>
      <c r="K2638" t="s">
        <v>1659</v>
      </c>
      <c r="L2638" t="s">
        <v>1659</v>
      </c>
      <c r="M2638" t="s">
        <v>816</v>
      </c>
      <c r="N2638" t="s">
        <v>1132</v>
      </c>
      <c r="O2638" t="s">
        <v>1132</v>
      </c>
      <c r="P2638" t="str">
        <f>IFERROR(VLOOKUP(F2638,Sheet1!$A$2:$B$54,2,FALSE),"")</f>
        <v/>
      </c>
    </row>
    <row r="2639" spans="1:16" x14ac:dyDescent="0.2">
      <c r="A2639" s="1">
        <v>2023</v>
      </c>
      <c r="B2639" t="s">
        <v>319</v>
      </c>
      <c r="C2639" s="10" t="s">
        <v>1678</v>
      </c>
      <c r="D2639" s="10" t="s">
        <v>1679</v>
      </c>
      <c r="E2639" s="10" t="s">
        <v>1682</v>
      </c>
      <c r="F2639" t="s">
        <v>816</v>
      </c>
      <c r="G2639" s="4">
        <v>14197</v>
      </c>
      <c r="H2639" s="4"/>
      <c r="I2639" s="4"/>
      <c r="J2639" s="4">
        <f>SUM(G2639:I2639)</f>
        <v>14197</v>
      </c>
      <c r="K2639" t="s">
        <v>1659</v>
      </c>
      <c r="L2639" t="s">
        <v>1659</v>
      </c>
      <c r="M2639" t="s">
        <v>816</v>
      </c>
      <c r="N2639" t="s">
        <v>1132</v>
      </c>
      <c r="O2639" t="s">
        <v>1132</v>
      </c>
      <c r="P2639" t="str">
        <f>IFERROR(VLOOKUP(F2639,Sheet1!$A$2:$B$54,2,FALSE),"")</f>
        <v/>
      </c>
    </row>
    <row r="2640" spans="1:16" x14ac:dyDescent="0.2">
      <c r="A2640" s="1">
        <v>2015</v>
      </c>
      <c r="B2640" t="s">
        <v>320</v>
      </c>
      <c r="C2640" s="10" t="s">
        <v>1678</v>
      </c>
      <c r="D2640" s="10" t="s">
        <v>1679</v>
      </c>
      <c r="E2640" s="10" t="s">
        <v>1682</v>
      </c>
      <c r="F2640" t="s">
        <v>817</v>
      </c>
      <c r="G2640" s="4">
        <v>12599</v>
      </c>
      <c r="H2640" s="4">
        <v>154933</v>
      </c>
      <c r="I2640" s="4"/>
      <c r="J2640" s="4">
        <f>SUM(G2640:I2640)</f>
        <v>167532</v>
      </c>
      <c r="K2640" t="s">
        <v>1660</v>
      </c>
      <c r="L2640" t="s">
        <v>1659</v>
      </c>
      <c r="M2640" t="s">
        <v>1402</v>
      </c>
      <c r="N2640" t="s">
        <v>1402</v>
      </c>
      <c r="O2640" t="s">
        <v>1132</v>
      </c>
      <c r="P2640" t="str">
        <f>IFERROR(VLOOKUP(F2640,Sheet1!$A$2:$B$54,2,FALSE),"")</f>
        <v/>
      </c>
    </row>
    <row r="2641" spans="1:16" x14ac:dyDescent="0.2">
      <c r="A2641" s="1">
        <v>2016</v>
      </c>
      <c r="B2641" t="s">
        <v>320</v>
      </c>
      <c r="C2641" s="10" t="s">
        <v>1678</v>
      </c>
      <c r="D2641" s="10" t="s">
        <v>1679</v>
      </c>
      <c r="E2641" s="10" t="s">
        <v>1682</v>
      </c>
      <c r="F2641" t="s">
        <v>817</v>
      </c>
      <c r="G2641" s="4">
        <v>22744</v>
      </c>
      <c r="H2641" s="4">
        <v>138741</v>
      </c>
      <c r="I2641" s="4"/>
      <c r="J2641" s="4">
        <f>SUM(G2641:I2641)</f>
        <v>161485</v>
      </c>
      <c r="K2641" t="s">
        <v>1660</v>
      </c>
      <c r="L2641" t="s">
        <v>1659</v>
      </c>
      <c r="M2641" t="s">
        <v>1402</v>
      </c>
      <c r="N2641" t="s">
        <v>1402</v>
      </c>
      <c r="O2641" t="s">
        <v>1132</v>
      </c>
      <c r="P2641" t="str">
        <f>IFERROR(VLOOKUP(F2641,Sheet1!$A$2:$B$54,2,FALSE),"")</f>
        <v/>
      </c>
    </row>
    <row r="2642" spans="1:16" x14ac:dyDescent="0.2">
      <c r="A2642" s="1">
        <v>2017</v>
      </c>
      <c r="B2642" t="s">
        <v>320</v>
      </c>
      <c r="C2642" s="10" t="s">
        <v>1678</v>
      </c>
      <c r="D2642" s="10" t="s">
        <v>1679</v>
      </c>
      <c r="E2642" s="10" t="s">
        <v>1682</v>
      </c>
      <c r="F2642" t="s">
        <v>817</v>
      </c>
      <c r="G2642" s="4">
        <v>25729</v>
      </c>
      <c r="H2642" s="4">
        <v>136713</v>
      </c>
      <c r="I2642" s="4"/>
      <c r="J2642" s="4">
        <f>SUM(G2642:I2642)</f>
        <v>162442</v>
      </c>
      <c r="K2642" t="s">
        <v>1660</v>
      </c>
      <c r="L2642" t="s">
        <v>1659</v>
      </c>
      <c r="M2642" t="s">
        <v>1402</v>
      </c>
      <c r="N2642" t="s">
        <v>1402</v>
      </c>
      <c r="O2642" t="s">
        <v>1132</v>
      </c>
      <c r="P2642" t="str">
        <f>IFERROR(VLOOKUP(F2642,Sheet1!$A$2:$B$54,2,FALSE),"")</f>
        <v/>
      </c>
    </row>
    <row r="2643" spans="1:16" x14ac:dyDescent="0.2">
      <c r="A2643" s="1">
        <v>2018</v>
      </c>
      <c r="B2643" t="s">
        <v>320</v>
      </c>
      <c r="C2643" s="10" t="s">
        <v>1678</v>
      </c>
      <c r="D2643" s="10" t="s">
        <v>1679</v>
      </c>
      <c r="E2643" s="10" t="s">
        <v>1682</v>
      </c>
      <c r="F2643" t="s">
        <v>817</v>
      </c>
      <c r="G2643" s="4">
        <v>30632</v>
      </c>
      <c r="H2643" s="4">
        <v>148332</v>
      </c>
      <c r="I2643" s="4"/>
      <c r="J2643" s="4">
        <f>SUM(G2643:I2643)</f>
        <v>178964</v>
      </c>
      <c r="K2643" t="s">
        <v>1660</v>
      </c>
      <c r="L2643" t="s">
        <v>1659</v>
      </c>
      <c r="M2643" t="s">
        <v>1402</v>
      </c>
      <c r="N2643" t="s">
        <v>1402</v>
      </c>
      <c r="O2643" t="s">
        <v>1132</v>
      </c>
      <c r="P2643" t="str">
        <f>IFERROR(VLOOKUP(F2643,Sheet1!$A$2:$B$54,2,FALSE),"")</f>
        <v/>
      </c>
    </row>
    <row r="2644" spans="1:16" x14ac:dyDescent="0.2">
      <c r="A2644" s="1">
        <v>2019</v>
      </c>
      <c r="B2644" t="s">
        <v>320</v>
      </c>
      <c r="C2644" s="10" t="s">
        <v>1678</v>
      </c>
      <c r="D2644" s="10" t="s">
        <v>1679</v>
      </c>
      <c r="E2644" s="10" t="s">
        <v>1682</v>
      </c>
      <c r="F2644" t="s">
        <v>817</v>
      </c>
      <c r="G2644" s="4">
        <v>49419</v>
      </c>
      <c r="H2644" s="4">
        <v>169408</v>
      </c>
      <c r="I2644" s="4"/>
      <c r="J2644" s="4">
        <f>SUM(G2644:I2644)</f>
        <v>218827</v>
      </c>
      <c r="K2644" t="s">
        <v>1660</v>
      </c>
      <c r="L2644" t="s">
        <v>1659</v>
      </c>
      <c r="M2644" t="s">
        <v>1402</v>
      </c>
      <c r="N2644" t="s">
        <v>1402</v>
      </c>
      <c r="O2644" t="s">
        <v>1132</v>
      </c>
      <c r="P2644" t="str">
        <f>IFERROR(VLOOKUP(F2644,Sheet1!$A$2:$B$54,2,FALSE),"")</f>
        <v/>
      </c>
    </row>
    <row r="2645" spans="1:16" x14ac:dyDescent="0.2">
      <c r="A2645" s="1">
        <v>2020</v>
      </c>
      <c r="B2645" t="s">
        <v>320</v>
      </c>
      <c r="C2645" s="10" t="s">
        <v>1678</v>
      </c>
      <c r="D2645" s="10" t="s">
        <v>1679</v>
      </c>
      <c r="E2645" s="10" t="s">
        <v>1682</v>
      </c>
      <c r="F2645" t="s">
        <v>817</v>
      </c>
      <c r="G2645" s="4">
        <v>57682</v>
      </c>
      <c r="H2645" s="4">
        <v>178858</v>
      </c>
      <c r="I2645" s="4"/>
      <c r="J2645" s="4">
        <f>SUM(G2645:I2645)</f>
        <v>236540</v>
      </c>
      <c r="K2645" t="s">
        <v>1660</v>
      </c>
      <c r="L2645" t="s">
        <v>1659</v>
      </c>
      <c r="M2645" t="s">
        <v>1402</v>
      </c>
      <c r="N2645" t="s">
        <v>1402</v>
      </c>
      <c r="O2645" t="s">
        <v>1132</v>
      </c>
      <c r="P2645" t="str">
        <f>IFERROR(VLOOKUP(F2645,Sheet1!$A$2:$B$54,2,FALSE),"")</f>
        <v/>
      </c>
    </row>
    <row r="2646" spans="1:16" x14ac:dyDescent="0.2">
      <c r="A2646" s="1">
        <v>2021</v>
      </c>
      <c r="B2646" t="s">
        <v>320</v>
      </c>
      <c r="C2646" s="10" t="s">
        <v>1678</v>
      </c>
      <c r="D2646" s="10" t="s">
        <v>1679</v>
      </c>
      <c r="E2646" s="10" t="s">
        <v>1682</v>
      </c>
      <c r="F2646" t="s">
        <v>817</v>
      </c>
      <c r="G2646" s="4">
        <v>68568</v>
      </c>
      <c r="H2646" s="4">
        <v>203177</v>
      </c>
      <c r="I2646" s="4"/>
      <c r="J2646" s="4">
        <f>SUM(G2646:I2646)</f>
        <v>271745</v>
      </c>
      <c r="K2646" t="s">
        <v>1660</v>
      </c>
      <c r="L2646" t="s">
        <v>1659</v>
      </c>
      <c r="M2646" t="s">
        <v>817</v>
      </c>
      <c r="N2646" t="s">
        <v>817</v>
      </c>
      <c r="O2646" t="s">
        <v>1132</v>
      </c>
      <c r="P2646" t="str">
        <f>IFERROR(VLOOKUP(F2646,Sheet1!$A$2:$B$54,2,FALSE),"")</f>
        <v/>
      </c>
    </row>
    <row r="2647" spans="1:16" x14ac:dyDescent="0.2">
      <c r="A2647" s="1">
        <v>2022</v>
      </c>
      <c r="B2647" t="s">
        <v>320</v>
      </c>
      <c r="C2647" s="10" t="s">
        <v>1678</v>
      </c>
      <c r="D2647" s="10" t="s">
        <v>1679</v>
      </c>
      <c r="E2647" s="10" t="s">
        <v>1682</v>
      </c>
      <c r="F2647" t="s">
        <v>817</v>
      </c>
      <c r="G2647" s="4">
        <v>68570</v>
      </c>
      <c r="H2647" s="4">
        <v>207845</v>
      </c>
      <c r="I2647" s="4"/>
      <c r="J2647" s="4">
        <f>SUM(G2647:I2647)</f>
        <v>276415</v>
      </c>
      <c r="K2647" t="s">
        <v>1660</v>
      </c>
      <c r="L2647" t="s">
        <v>1659</v>
      </c>
      <c r="M2647" t="s">
        <v>817</v>
      </c>
      <c r="N2647" t="s">
        <v>817</v>
      </c>
      <c r="O2647" t="s">
        <v>1132</v>
      </c>
      <c r="P2647" t="str">
        <f>IFERROR(VLOOKUP(F2647,Sheet1!$A$2:$B$54,2,FALSE),"")</f>
        <v/>
      </c>
    </row>
    <row r="2648" spans="1:16" x14ac:dyDescent="0.2">
      <c r="A2648" s="1">
        <v>2023</v>
      </c>
      <c r="B2648" t="s">
        <v>320</v>
      </c>
      <c r="C2648" s="10" t="s">
        <v>1678</v>
      </c>
      <c r="D2648" s="10" t="s">
        <v>1679</v>
      </c>
      <c r="E2648" s="10" t="s">
        <v>1682</v>
      </c>
      <c r="F2648" t="s">
        <v>817</v>
      </c>
      <c r="G2648" s="4">
        <v>86898</v>
      </c>
      <c r="H2648" s="4">
        <v>235497</v>
      </c>
      <c r="I2648" s="4"/>
      <c r="J2648" s="4">
        <f>SUM(G2648:I2648)</f>
        <v>322395</v>
      </c>
      <c r="K2648" t="s">
        <v>1660</v>
      </c>
      <c r="L2648" t="s">
        <v>1659</v>
      </c>
      <c r="M2648" t="s">
        <v>817</v>
      </c>
      <c r="N2648" t="s">
        <v>817</v>
      </c>
      <c r="O2648" t="s">
        <v>1132</v>
      </c>
      <c r="P2648" t="str">
        <f>IFERROR(VLOOKUP(F2648,Sheet1!$A$2:$B$54,2,FALSE),"")</f>
        <v/>
      </c>
    </row>
    <row r="2649" spans="1:16" x14ac:dyDescent="0.2">
      <c r="A2649" s="1">
        <v>2015</v>
      </c>
      <c r="B2649" t="s">
        <v>321</v>
      </c>
      <c r="C2649" s="10" t="s">
        <v>1678</v>
      </c>
      <c r="D2649" s="10" t="s">
        <v>1679</v>
      </c>
      <c r="E2649" s="10" t="s">
        <v>1682</v>
      </c>
      <c r="F2649" t="s">
        <v>818</v>
      </c>
      <c r="G2649" s="4">
        <v>9235</v>
      </c>
      <c r="H2649" s="4"/>
      <c r="I2649" s="4"/>
      <c r="J2649" s="4">
        <f>SUM(G2649:I2649)</f>
        <v>9235</v>
      </c>
      <c r="K2649" t="s">
        <v>1659</v>
      </c>
      <c r="L2649" t="s">
        <v>1659</v>
      </c>
      <c r="M2649" t="s">
        <v>1403</v>
      </c>
      <c r="N2649" t="s">
        <v>1132</v>
      </c>
      <c r="O2649" t="s">
        <v>1132</v>
      </c>
      <c r="P2649" t="str">
        <f>IFERROR(VLOOKUP(F2649,Sheet1!$A$2:$B$54,2,FALSE),"")</f>
        <v/>
      </c>
    </row>
    <row r="2650" spans="1:16" x14ac:dyDescent="0.2">
      <c r="A2650" s="1">
        <v>2016</v>
      </c>
      <c r="B2650" t="s">
        <v>321</v>
      </c>
      <c r="C2650" s="10" t="s">
        <v>1678</v>
      </c>
      <c r="D2650" s="10" t="s">
        <v>1679</v>
      </c>
      <c r="E2650" s="10" t="s">
        <v>1682</v>
      </c>
      <c r="F2650" t="s">
        <v>818</v>
      </c>
      <c r="G2650" s="4">
        <v>10305</v>
      </c>
      <c r="H2650" s="4"/>
      <c r="I2650" s="4"/>
      <c r="J2650" s="4">
        <f>SUM(G2650:I2650)</f>
        <v>10305</v>
      </c>
      <c r="K2650" t="s">
        <v>1659</v>
      </c>
      <c r="L2650" t="s">
        <v>1659</v>
      </c>
      <c r="M2650" t="s">
        <v>1403</v>
      </c>
      <c r="N2650" t="s">
        <v>1132</v>
      </c>
      <c r="O2650" t="s">
        <v>1132</v>
      </c>
      <c r="P2650" t="str">
        <f>IFERROR(VLOOKUP(F2650,Sheet1!$A$2:$B$54,2,FALSE),"")</f>
        <v/>
      </c>
    </row>
    <row r="2651" spans="1:16" x14ac:dyDescent="0.2">
      <c r="A2651" s="1">
        <v>2017</v>
      </c>
      <c r="B2651" t="s">
        <v>321</v>
      </c>
      <c r="C2651" s="10" t="s">
        <v>1678</v>
      </c>
      <c r="D2651" s="10" t="s">
        <v>1679</v>
      </c>
      <c r="E2651" s="10" t="s">
        <v>1682</v>
      </c>
      <c r="F2651" t="s">
        <v>818</v>
      </c>
      <c r="G2651" s="4">
        <v>16904</v>
      </c>
      <c r="H2651" s="4"/>
      <c r="I2651" s="4"/>
      <c r="J2651" s="4">
        <f>SUM(G2651:I2651)</f>
        <v>16904</v>
      </c>
      <c r="K2651" t="s">
        <v>1659</v>
      </c>
      <c r="L2651" t="s">
        <v>1659</v>
      </c>
      <c r="M2651" t="s">
        <v>1404</v>
      </c>
      <c r="N2651" t="s">
        <v>1132</v>
      </c>
      <c r="O2651" t="s">
        <v>1132</v>
      </c>
      <c r="P2651" t="str">
        <f>IFERROR(VLOOKUP(F2651,Sheet1!$A$2:$B$54,2,FALSE),"")</f>
        <v/>
      </c>
    </row>
    <row r="2652" spans="1:16" x14ac:dyDescent="0.2">
      <c r="A2652" s="1">
        <v>2018</v>
      </c>
      <c r="B2652" t="s">
        <v>321</v>
      </c>
      <c r="C2652" s="10" t="s">
        <v>1678</v>
      </c>
      <c r="D2652" s="10" t="s">
        <v>1679</v>
      </c>
      <c r="E2652" s="10" t="s">
        <v>1682</v>
      </c>
      <c r="F2652" t="s">
        <v>818</v>
      </c>
      <c r="G2652" s="4">
        <v>16995</v>
      </c>
      <c r="H2652" s="4"/>
      <c r="I2652" s="4"/>
      <c r="J2652" s="4">
        <f>SUM(G2652:I2652)</f>
        <v>16995</v>
      </c>
      <c r="K2652" t="s">
        <v>1659</v>
      </c>
      <c r="L2652" t="s">
        <v>1659</v>
      </c>
      <c r="M2652" t="s">
        <v>1404</v>
      </c>
      <c r="N2652" t="s">
        <v>1132</v>
      </c>
      <c r="O2652" t="s">
        <v>1132</v>
      </c>
      <c r="P2652" t="str">
        <f>IFERROR(VLOOKUP(F2652,Sheet1!$A$2:$B$54,2,FALSE),"")</f>
        <v/>
      </c>
    </row>
    <row r="2653" spans="1:16" x14ac:dyDescent="0.2">
      <c r="A2653" s="1">
        <v>2019</v>
      </c>
      <c r="B2653" t="s">
        <v>321</v>
      </c>
      <c r="C2653" s="10" t="s">
        <v>1678</v>
      </c>
      <c r="D2653" s="10" t="s">
        <v>1679</v>
      </c>
      <c r="E2653" s="10" t="s">
        <v>1682</v>
      </c>
      <c r="F2653" t="s">
        <v>818</v>
      </c>
      <c r="G2653" s="4">
        <v>27722</v>
      </c>
      <c r="H2653" s="4"/>
      <c r="I2653" s="4"/>
      <c r="J2653" s="4">
        <f>SUM(G2653:I2653)</f>
        <v>27722</v>
      </c>
      <c r="K2653" t="s">
        <v>1659</v>
      </c>
      <c r="L2653" t="s">
        <v>1659</v>
      </c>
      <c r="M2653" t="s">
        <v>1404</v>
      </c>
      <c r="N2653" t="s">
        <v>1132</v>
      </c>
      <c r="O2653" t="s">
        <v>1132</v>
      </c>
      <c r="P2653" t="str">
        <f>IFERROR(VLOOKUP(F2653,Sheet1!$A$2:$B$54,2,FALSE),"")</f>
        <v/>
      </c>
    </row>
    <row r="2654" spans="1:16" x14ac:dyDescent="0.2">
      <c r="A2654" s="1">
        <v>2020</v>
      </c>
      <c r="B2654" t="s">
        <v>321</v>
      </c>
      <c r="C2654" s="10" t="s">
        <v>1678</v>
      </c>
      <c r="D2654" s="10" t="s">
        <v>1679</v>
      </c>
      <c r="E2654" s="10" t="s">
        <v>1682</v>
      </c>
      <c r="F2654" t="s">
        <v>818</v>
      </c>
      <c r="G2654" s="4">
        <v>20751</v>
      </c>
      <c r="H2654" s="4"/>
      <c r="I2654" s="4"/>
      <c r="J2654" s="4">
        <f>SUM(G2654:I2654)</f>
        <v>20751</v>
      </c>
      <c r="K2654" t="s">
        <v>1659</v>
      </c>
      <c r="L2654" t="s">
        <v>1659</v>
      </c>
      <c r="M2654" t="s">
        <v>1404</v>
      </c>
      <c r="N2654" t="s">
        <v>1132</v>
      </c>
      <c r="O2654" t="s">
        <v>1132</v>
      </c>
      <c r="P2654" t="str">
        <f>IFERROR(VLOOKUP(F2654,Sheet1!$A$2:$B$54,2,FALSE),"")</f>
        <v/>
      </c>
    </row>
    <row r="2655" spans="1:16" x14ac:dyDescent="0.2">
      <c r="A2655" s="1">
        <v>2021</v>
      </c>
      <c r="B2655" t="s">
        <v>321</v>
      </c>
      <c r="C2655" s="10" t="s">
        <v>1678</v>
      </c>
      <c r="D2655" s="10" t="s">
        <v>1679</v>
      </c>
      <c r="E2655" s="10" t="s">
        <v>1682</v>
      </c>
      <c r="F2655" t="s">
        <v>818</v>
      </c>
      <c r="G2655" s="4">
        <v>70741</v>
      </c>
      <c r="H2655" s="4"/>
      <c r="I2655" s="4"/>
      <c r="J2655" s="4">
        <f>SUM(G2655:I2655)</f>
        <v>70741</v>
      </c>
      <c r="K2655" t="s">
        <v>1659</v>
      </c>
      <c r="L2655" t="s">
        <v>1659</v>
      </c>
      <c r="M2655" t="s">
        <v>818</v>
      </c>
      <c r="N2655" t="s">
        <v>1132</v>
      </c>
      <c r="O2655" t="s">
        <v>1132</v>
      </c>
      <c r="P2655" t="str">
        <f>IFERROR(VLOOKUP(F2655,Sheet1!$A$2:$B$54,2,FALSE),"")</f>
        <v/>
      </c>
    </row>
    <row r="2656" spans="1:16" x14ac:dyDescent="0.2">
      <c r="A2656" s="1">
        <v>2022</v>
      </c>
      <c r="B2656" t="s">
        <v>321</v>
      </c>
      <c r="C2656" s="10" t="s">
        <v>1678</v>
      </c>
      <c r="D2656" s="10" t="s">
        <v>1679</v>
      </c>
      <c r="E2656" s="10" t="s">
        <v>1682</v>
      </c>
      <c r="F2656" t="s">
        <v>818</v>
      </c>
      <c r="G2656" s="4">
        <v>116910</v>
      </c>
      <c r="H2656" s="4"/>
      <c r="I2656" s="4"/>
      <c r="J2656" s="4">
        <f>SUM(G2656:I2656)</f>
        <v>116910</v>
      </c>
      <c r="K2656" t="s">
        <v>1659</v>
      </c>
      <c r="L2656" t="s">
        <v>1659</v>
      </c>
      <c r="M2656" t="s">
        <v>818</v>
      </c>
      <c r="N2656" t="s">
        <v>1132</v>
      </c>
      <c r="O2656" t="s">
        <v>1132</v>
      </c>
      <c r="P2656" t="str">
        <f>IFERROR(VLOOKUP(F2656,Sheet1!$A$2:$B$54,2,FALSE),"")</f>
        <v/>
      </c>
    </row>
    <row r="2657" spans="1:16" x14ac:dyDescent="0.2">
      <c r="A2657" s="1">
        <v>2023</v>
      </c>
      <c r="B2657" t="s">
        <v>321</v>
      </c>
      <c r="C2657" s="10" t="s">
        <v>1678</v>
      </c>
      <c r="D2657" s="10" t="s">
        <v>1679</v>
      </c>
      <c r="E2657" s="10" t="s">
        <v>1682</v>
      </c>
      <c r="F2657" t="s">
        <v>818</v>
      </c>
      <c r="G2657" s="4">
        <v>133346</v>
      </c>
      <c r="H2657" s="4"/>
      <c r="I2657" s="4"/>
      <c r="J2657" s="4">
        <f>SUM(G2657:I2657)</f>
        <v>133346</v>
      </c>
      <c r="K2657" t="s">
        <v>1659</v>
      </c>
      <c r="L2657" t="s">
        <v>1659</v>
      </c>
      <c r="M2657" t="s">
        <v>818</v>
      </c>
      <c r="N2657" t="s">
        <v>1132</v>
      </c>
      <c r="O2657" t="s">
        <v>1132</v>
      </c>
      <c r="P2657" t="str">
        <f>IFERROR(VLOOKUP(F2657,Sheet1!$A$2:$B$54,2,FALSE),"")</f>
        <v/>
      </c>
    </row>
    <row r="2658" spans="1:16" x14ac:dyDescent="0.2">
      <c r="A2658" s="1">
        <v>2015</v>
      </c>
      <c r="B2658" t="s">
        <v>322</v>
      </c>
      <c r="C2658" s="10" t="s">
        <v>1678</v>
      </c>
      <c r="D2658" s="10" t="s">
        <v>1679</v>
      </c>
      <c r="E2658" s="10" t="s">
        <v>1682</v>
      </c>
      <c r="F2658" t="s">
        <v>819</v>
      </c>
      <c r="G2658" s="4">
        <v>3633</v>
      </c>
      <c r="H2658" s="4"/>
      <c r="I2658" s="4"/>
      <c r="J2658" s="4">
        <f>SUM(G2658:I2658)</f>
        <v>3633</v>
      </c>
      <c r="K2658" t="s">
        <v>1659</v>
      </c>
      <c r="L2658" t="s">
        <v>1659</v>
      </c>
      <c r="M2658" t="s">
        <v>1405</v>
      </c>
      <c r="N2658" t="s">
        <v>1132</v>
      </c>
      <c r="O2658" t="s">
        <v>1132</v>
      </c>
      <c r="P2658" t="str">
        <f>IFERROR(VLOOKUP(F2658,Sheet1!$A$2:$B$54,2,FALSE),"")</f>
        <v/>
      </c>
    </row>
    <row r="2659" spans="1:16" x14ac:dyDescent="0.2">
      <c r="A2659" s="1">
        <v>2016</v>
      </c>
      <c r="B2659" t="s">
        <v>322</v>
      </c>
      <c r="C2659" s="10" t="s">
        <v>1678</v>
      </c>
      <c r="D2659" s="10" t="s">
        <v>1679</v>
      </c>
      <c r="E2659" s="10" t="s">
        <v>1682</v>
      </c>
      <c r="F2659" t="s">
        <v>819</v>
      </c>
      <c r="G2659" s="4">
        <v>7185</v>
      </c>
      <c r="H2659" s="4"/>
      <c r="I2659" s="4"/>
      <c r="J2659" s="4">
        <f>SUM(G2659:I2659)</f>
        <v>7185</v>
      </c>
      <c r="K2659" t="s">
        <v>1659</v>
      </c>
      <c r="L2659" t="s">
        <v>1659</v>
      </c>
      <c r="M2659" t="s">
        <v>1405</v>
      </c>
      <c r="N2659" t="s">
        <v>1132</v>
      </c>
      <c r="O2659" t="s">
        <v>1132</v>
      </c>
      <c r="P2659" t="str">
        <f>IFERROR(VLOOKUP(F2659,Sheet1!$A$2:$B$54,2,FALSE),"")</f>
        <v/>
      </c>
    </row>
    <row r="2660" spans="1:16" x14ac:dyDescent="0.2">
      <c r="A2660" s="1">
        <v>2017</v>
      </c>
      <c r="B2660" t="s">
        <v>322</v>
      </c>
      <c r="C2660" s="10" t="s">
        <v>1678</v>
      </c>
      <c r="D2660" s="10" t="s">
        <v>1679</v>
      </c>
      <c r="E2660" s="10" t="s">
        <v>1682</v>
      </c>
      <c r="F2660" t="s">
        <v>819</v>
      </c>
      <c r="G2660" s="4">
        <v>11322</v>
      </c>
      <c r="H2660" s="4"/>
      <c r="I2660" s="4"/>
      <c r="J2660" s="4">
        <f>SUM(G2660:I2660)</f>
        <v>11322</v>
      </c>
      <c r="K2660" t="s">
        <v>1659</v>
      </c>
      <c r="L2660" t="s">
        <v>1659</v>
      </c>
      <c r="M2660" t="s">
        <v>1406</v>
      </c>
      <c r="N2660" t="s">
        <v>1132</v>
      </c>
      <c r="O2660" t="s">
        <v>1132</v>
      </c>
      <c r="P2660" t="str">
        <f>IFERROR(VLOOKUP(F2660,Sheet1!$A$2:$B$54,2,FALSE),"")</f>
        <v/>
      </c>
    </row>
    <row r="2661" spans="1:16" x14ac:dyDescent="0.2">
      <c r="A2661" s="1">
        <v>2018</v>
      </c>
      <c r="B2661" t="s">
        <v>322</v>
      </c>
      <c r="C2661" s="10" t="s">
        <v>1678</v>
      </c>
      <c r="D2661" s="10" t="s">
        <v>1679</v>
      </c>
      <c r="E2661" s="10" t="s">
        <v>1682</v>
      </c>
      <c r="F2661" t="s">
        <v>819</v>
      </c>
      <c r="G2661" s="4">
        <v>31318</v>
      </c>
      <c r="H2661" s="4"/>
      <c r="I2661" s="4"/>
      <c r="J2661" s="4">
        <f>SUM(G2661:I2661)</f>
        <v>31318</v>
      </c>
      <c r="K2661" t="s">
        <v>1659</v>
      </c>
      <c r="L2661" t="s">
        <v>1659</v>
      </c>
      <c r="M2661" t="s">
        <v>1406</v>
      </c>
      <c r="N2661" t="s">
        <v>1132</v>
      </c>
      <c r="O2661" t="s">
        <v>1132</v>
      </c>
      <c r="P2661" t="str">
        <f>IFERROR(VLOOKUP(F2661,Sheet1!$A$2:$B$54,2,FALSE),"")</f>
        <v/>
      </c>
    </row>
    <row r="2662" spans="1:16" x14ac:dyDescent="0.2">
      <c r="A2662" s="1">
        <v>2019</v>
      </c>
      <c r="B2662" t="s">
        <v>322</v>
      </c>
      <c r="C2662" s="10" t="s">
        <v>1678</v>
      </c>
      <c r="D2662" s="10" t="s">
        <v>1679</v>
      </c>
      <c r="E2662" s="10" t="s">
        <v>1682</v>
      </c>
      <c r="F2662" t="s">
        <v>819</v>
      </c>
      <c r="G2662" s="4">
        <v>62836</v>
      </c>
      <c r="H2662" s="4"/>
      <c r="I2662" s="4"/>
      <c r="J2662" s="4">
        <f>SUM(G2662:I2662)</f>
        <v>62836</v>
      </c>
      <c r="K2662" t="s">
        <v>1659</v>
      </c>
      <c r="L2662" t="s">
        <v>1659</v>
      </c>
      <c r="M2662" t="s">
        <v>1405</v>
      </c>
      <c r="N2662" t="s">
        <v>1132</v>
      </c>
      <c r="O2662" t="s">
        <v>1132</v>
      </c>
      <c r="P2662" t="str">
        <f>IFERROR(VLOOKUP(F2662,Sheet1!$A$2:$B$54,2,FALSE),"")</f>
        <v/>
      </c>
    </row>
    <row r="2663" spans="1:16" x14ac:dyDescent="0.2">
      <c r="A2663" s="1">
        <v>2020</v>
      </c>
      <c r="B2663" t="s">
        <v>322</v>
      </c>
      <c r="C2663" s="10" t="s">
        <v>1678</v>
      </c>
      <c r="D2663" s="10" t="s">
        <v>1679</v>
      </c>
      <c r="E2663" s="10" t="s">
        <v>1682</v>
      </c>
      <c r="F2663" t="s">
        <v>819</v>
      </c>
      <c r="G2663" s="4">
        <v>87225</v>
      </c>
      <c r="H2663" s="4"/>
      <c r="I2663" s="4"/>
      <c r="J2663" s="4">
        <f>SUM(G2663:I2663)</f>
        <v>87225</v>
      </c>
      <c r="K2663" t="s">
        <v>1659</v>
      </c>
      <c r="L2663" t="s">
        <v>1659</v>
      </c>
      <c r="M2663" t="s">
        <v>1406</v>
      </c>
      <c r="N2663" t="s">
        <v>1132</v>
      </c>
      <c r="O2663" t="s">
        <v>1132</v>
      </c>
      <c r="P2663" t="str">
        <f>IFERROR(VLOOKUP(F2663,Sheet1!$A$2:$B$54,2,FALSE),"")</f>
        <v/>
      </c>
    </row>
    <row r="2664" spans="1:16" x14ac:dyDescent="0.2">
      <c r="A2664" s="1">
        <v>2021</v>
      </c>
      <c r="B2664" t="s">
        <v>322</v>
      </c>
      <c r="C2664" s="10" t="s">
        <v>1678</v>
      </c>
      <c r="D2664" s="10" t="s">
        <v>1679</v>
      </c>
      <c r="E2664" s="10" t="s">
        <v>1682</v>
      </c>
      <c r="F2664" t="s">
        <v>819</v>
      </c>
      <c r="G2664" s="4">
        <v>84697</v>
      </c>
      <c r="H2664" s="4"/>
      <c r="I2664" s="4"/>
      <c r="J2664" s="4">
        <f>SUM(G2664:I2664)</f>
        <v>84697</v>
      </c>
      <c r="K2664" t="s">
        <v>1659</v>
      </c>
      <c r="L2664" t="s">
        <v>1659</v>
      </c>
      <c r="M2664" t="s">
        <v>819</v>
      </c>
      <c r="N2664" t="s">
        <v>1132</v>
      </c>
      <c r="O2664" t="s">
        <v>1132</v>
      </c>
      <c r="P2664" t="str">
        <f>IFERROR(VLOOKUP(F2664,Sheet1!$A$2:$B$54,2,FALSE),"")</f>
        <v/>
      </c>
    </row>
    <row r="2665" spans="1:16" x14ac:dyDescent="0.2">
      <c r="A2665" s="1">
        <v>2022</v>
      </c>
      <c r="B2665" t="s">
        <v>322</v>
      </c>
      <c r="C2665" s="10" t="s">
        <v>1678</v>
      </c>
      <c r="D2665" s="10" t="s">
        <v>1679</v>
      </c>
      <c r="E2665" s="10" t="s">
        <v>1682</v>
      </c>
      <c r="F2665" t="s">
        <v>819</v>
      </c>
      <c r="G2665" s="4">
        <v>95684</v>
      </c>
      <c r="H2665" s="4"/>
      <c r="I2665" s="4"/>
      <c r="J2665" s="4">
        <f>SUM(G2665:I2665)</f>
        <v>95684</v>
      </c>
      <c r="K2665" t="s">
        <v>1659</v>
      </c>
      <c r="L2665" t="s">
        <v>1659</v>
      </c>
      <c r="M2665" t="s">
        <v>819</v>
      </c>
      <c r="N2665" t="s">
        <v>1132</v>
      </c>
      <c r="O2665" t="s">
        <v>1132</v>
      </c>
      <c r="P2665" t="str">
        <f>IFERROR(VLOOKUP(F2665,Sheet1!$A$2:$B$54,2,FALSE),"")</f>
        <v/>
      </c>
    </row>
    <row r="2666" spans="1:16" x14ac:dyDescent="0.2">
      <c r="A2666" s="1">
        <v>2023</v>
      </c>
      <c r="B2666" t="s">
        <v>322</v>
      </c>
      <c r="C2666" s="10" t="s">
        <v>1678</v>
      </c>
      <c r="D2666" s="10" t="s">
        <v>1679</v>
      </c>
      <c r="E2666" s="10" t="s">
        <v>1682</v>
      </c>
      <c r="F2666" t="s">
        <v>819</v>
      </c>
      <c r="G2666" s="4">
        <v>114228</v>
      </c>
      <c r="H2666" s="4"/>
      <c r="I2666" s="4"/>
      <c r="J2666" s="4">
        <f>SUM(G2666:I2666)</f>
        <v>114228</v>
      </c>
      <c r="K2666" t="s">
        <v>1659</v>
      </c>
      <c r="L2666" t="s">
        <v>1659</v>
      </c>
      <c r="M2666" t="s">
        <v>819</v>
      </c>
      <c r="N2666" t="s">
        <v>1132</v>
      </c>
      <c r="O2666" t="s">
        <v>1132</v>
      </c>
      <c r="P2666" t="str">
        <f>IFERROR(VLOOKUP(F2666,Sheet1!$A$2:$B$54,2,FALSE),"")</f>
        <v/>
      </c>
    </row>
    <row r="2667" spans="1:16" x14ac:dyDescent="0.2">
      <c r="A2667" s="1">
        <v>2018</v>
      </c>
      <c r="B2667" t="s">
        <v>323</v>
      </c>
      <c r="C2667" s="10" t="s">
        <v>1678</v>
      </c>
      <c r="D2667" s="10" t="s">
        <v>1679</v>
      </c>
      <c r="E2667" s="10" t="s">
        <v>1682</v>
      </c>
      <c r="F2667" t="s">
        <v>820</v>
      </c>
      <c r="G2667" s="4">
        <v>783</v>
      </c>
      <c r="H2667" s="4"/>
      <c r="I2667" s="4"/>
      <c r="J2667" s="4">
        <f>SUM(G2667:I2667)</f>
        <v>783</v>
      </c>
      <c r="K2667" t="s">
        <v>1659</v>
      </c>
      <c r="L2667" t="s">
        <v>1659</v>
      </c>
      <c r="M2667" t="s">
        <v>1407</v>
      </c>
      <c r="N2667" t="s">
        <v>1132</v>
      </c>
      <c r="O2667" t="s">
        <v>1132</v>
      </c>
      <c r="P2667" t="str">
        <f>IFERROR(VLOOKUP(F2667,Sheet1!$A$2:$B$54,2,FALSE),"")</f>
        <v/>
      </c>
    </row>
    <row r="2668" spans="1:16" x14ac:dyDescent="0.2">
      <c r="A2668" s="1">
        <v>2019</v>
      </c>
      <c r="B2668" t="s">
        <v>323</v>
      </c>
      <c r="C2668" s="10" t="s">
        <v>1678</v>
      </c>
      <c r="D2668" s="10" t="s">
        <v>1679</v>
      </c>
      <c r="E2668" s="10" t="s">
        <v>1682</v>
      </c>
      <c r="F2668" t="s">
        <v>820</v>
      </c>
      <c r="G2668" s="4">
        <v>4672</v>
      </c>
      <c r="H2668" s="4"/>
      <c r="I2668" s="4"/>
      <c r="J2668" s="4">
        <f>SUM(G2668:I2668)</f>
        <v>4672</v>
      </c>
      <c r="K2668" t="s">
        <v>1659</v>
      </c>
      <c r="L2668" t="s">
        <v>1659</v>
      </c>
      <c r="M2668" t="s">
        <v>1408</v>
      </c>
      <c r="N2668" t="s">
        <v>1132</v>
      </c>
      <c r="O2668" t="s">
        <v>1132</v>
      </c>
      <c r="P2668" t="str">
        <f>IFERROR(VLOOKUP(F2668,Sheet1!$A$2:$B$54,2,FALSE),"")</f>
        <v/>
      </c>
    </row>
    <row r="2669" spans="1:16" x14ac:dyDescent="0.2">
      <c r="A2669" s="1">
        <v>2020</v>
      </c>
      <c r="B2669" t="s">
        <v>323</v>
      </c>
      <c r="C2669" s="10" t="s">
        <v>1678</v>
      </c>
      <c r="D2669" s="10" t="s">
        <v>1679</v>
      </c>
      <c r="E2669" s="10" t="s">
        <v>1682</v>
      </c>
      <c r="F2669" t="s">
        <v>820</v>
      </c>
      <c r="G2669" s="4">
        <v>4286</v>
      </c>
      <c r="H2669" s="4"/>
      <c r="I2669" s="4"/>
      <c r="J2669" s="4">
        <f>SUM(G2669:I2669)</f>
        <v>4286</v>
      </c>
      <c r="K2669" t="s">
        <v>1659</v>
      </c>
      <c r="L2669" t="s">
        <v>1659</v>
      </c>
      <c r="M2669" t="s">
        <v>1407</v>
      </c>
      <c r="N2669" t="s">
        <v>1132</v>
      </c>
      <c r="O2669" t="s">
        <v>1132</v>
      </c>
      <c r="P2669" t="str">
        <f>IFERROR(VLOOKUP(F2669,Sheet1!$A$2:$B$54,2,FALSE),"")</f>
        <v/>
      </c>
    </row>
    <row r="2670" spans="1:16" x14ac:dyDescent="0.2">
      <c r="A2670" s="1">
        <v>2021</v>
      </c>
      <c r="B2670" t="s">
        <v>323</v>
      </c>
      <c r="C2670" s="10" t="s">
        <v>1678</v>
      </c>
      <c r="D2670" s="10" t="s">
        <v>1679</v>
      </c>
      <c r="E2670" s="10" t="s">
        <v>1682</v>
      </c>
      <c r="F2670" t="s">
        <v>820</v>
      </c>
      <c r="G2670" s="4">
        <v>4578</v>
      </c>
      <c r="H2670" s="4"/>
      <c r="I2670" s="4"/>
      <c r="J2670" s="4">
        <f>SUM(G2670:I2670)</f>
        <v>4578</v>
      </c>
      <c r="K2670" t="s">
        <v>1659</v>
      </c>
      <c r="L2670" t="s">
        <v>1659</v>
      </c>
      <c r="M2670" t="s">
        <v>820</v>
      </c>
      <c r="N2670" t="s">
        <v>1132</v>
      </c>
      <c r="O2670" t="s">
        <v>1132</v>
      </c>
      <c r="P2670" t="str">
        <f>IFERROR(VLOOKUP(F2670,Sheet1!$A$2:$B$54,2,FALSE),"")</f>
        <v/>
      </c>
    </row>
    <row r="2671" spans="1:16" x14ac:dyDescent="0.2">
      <c r="A2671" s="1">
        <v>2022</v>
      </c>
      <c r="B2671" t="s">
        <v>323</v>
      </c>
      <c r="C2671" s="10" t="s">
        <v>1678</v>
      </c>
      <c r="D2671" s="10" t="s">
        <v>1679</v>
      </c>
      <c r="E2671" s="10" t="s">
        <v>1682</v>
      </c>
      <c r="F2671" t="s">
        <v>820</v>
      </c>
      <c r="G2671" s="4">
        <v>5124</v>
      </c>
      <c r="H2671" s="4"/>
      <c r="I2671" s="4"/>
      <c r="J2671" s="4">
        <f>SUM(G2671:I2671)</f>
        <v>5124</v>
      </c>
      <c r="K2671" t="s">
        <v>1659</v>
      </c>
      <c r="L2671" t="s">
        <v>1659</v>
      </c>
      <c r="M2671" t="s">
        <v>820</v>
      </c>
      <c r="N2671" t="s">
        <v>1132</v>
      </c>
      <c r="O2671" t="s">
        <v>1132</v>
      </c>
      <c r="P2671" t="str">
        <f>IFERROR(VLOOKUP(F2671,Sheet1!$A$2:$B$54,2,FALSE),"")</f>
        <v/>
      </c>
    </row>
    <row r="2672" spans="1:16" x14ac:dyDescent="0.2">
      <c r="A2672" s="1">
        <v>2023</v>
      </c>
      <c r="B2672" t="s">
        <v>323</v>
      </c>
      <c r="C2672" s="10" t="s">
        <v>1678</v>
      </c>
      <c r="D2672" s="10" t="s">
        <v>1679</v>
      </c>
      <c r="E2672" s="10" t="s">
        <v>1682</v>
      </c>
      <c r="F2672" t="s">
        <v>820</v>
      </c>
      <c r="G2672" s="4">
        <v>4136</v>
      </c>
      <c r="H2672" s="4"/>
      <c r="I2672" s="4"/>
      <c r="J2672" s="4">
        <f>SUM(G2672:I2672)</f>
        <v>4136</v>
      </c>
      <c r="K2672" t="s">
        <v>1659</v>
      </c>
      <c r="L2672" t="s">
        <v>1659</v>
      </c>
      <c r="M2672" t="s">
        <v>820</v>
      </c>
      <c r="N2672" t="s">
        <v>1132</v>
      </c>
      <c r="O2672" t="s">
        <v>1132</v>
      </c>
      <c r="P2672" t="str">
        <f>IFERROR(VLOOKUP(F2672,Sheet1!$A$2:$B$54,2,FALSE),"")</f>
        <v/>
      </c>
    </row>
    <row r="2673" spans="1:16" x14ac:dyDescent="0.2">
      <c r="A2673" s="1">
        <v>2015</v>
      </c>
      <c r="B2673" t="s">
        <v>324</v>
      </c>
      <c r="C2673" s="10" t="s">
        <v>1678</v>
      </c>
      <c r="D2673" s="10" t="s">
        <v>1679</v>
      </c>
      <c r="E2673" s="10" t="s">
        <v>1682</v>
      </c>
      <c r="F2673" t="s">
        <v>821</v>
      </c>
      <c r="G2673" s="4">
        <v>19491</v>
      </c>
      <c r="H2673" s="4"/>
      <c r="I2673" s="4"/>
      <c r="J2673" s="4">
        <f>SUM(G2673:I2673)</f>
        <v>19491</v>
      </c>
      <c r="K2673" t="s">
        <v>1659</v>
      </c>
      <c r="L2673" t="s">
        <v>1659</v>
      </c>
      <c r="M2673" t="s">
        <v>1409</v>
      </c>
      <c r="N2673" t="s">
        <v>1132</v>
      </c>
      <c r="O2673" t="s">
        <v>1132</v>
      </c>
      <c r="P2673" t="str">
        <f>IFERROR(VLOOKUP(F2673,Sheet1!$A$2:$B$54,2,FALSE),"")</f>
        <v/>
      </c>
    </row>
    <row r="2674" spans="1:16" x14ac:dyDescent="0.2">
      <c r="A2674" s="1">
        <v>2016</v>
      </c>
      <c r="B2674" t="s">
        <v>324</v>
      </c>
      <c r="C2674" s="10" t="s">
        <v>1678</v>
      </c>
      <c r="D2674" s="10" t="s">
        <v>1679</v>
      </c>
      <c r="E2674" s="10" t="s">
        <v>1682</v>
      </c>
      <c r="F2674" t="s">
        <v>821</v>
      </c>
      <c r="G2674" s="4">
        <v>22318</v>
      </c>
      <c r="H2674" s="4"/>
      <c r="I2674" s="4"/>
      <c r="J2674" s="4">
        <f>SUM(G2674:I2674)</f>
        <v>22318</v>
      </c>
      <c r="K2674" t="s">
        <v>1659</v>
      </c>
      <c r="L2674" t="s">
        <v>1659</v>
      </c>
      <c r="M2674" t="s">
        <v>1409</v>
      </c>
      <c r="N2674" t="s">
        <v>1132</v>
      </c>
      <c r="O2674" t="s">
        <v>1132</v>
      </c>
      <c r="P2674" t="str">
        <f>IFERROR(VLOOKUP(F2674,Sheet1!$A$2:$B$54,2,FALSE),"")</f>
        <v/>
      </c>
    </row>
    <row r="2675" spans="1:16" x14ac:dyDescent="0.2">
      <c r="A2675" s="1">
        <v>2017</v>
      </c>
      <c r="B2675" t="s">
        <v>324</v>
      </c>
      <c r="C2675" s="10" t="s">
        <v>1678</v>
      </c>
      <c r="D2675" s="10" t="s">
        <v>1679</v>
      </c>
      <c r="E2675" s="10" t="s">
        <v>1682</v>
      </c>
      <c r="F2675" t="s">
        <v>821</v>
      </c>
      <c r="G2675" s="4">
        <v>19236</v>
      </c>
      <c r="H2675" s="4"/>
      <c r="I2675" s="4"/>
      <c r="J2675" s="4">
        <f>SUM(G2675:I2675)</f>
        <v>19236</v>
      </c>
      <c r="K2675" t="s">
        <v>1659</v>
      </c>
      <c r="L2675" t="s">
        <v>1659</v>
      </c>
      <c r="M2675" t="s">
        <v>1409</v>
      </c>
      <c r="N2675" t="s">
        <v>1132</v>
      </c>
      <c r="O2675" t="s">
        <v>1132</v>
      </c>
      <c r="P2675" t="str">
        <f>IFERROR(VLOOKUP(F2675,Sheet1!$A$2:$B$54,2,FALSE),"")</f>
        <v/>
      </c>
    </row>
    <row r="2676" spans="1:16" x14ac:dyDescent="0.2">
      <c r="A2676" s="1">
        <v>2018</v>
      </c>
      <c r="B2676" t="s">
        <v>324</v>
      </c>
      <c r="C2676" s="10" t="s">
        <v>1678</v>
      </c>
      <c r="D2676" s="10" t="s">
        <v>1679</v>
      </c>
      <c r="E2676" s="10" t="s">
        <v>1682</v>
      </c>
      <c r="F2676" t="s">
        <v>821</v>
      </c>
      <c r="G2676" s="4">
        <v>25354</v>
      </c>
      <c r="H2676" s="4"/>
      <c r="I2676" s="4"/>
      <c r="J2676" s="4">
        <f>SUM(G2676:I2676)</f>
        <v>25354</v>
      </c>
      <c r="K2676" t="s">
        <v>1659</v>
      </c>
      <c r="L2676" t="s">
        <v>1659</v>
      </c>
      <c r="M2676" t="s">
        <v>1409</v>
      </c>
      <c r="N2676" t="s">
        <v>1132</v>
      </c>
      <c r="O2676" t="s">
        <v>1132</v>
      </c>
      <c r="P2676" t="str">
        <f>IFERROR(VLOOKUP(F2676,Sheet1!$A$2:$B$54,2,FALSE),"")</f>
        <v/>
      </c>
    </row>
    <row r="2677" spans="1:16" x14ac:dyDescent="0.2">
      <c r="A2677" s="1">
        <v>2019</v>
      </c>
      <c r="B2677" t="s">
        <v>324</v>
      </c>
      <c r="C2677" s="10" t="s">
        <v>1678</v>
      </c>
      <c r="D2677" s="10" t="s">
        <v>1679</v>
      </c>
      <c r="E2677" s="10" t="s">
        <v>1682</v>
      </c>
      <c r="F2677" t="s">
        <v>821</v>
      </c>
      <c r="G2677" s="4">
        <v>34794</v>
      </c>
      <c r="H2677" s="4"/>
      <c r="I2677" s="4"/>
      <c r="J2677" s="4">
        <f>SUM(G2677:I2677)</f>
        <v>34794</v>
      </c>
      <c r="K2677" t="s">
        <v>1659</v>
      </c>
      <c r="L2677" t="s">
        <v>1659</v>
      </c>
      <c r="M2677" t="s">
        <v>1409</v>
      </c>
      <c r="N2677" t="s">
        <v>1132</v>
      </c>
      <c r="O2677" t="s">
        <v>1132</v>
      </c>
      <c r="P2677" t="str">
        <f>IFERROR(VLOOKUP(F2677,Sheet1!$A$2:$B$54,2,FALSE),"")</f>
        <v/>
      </c>
    </row>
    <row r="2678" spans="1:16" x14ac:dyDescent="0.2">
      <c r="A2678" s="1">
        <v>2020</v>
      </c>
      <c r="B2678" t="s">
        <v>324</v>
      </c>
      <c r="C2678" s="10" t="s">
        <v>1678</v>
      </c>
      <c r="D2678" s="10" t="s">
        <v>1679</v>
      </c>
      <c r="E2678" s="10" t="s">
        <v>1682</v>
      </c>
      <c r="F2678" t="s">
        <v>821</v>
      </c>
      <c r="G2678" s="4">
        <v>42744</v>
      </c>
      <c r="H2678" s="4"/>
      <c r="I2678" s="4"/>
      <c r="J2678" s="4">
        <f>SUM(G2678:I2678)</f>
        <v>42744</v>
      </c>
      <c r="K2678" t="s">
        <v>1659</v>
      </c>
      <c r="L2678" t="s">
        <v>1659</v>
      </c>
      <c r="M2678" t="s">
        <v>1409</v>
      </c>
      <c r="N2678" t="s">
        <v>1132</v>
      </c>
      <c r="O2678" t="s">
        <v>1132</v>
      </c>
      <c r="P2678" t="str">
        <f>IFERROR(VLOOKUP(F2678,Sheet1!$A$2:$B$54,2,FALSE),"")</f>
        <v/>
      </c>
    </row>
    <row r="2679" spans="1:16" x14ac:dyDescent="0.2">
      <c r="A2679" s="1">
        <v>2021</v>
      </c>
      <c r="B2679" t="s">
        <v>324</v>
      </c>
      <c r="C2679" s="10" t="s">
        <v>1678</v>
      </c>
      <c r="D2679" s="10" t="s">
        <v>1679</v>
      </c>
      <c r="E2679" s="10" t="s">
        <v>1682</v>
      </c>
      <c r="F2679" t="s">
        <v>821</v>
      </c>
      <c r="G2679" s="4">
        <v>50722</v>
      </c>
      <c r="H2679" s="4"/>
      <c r="I2679" s="4"/>
      <c r="J2679" s="4">
        <f>SUM(G2679:I2679)</f>
        <v>50722</v>
      </c>
      <c r="K2679" t="s">
        <v>1659</v>
      </c>
      <c r="L2679" t="s">
        <v>1659</v>
      </c>
      <c r="M2679" t="s">
        <v>821</v>
      </c>
      <c r="N2679" t="s">
        <v>1132</v>
      </c>
      <c r="O2679" t="s">
        <v>1132</v>
      </c>
      <c r="P2679" t="str">
        <f>IFERROR(VLOOKUP(F2679,Sheet1!$A$2:$B$54,2,FALSE),"")</f>
        <v/>
      </c>
    </row>
    <row r="2680" spans="1:16" x14ac:dyDescent="0.2">
      <c r="A2680" s="1">
        <v>2022</v>
      </c>
      <c r="B2680" t="s">
        <v>324</v>
      </c>
      <c r="C2680" s="10" t="s">
        <v>1678</v>
      </c>
      <c r="D2680" s="10" t="s">
        <v>1679</v>
      </c>
      <c r="E2680" s="10" t="s">
        <v>1682</v>
      </c>
      <c r="F2680" t="s">
        <v>821</v>
      </c>
      <c r="G2680" s="4">
        <v>65161</v>
      </c>
      <c r="H2680" s="4"/>
      <c r="I2680" s="4"/>
      <c r="J2680" s="4">
        <f>SUM(G2680:I2680)</f>
        <v>65161</v>
      </c>
      <c r="K2680" t="s">
        <v>1659</v>
      </c>
      <c r="L2680" t="s">
        <v>1659</v>
      </c>
      <c r="M2680" t="s">
        <v>821</v>
      </c>
      <c r="N2680" t="s">
        <v>1132</v>
      </c>
      <c r="O2680" t="s">
        <v>1132</v>
      </c>
      <c r="P2680" t="str">
        <f>IFERROR(VLOOKUP(F2680,Sheet1!$A$2:$B$54,2,FALSE),"")</f>
        <v/>
      </c>
    </row>
    <row r="2681" spans="1:16" x14ac:dyDescent="0.2">
      <c r="A2681" s="1">
        <v>2023</v>
      </c>
      <c r="B2681" t="s">
        <v>324</v>
      </c>
      <c r="C2681" s="10" t="s">
        <v>1678</v>
      </c>
      <c r="D2681" s="10" t="s">
        <v>1679</v>
      </c>
      <c r="E2681" s="10" t="s">
        <v>1682</v>
      </c>
      <c r="F2681" t="s">
        <v>821</v>
      </c>
      <c r="G2681" s="4">
        <v>77403</v>
      </c>
      <c r="H2681" s="4"/>
      <c r="I2681" s="4"/>
      <c r="J2681" s="4">
        <f>SUM(G2681:I2681)</f>
        <v>77403</v>
      </c>
      <c r="K2681" t="s">
        <v>1659</v>
      </c>
      <c r="L2681" t="s">
        <v>1659</v>
      </c>
      <c r="M2681" t="s">
        <v>821</v>
      </c>
      <c r="N2681" t="s">
        <v>1132</v>
      </c>
      <c r="O2681" t="s">
        <v>1132</v>
      </c>
      <c r="P2681" t="str">
        <f>IFERROR(VLOOKUP(F2681,Sheet1!$A$2:$B$54,2,FALSE),"")</f>
        <v/>
      </c>
    </row>
    <row r="2682" spans="1:16" x14ac:dyDescent="0.2">
      <c r="A2682" s="1">
        <v>2015</v>
      </c>
      <c r="B2682" t="s">
        <v>325</v>
      </c>
      <c r="C2682" s="10" t="s">
        <v>1678</v>
      </c>
      <c r="D2682" s="10" t="s">
        <v>1679</v>
      </c>
      <c r="E2682" s="10" t="s">
        <v>1682</v>
      </c>
      <c r="F2682" t="s">
        <v>822</v>
      </c>
      <c r="G2682" s="4">
        <v>12526</v>
      </c>
      <c r="H2682" s="4"/>
      <c r="I2682" s="4"/>
      <c r="J2682" s="4">
        <f>SUM(G2682:I2682)</f>
        <v>12526</v>
      </c>
      <c r="K2682" t="s">
        <v>1659</v>
      </c>
      <c r="L2682" t="s">
        <v>1659</v>
      </c>
      <c r="M2682" t="s">
        <v>1410</v>
      </c>
      <c r="N2682" t="s">
        <v>1132</v>
      </c>
      <c r="O2682" t="s">
        <v>1132</v>
      </c>
      <c r="P2682" t="str">
        <f>IFERROR(VLOOKUP(F2682,Sheet1!$A$2:$B$54,2,FALSE),"")</f>
        <v/>
      </c>
    </row>
    <row r="2683" spans="1:16" x14ac:dyDescent="0.2">
      <c r="A2683" s="1">
        <v>2016</v>
      </c>
      <c r="B2683" t="s">
        <v>325</v>
      </c>
      <c r="C2683" s="10" t="s">
        <v>1678</v>
      </c>
      <c r="D2683" s="10" t="s">
        <v>1679</v>
      </c>
      <c r="E2683" s="10" t="s">
        <v>1682</v>
      </c>
      <c r="F2683" t="s">
        <v>822</v>
      </c>
      <c r="G2683" s="4">
        <v>20192</v>
      </c>
      <c r="H2683" s="4"/>
      <c r="I2683" s="4"/>
      <c r="J2683" s="4">
        <f>SUM(G2683:I2683)</f>
        <v>20192</v>
      </c>
      <c r="K2683" t="s">
        <v>1659</v>
      </c>
      <c r="L2683" t="s">
        <v>1659</v>
      </c>
      <c r="M2683" t="s">
        <v>1410</v>
      </c>
      <c r="N2683" t="s">
        <v>1132</v>
      </c>
      <c r="O2683" t="s">
        <v>1132</v>
      </c>
      <c r="P2683" t="str">
        <f>IFERROR(VLOOKUP(F2683,Sheet1!$A$2:$B$54,2,FALSE),"")</f>
        <v/>
      </c>
    </row>
    <row r="2684" spans="1:16" x14ac:dyDescent="0.2">
      <c r="A2684" s="1">
        <v>2017</v>
      </c>
      <c r="B2684" t="s">
        <v>325</v>
      </c>
      <c r="C2684" s="10" t="s">
        <v>1678</v>
      </c>
      <c r="D2684" s="10" t="s">
        <v>1679</v>
      </c>
      <c r="E2684" s="10" t="s">
        <v>1682</v>
      </c>
      <c r="F2684" t="s">
        <v>822</v>
      </c>
      <c r="G2684" s="4">
        <v>29440</v>
      </c>
      <c r="H2684" s="4"/>
      <c r="I2684" s="4"/>
      <c r="J2684" s="4">
        <f>SUM(G2684:I2684)</f>
        <v>29440</v>
      </c>
      <c r="K2684" t="s">
        <v>1659</v>
      </c>
      <c r="L2684" t="s">
        <v>1659</v>
      </c>
      <c r="M2684" t="s">
        <v>1411</v>
      </c>
      <c r="N2684" t="s">
        <v>1132</v>
      </c>
      <c r="O2684" t="s">
        <v>1132</v>
      </c>
      <c r="P2684" t="str">
        <f>IFERROR(VLOOKUP(F2684,Sheet1!$A$2:$B$54,2,FALSE),"")</f>
        <v/>
      </c>
    </row>
    <row r="2685" spans="1:16" x14ac:dyDescent="0.2">
      <c r="A2685" s="1">
        <v>2018</v>
      </c>
      <c r="B2685" t="s">
        <v>325</v>
      </c>
      <c r="C2685" s="10" t="s">
        <v>1678</v>
      </c>
      <c r="D2685" s="10" t="s">
        <v>1679</v>
      </c>
      <c r="E2685" s="10" t="s">
        <v>1682</v>
      </c>
      <c r="F2685" t="s">
        <v>822</v>
      </c>
      <c r="G2685" s="4">
        <v>43666</v>
      </c>
      <c r="H2685" s="4"/>
      <c r="I2685" s="4"/>
      <c r="J2685" s="4">
        <f>SUM(G2685:I2685)</f>
        <v>43666</v>
      </c>
      <c r="K2685" t="s">
        <v>1659</v>
      </c>
      <c r="L2685" t="s">
        <v>1659</v>
      </c>
      <c r="M2685" t="s">
        <v>1411</v>
      </c>
      <c r="N2685" t="s">
        <v>1132</v>
      </c>
      <c r="O2685" t="s">
        <v>1132</v>
      </c>
      <c r="P2685" t="str">
        <f>IFERROR(VLOOKUP(F2685,Sheet1!$A$2:$B$54,2,FALSE),"")</f>
        <v/>
      </c>
    </row>
    <row r="2686" spans="1:16" x14ac:dyDescent="0.2">
      <c r="A2686" s="1">
        <v>2019</v>
      </c>
      <c r="B2686" t="s">
        <v>325</v>
      </c>
      <c r="C2686" s="10" t="s">
        <v>1678</v>
      </c>
      <c r="D2686" s="10" t="s">
        <v>1679</v>
      </c>
      <c r="E2686" s="10" t="s">
        <v>1682</v>
      </c>
      <c r="F2686" t="s">
        <v>822</v>
      </c>
      <c r="G2686" s="4">
        <v>51600</v>
      </c>
      <c r="H2686" s="4"/>
      <c r="I2686" s="4"/>
      <c r="J2686" s="4">
        <f>SUM(G2686:I2686)</f>
        <v>51600</v>
      </c>
      <c r="K2686" t="s">
        <v>1659</v>
      </c>
      <c r="L2686" t="s">
        <v>1659</v>
      </c>
      <c r="M2686" t="s">
        <v>1412</v>
      </c>
      <c r="N2686" t="s">
        <v>1132</v>
      </c>
      <c r="O2686" t="s">
        <v>1132</v>
      </c>
      <c r="P2686" t="str">
        <f>IFERROR(VLOOKUP(F2686,Sheet1!$A$2:$B$54,2,FALSE),"")</f>
        <v/>
      </c>
    </row>
    <row r="2687" spans="1:16" x14ac:dyDescent="0.2">
      <c r="A2687" s="1">
        <v>2020</v>
      </c>
      <c r="B2687" t="s">
        <v>325</v>
      </c>
      <c r="C2687" s="10" t="s">
        <v>1678</v>
      </c>
      <c r="D2687" s="10" t="s">
        <v>1679</v>
      </c>
      <c r="E2687" s="10" t="s">
        <v>1682</v>
      </c>
      <c r="F2687" t="s">
        <v>822</v>
      </c>
      <c r="G2687" s="4">
        <v>54819</v>
      </c>
      <c r="H2687" s="4"/>
      <c r="I2687" s="4"/>
      <c r="J2687" s="4">
        <f>SUM(G2687:I2687)</f>
        <v>54819</v>
      </c>
      <c r="K2687" t="s">
        <v>1659</v>
      </c>
      <c r="L2687" t="s">
        <v>1659</v>
      </c>
      <c r="M2687" t="s">
        <v>1411</v>
      </c>
      <c r="N2687" t="s">
        <v>1132</v>
      </c>
      <c r="O2687" t="s">
        <v>1132</v>
      </c>
      <c r="P2687" t="str">
        <f>IFERROR(VLOOKUP(F2687,Sheet1!$A$2:$B$54,2,FALSE),"")</f>
        <v/>
      </c>
    </row>
    <row r="2688" spans="1:16" x14ac:dyDescent="0.2">
      <c r="A2688" s="1">
        <v>2021</v>
      </c>
      <c r="B2688" t="s">
        <v>325</v>
      </c>
      <c r="C2688" s="10" t="s">
        <v>1678</v>
      </c>
      <c r="D2688" s="10" t="s">
        <v>1679</v>
      </c>
      <c r="E2688" s="10" t="s">
        <v>1682</v>
      </c>
      <c r="F2688" t="s">
        <v>822</v>
      </c>
      <c r="G2688" s="4">
        <v>60450</v>
      </c>
      <c r="H2688" s="4"/>
      <c r="I2688" s="4"/>
      <c r="J2688" s="4">
        <f>SUM(G2688:I2688)</f>
        <v>60450</v>
      </c>
      <c r="K2688" t="s">
        <v>1659</v>
      </c>
      <c r="L2688" t="s">
        <v>1659</v>
      </c>
      <c r="M2688" t="s">
        <v>822</v>
      </c>
      <c r="N2688" t="s">
        <v>1132</v>
      </c>
      <c r="O2688" t="s">
        <v>1132</v>
      </c>
      <c r="P2688" t="str">
        <f>IFERROR(VLOOKUP(F2688,Sheet1!$A$2:$B$54,2,FALSE),"")</f>
        <v/>
      </c>
    </row>
    <row r="2689" spans="1:16" x14ac:dyDescent="0.2">
      <c r="A2689" s="1">
        <v>2022</v>
      </c>
      <c r="B2689" t="s">
        <v>325</v>
      </c>
      <c r="C2689" s="10" t="s">
        <v>1678</v>
      </c>
      <c r="D2689" s="10" t="s">
        <v>1679</v>
      </c>
      <c r="E2689" s="10" t="s">
        <v>1682</v>
      </c>
      <c r="F2689" t="s">
        <v>822</v>
      </c>
      <c r="G2689" s="4">
        <v>69790</v>
      </c>
      <c r="H2689" s="4"/>
      <c r="I2689" s="4"/>
      <c r="J2689" s="4">
        <f>SUM(G2689:I2689)</f>
        <v>69790</v>
      </c>
      <c r="K2689" t="s">
        <v>1659</v>
      </c>
      <c r="L2689" t="s">
        <v>1659</v>
      </c>
      <c r="M2689" t="s">
        <v>822</v>
      </c>
      <c r="N2689" t="s">
        <v>1132</v>
      </c>
      <c r="O2689" t="s">
        <v>1132</v>
      </c>
      <c r="P2689" t="str">
        <f>IFERROR(VLOOKUP(F2689,Sheet1!$A$2:$B$54,2,FALSE),"")</f>
        <v/>
      </c>
    </row>
    <row r="2690" spans="1:16" x14ac:dyDescent="0.2">
      <c r="A2690" s="1">
        <v>2023</v>
      </c>
      <c r="B2690" t="s">
        <v>325</v>
      </c>
      <c r="C2690" s="10" t="s">
        <v>1678</v>
      </c>
      <c r="D2690" s="10" t="s">
        <v>1679</v>
      </c>
      <c r="E2690" s="10" t="s">
        <v>1682</v>
      </c>
      <c r="F2690" t="s">
        <v>822</v>
      </c>
      <c r="G2690" s="4">
        <v>83905</v>
      </c>
      <c r="H2690" s="4"/>
      <c r="I2690" s="4"/>
      <c r="J2690" s="4">
        <f>SUM(G2690:I2690)</f>
        <v>83905</v>
      </c>
      <c r="K2690" t="s">
        <v>1659</v>
      </c>
      <c r="L2690" t="s">
        <v>1659</v>
      </c>
      <c r="M2690" t="s">
        <v>822</v>
      </c>
      <c r="N2690" t="s">
        <v>1132</v>
      </c>
      <c r="O2690" t="s">
        <v>1132</v>
      </c>
      <c r="P2690" t="str">
        <f>IFERROR(VLOOKUP(F2690,Sheet1!$A$2:$B$54,2,FALSE),"")</f>
        <v/>
      </c>
    </row>
    <row r="2691" spans="1:16" x14ac:dyDescent="0.2">
      <c r="A2691" s="1">
        <v>2015</v>
      </c>
      <c r="B2691" t="s">
        <v>308</v>
      </c>
      <c r="C2691" s="10" t="s">
        <v>1678</v>
      </c>
      <c r="D2691" s="10" t="s">
        <v>1679</v>
      </c>
      <c r="E2691" s="10" t="s">
        <v>1682</v>
      </c>
      <c r="F2691" t="s">
        <v>805</v>
      </c>
      <c r="G2691" s="4">
        <v>140850</v>
      </c>
      <c r="H2691" s="4">
        <v>3716709</v>
      </c>
      <c r="I2691" s="4">
        <v>8080</v>
      </c>
      <c r="J2691" s="4">
        <f>SUM(G2691:I2691)</f>
        <v>3865639</v>
      </c>
      <c r="K2691" t="s">
        <v>1660</v>
      </c>
      <c r="L2691" t="s">
        <v>1660</v>
      </c>
      <c r="M2691" t="s">
        <v>1381</v>
      </c>
      <c r="N2691" t="s">
        <v>1381</v>
      </c>
      <c r="O2691" t="s">
        <v>1381</v>
      </c>
      <c r="P2691">
        <f>IFERROR(VLOOKUP(F2691,Sheet1!$A$2:$B$54,2,FALSE),"")</f>
        <v>4900930</v>
      </c>
    </row>
    <row r="2692" spans="1:16" x14ac:dyDescent="0.2">
      <c r="A2692" s="1">
        <v>2016</v>
      </c>
      <c r="B2692" t="s">
        <v>308</v>
      </c>
      <c r="C2692" s="10" t="s">
        <v>1678</v>
      </c>
      <c r="D2692" s="10" t="s">
        <v>1679</v>
      </c>
      <c r="E2692" s="10" t="s">
        <v>1682</v>
      </c>
      <c r="F2692" t="s">
        <v>805</v>
      </c>
      <c r="G2692" s="4">
        <v>165257</v>
      </c>
      <c r="H2692" s="4">
        <v>3748948</v>
      </c>
      <c r="I2692" s="4">
        <v>7796</v>
      </c>
      <c r="J2692" s="4">
        <f>SUM(G2692:I2692)</f>
        <v>3922001</v>
      </c>
      <c r="K2692" t="s">
        <v>1660</v>
      </c>
      <c r="L2692" t="s">
        <v>1660</v>
      </c>
      <c r="M2692" t="s">
        <v>1381</v>
      </c>
      <c r="N2692" t="s">
        <v>1381</v>
      </c>
      <c r="O2692" t="s">
        <v>1381</v>
      </c>
      <c r="P2692">
        <f>IFERROR(VLOOKUP(F2692,Sheet1!$A$2:$B$54,2,FALSE),"")</f>
        <v>4900930</v>
      </c>
    </row>
    <row r="2693" spans="1:16" x14ac:dyDescent="0.2">
      <c r="A2693" s="1">
        <v>2017</v>
      </c>
      <c r="B2693" t="s">
        <v>308</v>
      </c>
      <c r="C2693" s="10" t="s">
        <v>1678</v>
      </c>
      <c r="D2693" s="10" t="s">
        <v>1679</v>
      </c>
      <c r="E2693" s="10" t="s">
        <v>1682</v>
      </c>
      <c r="F2693" t="s">
        <v>805</v>
      </c>
      <c r="G2693" s="4">
        <v>186665</v>
      </c>
      <c r="H2693" s="4">
        <v>3810763</v>
      </c>
      <c r="I2693" s="4">
        <v>8039</v>
      </c>
      <c r="J2693" s="4">
        <f>SUM(G2693:I2693)</f>
        <v>4005467</v>
      </c>
      <c r="K2693" t="s">
        <v>1660</v>
      </c>
      <c r="L2693" t="s">
        <v>1660</v>
      </c>
      <c r="M2693" t="s">
        <v>1381</v>
      </c>
      <c r="N2693" t="s">
        <v>1381</v>
      </c>
      <c r="O2693" t="s">
        <v>1381</v>
      </c>
      <c r="P2693">
        <f>IFERROR(VLOOKUP(F2693,Sheet1!$A$2:$B$54,2,FALSE),"")</f>
        <v>4900930</v>
      </c>
    </row>
    <row r="2694" spans="1:16" x14ac:dyDescent="0.2">
      <c r="A2694" s="1">
        <v>2018</v>
      </c>
      <c r="B2694" t="s">
        <v>308</v>
      </c>
      <c r="C2694" s="10" t="s">
        <v>1678</v>
      </c>
      <c r="D2694" s="10" t="s">
        <v>1679</v>
      </c>
      <c r="E2694" s="10" t="s">
        <v>1682</v>
      </c>
      <c r="F2694" t="s">
        <v>805</v>
      </c>
      <c r="G2694" s="4">
        <v>258644</v>
      </c>
      <c r="H2694" s="4">
        <v>3973447</v>
      </c>
      <c r="I2694" s="4">
        <v>3390</v>
      </c>
      <c r="J2694" s="4">
        <f>SUM(G2694:I2694)</f>
        <v>4235481</v>
      </c>
      <c r="K2694" t="s">
        <v>1660</v>
      </c>
      <c r="L2694" t="s">
        <v>1660</v>
      </c>
      <c r="M2694" t="s">
        <v>1381</v>
      </c>
      <c r="N2694" t="s">
        <v>1381</v>
      </c>
      <c r="O2694" t="s">
        <v>1381</v>
      </c>
      <c r="P2694">
        <f>IFERROR(VLOOKUP(F2694,Sheet1!$A$2:$B$54,2,FALSE),"")</f>
        <v>4900930</v>
      </c>
    </row>
    <row r="2695" spans="1:16" x14ac:dyDescent="0.2">
      <c r="A2695" s="1">
        <v>2019</v>
      </c>
      <c r="B2695" t="s">
        <v>308</v>
      </c>
      <c r="C2695" s="10" t="s">
        <v>1678</v>
      </c>
      <c r="D2695" s="10" t="s">
        <v>1679</v>
      </c>
      <c r="E2695" s="10" t="s">
        <v>1682</v>
      </c>
      <c r="F2695" t="s">
        <v>805</v>
      </c>
      <c r="G2695" s="4">
        <v>340320</v>
      </c>
      <c r="H2695" s="4">
        <v>3962049</v>
      </c>
      <c r="I2695" s="4">
        <v>0</v>
      </c>
      <c r="J2695" s="4">
        <f>SUM(G2695:I2695)</f>
        <v>4302369</v>
      </c>
      <c r="K2695" t="s">
        <v>1660</v>
      </c>
      <c r="L2695" t="s">
        <v>1660</v>
      </c>
      <c r="M2695" t="s">
        <v>1381</v>
      </c>
      <c r="N2695" t="s">
        <v>1381</v>
      </c>
      <c r="O2695" t="s">
        <v>1381</v>
      </c>
      <c r="P2695">
        <f>IFERROR(VLOOKUP(F2695,Sheet1!$A$2:$B$54,2,FALSE),"")</f>
        <v>4900930</v>
      </c>
    </row>
    <row r="2696" spans="1:16" x14ac:dyDescent="0.2">
      <c r="A2696" s="1">
        <v>2020</v>
      </c>
      <c r="B2696" t="s">
        <v>308</v>
      </c>
      <c r="C2696" s="10" t="s">
        <v>1678</v>
      </c>
      <c r="D2696" s="10" t="s">
        <v>1679</v>
      </c>
      <c r="E2696" s="10" t="s">
        <v>1682</v>
      </c>
      <c r="F2696" t="s">
        <v>805</v>
      </c>
      <c r="G2696" s="4">
        <v>423776</v>
      </c>
      <c r="H2696" s="4">
        <v>4085349</v>
      </c>
      <c r="I2696" s="4">
        <v>0</v>
      </c>
      <c r="J2696" s="4">
        <f>SUM(G2696:I2696)</f>
        <v>4509125</v>
      </c>
      <c r="K2696" t="s">
        <v>1660</v>
      </c>
      <c r="L2696" t="s">
        <v>1660</v>
      </c>
      <c r="M2696" t="s">
        <v>1381</v>
      </c>
      <c r="N2696" t="s">
        <v>1381</v>
      </c>
      <c r="O2696" t="s">
        <v>1381</v>
      </c>
      <c r="P2696">
        <f>IFERROR(VLOOKUP(F2696,Sheet1!$A$2:$B$54,2,FALSE),"")</f>
        <v>4900930</v>
      </c>
    </row>
    <row r="2697" spans="1:16" x14ac:dyDescent="0.2">
      <c r="A2697" s="1">
        <v>2021</v>
      </c>
      <c r="B2697" t="s">
        <v>308</v>
      </c>
      <c r="C2697" s="10" t="s">
        <v>1678</v>
      </c>
      <c r="D2697" s="10" t="s">
        <v>1679</v>
      </c>
      <c r="E2697" s="10" t="s">
        <v>1682</v>
      </c>
      <c r="F2697" t="s">
        <v>805</v>
      </c>
      <c r="G2697" s="4">
        <v>536192</v>
      </c>
      <c r="H2697" s="4">
        <v>4285818</v>
      </c>
      <c r="I2697" s="4">
        <v>0</v>
      </c>
      <c r="J2697" s="4">
        <f>SUM(G2697:I2697)</f>
        <v>4822010</v>
      </c>
      <c r="K2697" t="s">
        <v>1660</v>
      </c>
      <c r="L2697" t="s">
        <v>1660</v>
      </c>
      <c r="M2697" t="s">
        <v>805</v>
      </c>
      <c r="N2697" t="s">
        <v>805</v>
      </c>
      <c r="O2697" t="s">
        <v>805</v>
      </c>
      <c r="P2697">
        <f>IFERROR(VLOOKUP(F2697,Sheet1!$A$2:$B$54,2,FALSE),"")</f>
        <v>4900930</v>
      </c>
    </row>
    <row r="2698" spans="1:16" x14ac:dyDescent="0.2">
      <c r="A2698" s="1">
        <v>2022</v>
      </c>
      <c r="B2698" t="s">
        <v>308</v>
      </c>
      <c r="C2698" s="10" t="s">
        <v>1678</v>
      </c>
      <c r="D2698" s="10" t="s">
        <v>1679</v>
      </c>
      <c r="E2698" s="10" t="s">
        <v>1682</v>
      </c>
      <c r="F2698" t="s">
        <v>805</v>
      </c>
      <c r="G2698" s="4">
        <v>672939</v>
      </c>
      <c r="H2698" s="4">
        <v>4523080</v>
      </c>
      <c r="I2698" s="4">
        <v>0</v>
      </c>
      <c r="J2698" s="4">
        <f>SUM(G2698:I2698)</f>
        <v>5196019</v>
      </c>
      <c r="K2698" t="s">
        <v>1660</v>
      </c>
      <c r="L2698" t="s">
        <v>1660</v>
      </c>
      <c r="M2698" t="s">
        <v>805</v>
      </c>
      <c r="N2698" t="s">
        <v>805</v>
      </c>
      <c r="O2698" t="s">
        <v>805</v>
      </c>
      <c r="P2698">
        <f>IFERROR(VLOOKUP(F2698,Sheet1!$A$2:$B$54,2,FALSE),"")</f>
        <v>4900930</v>
      </c>
    </row>
    <row r="2699" spans="1:16" x14ac:dyDescent="0.2">
      <c r="A2699" s="1">
        <v>2023</v>
      </c>
      <c r="B2699" t="s">
        <v>308</v>
      </c>
      <c r="C2699" s="10" t="s">
        <v>1678</v>
      </c>
      <c r="D2699" s="10" t="s">
        <v>1679</v>
      </c>
      <c r="E2699" s="10" t="s">
        <v>1682</v>
      </c>
      <c r="F2699" t="s">
        <v>805</v>
      </c>
      <c r="G2699" s="4">
        <v>808092</v>
      </c>
      <c r="H2699" s="4">
        <v>4757637</v>
      </c>
      <c r="I2699" s="4"/>
      <c r="J2699" s="4">
        <f>SUM(G2699:I2699)</f>
        <v>5565729</v>
      </c>
      <c r="K2699" t="s">
        <v>1660</v>
      </c>
      <c r="L2699" t="s">
        <v>1659</v>
      </c>
      <c r="M2699" t="s">
        <v>805</v>
      </c>
      <c r="N2699" t="s">
        <v>805</v>
      </c>
      <c r="O2699" t="s">
        <v>1132</v>
      </c>
      <c r="P2699">
        <f>IFERROR(VLOOKUP(F2699,Sheet1!$A$2:$B$54,2,FALSE),"")</f>
        <v>4900930</v>
      </c>
    </row>
    <row r="2700" spans="1:16" x14ac:dyDescent="0.2">
      <c r="A2700" s="1">
        <v>2015</v>
      </c>
      <c r="B2700" t="s">
        <v>326</v>
      </c>
      <c r="C2700" s="10" t="s">
        <v>1678</v>
      </c>
      <c r="D2700" s="10" t="s">
        <v>1679</v>
      </c>
      <c r="E2700" s="10" t="s">
        <v>1682</v>
      </c>
      <c r="F2700" t="s">
        <v>823</v>
      </c>
      <c r="G2700" s="4">
        <v>123117</v>
      </c>
      <c r="H2700" s="4">
        <v>2690254</v>
      </c>
      <c r="I2700" s="4"/>
      <c r="J2700" s="4">
        <f>SUM(G2700:I2700)</f>
        <v>2813371</v>
      </c>
      <c r="K2700" t="s">
        <v>1660</v>
      </c>
      <c r="L2700" t="s">
        <v>1659</v>
      </c>
      <c r="M2700" t="s">
        <v>1413</v>
      </c>
      <c r="N2700" t="s">
        <v>1413</v>
      </c>
      <c r="O2700" t="s">
        <v>1132</v>
      </c>
      <c r="P2700">
        <f>IFERROR(VLOOKUP(F2700,Sheet1!$A$2:$B$54,2,FALSE),"")</f>
        <v>4900960</v>
      </c>
    </row>
    <row r="2701" spans="1:16" x14ac:dyDescent="0.2">
      <c r="A2701" s="1">
        <v>2016</v>
      </c>
      <c r="B2701" t="s">
        <v>326</v>
      </c>
      <c r="C2701" s="10" t="s">
        <v>1678</v>
      </c>
      <c r="D2701" s="10" t="s">
        <v>1679</v>
      </c>
      <c r="E2701" s="10" t="s">
        <v>1682</v>
      </c>
      <c r="F2701" t="s">
        <v>823</v>
      </c>
      <c r="G2701" s="4">
        <v>152110</v>
      </c>
      <c r="H2701" s="4">
        <v>2743878</v>
      </c>
      <c r="I2701" s="4"/>
      <c r="J2701" s="4">
        <f>SUM(G2701:I2701)</f>
        <v>2895988</v>
      </c>
      <c r="K2701" t="s">
        <v>1660</v>
      </c>
      <c r="L2701" t="s">
        <v>1659</v>
      </c>
      <c r="M2701" t="s">
        <v>1413</v>
      </c>
      <c r="N2701" t="s">
        <v>1413</v>
      </c>
      <c r="O2701" t="s">
        <v>1132</v>
      </c>
      <c r="P2701">
        <f>IFERROR(VLOOKUP(F2701,Sheet1!$A$2:$B$54,2,FALSE),"")</f>
        <v>4900960</v>
      </c>
    </row>
    <row r="2702" spans="1:16" x14ac:dyDescent="0.2">
      <c r="A2702" s="1">
        <v>2017</v>
      </c>
      <c r="B2702" t="s">
        <v>326</v>
      </c>
      <c r="C2702" s="10" t="s">
        <v>1678</v>
      </c>
      <c r="D2702" s="10" t="s">
        <v>1679</v>
      </c>
      <c r="E2702" s="10" t="s">
        <v>1682</v>
      </c>
      <c r="F2702" t="s">
        <v>823</v>
      </c>
      <c r="G2702" s="4">
        <v>171743</v>
      </c>
      <c r="H2702" s="4">
        <v>2784013</v>
      </c>
      <c r="I2702" s="4"/>
      <c r="J2702" s="4">
        <f>SUM(G2702:I2702)</f>
        <v>2955756</v>
      </c>
      <c r="K2702" t="s">
        <v>1660</v>
      </c>
      <c r="L2702" t="s">
        <v>1659</v>
      </c>
      <c r="M2702" t="s">
        <v>1414</v>
      </c>
      <c r="N2702" t="s">
        <v>1414</v>
      </c>
      <c r="O2702" t="s">
        <v>1132</v>
      </c>
      <c r="P2702">
        <f>IFERROR(VLOOKUP(F2702,Sheet1!$A$2:$B$54,2,FALSE),"")</f>
        <v>4900960</v>
      </c>
    </row>
    <row r="2703" spans="1:16" x14ac:dyDescent="0.2">
      <c r="A2703" s="1">
        <v>2018</v>
      </c>
      <c r="B2703" t="s">
        <v>326</v>
      </c>
      <c r="C2703" s="10" t="s">
        <v>1678</v>
      </c>
      <c r="D2703" s="10" t="s">
        <v>1679</v>
      </c>
      <c r="E2703" s="10" t="s">
        <v>1682</v>
      </c>
      <c r="F2703" t="s">
        <v>823</v>
      </c>
      <c r="G2703" s="4">
        <v>206765</v>
      </c>
      <c r="H2703" s="4">
        <v>2864679</v>
      </c>
      <c r="I2703" s="4"/>
      <c r="J2703" s="4">
        <f>SUM(G2703:I2703)</f>
        <v>3071444</v>
      </c>
      <c r="K2703" t="s">
        <v>1660</v>
      </c>
      <c r="L2703" t="s">
        <v>1659</v>
      </c>
      <c r="M2703" t="s">
        <v>1414</v>
      </c>
      <c r="N2703" t="s">
        <v>1414</v>
      </c>
      <c r="O2703" t="s">
        <v>1132</v>
      </c>
      <c r="P2703">
        <f>IFERROR(VLOOKUP(F2703,Sheet1!$A$2:$B$54,2,FALSE),"")</f>
        <v>4900960</v>
      </c>
    </row>
    <row r="2704" spans="1:16" x14ac:dyDescent="0.2">
      <c r="A2704" s="1">
        <v>2019</v>
      </c>
      <c r="B2704" t="s">
        <v>326</v>
      </c>
      <c r="C2704" s="10" t="s">
        <v>1678</v>
      </c>
      <c r="D2704" s="10" t="s">
        <v>1679</v>
      </c>
      <c r="E2704" s="10" t="s">
        <v>1682</v>
      </c>
      <c r="F2704" t="s">
        <v>823</v>
      </c>
      <c r="G2704" s="4">
        <v>285868</v>
      </c>
      <c r="H2704" s="4">
        <v>3001449</v>
      </c>
      <c r="I2704" s="4"/>
      <c r="J2704" s="4">
        <f>SUM(G2704:I2704)</f>
        <v>3287317</v>
      </c>
      <c r="K2704" t="s">
        <v>1660</v>
      </c>
      <c r="L2704" t="s">
        <v>1659</v>
      </c>
      <c r="M2704" t="s">
        <v>1413</v>
      </c>
      <c r="N2704" t="s">
        <v>1413</v>
      </c>
      <c r="O2704" t="s">
        <v>1132</v>
      </c>
      <c r="P2704">
        <f>IFERROR(VLOOKUP(F2704,Sheet1!$A$2:$B$54,2,FALSE),"")</f>
        <v>4900960</v>
      </c>
    </row>
    <row r="2705" spans="1:16" x14ac:dyDescent="0.2">
      <c r="A2705" s="1">
        <v>2020</v>
      </c>
      <c r="B2705" t="s">
        <v>326</v>
      </c>
      <c r="C2705" s="10" t="s">
        <v>1678</v>
      </c>
      <c r="D2705" s="10" t="s">
        <v>1679</v>
      </c>
      <c r="E2705" s="10" t="s">
        <v>1682</v>
      </c>
      <c r="F2705" t="s">
        <v>823</v>
      </c>
      <c r="G2705" s="4">
        <v>334728</v>
      </c>
      <c r="H2705" s="4">
        <v>2961073</v>
      </c>
      <c r="I2705" s="4"/>
      <c r="J2705" s="4">
        <f>SUM(G2705:I2705)</f>
        <v>3295801</v>
      </c>
      <c r="K2705" t="s">
        <v>1660</v>
      </c>
      <c r="L2705" t="s">
        <v>1659</v>
      </c>
      <c r="M2705" t="s">
        <v>1414</v>
      </c>
      <c r="N2705" t="s">
        <v>1414</v>
      </c>
      <c r="O2705" t="s">
        <v>1132</v>
      </c>
      <c r="P2705">
        <f>IFERROR(VLOOKUP(F2705,Sheet1!$A$2:$B$54,2,FALSE),"")</f>
        <v>4900960</v>
      </c>
    </row>
    <row r="2706" spans="1:16" x14ac:dyDescent="0.2">
      <c r="A2706" s="1">
        <v>2021</v>
      </c>
      <c r="B2706" t="s">
        <v>326</v>
      </c>
      <c r="C2706" s="10" t="s">
        <v>1678</v>
      </c>
      <c r="D2706" s="10" t="s">
        <v>1679</v>
      </c>
      <c r="E2706" s="10" t="s">
        <v>1682</v>
      </c>
      <c r="F2706" t="s">
        <v>823</v>
      </c>
      <c r="G2706" s="4">
        <v>406399</v>
      </c>
      <c r="H2706" s="4">
        <v>2951838</v>
      </c>
      <c r="I2706" s="4"/>
      <c r="J2706" s="4">
        <f>SUM(G2706:I2706)</f>
        <v>3358237</v>
      </c>
      <c r="K2706" t="s">
        <v>1660</v>
      </c>
      <c r="L2706" t="s">
        <v>1659</v>
      </c>
      <c r="M2706" t="s">
        <v>823</v>
      </c>
      <c r="N2706" t="s">
        <v>823</v>
      </c>
      <c r="O2706" t="s">
        <v>1132</v>
      </c>
      <c r="P2706">
        <f>IFERROR(VLOOKUP(F2706,Sheet1!$A$2:$B$54,2,FALSE),"")</f>
        <v>4900960</v>
      </c>
    </row>
    <row r="2707" spans="1:16" x14ac:dyDescent="0.2">
      <c r="A2707" s="1">
        <v>2022</v>
      </c>
      <c r="B2707" t="s">
        <v>326</v>
      </c>
      <c r="C2707" s="10" t="s">
        <v>1678</v>
      </c>
      <c r="D2707" s="10" t="s">
        <v>1679</v>
      </c>
      <c r="E2707" s="10" t="s">
        <v>1682</v>
      </c>
      <c r="F2707" t="s">
        <v>823</v>
      </c>
      <c r="G2707" s="4">
        <v>501629</v>
      </c>
      <c r="H2707" s="4">
        <v>2993173</v>
      </c>
      <c r="I2707" s="4"/>
      <c r="J2707" s="4">
        <f>SUM(G2707:I2707)</f>
        <v>3494802</v>
      </c>
      <c r="K2707" t="s">
        <v>1660</v>
      </c>
      <c r="L2707" t="s">
        <v>1659</v>
      </c>
      <c r="M2707" t="s">
        <v>823</v>
      </c>
      <c r="N2707" t="s">
        <v>823</v>
      </c>
      <c r="O2707" t="s">
        <v>1132</v>
      </c>
      <c r="P2707">
        <f>IFERROR(VLOOKUP(F2707,Sheet1!$A$2:$B$54,2,FALSE),"")</f>
        <v>4900960</v>
      </c>
    </row>
    <row r="2708" spans="1:16" x14ac:dyDescent="0.2">
      <c r="A2708" s="1">
        <v>2023</v>
      </c>
      <c r="B2708" t="s">
        <v>326</v>
      </c>
      <c r="C2708" s="10" t="s">
        <v>1678</v>
      </c>
      <c r="D2708" s="10" t="s">
        <v>1679</v>
      </c>
      <c r="E2708" s="10" t="s">
        <v>1682</v>
      </c>
      <c r="F2708" t="s">
        <v>823</v>
      </c>
      <c r="G2708" s="4">
        <v>574092</v>
      </c>
      <c r="H2708" s="4">
        <v>3182267</v>
      </c>
      <c r="I2708" s="4"/>
      <c r="J2708" s="4">
        <f>SUM(G2708:I2708)</f>
        <v>3756359</v>
      </c>
      <c r="K2708" t="s">
        <v>1660</v>
      </c>
      <c r="L2708" t="s">
        <v>1659</v>
      </c>
      <c r="M2708" t="s">
        <v>823</v>
      </c>
      <c r="N2708" t="s">
        <v>823</v>
      </c>
      <c r="O2708" t="s">
        <v>1132</v>
      </c>
      <c r="P2708">
        <f>IFERROR(VLOOKUP(F2708,Sheet1!$A$2:$B$54,2,FALSE),"")</f>
        <v>4900960</v>
      </c>
    </row>
    <row r="2709" spans="1:16" x14ac:dyDescent="0.2">
      <c r="A2709" s="1">
        <v>2015</v>
      </c>
      <c r="B2709" t="s">
        <v>328</v>
      </c>
      <c r="C2709" s="10" t="s">
        <v>1678</v>
      </c>
      <c r="D2709" s="10" t="s">
        <v>1679</v>
      </c>
      <c r="E2709" s="10" t="s">
        <v>1682</v>
      </c>
      <c r="F2709" t="s">
        <v>825</v>
      </c>
      <c r="G2709" s="4">
        <v>51846</v>
      </c>
      <c r="H2709" s="4"/>
      <c r="I2709" s="4"/>
      <c r="J2709" s="4">
        <f>SUM(G2709:I2709)</f>
        <v>51846</v>
      </c>
      <c r="K2709" t="s">
        <v>1659</v>
      </c>
      <c r="L2709" t="s">
        <v>1659</v>
      </c>
      <c r="M2709" t="s">
        <v>1416</v>
      </c>
      <c r="N2709" t="s">
        <v>1132</v>
      </c>
      <c r="O2709" t="s">
        <v>1132</v>
      </c>
      <c r="P2709" t="str">
        <f>IFERROR(VLOOKUP(F2709,Sheet1!$A$2:$B$54,2,FALSE),"")</f>
        <v/>
      </c>
    </row>
    <row r="2710" spans="1:16" x14ac:dyDescent="0.2">
      <c r="A2710" s="1">
        <v>2016</v>
      </c>
      <c r="B2710" t="s">
        <v>328</v>
      </c>
      <c r="C2710" s="10" t="s">
        <v>1678</v>
      </c>
      <c r="D2710" s="10" t="s">
        <v>1679</v>
      </c>
      <c r="E2710" s="10" t="s">
        <v>1682</v>
      </c>
      <c r="F2710" t="s">
        <v>825</v>
      </c>
      <c r="G2710" s="4">
        <v>57486</v>
      </c>
      <c r="H2710" s="4"/>
      <c r="I2710" s="4"/>
      <c r="J2710" s="4">
        <f>SUM(G2710:I2710)</f>
        <v>57486</v>
      </c>
      <c r="K2710" t="s">
        <v>1659</v>
      </c>
      <c r="L2710" t="s">
        <v>1659</v>
      </c>
      <c r="M2710" t="s">
        <v>1416</v>
      </c>
      <c r="N2710" t="s">
        <v>1132</v>
      </c>
      <c r="O2710" t="s">
        <v>1132</v>
      </c>
      <c r="P2710" t="str">
        <f>IFERROR(VLOOKUP(F2710,Sheet1!$A$2:$B$54,2,FALSE),"")</f>
        <v/>
      </c>
    </row>
    <row r="2711" spans="1:16" x14ac:dyDescent="0.2">
      <c r="A2711" s="1">
        <v>2017</v>
      </c>
      <c r="B2711" t="s">
        <v>328</v>
      </c>
      <c r="C2711" s="10" t="s">
        <v>1678</v>
      </c>
      <c r="D2711" s="10" t="s">
        <v>1679</v>
      </c>
      <c r="E2711" s="10" t="s">
        <v>1682</v>
      </c>
      <c r="F2711" t="s">
        <v>825</v>
      </c>
      <c r="G2711" s="4">
        <v>65924</v>
      </c>
      <c r="H2711" s="4"/>
      <c r="I2711" s="4"/>
      <c r="J2711" s="4">
        <f>SUM(G2711:I2711)</f>
        <v>65924</v>
      </c>
      <c r="K2711" t="s">
        <v>1659</v>
      </c>
      <c r="L2711" t="s">
        <v>1659</v>
      </c>
      <c r="M2711" t="s">
        <v>1416</v>
      </c>
      <c r="N2711" t="s">
        <v>1132</v>
      </c>
      <c r="O2711" t="s">
        <v>1132</v>
      </c>
      <c r="P2711" t="str">
        <f>IFERROR(VLOOKUP(F2711,Sheet1!$A$2:$B$54,2,FALSE),"")</f>
        <v/>
      </c>
    </row>
    <row r="2712" spans="1:16" x14ac:dyDescent="0.2">
      <c r="A2712" s="1">
        <v>2018</v>
      </c>
      <c r="B2712" t="s">
        <v>328</v>
      </c>
      <c r="C2712" s="10" t="s">
        <v>1678</v>
      </c>
      <c r="D2712" s="10" t="s">
        <v>1679</v>
      </c>
      <c r="E2712" s="10" t="s">
        <v>1682</v>
      </c>
      <c r="F2712" t="s">
        <v>825</v>
      </c>
      <c r="G2712" s="4">
        <v>91688</v>
      </c>
      <c r="H2712" s="4"/>
      <c r="I2712" s="4"/>
      <c r="J2712" s="4">
        <f>SUM(G2712:I2712)</f>
        <v>91688</v>
      </c>
      <c r="K2712" t="s">
        <v>1659</v>
      </c>
      <c r="L2712" t="s">
        <v>1659</v>
      </c>
      <c r="M2712" t="s">
        <v>1416</v>
      </c>
      <c r="N2712" t="s">
        <v>1132</v>
      </c>
      <c r="O2712" t="s">
        <v>1132</v>
      </c>
      <c r="P2712" t="str">
        <f>IFERROR(VLOOKUP(F2712,Sheet1!$A$2:$B$54,2,FALSE),"")</f>
        <v/>
      </c>
    </row>
    <row r="2713" spans="1:16" x14ac:dyDescent="0.2">
      <c r="A2713" s="1">
        <v>2019</v>
      </c>
      <c r="B2713" t="s">
        <v>328</v>
      </c>
      <c r="C2713" s="10" t="s">
        <v>1678</v>
      </c>
      <c r="D2713" s="10" t="s">
        <v>1679</v>
      </c>
      <c r="E2713" s="10" t="s">
        <v>1682</v>
      </c>
      <c r="F2713" t="s">
        <v>825</v>
      </c>
      <c r="G2713" s="4">
        <v>93516</v>
      </c>
      <c r="H2713" s="4"/>
      <c r="I2713" s="4"/>
      <c r="J2713" s="4">
        <f>SUM(G2713:I2713)</f>
        <v>93516</v>
      </c>
      <c r="K2713" t="s">
        <v>1659</v>
      </c>
      <c r="L2713" t="s">
        <v>1659</v>
      </c>
      <c r="M2713" t="s">
        <v>1416</v>
      </c>
      <c r="N2713" t="s">
        <v>1132</v>
      </c>
      <c r="O2713" t="s">
        <v>1132</v>
      </c>
      <c r="P2713" t="str">
        <f>IFERROR(VLOOKUP(F2713,Sheet1!$A$2:$B$54,2,FALSE),"")</f>
        <v/>
      </c>
    </row>
    <row r="2714" spans="1:16" x14ac:dyDescent="0.2">
      <c r="A2714" s="1">
        <v>2020</v>
      </c>
      <c r="B2714" t="s">
        <v>328</v>
      </c>
      <c r="C2714" s="10" t="s">
        <v>1678</v>
      </c>
      <c r="D2714" s="10" t="s">
        <v>1679</v>
      </c>
      <c r="E2714" s="10" t="s">
        <v>1682</v>
      </c>
      <c r="F2714" t="s">
        <v>825</v>
      </c>
      <c r="G2714" s="4">
        <v>112517</v>
      </c>
      <c r="H2714" s="4"/>
      <c r="I2714" s="4"/>
      <c r="J2714" s="4">
        <f>SUM(G2714:I2714)</f>
        <v>112517</v>
      </c>
      <c r="K2714" t="s">
        <v>1659</v>
      </c>
      <c r="L2714" t="s">
        <v>1659</v>
      </c>
      <c r="M2714" t="s">
        <v>1416</v>
      </c>
      <c r="N2714" t="s">
        <v>1132</v>
      </c>
      <c r="O2714" t="s">
        <v>1132</v>
      </c>
      <c r="P2714" t="str">
        <f>IFERROR(VLOOKUP(F2714,Sheet1!$A$2:$B$54,2,FALSE),"")</f>
        <v/>
      </c>
    </row>
    <row r="2715" spans="1:16" x14ac:dyDescent="0.2">
      <c r="A2715" s="1">
        <v>2021</v>
      </c>
      <c r="B2715" t="s">
        <v>328</v>
      </c>
      <c r="C2715" s="10" t="s">
        <v>1678</v>
      </c>
      <c r="D2715" s="10" t="s">
        <v>1679</v>
      </c>
      <c r="E2715" s="10" t="s">
        <v>1682</v>
      </c>
      <c r="F2715" t="s">
        <v>825</v>
      </c>
      <c r="G2715" s="4">
        <v>148283</v>
      </c>
      <c r="H2715" s="4"/>
      <c r="I2715" s="4"/>
      <c r="J2715" s="4">
        <f>SUM(G2715:I2715)</f>
        <v>148283</v>
      </c>
      <c r="K2715" t="s">
        <v>1659</v>
      </c>
      <c r="L2715" t="s">
        <v>1659</v>
      </c>
      <c r="M2715" t="s">
        <v>825</v>
      </c>
      <c r="N2715" t="s">
        <v>1132</v>
      </c>
      <c r="O2715" t="s">
        <v>1132</v>
      </c>
      <c r="P2715" t="str">
        <f>IFERROR(VLOOKUP(F2715,Sheet1!$A$2:$B$54,2,FALSE),"")</f>
        <v/>
      </c>
    </row>
    <row r="2716" spans="1:16" x14ac:dyDescent="0.2">
      <c r="A2716" s="1">
        <v>2022</v>
      </c>
      <c r="B2716" t="s">
        <v>328</v>
      </c>
      <c r="C2716" s="10" t="s">
        <v>1678</v>
      </c>
      <c r="D2716" s="10" t="s">
        <v>1679</v>
      </c>
      <c r="E2716" s="10" t="s">
        <v>1682</v>
      </c>
      <c r="F2716" t="s">
        <v>825</v>
      </c>
      <c r="G2716" s="4">
        <v>176738</v>
      </c>
      <c r="H2716" s="4"/>
      <c r="I2716" s="4"/>
      <c r="J2716" s="4">
        <f>SUM(G2716:I2716)</f>
        <v>176738</v>
      </c>
      <c r="K2716" t="s">
        <v>1659</v>
      </c>
      <c r="L2716" t="s">
        <v>1659</v>
      </c>
      <c r="M2716" t="s">
        <v>825</v>
      </c>
      <c r="N2716" t="s">
        <v>1132</v>
      </c>
      <c r="O2716" t="s">
        <v>1132</v>
      </c>
      <c r="P2716" t="str">
        <f>IFERROR(VLOOKUP(F2716,Sheet1!$A$2:$B$54,2,FALSE),"")</f>
        <v/>
      </c>
    </row>
    <row r="2717" spans="1:16" x14ac:dyDescent="0.2">
      <c r="A2717" s="1">
        <v>2023</v>
      </c>
      <c r="B2717" t="s">
        <v>328</v>
      </c>
      <c r="C2717" s="10" t="s">
        <v>1678</v>
      </c>
      <c r="D2717" s="10" t="s">
        <v>1679</v>
      </c>
      <c r="E2717" s="10" t="s">
        <v>1682</v>
      </c>
      <c r="F2717" t="s">
        <v>825</v>
      </c>
      <c r="G2717" s="4">
        <v>213297</v>
      </c>
      <c r="H2717" s="4"/>
      <c r="I2717" s="4"/>
      <c r="J2717" s="4">
        <f>SUM(G2717:I2717)</f>
        <v>213297</v>
      </c>
      <c r="K2717" t="s">
        <v>1659</v>
      </c>
      <c r="L2717" t="s">
        <v>1659</v>
      </c>
      <c r="M2717" t="s">
        <v>825</v>
      </c>
      <c r="N2717" t="s">
        <v>1132</v>
      </c>
      <c r="O2717" t="s">
        <v>1132</v>
      </c>
      <c r="P2717" t="str">
        <f>IFERROR(VLOOKUP(F2717,Sheet1!$A$2:$B$54,2,FALSE),"")</f>
        <v/>
      </c>
    </row>
    <row r="2718" spans="1:16" x14ac:dyDescent="0.2">
      <c r="A2718" s="1">
        <v>2015</v>
      </c>
      <c r="B2718" t="s">
        <v>329</v>
      </c>
      <c r="C2718" s="10" t="s">
        <v>1678</v>
      </c>
      <c r="D2718" s="10" t="s">
        <v>1679</v>
      </c>
      <c r="E2718" s="10" t="s">
        <v>1682</v>
      </c>
      <c r="F2718" t="s">
        <v>826</v>
      </c>
      <c r="G2718" s="4">
        <v>32855</v>
      </c>
      <c r="H2718" s="4"/>
      <c r="I2718" s="4"/>
      <c r="J2718" s="4">
        <f>SUM(G2718:I2718)</f>
        <v>32855</v>
      </c>
      <c r="K2718" t="s">
        <v>1659</v>
      </c>
      <c r="L2718" t="s">
        <v>1659</v>
      </c>
      <c r="M2718" t="s">
        <v>1417</v>
      </c>
      <c r="N2718" t="s">
        <v>1132</v>
      </c>
      <c r="O2718" t="s">
        <v>1132</v>
      </c>
      <c r="P2718" t="str">
        <f>IFERROR(VLOOKUP(F2718,Sheet1!$A$2:$B$54,2,FALSE),"")</f>
        <v/>
      </c>
    </row>
    <row r="2719" spans="1:16" x14ac:dyDescent="0.2">
      <c r="A2719" s="1">
        <v>2016</v>
      </c>
      <c r="B2719" t="s">
        <v>329</v>
      </c>
      <c r="C2719" s="10" t="s">
        <v>1678</v>
      </c>
      <c r="D2719" s="10" t="s">
        <v>1679</v>
      </c>
      <c r="E2719" s="10" t="s">
        <v>1682</v>
      </c>
      <c r="F2719" t="s">
        <v>826</v>
      </c>
      <c r="G2719" s="4">
        <v>40373</v>
      </c>
      <c r="H2719" s="4"/>
      <c r="I2719" s="4"/>
      <c r="J2719" s="4">
        <f>SUM(G2719:I2719)</f>
        <v>40373</v>
      </c>
      <c r="K2719" t="s">
        <v>1659</v>
      </c>
      <c r="L2719" t="s">
        <v>1659</v>
      </c>
      <c r="M2719" t="s">
        <v>1417</v>
      </c>
      <c r="N2719" t="s">
        <v>1132</v>
      </c>
      <c r="O2719" t="s">
        <v>1132</v>
      </c>
      <c r="P2719" t="str">
        <f>IFERROR(VLOOKUP(F2719,Sheet1!$A$2:$B$54,2,FALSE),"")</f>
        <v/>
      </c>
    </row>
    <row r="2720" spans="1:16" x14ac:dyDescent="0.2">
      <c r="A2720" s="1">
        <v>2017</v>
      </c>
      <c r="B2720" t="s">
        <v>329</v>
      </c>
      <c r="C2720" s="10" t="s">
        <v>1678</v>
      </c>
      <c r="D2720" s="10" t="s">
        <v>1679</v>
      </c>
      <c r="E2720" s="10" t="s">
        <v>1682</v>
      </c>
      <c r="F2720" t="s">
        <v>826</v>
      </c>
      <c r="G2720" s="4">
        <v>50012</v>
      </c>
      <c r="H2720" s="4"/>
      <c r="I2720" s="4"/>
      <c r="J2720" s="4">
        <f>SUM(G2720:I2720)</f>
        <v>50012</v>
      </c>
      <c r="K2720" t="s">
        <v>1659</v>
      </c>
      <c r="L2720" t="s">
        <v>1659</v>
      </c>
      <c r="M2720" t="s">
        <v>1417</v>
      </c>
      <c r="N2720" t="s">
        <v>1132</v>
      </c>
      <c r="O2720" t="s">
        <v>1132</v>
      </c>
      <c r="P2720" t="str">
        <f>IFERROR(VLOOKUP(F2720,Sheet1!$A$2:$B$54,2,FALSE),"")</f>
        <v/>
      </c>
    </row>
    <row r="2721" spans="1:16" x14ac:dyDescent="0.2">
      <c r="A2721" s="1">
        <v>2018</v>
      </c>
      <c r="B2721" t="s">
        <v>329</v>
      </c>
      <c r="C2721" s="10" t="s">
        <v>1678</v>
      </c>
      <c r="D2721" s="10" t="s">
        <v>1679</v>
      </c>
      <c r="E2721" s="10" t="s">
        <v>1682</v>
      </c>
      <c r="F2721" t="s">
        <v>826</v>
      </c>
      <c r="G2721" s="4">
        <v>62695</v>
      </c>
      <c r="H2721" s="4"/>
      <c r="I2721" s="4"/>
      <c r="J2721" s="4">
        <f>SUM(G2721:I2721)</f>
        <v>62695</v>
      </c>
      <c r="K2721" t="s">
        <v>1659</v>
      </c>
      <c r="L2721" t="s">
        <v>1659</v>
      </c>
      <c r="M2721" t="s">
        <v>1417</v>
      </c>
      <c r="N2721" t="s">
        <v>1132</v>
      </c>
      <c r="O2721" t="s">
        <v>1132</v>
      </c>
      <c r="P2721" t="str">
        <f>IFERROR(VLOOKUP(F2721,Sheet1!$A$2:$B$54,2,FALSE),"")</f>
        <v/>
      </c>
    </row>
    <row r="2722" spans="1:16" x14ac:dyDescent="0.2">
      <c r="A2722" s="1">
        <v>2019</v>
      </c>
      <c r="B2722" t="s">
        <v>329</v>
      </c>
      <c r="C2722" s="10" t="s">
        <v>1678</v>
      </c>
      <c r="D2722" s="10" t="s">
        <v>1679</v>
      </c>
      <c r="E2722" s="10" t="s">
        <v>1682</v>
      </c>
      <c r="F2722" t="s">
        <v>826</v>
      </c>
      <c r="G2722" s="4">
        <v>62734</v>
      </c>
      <c r="H2722" s="4"/>
      <c r="I2722" s="4"/>
      <c r="J2722" s="4">
        <f>SUM(G2722:I2722)</f>
        <v>62734</v>
      </c>
      <c r="K2722" t="s">
        <v>1659</v>
      </c>
      <c r="L2722" t="s">
        <v>1659</v>
      </c>
      <c r="M2722" t="s">
        <v>1417</v>
      </c>
      <c r="N2722" t="s">
        <v>1132</v>
      </c>
      <c r="O2722" t="s">
        <v>1132</v>
      </c>
      <c r="P2722" t="str">
        <f>IFERROR(VLOOKUP(F2722,Sheet1!$A$2:$B$54,2,FALSE),"")</f>
        <v/>
      </c>
    </row>
    <row r="2723" spans="1:16" x14ac:dyDescent="0.2">
      <c r="A2723" s="1">
        <v>2020</v>
      </c>
      <c r="B2723" t="s">
        <v>329</v>
      </c>
      <c r="C2723" s="10" t="s">
        <v>1678</v>
      </c>
      <c r="D2723" s="10" t="s">
        <v>1679</v>
      </c>
      <c r="E2723" s="10" t="s">
        <v>1682</v>
      </c>
      <c r="F2723" t="s">
        <v>826</v>
      </c>
      <c r="G2723" s="4">
        <v>66700</v>
      </c>
      <c r="H2723" s="4"/>
      <c r="I2723" s="4"/>
      <c r="J2723" s="4">
        <f>SUM(G2723:I2723)</f>
        <v>66700</v>
      </c>
      <c r="K2723" t="s">
        <v>1659</v>
      </c>
      <c r="L2723" t="s">
        <v>1659</v>
      </c>
      <c r="M2723" t="s">
        <v>1417</v>
      </c>
      <c r="N2723" t="s">
        <v>1132</v>
      </c>
      <c r="O2723" t="s">
        <v>1132</v>
      </c>
      <c r="P2723" t="str">
        <f>IFERROR(VLOOKUP(F2723,Sheet1!$A$2:$B$54,2,FALSE),"")</f>
        <v/>
      </c>
    </row>
    <row r="2724" spans="1:16" x14ac:dyDescent="0.2">
      <c r="A2724" s="1">
        <v>2021</v>
      </c>
      <c r="B2724" t="s">
        <v>329</v>
      </c>
      <c r="C2724" s="10" t="s">
        <v>1678</v>
      </c>
      <c r="D2724" s="10" t="s">
        <v>1679</v>
      </c>
      <c r="E2724" s="10" t="s">
        <v>1682</v>
      </c>
      <c r="F2724" t="s">
        <v>826</v>
      </c>
      <c r="G2724" s="4">
        <v>79995</v>
      </c>
      <c r="H2724" s="4"/>
      <c r="I2724" s="4"/>
      <c r="J2724" s="4">
        <f>SUM(G2724:I2724)</f>
        <v>79995</v>
      </c>
      <c r="K2724" t="s">
        <v>1659</v>
      </c>
      <c r="L2724" t="s">
        <v>1659</v>
      </c>
      <c r="M2724" t="s">
        <v>826</v>
      </c>
      <c r="N2724" t="s">
        <v>1132</v>
      </c>
      <c r="O2724" t="s">
        <v>1132</v>
      </c>
      <c r="P2724" t="str">
        <f>IFERROR(VLOOKUP(F2724,Sheet1!$A$2:$B$54,2,FALSE),"")</f>
        <v/>
      </c>
    </row>
    <row r="2725" spans="1:16" x14ac:dyDescent="0.2">
      <c r="A2725" s="1">
        <v>2022</v>
      </c>
      <c r="B2725" t="s">
        <v>329</v>
      </c>
      <c r="C2725" s="10" t="s">
        <v>1678</v>
      </c>
      <c r="D2725" s="10" t="s">
        <v>1679</v>
      </c>
      <c r="E2725" s="10" t="s">
        <v>1682</v>
      </c>
      <c r="F2725" t="s">
        <v>826</v>
      </c>
      <c r="G2725" s="4">
        <v>93306</v>
      </c>
      <c r="H2725" s="4"/>
      <c r="I2725" s="4"/>
      <c r="J2725" s="4">
        <f>SUM(G2725:I2725)</f>
        <v>93306</v>
      </c>
      <c r="K2725" t="s">
        <v>1659</v>
      </c>
      <c r="L2725" t="s">
        <v>1659</v>
      </c>
      <c r="M2725" t="s">
        <v>826</v>
      </c>
      <c r="N2725" t="s">
        <v>1132</v>
      </c>
      <c r="O2725" t="s">
        <v>1132</v>
      </c>
      <c r="P2725" t="str">
        <f>IFERROR(VLOOKUP(F2725,Sheet1!$A$2:$B$54,2,FALSE),"")</f>
        <v/>
      </c>
    </row>
    <row r="2726" spans="1:16" x14ac:dyDescent="0.2">
      <c r="A2726" s="1">
        <v>2023</v>
      </c>
      <c r="B2726" t="s">
        <v>329</v>
      </c>
      <c r="C2726" s="10" t="s">
        <v>1678</v>
      </c>
      <c r="D2726" s="10" t="s">
        <v>1679</v>
      </c>
      <c r="E2726" s="10" t="s">
        <v>1682</v>
      </c>
      <c r="F2726" t="s">
        <v>826</v>
      </c>
      <c r="G2726" s="4">
        <v>107137</v>
      </c>
      <c r="H2726" s="4"/>
      <c r="I2726" s="4"/>
      <c r="J2726" s="4">
        <f>SUM(G2726:I2726)</f>
        <v>107137</v>
      </c>
      <c r="K2726" t="s">
        <v>1659</v>
      </c>
      <c r="L2726" t="s">
        <v>1659</v>
      </c>
      <c r="M2726" t="s">
        <v>826</v>
      </c>
      <c r="N2726" t="s">
        <v>1132</v>
      </c>
      <c r="O2726" t="s">
        <v>1132</v>
      </c>
      <c r="P2726" t="str">
        <f>IFERROR(VLOOKUP(F2726,Sheet1!$A$2:$B$54,2,FALSE),"")</f>
        <v/>
      </c>
    </row>
    <row r="2727" spans="1:16" x14ac:dyDescent="0.2">
      <c r="A2727" s="1">
        <v>2015</v>
      </c>
      <c r="B2727" t="s">
        <v>330</v>
      </c>
      <c r="C2727" s="10" t="s">
        <v>1678</v>
      </c>
      <c r="D2727" s="10" t="s">
        <v>1679</v>
      </c>
      <c r="E2727" s="10" t="s">
        <v>1682</v>
      </c>
      <c r="F2727" t="s">
        <v>827</v>
      </c>
      <c r="G2727" s="4">
        <v>11078</v>
      </c>
      <c r="H2727" s="4"/>
      <c r="I2727" s="4"/>
      <c r="J2727" s="4">
        <f>SUM(G2727:I2727)</f>
        <v>11078</v>
      </c>
      <c r="K2727" t="s">
        <v>1659</v>
      </c>
      <c r="L2727" t="s">
        <v>1659</v>
      </c>
      <c r="M2727" t="s">
        <v>1418</v>
      </c>
      <c r="N2727" t="s">
        <v>1132</v>
      </c>
      <c r="O2727" t="s">
        <v>1132</v>
      </c>
      <c r="P2727" t="str">
        <f>IFERROR(VLOOKUP(F2727,Sheet1!$A$2:$B$54,2,FALSE),"")</f>
        <v/>
      </c>
    </row>
    <row r="2728" spans="1:16" x14ac:dyDescent="0.2">
      <c r="A2728" s="1">
        <v>2016</v>
      </c>
      <c r="B2728" t="s">
        <v>330</v>
      </c>
      <c r="C2728" s="10" t="s">
        <v>1678</v>
      </c>
      <c r="D2728" s="10" t="s">
        <v>1679</v>
      </c>
      <c r="E2728" s="10" t="s">
        <v>1682</v>
      </c>
      <c r="F2728" t="s">
        <v>827</v>
      </c>
      <c r="G2728" s="4">
        <v>12262</v>
      </c>
      <c r="H2728" s="4"/>
      <c r="I2728" s="4"/>
      <c r="J2728" s="4">
        <f>SUM(G2728:I2728)</f>
        <v>12262</v>
      </c>
      <c r="K2728" t="s">
        <v>1659</v>
      </c>
      <c r="L2728" t="s">
        <v>1659</v>
      </c>
      <c r="M2728" t="s">
        <v>1418</v>
      </c>
      <c r="N2728" t="s">
        <v>1132</v>
      </c>
      <c r="O2728" t="s">
        <v>1132</v>
      </c>
      <c r="P2728" t="str">
        <f>IFERROR(VLOOKUP(F2728,Sheet1!$A$2:$B$54,2,FALSE),"")</f>
        <v/>
      </c>
    </row>
    <row r="2729" spans="1:16" x14ac:dyDescent="0.2">
      <c r="A2729" s="1">
        <v>2017</v>
      </c>
      <c r="B2729" t="s">
        <v>330</v>
      </c>
      <c r="C2729" s="10" t="s">
        <v>1678</v>
      </c>
      <c r="D2729" s="10" t="s">
        <v>1679</v>
      </c>
      <c r="E2729" s="10" t="s">
        <v>1682</v>
      </c>
      <c r="F2729" t="s">
        <v>827</v>
      </c>
      <c r="G2729" s="4">
        <v>15064</v>
      </c>
      <c r="H2729" s="4"/>
      <c r="I2729" s="4"/>
      <c r="J2729" s="4">
        <f>SUM(G2729:I2729)</f>
        <v>15064</v>
      </c>
      <c r="K2729" t="s">
        <v>1659</v>
      </c>
      <c r="L2729" t="s">
        <v>1659</v>
      </c>
      <c r="M2729" t="s">
        <v>1418</v>
      </c>
      <c r="N2729" t="s">
        <v>1132</v>
      </c>
      <c r="O2729" t="s">
        <v>1132</v>
      </c>
      <c r="P2729" t="str">
        <f>IFERROR(VLOOKUP(F2729,Sheet1!$A$2:$B$54,2,FALSE),"")</f>
        <v/>
      </c>
    </row>
    <row r="2730" spans="1:16" x14ac:dyDescent="0.2">
      <c r="A2730" s="1">
        <v>2018</v>
      </c>
      <c r="B2730" t="s">
        <v>330</v>
      </c>
      <c r="C2730" s="10" t="s">
        <v>1678</v>
      </c>
      <c r="D2730" s="10" t="s">
        <v>1679</v>
      </c>
      <c r="E2730" s="10" t="s">
        <v>1682</v>
      </c>
      <c r="F2730" t="s">
        <v>827</v>
      </c>
      <c r="G2730" s="4">
        <v>23458</v>
      </c>
      <c r="H2730" s="4"/>
      <c r="I2730" s="4"/>
      <c r="J2730" s="4">
        <f>SUM(G2730:I2730)</f>
        <v>23458</v>
      </c>
      <c r="K2730" t="s">
        <v>1659</v>
      </c>
      <c r="L2730" t="s">
        <v>1659</v>
      </c>
      <c r="M2730" t="s">
        <v>1418</v>
      </c>
      <c r="N2730" t="s">
        <v>1132</v>
      </c>
      <c r="O2730" t="s">
        <v>1132</v>
      </c>
      <c r="P2730" t="str">
        <f>IFERROR(VLOOKUP(F2730,Sheet1!$A$2:$B$54,2,FALSE),"")</f>
        <v/>
      </c>
    </row>
    <row r="2731" spans="1:16" x14ac:dyDescent="0.2">
      <c r="A2731" s="1">
        <v>2019</v>
      </c>
      <c r="B2731" t="s">
        <v>330</v>
      </c>
      <c r="C2731" s="10" t="s">
        <v>1678</v>
      </c>
      <c r="D2731" s="10" t="s">
        <v>1679</v>
      </c>
      <c r="E2731" s="10" t="s">
        <v>1682</v>
      </c>
      <c r="F2731" t="s">
        <v>827</v>
      </c>
      <c r="G2731" s="4">
        <v>28643</v>
      </c>
      <c r="H2731" s="4"/>
      <c r="I2731" s="4"/>
      <c r="J2731" s="4">
        <f>SUM(G2731:I2731)</f>
        <v>28643</v>
      </c>
      <c r="K2731" t="s">
        <v>1659</v>
      </c>
      <c r="L2731" t="s">
        <v>1659</v>
      </c>
      <c r="M2731" t="s">
        <v>1418</v>
      </c>
      <c r="N2731" t="s">
        <v>1132</v>
      </c>
      <c r="O2731" t="s">
        <v>1132</v>
      </c>
      <c r="P2731" t="str">
        <f>IFERROR(VLOOKUP(F2731,Sheet1!$A$2:$B$54,2,FALSE),"")</f>
        <v/>
      </c>
    </row>
    <row r="2732" spans="1:16" x14ac:dyDescent="0.2">
      <c r="A2732" s="1">
        <v>2020</v>
      </c>
      <c r="B2732" t="s">
        <v>330</v>
      </c>
      <c r="C2732" s="10" t="s">
        <v>1678</v>
      </c>
      <c r="D2732" s="10" t="s">
        <v>1679</v>
      </c>
      <c r="E2732" s="10" t="s">
        <v>1682</v>
      </c>
      <c r="F2732" t="s">
        <v>827</v>
      </c>
      <c r="G2732" s="4">
        <v>31390</v>
      </c>
      <c r="H2732" s="4"/>
      <c r="I2732" s="4"/>
      <c r="J2732" s="4">
        <f>SUM(G2732:I2732)</f>
        <v>31390</v>
      </c>
      <c r="K2732" t="s">
        <v>1659</v>
      </c>
      <c r="L2732" t="s">
        <v>1659</v>
      </c>
      <c r="M2732" t="s">
        <v>1418</v>
      </c>
      <c r="N2732" t="s">
        <v>1132</v>
      </c>
      <c r="O2732" t="s">
        <v>1132</v>
      </c>
      <c r="P2732" t="str">
        <f>IFERROR(VLOOKUP(F2732,Sheet1!$A$2:$B$54,2,FALSE),"")</f>
        <v/>
      </c>
    </row>
    <row r="2733" spans="1:16" x14ac:dyDescent="0.2">
      <c r="A2733" s="1">
        <v>2021</v>
      </c>
      <c r="B2733" t="s">
        <v>330</v>
      </c>
      <c r="C2733" s="10" t="s">
        <v>1678</v>
      </c>
      <c r="D2733" s="10" t="s">
        <v>1679</v>
      </c>
      <c r="E2733" s="10" t="s">
        <v>1682</v>
      </c>
      <c r="F2733" t="s">
        <v>827</v>
      </c>
      <c r="G2733" s="4">
        <v>40804</v>
      </c>
      <c r="H2733" s="4"/>
      <c r="I2733" s="4"/>
      <c r="J2733" s="4">
        <f>SUM(G2733:I2733)</f>
        <v>40804</v>
      </c>
      <c r="K2733" t="s">
        <v>1659</v>
      </c>
      <c r="L2733" t="s">
        <v>1659</v>
      </c>
      <c r="M2733" t="s">
        <v>827</v>
      </c>
      <c r="N2733" t="s">
        <v>1132</v>
      </c>
      <c r="O2733" t="s">
        <v>1132</v>
      </c>
      <c r="P2733" t="str">
        <f>IFERROR(VLOOKUP(F2733,Sheet1!$A$2:$B$54,2,FALSE),"")</f>
        <v/>
      </c>
    </row>
    <row r="2734" spans="1:16" x14ac:dyDescent="0.2">
      <c r="A2734" s="1">
        <v>2022</v>
      </c>
      <c r="B2734" t="s">
        <v>330</v>
      </c>
      <c r="C2734" s="10" t="s">
        <v>1678</v>
      </c>
      <c r="D2734" s="10" t="s">
        <v>1679</v>
      </c>
      <c r="E2734" s="10" t="s">
        <v>1682</v>
      </c>
      <c r="F2734" t="s">
        <v>827</v>
      </c>
      <c r="G2734" s="4">
        <v>58797</v>
      </c>
      <c r="H2734" s="4"/>
      <c r="I2734" s="4"/>
      <c r="J2734" s="4">
        <f>SUM(G2734:I2734)</f>
        <v>58797</v>
      </c>
      <c r="K2734" t="s">
        <v>1659</v>
      </c>
      <c r="L2734" t="s">
        <v>1659</v>
      </c>
      <c r="M2734" t="s">
        <v>827</v>
      </c>
      <c r="N2734" t="s">
        <v>1132</v>
      </c>
      <c r="O2734" t="s">
        <v>1132</v>
      </c>
      <c r="P2734" t="str">
        <f>IFERROR(VLOOKUP(F2734,Sheet1!$A$2:$B$54,2,FALSE),"")</f>
        <v/>
      </c>
    </row>
    <row r="2735" spans="1:16" x14ac:dyDescent="0.2">
      <c r="A2735" s="1">
        <v>2023</v>
      </c>
      <c r="B2735" t="s">
        <v>330</v>
      </c>
      <c r="C2735" s="10" t="s">
        <v>1678</v>
      </c>
      <c r="D2735" s="10" t="s">
        <v>1679</v>
      </c>
      <c r="E2735" s="10" t="s">
        <v>1682</v>
      </c>
      <c r="F2735" t="s">
        <v>827</v>
      </c>
      <c r="G2735" s="4">
        <v>75009</v>
      </c>
      <c r="H2735" s="4"/>
      <c r="I2735" s="4"/>
      <c r="J2735" s="4">
        <f>SUM(G2735:I2735)</f>
        <v>75009</v>
      </c>
      <c r="K2735" t="s">
        <v>1659</v>
      </c>
      <c r="L2735" t="s">
        <v>1659</v>
      </c>
      <c r="M2735" t="s">
        <v>827</v>
      </c>
      <c r="N2735" t="s">
        <v>1132</v>
      </c>
      <c r="O2735" t="s">
        <v>1132</v>
      </c>
      <c r="P2735" t="str">
        <f>IFERROR(VLOOKUP(F2735,Sheet1!$A$2:$B$54,2,FALSE),"")</f>
        <v/>
      </c>
    </row>
    <row r="2736" spans="1:16" x14ac:dyDescent="0.2">
      <c r="A2736" s="1">
        <v>2016</v>
      </c>
      <c r="B2736" t="s">
        <v>331</v>
      </c>
      <c r="C2736" s="10" t="s">
        <v>1678</v>
      </c>
      <c r="D2736" s="10" t="s">
        <v>1679</v>
      </c>
      <c r="E2736" s="10" t="s">
        <v>1682</v>
      </c>
      <c r="F2736" t="s">
        <v>828</v>
      </c>
      <c r="G2736" s="4">
        <v>3736</v>
      </c>
      <c r="H2736" s="4"/>
      <c r="I2736" s="4"/>
      <c r="J2736" s="4">
        <f>SUM(G2736:I2736)</f>
        <v>3736</v>
      </c>
      <c r="K2736" t="s">
        <v>1659</v>
      </c>
      <c r="L2736" t="s">
        <v>1659</v>
      </c>
      <c r="M2736" t="s">
        <v>1419</v>
      </c>
      <c r="N2736" t="s">
        <v>1132</v>
      </c>
      <c r="O2736" t="s">
        <v>1132</v>
      </c>
      <c r="P2736" t="str">
        <f>IFERROR(VLOOKUP(F2736,Sheet1!$A$2:$B$54,2,FALSE),"")</f>
        <v/>
      </c>
    </row>
    <row r="2737" spans="1:16" x14ac:dyDescent="0.2">
      <c r="A2737" s="1">
        <v>2017</v>
      </c>
      <c r="B2737" t="s">
        <v>331</v>
      </c>
      <c r="C2737" s="10" t="s">
        <v>1678</v>
      </c>
      <c r="D2737" s="10" t="s">
        <v>1679</v>
      </c>
      <c r="E2737" s="10" t="s">
        <v>1682</v>
      </c>
      <c r="F2737" t="s">
        <v>828</v>
      </c>
      <c r="G2737" s="4">
        <v>12161</v>
      </c>
      <c r="H2737" s="4"/>
      <c r="I2737" s="4"/>
      <c r="J2737" s="4">
        <f>SUM(G2737:I2737)</f>
        <v>12161</v>
      </c>
      <c r="K2737" t="s">
        <v>1659</v>
      </c>
      <c r="L2737" t="s">
        <v>1659</v>
      </c>
      <c r="M2737" t="s">
        <v>1419</v>
      </c>
      <c r="N2737" t="s">
        <v>1132</v>
      </c>
      <c r="O2737" t="s">
        <v>1132</v>
      </c>
      <c r="P2737" t="str">
        <f>IFERROR(VLOOKUP(F2737,Sheet1!$A$2:$B$54,2,FALSE),"")</f>
        <v/>
      </c>
    </row>
    <row r="2738" spans="1:16" x14ac:dyDescent="0.2">
      <c r="A2738" s="1">
        <v>2018</v>
      </c>
      <c r="B2738" t="s">
        <v>331</v>
      </c>
      <c r="C2738" s="10" t="s">
        <v>1678</v>
      </c>
      <c r="D2738" s="10" t="s">
        <v>1679</v>
      </c>
      <c r="E2738" s="10" t="s">
        <v>1682</v>
      </c>
      <c r="F2738" t="s">
        <v>828</v>
      </c>
      <c r="G2738" s="4">
        <v>22239</v>
      </c>
      <c r="H2738" s="4"/>
      <c r="I2738" s="4"/>
      <c r="J2738" s="4">
        <f>SUM(G2738:I2738)</f>
        <v>22239</v>
      </c>
      <c r="K2738" t="s">
        <v>1659</v>
      </c>
      <c r="L2738" t="s">
        <v>1659</v>
      </c>
      <c r="M2738" t="s">
        <v>1419</v>
      </c>
      <c r="N2738" t="s">
        <v>1132</v>
      </c>
      <c r="O2738" t="s">
        <v>1132</v>
      </c>
      <c r="P2738" t="str">
        <f>IFERROR(VLOOKUP(F2738,Sheet1!$A$2:$B$54,2,FALSE),"")</f>
        <v/>
      </c>
    </row>
    <row r="2739" spans="1:16" x14ac:dyDescent="0.2">
      <c r="A2739" s="1">
        <v>2019</v>
      </c>
      <c r="B2739" t="s">
        <v>331</v>
      </c>
      <c r="C2739" s="10" t="s">
        <v>1678</v>
      </c>
      <c r="D2739" s="10" t="s">
        <v>1679</v>
      </c>
      <c r="E2739" s="10" t="s">
        <v>1682</v>
      </c>
      <c r="F2739" t="s">
        <v>828</v>
      </c>
      <c r="G2739" s="4">
        <v>37554</v>
      </c>
      <c r="H2739" s="4"/>
      <c r="I2739" s="4"/>
      <c r="J2739" s="4">
        <f>SUM(G2739:I2739)</f>
        <v>37554</v>
      </c>
      <c r="K2739" t="s">
        <v>1659</v>
      </c>
      <c r="L2739" t="s">
        <v>1659</v>
      </c>
      <c r="M2739" t="s">
        <v>1420</v>
      </c>
      <c r="N2739" t="s">
        <v>1132</v>
      </c>
      <c r="O2739" t="s">
        <v>1132</v>
      </c>
      <c r="P2739" t="str">
        <f>IFERROR(VLOOKUP(F2739,Sheet1!$A$2:$B$54,2,FALSE),"")</f>
        <v/>
      </c>
    </row>
    <row r="2740" spans="1:16" x14ac:dyDescent="0.2">
      <c r="A2740" s="1">
        <v>2020</v>
      </c>
      <c r="B2740" t="s">
        <v>331</v>
      </c>
      <c r="C2740" s="10" t="s">
        <v>1678</v>
      </c>
      <c r="D2740" s="10" t="s">
        <v>1679</v>
      </c>
      <c r="E2740" s="10" t="s">
        <v>1682</v>
      </c>
      <c r="F2740" t="s">
        <v>828</v>
      </c>
      <c r="G2740" s="4">
        <v>48183</v>
      </c>
      <c r="H2740" s="4"/>
      <c r="I2740" s="4"/>
      <c r="J2740" s="4">
        <f>SUM(G2740:I2740)</f>
        <v>48183</v>
      </c>
      <c r="K2740" t="s">
        <v>1659</v>
      </c>
      <c r="L2740" t="s">
        <v>1659</v>
      </c>
      <c r="M2740" t="s">
        <v>1421</v>
      </c>
      <c r="N2740" t="s">
        <v>1132</v>
      </c>
      <c r="O2740" t="s">
        <v>1132</v>
      </c>
      <c r="P2740" t="str">
        <f>IFERROR(VLOOKUP(F2740,Sheet1!$A$2:$B$54,2,FALSE),"")</f>
        <v/>
      </c>
    </row>
    <row r="2741" spans="1:16" x14ac:dyDescent="0.2">
      <c r="A2741" s="1">
        <v>2021</v>
      </c>
      <c r="B2741" t="s">
        <v>331</v>
      </c>
      <c r="C2741" s="10" t="s">
        <v>1678</v>
      </c>
      <c r="D2741" s="10" t="s">
        <v>1679</v>
      </c>
      <c r="E2741" s="10" t="s">
        <v>1682</v>
      </c>
      <c r="F2741" t="s">
        <v>828</v>
      </c>
      <c r="G2741" s="4">
        <v>70946</v>
      </c>
      <c r="H2741" s="4"/>
      <c r="I2741" s="4"/>
      <c r="J2741" s="4">
        <f>SUM(G2741:I2741)</f>
        <v>70946</v>
      </c>
      <c r="K2741" t="s">
        <v>1659</v>
      </c>
      <c r="L2741" t="s">
        <v>1659</v>
      </c>
      <c r="M2741" t="s">
        <v>828</v>
      </c>
      <c r="N2741" t="s">
        <v>1132</v>
      </c>
      <c r="O2741" t="s">
        <v>1132</v>
      </c>
      <c r="P2741" t="str">
        <f>IFERROR(VLOOKUP(F2741,Sheet1!$A$2:$B$54,2,FALSE),"")</f>
        <v/>
      </c>
    </row>
    <row r="2742" spans="1:16" x14ac:dyDescent="0.2">
      <c r="A2742" s="1">
        <v>2022</v>
      </c>
      <c r="B2742" t="s">
        <v>331</v>
      </c>
      <c r="C2742" s="10" t="s">
        <v>1678</v>
      </c>
      <c r="D2742" s="10" t="s">
        <v>1679</v>
      </c>
      <c r="E2742" s="10" t="s">
        <v>1682</v>
      </c>
      <c r="F2742" t="s">
        <v>828</v>
      </c>
      <c r="G2742" s="4">
        <v>102524</v>
      </c>
      <c r="H2742" s="4"/>
      <c r="I2742" s="4"/>
      <c r="J2742" s="4">
        <f>SUM(G2742:I2742)</f>
        <v>102524</v>
      </c>
      <c r="K2742" t="s">
        <v>1659</v>
      </c>
      <c r="L2742" t="s">
        <v>1659</v>
      </c>
      <c r="M2742" t="s">
        <v>828</v>
      </c>
      <c r="N2742" t="s">
        <v>1132</v>
      </c>
      <c r="O2742" t="s">
        <v>1132</v>
      </c>
      <c r="P2742" t="str">
        <f>IFERROR(VLOOKUP(F2742,Sheet1!$A$2:$B$54,2,FALSE),"")</f>
        <v/>
      </c>
    </row>
    <row r="2743" spans="1:16" x14ac:dyDescent="0.2">
      <c r="A2743" s="1">
        <v>2023</v>
      </c>
      <c r="B2743" t="s">
        <v>331</v>
      </c>
      <c r="C2743" s="10" t="s">
        <v>1678</v>
      </c>
      <c r="D2743" s="10" t="s">
        <v>1679</v>
      </c>
      <c r="E2743" s="10" t="s">
        <v>1682</v>
      </c>
      <c r="F2743" t="s">
        <v>828</v>
      </c>
      <c r="G2743" s="4">
        <v>114159</v>
      </c>
      <c r="H2743" s="4"/>
      <c r="I2743" s="4"/>
      <c r="J2743" s="4">
        <f>SUM(G2743:I2743)</f>
        <v>114159</v>
      </c>
      <c r="K2743" t="s">
        <v>1659</v>
      </c>
      <c r="L2743" t="s">
        <v>1659</v>
      </c>
      <c r="M2743" t="s">
        <v>828</v>
      </c>
      <c r="N2743" t="s">
        <v>1132</v>
      </c>
      <c r="O2743" t="s">
        <v>1132</v>
      </c>
      <c r="P2743" t="str">
        <f>IFERROR(VLOOKUP(F2743,Sheet1!$A$2:$B$54,2,FALSE),"")</f>
        <v/>
      </c>
    </row>
    <row r="2744" spans="1:16" x14ac:dyDescent="0.2">
      <c r="A2744" s="1">
        <v>2015</v>
      </c>
      <c r="B2744" t="s">
        <v>332</v>
      </c>
      <c r="C2744" s="10" t="s">
        <v>1678</v>
      </c>
      <c r="D2744" s="10" t="s">
        <v>1679</v>
      </c>
      <c r="E2744" s="10" t="s">
        <v>1682</v>
      </c>
      <c r="F2744" t="s">
        <v>829</v>
      </c>
      <c r="G2744" s="4">
        <v>8616</v>
      </c>
      <c r="H2744" s="4"/>
      <c r="I2744" s="4"/>
      <c r="J2744" s="4">
        <f>SUM(G2744:I2744)</f>
        <v>8616</v>
      </c>
      <c r="K2744" t="s">
        <v>1659</v>
      </c>
      <c r="L2744" t="s">
        <v>1659</v>
      </c>
      <c r="M2744" t="s">
        <v>1422</v>
      </c>
      <c r="N2744" t="s">
        <v>1132</v>
      </c>
      <c r="O2744" t="s">
        <v>1132</v>
      </c>
      <c r="P2744" t="str">
        <f>IFERROR(VLOOKUP(F2744,Sheet1!$A$2:$B$54,2,FALSE),"")</f>
        <v/>
      </c>
    </row>
    <row r="2745" spans="1:16" x14ac:dyDescent="0.2">
      <c r="A2745" s="1">
        <v>2016</v>
      </c>
      <c r="B2745" t="s">
        <v>332</v>
      </c>
      <c r="C2745" s="10" t="s">
        <v>1678</v>
      </c>
      <c r="D2745" s="10" t="s">
        <v>1679</v>
      </c>
      <c r="E2745" s="10" t="s">
        <v>1682</v>
      </c>
      <c r="F2745" t="s">
        <v>829</v>
      </c>
      <c r="G2745" s="4">
        <v>12743</v>
      </c>
      <c r="H2745" s="4"/>
      <c r="I2745" s="4"/>
      <c r="J2745" s="4">
        <f>SUM(G2745:I2745)</f>
        <v>12743</v>
      </c>
      <c r="K2745" t="s">
        <v>1659</v>
      </c>
      <c r="L2745" t="s">
        <v>1659</v>
      </c>
      <c r="M2745" t="s">
        <v>1422</v>
      </c>
      <c r="N2745" t="s">
        <v>1132</v>
      </c>
      <c r="O2745" t="s">
        <v>1132</v>
      </c>
      <c r="P2745" t="str">
        <f>IFERROR(VLOOKUP(F2745,Sheet1!$A$2:$B$54,2,FALSE),"")</f>
        <v/>
      </c>
    </row>
    <row r="2746" spans="1:16" x14ac:dyDescent="0.2">
      <c r="A2746" s="1">
        <v>2017</v>
      </c>
      <c r="B2746" t="s">
        <v>332</v>
      </c>
      <c r="C2746" s="10" t="s">
        <v>1678</v>
      </c>
      <c r="D2746" s="10" t="s">
        <v>1679</v>
      </c>
      <c r="E2746" s="10" t="s">
        <v>1682</v>
      </c>
      <c r="F2746" t="s">
        <v>829</v>
      </c>
      <c r="G2746" s="4">
        <v>25722</v>
      </c>
      <c r="H2746" s="4"/>
      <c r="I2746" s="4"/>
      <c r="J2746" s="4">
        <f>SUM(G2746:I2746)</f>
        <v>25722</v>
      </c>
      <c r="K2746" t="s">
        <v>1659</v>
      </c>
      <c r="L2746" t="s">
        <v>1659</v>
      </c>
      <c r="M2746" t="s">
        <v>1422</v>
      </c>
      <c r="N2746" t="s">
        <v>1132</v>
      </c>
      <c r="O2746" t="s">
        <v>1132</v>
      </c>
      <c r="P2746" t="str">
        <f>IFERROR(VLOOKUP(F2746,Sheet1!$A$2:$B$54,2,FALSE),"")</f>
        <v/>
      </c>
    </row>
    <row r="2747" spans="1:16" x14ac:dyDescent="0.2">
      <c r="A2747" s="1">
        <v>2018</v>
      </c>
      <c r="B2747" t="s">
        <v>332</v>
      </c>
      <c r="C2747" s="10" t="s">
        <v>1678</v>
      </c>
      <c r="D2747" s="10" t="s">
        <v>1679</v>
      </c>
      <c r="E2747" s="10" t="s">
        <v>1682</v>
      </c>
      <c r="F2747" t="s">
        <v>829</v>
      </c>
      <c r="G2747" s="4">
        <v>38221</v>
      </c>
      <c r="H2747" s="4"/>
      <c r="I2747" s="4"/>
      <c r="J2747" s="4">
        <f>SUM(G2747:I2747)</f>
        <v>38221</v>
      </c>
      <c r="K2747" t="s">
        <v>1659</v>
      </c>
      <c r="L2747" t="s">
        <v>1659</v>
      </c>
      <c r="M2747" t="s">
        <v>1422</v>
      </c>
      <c r="N2747" t="s">
        <v>1132</v>
      </c>
      <c r="O2747" t="s">
        <v>1132</v>
      </c>
      <c r="P2747" t="str">
        <f>IFERROR(VLOOKUP(F2747,Sheet1!$A$2:$B$54,2,FALSE),"")</f>
        <v/>
      </c>
    </row>
    <row r="2748" spans="1:16" x14ac:dyDescent="0.2">
      <c r="A2748" s="1">
        <v>2019</v>
      </c>
      <c r="B2748" t="s">
        <v>332</v>
      </c>
      <c r="C2748" s="10" t="s">
        <v>1678</v>
      </c>
      <c r="D2748" s="10" t="s">
        <v>1679</v>
      </c>
      <c r="E2748" s="10" t="s">
        <v>1682</v>
      </c>
      <c r="F2748" t="s">
        <v>829</v>
      </c>
      <c r="G2748" s="4">
        <v>58631</v>
      </c>
      <c r="H2748" s="4"/>
      <c r="I2748" s="4"/>
      <c r="J2748" s="4">
        <f>SUM(G2748:I2748)</f>
        <v>58631</v>
      </c>
      <c r="K2748" t="s">
        <v>1659</v>
      </c>
      <c r="L2748" t="s">
        <v>1659</v>
      </c>
      <c r="M2748" t="s">
        <v>1422</v>
      </c>
      <c r="N2748" t="s">
        <v>1132</v>
      </c>
      <c r="O2748" t="s">
        <v>1132</v>
      </c>
      <c r="P2748" t="str">
        <f>IFERROR(VLOOKUP(F2748,Sheet1!$A$2:$B$54,2,FALSE),"")</f>
        <v/>
      </c>
    </row>
    <row r="2749" spans="1:16" x14ac:dyDescent="0.2">
      <c r="A2749" s="1">
        <v>2020</v>
      </c>
      <c r="B2749" t="s">
        <v>332</v>
      </c>
      <c r="C2749" s="10" t="s">
        <v>1678</v>
      </c>
      <c r="D2749" s="10" t="s">
        <v>1679</v>
      </c>
      <c r="E2749" s="10" t="s">
        <v>1682</v>
      </c>
      <c r="F2749" t="s">
        <v>829</v>
      </c>
      <c r="G2749" s="4">
        <v>86838</v>
      </c>
      <c r="H2749" s="4"/>
      <c r="I2749" s="4"/>
      <c r="J2749" s="4">
        <f>SUM(G2749:I2749)</f>
        <v>86838</v>
      </c>
      <c r="K2749" t="s">
        <v>1659</v>
      </c>
      <c r="L2749" t="s">
        <v>1659</v>
      </c>
      <c r="M2749" t="s">
        <v>1422</v>
      </c>
      <c r="N2749" t="s">
        <v>1132</v>
      </c>
      <c r="O2749" t="s">
        <v>1132</v>
      </c>
      <c r="P2749" t="str">
        <f>IFERROR(VLOOKUP(F2749,Sheet1!$A$2:$B$54,2,FALSE),"")</f>
        <v/>
      </c>
    </row>
    <row r="2750" spans="1:16" x14ac:dyDescent="0.2">
      <c r="A2750" s="1">
        <v>2021</v>
      </c>
      <c r="B2750" t="s">
        <v>332</v>
      </c>
      <c r="C2750" s="10" t="s">
        <v>1678</v>
      </c>
      <c r="D2750" s="10" t="s">
        <v>1679</v>
      </c>
      <c r="E2750" s="10" t="s">
        <v>1682</v>
      </c>
      <c r="F2750" t="s">
        <v>829</v>
      </c>
      <c r="G2750" s="4">
        <v>109805</v>
      </c>
      <c r="H2750" s="4"/>
      <c r="I2750" s="4"/>
      <c r="J2750" s="4">
        <f>SUM(G2750:I2750)</f>
        <v>109805</v>
      </c>
      <c r="K2750" t="s">
        <v>1659</v>
      </c>
      <c r="L2750" t="s">
        <v>1659</v>
      </c>
      <c r="M2750" t="s">
        <v>829</v>
      </c>
      <c r="N2750" t="s">
        <v>1132</v>
      </c>
      <c r="O2750" t="s">
        <v>1132</v>
      </c>
      <c r="P2750" t="str">
        <f>IFERROR(VLOOKUP(F2750,Sheet1!$A$2:$B$54,2,FALSE),"")</f>
        <v/>
      </c>
    </row>
    <row r="2751" spans="1:16" x14ac:dyDescent="0.2">
      <c r="A2751" s="1">
        <v>2022</v>
      </c>
      <c r="B2751" t="s">
        <v>332</v>
      </c>
      <c r="C2751" s="10" t="s">
        <v>1678</v>
      </c>
      <c r="D2751" s="10" t="s">
        <v>1679</v>
      </c>
      <c r="E2751" s="10" t="s">
        <v>1682</v>
      </c>
      <c r="F2751" t="s">
        <v>829</v>
      </c>
      <c r="G2751" s="4">
        <v>147634</v>
      </c>
      <c r="H2751" s="4"/>
      <c r="I2751" s="4"/>
      <c r="J2751" s="4">
        <f>SUM(G2751:I2751)</f>
        <v>147634</v>
      </c>
      <c r="K2751" t="s">
        <v>1659</v>
      </c>
      <c r="L2751" t="s">
        <v>1659</v>
      </c>
      <c r="M2751" t="s">
        <v>829</v>
      </c>
      <c r="N2751" t="s">
        <v>1132</v>
      </c>
      <c r="O2751" t="s">
        <v>1132</v>
      </c>
      <c r="P2751" t="str">
        <f>IFERROR(VLOOKUP(F2751,Sheet1!$A$2:$B$54,2,FALSE),"")</f>
        <v/>
      </c>
    </row>
    <row r="2752" spans="1:16" x14ac:dyDescent="0.2">
      <c r="A2752" s="1">
        <v>2023</v>
      </c>
      <c r="B2752" t="s">
        <v>332</v>
      </c>
      <c r="C2752" s="10" t="s">
        <v>1678</v>
      </c>
      <c r="D2752" s="10" t="s">
        <v>1679</v>
      </c>
      <c r="E2752" s="10" t="s">
        <v>1682</v>
      </c>
      <c r="F2752" t="s">
        <v>829</v>
      </c>
      <c r="G2752" s="4">
        <v>169999</v>
      </c>
      <c r="H2752" s="4"/>
      <c r="I2752" s="4"/>
      <c r="J2752" s="4">
        <f>SUM(G2752:I2752)</f>
        <v>169999</v>
      </c>
      <c r="K2752" t="s">
        <v>1659</v>
      </c>
      <c r="L2752" t="s">
        <v>1659</v>
      </c>
      <c r="M2752" t="s">
        <v>829</v>
      </c>
      <c r="N2752" t="s">
        <v>1132</v>
      </c>
      <c r="O2752" t="s">
        <v>1132</v>
      </c>
      <c r="P2752" t="str">
        <f>IFERROR(VLOOKUP(F2752,Sheet1!$A$2:$B$54,2,FALSE),"")</f>
        <v/>
      </c>
    </row>
    <row r="2753" spans="1:16" x14ac:dyDescent="0.2">
      <c r="A2753" s="1">
        <v>2015</v>
      </c>
      <c r="B2753" t="s">
        <v>333</v>
      </c>
      <c r="C2753" s="10" t="s">
        <v>1678</v>
      </c>
      <c r="D2753" s="10" t="s">
        <v>1679</v>
      </c>
      <c r="E2753" s="10" t="s">
        <v>1682</v>
      </c>
      <c r="F2753" t="s">
        <v>830</v>
      </c>
      <c r="G2753" s="4">
        <v>96447</v>
      </c>
      <c r="H2753" s="4">
        <v>2328336</v>
      </c>
      <c r="I2753" s="4">
        <v>5734</v>
      </c>
      <c r="J2753" s="4">
        <f>SUM(G2753:I2753)</f>
        <v>2430517</v>
      </c>
      <c r="K2753" t="s">
        <v>1660</v>
      </c>
      <c r="L2753" t="s">
        <v>1660</v>
      </c>
      <c r="M2753" t="s">
        <v>1423</v>
      </c>
      <c r="N2753" t="s">
        <v>1423</v>
      </c>
      <c r="O2753" t="s">
        <v>1423</v>
      </c>
      <c r="P2753" t="str">
        <f>IFERROR(VLOOKUP(F2753,Sheet1!$A$2:$B$54,2,FALSE),"")</f>
        <v/>
      </c>
    </row>
    <row r="2754" spans="1:16" x14ac:dyDescent="0.2">
      <c r="A2754" s="1">
        <v>2016</v>
      </c>
      <c r="B2754" t="s">
        <v>333</v>
      </c>
      <c r="C2754" s="10" t="s">
        <v>1678</v>
      </c>
      <c r="D2754" s="10" t="s">
        <v>1679</v>
      </c>
      <c r="E2754" s="10" t="s">
        <v>1682</v>
      </c>
      <c r="F2754" t="s">
        <v>830</v>
      </c>
      <c r="G2754" s="4">
        <v>168049</v>
      </c>
      <c r="H2754" s="4">
        <v>2385398</v>
      </c>
      <c r="I2754" s="4">
        <v>5589</v>
      </c>
      <c r="J2754" s="4">
        <f>SUM(G2754:I2754)</f>
        <v>2559036</v>
      </c>
      <c r="K2754" t="s">
        <v>1660</v>
      </c>
      <c r="L2754" t="s">
        <v>1660</v>
      </c>
      <c r="M2754" t="s">
        <v>1423</v>
      </c>
      <c r="N2754" t="s">
        <v>1423</v>
      </c>
      <c r="O2754" t="s">
        <v>1423</v>
      </c>
      <c r="P2754" t="str">
        <f>IFERROR(VLOOKUP(F2754,Sheet1!$A$2:$B$54,2,FALSE),"")</f>
        <v/>
      </c>
    </row>
    <row r="2755" spans="1:16" x14ac:dyDescent="0.2">
      <c r="A2755" s="1">
        <v>2017</v>
      </c>
      <c r="B2755" t="s">
        <v>333</v>
      </c>
      <c r="C2755" s="10" t="s">
        <v>1678</v>
      </c>
      <c r="D2755" s="10" t="s">
        <v>1679</v>
      </c>
      <c r="E2755" s="10" t="s">
        <v>1682</v>
      </c>
      <c r="F2755" t="s">
        <v>830</v>
      </c>
      <c r="G2755" s="4">
        <v>278652</v>
      </c>
      <c r="H2755" s="4">
        <v>2520913</v>
      </c>
      <c r="I2755" s="4">
        <v>5420</v>
      </c>
      <c r="J2755" s="4">
        <f>SUM(G2755:I2755)</f>
        <v>2804985</v>
      </c>
      <c r="K2755" t="s">
        <v>1660</v>
      </c>
      <c r="L2755" t="s">
        <v>1660</v>
      </c>
      <c r="M2755" t="s">
        <v>1423</v>
      </c>
      <c r="N2755" t="s">
        <v>1423</v>
      </c>
      <c r="O2755" t="s">
        <v>1423</v>
      </c>
      <c r="P2755" t="str">
        <f>IFERROR(VLOOKUP(F2755,Sheet1!$A$2:$B$54,2,FALSE),"")</f>
        <v/>
      </c>
    </row>
    <row r="2756" spans="1:16" x14ac:dyDescent="0.2">
      <c r="A2756" s="1">
        <v>2018</v>
      </c>
      <c r="B2756" t="s">
        <v>333</v>
      </c>
      <c r="C2756" s="10" t="s">
        <v>1678</v>
      </c>
      <c r="D2756" s="10" t="s">
        <v>1679</v>
      </c>
      <c r="E2756" s="10" t="s">
        <v>1682</v>
      </c>
      <c r="F2756" t="s">
        <v>830</v>
      </c>
      <c r="G2756" s="4">
        <v>327050</v>
      </c>
      <c r="H2756" s="4">
        <v>2593187</v>
      </c>
      <c r="I2756" s="4">
        <v>5596</v>
      </c>
      <c r="J2756" s="4">
        <f>SUM(G2756:I2756)</f>
        <v>2925833</v>
      </c>
      <c r="K2756" t="s">
        <v>1660</v>
      </c>
      <c r="L2756" t="s">
        <v>1660</v>
      </c>
      <c r="M2756" t="s">
        <v>1423</v>
      </c>
      <c r="N2756" t="s">
        <v>1423</v>
      </c>
      <c r="O2756" t="s">
        <v>1423</v>
      </c>
      <c r="P2756" t="str">
        <f>IFERROR(VLOOKUP(F2756,Sheet1!$A$2:$B$54,2,FALSE),"")</f>
        <v/>
      </c>
    </row>
    <row r="2757" spans="1:16" x14ac:dyDescent="0.2">
      <c r="A2757" s="1">
        <v>2019</v>
      </c>
      <c r="B2757" t="s">
        <v>333</v>
      </c>
      <c r="C2757" s="10" t="s">
        <v>1678</v>
      </c>
      <c r="D2757" s="10" t="s">
        <v>1679</v>
      </c>
      <c r="E2757" s="10" t="s">
        <v>1682</v>
      </c>
      <c r="F2757" t="s">
        <v>830</v>
      </c>
      <c r="G2757" s="4">
        <v>422123</v>
      </c>
      <c r="H2757" s="4">
        <v>2713267</v>
      </c>
      <c r="I2757" s="4">
        <v>5830</v>
      </c>
      <c r="J2757" s="4">
        <f>SUM(G2757:I2757)</f>
        <v>3141220</v>
      </c>
      <c r="K2757" t="s">
        <v>1660</v>
      </c>
      <c r="L2757" t="s">
        <v>1660</v>
      </c>
      <c r="M2757" t="s">
        <v>1423</v>
      </c>
      <c r="N2757" t="s">
        <v>1423</v>
      </c>
      <c r="O2757" t="s">
        <v>1423</v>
      </c>
      <c r="P2757" t="str">
        <f>IFERROR(VLOOKUP(F2757,Sheet1!$A$2:$B$54,2,FALSE),"")</f>
        <v/>
      </c>
    </row>
    <row r="2758" spans="1:16" x14ac:dyDescent="0.2">
      <c r="A2758" s="1">
        <v>2020</v>
      </c>
      <c r="B2758" t="s">
        <v>333</v>
      </c>
      <c r="C2758" s="10" t="s">
        <v>1678</v>
      </c>
      <c r="D2758" s="10" t="s">
        <v>1679</v>
      </c>
      <c r="E2758" s="10" t="s">
        <v>1682</v>
      </c>
      <c r="F2758" t="s">
        <v>830</v>
      </c>
      <c r="G2758" s="4">
        <v>522321</v>
      </c>
      <c r="H2758" s="4">
        <v>2852526</v>
      </c>
      <c r="I2758" s="4">
        <v>5887</v>
      </c>
      <c r="J2758" s="4">
        <f>SUM(G2758:I2758)</f>
        <v>3380734</v>
      </c>
      <c r="K2758" t="s">
        <v>1660</v>
      </c>
      <c r="L2758" t="s">
        <v>1660</v>
      </c>
      <c r="M2758" t="s">
        <v>1423</v>
      </c>
      <c r="N2758" t="s">
        <v>1423</v>
      </c>
      <c r="O2758" t="s">
        <v>1423</v>
      </c>
      <c r="P2758" t="str">
        <f>IFERROR(VLOOKUP(F2758,Sheet1!$A$2:$B$54,2,FALSE),"")</f>
        <v/>
      </c>
    </row>
    <row r="2759" spans="1:16" x14ac:dyDescent="0.2">
      <c r="A2759" s="1">
        <v>2021</v>
      </c>
      <c r="B2759" t="s">
        <v>333</v>
      </c>
      <c r="C2759" s="10" t="s">
        <v>1678</v>
      </c>
      <c r="D2759" s="10" t="s">
        <v>1679</v>
      </c>
      <c r="E2759" s="10" t="s">
        <v>1682</v>
      </c>
      <c r="F2759" t="s">
        <v>830</v>
      </c>
      <c r="G2759" s="4">
        <v>589733</v>
      </c>
      <c r="H2759" s="4">
        <v>2888977</v>
      </c>
      <c r="I2759" s="4">
        <v>6060</v>
      </c>
      <c r="J2759" s="4">
        <f>SUM(G2759:I2759)</f>
        <v>3484770</v>
      </c>
      <c r="K2759" t="s">
        <v>1660</v>
      </c>
      <c r="L2759" t="s">
        <v>1660</v>
      </c>
      <c r="M2759" t="s">
        <v>830</v>
      </c>
      <c r="N2759" t="s">
        <v>830</v>
      </c>
      <c r="O2759" t="s">
        <v>830</v>
      </c>
      <c r="P2759" t="str">
        <f>IFERROR(VLOOKUP(F2759,Sheet1!$A$2:$B$54,2,FALSE),"")</f>
        <v/>
      </c>
    </row>
    <row r="2760" spans="1:16" x14ac:dyDescent="0.2">
      <c r="A2760" s="1">
        <v>2022</v>
      </c>
      <c r="B2760" t="s">
        <v>333</v>
      </c>
      <c r="C2760" s="10" t="s">
        <v>1678</v>
      </c>
      <c r="D2760" s="10" t="s">
        <v>1679</v>
      </c>
      <c r="E2760" s="10" t="s">
        <v>1682</v>
      </c>
      <c r="F2760" t="s">
        <v>830</v>
      </c>
      <c r="G2760" s="4">
        <v>733948</v>
      </c>
      <c r="H2760" s="4">
        <v>2903963</v>
      </c>
      <c r="I2760" s="4">
        <v>3075</v>
      </c>
      <c r="J2760" s="4">
        <f>SUM(G2760:I2760)</f>
        <v>3640986</v>
      </c>
      <c r="K2760" t="s">
        <v>1660</v>
      </c>
      <c r="L2760" t="s">
        <v>1660</v>
      </c>
      <c r="M2760" t="s">
        <v>830</v>
      </c>
      <c r="N2760" t="s">
        <v>830</v>
      </c>
      <c r="O2760" t="s">
        <v>830</v>
      </c>
      <c r="P2760" t="str">
        <f>IFERROR(VLOOKUP(F2760,Sheet1!$A$2:$B$54,2,FALSE),"")</f>
        <v/>
      </c>
    </row>
    <row r="2761" spans="1:16" x14ac:dyDescent="0.2">
      <c r="A2761" s="1">
        <v>2023</v>
      </c>
      <c r="B2761" t="s">
        <v>333</v>
      </c>
      <c r="C2761" s="10" t="s">
        <v>1678</v>
      </c>
      <c r="D2761" s="10" t="s">
        <v>1679</v>
      </c>
      <c r="E2761" s="10" t="s">
        <v>1682</v>
      </c>
      <c r="F2761" t="s">
        <v>830</v>
      </c>
      <c r="G2761" s="4">
        <v>931789</v>
      </c>
      <c r="H2761" s="4">
        <v>3189918</v>
      </c>
      <c r="I2761" s="4">
        <v>0</v>
      </c>
      <c r="J2761" s="4">
        <f>SUM(G2761:I2761)</f>
        <v>4121707</v>
      </c>
      <c r="K2761" t="s">
        <v>1660</v>
      </c>
      <c r="L2761" t="s">
        <v>1660</v>
      </c>
      <c r="M2761" t="s">
        <v>830</v>
      </c>
      <c r="N2761" t="s">
        <v>830</v>
      </c>
      <c r="O2761" t="s">
        <v>830</v>
      </c>
      <c r="P2761" t="str">
        <f>IFERROR(VLOOKUP(F2761,Sheet1!$A$2:$B$54,2,FALSE),"")</f>
        <v/>
      </c>
    </row>
    <row r="2762" spans="1:16" x14ac:dyDescent="0.2">
      <c r="A2762" s="1">
        <v>2015</v>
      </c>
      <c r="B2762" t="s">
        <v>334</v>
      </c>
      <c r="C2762" s="10" t="s">
        <v>1678</v>
      </c>
      <c r="D2762" s="10" t="s">
        <v>1679</v>
      </c>
      <c r="E2762" s="10" t="s">
        <v>1682</v>
      </c>
      <c r="F2762" t="s">
        <v>831</v>
      </c>
      <c r="G2762" s="4">
        <v>12738</v>
      </c>
      <c r="H2762" s="4"/>
      <c r="I2762" s="4"/>
      <c r="J2762" s="4">
        <f>SUM(G2762:I2762)</f>
        <v>12738</v>
      </c>
      <c r="K2762" t="s">
        <v>1659</v>
      </c>
      <c r="L2762" t="s">
        <v>1659</v>
      </c>
      <c r="M2762" t="s">
        <v>1424</v>
      </c>
      <c r="N2762" t="s">
        <v>1132</v>
      </c>
      <c r="O2762" t="s">
        <v>1132</v>
      </c>
      <c r="P2762" t="str">
        <f>IFERROR(VLOOKUP(F2762,Sheet1!$A$2:$B$54,2,FALSE),"")</f>
        <v/>
      </c>
    </row>
    <row r="2763" spans="1:16" x14ac:dyDescent="0.2">
      <c r="A2763" s="1">
        <v>2016</v>
      </c>
      <c r="B2763" t="s">
        <v>334</v>
      </c>
      <c r="C2763" s="10" t="s">
        <v>1678</v>
      </c>
      <c r="D2763" s="10" t="s">
        <v>1679</v>
      </c>
      <c r="E2763" s="10" t="s">
        <v>1682</v>
      </c>
      <c r="F2763" t="s">
        <v>831</v>
      </c>
      <c r="G2763" s="4">
        <v>16573</v>
      </c>
      <c r="H2763" s="4"/>
      <c r="I2763" s="4"/>
      <c r="J2763" s="4">
        <f>SUM(G2763:I2763)</f>
        <v>16573</v>
      </c>
      <c r="K2763" t="s">
        <v>1659</v>
      </c>
      <c r="L2763" t="s">
        <v>1659</v>
      </c>
      <c r="M2763" t="s">
        <v>1425</v>
      </c>
      <c r="N2763" t="s">
        <v>1132</v>
      </c>
      <c r="O2763" t="s">
        <v>1132</v>
      </c>
      <c r="P2763" t="str">
        <f>IFERROR(VLOOKUP(F2763,Sheet1!$A$2:$B$54,2,FALSE),"")</f>
        <v/>
      </c>
    </row>
    <row r="2764" spans="1:16" x14ac:dyDescent="0.2">
      <c r="A2764" s="1">
        <v>2017</v>
      </c>
      <c r="B2764" t="s">
        <v>334</v>
      </c>
      <c r="C2764" s="10" t="s">
        <v>1678</v>
      </c>
      <c r="D2764" s="10" t="s">
        <v>1679</v>
      </c>
      <c r="E2764" s="10" t="s">
        <v>1682</v>
      </c>
      <c r="F2764" t="s">
        <v>831</v>
      </c>
      <c r="G2764" s="4">
        <v>17413</v>
      </c>
      <c r="H2764" s="4"/>
      <c r="I2764" s="4"/>
      <c r="J2764" s="4">
        <f>SUM(G2764:I2764)</f>
        <v>17413</v>
      </c>
      <c r="K2764" t="s">
        <v>1659</v>
      </c>
      <c r="L2764" t="s">
        <v>1659</v>
      </c>
      <c r="M2764" t="s">
        <v>1426</v>
      </c>
      <c r="N2764" t="s">
        <v>1132</v>
      </c>
      <c r="O2764" t="s">
        <v>1132</v>
      </c>
      <c r="P2764" t="str">
        <f>IFERROR(VLOOKUP(F2764,Sheet1!$A$2:$B$54,2,FALSE),"")</f>
        <v/>
      </c>
    </row>
    <row r="2765" spans="1:16" x14ac:dyDescent="0.2">
      <c r="A2765" s="1">
        <v>2018</v>
      </c>
      <c r="B2765" t="s">
        <v>334</v>
      </c>
      <c r="C2765" s="10" t="s">
        <v>1678</v>
      </c>
      <c r="D2765" s="10" t="s">
        <v>1679</v>
      </c>
      <c r="E2765" s="10" t="s">
        <v>1682</v>
      </c>
      <c r="F2765" t="s">
        <v>831</v>
      </c>
      <c r="G2765" s="4">
        <v>18773</v>
      </c>
      <c r="H2765" s="4"/>
      <c r="I2765" s="4"/>
      <c r="J2765" s="4">
        <f>SUM(G2765:I2765)</f>
        <v>18773</v>
      </c>
      <c r="K2765" t="s">
        <v>1659</v>
      </c>
      <c r="L2765" t="s">
        <v>1659</v>
      </c>
      <c r="M2765" t="s">
        <v>1426</v>
      </c>
      <c r="N2765" t="s">
        <v>1132</v>
      </c>
      <c r="O2765" t="s">
        <v>1132</v>
      </c>
      <c r="P2765" t="str">
        <f>IFERROR(VLOOKUP(F2765,Sheet1!$A$2:$B$54,2,FALSE),"")</f>
        <v/>
      </c>
    </row>
    <row r="2766" spans="1:16" x14ac:dyDescent="0.2">
      <c r="A2766" s="1">
        <v>2019</v>
      </c>
      <c r="B2766" t="s">
        <v>334</v>
      </c>
      <c r="C2766" s="10" t="s">
        <v>1678</v>
      </c>
      <c r="D2766" s="10" t="s">
        <v>1679</v>
      </c>
      <c r="E2766" s="10" t="s">
        <v>1682</v>
      </c>
      <c r="F2766" t="s">
        <v>831</v>
      </c>
      <c r="G2766" s="4">
        <v>19995</v>
      </c>
      <c r="H2766" s="4"/>
      <c r="I2766" s="4"/>
      <c r="J2766" s="4">
        <f>SUM(G2766:I2766)</f>
        <v>19995</v>
      </c>
      <c r="K2766" t="s">
        <v>1659</v>
      </c>
      <c r="L2766" t="s">
        <v>1659</v>
      </c>
      <c r="M2766" t="s">
        <v>1426</v>
      </c>
      <c r="N2766" t="s">
        <v>1132</v>
      </c>
      <c r="O2766" t="s">
        <v>1132</v>
      </c>
      <c r="P2766" t="str">
        <f>IFERROR(VLOOKUP(F2766,Sheet1!$A$2:$B$54,2,FALSE),"")</f>
        <v/>
      </c>
    </row>
    <row r="2767" spans="1:16" x14ac:dyDescent="0.2">
      <c r="A2767" s="1">
        <v>2020</v>
      </c>
      <c r="B2767" t="s">
        <v>334</v>
      </c>
      <c r="C2767" s="10" t="s">
        <v>1678</v>
      </c>
      <c r="D2767" s="10" t="s">
        <v>1679</v>
      </c>
      <c r="E2767" s="10" t="s">
        <v>1682</v>
      </c>
      <c r="F2767" t="s">
        <v>831</v>
      </c>
      <c r="G2767" s="4">
        <v>17617</v>
      </c>
      <c r="H2767" s="4"/>
      <c r="I2767" s="4"/>
      <c r="J2767" s="4">
        <f>SUM(G2767:I2767)</f>
        <v>17617</v>
      </c>
      <c r="K2767" t="s">
        <v>1659</v>
      </c>
      <c r="L2767" t="s">
        <v>1659</v>
      </c>
      <c r="M2767" t="s">
        <v>1426</v>
      </c>
      <c r="N2767" t="s">
        <v>1132</v>
      </c>
      <c r="O2767" t="s">
        <v>1132</v>
      </c>
      <c r="P2767" t="str">
        <f>IFERROR(VLOOKUP(F2767,Sheet1!$A$2:$B$54,2,FALSE),"")</f>
        <v/>
      </c>
    </row>
    <row r="2768" spans="1:16" x14ac:dyDescent="0.2">
      <c r="A2768" s="1">
        <v>2021</v>
      </c>
      <c r="B2768" t="s">
        <v>334</v>
      </c>
      <c r="C2768" s="10" t="s">
        <v>1678</v>
      </c>
      <c r="D2768" s="10" t="s">
        <v>1679</v>
      </c>
      <c r="E2768" s="10" t="s">
        <v>1682</v>
      </c>
      <c r="F2768" t="s">
        <v>831</v>
      </c>
      <c r="G2768" s="4">
        <v>26636</v>
      </c>
      <c r="H2768" s="4"/>
      <c r="I2768" s="4"/>
      <c r="J2768" s="4">
        <f>SUM(G2768:I2768)</f>
        <v>26636</v>
      </c>
      <c r="K2768" t="s">
        <v>1659</v>
      </c>
      <c r="L2768" t="s">
        <v>1659</v>
      </c>
      <c r="M2768" t="s">
        <v>831</v>
      </c>
      <c r="N2768" t="s">
        <v>1132</v>
      </c>
      <c r="O2768" t="s">
        <v>1132</v>
      </c>
      <c r="P2768" t="str">
        <f>IFERROR(VLOOKUP(F2768,Sheet1!$A$2:$B$54,2,FALSE),"")</f>
        <v/>
      </c>
    </row>
    <row r="2769" spans="1:16" x14ac:dyDescent="0.2">
      <c r="A2769" s="1">
        <v>2022</v>
      </c>
      <c r="B2769" t="s">
        <v>334</v>
      </c>
      <c r="C2769" s="10" t="s">
        <v>1678</v>
      </c>
      <c r="D2769" s="10" t="s">
        <v>1679</v>
      </c>
      <c r="E2769" s="10" t="s">
        <v>1682</v>
      </c>
      <c r="F2769" t="s">
        <v>831</v>
      </c>
      <c r="G2769" s="4">
        <v>27890</v>
      </c>
      <c r="H2769" s="4"/>
      <c r="I2769" s="4"/>
      <c r="J2769" s="4">
        <f>SUM(G2769:I2769)</f>
        <v>27890</v>
      </c>
      <c r="K2769" t="s">
        <v>1659</v>
      </c>
      <c r="L2769" t="s">
        <v>1659</v>
      </c>
      <c r="M2769" t="s">
        <v>831</v>
      </c>
      <c r="N2769" t="s">
        <v>1132</v>
      </c>
      <c r="O2769" t="s">
        <v>1132</v>
      </c>
      <c r="P2769" t="str">
        <f>IFERROR(VLOOKUP(F2769,Sheet1!$A$2:$B$54,2,FALSE),"")</f>
        <v/>
      </c>
    </row>
    <row r="2770" spans="1:16" x14ac:dyDescent="0.2">
      <c r="A2770" s="1">
        <v>2023</v>
      </c>
      <c r="B2770" t="s">
        <v>334</v>
      </c>
      <c r="C2770" s="10" t="s">
        <v>1678</v>
      </c>
      <c r="D2770" s="10" t="s">
        <v>1679</v>
      </c>
      <c r="E2770" s="10" t="s">
        <v>1682</v>
      </c>
      <c r="F2770" t="s">
        <v>831</v>
      </c>
      <c r="G2770" s="4">
        <v>25096</v>
      </c>
      <c r="H2770" s="4"/>
      <c r="I2770" s="4"/>
      <c r="J2770" s="4">
        <f>SUM(G2770:I2770)</f>
        <v>25096</v>
      </c>
      <c r="K2770" t="s">
        <v>1659</v>
      </c>
      <c r="L2770" t="s">
        <v>1659</v>
      </c>
      <c r="M2770" t="s">
        <v>831</v>
      </c>
      <c r="N2770" t="s">
        <v>1132</v>
      </c>
      <c r="O2770" t="s">
        <v>1132</v>
      </c>
      <c r="P2770" t="str">
        <f>IFERROR(VLOOKUP(F2770,Sheet1!$A$2:$B$54,2,FALSE),"")</f>
        <v/>
      </c>
    </row>
    <row r="2771" spans="1:16" x14ac:dyDescent="0.2">
      <c r="A2771" s="1">
        <v>2015</v>
      </c>
      <c r="B2771" t="s">
        <v>335</v>
      </c>
      <c r="C2771" s="10" t="s">
        <v>1678</v>
      </c>
      <c r="D2771" s="10" t="s">
        <v>1679</v>
      </c>
      <c r="E2771" s="10" t="s">
        <v>1682</v>
      </c>
      <c r="F2771" t="s">
        <v>832</v>
      </c>
      <c r="G2771" s="4">
        <v>30141</v>
      </c>
      <c r="H2771" s="4">
        <v>279834</v>
      </c>
      <c r="I2771" s="4"/>
      <c r="J2771" s="4">
        <f>SUM(G2771:I2771)</f>
        <v>309975</v>
      </c>
      <c r="K2771" t="s">
        <v>1660</v>
      </c>
      <c r="L2771" t="s">
        <v>1659</v>
      </c>
      <c r="M2771" t="s">
        <v>1427</v>
      </c>
      <c r="N2771" t="s">
        <v>1427</v>
      </c>
      <c r="O2771" t="s">
        <v>1132</v>
      </c>
      <c r="P2771" t="str">
        <f>IFERROR(VLOOKUP(F2771,Sheet1!$A$2:$B$54,2,FALSE),"")</f>
        <v/>
      </c>
    </row>
    <row r="2772" spans="1:16" x14ac:dyDescent="0.2">
      <c r="A2772" s="1">
        <v>2016</v>
      </c>
      <c r="B2772" t="s">
        <v>335</v>
      </c>
      <c r="C2772" s="10" t="s">
        <v>1678</v>
      </c>
      <c r="D2772" s="10" t="s">
        <v>1679</v>
      </c>
      <c r="E2772" s="10" t="s">
        <v>1682</v>
      </c>
      <c r="F2772" t="s">
        <v>832</v>
      </c>
      <c r="G2772" s="4">
        <v>38898</v>
      </c>
      <c r="H2772" s="4">
        <v>325814</v>
      </c>
      <c r="I2772" s="4"/>
      <c r="J2772" s="4">
        <f>SUM(G2772:I2772)</f>
        <v>364712</v>
      </c>
      <c r="K2772" t="s">
        <v>1660</v>
      </c>
      <c r="L2772" t="s">
        <v>1659</v>
      </c>
      <c r="M2772" t="s">
        <v>1427</v>
      </c>
      <c r="N2772" t="s">
        <v>1427</v>
      </c>
      <c r="O2772" t="s">
        <v>1132</v>
      </c>
      <c r="P2772" t="str">
        <f>IFERROR(VLOOKUP(F2772,Sheet1!$A$2:$B$54,2,FALSE),"")</f>
        <v/>
      </c>
    </row>
    <row r="2773" spans="1:16" x14ac:dyDescent="0.2">
      <c r="A2773" s="1">
        <v>2017</v>
      </c>
      <c r="B2773" t="s">
        <v>335</v>
      </c>
      <c r="C2773" s="10" t="s">
        <v>1678</v>
      </c>
      <c r="D2773" s="10" t="s">
        <v>1679</v>
      </c>
      <c r="E2773" s="10" t="s">
        <v>1682</v>
      </c>
      <c r="F2773" t="s">
        <v>832</v>
      </c>
      <c r="G2773" s="4">
        <v>45896</v>
      </c>
      <c r="H2773" s="4">
        <v>334754</v>
      </c>
      <c r="I2773" s="4"/>
      <c r="J2773" s="4">
        <f>SUM(G2773:I2773)</f>
        <v>380650</v>
      </c>
      <c r="K2773" t="s">
        <v>1660</v>
      </c>
      <c r="L2773" t="s">
        <v>1659</v>
      </c>
      <c r="M2773" t="s">
        <v>1428</v>
      </c>
      <c r="N2773" t="s">
        <v>1428</v>
      </c>
      <c r="O2773" t="s">
        <v>1132</v>
      </c>
      <c r="P2773" t="str">
        <f>IFERROR(VLOOKUP(F2773,Sheet1!$A$2:$B$54,2,FALSE),"")</f>
        <v/>
      </c>
    </row>
    <row r="2774" spans="1:16" x14ac:dyDescent="0.2">
      <c r="A2774" s="1">
        <v>2018</v>
      </c>
      <c r="B2774" t="s">
        <v>335</v>
      </c>
      <c r="C2774" s="10" t="s">
        <v>1678</v>
      </c>
      <c r="D2774" s="10" t="s">
        <v>1679</v>
      </c>
      <c r="E2774" s="10" t="s">
        <v>1682</v>
      </c>
      <c r="F2774" t="s">
        <v>832</v>
      </c>
      <c r="G2774" s="4">
        <v>66660</v>
      </c>
      <c r="H2774" s="4">
        <v>338663</v>
      </c>
      <c r="I2774" s="4"/>
      <c r="J2774" s="4">
        <f>SUM(G2774:I2774)</f>
        <v>405323</v>
      </c>
      <c r="K2774" t="s">
        <v>1660</v>
      </c>
      <c r="L2774" t="s">
        <v>1659</v>
      </c>
      <c r="M2774" t="s">
        <v>1428</v>
      </c>
      <c r="N2774" t="s">
        <v>1428</v>
      </c>
      <c r="O2774" t="s">
        <v>1132</v>
      </c>
      <c r="P2774" t="str">
        <f>IFERROR(VLOOKUP(F2774,Sheet1!$A$2:$B$54,2,FALSE),"")</f>
        <v/>
      </c>
    </row>
    <row r="2775" spans="1:16" x14ac:dyDescent="0.2">
      <c r="A2775" s="1">
        <v>2019</v>
      </c>
      <c r="B2775" t="s">
        <v>335</v>
      </c>
      <c r="C2775" s="10" t="s">
        <v>1678</v>
      </c>
      <c r="D2775" s="10" t="s">
        <v>1679</v>
      </c>
      <c r="E2775" s="10" t="s">
        <v>1682</v>
      </c>
      <c r="F2775" t="s">
        <v>832</v>
      </c>
      <c r="G2775" s="4">
        <v>102691</v>
      </c>
      <c r="H2775" s="4">
        <v>345340</v>
      </c>
      <c r="I2775" s="4"/>
      <c r="J2775" s="4">
        <f>SUM(G2775:I2775)</f>
        <v>448031</v>
      </c>
      <c r="K2775" t="s">
        <v>1660</v>
      </c>
      <c r="L2775" t="s">
        <v>1659</v>
      </c>
      <c r="M2775" t="s">
        <v>1428</v>
      </c>
      <c r="N2775" t="s">
        <v>1428</v>
      </c>
      <c r="O2775" t="s">
        <v>1132</v>
      </c>
      <c r="P2775" t="str">
        <f>IFERROR(VLOOKUP(F2775,Sheet1!$A$2:$B$54,2,FALSE),"")</f>
        <v/>
      </c>
    </row>
    <row r="2776" spans="1:16" x14ac:dyDescent="0.2">
      <c r="A2776" s="1">
        <v>2020</v>
      </c>
      <c r="B2776" t="s">
        <v>335</v>
      </c>
      <c r="C2776" s="10" t="s">
        <v>1678</v>
      </c>
      <c r="D2776" s="10" t="s">
        <v>1679</v>
      </c>
      <c r="E2776" s="10" t="s">
        <v>1682</v>
      </c>
      <c r="F2776" t="s">
        <v>832</v>
      </c>
      <c r="G2776" s="4">
        <v>125611</v>
      </c>
      <c r="H2776" s="4">
        <v>379183</v>
      </c>
      <c r="I2776" s="4"/>
      <c r="J2776" s="4">
        <f>SUM(G2776:I2776)</f>
        <v>504794</v>
      </c>
      <c r="K2776" t="s">
        <v>1660</v>
      </c>
      <c r="L2776" t="s">
        <v>1659</v>
      </c>
      <c r="M2776" t="s">
        <v>1428</v>
      </c>
      <c r="N2776" t="s">
        <v>1428</v>
      </c>
      <c r="O2776" t="s">
        <v>1132</v>
      </c>
      <c r="P2776" t="str">
        <f>IFERROR(VLOOKUP(F2776,Sheet1!$A$2:$B$54,2,FALSE),"")</f>
        <v/>
      </c>
    </row>
    <row r="2777" spans="1:16" x14ac:dyDescent="0.2">
      <c r="A2777" s="1">
        <v>2021</v>
      </c>
      <c r="B2777" t="s">
        <v>335</v>
      </c>
      <c r="C2777" s="10" t="s">
        <v>1678</v>
      </c>
      <c r="D2777" s="10" t="s">
        <v>1679</v>
      </c>
      <c r="E2777" s="10" t="s">
        <v>1682</v>
      </c>
      <c r="F2777" t="s">
        <v>832</v>
      </c>
      <c r="G2777" s="4">
        <v>152247</v>
      </c>
      <c r="H2777" s="4">
        <v>419690</v>
      </c>
      <c r="I2777" s="4"/>
      <c r="J2777" s="4">
        <f>SUM(G2777:I2777)</f>
        <v>571937</v>
      </c>
      <c r="K2777" t="s">
        <v>1660</v>
      </c>
      <c r="L2777" t="s">
        <v>1659</v>
      </c>
      <c r="M2777" t="s">
        <v>832</v>
      </c>
      <c r="N2777" t="s">
        <v>832</v>
      </c>
      <c r="O2777" t="s">
        <v>1132</v>
      </c>
      <c r="P2777" t="str">
        <f>IFERROR(VLOOKUP(F2777,Sheet1!$A$2:$B$54,2,FALSE),"")</f>
        <v/>
      </c>
    </row>
    <row r="2778" spans="1:16" x14ac:dyDescent="0.2">
      <c r="A2778" s="1">
        <v>2022</v>
      </c>
      <c r="B2778" t="s">
        <v>335</v>
      </c>
      <c r="C2778" s="10" t="s">
        <v>1678</v>
      </c>
      <c r="D2778" s="10" t="s">
        <v>1679</v>
      </c>
      <c r="E2778" s="10" t="s">
        <v>1682</v>
      </c>
      <c r="F2778" t="s">
        <v>832</v>
      </c>
      <c r="G2778" s="4">
        <v>199598</v>
      </c>
      <c r="H2778" s="4">
        <v>464078</v>
      </c>
      <c r="I2778" s="4"/>
      <c r="J2778" s="4">
        <f>SUM(G2778:I2778)</f>
        <v>663676</v>
      </c>
      <c r="K2778" t="s">
        <v>1660</v>
      </c>
      <c r="L2778" t="s">
        <v>1659</v>
      </c>
      <c r="M2778" t="s">
        <v>832</v>
      </c>
      <c r="N2778" t="s">
        <v>832</v>
      </c>
      <c r="O2778" t="s">
        <v>1132</v>
      </c>
      <c r="P2778" t="str">
        <f>IFERROR(VLOOKUP(F2778,Sheet1!$A$2:$B$54,2,FALSE),"")</f>
        <v/>
      </c>
    </row>
    <row r="2779" spans="1:16" x14ac:dyDescent="0.2">
      <c r="A2779" s="1">
        <v>2023</v>
      </c>
      <c r="B2779" t="s">
        <v>335</v>
      </c>
      <c r="C2779" s="10" t="s">
        <v>1678</v>
      </c>
      <c r="D2779" s="10" t="s">
        <v>1679</v>
      </c>
      <c r="E2779" s="10" t="s">
        <v>1682</v>
      </c>
      <c r="F2779" t="s">
        <v>832</v>
      </c>
      <c r="G2779" s="4">
        <v>249175</v>
      </c>
      <c r="H2779" s="4">
        <v>511123</v>
      </c>
      <c r="I2779" s="4"/>
      <c r="J2779" s="4">
        <f>SUM(G2779:I2779)</f>
        <v>760298</v>
      </c>
      <c r="K2779" t="s">
        <v>1660</v>
      </c>
      <c r="L2779" t="s">
        <v>1659</v>
      </c>
      <c r="M2779" t="s">
        <v>832</v>
      </c>
      <c r="N2779" t="s">
        <v>832</v>
      </c>
      <c r="O2779" t="s">
        <v>1132</v>
      </c>
      <c r="P2779" t="str">
        <f>IFERROR(VLOOKUP(F2779,Sheet1!$A$2:$B$54,2,FALSE),"")</f>
        <v/>
      </c>
    </row>
    <row r="2780" spans="1:16" x14ac:dyDescent="0.2">
      <c r="A2780" s="1">
        <v>2015</v>
      </c>
      <c r="B2780" t="s">
        <v>336</v>
      </c>
      <c r="C2780" s="10" t="s">
        <v>1678</v>
      </c>
      <c r="D2780" s="10" t="s">
        <v>1679</v>
      </c>
      <c r="E2780" s="10" t="s">
        <v>1682</v>
      </c>
      <c r="F2780" t="s">
        <v>833</v>
      </c>
      <c r="G2780" s="4">
        <v>92059</v>
      </c>
      <c r="H2780" s="4"/>
      <c r="I2780" s="4"/>
      <c r="J2780" s="4">
        <f>SUM(G2780:I2780)</f>
        <v>92059</v>
      </c>
      <c r="K2780" t="s">
        <v>1659</v>
      </c>
      <c r="L2780" t="s">
        <v>1659</v>
      </c>
      <c r="M2780" t="s">
        <v>1429</v>
      </c>
      <c r="N2780" t="s">
        <v>1132</v>
      </c>
      <c r="O2780" t="s">
        <v>1132</v>
      </c>
      <c r="P2780" t="str">
        <f>IFERROR(VLOOKUP(F2780,Sheet1!$A$2:$B$54,2,FALSE),"")</f>
        <v/>
      </c>
    </row>
    <row r="2781" spans="1:16" x14ac:dyDescent="0.2">
      <c r="A2781" s="1">
        <v>2016</v>
      </c>
      <c r="B2781" t="s">
        <v>336</v>
      </c>
      <c r="C2781" s="10" t="s">
        <v>1678</v>
      </c>
      <c r="D2781" s="10" t="s">
        <v>1679</v>
      </c>
      <c r="E2781" s="10" t="s">
        <v>1682</v>
      </c>
      <c r="F2781" t="s">
        <v>833</v>
      </c>
      <c r="G2781" s="4">
        <v>127983</v>
      </c>
      <c r="H2781" s="4"/>
      <c r="I2781" s="4"/>
      <c r="J2781" s="4">
        <f>SUM(G2781:I2781)</f>
        <v>127983</v>
      </c>
      <c r="K2781" t="s">
        <v>1659</v>
      </c>
      <c r="L2781" t="s">
        <v>1659</v>
      </c>
      <c r="M2781" t="s">
        <v>1429</v>
      </c>
      <c r="N2781" t="s">
        <v>1132</v>
      </c>
      <c r="O2781" t="s">
        <v>1132</v>
      </c>
      <c r="P2781" t="str">
        <f>IFERROR(VLOOKUP(F2781,Sheet1!$A$2:$B$54,2,FALSE),"")</f>
        <v/>
      </c>
    </row>
    <row r="2782" spans="1:16" x14ac:dyDescent="0.2">
      <c r="A2782" s="1">
        <v>2017</v>
      </c>
      <c r="B2782" t="s">
        <v>336</v>
      </c>
      <c r="C2782" s="10" t="s">
        <v>1678</v>
      </c>
      <c r="D2782" s="10" t="s">
        <v>1679</v>
      </c>
      <c r="E2782" s="10" t="s">
        <v>1682</v>
      </c>
      <c r="F2782" t="s">
        <v>833</v>
      </c>
      <c r="G2782" s="4">
        <v>180873</v>
      </c>
      <c r="H2782" s="4"/>
      <c r="I2782" s="4"/>
      <c r="J2782" s="4">
        <f>SUM(G2782:I2782)</f>
        <v>180873</v>
      </c>
      <c r="K2782" t="s">
        <v>1659</v>
      </c>
      <c r="L2782" t="s">
        <v>1659</v>
      </c>
      <c r="M2782" t="s">
        <v>1429</v>
      </c>
      <c r="N2782" t="s">
        <v>1132</v>
      </c>
      <c r="O2782" t="s">
        <v>1132</v>
      </c>
      <c r="P2782" t="str">
        <f>IFERROR(VLOOKUP(F2782,Sheet1!$A$2:$B$54,2,FALSE),"")</f>
        <v/>
      </c>
    </row>
    <row r="2783" spans="1:16" x14ac:dyDescent="0.2">
      <c r="A2783" s="1">
        <v>2018</v>
      </c>
      <c r="B2783" t="s">
        <v>336</v>
      </c>
      <c r="C2783" s="10" t="s">
        <v>1678</v>
      </c>
      <c r="D2783" s="10" t="s">
        <v>1679</v>
      </c>
      <c r="E2783" s="10" t="s">
        <v>1682</v>
      </c>
      <c r="F2783" t="s">
        <v>833</v>
      </c>
      <c r="G2783" s="4">
        <v>239290</v>
      </c>
      <c r="H2783" s="4"/>
      <c r="I2783" s="4"/>
      <c r="J2783" s="4">
        <f>SUM(G2783:I2783)</f>
        <v>239290</v>
      </c>
      <c r="K2783" t="s">
        <v>1659</v>
      </c>
      <c r="L2783" t="s">
        <v>1659</v>
      </c>
      <c r="M2783" t="s">
        <v>1429</v>
      </c>
      <c r="N2783" t="s">
        <v>1132</v>
      </c>
      <c r="O2783" t="s">
        <v>1132</v>
      </c>
      <c r="P2783" t="str">
        <f>IFERROR(VLOOKUP(F2783,Sheet1!$A$2:$B$54,2,FALSE),"")</f>
        <v/>
      </c>
    </row>
    <row r="2784" spans="1:16" x14ac:dyDescent="0.2">
      <c r="A2784" s="1">
        <v>2019</v>
      </c>
      <c r="B2784" t="s">
        <v>336</v>
      </c>
      <c r="C2784" s="10" t="s">
        <v>1678</v>
      </c>
      <c r="D2784" s="10" t="s">
        <v>1679</v>
      </c>
      <c r="E2784" s="10" t="s">
        <v>1682</v>
      </c>
      <c r="F2784" t="s">
        <v>833</v>
      </c>
      <c r="G2784" s="4">
        <v>291590</v>
      </c>
      <c r="H2784" s="4"/>
      <c r="I2784" s="4"/>
      <c r="J2784" s="4">
        <f>SUM(G2784:I2784)</f>
        <v>291590</v>
      </c>
      <c r="K2784" t="s">
        <v>1659</v>
      </c>
      <c r="L2784" t="s">
        <v>1659</v>
      </c>
      <c r="M2784" t="s">
        <v>1429</v>
      </c>
      <c r="N2784" t="s">
        <v>1132</v>
      </c>
      <c r="O2784" t="s">
        <v>1132</v>
      </c>
      <c r="P2784" t="str">
        <f>IFERROR(VLOOKUP(F2784,Sheet1!$A$2:$B$54,2,FALSE),"")</f>
        <v/>
      </c>
    </row>
    <row r="2785" spans="1:16" x14ac:dyDescent="0.2">
      <c r="A2785" s="1">
        <v>2020</v>
      </c>
      <c r="B2785" t="s">
        <v>336</v>
      </c>
      <c r="C2785" s="10" t="s">
        <v>1678</v>
      </c>
      <c r="D2785" s="10" t="s">
        <v>1679</v>
      </c>
      <c r="E2785" s="10" t="s">
        <v>1682</v>
      </c>
      <c r="F2785" t="s">
        <v>833</v>
      </c>
      <c r="G2785" s="4">
        <v>332046</v>
      </c>
      <c r="H2785" s="4"/>
      <c r="I2785" s="4"/>
      <c r="J2785" s="4">
        <f>SUM(G2785:I2785)</f>
        <v>332046</v>
      </c>
      <c r="K2785" t="s">
        <v>1659</v>
      </c>
      <c r="L2785" t="s">
        <v>1659</v>
      </c>
      <c r="M2785" t="s">
        <v>1429</v>
      </c>
      <c r="N2785" t="s">
        <v>1132</v>
      </c>
      <c r="O2785" t="s">
        <v>1132</v>
      </c>
      <c r="P2785" t="str">
        <f>IFERROR(VLOOKUP(F2785,Sheet1!$A$2:$B$54,2,FALSE),"")</f>
        <v/>
      </c>
    </row>
    <row r="2786" spans="1:16" x14ac:dyDescent="0.2">
      <c r="A2786" s="1">
        <v>2021</v>
      </c>
      <c r="B2786" t="s">
        <v>336</v>
      </c>
      <c r="C2786" s="10" t="s">
        <v>1678</v>
      </c>
      <c r="D2786" s="10" t="s">
        <v>1679</v>
      </c>
      <c r="E2786" s="10" t="s">
        <v>1682</v>
      </c>
      <c r="F2786" t="s">
        <v>833</v>
      </c>
      <c r="G2786" s="4">
        <v>431227</v>
      </c>
      <c r="H2786" s="4"/>
      <c r="I2786" s="4"/>
      <c r="J2786" s="4">
        <f>SUM(G2786:I2786)</f>
        <v>431227</v>
      </c>
      <c r="K2786" t="s">
        <v>1659</v>
      </c>
      <c r="L2786" t="s">
        <v>1659</v>
      </c>
      <c r="M2786" t="s">
        <v>833</v>
      </c>
      <c r="N2786" t="s">
        <v>1132</v>
      </c>
      <c r="O2786" t="s">
        <v>1132</v>
      </c>
      <c r="P2786" t="str">
        <f>IFERROR(VLOOKUP(F2786,Sheet1!$A$2:$B$54,2,FALSE),"")</f>
        <v/>
      </c>
    </row>
    <row r="2787" spans="1:16" x14ac:dyDescent="0.2">
      <c r="A2787" s="1">
        <v>2022</v>
      </c>
      <c r="B2787" t="s">
        <v>336</v>
      </c>
      <c r="C2787" s="10" t="s">
        <v>1678</v>
      </c>
      <c r="D2787" s="10" t="s">
        <v>1679</v>
      </c>
      <c r="E2787" s="10" t="s">
        <v>1682</v>
      </c>
      <c r="F2787" t="s">
        <v>833</v>
      </c>
      <c r="G2787" s="4">
        <v>527350</v>
      </c>
      <c r="H2787" s="4"/>
      <c r="I2787" s="4"/>
      <c r="J2787" s="4">
        <f>SUM(G2787:I2787)</f>
        <v>527350</v>
      </c>
      <c r="K2787" t="s">
        <v>1659</v>
      </c>
      <c r="L2787" t="s">
        <v>1659</v>
      </c>
      <c r="M2787" t="s">
        <v>833</v>
      </c>
      <c r="N2787" t="s">
        <v>1132</v>
      </c>
      <c r="O2787" t="s">
        <v>1132</v>
      </c>
      <c r="P2787" t="str">
        <f>IFERROR(VLOOKUP(F2787,Sheet1!$A$2:$B$54,2,FALSE),"")</f>
        <v/>
      </c>
    </row>
    <row r="2788" spans="1:16" x14ac:dyDescent="0.2">
      <c r="A2788" s="1">
        <v>2023</v>
      </c>
      <c r="B2788" t="s">
        <v>336</v>
      </c>
      <c r="C2788" s="10" t="s">
        <v>1678</v>
      </c>
      <c r="D2788" s="10" t="s">
        <v>1679</v>
      </c>
      <c r="E2788" s="10" t="s">
        <v>1682</v>
      </c>
      <c r="F2788" t="s">
        <v>833</v>
      </c>
      <c r="G2788" s="4">
        <v>615703</v>
      </c>
      <c r="H2788" s="4"/>
      <c r="I2788" s="4"/>
      <c r="J2788" s="4">
        <f>SUM(G2788:I2788)</f>
        <v>615703</v>
      </c>
      <c r="K2788" t="s">
        <v>1659</v>
      </c>
      <c r="L2788" t="s">
        <v>1659</v>
      </c>
      <c r="M2788" t="s">
        <v>833</v>
      </c>
      <c r="N2788" t="s">
        <v>1132</v>
      </c>
      <c r="O2788" t="s">
        <v>1132</v>
      </c>
      <c r="P2788" t="str">
        <f>IFERROR(VLOOKUP(F2788,Sheet1!$A$2:$B$54,2,FALSE),"")</f>
        <v/>
      </c>
    </row>
    <row r="2789" spans="1:16" x14ac:dyDescent="0.2">
      <c r="A2789" s="1">
        <v>2016</v>
      </c>
      <c r="B2789" t="s">
        <v>337</v>
      </c>
      <c r="C2789" s="10" t="s">
        <v>1678</v>
      </c>
      <c r="D2789" s="10" t="s">
        <v>1679</v>
      </c>
      <c r="E2789" s="10" t="s">
        <v>1682</v>
      </c>
      <c r="F2789" t="s">
        <v>834</v>
      </c>
      <c r="G2789" s="4">
        <v>2417</v>
      </c>
      <c r="H2789" s="4"/>
      <c r="I2789" s="4"/>
      <c r="J2789" s="4">
        <f>SUM(G2789:I2789)</f>
        <v>2417</v>
      </c>
      <c r="K2789" t="s">
        <v>1659</v>
      </c>
      <c r="L2789" t="s">
        <v>1659</v>
      </c>
      <c r="M2789" t="s">
        <v>1430</v>
      </c>
      <c r="N2789" t="s">
        <v>1132</v>
      </c>
      <c r="O2789" t="s">
        <v>1132</v>
      </c>
      <c r="P2789" t="str">
        <f>IFERROR(VLOOKUP(F2789,Sheet1!$A$2:$B$54,2,FALSE),"")</f>
        <v/>
      </c>
    </row>
    <row r="2790" spans="1:16" x14ac:dyDescent="0.2">
      <c r="A2790" s="1">
        <v>2017</v>
      </c>
      <c r="B2790" t="s">
        <v>337</v>
      </c>
      <c r="C2790" s="10" t="s">
        <v>1678</v>
      </c>
      <c r="D2790" s="10" t="s">
        <v>1679</v>
      </c>
      <c r="E2790" s="10" t="s">
        <v>1682</v>
      </c>
      <c r="F2790" t="s">
        <v>834</v>
      </c>
      <c r="G2790" s="4">
        <v>2834</v>
      </c>
      <c r="H2790" s="4"/>
      <c r="I2790" s="4"/>
      <c r="J2790" s="4">
        <f>SUM(G2790:I2790)</f>
        <v>2834</v>
      </c>
      <c r="K2790" t="s">
        <v>1659</v>
      </c>
      <c r="L2790" t="s">
        <v>1659</v>
      </c>
      <c r="M2790" t="s">
        <v>1430</v>
      </c>
      <c r="N2790" t="s">
        <v>1132</v>
      </c>
      <c r="O2790" t="s">
        <v>1132</v>
      </c>
      <c r="P2790" t="str">
        <f>IFERROR(VLOOKUP(F2790,Sheet1!$A$2:$B$54,2,FALSE),"")</f>
        <v/>
      </c>
    </row>
    <row r="2791" spans="1:16" x14ac:dyDescent="0.2">
      <c r="A2791" s="1">
        <v>2018</v>
      </c>
      <c r="B2791" t="s">
        <v>337</v>
      </c>
      <c r="C2791" s="10" t="s">
        <v>1678</v>
      </c>
      <c r="D2791" s="10" t="s">
        <v>1679</v>
      </c>
      <c r="E2791" s="10" t="s">
        <v>1682</v>
      </c>
      <c r="F2791" t="s">
        <v>834</v>
      </c>
      <c r="G2791" s="4">
        <v>2985</v>
      </c>
      <c r="H2791" s="4"/>
      <c r="I2791" s="4"/>
      <c r="J2791" s="4">
        <f>SUM(G2791:I2791)</f>
        <v>2985</v>
      </c>
      <c r="K2791" t="s">
        <v>1659</v>
      </c>
      <c r="L2791" t="s">
        <v>1659</v>
      </c>
      <c r="M2791" t="s">
        <v>1430</v>
      </c>
      <c r="N2791" t="s">
        <v>1132</v>
      </c>
      <c r="O2791" t="s">
        <v>1132</v>
      </c>
      <c r="P2791" t="str">
        <f>IFERROR(VLOOKUP(F2791,Sheet1!$A$2:$B$54,2,FALSE),"")</f>
        <v/>
      </c>
    </row>
    <row r="2792" spans="1:16" x14ac:dyDescent="0.2">
      <c r="A2792" s="1">
        <v>2019</v>
      </c>
      <c r="B2792" t="s">
        <v>337</v>
      </c>
      <c r="C2792" s="10" t="s">
        <v>1678</v>
      </c>
      <c r="D2792" s="10" t="s">
        <v>1679</v>
      </c>
      <c r="E2792" s="10" t="s">
        <v>1682</v>
      </c>
      <c r="F2792" t="s">
        <v>834</v>
      </c>
      <c r="G2792" s="4">
        <v>1578</v>
      </c>
      <c r="H2792" s="4"/>
      <c r="I2792" s="4"/>
      <c r="J2792" s="4">
        <f>SUM(G2792:I2792)</f>
        <v>1578</v>
      </c>
      <c r="K2792" t="s">
        <v>1659</v>
      </c>
      <c r="L2792" t="s">
        <v>1659</v>
      </c>
      <c r="M2792" t="s">
        <v>1430</v>
      </c>
      <c r="N2792" t="s">
        <v>1132</v>
      </c>
      <c r="O2792" t="s">
        <v>1132</v>
      </c>
      <c r="P2792" t="str">
        <f>IFERROR(VLOOKUP(F2792,Sheet1!$A$2:$B$54,2,FALSE),"")</f>
        <v/>
      </c>
    </row>
    <row r="2793" spans="1:16" x14ac:dyDescent="0.2">
      <c r="A2793" s="1">
        <v>2020</v>
      </c>
      <c r="B2793" t="s">
        <v>337</v>
      </c>
      <c r="C2793" s="10" t="s">
        <v>1678</v>
      </c>
      <c r="D2793" s="10" t="s">
        <v>1679</v>
      </c>
      <c r="E2793" s="10" t="s">
        <v>1682</v>
      </c>
      <c r="F2793" t="s">
        <v>834</v>
      </c>
      <c r="G2793" s="4">
        <v>1192</v>
      </c>
      <c r="H2793" s="4"/>
      <c r="I2793" s="4"/>
      <c r="J2793" s="4">
        <f>SUM(G2793:I2793)</f>
        <v>1192</v>
      </c>
      <c r="K2793" t="s">
        <v>1659</v>
      </c>
      <c r="L2793" t="s">
        <v>1659</v>
      </c>
      <c r="M2793" t="s">
        <v>1430</v>
      </c>
      <c r="N2793" t="s">
        <v>1132</v>
      </c>
      <c r="O2793" t="s">
        <v>1132</v>
      </c>
      <c r="P2793" t="str">
        <f>IFERROR(VLOOKUP(F2793,Sheet1!$A$2:$B$54,2,FALSE),"")</f>
        <v/>
      </c>
    </row>
    <row r="2794" spans="1:16" x14ac:dyDescent="0.2">
      <c r="A2794" s="1">
        <v>2021</v>
      </c>
      <c r="B2794" t="s">
        <v>337</v>
      </c>
      <c r="C2794" s="10" t="s">
        <v>1678</v>
      </c>
      <c r="D2794" s="10" t="s">
        <v>1679</v>
      </c>
      <c r="E2794" s="10" t="s">
        <v>1682</v>
      </c>
      <c r="F2794" t="s">
        <v>834</v>
      </c>
      <c r="G2794" s="4">
        <v>1675</v>
      </c>
      <c r="H2794" s="4"/>
      <c r="I2794" s="4"/>
      <c r="J2794" s="4">
        <f>SUM(G2794:I2794)</f>
        <v>1675</v>
      </c>
      <c r="K2794" t="s">
        <v>1659</v>
      </c>
      <c r="L2794" t="s">
        <v>1659</v>
      </c>
      <c r="M2794" t="s">
        <v>834</v>
      </c>
      <c r="N2794" t="s">
        <v>1132</v>
      </c>
      <c r="O2794" t="s">
        <v>1132</v>
      </c>
      <c r="P2794" t="str">
        <f>IFERROR(VLOOKUP(F2794,Sheet1!$A$2:$B$54,2,FALSE),"")</f>
        <v/>
      </c>
    </row>
    <row r="2795" spans="1:16" x14ac:dyDescent="0.2">
      <c r="A2795" s="1">
        <v>2022</v>
      </c>
      <c r="B2795" t="s">
        <v>337</v>
      </c>
      <c r="C2795" s="10" t="s">
        <v>1678</v>
      </c>
      <c r="D2795" s="10" t="s">
        <v>1679</v>
      </c>
      <c r="E2795" s="10" t="s">
        <v>1682</v>
      </c>
      <c r="F2795" t="s">
        <v>834</v>
      </c>
      <c r="G2795" s="4">
        <v>3726</v>
      </c>
      <c r="H2795" s="4"/>
      <c r="I2795" s="4"/>
      <c r="J2795" s="4">
        <f>SUM(G2795:I2795)</f>
        <v>3726</v>
      </c>
      <c r="K2795" t="s">
        <v>1659</v>
      </c>
      <c r="L2795" t="s">
        <v>1659</v>
      </c>
      <c r="M2795" t="s">
        <v>834</v>
      </c>
      <c r="N2795" t="s">
        <v>1132</v>
      </c>
      <c r="O2795" t="s">
        <v>1132</v>
      </c>
      <c r="P2795" t="str">
        <f>IFERROR(VLOOKUP(F2795,Sheet1!$A$2:$B$54,2,FALSE),"")</f>
        <v/>
      </c>
    </row>
    <row r="2796" spans="1:16" x14ac:dyDescent="0.2">
      <c r="A2796" s="1">
        <v>2023</v>
      </c>
      <c r="B2796" t="s">
        <v>337</v>
      </c>
      <c r="C2796" s="10" t="s">
        <v>1678</v>
      </c>
      <c r="D2796" s="10" t="s">
        <v>1679</v>
      </c>
      <c r="E2796" s="10" t="s">
        <v>1682</v>
      </c>
      <c r="F2796" t="s">
        <v>834</v>
      </c>
      <c r="G2796" s="4">
        <v>7719</v>
      </c>
      <c r="H2796" s="4"/>
      <c r="I2796" s="4"/>
      <c r="J2796" s="4">
        <f>SUM(G2796:I2796)</f>
        <v>7719</v>
      </c>
      <c r="K2796" t="s">
        <v>1659</v>
      </c>
      <c r="L2796" t="s">
        <v>1659</v>
      </c>
      <c r="M2796" t="s">
        <v>834</v>
      </c>
      <c r="N2796" t="s">
        <v>1132</v>
      </c>
      <c r="O2796" t="s">
        <v>1132</v>
      </c>
      <c r="P2796" t="str">
        <f>IFERROR(VLOOKUP(F2796,Sheet1!$A$2:$B$54,2,FALSE),"")</f>
        <v/>
      </c>
    </row>
    <row r="2797" spans="1:16" x14ac:dyDescent="0.2">
      <c r="A2797" s="1">
        <v>2015</v>
      </c>
      <c r="B2797" t="s">
        <v>338</v>
      </c>
      <c r="C2797" s="10" t="s">
        <v>1678</v>
      </c>
      <c r="D2797" s="10" t="s">
        <v>1679</v>
      </c>
      <c r="E2797" s="10" t="s">
        <v>1682</v>
      </c>
      <c r="F2797" t="s">
        <v>835</v>
      </c>
      <c r="G2797" s="4">
        <v>65558</v>
      </c>
      <c r="H2797" s="4"/>
      <c r="I2797" s="4"/>
      <c r="J2797" s="4">
        <f>SUM(G2797:I2797)</f>
        <v>65558</v>
      </c>
      <c r="K2797" t="s">
        <v>1659</v>
      </c>
      <c r="L2797" t="s">
        <v>1659</v>
      </c>
      <c r="M2797" t="s">
        <v>1431</v>
      </c>
      <c r="N2797" t="s">
        <v>1132</v>
      </c>
      <c r="O2797" t="s">
        <v>1132</v>
      </c>
      <c r="P2797" t="str">
        <f>IFERROR(VLOOKUP(F2797,Sheet1!$A$2:$B$54,2,FALSE),"")</f>
        <v/>
      </c>
    </row>
    <row r="2798" spans="1:16" x14ac:dyDescent="0.2">
      <c r="A2798" s="1">
        <v>2016</v>
      </c>
      <c r="B2798" t="s">
        <v>338</v>
      </c>
      <c r="C2798" s="10" t="s">
        <v>1678</v>
      </c>
      <c r="D2798" s="10" t="s">
        <v>1679</v>
      </c>
      <c r="E2798" s="10" t="s">
        <v>1682</v>
      </c>
      <c r="F2798" t="s">
        <v>835</v>
      </c>
      <c r="G2798" s="4">
        <v>106533</v>
      </c>
      <c r="H2798" s="4"/>
      <c r="I2798" s="4"/>
      <c r="J2798" s="4">
        <f>SUM(G2798:I2798)</f>
        <v>106533</v>
      </c>
      <c r="K2798" t="s">
        <v>1659</v>
      </c>
      <c r="L2798" t="s">
        <v>1659</v>
      </c>
      <c r="M2798" t="s">
        <v>1431</v>
      </c>
      <c r="N2798" t="s">
        <v>1132</v>
      </c>
      <c r="O2798" t="s">
        <v>1132</v>
      </c>
      <c r="P2798" t="str">
        <f>IFERROR(VLOOKUP(F2798,Sheet1!$A$2:$B$54,2,FALSE),"")</f>
        <v/>
      </c>
    </row>
    <row r="2799" spans="1:16" x14ac:dyDescent="0.2">
      <c r="A2799" s="1">
        <v>2017</v>
      </c>
      <c r="B2799" t="s">
        <v>338</v>
      </c>
      <c r="C2799" s="10" t="s">
        <v>1678</v>
      </c>
      <c r="D2799" s="10" t="s">
        <v>1679</v>
      </c>
      <c r="E2799" s="10" t="s">
        <v>1682</v>
      </c>
      <c r="F2799" t="s">
        <v>835</v>
      </c>
      <c r="G2799" s="4">
        <v>165293</v>
      </c>
      <c r="H2799" s="4"/>
      <c r="I2799" s="4"/>
      <c r="J2799" s="4">
        <f>SUM(G2799:I2799)</f>
        <v>165293</v>
      </c>
      <c r="K2799" t="s">
        <v>1659</v>
      </c>
      <c r="L2799" t="s">
        <v>1659</v>
      </c>
      <c r="M2799" t="s">
        <v>1431</v>
      </c>
      <c r="N2799" t="s">
        <v>1132</v>
      </c>
      <c r="O2799" t="s">
        <v>1132</v>
      </c>
      <c r="P2799" t="str">
        <f>IFERROR(VLOOKUP(F2799,Sheet1!$A$2:$B$54,2,FALSE),"")</f>
        <v/>
      </c>
    </row>
    <row r="2800" spans="1:16" x14ac:dyDescent="0.2">
      <c r="A2800" s="1">
        <v>2018</v>
      </c>
      <c r="B2800" t="s">
        <v>338</v>
      </c>
      <c r="C2800" s="10" t="s">
        <v>1678</v>
      </c>
      <c r="D2800" s="10" t="s">
        <v>1679</v>
      </c>
      <c r="E2800" s="10" t="s">
        <v>1682</v>
      </c>
      <c r="F2800" t="s">
        <v>835</v>
      </c>
      <c r="G2800" s="4">
        <v>196983</v>
      </c>
      <c r="H2800" s="4"/>
      <c r="I2800" s="4"/>
      <c r="J2800" s="4">
        <f>SUM(G2800:I2800)</f>
        <v>196983</v>
      </c>
      <c r="K2800" t="s">
        <v>1659</v>
      </c>
      <c r="L2800" t="s">
        <v>1659</v>
      </c>
      <c r="M2800" t="s">
        <v>1431</v>
      </c>
      <c r="N2800" t="s">
        <v>1132</v>
      </c>
      <c r="O2800" t="s">
        <v>1132</v>
      </c>
      <c r="P2800" t="str">
        <f>IFERROR(VLOOKUP(F2800,Sheet1!$A$2:$B$54,2,FALSE),"")</f>
        <v/>
      </c>
    </row>
    <row r="2801" spans="1:16" x14ac:dyDescent="0.2">
      <c r="A2801" s="1">
        <v>2019</v>
      </c>
      <c r="B2801" t="s">
        <v>338</v>
      </c>
      <c r="C2801" s="10" t="s">
        <v>1678</v>
      </c>
      <c r="D2801" s="10" t="s">
        <v>1679</v>
      </c>
      <c r="E2801" s="10" t="s">
        <v>1682</v>
      </c>
      <c r="F2801" t="s">
        <v>835</v>
      </c>
      <c r="G2801" s="4">
        <v>226651</v>
      </c>
      <c r="H2801" s="4"/>
      <c r="I2801" s="4"/>
      <c r="J2801" s="4">
        <f>SUM(G2801:I2801)</f>
        <v>226651</v>
      </c>
      <c r="K2801" t="s">
        <v>1659</v>
      </c>
      <c r="L2801" t="s">
        <v>1659</v>
      </c>
      <c r="M2801" t="s">
        <v>1431</v>
      </c>
      <c r="N2801" t="s">
        <v>1132</v>
      </c>
      <c r="O2801" t="s">
        <v>1132</v>
      </c>
      <c r="P2801" t="str">
        <f>IFERROR(VLOOKUP(F2801,Sheet1!$A$2:$B$54,2,FALSE),"")</f>
        <v/>
      </c>
    </row>
    <row r="2802" spans="1:16" x14ac:dyDescent="0.2">
      <c r="A2802" s="1">
        <v>2020</v>
      </c>
      <c r="B2802" t="s">
        <v>338</v>
      </c>
      <c r="C2802" s="10" t="s">
        <v>1678</v>
      </c>
      <c r="D2802" s="10" t="s">
        <v>1679</v>
      </c>
      <c r="E2802" s="10" t="s">
        <v>1682</v>
      </c>
      <c r="F2802" t="s">
        <v>835</v>
      </c>
      <c r="G2802" s="4">
        <v>264820</v>
      </c>
      <c r="H2802" s="4"/>
      <c r="I2802" s="4"/>
      <c r="J2802" s="4">
        <f>SUM(G2802:I2802)</f>
        <v>264820</v>
      </c>
      <c r="K2802" t="s">
        <v>1659</v>
      </c>
      <c r="L2802" t="s">
        <v>1659</v>
      </c>
      <c r="M2802" t="s">
        <v>1431</v>
      </c>
      <c r="N2802" t="s">
        <v>1132</v>
      </c>
      <c r="O2802" t="s">
        <v>1132</v>
      </c>
      <c r="P2802" t="str">
        <f>IFERROR(VLOOKUP(F2802,Sheet1!$A$2:$B$54,2,FALSE),"")</f>
        <v/>
      </c>
    </row>
    <row r="2803" spans="1:16" x14ac:dyDescent="0.2">
      <c r="A2803" s="1">
        <v>2021</v>
      </c>
      <c r="B2803" t="s">
        <v>338</v>
      </c>
      <c r="C2803" s="10" t="s">
        <v>1678</v>
      </c>
      <c r="D2803" s="10" t="s">
        <v>1679</v>
      </c>
      <c r="E2803" s="10" t="s">
        <v>1682</v>
      </c>
      <c r="F2803" t="s">
        <v>835</v>
      </c>
      <c r="G2803" s="4">
        <v>321190</v>
      </c>
      <c r="H2803" s="4"/>
      <c r="I2803" s="4"/>
      <c r="J2803" s="4">
        <f>SUM(G2803:I2803)</f>
        <v>321190</v>
      </c>
      <c r="K2803" t="s">
        <v>1659</v>
      </c>
      <c r="L2803" t="s">
        <v>1659</v>
      </c>
      <c r="M2803" t="s">
        <v>835</v>
      </c>
      <c r="N2803" t="s">
        <v>1132</v>
      </c>
      <c r="O2803" t="s">
        <v>1132</v>
      </c>
      <c r="P2803" t="str">
        <f>IFERROR(VLOOKUP(F2803,Sheet1!$A$2:$B$54,2,FALSE),"")</f>
        <v/>
      </c>
    </row>
    <row r="2804" spans="1:16" x14ac:dyDescent="0.2">
      <c r="A2804" s="1">
        <v>2022</v>
      </c>
      <c r="B2804" t="s">
        <v>338</v>
      </c>
      <c r="C2804" s="10" t="s">
        <v>1678</v>
      </c>
      <c r="D2804" s="10" t="s">
        <v>1679</v>
      </c>
      <c r="E2804" s="10" t="s">
        <v>1682</v>
      </c>
      <c r="F2804" t="s">
        <v>835</v>
      </c>
      <c r="G2804" s="4">
        <v>403003</v>
      </c>
      <c r="H2804" s="4"/>
      <c r="I2804" s="4"/>
      <c r="J2804" s="4">
        <f>SUM(G2804:I2804)</f>
        <v>403003</v>
      </c>
      <c r="K2804" t="s">
        <v>1659</v>
      </c>
      <c r="L2804" t="s">
        <v>1659</v>
      </c>
      <c r="M2804" t="s">
        <v>835</v>
      </c>
      <c r="N2804" t="s">
        <v>1132</v>
      </c>
      <c r="O2804" t="s">
        <v>1132</v>
      </c>
      <c r="P2804" t="str">
        <f>IFERROR(VLOOKUP(F2804,Sheet1!$A$2:$B$54,2,FALSE),"")</f>
        <v/>
      </c>
    </row>
    <row r="2805" spans="1:16" x14ac:dyDescent="0.2">
      <c r="A2805" s="1">
        <v>2023</v>
      </c>
      <c r="B2805" t="s">
        <v>338</v>
      </c>
      <c r="C2805" s="10" t="s">
        <v>1678</v>
      </c>
      <c r="D2805" s="10" t="s">
        <v>1679</v>
      </c>
      <c r="E2805" s="10" t="s">
        <v>1682</v>
      </c>
      <c r="F2805" t="s">
        <v>835</v>
      </c>
      <c r="G2805" s="4">
        <v>449006</v>
      </c>
      <c r="H2805" s="4"/>
      <c r="I2805" s="4"/>
      <c r="J2805" s="4">
        <f>SUM(G2805:I2805)</f>
        <v>449006</v>
      </c>
      <c r="K2805" t="s">
        <v>1659</v>
      </c>
      <c r="L2805" t="s">
        <v>1659</v>
      </c>
      <c r="M2805" t="s">
        <v>835</v>
      </c>
      <c r="N2805" t="s">
        <v>1132</v>
      </c>
      <c r="O2805" t="s">
        <v>1132</v>
      </c>
      <c r="P2805" t="str">
        <f>IFERROR(VLOOKUP(F2805,Sheet1!$A$2:$B$54,2,FALSE),"")</f>
        <v/>
      </c>
    </row>
    <row r="2806" spans="1:16" x14ac:dyDescent="0.2">
      <c r="A2806" s="1">
        <v>2015</v>
      </c>
      <c r="B2806" t="s">
        <v>339</v>
      </c>
      <c r="C2806" s="10" t="s">
        <v>1678</v>
      </c>
      <c r="D2806" s="10" t="s">
        <v>1679</v>
      </c>
      <c r="E2806" s="10" t="s">
        <v>1682</v>
      </c>
      <c r="F2806" t="s">
        <v>836</v>
      </c>
      <c r="G2806" s="4">
        <v>1209</v>
      </c>
      <c r="H2806" s="4"/>
      <c r="I2806" s="4"/>
      <c r="J2806" s="4">
        <f>SUM(G2806:I2806)</f>
        <v>1209</v>
      </c>
      <c r="K2806" t="s">
        <v>1659</v>
      </c>
      <c r="L2806" t="s">
        <v>1659</v>
      </c>
      <c r="M2806" t="s">
        <v>1432</v>
      </c>
      <c r="N2806" t="s">
        <v>1132</v>
      </c>
      <c r="O2806" t="s">
        <v>1132</v>
      </c>
      <c r="P2806" t="str">
        <f>IFERROR(VLOOKUP(F2806,Sheet1!$A$2:$B$54,2,FALSE),"")</f>
        <v/>
      </c>
    </row>
    <row r="2807" spans="1:16" x14ac:dyDescent="0.2">
      <c r="A2807" s="1">
        <v>2016</v>
      </c>
      <c r="B2807" t="s">
        <v>339</v>
      </c>
      <c r="C2807" s="10" t="s">
        <v>1678</v>
      </c>
      <c r="D2807" s="10" t="s">
        <v>1679</v>
      </c>
      <c r="E2807" s="10" t="s">
        <v>1682</v>
      </c>
      <c r="F2807" t="s">
        <v>836</v>
      </c>
      <c r="G2807" s="4">
        <v>1361</v>
      </c>
      <c r="H2807" s="4"/>
      <c r="I2807" s="4"/>
      <c r="J2807" s="4">
        <f>SUM(G2807:I2807)</f>
        <v>1361</v>
      </c>
      <c r="K2807" t="s">
        <v>1659</v>
      </c>
      <c r="L2807" t="s">
        <v>1659</v>
      </c>
      <c r="M2807" t="s">
        <v>1432</v>
      </c>
      <c r="N2807" t="s">
        <v>1132</v>
      </c>
      <c r="O2807" t="s">
        <v>1132</v>
      </c>
      <c r="P2807" t="str">
        <f>IFERROR(VLOOKUP(F2807,Sheet1!$A$2:$B$54,2,FALSE),"")</f>
        <v/>
      </c>
    </row>
    <row r="2808" spans="1:16" x14ac:dyDescent="0.2">
      <c r="A2808" s="1">
        <v>2017</v>
      </c>
      <c r="B2808" t="s">
        <v>339</v>
      </c>
      <c r="C2808" s="10" t="s">
        <v>1678</v>
      </c>
      <c r="D2808" s="10" t="s">
        <v>1679</v>
      </c>
      <c r="E2808" s="10" t="s">
        <v>1682</v>
      </c>
      <c r="F2808" t="s">
        <v>836</v>
      </c>
      <c r="G2808" s="4">
        <v>1762</v>
      </c>
      <c r="H2808" s="4"/>
      <c r="I2808" s="4"/>
      <c r="J2808" s="4">
        <f>SUM(G2808:I2808)</f>
        <v>1762</v>
      </c>
      <c r="K2808" t="s">
        <v>1659</v>
      </c>
      <c r="L2808" t="s">
        <v>1659</v>
      </c>
      <c r="M2808" t="s">
        <v>1433</v>
      </c>
      <c r="N2808" t="s">
        <v>1132</v>
      </c>
      <c r="O2808" t="s">
        <v>1132</v>
      </c>
      <c r="P2808" t="str">
        <f>IFERROR(VLOOKUP(F2808,Sheet1!$A$2:$B$54,2,FALSE),"")</f>
        <v/>
      </c>
    </row>
    <row r="2809" spans="1:16" x14ac:dyDescent="0.2">
      <c r="A2809" s="1">
        <v>2018</v>
      </c>
      <c r="B2809" t="s">
        <v>339</v>
      </c>
      <c r="C2809" s="10" t="s">
        <v>1678</v>
      </c>
      <c r="D2809" s="10" t="s">
        <v>1679</v>
      </c>
      <c r="E2809" s="10" t="s">
        <v>1682</v>
      </c>
      <c r="F2809" t="s">
        <v>836</v>
      </c>
      <c r="G2809" s="4">
        <v>2098</v>
      </c>
      <c r="H2809" s="4"/>
      <c r="I2809" s="4"/>
      <c r="J2809" s="4">
        <f>SUM(G2809:I2809)</f>
        <v>2098</v>
      </c>
      <c r="K2809" t="s">
        <v>1659</v>
      </c>
      <c r="L2809" t="s">
        <v>1659</v>
      </c>
      <c r="M2809" t="s">
        <v>1433</v>
      </c>
      <c r="N2809" t="s">
        <v>1132</v>
      </c>
      <c r="O2809" t="s">
        <v>1132</v>
      </c>
      <c r="P2809" t="str">
        <f>IFERROR(VLOOKUP(F2809,Sheet1!$A$2:$B$54,2,FALSE),"")</f>
        <v/>
      </c>
    </row>
    <row r="2810" spans="1:16" x14ac:dyDescent="0.2">
      <c r="A2810" s="1">
        <v>2019</v>
      </c>
      <c r="B2810" t="s">
        <v>339</v>
      </c>
      <c r="C2810" s="10" t="s">
        <v>1678</v>
      </c>
      <c r="D2810" s="10" t="s">
        <v>1679</v>
      </c>
      <c r="E2810" s="10" t="s">
        <v>1682</v>
      </c>
      <c r="F2810" t="s">
        <v>836</v>
      </c>
      <c r="G2810" s="4">
        <v>2282</v>
      </c>
      <c r="H2810" s="4"/>
      <c r="I2810" s="4"/>
      <c r="J2810" s="4">
        <f>SUM(G2810:I2810)</f>
        <v>2282</v>
      </c>
      <c r="K2810" t="s">
        <v>1659</v>
      </c>
      <c r="L2810" t="s">
        <v>1659</v>
      </c>
      <c r="M2810" t="s">
        <v>1433</v>
      </c>
      <c r="N2810" t="s">
        <v>1132</v>
      </c>
      <c r="O2810" t="s">
        <v>1132</v>
      </c>
      <c r="P2810" t="str">
        <f>IFERROR(VLOOKUP(F2810,Sheet1!$A$2:$B$54,2,FALSE),"")</f>
        <v/>
      </c>
    </row>
    <row r="2811" spans="1:16" x14ac:dyDescent="0.2">
      <c r="A2811" s="1">
        <v>2020</v>
      </c>
      <c r="B2811" t="s">
        <v>339</v>
      </c>
      <c r="C2811" s="10" t="s">
        <v>1678</v>
      </c>
      <c r="D2811" s="10" t="s">
        <v>1679</v>
      </c>
      <c r="E2811" s="10" t="s">
        <v>1682</v>
      </c>
      <c r="F2811" t="s">
        <v>836</v>
      </c>
      <c r="G2811" s="4">
        <v>5351</v>
      </c>
      <c r="H2811" s="4"/>
      <c r="I2811" s="4"/>
      <c r="J2811" s="4">
        <f>SUM(G2811:I2811)</f>
        <v>5351</v>
      </c>
      <c r="K2811" t="s">
        <v>1659</v>
      </c>
      <c r="L2811" t="s">
        <v>1659</v>
      </c>
      <c r="M2811" t="s">
        <v>1433</v>
      </c>
      <c r="N2811" t="s">
        <v>1132</v>
      </c>
      <c r="O2811" t="s">
        <v>1132</v>
      </c>
      <c r="P2811" t="str">
        <f>IFERROR(VLOOKUP(F2811,Sheet1!$A$2:$B$54,2,FALSE),"")</f>
        <v/>
      </c>
    </row>
    <row r="2812" spans="1:16" x14ac:dyDescent="0.2">
      <c r="A2812" s="1">
        <v>2021</v>
      </c>
      <c r="B2812" t="s">
        <v>339</v>
      </c>
      <c r="C2812" s="10" t="s">
        <v>1678</v>
      </c>
      <c r="D2812" s="10" t="s">
        <v>1679</v>
      </c>
      <c r="E2812" s="10" t="s">
        <v>1682</v>
      </c>
      <c r="F2812" t="s">
        <v>836</v>
      </c>
      <c r="G2812" s="4">
        <v>6585</v>
      </c>
      <c r="H2812" s="4"/>
      <c r="I2812" s="4"/>
      <c r="J2812" s="4">
        <f>SUM(G2812:I2812)</f>
        <v>6585</v>
      </c>
      <c r="K2812" t="s">
        <v>1659</v>
      </c>
      <c r="L2812" t="s">
        <v>1659</v>
      </c>
      <c r="M2812" t="s">
        <v>836</v>
      </c>
      <c r="N2812" t="s">
        <v>1132</v>
      </c>
      <c r="O2812" t="s">
        <v>1132</v>
      </c>
      <c r="P2812" t="str">
        <f>IFERROR(VLOOKUP(F2812,Sheet1!$A$2:$B$54,2,FALSE),"")</f>
        <v/>
      </c>
    </row>
    <row r="2813" spans="1:16" x14ac:dyDescent="0.2">
      <c r="A2813" s="1">
        <v>2022</v>
      </c>
      <c r="B2813" t="s">
        <v>339</v>
      </c>
      <c r="C2813" s="10" t="s">
        <v>1678</v>
      </c>
      <c r="D2813" s="10" t="s">
        <v>1679</v>
      </c>
      <c r="E2813" s="10" t="s">
        <v>1682</v>
      </c>
      <c r="F2813" t="s">
        <v>836</v>
      </c>
      <c r="G2813" s="4">
        <v>6254</v>
      </c>
      <c r="H2813" s="4"/>
      <c r="I2813" s="4"/>
      <c r="J2813" s="4">
        <f>SUM(G2813:I2813)</f>
        <v>6254</v>
      </c>
      <c r="K2813" t="s">
        <v>1659</v>
      </c>
      <c r="L2813" t="s">
        <v>1659</v>
      </c>
      <c r="M2813" t="s">
        <v>836</v>
      </c>
      <c r="N2813" t="s">
        <v>1132</v>
      </c>
      <c r="O2813" t="s">
        <v>1132</v>
      </c>
      <c r="P2813" t="str">
        <f>IFERROR(VLOOKUP(F2813,Sheet1!$A$2:$B$54,2,FALSE),"")</f>
        <v/>
      </c>
    </row>
    <row r="2814" spans="1:16" x14ac:dyDescent="0.2">
      <c r="A2814" s="1">
        <v>2023</v>
      </c>
      <c r="B2814" t="s">
        <v>339</v>
      </c>
      <c r="C2814" s="10" t="s">
        <v>1678</v>
      </c>
      <c r="D2814" s="10" t="s">
        <v>1679</v>
      </c>
      <c r="E2814" s="10" t="s">
        <v>1682</v>
      </c>
      <c r="F2814" t="s">
        <v>836</v>
      </c>
      <c r="G2814" s="4">
        <v>7642</v>
      </c>
      <c r="H2814" s="4"/>
      <c r="I2814" s="4"/>
      <c r="J2814" s="4">
        <f>SUM(G2814:I2814)</f>
        <v>7642</v>
      </c>
      <c r="K2814" t="s">
        <v>1659</v>
      </c>
      <c r="L2814" t="s">
        <v>1659</v>
      </c>
      <c r="M2814" t="s">
        <v>836</v>
      </c>
      <c r="N2814" t="s">
        <v>1132</v>
      </c>
      <c r="O2814" t="s">
        <v>1132</v>
      </c>
      <c r="P2814" t="str">
        <f>IFERROR(VLOOKUP(F2814,Sheet1!$A$2:$B$54,2,FALSE),"")</f>
        <v/>
      </c>
    </row>
    <row r="2815" spans="1:16" x14ac:dyDescent="0.2">
      <c r="A2815" s="1">
        <v>2018</v>
      </c>
      <c r="B2815" t="s">
        <v>340</v>
      </c>
      <c r="C2815" s="10" t="s">
        <v>1678</v>
      </c>
      <c r="D2815" s="10" t="s">
        <v>1679</v>
      </c>
      <c r="E2815" s="10" t="s">
        <v>1682</v>
      </c>
      <c r="F2815" t="s">
        <v>837</v>
      </c>
      <c r="G2815" s="4">
        <v>1542</v>
      </c>
      <c r="H2815" s="4"/>
      <c r="I2815" s="4"/>
      <c r="J2815" s="4">
        <f>SUM(G2815:I2815)</f>
        <v>1542</v>
      </c>
      <c r="K2815" t="s">
        <v>1659</v>
      </c>
      <c r="L2815" t="s">
        <v>1659</v>
      </c>
      <c r="M2815" t="s">
        <v>1434</v>
      </c>
      <c r="N2815" t="s">
        <v>1132</v>
      </c>
      <c r="O2815" t="s">
        <v>1132</v>
      </c>
      <c r="P2815" t="str">
        <f>IFERROR(VLOOKUP(F2815,Sheet1!$A$2:$B$54,2,FALSE),"")</f>
        <v/>
      </c>
    </row>
    <row r="2816" spans="1:16" x14ac:dyDescent="0.2">
      <c r="A2816" s="1">
        <v>2019</v>
      </c>
      <c r="B2816" t="s">
        <v>340</v>
      </c>
      <c r="C2816" s="10" t="s">
        <v>1678</v>
      </c>
      <c r="D2816" s="10" t="s">
        <v>1679</v>
      </c>
      <c r="E2816" s="10" t="s">
        <v>1682</v>
      </c>
      <c r="F2816" t="s">
        <v>837</v>
      </c>
      <c r="G2816" s="4">
        <v>3766</v>
      </c>
      <c r="H2816" s="4"/>
      <c r="I2816" s="4"/>
      <c r="J2816" s="4">
        <f>SUM(G2816:I2816)</f>
        <v>3766</v>
      </c>
      <c r="K2816" t="s">
        <v>1659</v>
      </c>
      <c r="L2816" t="s">
        <v>1659</v>
      </c>
      <c r="M2816" t="s">
        <v>1435</v>
      </c>
      <c r="N2816" t="s">
        <v>1132</v>
      </c>
      <c r="O2816" t="s">
        <v>1132</v>
      </c>
      <c r="P2816" t="str">
        <f>IFERROR(VLOOKUP(F2816,Sheet1!$A$2:$B$54,2,FALSE),"")</f>
        <v/>
      </c>
    </row>
    <row r="2817" spans="1:16" x14ac:dyDescent="0.2">
      <c r="A2817" s="1">
        <v>2020</v>
      </c>
      <c r="B2817" t="s">
        <v>340</v>
      </c>
      <c r="C2817" s="10" t="s">
        <v>1678</v>
      </c>
      <c r="D2817" s="10" t="s">
        <v>1679</v>
      </c>
      <c r="E2817" s="10" t="s">
        <v>1682</v>
      </c>
      <c r="F2817" t="s">
        <v>837</v>
      </c>
      <c r="G2817" s="4">
        <v>3963</v>
      </c>
      <c r="H2817" s="4"/>
      <c r="I2817" s="4"/>
      <c r="J2817" s="4">
        <f>SUM(G2817:I2817)</f>
        <v>3963</v>
      </c>
      <c r="K2817" t="s">
        <v>1659</v>
      </c>
      <c r="L2817" t="s">
        <v>1659</v>
      </c>
      <c r="M2817" t="s">
        <v>1436</v>
      </c>
      <c r="N2817" t="s">
        <v>1132</v>
      </c>
      <c r="O2817" t="s">
        <v>1132</v>
      </c>
      <c r="P2817" t="str">
        <f>IFERROR(VLOOKUP(F2817,Sheet1!$A$2:$B$54,2,FALSE),"")</f>
        <v/>
      </c>
    </row>
    <row r="2818" spans="1:16" x14ac:dyDescent="0.2">
      <c r="A2818" s="1">
        <v>2021</v>
      </c>
      <c r="B2818" t="s">
        <v>340</v>
      </c>
      <c r="C2818" s="10" t="s">
        <v>1678</v>
      </c>
      <c r="D2818" s="10" t="s">
        <v>1679</v>
      </c>
      <c r="E2818" s="10" t="s">
        <v>1682</v>
      </c>
      <c r="F2818" t="s">
        <v>837</v>
      </c>
      <c r="G2818" s="4">
        <v>4246</v>
      </c>
      <c r="H2818" s="4"/>
      <c r="I2818" s="4"/>
      <c r="J2818" s="4">
        <f>SUM(G2818:I2818)</f>
        <v>4246</v>
      </c>
      <c r="K2818" t="s">
        <v>1659</v>
      </c>
      <c r="L2818" t="s">
        <v>1659</v>
      </c>
      <c r="M2818" t="s">
        <v>837</v>
      </c>
      <c r="N2818" t="s">
        <v>1132</v>
      </c>
      <c r="O2818" t="s">
        <v>1132</v>
      </c>
      <c r="P2818" t="str">
        <f>IFERROR(VLOOKUP(F2818,Sheet1!$A$2:$B$54,2,FALSE),"")</f>
        <v/>
      </c>
    </row>
    <row r="2819" spans="1:16" x14ac:dyDescent="0.2">
      <c r="A2819" s="1">
        <v>2022</v>
      </c>
      <c r="B2819" t="s">
        <v>340</v>
      </c>
      <c r="C2819" s="10" t="s">
        <v>1678</v>
      </c>
      <c r="D2819" s="10" t="s">
        <v>1679</v>
      </c>
      <c r="E2819" s="10" t="s">
        <v>1682</v>
      </c>
      <c r="F2819" t="s">
        <v>837</v>
      </c>
      <c r="G2819" s="4">
        <v>8629</v>
      </c>
      <c r="H2819" s="4"/>
      <c r="I2819" s="4"/>
      <c r="J2819" s="4">
        <f>SUM(G2819:I2819)</f>
        <v>8629</v>
      </c>
      <c r="K2819" t="s">
        <v>1659</v>
      </c>
      <c r="L2819" t="s">
        <v>1659</v>
      </c>
      <c r="M2819" t="s">
        <v>837</v>
      </c>
      <c r="N2819" t="s">
        <v>1132</v>
      </c>
      <c r="O2819" t="s">
        <v>1132</v>
      </c>
      <c r="P2819" t="str">
        <f>IFERROR(VLOOKUP(F2819,Sheet1!$A$2:$B$54,2,FALSE),"")</f>
        <v/>
      </c>
    </row>
    <row r="2820" spans="1:16" x14ac:dyDescent="0.2">
      <c r="A2820" s="1">
        <v>2023</v>
      </c>
      <c r="B2820" t="s">
        <v>340</v>
      </c>
      <c r="C2820" s="10" t="s">
        <v>1678</v>
      </c>
      <c r="D2820" s="10" t="s">
        <v>1679</v>
      </c>
      <c r="E2820" s="10" t="s">
        <v>1682</v>
      </c>
      <c r="F2820" t="s">
        <v>837</v>
      </c>
      <c r="G2820" s="4">
        <v>11750</v>
      </c>
      <c r="H2820" s="4"/>
      <c r="I2820" s="4"/>
      <c r="J2820" s="4">
        <f>SUM(G2820:I2820)</f>
        <v>11750</v>
      </c>
      <c r="K2820" t="s">
        <v>1659</v>
      </c>
      <c r="L2820" t="s">
        <v>1659</v>
      </c>
      <c r="M2820" t="s">
        <v>837</v>
      </c>
      <c r="N2820" t="s">
        <v>1132</v>
      </c>
      <c r="O2820" t="s">
        <v>1132</v>
      </c>
      <c r="P2820" t="str">
        <f>IFERROR(VLOOKUP(F2820,Sheet1!$A$2:$B$54,2,FALSE),"")</f>
        <v/>
      </c>
    </row>
    <row r="2821" spans="1:16" x14ac:dyDescent="0.2">
      <c r="A2821" s="1">
        <v>2018</v>
      </c>
      <c r="B2821" t="s">
        <v>341</v>
      </c>
      <c r="C2821" s="10" t="s">
        <v>1678</v>
      </c>
      <c r="D2821" s="10" t="s">
        <v>1679</v>
      </c>
      <c r="E2821" s="10" t="s">
        <v>1682</v>
      </c>
      <c r="F2821" t="s">
        <v>838</v>
      </c>
      <c r="G2821" s="4">
        <v>19891</v>
      </c>
      <c r="H2821" s="4"/>
      <c r="I2821" s="4"/>
      <c r="J2821" s="4">
        <f>SUM(G2821:I2821)</f>
        <v>19891</v>
      </c>
      <c r="K2821" t="s">
        <v>1659</v>
      </c>
      <c r="L2821" t="s">
        <v>1659</v>
      </c>
      <c r="M2821" t="s">
        <v>1437</v>
      </c>
      <c r="N2821" t="s">
        <v>1132</v>
      </c>
      <c r="O2821" t="s">
        <v>1132</v>
      </c>
      <c r="P2821" t="str">
        <f>IFERROR(VLOOKUP(F2821,Sheet1!$A$2:$B$54,2,FALSE),"")</f>
        <v/>
      </c>
    </row>
    <row r="2822" spans="1:16" x14ac:dyDescent="0.2">
      <c r="A2822" s="1">
        <v>2019</v>
      </c>
      <c r="B2822" t="s">
        <v>341</v>
      </c>
      <c r="C2822" s="10" t="s">
        <v>1678</v>
      </c>
      <c r="D2822" s="10" t="s">
        <v>1679</v>
      </c>
      <c r="E2822" s="10" t="s">
        <v>1682</v>
      </c>
      <c r="F2822" t="s">
        <v>838</v>
      </c>
      <c r="G2822" s="4">
        <v>34431</v>
      </c>
      <c r="H2822" s="4"/>
      <c r="I2822" s="4"/>
      <c r="J2822" s="4">
        <f>SUM(G2822:I2822)</f>
        <v>34431</v>
      </c>
      <c r="K2822" t="s">
        <v>1659</v>
      </c>
      <c r="L2822" t="s">
        <v>1659</v>
      </c>
      <c r="M2822" t="s">
        <v>1437</v>
      </c>
      <c r="N2822" t="s">
        <v>1132</v>
      </c>
      <c r="O2822" t="s">
        <v>1132</v>
      </c>
      <c r="P2822" t="str">
        <f>IFERROR(VLOOKUP(F2822,Sheet1!$A$2:$B$54,2,FALSE),"")</f>
        <v/>
      </c>
    </row>
    <row r="2823" spans="1:16" x14ac:dyDescent="0.2">
      <c r="A2823" s="1">
        <v>2020</v>
      </c>
      <c r="B2823" t="s">
        <v>341</v>
      </c>
      <c r="C2823" s="10" t="s">
        <v>1678</v>
      </c>
      <c r="D2823" s="10" t="s">
        <v>1679</v>
      </c>
      <c r="E2823" s="10" t="s">
        <v>1682</v>
      </c>
      <c r="F2823" t="s">
        <v>838</v>
      </c>
      <c r="G2823" s="4">
        <v>31418</v>
      </c>
      <c r="H2823" s="4"/>
      <c r="I2823" s="4"/>
      <c r="J2823" s="4">
        <f>SUM(G2823:I2823)</f>
        <v>31418</v>
      </c>
      <c r="K2823" t="s">
        <v>1659</v>
      </c>
      <c r="L2823" t="s">
        <v>1659</v>
      </c>
      <c r="M2823" t="s">
        <v>1437</v>
      </c>
      <c r="N2823" t="s">
        <v>1132</v>
      </c>
      <c r="O2823" t="s">
        <v>1132</v>
      </c>
      <c r="P2823" t="str">
        <f>IFERROR(VLOOKUP(F2823,Sheet1!$A$2:$B$54,2,FALSE),"")</f>
        <v/>
      </c>
    </row>
    <row r="2824" spans="1:16" x14ac:dyDescent="0.2">
      <c r="A2824" s="1">
        <v>2021</v>
      </c>
      <c r="B2824" t="s">
        <v>341</v>
      </c>
      <c r="C2824" s="10" t="s">
        <v>1678</v>
      </c>
      <c r="D2824" s="10" t="s">
        <v>1679</v>
      </c>
      <c r="E2824" s="10" t="s">
        <v>1682</v>
      </c>
      <c r="F2824" t="s">
        <v>838</v>
      </c>
      <c r="G2824" s="4">
        <v>46830</v>
      </c>
      <c r="H2824" s="4"/>
      <c r="I2824" s="4"/>
      <c r="J2824" s="4">
        <f>SUM(G2824:I2824)</f>
        <v>46830</v>
      </c>
      <c r="K2824" t="s">
        <v>1659</v>
      </c>
      <c r="L2824" t="s">
        <v>1659</v>
      </c>
      <c r="M2824" t="s">
        <v>838</v>
      </c>
      <c r="N2824" t="s">
        <v>1132</v>
      </c>
      <c r="O2824" t="s">
        <v>1132</v>
      </c>
      <c r="P2824" t="str">
        <f>IFERROR(VLOOKUP(F2824,Sheet1!$A$2:$B$54,2,FALSE),"")</f>
        <v/>
      </c>
    </row>
    <row r="2825" spans="1:16" x14ac:dyDescent="0.2">
      <c r="A2825" s="1">
        <v>2022</v>
      </c>
      <c r="B2825" t="s">
        <v>341</v>
      </c>
      <c r="C2825" s="10" t="s">
        <v>1678</v>
      </c>
      <c r="D2825" s="10" t="s">
        <v>1679</v>
      </c>
      <c r="E2825" s="10" t="s">
        <v>1682</v>
      </c>
      <c r="F2825" t="s">
        <v>838</v>
      </c>
      <c r="G2825" s="4">
        <v>61507</v>
      </c>
      <c r="H2825" s="4"/>
      <c r="I2825" s="4"/>
      <c r="J2825" s="4">
        <f>SUM(G2825:I2825)</f>
        <v>61507</v>
      </c>
      <c r="K2825" t="s">
        <v>1659</v>
      </c>
      <c r="L2825" t="s">
        <v>1659</v>
      </c>
      <c r="M2825" t="s">
        <v>838</v>
      </c>
      <c r="N2825" t="s">
        <v>1132</v>
      </c>
      <c r="O2825" t="s">
        <v>1132</v>
      </c>
      <c r="P2825" t="str">
        <f>IFERROR(VLOOKUP(F2825,Sheet1!$A$2:$B$54,2,FALSE),"")</f>
        <v/>
      </c>
    </row>
    <row r="2826" spans="1:16" x14ac:dyDescent="0.2">
      <c r="A2826" s="1">
        <v>2023</v>
      </c>
      <c r="B2826" t="s">
        <v>341</v>
      </c>
      <c r="C2826" s="10" t="s">
        <v>1678</v>
      </c>
      <c r="D2826" s="10" t="s">
        <v>1679</v>
      </c>
      <c r="E2826" s="10" t="s">
        <v>1682</v>
      </c>
      <c r="F2826" t="s">
        <v>838</v>
      </c>
      <c r="G2826" s="4">
        <v>57742</v>
      </c>
      <c r="H2826" s="4"/>
      <c r="I2826" s="4"/>
      <c r="J2826" s="4">
        <f>SUM(G2826:I2826)</f>
        <v>57742</v>
      </c>
      <c r="K2826" t="s">
        <v>1659</v>
      </c>
      <c r="L2826" t="s">
        <v>1659</v>
      </c>
      <c r="M2826" t="s">
        <v>838</v>
      </c>
      <c r="N2826" t="s">
        <v>1132</v>
      </c>
      <c r="O2826" t="s">
        <v>1132</v>
      </c>
      <c r="P2826" t="str">
        <f>IFERROR(VLOOKUP(F2826,Sheet1!$A$2:$B$54,2,FALSE),"")</f>
        <v/>
      </c>
    </row>
    <row r="2827" spans="1:16" x14ac:dyDescent="0.2">
      <c r="A2827" s="1">
        <v>2015</v>
      </c>
      <c r="B2827" t="s">
        <v>342</v>
      </c>
      <c r="C2827" s="10" t="s">
        <v>1678</v>
      </c>
      <c r="D2827" s="10" t="s">
        <v>1679</v>
      </c>
      <c r="E2827" s="10" t="s">
        <v>1682</v>
      </c>
      <c r="F2827" t="s">
        <v>839</v>
      </c>
      <c r="G2827" s="4">
        <v>9486382</v>
      </c>
      <c r="H2827" s="4">
        <v>152649467</v>
      </c>
      <c r="I2827" s="4">
        <v>1823293</v>
      </c>
      <c r="J2827" s="4">
        <f>SUM(G2827:I2827)</f>
        <v>163959142</v>
      </c>
      <c r="K2827" t="s">
        <v>1660</v>
      </c>
      <c r="L2827" t="s">
        <v>1660</v>
      </c>
      <c r="M2827" t="s">
        <v>1438</v>
      </c>
      <c r="N2827" t="s">
        <v>1438</v>
      </c>
      <c r="O2827" t="s">
        <v>1438</v>
      </c>
      <c r="P2827" t="str">
        <f>IFERROR(VLOOKUP(F2827,Sheet1!$A$2:$B$54,2,FALSE),"")</f>
        <v/>
      </c>
    </row>
    <row r="2828" spans="1:16" x14ac:dyDescent="0.2">
      <c r="A2828" s="1">
        <v>2016</v>
      </c>
      <c r="B2828" t="s">
        <v>342</v>
      </c>
      <c r="C2828" s="10" t="s">
        <v>1678</v>
      </c>
      <c r="D2828" s="10" t="s">
        <v>1679</v>
      </c>
      <c r="E2828" s="10" t="s">
        <v>1682</v>
      </c>
      <c r="F2828" t="s">
        <v>839</v>
      </c>
      <c r="G2828" s="4">
        <v>12956712</v>
      </c>
      <c r="H2828" s="4">
        <v>160304245</v>
      </c>
      <c r="I2828" s="4">
        <v>1466109</v>
      </c>
      <c r="J2828" s="4">
        <f>SUM(G2828:I2828)</f>
        <v>174727066</v>
      </c>
      <c r="K2828" t="s">
        <v>1660</v>
      </c>
      <c r="L2828" t="s">
        <v>1660</v>
      </c>
      <c r="M2828" t="s">
        <v>1438</v>
      </c>
      <c r="N2828" t="s">
        <v>1438</v>
      </c>
      <c r="O2828" t="s">
        <v>1438</v>
      </c>
      <c r="P2828" t="str">
        <f>IFERROR(VLOOKUP(F2828,Sheet1!$A$2:$B$54,2,FALSE),"")</f>
        <v/>
      </c>
    </row>
    <row r="2829" spans="1:16" x14ac:dyDescent="0.2">
      <c r="A2829" s="1">
        <v>2017</v>
      </c>
      <c r="B2829" t="s">
        <v>342</v>
      </c>
      <c r="C2829" s="10" t="s">
        <v>1678</v>
      </c>
      <c r="D2829" s="10" t="s">
        <v>1679</v>
      </c>
      <c r="E2829" s="10" t="s">
        <v>1682</v>
      </c>
      <c r="F2829" t="s">
        <v>839</v>
      </c>
      <c r="G2829" s="4">
        <v>15147184</v>
      </c>
      <c r="H2829" s="4">
        <v>155091069</v>
      </c>
      <c r="I2829" s="4">
        <v>1247622</v>
      </c>
      <c r="J2829" s="4">
        <f>SUM(G2829:I2829)</f>
        <v>171485875</v>
      </c>
      <c r="K2829" t="s">
        <v>1660</v>
      </c>
      <c r="L2829" t="s">
        <v>1660</v>
      </c>
      <c r="M2829" t="s">
        <v>1438</v>
      </c>
      <c r="N2829" t="s">
        <v>1438</v>
      </c>
      <c r="O2829" t="s">
        <v>1438</v>
      </c>
      <c r="P2829" t="str">
        <f>IFERROR(VLOOKUP(F2829,Sheet1!$A$2:$B$54,2,FALSE),"")</f>
        <v/>
      </c>
    </row>
    <row r="2830" spans="1:16" x14ac:dyDescent="0.2">
      <c r="A2830" s="1">
        <v>2018</v>
      </c>
      <c r="B2830" t="s">
        <v>342</v>
      </c>
      <c r="C2830" s="10" t="s">
        <v>1678</v>
      </c>
      <c r="D2830" s="10" t="s">
        <v>1679</v>
      </c>
      <c r="E2830" s="10" t="s">
        <v>1682</v>
      </c>
      <c r="F2830" t="s">
        <v>839</v>
      </c>
      <c r="G2830" s="4">
        <v>18488665</v>
      </c>
      <c r="H2830" s="4">
        <v>156472818</v>
      </c>
      <c r="I2830" s="4">
        <v>991034</v>
      </c>
      <c r="J2830" s="4">
        <f>SUM(G2830:I2830)</f>
        <v>175952517</v>
      </c>
      <c r="K2830" t="s">
        <v>1660</v>
      </c>
      <c r="L2830" t="s">
        <v>1660</v>
      </c>
      <c r="M2830" t="s">
        <v>1438</v>
      </c>
      <c r="N2830" t="s">
        <v>1438</v>
      </c>
      <c r="O2830" t="s">
        <v>1438</v>
      </c>
      <c r="P2830" t="str">
        <f>IFERROR(VLOOKUP(F2830,Sheet1!$A$2:$B$54,2,FALSE),"")</f>
        <v/>
      </c>
    </row>
    <row r="2831" spans="1:16" x14ac:dyDescent="0.2">
      <c r="A2831" s="1">
        <v>2019</v>
      </c>
      <c r="B2831" t="s">
        <v>342</v>
      </c>
      <c r="C2831" s="10" t="s">
        <v>1678</v>
      </c>
      <c r="D2831" s="10" t="s">
        <v>1679</v>
      </c>
      <c r="E2831" s="10" t="s">
        <v>1682</v>
      </c>
      <c r="F2831" t="s">
        <v>839</v>
      </c>
      <c r="G2831" s="4">
        <v>22699204</v>
      </c>
      <c r="H2831" s="4">
        <v>159533913</v>
      </c>
      <c r="I2831" s="4">
        <v>740758</v>
      </c>
      <c r="J2831" s="4">
        <f>SUM(G2831:I2831)</f>
        <v>182973875</v>
      </c>
      <c r="K2831" t="s">
        <v>1660</v>
      </c>
      <c r="L2831" t="s">
        <v>1660</v>
      </c>
      <c r="M2831" t="s">
        <v>1438</v>
      </c>
      <c r="N2831" t="s">
        <v>1438</v>
      </c>
      <c r="O2831" t="s">
        <v>1438</v>
      </c>
      <c r="P2831" t="str">
        <f>IFERROR(VLOOKUP(F2831,Sheet1!$A$2:$B$54,2,FALSE),"")</f>
        <v/>
      </c>
    </row>
    <row r="2832" spans="1:16" x14ac:dyDescent="0.2">
      <c r="A2832" s="1">
        <v>2020</v>
      </c>
      <c r="B2832" t="s">
        <v>342</v>
      </c>
      <c r="C2832" s="10" t="s">
        <v>1678</v>
      </c>
      <c r="D2832" s="10" t="s">
        <v>1679</v>
      </c>
      <c r="E2832" s="10" t="s">
        <v>1682</v>
      </c>
      <c r="F2832" t="s">
        <v>839</v>
      </c>
      <c r="G2832" s="4">
        <v>25596681</v>
      </c>
      <c r="H2832" s="4">
        <v>160806024</v>
      </c>
      <c r="I2832" s="4">
        <v>603911</v>
      </c>
      <c r="J2832" s="4">
        <f>SUM(G2832:I2832)</f>
        <v>187006616</v>
      </c>
      <c r="K2832" t="s">
        <v>1660</v>
      </c>
      <c r="L2832" t="s">
        <v>1660</v>
      </c>
      <c r="M2832" t="s">
        <v>1438</v>
      </c>
      <c r="N2832" t="s">
        <v>1438</v>
      </c>
      <c r="O2832" t="s">
        <v>1438</v>
      </c>
      <c r="P2832" t="str">
        <f>IFERROR(VLOOKUP(F2832,Sheet1!$A$2:$B$54,2,FALSE),"")</f>
        <v/>
      </c>
    </row>
    <row r="2833" spans="1:16" x14ac:dyDescent="0.2">
      <c r="A2833" s="1">
        <v>2021</v>
      </c>
      <c r="B2833" t="s">
        <v>342</v>
      </c>
      <c r="C2833" s="10" t="s">
        <v>1678</v>
      </c>
      <c r="D2833" s="10" t="s">
        <v>1679</v>
      </c>
      <c r="E2833" s="10" t="s">
        <v>1682</v>
      </c>
      <c r="F2833" t="s">
        <v>839</v>
      </c>
      <c r="G2833" s="4">
        <v>29994019</v>
      </c>
      <c r="H2833" s="4">
        <v>164205855</v>
      </c>
      <c r="I2833" s="4">
        <v>538053</v>
      </c>
      <c r="J2833" s="4">
        <f>SUM(G2833:I2833)</f>
        <v>194737927</v>
      </c>
      <c r="K2833" t="s">
        <v>1660</v>
      </c>
      <c r="L2833" t="s">
        <v>1660</v>
      </c>
      <c r="M2833" t="s">
        <v>839</v>
      </c>
      <c r="N2833" t="s">
        <v>839</v>
      </c>
      <c r="O2833" t="s">
        <v>839</v>
      </c>
      <c r="P2833" t="str">
        <f>IFERROR(VLOOKUP(F2833,Sheet1!$A$2:$B$54,2,FALSE),"")</f>
        <v/>
      </c>
    </row>
    <row r="2834" spans="1:16" x14ac:dyDescent="0.2">
      <c r="A2834" s="1">
        <v>2022</v>
      </c>
      <c r="B2834" t="s">
        <v>342</v>
      </c>
      <c r="C2834" s="10" t="s">
        <v>1678</v>
      </c>
      <c r="D2834" s="10" t="s">
        <v>1679</v>
      </c>
      <c r="E2834" s="10" t="s">
        <v>1682</v>
      </c>
      <c r="F2834" t="s">
        <v>839</v>
      </c>
      <c r="G2834" s="4">
        <v>36538517</v>
      </c>
      <c r="H2834" s="4">
        <v>174487431</v>
      </c>
      <c r="I2834" s="4">
        <v>442688</v>
      </c>
      <c r="J2834" s="4">
        <f>SUM(G2834:I2834)</f>
        <v>211468636</v>
      </c>
      <c r="K2834" t="s">
        <v>1660</v>
      </c>
      <c r="L2834" t="s">
        <v>1660</v>
      </c>
      <c r="M2834" t="s">
        <v>839</v>
      </c>
      <c r="N2834" t="s">
        <v>839</v>
      </c>
      <c r="O2834" t="s">
        <v>839</v>
      </c>
      <c r="P2834" t="str">
        <f>IFERROR(VLOOKUP(F2834,Sheet1!$A$2:$B$54,2,FALSE),"")</f>
        <v/>
      </c>
    </row>
    <row r="2835" spans="1:16" x14ac:dyDescent="0.2">
      <c r="A2835" s="1">
        <v>2023</v>
      </c>
      <c r="B2835" t="s">
        <v>342</v>
      </c>
      <c r="C2835" s="10" t="s">
        <v>1678</v>
      </c>
      <c r="D2835" s="10" t="s">
        <v>1679</v>
      </c>
      <c r="E2835" s="10" t="s">
        <v>1682</v>
      </c>
      <c r="F2835" t="s">
        <v>839</v>
      </c>
      <c r="G2835" s="4">
        <v>45050162</v>
      </c>
      <c r="H2835" s="4">
        <v>191695312</v>
      </c>
      <c r="I2835" s="4">
        <v>395013</v>
      </c>
      <c r="J2835" s="4">
        <f>SUM(G2835:I2835)</f>
        <v>237140487</v>
      </c>
      <c r="K2835" t="s">
        <v>1660</v>
      </c>
      <c r="L2835" t="s">
        <v>1660</v>
      </c>
      <c r="M2835" t="s">
        <v>839</v>
      </c>
      <c r="N2835" t="s">
        <v>839</v>
      </c>
      <c r="O2835" t="s">
        <v>839</v>
      </c>
      <c r="P2835" t="str">
        <f>IFERROR(VLOOKUP(F2835,Sheet1!$A$2:$B$54,2,FALSE),"")</f>
        <v/>
      </c>
    </row>
    <row r="2836" spans="1:16" x14ac:dyDescent="0.2">
      <c r="A2836" s="1">
        <v>2023</v>
      </c>
      <c r="B2836" t="s">
        <v>343</v>
      </c>
      <c r="C2836" s="10" t="s">
        <v>1678</v>
      </c>
      <c r="D2836" s="10" t="s">
        <v>1679</v>
      </c>
      <c r="E2836" s="10" t="s">
        <v>1682</v>
      </c>
      <c r="F2836" t="s">
        <v>840</v>
      </c>
      <c r="G2836" s="4">
        <v>9845</v>
      </c>
      <c r="H2836" s="4"/>
      <c r="I2836" s="4"/>
      <c r="J2836" s="4">
        <f>SUM(G2836:I2836)</f>
        <v>9845</v>
      </c>
      <c r="K2836" t="s">
        <v>1659</v>
      </c>
      <c r="L2836" t="s">
        <v>1659</v>
      </c>
      <c r="M2836" t="s">
        <v>840</v>
      </c>
      <c r="N2836" t="s">
        <v>1132</v>
      </c>
      <c r="O2836" t="s">
        <v>1132</v>
      </c>
      <c r="P2836" t="str">
        <f>IFERROR(VLOOKUP(F2836,Sheet1!$A$2:$B$54,2,FALSE),"")</f>
        <v/>
      </c>
    </row>
    <row r="2837" spans="1:16" x14ac:dyDescent="0.2">
      <c r="A2837" s="1">
        <v>2015</v>
      </c>
      <c r="B2837" t="s">
        <v>327</v>
      </c>
      <c r="C2837" s="10" t="s">
        <v>1678</v>
      </c>
      <c r="D2837" s="10" t="s">
        <v>1679</v>
      </c>
      <c r="E2837" s="10" t="s">
        <v>1682</v>
      </c>
      <c r="F2837" t="s">
        <v>824</v>
      </c>
      <c r="G2837" s="4">
        <v>67619</v>
      </c>
      <c r="H2837" s="4">
        <v>1296297</v>
      </c>
      <c r="I2837" s="4"/>
      <c r="J2837" s="4">
        <f>SUM(G2837:I2837)</f>
        <v>1363916</v>
      </c>
      <c r="K2837" t="s">
        <v>1660</v>
      </c>
      <c r="L2837" t="s">
        <v>1659</v>
      </c>
      <c r="M2837" t="s">
        <v>1415</v>
      </c>
      <c r="N2837" t="s">
        <v>1415</v>
      </c>
      <c r="O2837" t="s">
        <v>1132</v>
      </c>
      <c r="P2837">
        <f>IFERROR(VLOOKUP(F2837,Sheet1!$A$2:$B$54,2,FALSE),"")</f>
        <v>4900990</v>
      </c>
    </row>
    <row r="2838" spans="1:16" x14ac:dyDescent="0.2">
      <c r="A2838" s="1">
        <v>2016</v>
      </c>
      <c r="B2838" t="s">
        <v>327</v>
      </c>
      <c r="C2838" s="10" t="s">
        <v>1678</v>
      </c>
      <c r="D2838" s="10" t="s">
        <v>1679</v>
      </c>
      <c r="E2838" s="10" t="s">
        <v>1682</v>
      </c>
      <c r="F2838" t="s">
        <v>824</v>
      </c>
      <c r="G2838" s="4">
        <v>72751</v>
      </c>
      <c r="H2838" s="4">
        <v>1338857</v>
      </c>
      <c r="I2838" s="4"/>
      <c r="J2838" s="4">
        <f>SUM(G2838:I2838)</f>
        <v>1411608</v>
      </c>
      <c r="K2838" t="s">
        <v>1660</v>
      </c>
      <c r="L2838" t="s">
        <v>1659</v>
      </c>
      <c r="M2838" t="s">
        <v>1415</v>
      </c>
      <c r="N2838" t="s">
        <v>1415</v>
      </c>
      <c r="O2838" t="s">
        <v>1132</v>
      </c>
      <c r="P2838">
        <f>IFERROR(VLOOKUP(F2838,Sheet1!$A$2:$B$54,2,FALSE),"")</f>
        <v>4900990</v>
      </c>
    </row>
    <row r="2839" spans="1:16" x14ac:dyDescent="0.2">
      <c r="A2839" s="1">
        <v>2017</v>
      </c>
      <c r="B2839" t="s">
        <v>327</v>
      </c>
      <c r="C2839" s="10" t="s">
        <v>1678</v>
      </c>
      <c r="D2839" s="10" t="s">
        <v>1679</v>
      </c>
      <c r="E2839" s="10" t="s">
        <v>1682</v>
      </c>
      <c r="F2839" t="s">
        <v>824</v>
      </c>
      <c r="G2839" s="4">
        <v>89813</v>
      </c>
      <c r="H2839" s="4">
        <v>1436527</v>
      </c>
      <c r="I2839" s="4"/>
      <c r="J2839" s="4">
        <f>SUM(G2839:I2839)</f>
        <v>1526340</v>
      </c>
      <c r="K2839" t="s">
        <v>1660</v>
      </c>
      <c r="L2839" t="s">
        <v>1659</v>
      </c>
      <c r="M2839" t="s">
        <v>1415</v>
      </c>
      <c r="N2839" t="s">
        <v>1415</v>
      </c>
      <c r="O2839" t="s">
        <v>1132</v>
      </c>
      <c r="P2839">
        <f>IFERROR(VLOOKUP(F2839,Sheet1!$A$2:$B$54,2,FALSE),"")</f>
        <v>4900990</v>
      </c>
    </row>
    <row r="2840" spans="1:16" x14ac:dyDescent="0.2">
      <c r="A2840" s="1">
        <v>2018</v>
      </c>
      <c r="B2840" t="s">
        <v>327</v>
      </c>
      <c r="C2840" s="10" t="s">
        <v>1678</v>
      </c>
      <c r="D2840" s="10" t="s">
        <v>1679</v>
      </c>
      <c r="E2840" s="10" t="s">
        <v>1682</v>
      </c>
      <c r="F2840" t="s">
        <v>824</v>
      </c>
      <c r="G2840" s="4">
        <v>119797</v>
      </c>
      <c r="H2840" s="4">
        <v>1482807</v>
      </c>
      <c r="I2840" s="4"/>
      <c r="J2840" s="4">
        <f>SUM(G2840:I2840)</f>
        <v>1602604</v>
      </c>
      <c r="K2840" t="s">
        <v>1660</v>
      </c>
      <c r="L2840" t="s">
        <v>1659</v>
      </c>
      <c r="M2840" t="s">
        <v>1415</v>
      </c>
      <c r="N2840" t="s">
        <v>1415</v>
      </c>
      <c r="O2840" t="s">
        <v>1132</v>
      </c>
      <c r="P2840">
        <f>IFERROR(VLOOKUP(F2840,Sheet1!$A$2:$B$54,2,FALSE),"")</f>
        <v>4900990</v>
      </c>
    </row>
    <row r="2841" spans="1:16" x14ac:dyDescent="0.2">
      <c r="A2841" s="1">
        <v>2019</v>
      </c>
      <c r="B2841" t="s">
        <v>327</v>
      </c>
      <c r="C2841" s="10" t="s">
        <v>1678</v>
      </c>
      <c r="D2841" s="10" t="s">
        <v>1679</v>
      </c>
      <c r="E2841" s="10" t="s">
        <v>1682</v>
      </c>
      <c r="F2841" t="s">
        <v>824</v>
      </c>
      <c r="G2841" s="4">
        <v>149963</v>
      </c>
      <c r="H2841" s="4">
        <v>1611434</v>
      </c>
      <c r="I2841" s="4"/>
      <c r="J2841" s="4">
        <f>SUM(G2841:I2841)</f>
        <v>1761397</v>
      </c>
      <c r="K2841" t="s">
        <v>1660</v>
      </c>
      <c r="L2841" t="s">
        <v>1659</v>
      </c>
      <c r="M2841" t="s">
        <v>1415</v>
      </c>
      <c r="N2841" t="s">
        <v>1415</v>
      </c>
      <c r="O2841" t="s">
        <v>1132</v>
      </c>
      <c r="P2841">
        <f>IFERROR(VLOOKUP(F2841,Sheet1!$A$2:$B$54,2,FALSE),"")</f>
        <v>4900990</v>
      </c>
    </row>
    <row r="2842" spans="1:16" x14ac:dyDescent="0.2">
      <c r="A2842" s="1">
        <v>2020</v>
      </c>
      <c r="B2842" t="s">
        <v>327</v>
      </c>
      <c r="C2842" s="10" t="s">
        <v>1678</v>
      </c>
      <c r="D2842" s="10" t="s">
        <v>1679</v>
      </c>
      <c r="E2842" s="10" t="s">
        <v>1682</v>
      </c>
      <c r="F2842" t="s">
        <v>824</v>
      </c>
      <c r="G2842" s="4">
        <v>166151</v>
      </c>
      <c r="H2842" s="4">
        <v>1663069</v>
      </c>
      <c r="I2842" s="4"/>
      <c r="J2842" s="4">
        <f>SUM(G2842:I2842)</f>
        <v>1829220</v>
      </c>
      <c r="K2842" t="s">
        <v>1660</v>
      </c>
      <c r="L2842" t="s">
        <v>1659</v>
      </c>
      <c r="M2842" t="s">
        <v>1415</v>
      </c>
      <c r="N2842" t="s">
        <v>1415</v>
      </c>
      <c r="O2842" t="s">
        <v>1132</v>
      </c>
      <c r="P2842">
        <f>IFERROR(VLOOKUP(F2842,Sheet1!$A$2:$B$54,2,FALSE),"")</f>
        <v>4900990</v>
      </c>
    </row>
    <row r="2843" spans="1:16" x14ac:dyDescent="0.2">
      <c r="A2843" s="1">
        <v>2021</v>
      </c>
      <c r="B2843" t="s">
        <v>327</v>
      </c>
      <c r="C2843" s="10" t="s">
        <v>1678</v>
      </c>
      <c r="D2843" s="10" t="s">
        <v>1679</v>
      </c>
      <c r="E2843" s="10" t="s">
        <v>1682</v>
      </c>
      <c r="F2843" t="s">
        <v>824</v>
      </c>
      <c r="G2843" s="4">
        <v>183364</v>
      </c>
      <c r="H2843" s="4">
        <v>1868321</v>
      </c>
      <c r="I2843" s="4"/>
      <c r="J2843" s="4">
        <f>SUM(G2843:I2843)</f>
        <v>2051685</v>
      </c>
      <c r="K2843" t="s">
        <v>1660</v>
      </c>
      <c r="L2843" t="s">
        <v>1659</v>
      </c>
      <c r="M2843" t="s">
        <v>824</v>
      </c>
      <c r="N2843" t="s">
        <v>824</v>
      </c>
      <c r="O2843" t="s">
        <v>1132</v>
      </c>
      <c r="P2843">
        <f>IFERROR(VLOOKUP(F2843,Sheet1!$A$2:$B$54,2,FALSE),"")</f>
        <v>4900990</v>
      </c>
    </row>
    <row r="2844" spans="1:16" x14ac:dyDescent="0.2">
      <c r="A2844" s="1">
        <v>2022</v>
      </c>
      <c r="B2844" t="s">
        <v>327</v>
      </c>
      <c r="C2844" s="10" t="s">
        <v>1678</v>
      </c>
      <c r="D2844" s="10" t="s">
        <v>1679</v>
      </c>
      <c r="E2844" s="10" t="s">
        <v>1682</v>
      </c>
      <c r="F2844" t="s">
        <v>824</v>
      </c>
      <c r="G2844" s="4">
        <v>244850</v>
      </c>
      <c r="H2844" s="4">
        <v>1964697</v>
      </c>
      <c r="I2844" s="4"/>
      <c r="J2844" s="4">
        <f>SUM(G2844:I2844)</f>
        <v>2209547</v>
      </c>
      <c r="K2844" t="s">
        <v>1660</v>
      </c>
      <c r="L2844" t="s">
        <v>1659</v>
      </c>
      <c r="M2844" t="s">
        <v>824</v>
      </c>
      <c r="N2844" t="s">
        <v>824</v>
      </c>
      <c r="O2844" t="s">
        <v>1132</v>
      </c>
      <c r="P2844">
        <f>IFERROR(VLOOKUP(F2844,Sheet1!$A$2:$B$54,2,FALSE),"")</f>
        <v>4900990</v>
      </c>
    </row>
    <row r="2845" spans="1:16" x14ac:dyDescent="0.2">
      <c r="A2845" s="1">
        <v>2023</v>
      </c>
      <c r="B2845" t="s">
        <v>327</v>
      </c>
      <c r="C2845" s="10" t="s">
        <v>1678</v>
      </c>
      <c r="D2845" s="10" t="s">
        <v>1679</v>
      </c>
      <c r="E2845" s="10" t="s">
        <v>1682</v>
      </c>
      <c r="F2845" t="s">
        <v>824</v>
      </c>
      <c r="G2845" s="4">
        <v>328564</v>
      </c>
      <c r="H2845" s="4">
        <v>2126798</v>
      </c>
      <c r="I2845" s="4"/>
      <c r="J2845" s="4">
        <f>SUM(G2845:I2845)</f>
        <v>2455362</v>
      </c>
      <c r="K2845" t="s">
        <v>1660</v>
      </c>
      <c r="L2845" t="s">
        <v>1659</v>
      </c>
      <c r="M2845" t="s">
        <v>824</v>
      </c>
      <c r="N2845" t="s">
        <v>824</v>
      </c>
      <c r="O2845" t="s">
        <v>1132</v>
      </c>
      <c r="P2845">
        <f>IFERROR(VLOOKUP(F2845,Sheet1!$A$2:$B$54,2,FALSE),"")</f>
        <v>4900990</v>
      </c>
    </row>
    <row r="2846" spans="1:16" x14ac:dyDescent="0.2">
      <c r="A2846" s="1">
        <v>2015</v>
      </c>
      <c r="B2846" t="s">
        <v>344</v>
      </c>
      <c r="C2846" s="10" t="s">
        <v>1678</v>
      </c>
      <c r="D2846" s="10" t="s">
        <v>1679</v>
      </c>
      <c r="E2846" s="10" t="s">
        <v>1682</v>
      </c>
      <c r="F2846" t="s">
        <v>841</v>
      </c>
      <c r="G2846" s="4">
        <v>18712</v>
      </c>
      <c r="H2846" s="4">
        <v>152470</v>
      </c>
      <c r="I2846" s="4"/>
      <c r="J2846" s="4">
        <f>SUM(G2846:I2846)</f>
        <v>171182</v>
      </c>
      <c r="K2846" t="s">
        <v>1660</v>
      </c>
      <c r="L2846" t="s">
        <v>1659</v>
      </c>
      <c r="M2846" t="s">
        <v>1439</v>
      </c>
      <c r="N2846" t="s">
        <v>1439</v>
      </c>
      <c r="O2846" t="s">
        <v>1132</v>
      </c>
      <c r="P2846">
        <f>IFERROR(VLOOKUP(F2846,Sheet1!$A$2:$B$54,2,FALSE),"")</f>
        <v>4900037</v>
      </c>
    </row>
    <row r="2847" spans="1:16" x14ac:dyDescent="0.2">
      <c r="A2847" s="1">
        <v>2016</v>
      </c>
      <c r="B2847" t="s">
        <v>344</v>
      </c>
      <c r="C2847" s="10" t="s">
        <v>1678</v>
      </c>
      <c r="D2847" s="10" t="s">
        <v>1679</v>
      </c>
      <c r="E2847" s="10" t="s">
        <v>1682</v>
      </c>
      <c r="F2847" t="s">
        <v>841</v>
      </c>
      <c r="G2847" s="4">
        <v>20413</v>
      </c>
      <c r="H2847" s="4">
        <v>168683</v>
      </c>
      <c r="I2847" s="4"/>
      <c r="J2847" s="4">
        <f>SUM(G2847:I2847)</f>
        <v>189096</v>
      </c>
      <c r="K2847" t="s">
        <v>1660</v>
      </c>
      <c r="L2847" t="s">
        <v>1659</v>
      </c>
      <c r="M2847" t="s">
        <v>1439</v>
      </c>
      <c r="N2847" t="s">
        <v>1439</v>
      </c>
      <c r="O2847" t="s">
        <v>1132</v>
      </c>
      <c r="P2847">
        <f>IFERROR(VLOOKUP(F2847,Sheet1!$A$2:$B$54,2,FALSE),"")</f>
        <v>4900037</v>
      </c>
    </row>
    <row r="2848" spans="1:16" x14ac:dyDescent="0.2">
      <c r="A2848" s="1">
        <v>2017</v>
      </c>
      <c r="B2848" t="s">
        <v>344</v>
      </c>
      <c r="C2848" s="10" t="s">
        <v>1678</v>
      </c>
      <c r="D2848" s="10" t="s">
        <v>1679</v>
      </c>
      <c r="E2848" s="10" t="s">
        <v>1682</v>
      </c>
      <c r="F2848" t="s">
        <v>841</v>
      </c>
      <c r="G2848" s="4">
        <v>23356</v>
      </c>
      <c r="H2848" s="4">
        <v>192523</v>
      </c>
      <c r="I2848" s="4"/>
      <c r="J2848" s="4">
        <f>SUM(G2848:I2848)</f>
        <v>215879</v>
      </c>
      <c r="K2848" t="s">
        <v>1660</v>
      </c>
      <c r="L2848" t="s">
        <v>1659</v>
      </c>
      <c r="M2848" t="s">
        <v>1439</v>
      </c>
      <c r="N2848" t="s">
        <v>1439</v>
      </c>
      <c r="O2848" t="s">
        <v>1132</v>
      </c>
      <c r="P2848">
        <f>IFERROR(VLOOKUP(F2848,Sheet1!$A$2:$B$54,2,FALSE),"")</f>
        <v>4900037</v>
      </c>
    </row>
    <row r="2849" spans="1:16" x14ac:dyDescent="0.2">
      <c r="A2849" s="1">
        <v>2018</v>
      </c>
      <c r="B2849" t="s">
        <v>344</v>
      </c>
      <c r="C2849" s="10" t="s">
        <v>1678</v>
      </c>
      <c r="D2849" s="10" t="s">
        <v>1679</v>
      </c>
      <c r="E2849" s="10" t="s">
        <v>1682</v>
      </c>
      <c r="F2849" t="s">
        <v>841</v>
      </c>
      <c r="G2849" s="4">
        <v>27877</v>
      </c>
      <c r="H2849" s="4">
        <v>206298</v>
      </c>
      <c r="I2849" s="4"/>
      <c r="J2849" s="4">
        <f>SUM(G2849:I2849)</f>
        <v>234175</v>
      </c>
      <c r="K2849" t="s">
        <v>1660</v>
      </c>
      <c r="L2849" t="s">
        <v>1659</v>
      </c>
      <c r="M2849" t="s">
        <v>1439</v>
      </c>
      <c r="N2849" t="s">
        <v>1439</v>
      </c>
      <c r="O2849" t="s">
        <v>1132</v>
      </c>
      <c r="P2849">
        <f>IFERROR(VLOOKUP(F2849,Sheet1!$A$2:$B$54,2,FALSE),"")</f>
        <v>4900037</v>
      </c>
    </row>
    <row r="2850" spans="1:16" x14ac:dyDescent="0.2">
      <c r="A2850" s="1">
        <v>2019</v>
      </c>
      <c r="B2850" t="s">
        <v>344</v>
      </c>
      <c r="C2850" s="10" t="s">
        <v>1678</v>
      </c>
      <c r="D2850" s="10" t="s">
        <v>1679</v>
      </c>
      <c r="E2850" s="10" t="s">
        <v>1682</v>
      </c>
      <c r="F2850" t="s">
        <v>841</v>
      </c>
      <c r="G2850" s="4">
        <v>38522</v>
      </c>
      <c r="H2850" s="4">
        <v>243791</v>
      </c>
      <c r="I2850" s="4"/>
      <c r="J2850" s="4">
        <f>SUM(G2850:I2850)</f>
        <v>282313</v>
      </c>
      <c r="K2850" t="s">
        <v>1660</v>
      </c>
      <c r="L2850" t="s">
        <v>1659</v>
      </c>
      <c r="M2850" t="s">
        <v>1439</v>
      </c>
      <c r="N2850" t="s">
        <v>1439</v>
      </c>
      <c r="O2850" t="s">
        <v>1132</v>
      </c>
      <c r="P2850">
        <f>IFERROR(VLOOKUP(F2850,Sheet1!$A$2:$B$54,2,FALSE),"")</f>
        <v>4900037</v>
      </c>
    </row>
    <row r="2851" spans="1:16" x14ac:dyDescent="0.2">
      <c r="A2851" s="1">
        <v>2020</v>
      </c>
      <c r="B2851" t="s">
        <v>344</v>
      </c>
      <c r="C2851" s="10" t="s">
        <v>1678</v>
      </c>
      <c r="D2851" s="10" t="s">
        <v>1679</v>
      </c>
      <c r="E2851" s="10" t="s">
        <v>1682</v>
      </c>
      <c r="F2851" t="s">
        <v>841</v>
      </c>
      <c r="G2851" s="4">
        <v>51356</v>
      </c>
      <c r="H2851" s="4">
        <v>270651</v>
      </c>
      <c r="I2851" s="4"/>
      <c r="J2851" s="4">
        <f>SUM(G2851:I2851)</f>
        <v>322007</v>
      </c>
      <c r="K2851" t="s">
        <v>1660</v>
      </c>
      <c r="L2851" t="s">
        <v>1659</v>
      </c>
      <c r="M2851" t="s">
        <v>1439</v>
      </c>
      <c r="N2851" t="s">
        <v>1439</v>
      </c>
      <c r="O2851" t="s">
        <v>1132</v>
      </c>
      <c r="P2851">
        <f>IFERROR(VLOOKUP(F2851,Sheet1!$A$2:$B$54,2,FALSE),"")</f>
        <v>4900037</v>
      </c>
    </row>
    <row r="2852" spans="1:16" x14ac:dyDescent="0.2">
      <c r="A2852" s="1">
        <v>2021</v>
      </c>
      <c r="B2852" t="s">
        <v>344</v>
      </c>
      <c r="C2852" s="10" t="s">
        <v>1678</v>
      </c>
      <c r="D2852" s="10" t="s">
        <v>1679</v>
      </c>
      <c r="E2852" s="10" t="s">
        <v>1682</v>
      </c>
      <c r="F2852" t="s">
        <v>841</v>
      </c>
      <c r="G2852" s="4">
        <v>56287</v>
      </c>
      <c r="H2852" s="4">
        <v>287529</v>
      </c>
      <c r="I2852" s="4"/>
      <c r="J2852" s="4">
        <f>SUM(G2852:I2852)</f>
        <v>343816</v>
      </c>
      <c r="K2852" t="s">
        <v>1660</v>
      </c>
      <c r="L2852" t="s">
        <v>1659</v>
      </c>
      <c r="M2852" t="s">
        <v>841</v>
      </c>
      <c r="N2852" t="s">
        <v>841</v>
      </c>
      <c r="O2852" t="s">
        <v>1132</v>
      </c>
      <c r="P2852">
        <f>IFERROR(VLOOKUP(F2852,Sheet1!$A$2:$B$54,2,FALSE),"")</f>
        <v>4900037</v>
      </c>
    </row>
    <row r="2853" spans="1:16" x14ac:dyDescent="0.2">
      <c r="A2853" s="1">
        <v>2022</v>
      </c>
      <c r="B2853" t="s">
        <v>344</v>
      </c>
      <c r="C2853" s="10" t="s">
        <v>1678</v>
      </c>
      <c r="D2853" s="10" t="s">
        <v>1679</v>
      </c>
      <c r="E2853" s="10" t="s">
        <v>1682</v>
      </c>
      <c r="F2853" t="s">
        <v>841</v>
      </c>
      <c r="G2853" s="4">
        <v>63740</v>
      </c>
      <c r="H2853" s="4">
        <v>301267</v>
      </c>
      <c r="I2853" s="4"/>
      <c r="J2853" s="4">
        <f>SUM(G2853:I2853)</f>
        <v>365007</v>
      </c>
      <c r="K2853" t="s">
        <v>1660</v>
      </c>
      <c r="L2853" t="s">
        <v>1659</v>
      </c>
      <c r="M2853" t="s">
        <v>841</v>
      </c>
      <c r="N2853" t="s">
        <v>841</v>
      </c>
      <c r="O2853" t="s">
        <v>1132</v>
      </c>
      <c r="P2853">
        <f>IFERROR(VLOOKUP(F2853,Sheet1!$A$2:$B$54,2,FALSE),"")</f>
        <v>4900037</v>
      </c>
    </row>
    <row r="2854" spans="1:16" x14ac:dyDescent="0.2">
      <c r="A2854" s="1">
        <v>2023</v>
      </c>
      <c r="B2854" t="s">
        <v>344</v>
      </c>
      <c r="C2854" s="10" t="s">
        <v>1678</v>
      </c>
      <c r="D2854" s="10" t="s">
        <v>1679</v>
      </c>
      <c r="E2854" s="10" t="s">
        <v>1682</v>
      </c>
      <c r="F2854" t="s">
        <v>841</v>
      </c>
      <c r="G2854" s="4">
        <v>65803</v>
      </c>
      <c r="H2854" s="4">
        <v>310436</v>
      </c>
      <c r="I2854" s="4"/>
      <c r="J2854" s="4">
        <f>SUM(G2854:I2854)</f>
        <v>376239</v>
      </c>
      <c r="K2854" t="s">
        <v>1660</v>
      </c>
      <c r="L2854" t="s">
        <v>1659</v>
      </c>
      <c r="M2854" t="s">
        <v>841</v>
      </c>
      <c r="N2854" t="s">
        <v>841</v>
      </c>
      <c r="O2854" t="s">
        <v>1132</v>
      </c>
      <c r="P2854">
        <f>IFERROR(VLOOKUP(F2854,Sheet1!$A$2:$B$54,2,FALSE),"")</f>
        <v>4900037</v>
      </c>
    </row>
    <row r="2855" spans="1:16" x14ac:dyDescent="0.2">
      <c r="A2855" s="1">
        <v>2015</v>
      </c>
      <c r="B2855" t="s">
        <v>346</v>
      </c>
      <c r="C2855" s="10" t="s">
        <v>1678</v>
      </c>
      <c r="D2855" s="10" t="s">
        <v>1679</v>
      </c>
      <c r="E2855" s="10" t="s">
        <v>1682</v>
      </c>
      <c r="F2855" t="s">
        <v>843</v>
      </c>
      <c r="G2855" s="4">
        <v>140082</v>
      </c>
      <c r="H2855" s="4">
        <v>631609</v>
      </c>
      <c r="I2855" s="4"/>
      <c r="J2855" s="4">
        <f>SUM(G2855:I2855)</f>
        <v>771691</v>
      </c>
      <c r="K2855" t="s">
        <v>1660</v>
      </c>
      <c r="L2855" t="s">
        <v>1659</v>
      </c>
      <c r="M2855" t="s">
        <v>1441</v>
      </c>
      <c r="N2855" t="s">
        <v>1441</v>
      </c>
      <c r="O2855" t="s">
        <v>1132</v>
      </c>
      <c r="P2855" t="str">
        <f>IFERROR(VLOOKUP(F2855,Sheet1!$A$2:$B$54,2,FALSE),"")</f>
        <v/>
      </c>
    </row>
    <row r="2856" spans="1:16" x14ac:dyDescent="0.2">
      <c r="A2856" s="1">
        <v>2016</v>
      </c>
      <c r="B2856" t="s">
        <v>346</v>
      </c>
      <c r="C2856" s="10" t="s">
        <v>1678</v>
      </c>
      <c r="D2856" s="10" t="s">
        <v>1679</v>
      </c>
      <c r="E2856" s="10" t="s">
        <v>1682</v>
      </c>
      <c r="F2856" t="s">
        <v>843</v>
      </c>
      <c r="G2856" s="4">
        <v>205292</v>
      </c>
      <c r="H2856" s="4">
        <v>738494</v>
      </c>
      <c r="I2856" s="4"/>
      <c r="J2856" s="4">
        <f>SUM(G2856:I2856)</f>
        <v>943786</v>
      </c>
      <c r="K2856" t="s">
        <v>1660</v>
      </c>
      <c r="L2856" t="s">
        <v>1659</v>
      </c>
      <c r="M2856" t="s">
        <v>1441</v>
      </c>
      <c r="N2856" t="s">
        <v>1441</v>
      </c>
      <c r="O2856" t="s">
        <v>1132</v>
      </c>
      <c r="P2856" t="str">
        <f>IFERROR(VLOOKUP(F2856,Sheet1!$A$2:$B$54,2,FALSE),"")</f>
        <v/>
      </c>
    </row>
    <row r="2857" spans="1:16" x14ac:dyDescent="0.2">
      <c r="A2857" s="1">
        <v>2017</v>
      </c>
      <c r="B2857" t="s">
        <v>346</v>
      </c>
      <c r="C2857" s="10" t="s">
        <v>1678</v>
      </c>
      <c r="D2857" s="10" t="s">
        <v>1679</v>
      </c>
      <c r="E2857" s="10" t="s">
        <v>1682</v>
      </c>
      <c r="F2857" t="s">
        <v>843</v>
      </c>
      <c r="G2857" s="4">
        <v>288576</v>
      </c>
      <c r="H2857" s="4">
        <v>938627</v>
      </c>
      <c r="I2857" s="4"/>
      <c r="J2857" s="4">
        <f>SUM(G2857:I2857)</f>
        <v>1227203</v>
      </c>
      <c r="K2857" t="s">
        <v>1660</v>
      </c>
      <c r="L2857" t="s">
        <v>1659</v>
      </c>
      <c r="M2857" t="s">
        <v>1441</v>
      </c>
      <c r="N2857" t="s">
        <v>1441</v>
      </c>
      <c r="O2857" t="s">
        <v>1132</v>
      </c>
      <c r="P2857" t="str">
        <f>IFERROR(VLOOKUP(F2857,Sheet1!$A$2:$B$54,2,FALSE),"")</f>
        <v/>
      </c>
    </row>
    <row r="2858" spans="1:16" x14ac:dyDescent="0.2">
      <c r="A2858" s="1">
        <v>2018</v>
      </c>
      <c r="B2858" t="s">
        <v>346</v>
      </c>
      <c r="C2858" s="10" t="s">
        <v>1678</v>
      </c>
      <c r="D2858" s="10" t="s">
        <v>1679</v>
      </c>
      <c r="E2858" s="10" t="s">
        <v>1682</v>
      </c>
      <c r="F2858" t="s">
        <v>843</v>
      </c>
      <c r="G2858" s="4">
        <v>341871</v>
      </c>
      <c r="H2858" s="4">
        <v>1041957</v>
      </c>
      <c r="I2858" s="4"/>
      <c r="J2858" s="4">
        <f>SUM(G2858:I2858)</f>
        <v>1383828</v>
      </c>
      <c r="K2858" t="s">
        <v>1660</v>
      </c>
      <c r="L2858" t="s">
        <v>1659</v>
      </c>
      <c r="M2858" t="s">
        <v>1441</v>
      </c>
      <c r="N2858" t="s">
        <v>1441</v>
      </c>
      <c r="O2858" t="s">
        <v>1132</v>
      </c>
      <c r="P2858" t="str">
        <f>IFERROR(VLOOKUP(F2858,Sheet1!$A$2:$B$54,2,FALSE),"")</f>
        <v/>
      </c>
    </row>
    <row r="2859" spans="1:16" x14ac:dyDescent="0.2">
      <c r="A2859" s="1">
        <v>2019</v>
      </c>
      <c r="B2859" t="s">
        <v>346</v>
      </c>
      <c r="C2859" s="10" t="s">
        <v>1678</v>
      </c>
      <c r="D2859" s="10" t="s">
        <v>1679</v>
      </c>
      <c r="E2859" s="10" t="s">
        <v>1682</v>
      </c>
      <c r="F2859" t="s">
        <v>843</v>
      </c>
      <c r="G2859" s="4">
        <v>395825</v>
      </c>
      <c r="H2859" s="4">
        <v>1121755</v>
      </c>
      <c r="I2859" s="4"/>
      <c r="J2859" s="4">
        <f>SUM(G2859:I2859)</f>
        <v>1517580</v>
      </c>
      <c r="K2859" t="s">
        <v>1660</v>
      </c>
      <c r="L2859" t="s">
        <v>1659</v>
      </c>
      <c r="M2859" t="s">
        <v>1441</v>
      </c>
      <c r="N2859" t="s">
        <v>1441</v>
      </c>
      <c r="O2859" t="s">
        <v>1132</v>
      </c>
      <c r="P2859" t="str">
        <f>IFERROR(VLOOKUP(F2859,Sheet1!$A$2:$B$54,2,FALSE),"")</f>
        <v/>
      </c>
    </row>
    <row r="2860" spans="1:16" x14ac:dyDescent="0.2">
      <c r="A2860" s="1">
        <v>2020</v>
      </c>
      <c r="B2860" t="s">
        <v>346</v>
      </c>
      <c r="C2860" s="10" t="s">
        <v>1678</v>
      </c>
      <c r="D2860" s="10" t="s">
        <v>1679</v>
      </c>
      <c r="E2860" s="10" t="s">
        <v>1682</v>
      </c>
      <c r="F2860" t="s">
        <v>843</v>
      </c>
      <c r="G2860" s="4">
        <v>450147</v>
      </c>
      <c r="H2860" s="4">
        <v>1182288</v>
      </c>
      <c r="I2860" s="4"/>
      <c r="J2860" s="4">
        <f>SUM(G2860:I2860)</f>
        <v>1632435</v>
      </c>
      <c r="K2860" t="s">
        <v>1660</v>
      </c>
      <c r="L2860" t="s">
        <v>1659</v>
      </c>
      <c r="M2860" t="s">
        <v>1441</v>
      </c>
      <c r="N2860" t="s">
        <v>1441</v>
      </c>
      <c r="O2860" t="s">
        <v>1132</v>
      </c>
      <c r="P2860" t="str">
        <f>IFERROR(VLOOKUP(F2860,Sheet1!$A$2:$B$54,2,FALSE),"")</f>
        <v/>
      </c>
    </row>
    <row r="2861" spans="1:16" x14ac:dyDescent="0.2">
      <c r="A2861" s="1">
        <v>2021</v>
      </c>
      <c r="B2861" t="s">
        <v>346</v>
      </c>
      <c r="C2861" s="10" t="s">
        <v>1678</v>
      </c>
      <c r="D2861" s="10" t="s">
        <v>1679</v>
      </c>
      <c r="E2861" s="10" t="s">
        <v>1682</v>
      </c>
      <c r="F2861" t="s">
        <v>843</v>
      </c>
      <c r="G2861" s="4">
        <v>481378</v>
      </c>
      <c r="H2861" s="4">
        <v>1207330</v>
      </c>
      <c r="I2861" s="4"/>
      <c r="J2861" s="4">
        <f>SUM(G2861:I2861)</f>
        <v>1688708</v>
      </c>
      <c r="K2861" t="s">
        <v>1660</v>
      </c>
      <c r="L2861" t="s">
        <v>1659</v>
      </c>
      <c r="M2861" t="s">
        <v>843</v>
      </c>
      <c r="N2861" t="s">
        <v>843</v>
      </c>
      <c r="O2861" t="s">
        <v>1132</v>
      </c>
      <c r="P2861" t="str">
        <f>IFERROR(VLOOKUP(F2861,Sheet1!$A$2:$B$54,2,FALSE),"")</f>
        <v/>
      </c>
    </row>
    <row r="2862" spans="1:16" x14ac:dyDescent="0.2">
      <c r="A2862" s="1">
        <v>2022</v>
      </c>
      <c r="B2862" t="s">
        <v>346</v>
      </c>
      <c r="C2862" s="10" t="s">
        <v>1678</v>
      </c>
      <c r="D2862" s="10" t="s">
        <v>1679</v>
      </c>
      <c r="E2862" s="10" t="s">
        <v>1682</v>
      </c>
      <c r="F2862" t="s">
        <v>843</v>
      </c>
      <c r="G2862" s="4">
        <v>507646</v>
      </c>
      <c r="H2862" s="4">
        <v>1228855</v>
      </c>
      <c r="I2862" s="4"/>
      <c r="J2862" s="4">
        <f>SUM(G2862:I2862)</f>
        <v>1736501</v>
      </c>
      <c r="K2862" t="s">
        <v>1660</v>
      </c>
      <c r="L2862" t="s">
        <v>1659</v>
      </c>
      <c r="M2862" t="s">
        <v>843</v>
      </c>
      <c r="N2862" t="s">
        <v>843</v>
      </c>
      <c r="O2862" t="s">
        <v>1132</v>
      </c>
      <c r="P2862" t="str">
        <f>IFERROR(VLOOKUP(F2862,Sheet1!$A$2:$B$54,2,FALSE),"")</f>
        <v/>
      </c>
    </row>
    <row r="2863" spans="1:16" x14ac:dyDescent="0.2">
      <c r="A2863" s="1">
        <v>2023</v>
      </c>
      <c r="B2863" t="s">
        <v>346</v>
      </c>
      <c r="C2863" s="10" t="s">
        <v>1678</v>
      </c>
      <c r="D2863" s="10" t="s">
        <v>1679</v>
      </c>
      <c r="E2863" s="10" t="s">
        <v>1682</v>
      </c>
      <c r="F2863" t="s">
        <v>843</v>
      </c>
      <c r="G2863" s="4">
        <v>637750</v>
      </c>
      <c r="H2863" s="4">
        <v>1404010</v>
      </c>
      <c r="I2863" s="4"/>
      <c r="J2863" s="4">
        <f>SUM(G2863:I2863)</f>
        <v>2041760</v>
      </c>
      <c r="K2863" t="s">
        <v>1660</v>
      </c>
      <c r="L2863" t="s">
        <v>1659</v>
      </c>
      <c r="M2863" t="s">
        <v>843</v>
      </c>
      <c r="N2863" t="s">
        <v>843</v>
      </c>
      <c r="O2863" t="s">
        <v>1132</v>
      </c>
      <c r="P2863" t="str">
        <f>IFERROR(VLOOKUP(F2863,Sheet1!$A$2:$B$54,2,FALSE),"")</f>
        <v/>
      </c>
    </row>
    <row r="2864" spans="1:16" x14ac:dyDescent="0.2">
      <c r="A2864" s="1">
        <v>2015</v>
      </c>
      <c r="B2864" t="s">
        <v>347</v>
      </c>
      <c r="C2864" s="10" t="s">
        <v>1678</v>
      </c>
      <c r="D2864" s="10" t="s">
        <v>1679</v>
      </c>
      <c r="E2864" s="10" t="s">
        <v>1682</v>
      </c>
      <c r="F2864" t="s">
        <v>844</v>
      </c>
      <c r="G2864" s="4">
        <v>123521</v>
      </c>
      <c r="H2864" s="4"/>
      <c r="I2864" s="4"/>
      <c r="J2864" s="4">
        <f>SUM(G2864:I2864)</f>
        <v>123521</v>
      </c>
      <c r="K2864" t="s">
        <v>1659</v>
      </c>
      <c r="L2864" t="s">
        <v>1659</v>
      </c>
      <c r="M2864" t="s">
        <v>1442</v>
      </c>
      <c r="N2864" t="s">
        <v>1132</v>
      </c>
      <c r="O2864" t="s">
        <v>1132</v>
      </c>
      <c r="P2864" t="str">
        <f>IFERROR(VLOOKUP(F2864,Sheet1!$A$2:$B$54,2,FALSE),"")</f>
        <v/>
      </c>
    </row>
    <row r="2865" spans="1:16" x14ac:dyDescent="0.2">
      <c r="A2865" s="1">
        <v>2016</v>
      </c>
      <c r="B2865" t="s">
        <v>347</v>
      </c>
      <c r="C2865" s="10" t="s">
        <v>1678</v>
      </c>
      <c r="D2865" s="10" t="s">
        <v>1679</v>
      </c>
      <c r="E2865" s="10" t="s">
        <v>1682</v>
      </c>
      <c r="F2865" t="s">
        <v>844</v>
      </c>
      <c r="G2865" s="4">
        <v>192491</v>
      </c>
      <c r="H2865" s="4"/>
      <c r="I2865" s="4"/>
      <c r="J2865" s="4">
        <f>SUM(G2865:I2865)</f>
        <v>192491</v>
      </c>
      <c r="K2865" t="s">
        <v>1659</v>
      </c>
      <c r="L2865" t="s">
        <v>1659</v>
      </c>
      <c r="M2865" t="s">
        <v>1442</v>
      </c>
      <c r="N2865" t="s">
        <v>1132</v>
      </c>
      <c r="O2865" t="s">
        <v>1132</v>
      </c>
      <c r="P2865" t="str">
        <f>IFERROR(VLOOKUP(F2865,Sheet1!$A$2:$B$54,2,FALSE),"")</f>
        <v/>
      </c>
    </row>
    <row r="2866" spans="1:16" x14ac:dyDescent="0.2">
      <c r="A2866" s="1">
        <v>2017</v>
      </c>
      <c r="B2866" t="s">
        <v>347</v>
      </c>
      <c r="C2866" s="10" t="s">
        <v>1678</v>
      </c>
      <c r="D2866" s="10" t="s">
        <v>1679</v>
      </c>
      <c r="E2866" s="10" t="s">
        <v>1682</v>
      </c>
      <c r="F2866" t="s">
        <v>844</v>
      </c>
      <c r="G2866" s="4">
        <v>201609</v>
      </c>
      <c r="H2866" s="4"/>
      <c r="I2866" s="4"/>
      <c r="J2866" s="4">
        <f>SUM(G2866:I2866)</f>
        <v>201609</v>
      </c>
      <c r="K2866" t="s">
        <v>1659</v>
      </c>
      <c r="L2866" t="s">
        <v>1659</v>
      </c>
      <c r="M2866" t="s">
        <v>1442</v>
      </c>
      <c r="N2866" t="s">
        <v>1132</v>
      </c>
      <c r="O2866" t="s">
        <v>1132</v>
      </c>
      <c r="P2866" t="str">
        <f>IFERROR(VLOOKUP(F2866,Sheet1!$A$2:$B$54,2,FALSE),"")</f>
        <v/>
      </c>
    </row>
    <row r="2867" spans="1:16" x14ac:dyDescent="0.2">
      <c r="A2867" s="1">
        <v>2018</v>
      </c>
      <c r="B2867" t="s">
        <v>347</v>
      </c>
      <c r="C2867" s="10" t="s">
        <v>1678</v>
      </c>
      <c r="D2867" s="10" t="s">
        <v>1679</v>
      </c>
      <c r="E2867" s="10" t="s">
        <v>1682</v>
      </c>
      <c r="F2867" t="s">
        <v>844</v>
      </c>
      <c r="G2867" s="4">
        <v>243103</v>
      </c>
      <c r="H2867" s="4"/>
      <c r="I2867" s="4"/>
      <c r="J2867" s="4">
        <f>SUM(G2867:I2867)</f>
        <v>243103</v>
      </c>
      <c r="K2867" t="s">
        <v>1659</v>
      </c>
      <c r="L2867" t="s">
        <v>1659</v>
      </c>
      <c r="M2867" t="s">
        <v>1442</v>
      </c>
      <c r="N2867" t="s">
        <v>1132</v>
      </c>
      <c r="O2867" t="s">
        <v>1132</v>
      </c>
      <c r="P2867" t="str">
        <f>IFERROR(VLOOKUP(F2867,Sheet1!$A$2:$B$54,2,FALSE),"")</f>
        <v/>
      </c>
    </row>
    <row r="2868" spans="1:16" x14ac:dyDescent="0.2">
      <c r="A2868" s="1">
        <v>2019</v>
      </c>
      <c r="B2868" t="s">
        <v>347</v>
      </c>
      <c r="C2868" s="10" t="s">
        <v>1678</v>
      </c>
      <c r="D2868" s="10" t="s">
        <v>1679</v>
      </c>
      <c r="E2868" s="10" t="s">
        <v>1682</v>
      </c>
      <c r="F2868" t="s">
        <v>844</v>
      </c>
      <c r="G2868" s="4">
        <v>292119</v>
      </c>
      <c r="H2868" s="4"/>
      <c r="I2868" s="4"/>
      <c r="J2868" s="4">
        <f>SUM(G2868:I2868)</f>
        <v>292119</v>
      </c>
      <c r="K2868" t="s">
        <v>1659</v>
      </c>
      <c r="L2868" t="s">
        <v>1659</v>
      </c>
      <c r="M2868" t="s">
        <v>1442</v>
      </c>
      <c r="N2868" t="s">
        <v>1132</v>
      </c>
      <c r="O2868" t="s">
        <v>1132</v>
      </c>
      <c r="P2868" t="str">
        <f>IFERROR(VLOOKUP(F2868,Sheet1!$A$2:$B$54,2,FALSE),"")</f>
        <v/>
      </c>
    </row>
    <row r="2869" spans="1:16" x14ac:dyDescent="0.2">
      <c r="A2869" s="1">
        <v>2020</v>
      </c>
      <c r="B2869" t="s">
        <v>347</v>
      </c>
      <c r="C2869" s="10" t="s">
        <v>1678</v>
      </c>
      <c r="D2869" s="10" t="s">
        <v>1679</v>
      </c>
      <c r="E2869" s="10" t="s">
        <v>1682</v>
      </c>
      <c r="F2869" t="s">
        <v>844</v>
      </c>
      <c r="G2869" s="4">
        <v>349679</v>
      </c>
      <c r="H2869" s="4"/>
      <c r="I2869" s="4"/>
      <c r="J2869" s="4">
        <f>SUM(G2869:I2869)</f>
        <v>349679</v>
      </c>
      <c r="K2869" t="s">
        <v>1659</v>
      </c>
      <c r="L2869" t="s">
        <v>1659</v>
      </c>
      <c r="M2869" t="s">
        <v>1442</v>
      </c>
      <c r="N2869" t="s">
        <v>1132</v>
      </c>
      <c r="O2869" t="s">
        <v>1132</v>
      </c>
      <c r="P2869" t="str">
        <f>IFERROR(VLOOKUP(F2869,Sheet1!$A$2:$B$54,2,FALSE),"")</f>
        <v/>
      </c>
    </row>
    <row r="2870" spans="1:16" x14ac:dyDescent="0.2">
      <c r="A2870" s="1">
        <v>2021</v>
      </c>
      <c r="B2870" t="s">
        <v>347</v>
      </c>
      <c r="C2870" s="10" t="s">
        <v>1678</v>
      </c>
      <c r="D2870" s="10" t="s">
        <v>1679</v>
      </c>
      <c r="E2870" s="10" t="s">
        <v>1682</v>
      </c>
      <c r="F2870" t="s">
        <v>844</v>
      </c>
      <c r="G2870" s="4">
        <v>442277</v>
      </c>
      <c r="H2870" s="4"/>
      <c r="I2870" s="4"/>
      <c r="J2870" s="4">
        <f>SUM(G2870:I2870)</f>
        <v>442277</v>
      </c>
      <c r="K2870" t="s">
        <v>1659</v>
      </c>
      <c r="L2870" t="s">
        <v>1659</v>
      </c>
      <c r="M2870" t="s">
        <v>844</v>
      </c>
      <c r="N2870" t="s">
        <v>1132</v>
      </c>
      <c r="O2870" t="s">
        <v>1132</v>
      </c>
      <c r="P2870" t="str">
        <f>IFERROR(VLOOKUP(F2870,Sheet1!$A$2:$B$54,2,FALSE),"")</f>
        <v/>
      </c>
    </row>
    <row r="2871" spans="1:16" x14ac:dyDescent="0.2">
      <c r="A2871" s="1">
        <v>2022</v>
      </c>
      <c r="B2871" t="s">
        <v>347</v>
      </c>
      <c r="C2871" s="10" t="s">
        <v>1678</v>
      </c>
      <c r="D2871" s="10" t="s">
        <v>1679</v>
      </c>
      <c r="E2871" s="10" t="s">
        <v>1682</v>
      </c>
      <c r="F2871" t="s">
        <v>844</v>
      </c>
      <c r="G2871" s="4">
        <v>628286</v>
      </c>
      <c r="H2871" s="4"/>
      <c r="I2871" s="4"/>
      <c r="J2871" s="4">
        <f>SUM(G2871:I2871)</f>
        <v>628286</v>
      </c>
      <c r="K2871" t="s">
        <v>1659</v>
      </c>
      <c r="L2871" t="s">
        <v>1659</v>
      </c>
      <c r="M2871" t="s">
        <v>844</v>
      </c>
      <c r="N2871" t="s">
        <v>1132</v>
      </c>
      <c r="O2871" t="s">
        <v>1132</v>
      </c>
      <c r="P2871" t="str">
        <f>IFERROR(VLOOKUP(F2871,Sheet1!$A$2:$B$54,2,FALSE),"")</f>
        <v/>
      </c>
    </row>
    <row r="2872" spans="1:16" x14ac:dyDescent="0.2">
      <c r="A2872" s="1">
        <v>2023</v>
      </c>
      <c r="B2872" t="s">
        <v>347</v>
      </c>
      <c r="C2872" s="10" t="s">
        <v>1678</v>
      </c>
      <c r="D2872" s="10" t="s">
        <v>1679</v>
      </c>
      <c r="E2872" s="10" t="s">
        <v>1682</v>
      </c>
      <c r="F2872" t="s">
        <v>844</v>
      </c>
      <c r="G2872" s="4">
        <v>860992</v>
      </c>
      <c r="H2872" s="4"/>
      <c r="I2872" s="4"/>
      <c r="J2872" s="4">
        <f>SUM(G2872:I2872)</f>
        <v>860992</v>
      </c>
      <c r="K2872" t="s">
        <v>1659</v>
      </c>
      <c r="L2872" t="s">
        <v>1659</v>
      </c>
      <c r="M2872" t="s">
        <v>844</v>
      </c>
      <c r="N2872" t="s">
        <v>1132</v>
      </c>
      <c r="O2872" t="s">
        <v>1132</v>
      </c>
      <c r="P2872" t="str">
        <f>IFERROR(VLOOKUP(F2872,Sheet1!$A$2:$B$54,2,FALSE),"")</f>
        <v/>
      </c>
    </row>
    <row r="2873" spans="1:16" x14ac:dyDescent="0.2">
      <c r="A2873" s="1">
        <v>2020</v>
      </c>
      <c r="B2873" t="s">
        <v>348</v>
      </c>
      <c r="C2873" s="10" t="s">
        <v>1678</v>
      </c>
      <c r="D2873" s="10" t="s">
        <v>1679</v>
      </c>
      <c r="E2873" s="10" t="s">
        <v>1682</v>
      </c>
      <c r="F2873" t="s">
        <v>845</v>
      </c>
      <c r="G2873" s="4">
        <v>747</v>
      </c>
      <c r="H2873" s="4"/>
      <c r="I2873" s="4"/>
      <c r="J2873" s="4">
        <f>SUM(G2873:I2873)</f>
        <v>747</v>
      </c>
      <c r="K2873" t="s">
        <v>1659</v>
      </c>
      <c r="L2873" t="s">
        <v>1659</v>
      </c>
      <c r="M2873" t="s">
        <v>1443</v>
      </c>
      <c r="N2873" t="s">
        <v>1132</v>
      </c>
      <c r="O2873" t="s">
        <v>1132</v>
      </c>
      <c r="P2873" t="str">
        <f>IFERROR(VLOOKUP(F2873,Sheet1!$A$2:$B$54,2,FALSE),"")</f>
        <v/>
      </c>
    </row>
    <row r="2874" spans="1:16" x14ac:dyDescent="0.2">
      <c r="A2874" s="1">
        <v>2021</v>
      </c>
      <c r="B2874" t="s">
        <v>348</v>
      </c>
      <c r="C2874" s="10" t="s">
        <v>1678</v>
      </c>
      <c r="D2874" s="10" t="s">
        <v>1679</v>
      </c>
      <c r="E2874" s="10" t="s">
        <v>1682</v>
      </c>
      <c r="F2874" t="s">
        <v>845</v>
      </c>
      <c r="G2874" s="4">
        <v>6061</v>
      </c>
      <c r="H2874" s="4"/>
      <c r="I2874" s="4"/>
      <c r="J2874" s="4">
        <f>SUM(G2874:I2874)</f>
        <v>6061</v>
      </c>
      <c r="K2874" t="s">
        <v>1659</v>
      </c>
      <c r="L2874" t="s">
        <v>1659</v>
      </c>
      <c r="M2874" t="s">
        <v>845</v>
      </c>
      <c r="N2874" t="s">
        <v>1132</v>
      </c>
      <c r="O2874" t="s">
        <v>1132</v>
      </c>
      <c r="P2874" t="str">
        <f>IFERROR(VLOOKUP(F2874,Sheet1!$A$2:$B$54,2,FALSE),"")</f>
        <v/>
      </c>
    </row>
    <row r="2875" spans="1:16" x14ac:dyDescent="0.2">
      <c r="A2875" s="1">
        <v>2022</v>
      </c>
      <c r="B2875" t="s">
        <v>348</v>
      </c>
      <c r="C2875" s="10" t="s">
        <v>1678</v>
      </c>
      <c r="D2875" s="10" t="s">
        <v>1679</v>
      </c>
      <c r="E2875" s="10" t="s">
        <v>1682</v>
      </c>
      <c r="F2875" t="s">
        <v>845</v>
      </c>
      <c r="G2875" s="4">
        <v>10387</v>
      </c>
      <c r="H2875" s="4"/>
      <c r="I2875" s="4"/>
      <c r="J2875" s="4">
        <f>SUM(G2875:I2875)</f>
        <v>10387</v>
      </c>
      <c r="K2875" t="s">
        <v>1659</v>
      </c>
      <c r="L2875" t="s">
        <v>1659</v>
      </c>
      <c r="M2875" t="s">
        <v>845</v>
      </c>
      <c r="N2875" t="s">
        <v>1132</v>
      </c>
      <c r="O2875" t="s">
        <v>1132</v>
      </c>
      <c r="P2875" t="str">
        <f>IFERROR(VLOOKUP(F2875,Sheet1!$A$2:$B$54,2,FALSE),"")</f>
        <v/>
      </c>
    </row>
    <row r="2876" spans="1:16" x14ac:dyDescent="0.2">
      <c r="A2876" s="1">
        <v>2023</v>
      </c>
      <c r="B2876" t="s">
        <v>348</v>
      </c>
      <c r="C2876" s="10" t="s">
        <v>1678</v>
      </c>
      <c r="D2876" s="10" t="s">
        <v>1679</v>
      </c>
      <c r="E2876" s="10" t="s">
        <v>1682</v>
      </c>
      <c r="F2876" t="s">
        <v>845</v>
      </c>
      <c r="G2876" s="4">
        <v>16724</v>
      </c>
      <c r="H2876" s="4"/>
      <c r="I2876" s="4"/>
      <c r="J2876" s="4">
        <f>SUM(G2876:I2876)</f>
        <v>16724</v>
      </c>
      <c r="K2876" t="s">
        <v>1659</v>
      </c>
      <c r="L2876" t="s">
        <v>1659</v>
      </c>
      <c r="M2876" t="s">
        <v>845</v>
      </c>
      <c r="N2876" t="s">
        <v>1132</v>
      </c>
      <c r="O2876" t="s">
        <v>1132</v>
      </c>
      <c r="P2876" t="str">
        <f>IFERROR(VLOOKUP(F2876,Sheet1!$A$2:$B$54,2,FALSE),"")</f>
        <v/>
      </c>
    </row>
    <row r="2877" spans="1:16" x14ac:dyDescent="0.2">
      <c r="A2877" s="1">
        <v>2015</v>
      </c>
      <c r="B2877" t="s">
        <v>349</v>
      </c>
      <c r="C2877" s="10" t="s">
        <v>1678</v>
      </c>
      <c r="D2877" s="10" t="s">
        <v>1679</v>
      </c>
      <c r="E2877" s="10" t="s">
        <v>1682</v>
      </c>
      <c r="F2877" t="s">
        <v>846</v>
      </c>
      <c r="G2877" s="4">
        <v>1763</v>
      </c>
      <c r="H2877" s="4"/>
      <c r="I2877" s="4"/>
      <c r="J2877" s="4">
        <f>SUM(G2877:I2877)</f>
        <v>1763</v>
      </c>
      <c r="K2877" t="s">
        <v>1659</v>
      </c>
      <c r="L2877" t="s">
        <v>1659</v>
      </c>
      <c r="M2877" t="s">
        <v>1444</v>
      </c>
      <c r="N2877" t="s">
        <v>1132</v>
      </c>
      <c r="O2877" t="s">
        <v>1132</v>
      </c>
      <c r="P2877" t="str">
        <f>IFERROR(VLOOKUP(F2877,Sheet1!$A$2:$B$54,2,FALSE),"")</f>
        <v/>
      </c>
    </row>
    <row r="2878" spans="1:16" x14ac:dyDescent="0.2">
      <c r="A2878" s="1">
        <v>2016</v>
      </c>
      <c r="B2878" t="s">
        <v>349</v>
      </c>
      <c r="C2878" s="10" t="s">
        <v>1678</v>
      </c>
      <c r="D2878" s="10" t="s">
        <v>1679</v>
      </c>
      <c r="E2878" s="10" t="s">
        <v>1682</v>
      </c>
      <c r="F2878" t="s">
        <v>846</v>
      </c>
      <c r="G2878" s="4">
        <v>4288</v>
      </c>
      <c r="H2878" s="4"/>
      <c r="I2878" s="4"/>
      <c r="J2878" s="4">
        <f>SUM(G2878:I2878)</f>
        <v>4288</v>
      </c>
      <c r="K2878" t="s">
        <v>1659</v>
      </c>
      <c r="L2878" t="s">
        <v>1659</v>
      </c>
      <c r="M2878" t="s">
        <v>1444</v>
      </c>
      <c r="N2878" t="s">
        <v>1132</v>
      </c>
      <c r="O2878" t="s">
        <v>1132</v>
      </c>
      <c r="P2878" t="str">
        <f>IFERROR(VLOOKUP(F2878,Sheet1!$A$2:$B$54,2,FALSE),"")</f>
        <v/>
      </c>
    </row>
    <row r="2879" spans="1:16" x14ac:dyDescent="0.2">
      <c r="A2879" s="1">
        <v>2017</v>
      </c>
      <c r="B2879" t="s">
        <v>349</v>
      </c>
      <c r="C2879" s="10" t="s">
        <v>1678</v>
      </c>
      <c r="D2879" s="10" t="s">
        <v>1679</v>
      </c>
      <c r="E2879" s="10" t="s">
        <v>1682</v>
      </c>
      <c r="F2879" t="s">
        <v>846</v>
      </c>
      <c r="G2879" s="4">
        <v>6519</v>
      </c>
      <c r="H2879" s="4"/>
      <c r="I2879" s="4"/>
      <c r="J2879" s="4">
        <f>SUM(G2879:I2879)</f>
        <v>6519</v>
      </c>
      <c r="K2879" t="s">
        <v>1659</v>
      </c>
      <c r="L2879" t="s">
        <v>1659</v>
      </c>
      <c r="M2879" t="s">
        <v>1444</v>
      </c>
      <c r="N2879" t="s">
        <v>1132</v>
      </c>
      <c r="O2879" t="s">
        <v>1132</v>
      </c>
      <c r="P2879" t="str">
        <f>IFERROR(VLOOKUP(F2879,Sheet1!$A$2:$B$54,2,FALSE),"")</f>
        <v/>
      </c>
    </row>
    <row r="2880" spans="1:16" x14ac:dyDescent="0.2">
      <c r="A2880" s="1">
        <v>2018</v>
      </c>
      <c r="B2880" t="s">
        <v>349</v>
      </c>
      <c r="C2880" s="10" t="s">
        <v>1678</v>
      </c>
      <c r="D2880" s="10" t="s">
        <v>1679</v>
      </c>
      <c r="E2880" s="10" t="s">
        <v>1682</v>
      </c>
      <c r="F2880" t="s">
        <v>846</v>
      </c>
      <c r="G2880" s="4">
        <v>11481</v>
      </c>
      <c r="H2880" s="4"/>
      <c r="I2880" s="4"/>
      <c r="J2880" s="4">
        <f>SUM(G2880:I2880)</f>
        <v>11481</v>
      </c>
      <c r="K2880" t="s">
        <v>1659</v>
      </c>
      <c r="L2880" t="s">
        <v>1659</v>
      </c>
      <c r="M2880" t="s">
        <v>1444</v>
      </c>
      <c r="N2880" t="s">
        <v>1132</v>
      </c>
      <c r="O2880" t="s">
        <v>1132</v>
      </c>
      <c r="P2880" t="str">
        <f>IFERROR(VLOOKUP(F2880,Sheet1!$A$2:$B$54,2,FALSE),"")</f>
        <v/>
      </c>
    </row>
    <row r="2881" spans="1:16" x14ac:dyDescent="0.2">
      <c r="A2881" s="1">
        <v>2019</v>
      </c>
      <c r="B2881" t="s">
        <v>349</v>
      </c>
      <c r="C2881" s="10" t="s">
        <v>1678</v>
      </c>
      <c r="D2881" s="10" t="s">
        <v>1679</v>
      </c>
      <c r="E2881" s="10" t="s">
        <v>1682</v>
      </c>
      <c r="F2881" t="s">
        <v>846</v>
      </c>
      <c r="G2881" s="4">
        <v>14018</v>
      </c>
      <c r="H2881" s="4"/>
      <c r="I2881" s="4"/>
      <c r="J2881" s="4">
        <f>SUM(G2881:I2881)</f>
        <v>14018</v>
      </c>
      <c r="K2881" t="s">
        <v>1659</v>
      </c>
      <c r="L2881" t="s">
        <v>1659</v>
      </c>
      <c r="M2881" t="s">
        <v>1444</v>
      </c>
      <c r="N2881" t="s">
        <v>1132</v>
      </c>
      <c r="O2881" t="s">
        <v>1132</v>
      </c>
      <c r="P2881" t="str">
        <f>IFERROR(VLOOKUP(F2881,Sheet1!$A$2:$B$54,2,FALSE),"")</f>
        <v/>
      </c>
    </row>
    <row r="2882" spans="1:16" x14ac:dyDescent="0.2">
      <c r="A2882" s="1">
        <v>2020</v>
      </c>
      <c r="B2882" t="s">
        <v>349</v>
      </c>
      <c r="C2882" s="10" t="s">
        <v>1678</v>
      </c>
      <c r="D2882" s="10" t="s">
        <v>1679</v>
      </c>
      <c r="E2882" s="10" t="s">
        <v>1682</v>
      </c>
      <c r="F2882" t="s">
        <v>846</v>
      </c>
      <c r="G2882" s="4">
        <v>15431</v>
      </c>
      <c r="H2882" s="4"/>
      <c r="I2882" s="4"/>
      <c r="J2882" s="4">
        <f>SUM(G2882:I2882)</f>
        <v>15431</v>
      </c>
      <c r="K2882" t="s">
        <v>1659</v>
      </c>
      <c r="L2882" t="s">
        <v>1659</v>
      </c>
      <c r="M2882" t="s">
        <v>1444</v>
      </c>
      <c r="N2882" t="s">
        <v>1132</v>
      </c>
      <c r="O2882" t="s">
        <v>1132</v>
      </c>
      <c r="P2882" t="str">
        <f>IFERROR(VLOOKUP(F2882,Sheet1!$A$2:$B$54,2,FALSE),"")</f>
        <v/>
      </c>
    </row>
    <row r="2883" spans="1:16" x14ac:dyDescent="0.2">
      <c r="A2883" s="1">
        <v>2021</v>
      </c>
      <c r="B2883" t="s">
        <v>349</v>
      </c>
      <c r="C2883" s="10" t="s">
        <v>1678</v>
      </c>
      <c r="D2883" s="10" t="s">
        <v>1679</v>
      </c>
      <c r="E2883" s="10" t="s">
        <v>1682</v>
      </c>
      <c r="F2883" t="s">
        <v>846</v>
      </c>
      <c r="G2883" s="4">
        <v>17034</v>
      </c>
      <c r="H2883" s="4"/>
      <c r="I2883" s="4"/>
      <c r="J2883" s="4">
        <f>SUM(G2883:I2883)</f>
        <v>17034</v>
      </c>
      <c r="K2883" t="s">
        <v>1659</v>
      </c>
      <c r="L2883" t="s">
        <v>1659</v>
      </c>
      <c r="M2883" t="s">
        <v>846</v>
      </c>
      <c r="N2883" t="s">
        <v>1132</v>
      </c>
      <c r="O2883" t="s">
        <v>1132</v>
      </c>
      <c r="P2883" t="str">
        <f>IFERROR(VLOOKUP(F2883,Sheet1!$A$2:$B$54,2,FALSE),"")</f>
        <v/>
      </c>
    </row>
    <row r="2884" spans="1:16" x14ac:dyDescent="0.2">
      <c r="A2884" s="1">
        <v>2022</v>
      </c>
      <c r="B2884" t="s">
        <v>349</v>
      </c>
      <c r="C2884" s="10" t="s">
        <v>1678</v>
      </c>
      <c r="D2884" s="10" t="s">
        <v>1679</v>
      </c>
      <c r="E2884" s="10" t="s">
        <v>1682</v>
      </c>
      <c r="F2884" t="s">
        <v>846</v>
      </c>
      <c r="G2884" s="4">
        <v>28547</v>
      </c>
      <c r="H2884" s="4"/>
      <c r="I2884" s="4"/>
      <c r="J2884" s="4">
        <f>SUM(G2884:I2884)</f>
        <v>28547</v>
      </c>
      <c r="K2884" t="s">
        <v>1659</v>
      </c>
      <c r="L2884" t="s">
        <v>1659</v>
      </c>
      <c r="M2884" t="s">
        <v>846</v>
      </c>
      <c r="N2884" t="s">
        <v>1132</v>
      </c>
      <c r="O2884" t="s">
        <v>1132</v>
      </c>
      <c r="P2884" t="str">
        <f>IFERROR(VLOOKUP(F2884,Sheet1!$A$2:$B$54,2,FALSE),"")</f>
        <v/>
      </c>
    </row>
    <row r="2885" spans="1:16" x14ac:dyDescent="0.2">
      <c r="A2885" s="1">
        <v>2023</v>
      </c>
      <c r="B2885" t="s">
        <v>349</v>
      </c>
      <c r="C2885" s="10" t="s">
        <v>1678</v>
      </c>
      <c r="D2885" s="10" t="s">
        <v>1679</v>
      </c>
      <c r="E2885" s="10" t="s">
        <v>1682</v>
      </c>
      <c r="F2885" t="s">
        <v>846</v>
      </c>
      <c r="G2885" s="4">
        <v>42572</v>
      </c>
      <c r="H2885" s="4"/>
      <c r="I2885" s="4"/>
      <c r="J2885" s="4">
        <f>SUM(G2885:I2885)</f>
        <v>42572</v>
      </c>
      <c r="K2885" t="s">
        <v>1659</v>
      </c>
      <c r="L2885" t="s">
        <v>1659</v>
      </c>
      <c r="M2885" t="s">
        <v>846</v>
      </c>
      <c r="N2885" t="s">
        <v>1132</v>
      </c>
      <c r="O2885" t="s">
        <v>1132</v>
      </c>
      <c r="P2885" t="str">
        <f>IFERROR(VLOOKUP(F2885,Sheet1!$A$2:$B$54,2,FALSE),"")</f>
        <v/>
      </c>
    </row>
    <row r="2886" spans="1:16" x14ac:dyDescent="0.2">
      <c r="A2886" s="1">
        <v>2015</v>
      </c>
      <c r="B2886" t="s">
        <v>350</v>
      </c>
      <c r="C2886" s="10" t="s">
        <v>1678</v>
      </c>
      <c r="D2886" s="10" t="s">
        <v>1679</v>
      </c>
      <c r="E2886" s="10" t="s">
        <v>1682</v>
      </c>
      <c r="F2886" t="s">
        <v>847</v>
      </c>
      <c r="G2886" s="4">
        <v>136772</v>
      </c>
      <c r="H2886" s="4"/>
      <c r="I2886" s="4"/>
      <c r="J2886" s="4">
        <f>SUM(G2886:I2886)</f>
        <v>136772</v>
      </c>
      <c r="K2886" t="s">
        <v>1659</v>
      </c>
      <c r="L2886" t="s">
        <v>1659</v>
      </c>
      <c r="M2886" t="s">
        <v>1445</v>
      </c>
      <c r="N2886" t="s">
        <v>1132</v>
      </c>
      <c r="O2886" t="s">
        <v>1132</v>
      </c>
      <c r="P2886" t="str">
        <f>IFERROR(VLOOKUP(F2886,Sheet1!$A$2:$B$54,2,FALSE),"")</f>
        <v/>
      </c>
    </row>
    <row r="2887" spans="1:16" x14ac:dyDescent="0.2">
      <c r="A2887" s="1">
        <v>2016</v>
      </c>
      <c r="B2887" t="s">
        <v>350</v>
      </c>
      <c r="C2887" s="10" t="s">
        <v>1678</v>
      </c>
      <c r="D2887" s="10" t="s">
        <v>1679</v>
      </c>
      <c r="E2887" s="10" t="s">
        <v>1682</v>
      </c>
      <c r="F2887" t="s">
        <v>847</v>
      </c>
      <c r="G2887" s="4">
        <v>160597</v>
      </c>
      <c r="H2887" s="4"/>
      <c r="I2887" s="4"/>
      <c r="J2887" s="4">
        <f>SUM(G2887:I2887)</f>
        <v>160597</v>
      </c>
      <c r="K2887" t="s">
        <v>1659</v>
      </c>
      <c r="L2887" t="s">
        <v>1659</v>
      </c>
      <c r="M2887" t="s">
        <v>1446</v>
      </c>
      <c r="N2887" t="s">
        <v>1132</v>
      </c>
      <c r="O2887" t="s">
        <v>1132</v>
      </c>
      <c r="P2887" t="str">
        <f>IFERROR(VLOOKUP(F2887,Sheet1!$A$2:$B$54,2,FALSE),"")</f>
        <v/>
      </c>
    </row>
    <row r="2888" spans="1:16" x14ac:dyDescent="0.2">
      <c r="A2888" s="1">
        <v>2017</v>
      </c>
      <c r="B2888" t="s">
        <v>350</v>
      </c>
      <c r="C2888" s="10" t="s">
        <v>1678</v>
      </c>
      <c r="D2888" s="10" t="s">
        <v>1679</v>
      </c>
      <c r="E2888" s="10" t="s">
        <v>1682</v>
      </c>
      <c r="F2888" t="s">
        <v>847</v>
      </c>
      <c r="G2888" s="4">
        <v>178543</v>
      </c>
      <c r="H2888" s="4"/>
      <c r="I2888" s="4"/>
      <c r="J2888" s="4">
        <f>SUM(G2888:I2888)</f>
        <v>178543</v>
      </c>
      <c r="K2888" t="s">
        <v>1659</v>
      </c>
      <c r="L2888" t="s">
        <v>1659</v>
      </c>
      <c r="M2888" t="s">
        <v>1445</v>
      </c>
      <c r="N2888" t="s">
        <v>1132</v>
      </c>
      <c r="O2888" t="s">
        <v>1132</v>
      </c>
      <c r="P2888" t="str">
        <f>IFERROR(VLOOKUP(F2888,Sheet1!$A$2:$B$54,2,FALSE),"")</f>
        <v/>
      </c>
    </row>
    <row r="2889" spans="1:16" x14ac:dyDescent="0.2">
      <c r="A2889" s="1">
        <v>2018</v>
      </c>
      <c r="B2889" t="s">
        <v>350</v>
      </c>
      <c r="C2889" s="10" t="s">
        <v>1678</v>
      </c>
      <c r="D2889" s="10" t="s">
        <v>1679</v>
      </c>
      <c r="E2889" s="10" t="s">
        <v>1682</v>
      </c>
      <c r="F2889" t="s">
        <v>847</v>
      </c>
      <c r="G2889" s="4">
        <v>204991</v>
      </c>
      <c r="H2889" s="4"/>
      <c r="I2889" s="4"/>
      <c r="J2889" s="4">
        <f>SUM(G2889:I2889)</f>
        <v>204991</v>
      </c>
      <c r="K2889" t="s">
        <v>1659</v>
      </c>
      <c r="L2889" t="s">
        <v>1659</v>
      </c>
      <c r="M2889" t="s">
        <v>1445</v>
      </c>
      <c r="N2889" t="s">
        <v>1132</v>
      </c>
      <c r="O2889" t="s">
        <v>1132</v>
      </c>
      <c r="P2889" t="str">
        <f>IFERROR(VLOOKUP(F2889,Sheet1!$A$2:$B$54,2,FALSE),"")</f>
        <v/>
      </c>
    </row>
    <row r="2890" spans="1:16" x14ac:dyDescent="0.2">
      <c r="A2890" s="1">
        <v>2019</v>
      </c>
      <c r="B2890" t="s">
        <v>350</v>
      </c>
      <c r="C2890" s="10" t="s">
        <v>1678</v>
      </c>
      <c r="D2890" s="10" t="s">
        <v>1679</v>
      </c>
      <c r="E2890" s="10" t="s">
        <v>1682</v>
      </c>
      <c r="F2890" t="s">
        <v>847</v>
      </c>
      <c r="G2890" s="4">
        <v>224285</v>
      </c>
      <c r="H2890" s="4"/>
      <c r="I2890" s="4"/>
      <c r="J2890" s="4">
        <f>SUM(G2890:I2890)</f>
        <v>224285</v>
      </c>
      <c r="K2890" t="s">
        <v>1659</v>
      </c>
      <c r="L2890" t="s">
        <v>1659</v>
      </c>
      <c r="M2890" t="s">
        <v>1445</v>
      </c>
      <c r="N2890" t="s">
        <v>1132</v>
      </c>
      <c r="O2890" t="s">
        <v>1132</v>
      </c>
      <c r="P2890" t="str">
        <f>IFERROR(VLOOKUP(F2890,Sheet1!$A$2:$B$54,2,FALSE),"")</f>
        <v/>
      </c>
    </row>
    <row r="2891" spans="1:16" x14ac:dyDescent="0.2">
      <c r="A2891" s="1">
        <v>2020</v>
      </c>
      <c r="B2891" t="s">
        <v>350</v>
      </c>
      <c r="C2891" s="10" t="s">
        <v>1678</v>
      </c>
      <c r="D2891" s="10" t="s">
        <v>1679</v>
      </c>
      <c r="E2891" s="10" t="s">
        <v>1682</v>
      </c>
      <c r="F2891" t="s">
        <v>847</v>
      </c>
      <c r="G2891" s="4">
        <v>248440</v>
      </c>
      <c r="H2891" s="4"/>
      <c r="I2891" s="4"/>
      <c r="J2891" s="4">
        <f>SUM(G2891:I2891)</f>
        <v>248440</v>
      </c>
      <c r="K2891" t="s">
        <v>1659</v>
      </c>
      <c r="L2891" t="s">
        <v>1659</v>
      </c>
      <c r="M2891" t="s">
        <v>1445</v>
      </c>
      <c r="N2891" t="s">
        <v>1132</v>
      </c>
      <c r="O2891" t="s">
        <v>1132</v>
      </c>
      <c r="P2891" t="str">
        <f>IFERROR(VLOOKUP(F2891,Sheet1!$A$2:$B$54,2,FALSE),"")</f>
        <v/>
      </c>
    </row>
    <row r="2892" spans="1:16" x14ac:dyDescent="0.2">
      <c r="A2892" s="1">
        <v>2021</v>
      </c>
      <c r="B2892" t="s">
        <v>350</v>
      </c>
      <c r="C2892" s="10" t="s">
        <v>1678</v>
      </c>
      <c r="D2892" s="10" t="s">
        <v>1679</v>
      </c>
      <c r="E2892" s="10" t="s">
        <v>1682</v>
      </c>
      <c r="F2892" t="s">
        <v>847</v>
      </c>
      <c r="G2892" s="4">
        <v>326056</v>
      </c>
      <c r="H2892" s="4"/>
      <c r="I2892" s="4"/>
      <c r="J2892" s="4">
        <f>SUM(G2892:I2892)</f>
        <v>326056</v>
      </c>
      <c r="K2892" t="s">
        <v>1659</v>
      </c>
      <c r="L2892" t="s">
        <v>1659</v>
      </c>
      <c r="M2892" t="s">
        <v>847</v>
      </c>
      <c r="N2892" t="s">
        <v>1132</v>
      </c>
      <c r="O2892" t="s">
        <v>1132</v>
      </c>
      <c r="P2892" t="str">
        <f>IFERROR(VLOOKUP(F2892,Sheet1!$A$2:$B$54,2,FALSE),"")</f>
        <v/>
      </c>
    </row>
    <row r="2893" spans="1:16" x14ac:dyDescent="0.2">
      <c r="A2893" s="1">
        <v>2022</v>
      </c>
      <c r="B2893" t="s">
        <v>350</v>
      </c>
      <c r="C2893" s="10" t="s">
        <v>1678</v>
      </c>
      <c r="D2893" s="10" t="s">
        <v>1679</v>
      </c>
      <c r="E2893" s="10" t="s">
        <v>1682</v>
      </c>
      <c r="F2893" t="s">
        <v>847</v>
      </c>
      <c r="G2893" s="4">
        <v>438202</v>
      </c>
      <c r="H2893" s="4"/>
      <c r="I2893" s="4"/>
      <c r="J2893" s="4">
        <f>SUM(G2893:I2893)</f>
        <v>438202</v>
      </c>
      <c r="K2893" t="s">
        <v>1659</v>
      </c>
      <c r="L2893" t="s">
        <v>1659</v>
      </c>
      <c r="M2893" t="s">
        <v>847</v>
      </c>
      <c r="N2893" t="s">
        <v>1132</v>
      </c>
      <c r="O2893" t="s">
        <v>1132</v>
      </c>
      <c r="P2893" t="str">
        <f>IFERROR(VLOOKUP(F2893,Sheet1!$A$2:$B$54,2,FALSE),"")</f>
        <v/>
      </c>
    </row>
    <row r="2894" spans="1:16" x14ac:dyDescent="0.2">
      <c r="A2894" s="1">
        <v>2023</v>
      </c>
      <c r="B2894" t="s">
        <v>350</v>
      </c>
      <c r="C2894" s="10" t="s">
        <v>1678</v>
      </c>
      <c r="D2894" s="10" t="s">
        <v>1679</v>
      </c>
      <c r="E2894" s="10" t="s">
        <v>1682</v>
      </c>
      <c r="F2894" t="s">
        <v>847</v>
      </c>
      <c r="G2894" s="4">
        <v>515211</v>
      </c>
      <c r="H2894" s="4"/>
      <c r="I2894" s="4"/>
      <c r="J2894" s="4">
        <f>SUM(G2894:I2894)</f>
        <v>515211</v>
      </c>
      <c r="K2894" t="s">
        <v>1659</v>
      </c>
      <c r="L2894" t="s">
        <v>1659</v>
      </c>
      <c r="M2894" t="s">
        <v>847</v>
      </c>
      <c r="N2894" t="s">
        <v>1132</v>
      </c>
      <c r="O2894" t="s">
        <v>1132</v>
      </c>
      <c r="P2894" t="str">
        <f>IFERROR(VLOOKUP(F2894,Sheet1!$A$2:$B$54,2,FALSE),"")</f>
        <v/>
      </c>
    </row>
    <row r="2895" spans="1:16" x14ac:dyDescent="0.2">
      <c r="A2895" s="1">
        <v>2015</v>
      </c>
      <c r="B2895" t="s">
        <v>351</v>
      </c>
      <c r="C2895" s="10" t="s">
        <v>1678</v>
      </c>
      <c r="D2895" s="10" t="s">
        <v>1679</v>
      </c>
      <c r="E2895" s="10" t="s">
        <v>1682</v>
      </c>
      <c r="F2895" t="s">
        <v>848</v>
      </c>
      <c r="G2895" s="4">
        <v>4922</v>
      </c>
      <c r="H2895" s="4"/>
      <c r="I2895" s="4"/>
      <c r="J2895" s="4">
        <f>SUM(G2895:I2895)</f>
        <v>4922</v>
      </c>
      <c r="K2895" t="s">
        <v>1659</v>
      </c>
      <c r="L2895" t="s">
        <v>1659</v>
      </c>
      <c r="M2895" t="s">
        <v>1447</v>
      </c>
      <c r="N2895" t="s">
        <v>1132</v>
      </c>
      <c r="O2895" t="s">
        <v>1132</v>
      </c>
      <c r="P2895" t="str">
        <f>IFERROR(VLOOKUP(F2895,Sheet1!$A$2:$B$54,2,FALSE),"")</f>
        <v/>
      </c>
    </row>
    <row r="2896" spans="1:16" x14ac:dyDescent="0.2">
      <c r="A2896" s="1">
        <v>2016</v>
      </c>
      <c r="B2896" t="s">
        <v>351</v>
      </c>
      <c r="C2896" s="10" t="s">
        <v>1678</v>
      </c>
      <c r="D2896" s="10" t="s">
        <v>1679</v>
      </c>
      <c r="E2896" s="10" t="s">
        <v>1682</v>
      </c>
      <c r="F2896" t="s">
        <v>848</v>
      </c>
      <c r="G2896" s="4">
        <v>6983</v>
      </c>
      <c r="H2896" s="4"/>
      <c r="I2896" s="4"/>
      <c r="J2896" s="4">
        <f>SUM(G2896:I2896)</f>
        <v>6983</v>
      </c>
      <c r="K2896" t="s">
        <v>1659</v>
      </c>
      <c r="L2896" t="s">
        <v>1659</v>
      </c>
      <c r="M2896" t="s">
        <v>1448</v>
      </c>
      <c r="N2896" t="s">
        <v>1132</v>
      </c>
      <c r="O2896" t="s">
        <v>1132</v>
      </c>
      <c r="P2896" t="str">
        <f>IFERROR(VLOOKUP(F2896,Sheet1!$A$2:$B$54,2,FALSE),"")</f>
        <v/>
      </c>
    </row>
    <row r="2897" spans="1:16" x14ac:dyDescent="0.2">
      <c r="A2897" s="1">
        <v>2017</v>
      </c>
      <c r="B2897" t="s">
        <v>351</v>
      </c>
      <c r="C2897" s="10" t="s">
        <v>1678</v>
      </c>
      <c r="D2897" s="10" t="s">
        <v>1679</v>
      </c>
      <c r="E2897" s="10" t="s">
        <v>1682</v>
      </c>
      <c r="F2897" t="s">
        <v>848</v>
      </c>
      <c r="G2897" s="4">
        <v>8454</v>
      </c>
      <c r="H2897" s="4"/>
      <c r="I2897" s="4"/>
      <c r="J2897" s="4">
        <f>SUM(G2897:I2897)</f>
        <v>8454</v>
      </c>
      <c r="K2897" t="s">
        <v>1659</v>
      </c>
      <c r="L2897" t="s">
        <v>1659</v>
      </c>
      <c r="M2897" t="s">
        <v>1447</v>
      </c>
      <c r="N2897" t="s">
        <v>1132</v>
      </c>
      <c r="O2897" t="s">
        <v>1132</v>
      </c>
      <c r="P2897" t="str">
        <f>IFERROR(VLOOKUP(F2897,Sheet1!$A$2:$B$54,2,FALSE),"")</f>
        <v/>
      </c>
    </row>
    <row r="2898" spans="1:16" x14ac:dyDescent="0.2">
      <c r="A2898" s="1">
        <v>2018</v>
      </c>
      <c r="B2898" t="s">
        <v>351</v>
      </c>
      <c r="C2898" s="10" t="s">
        <v>1678</v>
      </c>
      <c r="D2898" s="10" t="s">
        <v>1679</v>
      </c>
      <c r="E2898" s="10" t="s">
        <v>1682</v>
      </c>
      <c r="F2898" t="s">
        <v>848</v>
      </c>
      <c r="G2898" s="4">
        <v>11453</v>
      </c>
      <c r="H2898" s="4"/>
      <c r="I2898" s="4"/>
      <c r="J2898" s="4">
        <f>SUM(G2898:I2898)</f>
        <v>11453</v>
      </c>
      <c r="K2898" t="s">
        <v>1659</v>
      </c>
      <c r="L2898" t="s">
        <v>1659</v>
      </c>
      <c r="M2898" t="s">
        <v>1447</v>
      </c>
      <c r="N2898" t="s">
        <v>1132</v>
      </c>
      <c r="O2898" t="s">
        <v>1132</v>
      </c>
      <c r="P2898" t="str">
        <f>IFERROR(VLOOKUP(F2898,Sheet1!$A$2:$B$54,2,FALSE),"")</f>
        <v/>
      </c>
    </row>
    <row r="2899" spans="1:16" x14ac:dyDescent="0.2">
      <c r="A2899" s="1">
        <v>2019</v>
      </c>
      <c r="B2899" t="s">
        <v>351</v>
      </c>
      <c r="C2899" s="10" t="s">
        <v>1678</v>
      </c>
      <c r="D2899" s="10" t="s">
        <v>1679</v>
      </c>
      <c r="E2899" s="10" t="s">
        <v>1682</v>
      </c>
      <c r="F2899" t="s">
        <v>848</v>
      </c>
      <c r="G2899" s="4">
        <v>9732</v>
      </c>
      <c r="H2899" s="4"/>
      <c r="I2899" s="4"/>
      <c r="J2899" s="4">
        <f>SUM(G2899:I2899)</f>
        <v>9732</v>
      </c>
      <c r="K2899" t="s">
        <v>1659</v>
      </c>
      <c r="L2899" t="s">
        <v>1659</v>
      </c>
      <c r="M2899" t="s">
        <v>1447</v>
      </c>
      <c r="N2899" t="s">
        <v>1132</v>
      </c>
      <c r="O2899" t="s">
        <v>1132</v>
      </c>
      <c r="P2899" t="str">
        <f>IFERROR(VLOOKUP(F2899,Sheet1!$A$2:$B$54,2,FALSE),"")</f>
        <v/>
      </c>
    </row>
    <row r="2900" spans="1:16" x14ac:dyDescent="0.2">
      <c r="A2900" s="1">
        <v>2020</v>
      </c>
      <c r="B2900" t="s">
        <v>351</v>
      </c>
      <c r="C2900" s="10" t="s">
        <v>1678</v>
      </c>
      <c r="D2900" s="10" t="s">
        <v>1679</v>
      </c>
      <c r="E2900" s="10" t="s">
        <v>1682</v>
      </c>
      <c r="F2900" t="s">
        <v>848</v>
      </c>
      <c r="G2900" s="4">
        <v>10288</v>
      </c>
      <c r="H2900" s="4"/>
      <c r="I2900" s="4"/>
      <c r="J2900" s="4">
        <f>SUM(G2900:I2900)</f>
        <v>10288</v>
      </c>
      <c r="K2900" t="s">
        <v>1659</v>
      </c>
      <c r="L2900" t="s">
        <v>1659</v>
      </c>
      <c r="M2900" t="s">
        <v>1447</v>
      </c>
      <c r="N2900" t="s">
        <v>1132</v>
      </c>
      <c r="O2900" t="s">
        <v>1132</v>
      </c>
      <c r="P2900" t="str">
        <f>IFERROR(VLOOKUP(F2900,Sheet1!$A$2:$B$54,2,FALSE),"")</f>
        <v/>
      </c>
    </row>
    <row r="2901" spans="1:16" x14ac:dyDescent="0.2">
      <c r="A2901" s="1">
        <v>2021</v>
      </c>
      <c r="B2901" t="s">
        <v>351</v>
      </c>
      <c r="C2901" s="10" t="s">
        <v>1678</v>
      </c>
      <c r="D2901" s="10" t="s">
        <v>1679</v>
      </c>
      <c r="E2901" s="10" t="s">
        <v>1682</v>
      </c>
      <c r="F2901" t="s">
        <v>848</v>
      </c>
      <c r="G2901" s="4">
        <v>16767</v>
      </c>
      <c r="H2901" s="4"/>
      <c r="I2901" s="4"/>
      <c r="J2901" s="4">
        <f>SUM(G2901:I2901)</f>
        <v>16767</v>
      </c>
      <c r="K2901" t="s">
        <v>1659</v>
      </c>
      <c r="L2901" t="s">
        <v>1659</v>
      </c>
      <c r="M2901" t="s">
        <v>848</v>
      </c>
      <c r="N2901" t="s">
        <v>1132</v>
      </c>
      <c r="O2901" t="s">
        <v>1132</v>
      </c>
      <c r="P2901" t="str">
        <f>IFERROR(VLOOKUP(F2901,Sheet1!$A$2:$B$54,2,FALSE),"")</f>
        <v/>
      </c>
    </row>
    <row r="2902" spans="1:16" x14ac:dyDescent="0.2">
      <c r="A2902" s="1">
        <v>2022</v>
      </c>
      <c r="B2902" t="s">
        <v>351</v>
      </c>
      <c r="C2902" s="10" t="s">
        <v>1678</v>
      </c>
      <c r="D2902" s="10" t="s">
        <v>1679</v>
      </c>
      <c r="E2902" s="10" t="s">
        <v>1682</v>
      </c>
      <c r="F2902" t="s">
        <v>848</v>
      </c>
      <c r="G2902" s="4">
        <v>12648</v>
      </c>
      <c r="H2902" s="4"/>
      <c r="I2902" s="4"/>
      <c r="J2902" s="4">
        <f>SUM(G2902:I2902)</f>
        <v>12648</v>
      </c>
      <c r="K2902" t="s">
        <v>1659</v>
      </c>
      <c r="L2902" t="s">
        <v>1659</v>
      </c>
      <c r="M2902" t="s">
        <v>848</v>
      </c>
      <c r="N2902" t="s">
        <v>1132</v>
      </c>
      <c r="O2902" t="s">
        <v>1132</v>
      </c>
      <c r="P2902" t="str">
        <f>IFERROR(VLOOKUP(F2902,Sheet1!$A$2:$B$54,2,FALSE),"")</f>
        <v/>
      </c>
    </row>
    <row r="2903" spans="1:16" x14ac:dyDescent="0.2">
      <c r="A2903" s="1">
        <v>2023</v>
      </c>
      <c r="B2903" t="s">
        <v>351</v>
      </c>
      <c r="C2903" s="10" t="s">
        <v>1678</v>
      </c>
      <c r="D2903" s="10" t="s">
        <v>1679</v>
      </c>
      <c r="E2903" s="10" t="s">
        <v>1682</v>
      </c>
      <c r="F2903" t="s">
        <v>848</v>
      </c>
      <c r="G2903" s="4">
        <v>16998</v>
      </c>
      <c r="H2903" s="4"/>
      <c r="I2903" s="4"/>
      <c r="J2903" s="4">
        <f>SUM(G2903:I2903)</f>
        <v>16998</v>
      </c>
      <c r="K2903" t="s">
        <v>1659</v>
      </c>
      <c r="L2903" t="s">
        <v>1659</v>
      </c>
      <c r="M2903" t="s">
        <v>848</v>
      </c>
      <c r="N2903" t="s">
        <v>1132</v>
      </c>
      <c r="O2903" t="s">
        <v>1132</v>
      </c>
      <c r="P2903" t="str">
        <f>IFERROR(VLOOKUP(F2903,Sheet1!$A$2:$B$54,2,FALSE),"")</f>
        <v/>
      </c>
    </row>
    <row r="2904" spans="1:16" x14ac:dyDescent="0.2">
      <c r="A2904" s="1">
        <v>2015</v>
      </c>
      <c r="B2904" t="s">
        <v>352</v>
      </c>
      <c r="C2904" s="10" t="s">
        <v>1678</v>
      </c>
      <c r="D2904" s="10" t="s">
        <v>1679</v>
      </c>
      <c r="E2904" s="10" t="s">
        <v>1682</v>
      </c>
      <c r="F2904" t="s">
        <v>849</v>
      </c>
      <c r="G2904" s="4">
        <v>39738</v>
      </c>
      <c r="H2904" s="4"/>
      <c r="I2904" s="4"/>
      <c r="J2904" s="4">
        <f>SUM(G2904:I2904)</f>
        <v>39738</v>
      </c>
      <c r="K2904" t="s">
        <v>1659</v>
      </c>
      <c r="L2904" t="s">
        <v>1659</v>
      </c>
      <c r="M2904" t="s">
        <v>1449</v>
      </c>
      <c r="N2904" t="s">
        <v>1132</v>
      </c>
      <c r="O2904" t="s">
        <v>1132</v>
      </c>
      <c r="P2904" t="str">
        <f>IFERROR(VLOOKUP(F2904,Sheet1!$A$2:$B$54,2,FALSE),"")</f>
        <v/>
      </c>
    </row>
    <row r="2905" spans="1:16" x14ac:dyDescent="0.2">
      <c r="A2905" s="1">
        <v>2016</v>
      </c>
      <c r="B2905" t="s">
        <v>352</v>
      </c>
      <c r="C2905" s="10" t="s">
        <v>1678</v>
      </c>
      <c r="D2905" s="10" t="s">
        <v>1679</v>
      </c>
      <c r="E2905" s="10" t="s">
        <v>1682</v>
      </c>
      <c r="F2905" t="s">
        <v>849</v>
      </c>
      <c r="G2905" s="4">
        <v>42750</v>
      </c>
      <c r="H2905" s="4"/>
      <c r="I2905" s="4"/>
      <c r="J2905" s="4">
        <f>SUM(G2905:I2905)</f>
        <v>42750</v>
      </c>
      <c r="K2905" t="s">
        <v>1659</v>
      </c>
      <c r="L2905" t="s">
        <v>1659</v>
      </c>
      <c r="M2905" t="s">
        <v>1449</v>
      </c>
      <c r="N2905" t="s">
        <v>1132</v>
      </c>
      <c r="O2905" t="s">
        <v>1132</v>
      </c>
      <c r="P2905" t="str">
        <f>IFERROR(VLOOKUP(F2905,Sheet1!$A$2:$B$54,2,FALSE),"")</f>
        <v/>
      </c>
    </row>
    <row r="2906" spans="1:16" x14ac:dyDescent="0.2">
      <c r="A2906" s="1">
        <v>2017</v>
      </c>
      <c r="B2906" t="s">
        <v>352</v>
      </c>
      <c r="C2906" s="10" t="s">
        <v>1678</v>
      </c>
      <c r="D2906" s="10" t="s">
        <v>1679</v>
      </c>
      <c r="E2906" s="10" t="s">
        <v>1682</v>
      </c>
      <c r="F2906" t="s">
        <v>849</v>
      </c>
      <c r="G2906" s="4">
        <v>53878</v>
      </c>
      <c r="H2906" s="4"/>
      <c r="I2906" s="4"/>
      <c r="J2906" s="4">
        <f>SUM(G2906:I2906)</f>
        <v>53878</v>
      </c>
      <c r="K2906" t="s">
        <v>1659</v>
      </c>
      <c r="L2906" t="s">
        <v>1659</v>
      </c>
      <c r="M2906" t="s">
        <v>1450</v>
      </c>
      <c r="N2906" t="s">
        <v>1132</v>
      </c>
      <c r="O2906" t="s">
        <v>1132</v>
      </c>
      <c r="P2906" t="str">
        <f>IFERROR(VLOOKUP(F2906,Sheet1!$A$2:$B$54,2,FALSE),"")</f>
        <v/>
      </c>
    </row>
    <row r="2907" spans="1:16" x14ac:dyDescent="0.2">
      <c r="A2907" s="1">
        <v>2018</v>
      </c>
      <c r="B2907" t="s">
        <v>352</v>
      </c>
      <c r="C2907" s="10" t="s">
        <v>1678</v>
      </c>
      <c r="D2907" s="10" t="s">
        <v>1679</v>
      </c>
      <c r="E2907" s="10" t="s">
        <v>1682</v>
      </c>
      <c r="F2907" t="s">
        <v>849</v>
      </c>
      <c r="G2907" s="4">
        <v>62294</v>
      </c>
      <c r="H2907" s="4"/>
      <c r="I2907" s="4"/>
      <c r="J2907" s="4">
        <f>SUM(G2907:I2907)</f>
        <v>62294</v>
      </c>
      <c r="K2907" t="s">
        <v>1659</v>
      </c>
      <c r="L2907" t="s">
        <v>1659</v>
      </c>
      <c r="M2907" t="s">
        <v>1450</v>
      </c>
      <c r="N2907" t="s">
        <v>1132</v>
      </c>
      <c r="O2907" t="s">
        <v>1132</v>
      </c>
      <c r="P2907" t="str">
        <f>IFERROR(VLOOKUP(F2907,Sheet1!$A$2:$B$54,2,FALSE),"")</f>
        <v/>
      </c>
    </row>
    <row r="2908" spans="1:16" x14ac:dyDescent="0.2">
      <c r="A2908" s="1">
        <v>2019</v>
      </c>
      <c r="B2908" t="s">
        <v>352</v>
      </c>
      <c r="C2908" s="10" t="s">
        <v>1678</v>
      </c>
      <c r="D2908" s="10" t="s">
        <v>1679</v>
      </c>
      <c r="E2908" s="10" t="s">
        <v>1682</v>
      </c>
      <c r="F2908" t="s">
        <v>849</v>
      </c>
      <c r="G2908" s="4">
        <v>89644</v>
      </c>
      <c r="H2908" s="4"/>
      <c r="I2908" s="4"/>
      <c r="J2908" s="4">
        <f>SUM(G2908:I2908)</f>
        <v>89644</v>
      </c>
      <c r="K2908" t="s">
        <v>1659</v>
      </c>
      <c r="L2908" t="s">
        <v>1659</v>
      </c>
      <c r="M2908" t="s">
        <v>1450</v>
      </c>
      <c r="N2908" t="s">
        <v>1132</v>
      </c>
      <c r="O2908" t="s">
        <v>1132</v>
      </c>
      <c r="P2908" t="str">
        <f>IFERROR(VLOOKUP(F2908,Sheet1!$A$2:$B$54,2,FALSE),"")</f>
        <v/>
      </c>
    </row>
    <row r="2909" spans="1:16" x14ac:dyDescent="0.2">
      <c r="A2909" s="1">
        <v>2020</v>
      </c>
      <c r="B2909" t="s">
        <v>352</v>
      </c>
      <c r="C2909" s="10" t="s">
        <v>1678</v>
      </c>
      <c r="D2909" s="10" t="s">
        <v>1679</v>
      </c>
      <c r="E2909" s="10" t="s">
        <v>1682</v>
      </c>
      <c r="F2909" t="s">
        <v>849</v>
      </c>
      <c r="G2909" s="4">
        <v>113651</v>
      </c>
      <c r="H2909" s="4"/>
      <c r="I2909" s="4"/>
      <c r="J2909" s="4">
        <f>SUM(G2909:I2909)</f>
        <v>113651</v>
      </c>
      <c r="K2909" t="s">
        <v>1659</v>
      </c>
      <c r="L2909" t="s">
        <v>1659</v>
      </c>
      <c r="M2909" t="s">
        <v>1451</v>
      </c>
      <c r="N2909" t="s">
        <v>1132</v>
      </c>
      <c r="O2909" t="s">
        <v>1132</v>
      </c>
      <c r="P2909" t="str">
        <f>IFERROR(VLOOKUP(F2909,Sheet1!$A$2:$B$54,2,FALSE),"")</f>
        <v/>
      </c>
    </row>
    <row r="2910" spans="1:16" x14ac:dyDescent="0.2">
      <c r="A2910" s="1">
        <v>2021</v>
      </c>
      <c r="B2910" t="s">
        <v>352</v>
      </c>
      <c r="C2910" s="10" t="s">
        <v>1678</v>
      </c>
      <c r="D2910" s="10" t="s">
        <v>1679</v>
      </c>
      <c r="E2910" s="10" t="s">
        <v>1682</v>
      </c>
      <c r="F2910" t="s">
        <v>849</v>
      </c>
      <c r="G2910" s="4">
        <v>140706</v>
      </c>
      <c r="H2910" s="4"/>
      <c r="I2910" s="4"/>
      <c r="J2910" s="4">
        <f>SUM(G2910:I2910)</f>
        <v>140706</v>
      </c>
      <c r="K2910" t="s">
        <v>1659</v>
      </c>
      <c r="L2910" t="s">
        <v>1659</v>
      </c>
      <c r="M2910" t="s">
        <v>849</v>
      </c>
      <c r="N2910" t="s">
        <v>1132</v>
      </c>
      <c r="O2910" t="s">
        <v>1132</v>
      </c>
      <c r="P2910" t="str">
        <f>IFERROR(VLOOKUP(F2910,Sheet1!$A$2:$B$54,2,FALSE),"")</f>
        <v/>
      </c>
    </row>
    <row r="2911" spans="1:16" x14ac:dyDescent="0.2">
      <c r="A2911" s="1">
        <v>2022</v>
      </c>
      <c r="B2911" t="s">
        <v>352</v>
      </c>
      <c r="C2911" s="10" t="s">
        <v>1678</v>
      </c>
      <c r="D2911" s="10" t="s">
        <v>1679</v>
      </c>
      <c r="E2911" s="10" t="s">
        <v>1682</v>
      </c>
      <c r="F2911" t="s">
        <v>849</v>
      </c>
      <c r="G2911" s="4">
        <v>153921</v>
      </c>
      <c r="H2911" s="4"/>
      <c r="I2911" s="4"/>
      <c r="J2911" s="4">
        <f>SUM(G2911:I2911)</f>
        <v>153921</v>
      </c>
      <c r="K2911" t="s">
        <v>1659</v>
      </c>
      <c r="L2911" t="s">
        <v>1659</v>
      </c>
      <c r="M2911" t="s">
        <v>849</v>
      </c>
      <c r="N2911" t="s">
        <v>1132</v>
      </c>
      <c r="O2911" t="s">
        <v>1132</v>
      </c>
      <c r="P2911" t="str">
        <f>IFERROR(VLOOKUP(F2911,Sheet1!$A$2:$B$54,2,FALSE),"")</f>
        <v/>
      </c>
    </row>
    <row r="2912" spans="1:16" x14ac:dyDescent="0.2">
      <c r="A2912" s="1">
        <v>2023</v>
      </c>
      <c r="B2912" t="s">
        <v>352</v>
      </c>
      <c r="C2912" s="10" t="s">
        <v>1678</v>
      </c>
      <c r="D2912" s="10" t="s">
        <v>1679</v>
      </c>
      <c r="E2912" s="10" t="s">
        <v>1682</v>
      </c>
      <c r="F2912" t="s">
        <v>849</v>
      </c>
      <c r="G2912" s="4">
        <v>201768</v>
      </c>
      <c r="H2912" s="4"/>
      <c r="I2912" s="4"/>
      <c r="J2912" s="4">
        <f>SUM(G2912:I2912)</f>
        <v>201768</v>
      </c>
      <c r="K2912" t="s">
        <v>1659</v>
      </c>
      <c r="L2912" t="s">
        <v>1659</v>
      </c>
      <c r="M2912" t="s">
        <v>849</v>
      </c>
      <c r="N2912" t="s">
        <v>1132</v>
      </c>
      <c r="O2912" t="s">
        <v>1132</v>
      </c>
      <c r="P2912" t="str">
        <f>IFERROR(VLOOKUP(F2912,Sheet1!$A$2:$B$54,2,FALSE),"")</f>
        <v/>
      </c>
    </row>
    <row r="2913" spans="1:16" x14ac:dyDescent="0.2">
      <c r="A2913" s="1">
        <v>2015</v>
      </c>
      <c r="B2913" t="s">
        <v>353</v>
      </c>
      <c r="C2913" s="10" t="s">
        <v>1678</v>
      </c>
      <c r="D2913" s="10" t="s">
        <v>1679</v>
      </c>
      <c r="E2913" s="10" t="s">
        <v>1682</v>
      </c>
      <c r="F2913" t="s">
        <v>850</v>
      </c>
      <c r="G2913" s="4">
        <v>34390</v>
      </c>
      <c r="H2913" s="4"/>
      <c r="I2913" s="4"/>
      <c r="J2913" s="4">
        <f>SUM(G2913:I2913)</f>
        <v>34390</v>
      </c>
      <c r="K2913" t="s">
        <v>1659</v>
      </c>
      <c r="L2913" t="s">
        <v>1659</v>
      </c>
      <c r="M2913" t="s">
        <v>1452</v>
      </c>
      <c r="N2913" t="s">
        <v>1132</v>
      </c>
      <c r="O2913" t="s">
        <v>1132</v>
      </c>
      <c r="P2913" t="str">
        <f>IFERROR(VLOOKUP(F2913,Sheet1!$A$2:$B$54,2,FALSE),"")</f>
        <v/>
      </c>
    </row>
    <row r="2914" spans="1:16" x14ac:dyDescent="0.2">
      <c r="A2914" s="1">
        <v>2016</v>
      </c>
      <c r="B2914" t="s">
        <v>353</v>
      </c>
      <c r="C2914" s="10" t="s">
        <v>1678</v>
      </c>
      <c r="D2914" s="10" t="s">
        <v>1679</v>
      </c>
      <c r="E2914" s="10" t="s">
        <v>1682</v>
      </c>
      <c r="F2914" t="s">
        <v>850</v>
      </c>
      <c r="G2914" s="4">
        <v>45517</v>
      </c>
      <c r="H2914" s="4"/>
      <c r="I2914" s="4"/>
      <c r="J2914" s="4">
        <f>SUM(G2914:I2914)</f>
        <v>45517</v>
      </c>
      <c r="K2914" t="s">
        <v>1659</v>
      </c>
      <c r="L2914" t="s">
        <v>1659</v>
      </c>
      <c r="M2914" t="s">
        <v>1452</v>
      </c>
      <c r="N2914" t="s">
        <v>1132</v>
      </c>
      <c r="O2914" t="s">
        <v>1132</v>
      </c>
      <c r="P2914" t="str">
        <f>IFERROR(VLOOKUP(F2914,Sheet1!$A$2:$B$54,2,FALSE),"")</f>
        <v/>
      </c>
    </row>
    <row r="2915" spans="1:16" x14ac:dyDescent="0.2">
      <c r="A2915" s="1">
        <v>2017</v>
      </c>
      <c r="B2915" t="s">
        <v>353</v>
      </c>
      <c r="C2915" s="10" t="s">
        <v>1678</v>
      </c>
      <c r="D2915" s="10" t="s">
        <v>1679</v>
      </c>
      <c r="E2915" s="10" t="s">
        <v>1682</v>
      </c>
      <c r="F2915" t="s">
        <v>850</v>
      </c>
      <c r="G2915" s="4">
        <v>59241</v>
      </c>
      <c r="H2915" s="4"/>
      <c r="I2915" s="4"/>
      <c r="J2915" s="4">
        <f>SUM(G2915:I2915)</f>
        <v>59241</v>
      </c>
      <c r="K2915" t="s">
        <v>1659</v>
      </c>
      <c r="L2915" t="s">
        <v>1659</v>
      </c>
      <c r="M2915" t="s">
        <v>1452</v>
      </c>
      <c r="N2915" t="s">
        <v>1132</v>
      </c>
      <c r="O2915" t="s">
        <v>1132</v>
      </c>
      <c r="P2915" t="str">
        <f>IFERROR(VLOOKUP(F2915,Sheet1!$A$2:$B$54,2,FALSE),"")</f>
        <v/>
      </c>
    </row>
    <row r="2916" spans="1:16" x14ac:dyDescent="0.2">
      <c r="A2916" s="1">
        <v>2018</v>
      </c>
      <c r="B2916" t="s">
        <v>353</v>
      </c>
      <c r="C2916" s="10" t="s">
        <v>1678</v>
      </c>
      <c r="D2916" s="10" t="s">
        <v>1679</v>
      </c>
      <c r="E2916" s="10" t="s">
        <v>1682</v>
      </c>
      <c r="F2916" t="s">
        <v>850</v>
      </c>
      <c r="G2916" s="4">
        <v>66822</v>
      </c>
      <c r="H2916" s="4"/>
      <c r="I2916" s="4"/>
      <c r="J2916" s="4">
        <f>SUM(G2916:I2916)</f>
        <v>66822</v>
      </c>
      <c r="K2916" t="s">
        <v>1659</v>
      </c>
      <c r="L2916" t="s">
        <v>1659</v>
      </c>
      <c r="M2916" t="s">
        <v>1452</v>
      </c>
      <c r="N2916" t="s">
        <v>1132</v>
      </c>
      <c r="O2916" t="s">
        <v>1132</v>
      </c>
      <c r="P2916" t="str">
        <f>IFERROR(VLOOKUP(F2916,Sheet1!$A$2:$B$54,2,FALSE),"")</f>
        <v/>
      </c>
    </row>
    <row r="2917" spans="1:16" x14ac:dyDescent="0.2">
      <c r="A2917" s="1">
        <v>2019</v>
      </c>
      <c r="B2917" t="s">
        <v>353</v>
      </c>
      <c r="C2917" s="10" t="s">
        <v>1678</v>
      </c>
      <c r="D2917" s="10" t="s">
        <v>1679</v>
      </c>
      <c r="E2917" s="10" t="s">
        <v>1682</v>
      </c>
      <c r="F2917" t="s">
        <v>850</v>
      </c>
      <c r="G2917" s="4">
        <v>88175</v>
      </c>
      <c r="H2917" s="4"/>
      <c r="I2917" s="4"/>
      <c r="J2917" s="4">
        <f>SUM(G2917:I2917)</f>
        <v>88175</v>
      </c>
      <c r="K2917" t="s">
        <v>1659</v>
      </c>
      <c r="L2917" t="s">
        <v>1659</v>
      </c>
      <c r="M2917" t="s">
        <v>1452</v>
      </c>
      <c r="N2917" t="s">
        <v>1132</v>
      </c>
      <c r="O2917" t="s">
        <v>1132</v>
      </c>
      <c r="P2917" t="str">
        <f>IFERROR(VLOOKUP(F2917,Sheet1!$A$2:$B$54,2,FALSE),"")</f>
        <v/>
      </c>
    </row>
    <row r="2918" spans="1:16" x14ac:dyDescent="0.2">
      <c r="A2918" s="1">
        <v>2020</v>
      </c>
      <c r="B2918" t="s">
        <v>353</v>
      </c>
      <c r="C2918" s="10" t="s">
        <v>1678</v>
      </c>
      <c r="D2918" s="10" t="s">
        <v>1679</v>
      </c>
      <c r="E2918" s="10" t="s">
        <v>1682</v>
      </c>
      <c r="F2918" t="s">
        <v>850</v>
      </c>
      <c r="G2918" s="4">
        <v>105639</v>
      </c>
      <c r="H2918" s="4"/>
      <c r="I2918" s="4"/>
      <c r="J2918" s="4">
        <f>SUM(G2918:I2918)</f>
        <v>105639</v>
      </c>
      <c r="K2918" t="s">
        <v>1659</v>
      </c>
      <c r="L2918" t="s">
        <v>1659</v>
      </c>
      <c r="M2918" t="s">
        <v>1452</v>
      </c>
      <c r="N2918" t="s">
        <v>1132</v>
      </c>
      <c r="O2918" t="s">
        <v>1132</v>
      </c>
      <c r="P2918" t="str">
        <f>IFERROR(VLOOKUP(F2918,Sheet1!$A$2:$B$54,2,FALSE),"")</f>
        <v/>
      </c>
    </row>
    <row r="2919" spans="1:16" x14ac:dyDescent="0.2">
      <c r="A2919" s="1">
        <v>2021</v>
      </c>
      <c r="B2919" t="s">
        <v>353</v>
      </c>
      <c r="C2919" s="10" t="s">
        <v>1678</v>
      </c>
      <c r="D2919" s="10" t="s">
        <v>1679</v>
      </c>
      <c r="E2919" s="10" t="s">
        <v>1682</v>
      </c>
      <c r="F2919" t="s">
        <v>850</v>
      </c>
      <c r="G2919" s="4">
        <v>123484</v>
      </c>
      <c r="H2919" s="4"/>
      <c r="I2919" s="4"/>
      <c r="J2919" s="4">
        <f>SUM(G2919:I2919)</f>
        <v>123484</v>
      </c>
      <c r="K2919" t="s">
        <v>1659</v>
      </c>
      <c r="L2919" t="s">
        <v>1659</v>
      </c>
      <c r="M2919" t="s">
        <v>850</v>
      </c>
      <c r="N2919" t="s">
        <v>1132</v>
      </c>
      <c r="O2919" t="s">
        <v>1132</v>
      </c>
      <c r="P2919" t="str">
        <f>IFERROR(VLOOKUP(F2919,Sheet1!$A$2:$B$54,2,FALSE),"")</f>
        <v/>
      </c>
    </row>
    <row r="2920" spans="1:16" x14ac:dyDescent="0.2">
      <c r="A2920" s="1">
        <v>2022</v>
      </c>
      <c r="B2920" t="s">
        <v>353</v>
      </c>
      <c r="C2920" s="10" t="s">
        <v>1678</v>
      </c>
      <c r="D2920" s="10" t="s">
        <v>1679</v>
      </c>
      <c r="E2920" s="10" t="s">
        <v>1682</v>
      </c>
      <c r="F2920" t="s">
        <v>850</v>
      </c>
      <c r="G2920" s="4">
        <v>180818</v>
      </c>
      <c r="H2920" s="4"/>
      <c r="I2920" s="4"/>
      <c r="J2920" s="4">
        <f>SUM(G2920:I2920)</f>
        <v>180818</v>
      </c>
      <c r="K2920" t="s">
        <v>1659</v>
      </c>
      <c r="L2920" t="s">
        <v>1659</v>
      </c>
      <c r="M2920" t="s">
        <v>850</v>
      </c>
      <c r="N2920" t="s">
        <v>1132</v>
      </c>
      <c r="O2920" t="s">
        <v>1132</v>
      </c>
      <c r="P2920" t="str">
        <f>IFERROR(VLOOKUP(F2920,Sheet1!$A$2:$B$54,2,FALSE),"")</f>
        <v/>
      </c>
    </row>
    <row r="2921" spans="1:16" x14ac:dyDescent="0.2">
      <c r="A2921" s="1">
        <v>2023</v>
      </c>
      <c r="B2921" t="s">
        <v>353</v>
      </c>
      <c r="C2921" s="10" t="s">
        <v>1678</v>
      </c>
      <c r="D2921" s="10" t="s">
        <v>1679</v>
      </c>
      <c r="E2921" s="10" t="s">
        <v>1682</v>
      </c>
      <c r="F2921" t="s">
        <v>850</v>
      </c>
      <c r="G2921" s="4">
        <v>219450</v>
      </c>
      <c r="H2921" s="4"/>
      <c r="I2921" s="4"/>
      <c r="J2921" s="4">
        <f>SUM(G2921:I2921)</f>
        <v>219450</v>
      </c>
      <c r="K2921" t="s">
        <v>1659</v>
      </c>
      <c r="L2921" t="s">
        <v>1659</v>
      </c>
      <c r="M2921" t="s">
        <v>850</v>
      </c>
      <c r="N2921" t="s">
        <v>1132</v>
      </c>
      <c r="O2921" t="s">
        <v>1132</v>
      </c>
      <c r="P2921" t="str">
        <f>IFERROR(VLOOKUP(F2921,Sheet1!$A$2:$B$54,2,FALSE),"")</f>
        <v/>
      </c>
    </row>
    <row r="2922" spans="1:16" x14ac:dyDescent="0.2">
      <c r="A2922" s="1">
        <v>2015</v>
      </c>
      <c r="B2922" t="s">
        <v>354</v>
      </c>
      <c r="C2922" s="10" t="s">
        <v>1678</v>
      </c>
      <c r="D2922" s="10" t="s">
        <v>1679</v>
      </c>
      <c r="E2922" s="10" t="s">
        <v>1682</v>
      </c>
      <c r="F2922" t="s">
        <v>851</v>
      </c>
      <c r="G2922" s="4">
        <v>4524</v>
      </c>
      <c r="H2922" s="4"/>
      <c r="I2922" s="4"/>
      <c r="J2922" s="4">
        <f>SUM(G2922:I2922)</f>
        <v>4524</v>
      </c>
      <c r="K2922" t="s">
        <v>1659</v>
      </c>
      <c r="L2922" t="s">
        <v>1659</v>
      </c>
      <c r="M2922" t="s">
        <v>1453</v>
      </c>
      <c r="N2922" t="s">
        <v>1132</v>
      </c>
      <c r="O2922" t="s">
        <v>1132</v>
      </c>
      <c r="P2922" t="str">
        <f>IFERROR(VLOOKUP(F2922,Sheet1!$A$2:$B$54,2,FALSE),"")</f>
        <v/>
      </c>
    </row>
    <row r="2923" spans="1:16" x14ac:dyDescent="0.2">
      <c r="A2923" s="1">
        <v>2016</v>
      </c>
      <c r="B2923" t="s">
        <v>354</v>
      </c>
      <c r="C2923" s="10" t="s">
        <v>1678</v>
      </c>
      <c r="D2923" s="10" t="s">
        <v>1679</v>
      </c>
      <c r="E2923" s="10" t="s">
        <v>1682</v>
      </c>
      <c r="F2923" t="s">
        <v>851</v>
      </c>
      <c r="G2923" s="4">
        <v>4696</v>
      </c>
      <c r="H2923" s="4"/>
      <c r="I2923" s="4"/>
      <c r="J2923" s="4">
        <f>SUM(G2923:I2923)</f>
        <v>4696</v>
      </c>
      <c r="K2923" t="s">
        <v>1659</v>
      </c>
      <c r="L2923" t="s">
        <v>1659</v>
      </c>
      <c r="M2923" t="s">
        <v>1453</v>
      </c>
      <c r="N2923" t="s">
        <v>1132</v>
      </c>
      <c r="O2923" t="s">
        <v>1132</v>
      </c>
      <c r="P2923" t="str">
        <f>IFERROR(VLOOKUP(F2923,Sheet1!$A$2:$B$54,2,FALSE),"")</f>
        <v/>
      </c>
    </row>
    <row r="2924" spans="1:16" x14ac:dyDescent="0.2">
      <c r="A2924" s="1">
        <v>2017</v>
      </c>
      <c r="B2924" t="s">
        <v>354</v>
      </c>
      <c r="C2924" s="10" t="s">
        <v>1678</v>
      </c>
      <c r="D2924" s="10" t="s">
        <v>1679</v>
      </c>
      <c r="E2924" s="10" t="s">
        <v>1682</v>
      </c>
      <c r="F2924" t="s">
        <v>851</v>
      </c>
      <c r="G2924" s="4">
        <v>4996</v>
      </c>
      <c r="H2924" s="4"/>
      <c r="I2924" s="4"/>
      <c r="J2924" s="4">
        <f>SUM(G2924:I2924)</f>
        <v>4996</v>
      </c>
      <c r="K2924" t="s">
        <v>1659</v>
      </c>
      <c r="L2924" t="s">
        <v>1659</v>
      </c>
      <c r="M2924" t="s">
        <v>1454</v>
      </c>
      <c r="N2924" t="s">
        <v>1132</v>
      </c>
      <c r="O2924" t="s">
        <v>1132</v>
      </c>
      <c r="P2924" t="str">
        <f>IFERROR(VLOOKUP(F2924,Sheet1!$A$2:$B$54,2,FALSE),"")</f>
        <v/>
      </c>
    </row>
    <row r="2925" spans="1:16" x14ac:dyDescent="0.2">
      <c r="A2925" s="1">
        <v>2018</v>
      </c>
      <c r="B2925" t="s">
        <v>354</v>
      </c>
      <c r="C2925" s="10" t="s">
        <v>1678</v>
      </c>
      <c r="D2925" s="10" t="s">
        <v>1679</v>
      </c>
      <c r="E2925" s="10" t="s">
        <v>1682</v>
      </c>
      <c r="F2925" t="s">
        <v>851</v>
      </c>
      <c r="G2925" s="4">
        <v>5417</v>
      </c>
      <c r="H2925" s="4"/>
      <c r="I2925" s="4"/>
      <c r="J2925" s="4">
        <f>SUM(G2925:I2925)</f>
        <v>5417</v>
      </c>
      <c r="K2925" t="s">
        <v>1659</v>
      </c>
      <c r="L2925" t="s">
        <v>1659</v>
      </c>
      <c r="M2925" t="s">
        <v>1454</v>
      </c>
      <c r="N2925" t="s">
        <v>1132</v>
      </c>
      <c r="O2925" t="s">
        <v>1132</v>
      </c>
      <c r="P2925" t="str">
        <f>IFERROR(VLOOKUP(F2925,Sheet1!$A$2:$B$54,2,FALSE),"")</f>
        <v/>
      </c>
    </row>
    <row r="2926" spans="1:16" x14ac:dyDescent="0.2">
      <c r="A2926" s="1">
        <v>2019</v>
      </c>
      <c r="B2926" t="s">
        <v>354</v>
      </c>
      <c r="C2926" s="10" t="s">
        <v>1678</v>
      </c>
      <c r="D2926" s="10" t="s">
        <v>1679</v>
      </c>
      <c r="E2926" s="10" t="s">
        <v>1682</v>
      </c>
      <c r="F2926" t="s">
        <v>851</v>
      </c>
      <c r="G2926" s="4">
        <v>11735</v>
      </c>
      <c r="H2926" s="4"/>
      <c r="I2926" s="4"/>
      <c r="J2926" s="4">
        <f>SUM(G2926:I2926)</f>
        <v>11735</v>
      </c>
      <c r="K2926" t="s">
        <v>1659</v>
      </c>
      <c r="L2926" t="s">
        <v>1659</v>
      </c>
      <c r="M2926" t="s">
        <v>1455</v>
      </c>
      <c r="N2926" t="s">
        <v>1132</v>
      </c>
      <c r="O2926" t="s">
        <v>1132</v>
      </c>
      <c r="P2926" t="str">
        <f>IFERROR(VLOOKUP(F2926,Sheet1!$A$2:$B$54,2,FALSE),"")</f>
        <v/>
      </c>
    </row>
    <row r="2927" spans="1:16" x14ac:dyDescent="0.2">
      <c r="A2927" s="1">
        <v>2020</v>
      </c>
      <c r="B2927" t="s">
        <v>354</v>
      </c>
      <c r="C2927" s="10" t="s">
        <v>1678</v>
      </c>
      <c r="D2927" s="10" t="s">
        <v>1679</v>
      </c>
      <c r="E2927" s="10" t="s">
        <v>1682</v>
      </c>
      <c r="F2927" t="s">
        <v>851</v>
      </c>
      <c r="G2927" s="4">
        <v>13053</v>
      </c>
      <c r="H2927" s="4"/>
      <c r="I2927" s="4"/>
      <c r="J2927" s="4">
        <f>SUM(G2927:I2927)</f>
        <v>13053</v>
      </c>
      <c r="K2927" t="s">
        <v>1659</v>
      </c>
      <c r="L2927" t="s">
        <v>1659</v>
      </c>
      <c r="M2927" t="s">
        <v>1454</v>
      </c>
      <c r="N2927" t="s">
        <v>1132</v>
      </c>
      <c r="O2927" t="s">
        <v>1132</v>
      </c>
      <c r="P2927" t="str">
        <f>IFERROR(VLOOKUP(F2927,Sheet1!$A$2:$B$54,2,FALSE),"")</f>
        <v/>
      </c>
    </row>
    <row r="2928" spans="1:16" x14ac:dyDescent="0.2">
      <c r="A2928" s="1">
        <v>2021</v>
      </c>
      <c r="B2928" t="s">
        <v>354</v>
      </c>
      <c r="C2928" s="10" t="s">
        <v>1678</v>
      </c>
      <c r="D2928" s="10" t="s">
        <v>1679</v>
      </c>
      <c r="E2928" s="10" t="s">
        <v>1682</v>
      </c>
      <c r="F2928" t="s">
        <v>851</v>
      </c>
      <c r="G2928" s="4">
        <v>14013</v>
      </c>
      <c r="H2928" s="4"/>
      <c r="I2928" s="4"/>
      <c r="J2928" s="4">
        <f>SUM(G2928:I2928)</f>
        <v>14013</v>
      </c>
      <c r="K2928" t="s">
        <v>1659</v>
      </c>
      <c r="L2928" t="s">
        <v>1659</v>
      </c>
      <c r="M2928" t="s">
        <v>851</v>
      </c>
      <c r="N2928" t="s">
        <v>1132</v>
      </c>
      <c r="O2928" t="s">
        <v>1132</v>
      </c>
      <c r="P2928" t="str">
        <f>IFERROR(VLOOKUP(F2928,Sheet1!$A$2:$B$54,2,FALSE),"")</f>
        <v/>
      </c>
    </row>
    <row r="2929" spans="1:16" x14ac:dyDescent="0.2">
      <c r="A2929" s="1">
        <v>2022</v>
      </c>
      <c r="B2929" t="s">
        <v>354</v>
      </c>
      <c r="C2929" s="10" t="s">
        <v>1678</v>
      </c>
      <c r="D2929" s="10" t="s">
        <v>1679</v>
      </c>
      <c r="E2929" s="10" t="s">
        <v>1682</v>
      </c>
      <c r="F2929" t="s">
        <v>851</v>
      </c>
      <c r="G2929" s="4">
        <v>18465</v>
      </c>
      <c r="H2929" s="4"/>
      <c r="I2929" s="4"/>
      <c r="J2929" s="4">
        <f>SUM(G2929:I2929)</f>
        <v>18465</v>
      </c>
      <c r="K2929" t="s">
        <v>1659</v>
      </c>
      <c r="L2929" t="s">
        <v>1659</v>
      </c>
      <c r="M2929" t="s">
        <v>851</v>
      </c>
      <c r="N2929" t="s">
        <v>1132</v>
      </c>
      <c r="O2929" t="s">
        <v>1132</v>
      </c>
      <c r="P2929" t="str">
        <f>IFERROR(VLOOKUP(F2929,Sheet1!$A$2:$B$54,2,FALSE),"")</f>
        <v/>
      </c>
    </row>
    <row r="2930" spans="1:16" x14ac:dyDescent="0.2">
      <c r="A2930" s="1">
        <v>2023</v>
      </c>
      <c r="B2930" t="s">
        <v>354</v>
      </c>
      <c r="C2930" s="10" t="s">
        <v>1678</v>
      </c>
      <c r="D2930" s="10" t="s">
        <v>1679</v>
      </c>
      <c r="E2930" s="10" t="s">
        <v>1682</v>
      </c>
      <c r="F2930" t="s">
        <v>851</v>
      </c>
      <c r="G2930" s="4">
        <v>24281</v>
      </c>
      <c r="H2930" s="4"/>
      <c r="I2930" s="4"/>
      <c r="J2930" s="4">
        <f>SUM(G2930:I2930)</f>
        <v>24281</v>
      </c>
      <c r="K2930" t="s">
        <v>1659</v>
      </c>
      <c r="L2930" t="s">
        <v>1659</v>
      </c>
      <c r="M2930" t="s">
        <v>851</v>
      </c>
      <c r="N2930" t="s">
        <v>1132</v>
      </c>
      <c r="O2930" t="s">
        <v>1132</v>
      </c>
      <c r="P2930" t="str">
        <f>IFERROR(VLOOKUP(F2930,Sheet1!$A$2:$B$54,2,FALSE),"")</f>
        <v/>
      </c>
    </row>
    <row r="2931" spans="1:16" x14ac:dyDescent="0.2">
      <c r="A2931" s="1">
        <v>2015</v>
      </c>
      <c r="B2931" t="s">
        <v>355</v>
      </c>
      <c r="C2931" s="10" t="s">
        <v>1678</v>
      </c>
      <c r="D2931" s="10" t="s">
        <v>1679</v>
      </c>
      <c r="E2931" s="10" t="s">
        <v>1682</v>
      </c>
      <c r="F2931" t="s">
        <v>852</v>
      </c>
      <c r="G2931" s="4">
        <v>10526</v>
      </c>
      <c r="H2931" s="4"/>
      <c r="I2931" s="4"/>
      <c r="J2931" s="4">
        <f>SUM(G2931:I2931)</f>
        <v>10526</v>
      </c>
      <c r="K2931" t="s">
        <v>1659</v>
      </c>
      <c r="L2931" t="s">
        <v>1659</v>
      </c>
      <c r="M2931" t="s">
        <v>1456</v>
      </c>
      <c r="N2931" t="s">
        <v>1132</v>
      </c>
      <c r="O2931" t="s">
        <v>1132</v>
      </c>
      <c r="P2931" t="str">
        <f>IFERROR(VLOOKUP(F2931,Sheet1!$A$2:$B$54,2,FALSE),"")</f>
        <v/>
      </c>
    </row>
    <row r="2932" spans="1:16" x14ac:dyDescent="0.2">
      <c r="A2932" s="1">
        <v>2016</v>
      </c>
      <c r="B2932" t="s">
        <v>355</v>
      </c>
      <c r="C2932" s="10" t="s">
        <v>1678</v>
      </c>
      <c r="D2932" s="10" t="s">
        <v>1679</v>
      </c>
      <c r="E2932" s="10" t="s">
        <v>1682</v>
      </c>
      <c r="F2932" t="s">
        <v>852</v>
      </c>
      <c r="G2932" s="4">
        <v>15732</v>
      </c>
      <c r="H2932" s="4"/>
      <c r="I2932" s="4"/>
      <c r="J2932" s="4">
        <f>SUM(G2932:I2932)</f>
        <v>15732</v>
      </c>
      <c r="K2932" t="s">
        <v>1659</v>
      </c>
      <c r="L2932" t="s">
        <v>1659</v>
      </c>
      <c r="M2932" t="s">
        <v>1456</v>
      </c>
      <c r="N2932" t="s">
        <v>1132</v>
      </c>
      <c r="O2932" t="s">
        <v>1132</v>
      </c>
      <c r="P2932" t="str">
        <f>IFERROR(VLOOKUP(F2932,Sheet1!$A$2:$B$54,2,FALSE),"")</f>
        <v/>
      </c>
    </row>
    <row r="2933" spans="1:16" x14ac:dyDescent="0.2">
      <c r="A2933" s="1">
        <v>2017</v>
      </c>
      <c r="B2933" t="s">
        <v>355</v>
      </c>
      <c r="C2933" s="10" t="s">
        <v>1678</v>
      </c>
      <c r="D2933" s="10" t="s">
        <v>1679</v>
      </c>
      <c r="E2933" s="10" t="s">
        <v>1682</v>
      </c>
      <c r="F2933" t="s">
        <v>852</v>
      </c>
      <c r="G2933" s="4">
        <v>25923</v>
      </c>
      <c r="H2933" s="4"/>
      <c r="I2933" s="4"/>
      <c r="J2933" s="4">
        <f>SUM(G2933:I2933)</f>
        <v>25923</v>
      </c>
      <c r="K2933" t="s">
        <v>1659</v>
      </c>
      <c r="L2933" t="s">
        <v>1659</v>
      </c>
      <c r="M2933" t="s">
        <v>1457</v>
      </c>
      <c r="N2933" t="s">
        <v>1132</v>
      </c>
      <c r="O2933" t="s">
        <v>1132</v>
      </c>
      <c r="P2933" t="str">
        <f>IFERROR(VLOOKUP(F2933,Sheet1!$A$2:$B$54,2,FALSE),"")</f>
        <v/>
      </c>
    </row>
    <row r="2934" spans="1:16" x14ac:dyDescent="0.2">
      <c r="A2934" s="1">
        <v>2018</v>
      </c>
      <c r="B2934" t="s">
        <v>355</v>
      </c>
      <c r="C2934" s="10" t="s">
        <v>1678</v>
      </c>
      <c r="D2934" s="10" t="s">
        <v>1679</v>
      </c>
      <c r="E2934" s="10" t="s">
        <v>1682</v>
      </c>
      <c r="F2934" t="s">
        <v>852</v>
      </c>
      <c r="G2934" s="4">
        <v>40308</v>
      </c>
      <c r="H2934" s="4"/>
      <c r="I2934" s="4"/>
      <c r="J2934" s="4">
        <f>SUM(G2934:I2934)</f>
        <v>40308</v>
      </c>
      <c r="K2934" t="s">
        <v>1659</v>
      </c>
      <c r="L2934" t="s">
        <v>1659</v>
      </c>
      <c r="M2934" t="s">
        <v>1457</v>
      </c>
      <c r="N2934" t="s">
        <v>1132</v>
      </c>
      <c r="O2934" t="s">
        <v>1132</v>
      </c>
      <c r="P2934" t="str">
        <f>IFERROR(VLOOKUP(F2934,Sheet1!$A$2:$B$54,2,FALSE),"")</f>
        <v/>
      </c>
    </row>
    <row r="2935" spans="1:16" x14ac:dyDescent="0.2">
      <c r="A2935" s="1">
        <v>2019</v>
      </c>
      <c r="B2935" t="s">
        <v>355</v>
      </c>
      <c r="C2935" s="10" t="s">
        <v>1678</v>
      </c>
      <c r="D2935" s="10" t="s">
        <v>1679</v>
      </c>
      <c r="E2935" s="10" t="s">
        <v>1682</v>
      </c>
      <c r="F2935" t="s">
        <v>852</v>
      </c>
      <c r="G2935" s="4">
        <v>45800</v>
      </c>
      <c r="H2935" s="4"/>
      <c r="I2935" s="4"/>
      <c r="J2935" s="4">
        <f>SUM(G2935:I2935)</f>
        <v>45800</v>
      </c>
      <c r="K2935" t="s">
        <v>1659</v>
      </c>
      <c r="L2935" t="s">
        <v>1659</v>
      </c>
      <c r="M2935" t="s">
        <v>1457</v>
      </c>
      <c r="N2935" t="s">
        <v>1132</v>
      </c>
      <c r="O2935" t="s">
        <v>1132</v>
      </c>
      <c r="P2935" t="str">
        <f>IFERROR(VLOOKUP(F2935,Sheet1!$A$2:$B$54,2,FALSE),"")</f>
        <v/>
      </c>
    </row>
    <row r="2936" spans="1:16" x14ac:dyDescent="0.2">
      <c r="A2936" s="1">
        <v>2020</v>
      </c>
      <c r="B2936" t="s">
        <v>355</v>
      </c>
      <c r="C2936" s="10" t="s">
        <v>1678</v>
      </c>
      <c r="D2936" s="10" t="s">
        <v>1679</v>
      </c>
      <c r="E2936" s="10" t="s">
        <v>1682</v>
      </c>
      <c r="F2936" t="s">
        <v>852</v>
      </c>
      <c r="G2936" s="4">
        <v>56347</v>
      </c>
      <c r="H2936" s="4"/>
      <c r="I2936" s="4"/>
      <c r="J2936" s="4">
        <f>SUM(G2936:I2936)</f>
        <v>56347</v>
      </c>
      <c r="K2936" t="s">
        <v>1659</v>
      </c>
      <c r="L2936" t="s">
        <v>1659</v>
      </c>
      <c r="M2936" t="s">
        <v>1457</v>
      </c>
      <c r="N2936" t="s">
        <v>1132</v>
      </c>
      <c r="O2936" t="s">
        <v>1132</v>
      </c>
      <c r="P2936" t="str">
        <f>IFERROR(VLOOKUP(F2936,Sheet1!$A$2:$B$54,2,FALSE),"")</f>
        <v/>
      </c>
    </row>
    <row r="2937" spans="1:16" x14ac:dyDescent="0.2">
      <c r="A2937" s="1">
        <v>2021</v>
      </c>
      <c r="B2937" t="s">
        <v>355</v>
      </c>
      <c r="C2937" s="10" t="s">
        <v>1678</v>
      </c>
      <c r="D2937" s="10" t="s">
        <v>1679</v>
      </c>
      <c r="E2937" s="10" t="s">
        <v>1682</v>
      </c>
      <c r="F2937" t="s">
        <v>852</v>
      </c>
      <c r="G2937" s="4">
        <v>64605</v>
      </c>
      <c r="H2937" s="4"/>
      <c r="I2937" s="4"/>
      <c r="J2937" s="4">
        <f>SUM(G2937:I2937)</f>
        <v>64605</v>
      </c>
      <c r="K2937" t="s">
        <v>1659</v>
      </c>
      <c r="L2937" t="s">
        <v>1659</v>
      </c>
      <c r="M2937" t="s">
        <v>852</v>
      </c>
      <c r="N2937" t="s">
        <v>1132</v>
      </c>
      <c r="O2937" t="s">
        <v>1132</v>
      </c>
      <c r="P2937" t="str">
        <f>IFERROR(VLOOKUP(F2937,Sheet1!$A$2:$B$54,2,FALSE),"")</f>
        <v/>
      </c>
    </row>
    <row r="2938" spans="1:16" x14ac:dyDescent="0.2">
      <c r="A2938" s="1">
        <v>2022</v>
      </c>
      <c r="B2938" t="s">
        <v>355</v>
      </c>
      <c r="C2938" s="10" t="s">
        <v>1678</v>
      </c>
      <c r="D2938" s="10" t="s">
        <v>1679</v>
      </c>
      <c r="E2938" s="10" t="s">
        <v>1682</v>
      </c>
      <c r="F2938" t="s">
        <v>852</v>
      </c>
      <c r="G2938" s="4">
        <v>75221</v>
      </c>
      <c r="H2938" s="4"/>
      <c r="I2938" s="4"/>
      <c r="J2938" s="4">
        <f>SUM(G2938:I2938)</f>
        <v>75221</v>
      </c>
      <c r="K2938" t="s">
        <v>1659</v>
      </c>
      <c r="L2938" t="s">
        <v>1659</v>
      </c>
      <c r="M2938" t="s">
        <v>852</v>
      </c>
      <c r="N2938" t="s">
        <v>1132</v>
      </c>
      <c r="O2938" t="s">
        <v>1132</v>
      </c>
      <c r="P2938" t="str">
        <f>IFERROR(VLOOKUP(F2938,Sheet1!$A$2:$B$54,2,FALSE),"")</f>
        <v/>
      </c>
    </row>
    <row r="2939" spans="1:16" x14ac:dyDescent="0.2">
      <c r="A2939" s="1">
        <v>2023</v>
      </c>
      <c r="B2939" t="s">
        <v>355</v>
      </c>
      <c r="C2939" s="10" t="s">
        <v>1678</v>
      </c>
      <c r="D2939" s="10" t="s">
        <v>1679</v>
      </c>
      <c r="E2939" s="10" t="s">
        <v>1682</v>
      </c>
      <c r="F2939" t="s">
        <v>852</v>
      </c>
      <c r="G2939" s="4">
        <v>85565</v>
      </c>
      <c r="H2939" s="4"/>
      <c r="I2939" s="4"/>
      <c r="J2939" s="4">
        <f>SUM(G2939:I2939)</f>
        <v>85565</v>
      </c>
      <c r="K2939" t="s">
        <v>1659</v>
      </c>
      <c r="L2939" t="s">
        <v>1659</v>
      </c>
      <c r="M2939" t="s">
        <v>852</v>
      </c>
      <c r="N2939" t="s">
        <v>1132</v>
      </c>
      <c r="O2939" t="s">
        <v>1132</v>
      </c>
      <c r="P2939" t="str">
        <f>IFERROR(VLOOKUP(F2939,Sheet1!$A$2:$B$54,2,FALSE),"")</f>
        <v/>
      </c>
    </row>
    <row r="2940" spans="1:16" x14ac:dyDescent="0.2">
      <c r="A2940" s="1">
        <v>2015</v>
      </c>
      <c r="B2940" t="s">
        <v>356</v>
      </c>
      <c r="C2940" s="10" t="s">
        <v>1678</v>
      </c>
      <c r="D2940" s="10" t="s">
        <v>1679</v>
      </c>
      <c r="E2940" s="10" t="s">
        <v>1682</v>
      </c>
      <c r="F2940" t="s">
        <v>853</v>
      </c>
      <c r="G2940" s="4">
        <v>7129</v>
      </c>
      <c r="H2940" s="4"/>
      <c r="I2940" s="4"/>
      <c r="J2940" s="4">
        <f>SUM(G2940:I2940)</f>
        <v>7129</v>
      </c>
      <c r="K2940" t="s">
        <v>1659</v>
      </c>
      <c r="L2940" t="s">
        <v>1659</v>
      </c>
      <c r="M2940" t="s">
        <v>1458</v>
      </c>
      <c r="N2940" t="s">
        <v>1132</v>
      </c>
      <c r="O2940" t="s">
        <v>1132</v>
      </c>
      <c r="P2940" t="str">
        <f>IFERROR(VLOOKUP(F2940,Sheet1!$A$2:$B$54,2,FALSE),"")</f>
        <v/>
      </c>
    </row>
    <row r="2941" spans="1:16" x14ac:dyDescent="0.2">
      <c r="A2941" s="1">
        <v>2016</v>
      </c>
      <c r="B2941" t="s">
        <v>356</v>
      </c>
      <c r="C2941" s="10" t="s">
        <v>1678</v>
      </c>
      <c r="D2941" s="10" t="s">
        <v>1679</v>
      </c>
      <c r="E2941" s="10" t="s">
        <v>1682</v>
      </c>
      <c r="F2941" t="s">
        <v>853</v>
      </c>
      <c r="G2941" s="4">
        <v>7497</v>
      </c>
      <c r="H2941" s="4"/>
      <c r="I2941" s="4"/>
      <c r="J2941" s="4">
        <f>SUM(G2941:I2941)</f>
        <v>7497</v>
      </c>
      <c r="K2941" t="s">
        <v>1659</v>
      </c>
      <c r="L2941" t="s">
        <v>1659</v>
      </c>
      <c r="M2941" t="s">
        <v>1458</v>
      </c>
      <c r="N2941" t="s">
        <v>1132</v>
      </c>
      <c r="O2941" t="s">
        <v>1132</v>
      </c>
      <c r="P2941" t="str">
        <f>IFERROR(VLOOKUP(F2941,Sheet1!$A$2:$B$54,2,FALSE),"")</f>
        <v/>
      </c>
    </row>
    <row r="2942" spans="1:16" x14ac:dyDescent="0.2">
      <c r="A2942" s="1">
        <v>2017</v>
      </c>
      <c r="B2942" t="s">
        <v>356</v>
      </c>
      <c r="C2942" s="10" t="s">
        <v>1678</v>
      </c>
      <c r="D2942" s="10" t="s">
        <v>1679</v>
      </c>
      <c r="E2942" s="10" t="s">
        <v>1682</v>
      </c>
      <c r="F2942" t="s">
        <v>853</v>
      </c>
      <c r="G2942" s="4">
        <v>8075</v>
      </c>
      <c r="H2942" s="4"/>
      <c r="I2942" s="4"/>
      <c r="J2942" s="4">
        <f>SUM(G2942:I2942)</f>
        <v>8075</v>
      </c>
      <c r="K2942" t="s">
        <v>1659</v>
      </c>
      <c r="L2942" t="s">
        <v>1659</v>
      </c>
      <c r="M2942" t="s">
        <v>1459</v>
      </c>
      <c r="N2942" t="s">
        <v>1132</v>
      </c>
      <c r="O2942" t="s">
        <v>1132</v>
      </c>
      <c r="P2942" t="str">
        <f>IFERROR(VLOOKUP(F2942,Sheet1!$A$2:$B$54,2,FALSE),"")</f>
        <v/>
      </c>
    </row>
    <row r="2943" spans="1:16" x14ac:dyDescent="0.2">
      <c r="A2943" s="1">
        <v>2018</v>
      </c>
      <c r="B2943" t="s">
        <v>356</v>
      </c>
      <c r="C2943" s="10" t="s">
        <v>1678</v>
      </c>
      <c r="D2943" s="10" t="s">
        <v>1679</v>
      </c>
      <c r="E2943" s="10" t="s">
        <v>1682</v>
      </c>
      <c r="F2943" t="s">
        <v>853</v>
      </c>
      <c r="G2943" s="4">
        <v>9010</v>
      </c>
      <c r="H2943" s="4"/>
      <c r="I2943" s="4"/>
      <c r="J2943" s="4">
        <f>SUM(G2943:I2943)</f>
        <v>9010</v>
      </c>
      <c r="K2943" t="s">
        <v>1659</v>
      </c>
      <c r="L2943" t="s">
        <v>1659</v>
      </c>
      <c r="M2943" t="s">
        <v>1459</v>
      </c>
      <c r="N2943" t="s">
        <v>1132</v>
      </c>
      <c r="O2943" t="s">
        <v>1132</v>
      </c>
      <c r="P2943" t="str">
        <f>IFERROR(VLOOKUP(F2943,Sheet1!$A$2:$B$54,2,FALSE),"")</f>
        <v/>
      </c>
    </row>
    <row r="2944" spans="1:16" x14ac:dyDescent="0.2">
      <c r="A2944" s="1">
        <v>2019</v>
      </c>
      <c r="B2944" t="s">
        <v>356</v>
      </c>
      <c r="C2944" s="10" t="s">
        <v>1678</v>
      </c>
      <c r="D2944" s="10" t="s">
        <v>1679</v>
      </c>
      <c r="E2944" s="10" t="s">
        <v>1682</v>
      </c>
      <c r="F2944" t="s">
        <v>853</v>
      </c>
      <c r="G2944" s="4">
        <v>12868</v>
      </c>
      <c r="H2944" s="4"/>
      <c r="I2944" s="4"/>
      <c r="J2944" s="4">
        <f>SUM(G2944:I2944)</f>
        <v>12868</v>
      </c>
      <c r="K2944" t="s">
        <v>1659</v>
      </c>
      <c r="L2944" t="s">
        <v>1659</v>
      </c>
      <c r="M2944" t="s">
        <v>1459</v>
      </c>
      <c r="N2944" t="s">
        <v>1132</v>
      </c>
      <c r="O2944" t="s">
        <v>1132</v>
      </c>
      <c r="P2944" t="str">
        <f>IFERROR(VLOOKUP(F2944,Sheet1!$A$2:$B$54,2,FALSE),"")</f>
        <v/>
      </c>
    </row>
    <row r="2945" spans="1:16" x14ac:dyDescent="0.2">
      <c r="A2945" s="1">
        <v>2020</v>
      </c>
      <c r="B2945" t="s">
        <v>356</v>
      </c>
      <c r="C2945" s="10" t="s">
        <v>1678</v>
      </c>
      <c r="D2945" s="10" t="s">
        <v>1679</v>
      </c>
      <c r="E2945" s="10" t="s">
        <v>1682</v>
      </c>
      <c r="F2945" t="s">
        <v>853</v>
      </c>
      <c r="G2945" s="4">
        <v>18943</v>
      </c>
      <c r="H2945" s="4"/>
      <c r="I2945" s="4"/>
      <c r="J2945" s="4">
        <f>SUM(G2945:I2945)</f>
        <v>18943</v>
      </c>
      <c r="K2945" t="s">
        <v>1659</v>
      </c>
      <c r="L2945" t="s">
        <v>1659</v>
      </c>
      <c r="M2945" t="s">
        <v>1459</v>
      </c>
      <c r="N2945" t="s">
        <v>1132</v>
      </c>
      <c r="O2945" t="s">
        <v>1132</v>
      </c>
      <c r="P2945" t="str">
        <f>IFERROR(VLOOKUP(F2945,Sheet1!$A$2:$B$54,2,FALSE),"")</f>
        <v/>
      </c>
    </row>
    <row r="2946" spans="1:16" x14ac:dyDescent="0.2">
      <c r="A2946" s="1">
        <v>2021</v>
      </c>
      <c r="B2946" t="s">
        <v>356</v>
      </c>
      <c r="C2946" s="10" t="s">
        <v>1678</v>
      </c>
      <c r="D2946" s="10" t="s">
        <v>1679</v>
      </c>
      <c r="E2946" s="10" t="s">
        <v>1682</v>
      </c>
      <c r="F2946" t="s">
        <v>853</v>
      </c>
      <c r="G2946" s="4">
        <v>23330</v>
      </c>
      <c r="H2946" s="4"/>
      <c r="I2946" s="4"/>
      <c r="J2946" s="4">
        <f>SUM(G2946:I2946)</f>
        <v>23330</v>
      </c>
      <c r="K2946" t="s">
        <v>1659</v>
      </c>
      <c r="L2946" t="s">
        <v>1659</v>
      </c>
      <c r="M2946" t="s">
        <v>853</v>
      </c>
      <c r="N2946" t="s">
        <v>1132</v>
      </c>
      <c r="O2946" t="s">
        <v>1132</v>
      </c>
      <c r="P2946" t="str">
        <f>IFERROR(VLOOKUP(F2946,Sheet1!$A$2:$B$54,2,FALSE),"")</f>
        <v/>
      </c>
    </row>
    <row r="2947" spans="1:16" x14ac:dyDescent="0.2">
      <c r="A2947" s="1">
        <v>2022</v>
      </c>
      <c r="B2947" t="s">
        <v>356</v>
      </c>
      <c r="C2947" s="10" t="s">
        <v>1678</v>
      </c>
      <c r="D2947" s="10" t="s">
        <v>1679</v>
      </c>
      <c r="E2947" s="10" t="s">
        <v>1682</v>
      </c>
      <c r="F2947" t="s">
        <v>853</v>
      </c>
      <c r="G2947" s="4">
        <v>26127</v>
      </c>
      <c r="H2947" s="4"/>
      <c r="I2947" s="4"/>
      <c r="J2947" s="4">
        <f>SUM(G2947:I2947)</f>
        <v>26127</v>
      </c>
      <c r="K2947" t="s">
        <v>1659</v>
      </c>
      <c r="L2947" t="s">
        <v>1659</v>
      </c>
      <c r="M2947" t="s">
        <v>853</v>
      </c>
      <c r="N2947" t="s">
        <v>1132</v>
      </c>
      <c r="O2947" t="s">
        <v>1132</v>
      </c>
      <c r="P2947" t="str">
        <f>IFERROR(VLOOKUP(F2947,Sheet1!$A$2:$B$54,2,FALSE),"")</f>
        <v/>
      </c>
    </row>
    <row r="2948" spans="1:16" x14ac:dyDescent="0.2">
      <c r="A2948" s="1">
        <v>2023</v>
      </c>
      <c r="B2948" t="s">
        <v>356</v>
      </c>
      <c r="C2948" s="10" t="s">
        <v>1678</v>
      </c>
      <c r="D2948" s="10" t="s">
        <v>1679</v>
      </c>
      <c r="E2948" s="10" t="s">
        <v>1682</v>
      </c>
      <c r="F2948" t="s">
        <v>853</v>
      </c>
      <c r="G2948" s="4">
        <v>30361</v>
      </c>
      <c r="H2948" s="4"/>
      <c r="I2948" s="4"/>
      <c r="J2948" s="4">
        <f>SUM(G2948:I2948)</f>
        <v>30361</v>
      </c>
      <c r="K2948" t="s">
        <v>1659</v>
      </c>
      <c r="L2948" t="s">
        <v>1659</v>
      </c>
      <c r="M2948" t="s">
        <v>853</v>
      </c>
      <c r="N2948" t="s">
        <v>1132</v>
      </c>
      <c r="O2948" t="s">
        <v>1132</v>
      </c>
      <c r="P2948" t="str">
        <f>IFERROR(VLOOKUP(F2948,Sheet1!$A$2:$B$54,2,FALSE),"")</f>
        <v/>
      </c>
    </row>
    <row r="2949" spans="1:16" x14ac:dyDescent="0.2">
      <c r="A2949" s="1">
        <v>2015</v>
      </c>
      <c r="B2949" t="s">
        <v>357</v>
      </c>
      <c r="C2949" s="10" t="s">
        <v>1678</v>
      </c>
      <c r="D2949" s="10" t="s">
        <v>1679</v>
      </c>
      <c r="E2949" s="10" t="s">
        <v>1682</v>
      </c>
      <c r="F2949" t="s">
        <v>854</v>
      </c>
      <c r="G2949" s="4">
        <v>38469</v>
      </c>
      <c r="H2949" s="4"/>
      <c r="I2949" s="4"/>
      <c r="J2949" s="4">
        <f>SUM(G2949:I2949)</f>
        <v>38469</v>
      </c>
      <c r="K2949" t="s">
        <v>1659</v>
      </c>
      <c r="L2949" t="s">
        <v>1659</v>
      </c>
      <c r="M2949" t="s">
        <v>1460</v>
      </c>
      <c r="N2949" t="s">
        <v>1132</v>
      </c>
      <c r="O2949" t="s">
        <v>1132</v>
      </c>
      <c r="P2949" t="str">
        <f>IFERROR(VLOOKUP(F2949,Sheet1!$A$2:$B$54,2,FALSE),"")</f>
        <v/>
      </c>
    </row>
    <row r="2950" spans="1:16" x14ac:dyDescent="0.2">
      <c r="A2950" s="1">
        <v>2016</v>
      </c>
      <c r="B2950" t="s">
        <v>357</v>
      </c>
      <c r="C2950" s="10" t="s">
        <v>1678</v>
      </c>
      <c r="D2950" s="10" t="s">
        <v>1679</v>
      </c>
      <c r="E2950" s="10" t="s">
        <v>1682</v>
      </c>
      <c r="F2950" t="s">
        <v>854</v>
      </c>
      <c r="G2950" s="4">
        <v>42111</v>
      </c>
      <c r="H2950" s="4"/>
      <c r="I2950" s="4"/>
      <c r="J2950" s="4">
        <f>SUM(G2950:I2950)</f>
        <v>42111</v>
      </c>
      <c r="K2950" t="s">
        <v>1659</v>
      </c>
      <c r="L2950" t="s">
        <v>1659</v>
      </c>
      <c r="M2950" t="s">
        <v>1460</v>
      </c>
      <c r="N2950" t="s">
        <v>1132</v>
      </c>
      <c r="O2950" t="s">
        <v>1132</v>
      </c>
      <c r="P2950" t="str">
        <f>IFERROR(VLOOKUP(F2950,Sheet1!$A$2:$B$54,2,FALSE),"")</f>
        <v/>
      </c>
    </row>
    <row r="2951" spans="1:16" x14ac:dyDescent="0.2">
      <c r="A2951" s="1">
        <v>2017</v>
      </c>
      <c r="B2951" t="s">
        <v>357</v>
      </c>
      <c r="C2951" s="10" t="s">
        <v>1678</v>
      </c>
      <c r="D2951" s="10" t="s">
        <v>1679</v>
      </c>
      <c r="E2951" s="10" t="s">
        <v>1682</v>
      </c>
      <c r="F2951" t="s">
        <v>854</v>
      </c>
      <c r="G2951" s="4">
        <v>47612</v>
      </c>
      <c r="H2951" s="4"/>
      <c r="I2951" s="4"/>
      <c r="J2951" s="4">
        <f>SUM(G2951:I2951)</f>
        <v>47612</v>
      </c>
      <c r="K2951" t="s">
        <v>1659</v>
      </c>
      <c r="L2951" t="s">
        <v>1659</v>
      </c>
      <c r="M2951" t="s">
        <v>1461</v>
      </c>
      <c r="N2951" t="s">
        <v>1132</v>
      </c>
      <c r="O2951" t="s">
        <v>1132</v>
      </c>
      <c r="P2951" t="str">
        <f>IFERROR(VLOOKUP(F2951,Sheet1!$A$2:$B$54,2,FALSE),"")</f>
        <v/>
      </c>
    </row>
    <row r="2952" spans="1:16" x14ac:dyDescent="0.2">
      <c r="A2952" s="1">
        <v>2018</v>
      </c>
      <c r="B2952" t="s">
        <v>357</v>
      </c>
      <c r="C2952" s="10" t="s">
        <v>1678</v>
      </c>
      <c r="D2952" s="10" t="s">
        <v>1679</v>
      </c>
      <c r="E2952" s="10" t="s">
        <v>1682</v>
      </c>
      <c r="F2952" t="s">
        <v>854</v>
      </c>
      <c r="G2952" s="4">
        <v>61198</v>
      </c>
      <c r="H2952" s="4"/>
      <c r="I2952" s="4"/>
      <c r="J2952" s="4">
        <f>SUM(G2952:I2952)</f>
        <v>61198</v>
      </c>
      <c r="K2952" t="s">
        <v>1659</v>
      </c>
      <c r="L2952" t="s">
        <v>1659</v>
      </c>
      <c r="M2952" t="s">
        <v>1461</v>
      </c>
      <c r="N2952" t="s">
        <v>1132</v>
      </c>
      <c r="O2952" t="s">
        <v>1132</v>
      </c>
      <c r="P2952" t="str">
        <f>IFERROR(VLOOKUP(F2952,Sheet1!$A$2:$B$54,2,FALSE),"")</f>
        <v/>
      </c>
    </row>
    <row r="2953" spans="1:16" x14ac:dyDescent="0.2">
      <c r="A2953" s="1">
        <v>2019</v>
      </c>
      <c r="B2953" t="s">
        <v>357</v>
      </c>
      <c r="C2953" s="10" t="s">
        <v>1678</v>
      </c>
      <c r="D2953" s="10" t="s">
        <v>1679</v>
      </c>
      <c r="E2953" s="10" t="s">
        <v>1682</v>
      </c>
      <c r="F2953" t="s">
        <v>854</v>
      </c>
      <c r="G2953" s="4">
        <v>70934</v>
      </c>
      <c r="H2953" s="4"/>
      <c r="I2953" s="4"/>
      <c r="J2953" s="4">
        <f>SUM(G2953:I2953)</f>
        <v>70934</v>
      </c>
      <c r="K2953" t="s">
        <v>1659</v>
      </c>
      <c r="L2953" t="s">
        <v>1659</v>
      </c>
      <c r="M2953" t="s">
        <v>1461</v>
      </c>
      <c r="N2953" t="s">
        <v>1132</v>
      </c>
      <c r="O2953" t="s">
        <v>1132</v>
      </c>
      <c r="P2953" t="str">
        <f>IFERROR(VLOOKUP(F2953,Sheet1!$A$2:$B$54,2,FALSE),"")</f>
        <v/>
      </c>
    </row>
    <row r="2954" spans="1:16" x14ac:dyDescent="0.2">
      <c r="A2954" s="1">
        <v>2020</v>
      </c>
      <c r="B2954" t="s">
        <v>357</v>
      </c>
      <c r="C2954" s="10" t="s">
        <v>1678</v>
      </c>
      <c r="D2954" s="10" t="s">
        <v>1679</v>
      </c>
      <c r="E2954" s="10" t="s">
        <v>1682</v>
      </c>
      <c r="F2954" t="s">
        <v>854</v>
      </c>
      <c r="G2954" s="4">
        <v>78747</v>
      </c>
      <c r="H2954" s="4"/>
      <c r="I2954" s="4"/>
      <c r="J2954" s="4">
        <f>SUM(G2954:I2954)</f>
        <v>78747</v>
      </c>
      <c r="K2954" t="s">
        <v>1659</v>
      </c>
      <c r="L2954" t="s">
        <v>1659</v>
      </c>
      <c r="M2954" t="s">
        <v>1461</v>
      </c>
      <c r="N2954" t="s">
        <v>1132</v>
      </c>
      <c r="O2954" t="s">
        <v>1132</v>
      </c>
      <c r="P2954" t="str">
        <f>IFERROR(VLOOKUP(F2954,Sheet1!$A$2:$B$54,2,FALSE),"")</f>
        <v/>
      </c>
    </row>
    <row r="2955" spans="1:16" x14ac:dyDescent="0.2">
      <c r="A2955" s="1">
        <v>2021</v>
      </c>
      <c r="B2955" t="s">
        <v>357</v>
      </c>
      <c r="C2955" s="10" t="s">
        <v>1678</v>
      </c>
      <c r="D2955" s="10" t="s">
        <v>1679</v>
      </c>
      <c r="E2955" s="10" t="s">
        <v>1682</v>
      </c>
      <c r="F2955" t="s">
        <v>854</v>
      </c>
      <c r="G2955" s="4">
        <v>83246</v>
      </c>
      <c r="H2955" s="4"/>
      <c r="I2955" s="4"/>
      <c r="J2955" s="4">
        <f>SUM(G2955:I2955)</f>
        <v>83246</v>
      </c>
      <c r="K2955" t="s">
        <v>1659</v>
      </c>
      <c r="L2955" t="s">
        <v>1659</v>
      </c>
      <c r="M2955" t="s">
        <v>854</v>
      </c>
      <c r="N2955" t="s">
        <v>1132</v>
      </c>
      <c r="O2955" t="s">
        <v>1132</v>
      </c>
      <c r="P2955" t="str">
        <f>IFERROR(VLOOKUP(F2955,Sheet1!$A$2:$B$54,2,FALSE),"")</f>
        <v/>
      </c>
    </row>
    <row r="2956" spans="1:16" x14ac:dyDescent="0.2">
      <c r="A2956" s="1">
        <v>2022</v>
      </c>
      <c r="B2956" t="s">
        <v>357</v>
      </c>
      <c r="C2956" s="10" t="s">
        <v>1678</v>
      </c>
      <c r="D2956" s="10" t="s">
        <v>1679</v>
      </c>
      <c r="E2956" s="10" t="s">
        <v>1682</v>
      </c>
      <c r="F2956" t="s">
        <v>854</v>
      </c>
      <c r="G2956" s="4">
        <v>107443</v>
      </c>
      <c r="H2956" s="4"/>
      <c r="I2956" s="4"/>
      <c r="J2956" s="4">
        <f>SUM(G2956:I2956)</f>
        <v>107443</v>
      </c>
      <c r="K2956" t="s">
        <v>1659</v>
      </c>
      <c r="L2956" t="s">
        <v>1659</v>
      </c>
      <c r="M2956" t="s">
        <v>854</v>
      </c>
      <c r="N2956" t="s">
        <v>1132</v>
      </c>
      <c r="O2956" t="s">
        <v>1132</v>
      </c>
      <c r="P2956" t="str">
        <f>IFERROR(VLOOKUP(F2956,Sheet1!$A$2:$B$54,2,FALSE),"")</f>
        <v/>
      </c>
    </row>
    <row r="2957" spans="1:16" x14ac:dyDescent="0.2">
      <c r="A2957" s="1">
        <v>2023</v>
      </c>
      <c r="B2957" t="s">
        <v>357</v>
      </c>
      <c r="C2957" s="10" t="s">
        <v>1678</v>
      </c>
      <c r="D2957" s="10" t="s">
        <v>1679</v>
      </c>
      <c r="E2957" s="10" t="s">
        <v>1682</v>
      </c>
      <c r="F2957" t="s">
        <v>854</v>
      </c>
      <c r="G2957" s="4">
        <v>113233</v>
      </c>
      <c r="H2957" s="4"/>
      <c r="I2957" s="4"/>
      <c r="J2957" s="4">
        <f>SUM(G2957:I2957)</f>
        <v>113233</v>
      </c>
      <c r="K2957" t="s">
        <v>1659</v>
      </c>
      <c r="L2957" t="s">
        <v>1659</v>
      </c>
      <c r="M2957" t="s">
        <v>854</v>
      </c>
      <c r="N2957" t="s">
        <v>1132</v>
      </c>
      <c r="O2957" t="s">
        <v>1132</v>
      </c>
      <c r="P2957" t="str">
        <f>IFERROR(VLOOKUP(F2957,Sheet1!$A$2:$B$54,2,FALSE),"")</f>
        <v/>
      </c>
    </row>
    <row r="2958" spans="1:16" x14ac:dyDescent="0.2">
      <c r="A2958" s="1">
        <v>2015</v>
      </c>
      <c r="B2958" t="s">
        <v>345</v>
      </c>
      <c r="C2958" s="10" t="s">
        <v>1678</v>
      </c>
      <c r="D2958" s="10" t="s">
        <v>1679</v>
      </c>
      <c r="E2958" s="10" t="s">
        <v>1682</v>
      </c>
      <c r="F2958" t="s">
        <v>842</v>
      </c>
      <c r="G2958" s="4">
        <v>66799</v>
      </c>
      <c r="H2958" s="4">
        <v>188485</v>
      </c>
      <c r="I2958" s="4"/>
      <c r="J2958" s="4">
        <f>SUM(G2958:I2958)</f>
        <v>255284</v>
      </c>
      <c r="K2958" t="s">
        <v>1660</v>
      </c>
      <c r="L2958" t="s">
        <v>1659</v>
      </c>
      <c r="M2958" t="s">
        <v>1440</v>
      </c>
      <c r="N2958" t="s">
        <v>1440</v>
      </c>
      <c r="O2958" t="s">
        <v>1132</v>
      </c>
      <c r="P2958">
        <f>IFERROR(VLOOKUP(F2958,Sheet1!$A$2:$B$54,2,FALSE),"")</f>
        <v>4900066</v>
      </c>
    </row>
    <row r="2959" spans="1:16" x14ac:dyDescent="0.2">
      <c r="A2959" s="1">
        <v>2016</v>
      </c>
      <c r="B2959" t="s">
        <v>345</v>
      </c>
      <c r="C2959" s="10" t="s">
        <v>1678</v>
      </c>
      <c r="D2959" s="10" t="s">
        <v>1679</v>
      </c>
      <c r="E2959" s="10" t="s">
        <v>1682</v>
      </c>
      <c r="F2959" t="s">
        <v>842</v>
      </c>
      <c r="G2959" s="4">
        <v>56364</v>
      </c>
      <c r="H2959" s="4">
        <v>197817</v>
      </c>
      <c r="I2959" s="4"/>
      <c r="J2959" s="4">
        <f>SUM(G2959:I2959)</f>
        <v>254181</v>
      </c>
      <c r="K2959" t="s">
        <v>1660</v>
      </c>
      <c r="L2959" t="s">
        <v>1659</v>
      </c>
      <c r="M2959" t="s">
        <v>1440</v>
      </c>
      <c r="N2959" t="s">
        <v>1440</v>
      </c>
      <c r="O2959" t="s">
        <v>1132</v>
      </c>
      <c r="P2959">
        <f>IFERROR(VLOOKUP(F2959,Sheet1!$A$2:$B$54,2,FALSE),"")</f>
        <v>4900066</v>
      </c>
    </row>
    <row r="2960" spans="1:16" x14ac:dyDescent="0.2">
      <c r="A2960" s="1">
        <v>2017</v>
      </c>
      <c r="B2960" t="s">
        <v>345</v>
      </c>
      <c r="C2960" s="10" t="s">
        <v>1678</v>
      </c>
      <c r="D2960" s="10" t="s">
        <v>1679</v>
      </c>
      <c r="E2960" s="10" t="s">
        <v>1682</v>
      </c>
      <c r="F2960" t="s">
        <v>842</v>
      </c>
      <c r="G2960" s="4">
        <v>57525</v>
      </c>
      <c r="H2960" s="4">
        <v>208908</v>
      </c>
      <c r="I2960" s="4"/>
      <c r="J2960" s="4">
        <f>SUM(G2960:I2960)</f>
        <v>266433</v>
      </c>
      <c r="K2960" t="s">
        <v>1660</v>
      </c>
      <c r="L2960" t="s">
        <v>1659</v>
      </c>
      <c r="M2960" t="s">
        <v>1440</v>
      </c>
      <c r="N2960" t="s">
        <v>1440</v>
      </c>
      <c r="O2960" t="s">
        <v>1132</v>
      </c>
      <c r="P2960">
        <f>IFERROR(VLOOKUP(F2960,Sheet1!$A$2:$B$54,2,FALSE),"")</f>
        <v>4900066</v>
      </c>
    </row>
    <row r="2961" spans="1:16" x14ac:dyDescent="0.2">
      <c r="A2961" s="1">
        <v>2018</v>
      </c>
      <c r="B2961" t="s">
        <v>345</v>
      </c>
      <c r="C2961" s="10" t="s">
        <v>1678</v>
      </c>
      <c r="D2961" s="10" t="s">
        <v>1679</v>
      </c>
      <c r="E2961" s="10" t="s">
        <v>1682</v>
      </c>
      <c r="F2961" t="s">
        <v>842</v>
      </c>
      <c r="G2961" s="4">
        <v>89522</v>
      </c>
      <c r="H2961" s="4">
        <v>223663</v>
      </c>
      <c r="I2961" s="4"/>
      <c r="J2961" s="4">
        <f>SUM(G2961:I2961)</f>
        <v>313185</v>
      </c>
      <c r="K2961" t="s">
        <v>1660</v>
      </c>
      <c r="L2961" t="s">
        <v>1659</v>
      </c>
      <c r="M2961" t="s">
        <v>1440</v>
      </c>
      <c r="N2961" t="s">
        <v>1440</v>
      </c>
      <c r="O2961" t="s">
        <v>1132</v>
      </c>
      <c r="P2961">
        <f>IFERROR(VLOOKUP(F2961,Sheet1!$A$2:$B$54,2,FALSE),"")</f>
        <v>4900066</v>
      </c>
    </row>
    <row r="2962" spans="1:16" x14ac:dyDescent="0.2">
      <c r="A2962" s="1">
        <v>2019</v>
      </c>
      <c r="B2962" t="s">
        <v>345</v>
      </c>
      <c r="C2962" s="10" t="s">
        <v>1678</v>
      </c>
      <c r="D2962" s="10" t="s">
        <v>1679</v>
      </c>
      <c r="E2962" s="10" t="s">
        <v>1682</v>
      </c>
      <c r="F2962" t="s">
        <v>842</v>
      </c>
      <c r="G2962" s="4">
        <v>107467</v>
      </c>
      <c r="H2962" s="4">
        <v>253300</v>
      </c>
      <c r="I2962" s="4"/>
      <c r="J2962" s="4">
        <f>SUM(G2962:I2962)</f>
        <v>360767</v>
      </c>
      <c r="K2962" t="s">
        <v>1660</v>
      </c>
      <c r="L2962" t="s">
        <v>1659</v>
      </c>
      <c r="M2962" t="s">
        <v>1440</v>
      </c>
      <c r="N2962" t="s">
        <v>1440</v>
      </c>
      <c r="O2962" t="s">
        <v>1132</v>
      </c>
      <c r="P2962">
        <f>IFERROR(VLOOKUP(F2962,Sheet1!$A$2:$B$54,2,FALSE),"")</f>
        <v>4900066</v>
      </c>
    </row>
    <row r="2963" spans="1:16" x14ac:dyDescent="0.2">
      <c r="A2963" s="1">
        <v>2020</v>
      </c>
      <c r="B2963" t="s">
        <v>345</v>
      </c>
      <c r="C2963" s="10" t="s">
        <v>1678</v>
      </c>
      <c r="D2963" s="10" t="s">
        <v>1679</v>
      </c>
      <c r="E2963" s="10" t="s">
        <v>1682</v>
      </c>
      <c r="F2963" t="s">
        <v>842</v>
      </c>
      <c r="G2963" s="4">
        <v>109131</v>
      </c>
      <c r="H2963" s="4">
        <v>283599</v>
      </c>
      <c r="I2963" s="4"/>
      <c r="J2963" s="4">
        <f>SUM(G2963:I2963)</f>
        <v>392730</v>
      </c>
      <c r="K2963" t="s">
        <v>1660</v>
      </c>
      <c r="L2963" t="s">
        <v>1659</v>
      </c>
      <c r="M2963" t="s">
        <v>1440</v>
      </c>
      <c r="N2963" t="s">
        <v>1440</v>
      </c>
      <c r="O2963" t="s">
        <v>1132</v>
      </c>
      <c r="P2963">
        <f>IFERROR(VLOOKUP(F2963,Sheet1!$A$2:$B$54,2,FALSE),"")</f>
        <v>4900066</v>
      </c>
    </row>
    <row r="2964" spans="1:16" x14ac:dyDescent="0.2">
      <c r="A2964" s="1">
        <v>2021</v>
      </c>
      <c r="B2964" t="s">
        <v>345</v>
      </c>
      <c r="C2964" s="10" t="s">
        <v>1678</v>
      </c>
      <c r="D2964" s="10" t="s">
        <v>1679</v>
      </c>
      <c r="E2964" s="10" t="s">
        <v>1682</v>
      </c>
      <c r="F2964" t="s">
        <v>842</v>
      </c>
      <c r="G2964" s="4">
        <v>130248</v>
      </c>
      <c r="H2964" s="4">
        <v>276243</v>
      </c>
      <c r="I2964" s="4"/>
      <c r="J2964" s="4">
        <f>SUM(G2964:I2964)</f>
        <v>406491</v>
      </c>
      <c r="K2964" t="s">
        <v>1660</v>
      </c>
      <c r="L2964" t="s">
        <v>1659</v>
      </c>
      <c r="M2964" t="s">
        <v>842</v>
      </c>
      <c r="N2964" t="s">
        <v>842</v>
      </c>
      <c r="O2964" t="s">
        <v>1132</v>
      </c>
      <c r="P2964">
        <f>IFERROR(VLOOKUP(F2964,Sheet1!$A$2:$B$54,2,FALSE),"")</f>
        <v>4900066</v>
      </c>
    </row>
    <row r="2965" spans="1:16" x14ac:dyDescent="0.2">
      <c r="A2965" s="1">
        <v>2022</v>
      </c>
      <c r="B2965" t="s">
        <v>345</v>
      </c>
      <c r="C2965" s="10" t="s">
        <v>1678</v>
      </c>
      <c r="D2965" s="10" t="s">
        <v>1679</v>
      </c>
      <c r="E2965" s="10" t="s">
        <v>1682</v>
      </c>
      <c r="F2965" t="s">
        <v>842</v>
      </c>
      <c r="G2965" s="4">
        <v>161586</v>
      </c>
      <c r="H2965" s="4">
        <v>261857</v>
      </c>
      <c r="I2965" s="4"/>
      <c r="J2965" s="4">
        <f>SUM(G2965:I2965)</f>
        <v>423443</v>
      </c>
      <c r="K2965" t="s">
        <v>1660</v>
      </c>
      <c r="L2965" t="s">
        <v>1659</v>
      </c>
      <c r="M2965" t="s">
        <v>842</v>
      </c>
      <c r="N2965" t="s">
        <v>842</v>
      </c>
      <c r="O2965" t="s">
        <v>1132</v>
      </c>
      <c r="P2965">
        <f>IFERROR(VLOOKUP(F2965,Sheet1!$A$2:$B$54,2,FALSE),"")</f>
        <v>4900066</v>
      </c>
    </row>
    <row r="2966" spans="1:16" x14ac:dyDescent="0.2">
      <c r="A2966" s="1">
        <v>2023</v>
      </c>
      <c r="B2966" t="s">
        <v>345</v>
      </c>
      <c r="C2966" s="10" t="s">
        <v>1678</v>
      </c>
      <c r="D2966" s="10" t="s">
        <v>1679</v>
      </c>
      <c r="E2966" s="10" t="s">
        <v>1682</v>
      </c>
      <c r="F2966" t="s">
        <v>842</v>
      </c>
      <c r="G2966" s="4">
        <v>110589</v>
      </c>
      <c r="H2966" s="4">
        <v>167560</v>
      </c>
      <c r="I2966" s="4"/>
      <c r="J2966" s="4">
        <f>SUM(G2966:I2966)</f>
        <v>278149</v>
      </c>
      <c r="K2966" t="s">
        <v>1660</v>
      </c>
      <c r="L2966" t="s">
        <v>1659</v>
      </c>
      <c r="M2966" t="s">
        <v>842</v>
      </c>
      <c r="N2966" t="s">
        <v>842</v>
      </c>
      <c r="O2966" t="s">
        <v>1132</v>
      </c>
      <c r="P2966">
        <f>IFERROR(VLOOKUP(F2966,Sheet1!$A$2:$B$54,2,FALSE),"")</f>
        <v>4900066</v>
      </c>
    </row>
    <row r="2967" spans="1:16" x14ac:dyDescent="0.2">
      <c r="A2967" s="1">
        <v>2015</v>
      </c>
      <c r="B2967" t="s">
        <v>359</v>
      </c>
      <c r="C2967" s="10" t="s">
        <v>1678</v>
      </c>
      <c r="D2967" s="10" t="s">
        <v>1679</v>
      </c>
      <c r="E2967" s="10" t="s">
        <v>1682</v>
      </c>
      <c r="F2967" t="s">
        <v>856</v>
      </c>
      <c r="G2967" s="4">
        <v>49355</v>
      </c>
      <c r="H2967" s="4"/>
      <c r="I2967" s="4"/>
      <c r="J2967" s="4">
        <f>SUM(G2967:I2967)</f>
        <v>49355</v>
      </c>
      <c r="K2967" t="s">
        <v>1659</v>
      </c>
      <c r="L2967" t="s">
        <v>1659</v>
      </c>
      <c r="M2967" t="s">
        <v>1463</v>
      </c>
      <c r="N2967" t="s">
        <v>1132</v>
      </c>
      <c r="O2967" t="s">
        <v>1132</v>
      </c>
      <c r="P2967" t="str">
        <f>IFERROR(VLOOKUP(F2967,Sheet1!$A$2:$B$54,2,FALSE),"")</f>
        <v/>
      </c>
    </row>
    <row r="2968" spans="1:16" x14ac:dyDescent="0.2">
      <c r="A2968" s="1">
        <v>2016</v>
      </c>
      <c r="B2968" t="s">
        <v>359</v>
      </c>
      <c r="C2968" s="10" t="s">
        <v>1678</v>
      </c>
      <c r="D2968" s="10" t="s">
        <v>1679</v>
      </c>
      <c r="E2968" s="10" t="s">
        <v>1682</v>
      </c>
      <c r="F2968" t="s">
        <v>856</v>
      </c>
      <c r="G2968" s="4">
        <v>74416</v>
      </c>
      <c r="H2968" s="4"/>
      <c r="I2968" s="4"/>
      <c r="J2968" s="4">
        <f>SUM(G2968:I2968)</f>
        <v>74416</v>
      </c>
      <c r="K2968" t="s">
        <v>1659</v>
      </c>
      <c r="L2968" t="s">
        <v>1659</v>
      </c>
      <c r="M2968" t="s">
        <v>1463</v>
      </c>
      <c r="N2968" t="s">
        <v>1132</v>
      </c>
      <c r="O2968" t="s">
        <v>1132</v>
      </c>
      <c r="P2968" t="str">
        <f>IFERROR(VLOOKUP(F2968,Sheet1!$A$2:$B$54,2,FALSE),"")</f>
        <v/>
      </c>
    </row>
    <row r="2969" spans="1:16" x14ac:dyDescent="0.2">
      <c r="A2969" s="1">
        <v>2017</v>
      </c>
      <c r="B2969" t="s">
        <v>359</v>
      </c>
      <c r="C2969" s="10" t="s">
        <v>1678</v>
      </c>
      <c r="D2969" s="10" t="s">
        <v>1679</v>
      </c>
      <c r="E2969" s="10" t="s">
        <v>1682</v>
      </c>
      <c r="F2969" t="s">
        <v>856</v>
      </c>
      <c r="G2969" s="4">
        <v>92481</v>
      </c>
      <c r="H2969" s="4"/>
      <c r="I2969" s="4"/>
      <c r="J2969" s="4">
        <f>SUM(G2969:I2969)</f>
        <v>92481</v>
      </c>
      <c r="K2969" t="s">
        <v>1659</v>
      </c>
      <c r="L2969" t="s">
        <v>1659</v>
      </c>
      <c r="M2969" t="s">
        <v>1463</v>
      </c>
      <c r="N2969" t="s">
        <v>1132</v>
      </c>
      <c r="O2969" t="s">
        <v>1132</v>
      </c>
      <c r="P2969" t="str">
        <f>IFERROR(VLOOKUP(F2969,Sheet1!$A$2:$B$54,2,FALSE),"")</f>
        <v/>
      </c>
    </row>
    <row r="2970" spans="1:16" x14ac:dyDescent="0.2">
      <c r="A2970" s="1">
        <v>2018</v>
      </c>
      <c r="B2970" t="s">
        <v>359</v>
      </c>
      <c r="C2970" s="10" t="s">
        <v>1678</v>
      </c>
      <c r="D2970" s="10" t="s">
        <v>1679</v>
      </c>
      <c r="E2970" s="10" t="s">
        <v>1682</v>
      </c>
      <c r="F2970" t="s">
        <v>856</v>
      </c>
      <c r="G2970" s="4">
        <v>108009</v>
      </c>
      <c r="H2970" s="4"/>
      <c r="I2970" s="4"/>
      <c r="J2970" s="4">
        <f>SUM(G2970:I2970)</f>
        <v>108009</v>
      </c>
      <c r="K2970" t="s">
        <v>1659</v>
      </c>
      <c r="L2970" t="s">
        <v>1659</v>
      </c>
      <c r="M2970" t="s">
        <v>1463</v>
      </c>
      <c r="N2970" t="s">
        <v>1132</v>
      </c>
      <c r="O2970" t="s">
        <v>1132</v>
      </c>
      <c r="P2970" t="str">
        <f>IFERROR(VLOOKUP(F2970,Sheet1!$A$2:$B$54,2,FALSE),"")</f>
        <v/>
      </c>
    </row>
    <row r="2971" spans="1:16" x14ac:dyDescent="0.2">
      <c r="A2971" s="1">
        <v>2019</v>
      </c>
      <c r="B2971" t="s">
        <v>359</v>
      </c>
      <c r="C2971" s="10" t="s">
        <v>1678</v>
      </c>
      <c r="D2971" s="10" t="s">
        <v>1679</v>
      </c>
      <c r="E2971" s="10" t="s">
        <v>1682</v>
      </c>
      <c r="F2971" t="s">
        <v>856</v>
      </c>
      <c r="G2971" s="4">
        <v>137042</v>
      </c>
      <c r="H2971" s="4"/>
      <c r="I2971" s="4"/>
      <c r="J2971" s="4">
        <f>SUM(G2971:I2971)</f>
        <v>137042</v>
      </c>
      <c r="K2971" t="s">
        <v>1659</v>
      </c>
      <c r="L2971" t="s">
        <v>1659</v>
      </c>
      <c r="M2971" t="s">
        <v>1463</v>
      </c>
      <c r="N2971" t="s">
        <v>1132</v>
      </c>
      <c r="O2971" t="s">
        <v>1132</v>
      </c>
      <c r="P2971" t="str">
        <f>IFERROR(VLOOKUP(F2971,Sheet1!$A$2:$B$54,2,FALSE),"")</f>
        <v/>
      </c>
    </row>
    <row r="2972" spans="1:16" x14ac:dyDescent="0.2">
      <c r="A2972" s="1">
        <v>2020</v>
      </c>
      <c r="B2972" t="s">
        <v>359</v>
      </c>
      <c r="C2972" s="10" t="s">
        <v>1678</v>
      </c>
      <c r="D2972" s="10" t="s">
        <v>1679</v>
      </c>
      <c r="E2972" s="10" t="s">
        <v>1682</v>
      </c>
      <c r="F2972" t="s">
        <v>856</v>
      </c>
      <c r="G2972" s="4">
        <v>158391</v>
      </c>
      <c r="H2972" s="4"/>
      <c r="I2972" s="4"/>
      <c r="J2972" s="4">
        <f>SUM(G2972:I2972)</f>
        <v>158391</v>
      </c>
      <c r="K2972" t="s">
        <v>1659</v>
      </c>
      <c r="L2972" t="s">
        <v>1659</v>
      </c>
      <c r="M2972" t="s">
        <v>1463</v>
      </c>
      <c r="N2972" t="s">
        <v>1132</v>
      </c>
      <c r="O2972" t="s">
        <v>1132</v>
      </c>
      <c r="P2972" t="str">
        <f>IFERROR(VLOOKUP(F2972,Sheet1!$A$2:$B$54,2,FALSE),"")</f>
        <v/>
      </c>
    </row>
    <row r="2973" spans="1:16" x14ac:dyDescent="0.2">
      <c r="A2973" s="1">
        <v>2021</v>
      </c>
      <c r="B2973" t="s">
        <v>359</v>
      </c>
      <c r="C2973" s="10" t="s">
        <v>1678</v>
      </c>
      <c r="D2973" s="10" t="s">
        <v>1679</v>
      </c>
      <c r="E2973" s="10" t="s">
        <v>1682</v>
      </c>
      <c r="F2973" t="s">
        <v>856</v>
      </c>
      <c r="G2973" s="4">
        <v>182957</v>
      </c>
      <c r="H2973" s="4"/>
      <c r="I2973" s="4"/>
      <c r="J2973" s="4">
        <f>SUM(G2973:I2973)</f>
        <v>182957</v>
      </c>
      <c r="K2973" t="s">
        <v>1659</v>
      </c>
      <c r="L2973" t="s">
        <v>1659</v>
      </c>
      <c r="M2973" t="s">
        <v>856</v>
      </c>
      <c r="N2973" t="s">
        <v>1132</v>
      </c>
      <c r="O2973" t="s">
        <v>1132</v>
      </c>
      <c r="P2973" t="str">
        <f>IFERROR(VLOOKUP(F2973,Sheet1!$A$2:$B$54,2,FALSE),"")</f>
        <v/>
      </c>
    </row>
    <row r="2974" spans="1:16" x14ac:dyDescent="0.2">
      <c r="A2974" s="1">
        <v>2022</v>
      </c>
      <c r="B2974" t="s">
        <v>359</v>
      </c>
      <c r="C2974" s="10" t="s">
        <v>1678</v>
      </c>
      <c r="D2974" s="10" t="s">
        <v>1679</v>
      </c>
      <c r="E2974" s="10" t="s">
        <v>1682</v>
      </c>
      <c r="F2974" t="s">
        <v>856</v>
      </c>
      <c r="G2974" s="4">
        <v>254563</v>
      </c>
      <c r="H2974" s="4"/>
      <c r="I2974" s="4"/>
      <c r="J2974" s="4">
        <f>SUM(G2974:I2974)</f>
        <v>254563</v>
      </c>
      <c r="K2974" t="s">
        <v>1659</v>
      </c>
      <c r="L2974" t="s">
        <v>1659</v>
      </c>
      <c r="M2974" t="s">
        <v>856</v>
      </c>
      <c r="N2974" t="s">
        <v>1132</v>
      </c>
      <c r="O2974" t="s">
        <v>1132</v>
      </c>
      <c r="P2974" t="str">
        <f>IFERROR(VLOOKUP(F2974,Sheet1!$A$2:$B$54,2,FALSE),"")</f>
        <v/>
      </c>
    </row>
    <row r="2975" spans="1:16" x14ac:dyDescent="0.2">
      <c r="A2975" s="1">
        <v>2023</v>
      </c>
      <c r="B2975" t="s">
        <v>359</v>
      </c>
      <c r="C2975" s="10" t="s">
        <v>1678</v>
      </c>
      <c r="D2975" s="10" t="s">
        <v>1679</v>
      </c>
      <c r="E2975" s="10" t="s">
        <v>1682</v>
      </c>
      <c r="F2975" t="s">
        <v>856</v>
      </c>
      <c r="G2975" s="4">
        <v>329990</v>
      </c>
      <c r="H2975" s="4"/>
      <c r="I2975" s="4"/>
      <c r="J2975" s="4">
        <f>SUM(G2975:I2975)</f>
        <v>329990</v>
      </c>
      <c r="K2975" t="s">
        <v>1659</v>
      </c>
      <c r="L2975" t="s">
        <v>1659</v>
      </c>
      <c r="M2975" t="s">
        <v>856</v>
      </c>
      <c r="N2975" t="s">
        <v>1132</v>
      </c>
      <c r="O2975" t="s">
        <v>1132</v>
      </c>
      <c r="P2975" t="str">
        <f>IFERROR(VLOOKUP(F2975,Sheet1!$A$2:$B$54,2,FALSE),"")</f>
        <v/>
      </c>
    </row>
    <row r="2976" spans="1:16" x14ac:dyDescent="0.2">
      <c r="A2976" s="1">
        <v>2015</v>
      </c>
      <c r="B2976" t="s">
        <v>360</v>
      </c>
      <c r="C2976" s="10" t="s">
        <v>1678</v>
      </c>
      <c r="D2976" s="10" t="s">
        <v>1679</v>
      </c>
      <c r="E2976" s="10" t="s">
        <v>1682</v>
      </c>
      <c r="F2976" t="s">
        <v>857</v>
      </c>
      <c r="G2976" s="4">
        <v>122087</v>
      </c>
      <c r="H2976" s="4"/>
      <c r="I2976" s="4"/>
      <c r="J2976" s="4">
        <f>SUM(G2976:I2976)</f>
        <v>122087</v>
      </c>
      <c r="K2976" t="s">
        <v>1659</v>
      </c>
      <c r="L2976" t="s">
        <v>1659</v>
      </c>
      <c r="M2976" t="s">
        <v>1464</v>
      </c>
      <c r="N2976" t="s">
        <v>1132</v>
      </c>
      <c r="O2976" t="s">
        <v>1132</v>
      </c>
      <c r="P2976" t="str">
        <f>IFERROR(VLOOKUP(F2976,Sheet1!$A$2:$B$54,2,FALSE),"")</f>
        <v/>
      </c>
    </row>
    <row r="2977" spans="1:16" x14ac:dyDescent="0.2">
      <c r="A2977" s="1">
        <v>2016</v>
      </c>
      <c r="B2977" t="s">
        <v>360</v>
      </c>
      <c r="C2977" s="10" t="s">
        <v>1678</v>
      </c>
      <c r="D2977" s="10" t="s">
        <v>1679</v>
      </c>
      <c r="E2977" s="10" t="s">
        <v>1682</v>
      </c>
      <c r="F2977" t="s">
        <v>857</v>
      </c>
      <c r="G2977" s="4">
        <v>172810</v>
      </c>
      <c r="H2977" s="4"/>
      <c r="I2977" s="4"/>
      <c r="J2977" s="4">
        <f>SUM(G2977:I2977)</f>
        <v>172810</v>
      </c>
      <c r="K2977" t="s">
        <v>1659</v>
      </c>
      <c r="L2977" t="s">
        <v>1659</v>
      </c>
      <c r="M2977" t="s">
        <v>1464</v>
      </c>
      <c r="N2977" t="s">
        <v>1132</v>
      </c>
      <c r="O2977" t="s">
        <v>1132</v>
      </c>
      <c r="P2977" t="str">
        <f>IFERROR(VLOOKUP(F2977,Sheet1!$A$2:$B$54,2,FALSE),"")</f>
        <v/>
      </c>
    </row>
    <row r="2978" spans="1:16" x14ac:dyDescent="0.2">
      <c r="A2978" s="1">
        <v>2017</v>
      </c>
      <c r="B2978" t="s">
        <v>360</v>
      </c>
      <c r="C2978" s="10" t="s">
        <v>1678</v>
      </c>
      <c r="D2978" s="10" t="s">
        <v>1679</v>
      </c>
      <c r="E2978" s="10" t="s">
        <v>1682</v>
      </c>
      <c r="F2978" t="s">
        <v>857</v>
      </c>
      <c r="G2978" s="4">
        <v>229712</v>
      </c>
      <c r="H2978" s="4"/>
      <c r="I2978" s="4"/>
      <c r="J2978" s="4">
        <f>SUM(G2978:I2978)</f>
        <v>229712</v>
      </c>
      <c r="K2978" t="s">
        <v>1659</v>
      </c>
      <c r="L2978" t="s">
        <v>1659</v>
      </c>
      <c r="M2978" t="s">
        <v>1464</v>
      </c>
      <c r="N2978" t="s">
        <v>1132</v>
      </c>
      <c r="O2978" t="s">
        <v>1132</v>
      </c>
      <c r="P2978" t="str">
        <f>IFERROR(VLOOKUP(F2978,Sheet1!$A$2:$B$54,2,FALSE),"")</f>
        <v/>
      </c>
    </row>
    <row r="2979" spans="1:16" x14ac:dyDescent="0.2">
      <c r="A2979" s="1">
        <v>2018</v>
      </c>
      <c r="B2979" t="s">
        <v>360</v>
      </c>
      <c r="C2979" s="10" t="s">
        <v>1678</v>
      </c>
      <c r="D2979" s="10" t="s">
        <v>1679</v>
      </c>
      <c r="E2979" s="10" t="s">
        <v>1682</v>
      </c>
      <c r="F2979" t="s">
        <v>857</v>
      </c>
      <c r="G2979" s="4">
        <v>277133</v>
      </c>
      <c r="H2979" s="4"/>
      <c r="I2979" s="4"/>
      <c r="J2979" s="4">
        <f>SUM(G2979:I2979)</f>
        <v>277133</v>
      </c>
      <c r="K2979" t="s">
        <v>1659</v>
      </c>
      <c r="L2979" t="s">
        <v>1659</v>
      </c>
      <c r="M2979" t="s">
        <v>1464</v>
      </c>
      <c r="N2979" t="s">
        <v>1132</v>
      </c>
      <c r="O2979" t="s">
        <v>1132</v>
      </c>
      <c r="P2979" t="str">
        <f>IFERROR(VLOOKUP(F2979,Sheet1!$A$2:$B$54,2,FALSE),"")</f>
        <v/>
      </c>
    </row>
    <row r="2980" spans="1:16" x14ac:dyDescent="0.2">
      <c r="A2980" s="1">
        <v>2019</v>
      </c>
      <c r="B2980" t="s">
        <v>360</v>
      </c>
      <c r="C2980" s="10" t="s">
        <v>1678</v>
      </c>
      <c r="D2980" s="10" t="s">
        <v>1679</v>
      </c>
      <c r="E2980" s="10" t="s">
        <v>1682</v>
      </c>
      <c r="F2980" t="s">
        <v>857</v>
      </c>
      <c r="G2980" s="4">
        <v>333777</v>
      </c>
      <c r="H2980" s="4"/>
      <c r="I2980" s="4"/>
      <c r="J2980" s="4">
        <f>SUM(G2980:I2980)</f>
        <v>333777</v>
      </c>
      <c r="K2980" t="s">
        <v>1659</v>
      </c>
      <c r="L2980" t="s">
        <v>1659</v>
      </c>
      <c r="M2980" t="s">
        <v>1464</v>
      </c>
      <c r="N2980" t="s">
        <v>1132</v>
      </c>
      <c r="O2980" t="s">
        <v>1132</v>
      </c>
      <c r="P2980" t="str">
        <f>IFERROR(VLOOKUP(F2980,Sheet1!$A$2:$B$54,2,FALSE),"")</f>
        <v/>
      </c>
    </row>
    <row r="2981" spans="1:16" x14ac:dyDescent="0.2">
      <c r="A2981" s="1">
        <v>2020</v>
      </c>
      <c r="B2981" t="s">
        <v>360</v>
      </c>
      <c r="C2981" s="10" t="s">
        <v>1678</v>
      </c>
      <c r="D2981" s="10" t="s">
        <v>1679</v>
      </c>
      <c r="E2981" s="10" t="s">
        <v>1682</v>
      </c>
      <c r="F2981" t="s">
        <v>857</v>
      </c>
      <c r="G2981" s="4">
        <v>374957</v>
      </c>
      <c r="H2981" s="4"/>
      <c r="I2981" s="4"/>
      <c r="J2981" s="4">
        <f>SUM(G2981:I2981)</f>
        <v>374957</v>
      </c>
      <c r="K2981" t="s">
        <v>1659</v>
      </c>
      <c r="L2981" t="s">
        <v>1659</v>
      </c>
      <c r="M2981" t="s">
        <v>1464</v>
      </c>
      <c r="N2981" t="s">
        <v>1132</v>
      </c>
      <c r="O2981" t="s">
        <v>1132</v>
      </c>
      <c r="P2981" t="str">
        <f>IFERROR(VLOOKUP(F2981,Sheet1!$A$2:$B$54,2,FALSE),"")</f>
        <v/>
      </c>
    </row>
    <row r="2982" spans="1:16" x14ac:dyDescent="0.2">
      <c r="A2982" s="1">
        <v>2021</v>
      </c>
      <c r="B2982" t="s">
        <v>360</v>
      </c>
      <c r="C2982" s="10" t="s">
        <v>1678</v>
      </c>
      <c r="D2982" s="10" t="s">
        <v>1679</v>
      </c>
      <c r="E2982" s="10" t="s">
        <v>1682</v>
      </c>
      <c r="F2982" t="s">
        <v>857</v>
      </c>
      <c r="G2982" s="4">
        <v>456968</v>
      </c>
      <c r="H2982" s="4"/>
      <c r="I2982" s="4"/>
      <c r="J2982" s="4">
        <f>SUM(G2982:I2982)</f>
        <v>456968</v>
      </c>
      <c r="K2982" t="s">
        <v>1659</v>
      </c>
      <c r="L2982" t="s">
        <v>1659</v>
      </c>
      <c r="M2982" t="s">
        <v>857</v>
      </c>
      <c r="N2982" t="s">
        <v>1132</v>
      </c>
      <c r="O2982" t="s">
        <v>1132</v>
      </c>
      <c r="P2982" t="str">
        <f>IFERROR(VLOOKUP(F2982,Sheet1!$A$2:$B$54,2,FALSE),"")</f>
        <v/>
      </c>
    </row>
    <row r="2983" spans="1:16" x14ac:dyDescent="0.2">
      <c r="A2983" s="1">
        <v>2022</v>
      </c>
      <c r="B2983" t="s">
        <v>360</v>
      </c>
      <c r="C2983" s="10" t="s">
        <v>1678</v>
      </c>
      <c r="D2983" s="10" t="s">
        <v>1679</v>
      </c>
      <c r="E2983" s="10" t="s">
        <v>1682</v>
      </c>
      <c r="F2983" t="s">
        <v>857</v>
      </c>
      <c r="G2983" s="4">
        <v>591647</v>
      </c>
      <c r="H2983" s="4"/>
      <c r="I2983" s="4"/>
      <c r="J2983" s="4">
        <f>SUM(G2983:I2983)</f>
        <v>591647</v>
      </c>
      <c r="K2983" t="s">
        <v>1659</v>
      </c>
      <c r="L2983" t="s">
        <v>1659</v>
      </c>
      <c r="M2983" t="s">
        <v>857</v>
      </c>
      <c r="N2983" t="s">
        <v>1132</v>
      </c>
      <c r="O2983" t="s">
        <v>1132</v>
      </c>
      <c r="P2983" t="str">
        <f>IFERROR(VLOOKUP(F2983,Sheet1!$A$2:$B$54,2,FALSE),"")</f>
        <v/>
      </c>
    </row>
    <row r="2984" spans="1:16" x14ac:dyDescent="0.2">
      <c r="A2984" s="1">
        <v>2023</v>
      </c>
      <c r="B2984" t="s">
        <v>360</v>
      </c>
      <c r="C2984" s="10" t="s">
        <v>1678</v>
      </c>
      <c r="D2984" s="10" t="s">
        <v>1679</v>
      </c>
      <c r="E2984" s="10" t="s">
        <v>1682</v>
      </c>
      <c r="F2984" t="s">
        <v>857</v>
      </c>
      <c r="G2984" s="4">
        <v>731019</v>
      </c>
      <c r="H2984" s="4"/>
      <c r="I2984" s="4"/>
      <c r="J2984" s="4">
        <f>SUM(G2984:I2984)</f>
        <v>731019</v>
      </c>
      <c r="K2984" t="s">
        <v>1659</v>
      </c>
      <c r="L2984" t="s">
        <v>1659</v>
      </c>
      <c r="M2984" t="s">
        <v>857</v>
      </c>
      <c r="N2984" t="s">
        <v>1132</v>
      </c>
      <c r="O2984" t="s">
        <v>1132</v>
      </c>
      <c r="P2984" t="str">
        <f>IFERROR(VLOOKUP(F2984,Sheet1!$A$2:$B$54,2,FALSE),"")</f>
        <v/>
      </c>
    </row>
    <row r="2985" spans="1:16" x14ac:dyDescent="0.2">
      <c r="A2985" s="1">
        <v>2015</v>
      </c>
      <c r="B2985" t="s">
        <v>361</v>
      </c>
      <c r="C2985" s="10" t="s">
        <v>1678</v>
      </c>
      <c r="D2985" s="10" t="s">
        <v>1679</v>
      </c>
      <c r="E2985" s="10" t="s">
        <v>1682</v>
      </c>
      <c r="F2985" t="s">
        <v>858</v>
      </c>
      <c r="G2985" s="4">
        <v>12765</v>
      </c>
      <c r="H2985" s="4"/>
      <c r="I2985" s="4"/>
      <c r="J2985" s="4">
        <f>SUM(G2985:I2985)</f>
        <v>12765</v>
      </c>
      <c r="K2985" t="s">
        <v>1659</v>
      </c>
      <c r="L2985" t="s">
        <v>1659</v>
      </c>
      <c r="M2985" t="s">
        <v>1465</v>
      </c>
      <c r="N2985" t="s">
        <v>1132</v>
      </c>
      <c r="O2985" t="s">
        <v>1132</v>
      </c>
      <c r="P2985" t="str">
        <f>IFERROR(VLOOKUP(F2985,Sheet1!$A$2:$B$54,2,FALSE),"")</f>
        <v/>
      </c>
    </row>
    <row r="2986" spans="1:16" x14ac:dyDescent="0.2">
      <c r="A2986" s="1">
        <v>2016</v>
      </c>
      <c r="B2986" t="s">
        <v>361</v>
      </c>
      <c r="C2986" s="10" t="s">
        <v>1678</v>
      </c>
      <c r="D2986" s="10" t="s">
        <v>1679</v>
      </c>
      <c r="E2986" s="10" t="s">
        <v>1682</v>
      </c>
      <c r="F2986" t="s">
        <v>858</v>
      </c>
      <c r="G2986" s="4">
        <v>13895</v>
      </c>
      <c r="H2986" s="4"/>
      <c r="I2986" s="4"/>
      <c r="J2986" s="4">
        <f>SUM(G2986:I2986)</f>
        <v>13895</v>
      </c>
      <c r="K2986" t="s">
        <v>1659</v>
      </c>
      <c r="L2986" t="s">
        <v>1659</v>
      </c>
      <c r="M2986" t="s">
        <v>1465</v>
      </c>
      <c r="N2986" t="s">
        <v>1132</v>
      </c>
      <c r="O2986" t="s">
        <v>1132</v>
      </c>
      <c r="P2986" t="str">
        <f>IFERROR(VLOOKUP(F2986,Sheet1!$A$2:$B$54,2,FALSE),"")</f>
        <v/>
      </c>
    </row>
    <row r="2987" spans="1:16" x14ac:dyDescent="0.2">
      <c r="A2987" s="1">
        <v>2017</v>
      </c>
      <c r="B2987" t="s">
        <v>361</v>
      </c>
      <c r="C2987" s="10" t="s">
        <v>1678</v>
      </c>
      <c r="D2987" s="10" t="s">
        <v>1679</v>
      </c>
      <c r="E2987" s="10" t="s">
        <v>1682</v>
      </c>
      <c r="F2987" t="s">
        <v>858</v>
      </c>
      <c r="G2987" s="4">
        <v>14297</v>
      </c>
      <c r="H2987" s="4"/>
      <c r="I2987" s="4"/>
      <c r="J2987" s="4">
        <f>SUM(G2987:I2987)</f>
        <v>14297</v>
      </c>
      <c r="K2987" t="s">
        <v>1659</v>
      </c>
      <c r="L2987" t="s">
        <v>1659</v>
      </c>
      <c r="M2987" t="s">
        <v>1465</v>
      </c>
      <c r="N2987" t="s">
        <v>1132</v>
      </c>
      <c r="O2987" t="s">
        <v>1132</v>
      </c>
      <c r="P2987" t="str">
        <f>IFERROR(VLOOKUP(F2987,Sheet1!$A$2:$B$54,2,FALSE),"")</f>
        <v/>
      </c>
    </row>
    <row r="2988" spans="1:16" x14ac:dyDescent="0.2">
      <c r="A2988" s="1">
        <v>2018</v>
      </c>
      <c r="B2988" t="s">
        <v>361</v>
      </c>
      <c r="C2988" s="10" t="s">
        <v>1678</v>
      </c>
      <c r="D2988" s="10" t="s">
        <v>1679</v>
      </c>
      <c r="E2988" s="10" t="s">
        <v>1682</v>
      </c>
      <c r="F2988" t="s">
        <v>858</v>
      </c>
      <c r="G2988" s="4">
        <v>15495</v>
      </c>
      <c r="H2988" s="4"/>
      <c r="I2988" s="4"/>
      <c r="J2988" s="4">
        <f>SUM(G2988:I2988)</f>
        <v>15495</v>
      </c>
      <c r="K2988" t="s">
        <v>1659</v>
      </c>
      <c r="L2988" t="s">
        <v>1659</v>
      </c>
      <c r="M2988" t="s">
        <v>1465</v>
      </c>
      <c r="N2988" t="s">
        <v>1132</v>
      </c>
      <c r="O2988" t="s">
        <v>1132</v>
      </c>
      <c r="P2988" t="str">
        <f>IFERROR(VLOOKUP(F2988,Sheet1!$A$2:$B$54,2,FALSE),"")</f>
        <v/>
      </c>
    </row>
    <row r="2989" spans="1:16" x14ac:dyDescent="0.2">
      <c r="A2989" s="1">
        <v>2019</v>
      </c>
      <c r="B2989" t="s">
        <v>361</v>
      </c>
      <c r="C2989" s="10" t="s">
        <v>1678</v>
      </c>
      <c r="D2989" s="10" t="s">
        <v>1679</v>
      </c>
      <c r="E2989" s="10" t="s">
        <v>1682</v>
      </c>
      <c r="F2989" t="s">
        <v>858</v>
      </c>
      <c r="G2989" s="4">
        <v>14642</v>
      </c>
      <c r="H2989" s="4"/>
      <c r="I2989" s="4"/>
      <c r="J2989" s="4">
        <f>SUM(G2989:I2989)</f>
        <v>14642</v>
      </c>
      <c r="K2989" t="s">
        <v>1659</v>
      </c>
      <c r="L2989" t="s">
        <v>1659</v>
      </c>
      <c r="M2989" t="s">
        <v>1465</v>
      </c>
      <c r="N2989" t="s">
        <v>1132</v>
      </c>
      <c r="O2989" t="s">
        <v>1132</v>
      </c>
      <c r="P2989" t="str">
        <f>IFERROR(VLOOKUP(F2989,Sheet1!$A$2:$B$54,2,FALSE),"")</f>
        <v/>
      </c>
    </row>
    <row r="2990" spans="1:16" x14ac:dyDescent="0.2">
      <c r="A2990" s="1">
        <v>2020</v>
      </c>
      <c r="B2990" t="s">
        <v>361</v>
      </c>
      <c r="C2990" s="10" t="s">
        <v>1678</v>
      </c>
      <c r="D2990" s="10" t="s">
        <v>1679</v>
      </c>
      <c r="E2990" s="10" t="s">
        <v>1682</v>
      </c>
      <c r="F2990" t="s">
        <v>858</v>
      </c>
      <c r="G2990" s="4">
        <v>14001</v>
      </c>
      <c r="H2990" s="4"/>
      <c r="I2990" s="4"/>
      <c r="J2990" s="4">
        <f>SUM(G2990:I2990)</f>
        <v>14001</v>
      </c>
      <c r="K2990" t="s">
        <v>1659</v>
      </c>
      <c r="L2990" t="s">
        <v>1659</v>
      </c>
      <c r="M2990" t="s">
        <v>1465</v>
      </c>
      <c r="N2990" t="s">
        <v>1132</v>
      </c>
      <c r="O2990" t="s">
        <v>1132</v>
      </c>
      <c r="P2990" t="str">
        <f>IFERROR(VLOOKUP(F2990,Sheet1!$A$2:$B$54,2,FALSE),"")</f>
        <v/>
      </c>
    </row>
    <row r="2991" spans="1:16" x14ac:dyDescent="0.2">
      <c r="A2991" s="1">
        <v>2021</v>
      </c>
      <c r="B2991" t="s">
        <v>361</v>
      </c>
      <c r="C2991" s="10" t="s">
        <v>1678</v>
      </c>
      <c r="D2991" s="10" t="s">
        <v>1679</v>
      </c>
      <c r="E2991" s="10" t="s">
        <v>1682</v>
      </c>
      <c r="F2991" t="s">
        <v>858</v>
      </c>
      <c r="G2991" s="4">
        <v>18604</v>
      </c>
      <c r="H2991" s="4"/>
      <c r="I2991" s="4"/>
      <c r="J2991" s="4">
        <f>SUM(G2991:I2991)</f>
        <v>18604</v>
      </c>
      <c r="K2991" t="s">
        <v>1659</v>
      </c>
      <c r="L2991" t="s">
        <v>1659</v>
      </c>
      <c r="M2991" t="s">
        <v>858</v>
      </c>
      <c r="N2991" t="s">
        <v>1132</v>
      </c>
      <c r="O2991" t="s">
        <v>1132</v>
      </c>
      <c r="P2991" t="str">
        <f>IFERROR(VLOOKUP(F2991,Sheet1!$A$2:$B$54,2,FALSE),"")</f>
        <v/>
      </c>
    </row>
    <row r="2992" spans="1:16" x14ac:dyDescent="0.2">
      <c r="A2992" s="1">
        <v>2022</v>
      </c>
      <c r="B2992" t="s">
        <v>361</v>
      </c>
      <c r="C2992" s="10" t="s">
        <v>1678</v>
      </c>
      <c r="D2992" s="10" t="s">
        <v>1679</v>
      </c>
      <c r="E2992" s="10" t="s">
        <v>1682</v>
      </c>
      <c r="F2992" t="s">
        <v>858</v>
      </c>
      <c r="G2992" s="4">
        <v>17348</v>
      </c>
      <c r="H2992" s="4"/>
      <c r="I2992" s="4"/>
      <c r="J2992" s="4">
        <f>SUM(G2992:I2992)</f>
        <v>17348</v>
      </c>
      <c r="K2992" t="s">
        <v>1659</v>
      </c>
      <c r="L2992" t="s">
        <v>1659</v>
      </c>
      <c r="M2992" t="s">
        <v>858</v>
      </c>
      <c r="N2992" t="s">
        <v>1132</v>
      </c>
      <c r="O2992" t="s">
        <v>1132</v>
      </c>
      <c r="P2992" t="str">
        <f>IFERROR(VLOOKUP(F2992,Sheet1!$A$2:$B$54,2,FALSE),"")</f>
        <v/>
      </c>
    </row>
    <row r="2993" spans="1:16" x14ac:dyDescent="0.2">
      <c r="A2993" s="1">
        <v>2023</v>
      </c>
      <c r="B2993" t="s">
        <v>361</v>
      </c>
      <c r="C2993" s="10" t="s">
        <v>1678</v>
      </c>
      <c r="D2993" s="10" t="s">
        <v>1679</v>
      </c>
      <c r="E2993" s="10" t="s">
        <v>1682</v>
      </c>
      <c r="F2993" t="s">
        <v>858</v>
      </c>
      <c r="G2993" s="4">
        <v>27860</v>
      </c>
      <c r="H2993" s="4"/>
      <c r="I2993" s="4"/>
      <c r="J2993" s="4">
        <f>SUM(G2993:I2993)</f>
        <v>27860</v>
      </c>
      <c r="K2993" t="s">
        <v>1659</v>
      </c>
      <c r="L2993" t="s">
        <v>1659</v>
      </c>
      <c r="M2993" t="s">
        <v>858</v>
      </c>
      <c r="N2993" t="s">
        <v>1132</v>
      </c>
      <c r="O2993" t="s">
        <v>1132</v>
      </c>
      <c r="P2993" t="str">
        <f>IFERROR(VLOOKUP(F2993,Sheet1!$A$2:$B$54,2,FALSE),"")</f>
        <v/>
      </c>
    </row>
    <row r="2994" spans="1:16" x14ac:dyDescent="0.2">
      <c r="A2994" s="1">
        <v>2015</v>
      </c>
      <c r="B2994" t="s">
        <v>358</v>
      </c>
      <c r="C2994" s="10" t="s">
        <v>1678</v>
      </c>
      <c r="D2994" s="10" t="s">
        <v>1679</v>
      </c>
      <c r="E2994" s="10" t="s">
        <v>1682</v>
      </c>
      <c r="F2994" t="s">
        <v>855</v>
      </c>
      <c r="G2994" s="4">
        <v>2266</v>
      </c>
      <c r="H2994" s="4">
        <v>334965</v>
      </c>
      <c r="I2994" s="4"/>
      <c r="J2994" s="4">
        <f>SUM(G2994:I2994)</f>
        <v>337231</v>
      </c>
      <c r="K2994" t="s">
        <v>1660</v>
      </c>
      <c r="L2994" t="s">
        <v>1659</v>
      </c>
      <c r="M2994" t="s">
        <v>1462</v>
      </c>
      <c r="N2994" t="s">
        <v>1462</v>
      </c>
      <c r="O2994" t="s">
        <v>1132</v>
      </c>
      <c r="P2994">
        <f>IFERROR(VLOOKUP(F2994,Sheet1!$A$2:$B$54,2,FALSE),"")</f>
        <v>4901020</v>
      </c>
    </row>
    <row r="2995" spans="1:16" x14ac:dyDescent="0.2">
      <c r="A2995" s="1">
        <v>2016</v>
      </c>
      <c r="B2995" t="s">
        <v>358</v>
      </c>
      <c r="C2995" s="10" t="s">
        <v>1678</v>
      </c>
      <c r="D2995" s="10" t="s">
        <v>1679</v>
      </c>
      <c r="E2995" s="10" t="s">
        <v>1682</v>
      </c>
      <c r="F2995" t="s">
        <v>855</v>
      </c>
      <c r="G2995" s="4">
        <v>3863</v>
      </c>
      <c r="H2995" s="4">
        <v>351830</v>
      </c>
      <c r="I2995" s="4"/>
      <c r="J2995" s="4">
        <f>SUM(G2995:I2995)</f>
        <v>355693</v>
      </c>
      <c r="K2995" t="s">
        <v>1660</v>
      </c>
      <c r="L2995" t="s">
        <v>1659</v>
      </c>
      <c r="M2995" t="s">
        <v>1462</v>
      </c>
      <c r="N2995" t="s">
        <v>1462</v>
      </c>
      <c r="O2995" t="s">
        <v>1132</v>
      </c>
      <c r="P2995">
        <f>IFERROR(VLOOKUP(F2995,Sheet1!$A$2:$B$54,2,FALSE),"")</f>
        <v>4901020</v>
      </c>
    </row>
    <row r="2996" spans="1:16" x14ac:dyDescent="0.2">
      <c r="A2996" s="1">
        <v>2017</v>
      </c>
      <c r="B2996" t="s">
        <v>358</v>
      </c>
      <c r="C2996" s="10" t="s">
        <v>1678</v>
      </c>
      <c r="D2996" s="10" t="s">
        <v>1679</v>
      </c>
      <c r="E2996" s="10" t="s">
        <v>1682</v>
      </c>
      <c r="F2996" t="s">
        <v>855</v>
      </c>
      <c r="G2996" s="4">
        <v>10295</v>
      </c>
      <c r="H2996" s="4">
        <v>357522</v>
      </c>
      <c r="I2996" s="4"/>
      <c r="J2996" s="4">
        <f>SUM(G2996:I2996)</f>
        <v>367817</v>
      </c>
      <c r="K2996" t="s">
        <v>1660</v>
      </c>
      <c r="L2996" t="s">
        <v>1659</v>
      </c>
      <c r="M2996" t="s">
        <v>1462</v>
      </c>
      <c r="N2996" t="s">
        <v>1462</v>
      </c>
      <c r="O2996" t="s">
        <v>1132</v>
      </c>
      <c r="P2996">
        <f>IFERROR(VLOOKUP(F2996,Sheet1!$A$2:$B$54,2,FALSE),"")</f>
        <v>4901020</v>
      </c>
    </row>
    <row r="2997" spans="1:16" x14ac:dyDescent="0.2">
      <c r="A2997" s="1">
        <v>2018</v>
      </c>
      <c r="B2997" t="s">
        <v>358</v>
      </c>
      <c r="C2997" s="10" t="s">
        <v>1678</v>
      </c>
      <c r="D2997" s="10" t="s">
        <v>1679</v>
      </c>
      <c r="E2997" s="10" t="s">
        <v>1682</v>
      </c>
      <c r="F2997" t="s">
        <v>855</v>
      </c>
      <c r="G2997" s="4">
        <v>16184</v>
      </c>
      <c r="H2997" s="4">
        <v>358411</v>
      </c>
      <c r="I2997" s="4"/>
      <c r="J2997" s="4">
        <f>SUM(G2997:I2997)</f>
        <v>374595</v>
      </c>
      <c r="K2997" t="s">
        <v>1660</v>
      </c>
      <c r="L2997" t="s">
        <v>1659</v>
      </c>
      <c r="M2997" t="s">
        <v>1462</v>
      </c>
      <c r="N2997" t="s">
        <v>1462</v>
      </c>
      <c r="O2997" t="s">
        <v>1132</v>
      </c>
      <c r="P2997">
        <f>IFERROR(VLOOKUP(F2997,Sheet1!$A$2:$B$54,2,FALSE),"")</f>
        <v>4901020</v>
      </c>
    </row>
    <row r="2998" spans="1:16" x14ac:dyDescent="0.2">
      <c r="A2998" s="1">
        <v>2019</v>
      </c>
      <c r="B2998" t="s">
        <v>358</v>
      </c>
      <c r="C2998" s="10" t="s">
        <v>1678</v>
      </c>
      <c r="D2998" s="10" t="s">
        <v>1679</v>
      </c>
      <c r="E2998" s="10" t="s">
        <v>1682</v>
      </c>
      <c r="F2998" t="s">
        <v>855</v>
      </c>
      <c r="G2998" s="4">
        <v>23867</v>
      </c>
      <c r="H2998" s="4">
        <v>364783</v>
      </c>
      <c r="I2998" s="4"/>
      <c r="J2998" s="4">
        <f>SUM(G2998:I2998)</f>
        <v>388650</v>
      </c>
      <c r="K2998" t="s">
        <v>1660</v>
      </c>
      <c r="L2998" t="s">
        <v>1659</v>
      </c>
      <c r="M2998" t="s">
        <v>1462</v>
      </c>
      <c r="N2998" t="s">
        <v>1462</v>
      </c>
      <c r="O2998" t="s">
        <v>1132</v>
      </c>
      <c r="P2998">
        <f>IFERROR(VLOOKUP(F2998,Sheet1!$A$2:$B$54,2,FALSE),"")</f>
        <v>4901020</v>
      </c>
    </row>
    <row r="2999" spans="1:16" x14ac:dyDescent="0.2">
      <c r="A2999" s="1">
        <v>2020</v>
      </c>
      <c r="B2999" t="s">
        <v>358</v>
      </c>
      <c r="C2999" s="10" t="s">
        <v>1678</v>
      </c>
      <c r="D2999" s="10" t="s">
        <v>1679</v>
      </c>
      <c r="E2999" s="10" t="s">
        <v>1682</v>
      </c>
      <c r="F2999" t="s">
        <v>855</v>
      </c>
      <c r="G2999" s="4">
        <v>27107</v>
      </c>
      <c r="H2999" s="4">
        <v>377717</v>
      </c>
      <c r="I2999" s="4"/>
      <c r="J2999" s="4">
        <f>SUM(G2999:I2999)</f>
        <v>404824</v>
      </c>
      <c r="K2999" t="s">
        <v>1660</v>
      </c>
      <c r="L2999" t="s">
        <v>1659</v>
      </c>
      <c r="M2999" t="s">
        <v>1462</v>
      </c>
      <c r="N2999" t="s">
        <v>1462</v>
      </c>
      <c r="O2999" t="s">
        <v>1132</v>
      </c>
      <c r="P2999">
        <f>IFERROR(VLOOKUP(F2999,Sheet1!$A$2:$B$54,2,FALSE),"")</f>
        <v>4901020</v>
      </c>
    </row>
    <row r="3000" spans="1:16" x14ac:dyDescent="0.2">
      <c r="A3000" s="1">
        <v>2021</v>
      </c>
      <c r="B3000" t="s">
        <v>358</v>
      </c>
      <c r="C3000" s="10" t="s">
        <v>1678</v>
      </c>
      <c r="D3000" s="10" t="s">
        <v>1679</v>
      </c>
      <c r="E3000" s="10" t="s">
        <v>1682</v>
      </c>
      <c r="F3000" t="s">
        <v>855</v>
      </c>
      <c r="G3000" s="4">
        <v>36538</v>
      </c>
      <c r="H3000" s="4">
        <v>388904</v>
      </c>
      <c r="I3000" s="4"/>
      <c r="J3000" s="4">
        <f>SUM(G3000:I3000)</f>
        <v>425442</v>
      </c>
      <c r="K3000" t="s">
        <v>1660</v>
      </c>
      <c r="L3000" t="s">
        <v>1659</v>
      </c>
      <c r="M3000" t="s">
        <v>855</v>
      </c>
      <c r="N3000" t="s">
        <v>855</v>
      </c>
      <c r="O3000" t="s">
        <v>1132</v>
      </c>
      <c r="P3000">
        <f>IFERROR(VLOOKUP(F3000,Sheet1!$A$2:$B$54,2,FALSE),"")</f>
        <v>4901020</v>
      </c>
    </row>
    <row r="3001" spans="1:16" x14ac:dyDescent="0.2">
      <c r="A3001" s="1">
        <v>2022</v>
      </c>
      <c r="B3001" t="s">
        <v>358</v>
      </c>
      <c r="C3001" s="10" t="s">
        <v>1678</v>
      </c>
      <c r="D3001" s="10" t="s">
        <v>1679</v>
      </c>
      <c r="E3001" s="10" t="s">
        <v>1682</v>
      </c>
      <c r="F3001" t="s">
        <v>855</v>
      </c>
      <c r="G3001" s="4">
        <v>53622</v>
      </c>
      <c r="H3001" s="4">
        <v>402664</v>
      </c>
      <c r="I3001" s="4"/>
      <c r="J3001" s="4">
        <f>SUM(G3001:I3001)</f>
        <v>456286</v>
      </c>
      <c r="K3001" t="s">
        <v>1660</v>
      </c>
      <c r="L3001" t="s">
        <v>1659</v>
      </c>
      <c r="M3001" t="s">
        <v>855</v>
      </c>
      <c r="N3001" t="s">
        <v>855</v>
      </c>
      <c r="O3001" t="s">
        <v>1132</v>
      </c>
      <c r="P3001">
        <f>IFERROR(VLOOKUP(F3001,Sheet1!$A$2:$B$54,2,FALSE),"")</f>
        <v>4901020</v>
      </c>
    </row>
    <row r="3002" spans="1:16" x14ac:dyDescent="0.2">
      <c r="A3002" s="1">
        <v>2023</v>
      </c>
      <c r="B3002" t="s">
        <v>358</v>
      </c>
      <c r="C3002" s="10" t="s">
        <v>1678</v>
      </c>
      <c r="D3002" s="10" t="s">
        <v>1679</v>
      </c>
      <c r="E3002" s="10" t="s">
        <v>1682</v>
      </c>
      <c r="F3002" t="s">
        <v>855</v>
      </c>
      <c r="G3002" s="4">
        <v>71705</v>
      </c>
      <c r="H3002" s="4">
        <v>448385</v>
      </c>
      <c r="I3002" s="4"/>
      <c r="J3002" s="4">
        <f>SUM(G3002:I3002)</f>
        <v>520090</v>
      </c>
      <c r="K3002" t="s">
        <v>1660</v>
      </c>
      <c r="L3002" t="s">
        <v>1659</v>
      </c>
      <c r="M3002" t="s">
        <v>855</v>
      </c>
      <c r="N3002" t="s">
        <v>855</v>
      </c>
      <c r="O3002" t="s">
        <v>1132</v>
      </c>
      <c r="P3002">
        <f>IFERROR(VLOOKUP(F3002,Sheet1!$A$2:$B$54,2,FALSE),"")</f>
        <v>4901020</v>
      </c>
    </row>
    <row r="3003" spans="1:16" x14ac:dyDescent="0.2">
      <c r="A3003" s="1">
        <v>2015</v>
      </c>
      <c r="B3003" t="s">
        <v>363</v>
      </c>
      <c r="C3003" s="10" t="s">
        <v>1678</v>
      </c>
      <c r="D3003" s="10" t="s">
        <v>1679</v>
      </c>
      <c r="E3003" s="10" t="s">
        <v>1682</v>
      </c>
      <c r="F3003" t="s">
        <v>860</v>
      </c>
      <c r="G3003" s="4">
        <v>13510</v>
      </c>
      <c r="H3003" s="4">
        <v>200558</v>
      </c>
      <c r="I3003" s="4"/>
      <c r="J3003" s="4">
        <f>SUM(G3003:I3003)</f>
        <v>214068</v>
      </c>
      <c r="K3003" t="s">
        <v>1660</v>
      </c>
      <c r="L3003" t="s">
        <v>1659</v>
      </c>
      <c r="M3003" t="s">
        <v>1467</v>
      </c>
      <c r="N3003" t="s">
        <v>1467</v>
      </c>
      <c r="O3003" t="s">
        <v>1132</v>
      </c>
      <c r="P3003" t="str">
        <f>IFERROR(VLOOKUP(F3003,Sheet1!$A$2:$B$54,2,FALSE),"")</f>
        <v/>
      </c>
    </row>
    <row r="3004" spans="1:16" x14ac:dyDescent="0.2">
      <c r="A3004" s="1">
        <v>2016</v>
      </c>
      <c r="B3004" t="s">
        <v>363</v>
      </c>
      <c r="C3004" s="10" t="s">
        <v>1678</v>
      </c>
      <c r="D3004" s="10" t="s">
        <v>1679</v>
      </c>
      <c r="E3004" s="10" t="s">
        <v>1682</v>
      </c>
      <c r="F3004" t="s">
        <v>860</v>
      </c>
      <c r="G3004" s="4">
        <v>14660</v>
      </c>
      <c r="H3004" s="4">
        <v>209748</v>
      </c>
      <c r="I3004" s="4"/>
      <c r="J3004" s="4">
        <f>SUM(G3004:I3004)</f>
        <v>224408</v>
      </c>
      <c r="K3004" t="s">
        <v>1660</v>
      </c>
      <c r="L3004" t="s">
        <v>1659</v>
      </c>
      <c r="M3004" t="s">
        <v>1467</v>
      </c>
      <c r="N3004" t="s">
        <v>1467</v>
      </c>
      <c r="O3004" t="s">
        <v>1132</v>
      </c>
      <c r="P3004" t="str">
        <f>IFERROR(VLOOKUP(F3004,Sheet1!$A$2:$B$54,2,FALSE),"")</f>
        <v/>
      </c>
    </row>
    <row r="3005" spans="1:16" x14ac:dyDescent="0.2">
      <c r="A3005" s="1">
        <v>2017</v>
      </c>
      <c r="B3005" t="s">
        <v>363</v>
      </c>
      <c r="C3005" s="10" t="s">
        <v>1678</v>
      </c>
      <c r="D3005" s="10" t="s">
        <v>1679</v>
      </c>
      <c r="E3005" s="10" t="s">
        <v>1682</v>
      </c>
      <c r="F3005" t="s">
        <v>860</v>
      </c>
      <c r="G3005" s="4">
        <v>17618</v>
      </c>
      <c r="H3005" s="4">
        <v>224685</v>
      </c>
      <c r="I3005" s="4"/>
      <c r="J3005" s="4">
        <f>SUM(G3005:I3005)</f>
        <v>242303</v>
      </c>
      <c r="K3005" t="s">
        <v>1660</v>
      </c>
      <c r="L3005" t="s">
        <v>1659</v>
      </c>
      <c r="M3005" t="s">
        <v>1468</v>
      </c>
      <c r="N3005" t="s">
        <v>1468</v>
      </c>
      <c r="O3005" t="s">
        <v>1132</v>
      </c>
      <c r="P3005" t="str">
        <f>IFERROR(VLOOKUP(F3005,Sheet1!$A$2:$B$54,2,FALSE),"")</f>
        <v/>
      </c>
    </row>
    <row r="3006" spans="1:16" x14ac:dyDescent="0.2">
      <c r="A3006" s="1">
        <v>2018</v>
      </c>
      <c r="B3006" t="s">
        <v>363</v>
      </c>
      <c r="C3006" s="10" t="s">
        <v>1678</v>
      </c>
      <c r="D3006" s="10" t="s">
        <v>1679</v>
      </c>
      <c r="E3006" s="10" t="s">
        <v>1682</v>
      </c>
      <c r="F3006" t="s">
        <v>860</v>
      </c>
      <c r="G3006" s="4">
        <v>27850</v>
      </c>
      <c r="H3006" s="4">
        <v>250433</v>
      </c>
      <c r="I3006" s="4"/>
      <c r="J3006" s="4">
        <f>SUM(G3006:I3006)</f>
        <v>278283</v>
      </c>
      <c r="K3006" t="s">
        <v>1660</v>
      </c>
      <c r="L3006" t="s">
        <v>1659</v>
      </c>
      <c r="M3006" t="s">
        <v>1468</v>
      </c>
      <c r="N3006" t="s">
        <v>1468</v>
      </c>
      <c r="O3006" t="s">
        <v>1132</v>
      </c>
      <c r="P3006" t="str">
        <f>IFERROR(VLOOKUP(F3006,Sheet1!$A$2:$B$54,2,FALSE),"")</f>
        <v/>
      </c>
    </row>
    <row r="3007" spans="1:16" x14ac:dyDescent="0.2">
      <c r="A3007" s="1">
        <v>2019</v>
      </c>
      <c r="B3007" t="s">
        <v>363</v>
      </c>
      <c r="C3007" s="10" t="s">
        <v>1678</v>
      </c>
      <c r="D3007" s="10" t="s">
        <v>1679</v>
      </c>
      <c r="E3007" s="10" t="s">
        <v>1682</v>
      </c>
      <c r="F3007" t="s">
        <v>860</v>
      </c>
      <c r="G3007" s="4">
        <v>29007</v>
      </c>
      <c r="H3007" s="4">
        <v>283234</v>
      </c>
      <c r="I3007" s="4"/>
      <c r="J3007" s="4">
        <f>SUM(G3007:I3007)</f>
        <v>312241</v>
      </c>
      <c r="K3007" t="s">
        <v>1660</v>
      </c>
      <c r="L3007" t="s">
        <v>1659</v>
      </c>
      <c r="M3007" t="s">
        <v>1468</v>
      </c>
      <c r="N3007" t="s">
        <v>1468</v>
      </c>
      <c r="O3007" t="s">
        <v>1132</v>
      </c>
      <c r="P3007" t="str">
        <f>IFERROR(VLOOKUP(F3007,Sheet1!$A$2:$B$54,2,FALSE),"")</f>
        <v/>
      </c>
    </row>
    <row r="3008" spans="1:16" x14ac:dyDescent="0.2">
      <c r="A3008" s="1">
        <v>2020</v>
      </c>
      <c r="B3008" t="s">
        <v>363</v>
      </c>
      <c r="C3008" s="10" t="s">
        <v>1678</v>
      </c>
      <c r="D3008" s="10" t="s">
        <v>1679</v>
      </c>
      <c r="E3008" s="10" t="s">
        <v>1682</v>
      </c>
      <c r="F3008" t="s">
        <v>860</v>
      </c>
      <c r="G3008" s="4">
        <v>30378</v>
      </c>
      <c r="H3008" s="4">
        <v>311707</v>
      </c>
      <c r="I3008" s="4"/>
      <c r="J3008" s="4">
        <f>SUM(G3008:I3008)</f>
        <v>342085</v>
      </c>
      <c r="K3008" t="s">
        <v>1660</v>
      </c>
      <c r="L3008" t="s">
        <v>1659</v>
      </c>
      <c r="M3008" t="s">
        <v>1468</v>
      </c>
      <c r="N3008" t="s">
        <v>1468</v>
      </c>
      <c r="O3008" t="s">
        <v>1132</v>
      </c>
      <c r="P3008" t="str">
        <f>IFERROR(VLOOKUP(F3008,Sheet1!$A$2:$B$54,2,FALSE),"")</f>
        <v/>
      </c>
    </row>
    <row r="3009" spans="1:16" x14ac:dyDescent="0.2">
      <c r="A3009" s="1">
        <v>2021</v>
      </c>
      <c r="B3009" t="s">
        <v>363</v>
      </c>
      <c r="C3009" s="10" t="s">
        <v>1678</v>
      </c>
      <c r="D3009" s="10" t="s">
        <v>1679</v>
      </c>
      <c r="E3009" s="10" t="s">
        <v>1682</v>
      </c>
      <c r="F3009" t="s">
        <v>860</v>
      </c>
      <c r="G3009" s="4">
        <v>42111</v>
      </c>
      <c r="H3009" s="4">
        <v>307470</v>
      </c>
      <c r="I3009" s="4"/>
      <c r="J3009" s="4">
        <f>SUM(G3009:I3009)</f>
        <v>349581</v>
      </c>
      <c r="K3009" t="s">
        <v>1660</v>
      </c>
      <c r="L3009" t="s">
        <v>1659</v>
      </c>
      <c r="M3009" t="s">
        <v>860</v>
      </c>
      <c r="N3009" t="s">
        <v>860</v>
      </c>
      <c r="O3009" t="s">
        <v>1132</v>
      </c>
      <c r="P3009" t="str">
        <f>IFERROR(VLOOKUP(F3009,Sheet1!$A$2:$B$54,2,FALSE),"")</f>
        <v/>
      </c>
    </row>
    <row r="3010" spans="1:16" x14ac:dyDescent="0.2">
      <c r="A3010" s="1">
        <v>2022</v>
      </c>
      <c r="B3010" t="s">
        <v>363</v>
      </c>
      <c r="C3010" s="10" t="s">
        <v>1678</v>
      </c>
      <c r="D3010" s="10" t="s">
        <v>1679</v>
      </c>
      <c r="E3010" s="10" t="s">
        <v>1682</v>
      </c>
      <c r="F3010" t="s">
        <v>860</v>
      </c>
      <c r="G3010" s="4">
        <v>62203</v>
      </c>
      <c r="H3010" s="4">
        <v>327904</v>
      </c>
      <c r="I3010" s="4"/>
      <c r="J3010" s="4">
        <f>SUM(G3010:I3010)</f>
        <v>390107</v>
      </c>
      <c r="K3010" t="s">
        <v>1660</v>
      </c>
      <c r="L3010" t="s">
        <v>1659</v>
      </c>
      <c r="M3010" t="s">
        <v>860</v>
      </c>
      <c r="N3010" t="s">
        <v>860</v>
      </c>
      <c r="O3010" t="s">
        <v>1132</v>
      </c>
      <c r="P3010" t="str">
        <f>IFERROR(VLOOKUP(F3010,Sheet1!$A$2:$B$54,2,FALSE),"")</f>
        <v/>
      </c>
    </row>
    <row r="3011" spans="1:16" x14ac:dyDescent="0.2">
      <c r="A3011" s="1">
        <v>2023</v>
      </c>
      <c r="B3011" t="s">
        <v>363</v>
      </c>
      <c r="C3011" s="10" t="s">
        <v>1678</v>
      </c>
      <c r="D3011" s="10" t="s">
        <v>1679</v>
      </c>
      <c r="E3011" s="10" t="s">
        <v>1682</v>
      </c>
      <c r="F3011" t="s">
        <v>860</v>
      </c>
      <c r="G3011" s="4">
        <v>88959</v>
      </c>
      <c r="H3011" s="4">
        <v>390499</v>
      </c>
      <c r="I3011" s="4"/>
      <c r="J3011" s="4">
        <f>SUM(G3011:I3011)</f>
        <v>479458</v>
      </c>
      <c r="K3011" t="s">
        <v>1660</v>
      </c>
      <c r="L3011" t="s">
        <v>1659</v>
      </c>
      <c r="M3011" t="s">
        <v>860</v>
      </c>
      <c r="N3011" t="s">
        <v>860</v>
      </c>
      <c r="O3011" t="s">
        <v>1132</v>
      </c>
      <c r="P3011" t="str">
        <f>IFERROR(VLOOKUP(F3011,Sheet1!$A$2:$B$54,2,FALSE),"")</f>
        <v/>
      </c>
    </row>
    <row r="3012" spans="1:16" x14ac:dyDescent="0.2">
      <c r="A3012" s="1">
        <v>2017</v>
      </c>
      <c r="B3012" t="s">
        <v>364</v>
      </c>
      <c r="C3012" s="10" t="s">
        <v>1678</v>
      </c>
      <c r="D3012" s="10" t="s">
        <v>1679</v>
      </c>
      <c r="E3012" s="10" t="s">
        <v>1682</v>
      </c>
      <c r="F3012" t="s">
        <v>861</v>
      </c>
      <c r="G3012" s="4">
        <v>11822</v>
      </c>
      <c r="H3012" s="4"/>
      <c r="I3012" s="4"/>
      <c r="J3012" s="4">
        <f>SUM(G3012:I3012)</f>
        <v>11822</v>
      </c>
      <c r="K3012" t="s">
        <v>1659</v>
      </c>
      <c r="L3012" t="s">
        <v>1659</v>
      </c>
      <c r="M3012" t="s">
        <v>1469</v>
      </c>
      <c r="N3012" t="s">
        <v>1132</v>
      </c>
      <c r="O3012" t="s">
        <v>1132</v>
      </c>
      <c r="P3012" t="str">
        <f>IFERROR(VLOOKUP(F3012,Sheet1!$A$2:$B$54,2,FALSE),"")</f>
        <v/>
      </c>
    </row>
    <row r="3013" spans="1:16" x14ac:dyDescent="0.2">
      <c r="A3013" s="1">
        <v>2018</v>
      </c>
      <c r="B3013" t="s">
        <v>364</v>
      </c>
      <c r="C3013" s="10" t="s">
        <v>1678</v>
      </c>
      <c r="D3013" s="10" t="s">
        <v>1679</v>
      </c>
      <c r="E3013" s="10" t="s">
        <v>1682</v>
      </c>
      <c r="F3013" t="s">
        <v>861</v>
      </c>
      <c r="G3013" s="4">
        <v>15528</v>
      </c>
      <c r="H3013" s="4"/>
      <c r="I3013" s="4"/>
      <c r="J3013" s="4">
        <f>SUM(G3013:I3013)</f>
        <v>15528</v>
      </c>
      <c r="K3013" t="s">
        <v>1659</v>
      </c>
      <c r="L3013" t="s">
        <v>1659</v>
      </c>
      <c r="M3013" t="s">
        <v>1469</v>
      </c>
      <c r="N3013" t="s">
        <v>1132</v>
      </c>
      <c r="O3013" t="s">
        <v>1132</v>
      </c>
      <c r="P3013" t="str">
        <f>IFERROR(VLOOKUP(F3013,Sheet1!$A$2:$B$54,2,FALSE),"")</f>
        <v/>
      </c>
    </row>
    <row r="3014" spans="1:16" x14ac:dyDescent="0.2">
      <c r="A3014" s="1">
        <v>2019</v>
      </c>
      <c r="B3014" t="s">
        <v>364</v>
      </c>
      <c r="C3014" s="10" t="s">
        <v>1678</v>
      </c>
      <c r="D3014" s="10" t="s">
        <v>1679</v>
      </c>
      <c r="E3014" s="10" t="s">
        <v>1682</v>
      </c>
      <c r="F3014" t="s">
        <v>861</v>
      </c>
      <c r="G3014" s="4">
        <v>17868</v>
      </c>
      <c r="H3014" s="4"/>
      <c r="I3014" s="4"/>
      <c r="J3014" s="4">
        <f>SUM(G3014:I3014)</f>
        <v>17868</v>
      </c>
      <c r="K3014" t="s">
        <v>1659</v>
      </c>
      <c r="L3014" t="s">
        <v>1659</v>
      </c>
      <c r="M3014" t="s">
        <v>1469</v>
      </c>
      <c r="N3014" t="s">
        <v>1132</v>
      </c>
      <c r="O3014" t="s">
        <v>1132</v>
      </c>
      <c r="P3014" t="str">
        <f>IFERROR(VLOOKUP(F3014,Sheet1!$A$2:$B$54,2,FALSE),"")</f>
        <v/>
      </c>
    </row>
    <row r="3015" spans="1:16" x14ac:dyDescent="0.2">
      <c r="A3015" s="1">
        <v>2020</v>
      </c>
      <c r="B3015" t="s">
        <v>364</v>
      </c>
      <c r="C3015" s="10" t="s">
        <v>1678</v>
      </c>
      <c r="D3015" s="10" t="s">
        <v>1679</v>
      </c>
      <c r="E3015" s="10" t="s">
        <v>1682</v>
      </c>
      <c r="F3015" t="s">
        <v>861</v>
      </c>
      <c r="G3015" s="4">
        <v>20599</v>
      </c>
      <c r="H3015" s="4"/>
      <c r="I3015" s="4"/>
      <c r="J3015" s="4">
        <f>SUM(G3015:I3015)</f>
        <v>20599</v>
      </c>
      <c r="K3015" t="s">
        <v>1659</v>
      </c>
      <c r="L3015" t="s">
        <v>1659</v>
      </c>
      <c r="M3015" t="s">
        <v>1469</v>
      </c>
      <c r="N3015" t="s">
        <v>1132</v>
      </c>
      <c r="O3015" t="s">
        <v>1132</v>
      </c>
      <c r="P3015" t="str">
        <f>IFERROR(VLOOKUP(F3015,Sheet1!$A$2:$B$54,2,FALSE),"")</f>
        <v/>
      </c>
    </row>
    <row r="3016" spans="1:16" x14ac:dyDescent="0.2">
      <c r="A3016" s="1">
        <v>2021</v>
      </c>
      <c r="B3016" t="s">
        <v>364</v>
      </c>
      <c r="C3016" s="10" t="s">
        <v>1678</v>
      </c>
      <c r="D3016" s="10" t="s">
        <v>1679</v>
      </c>
      <c r="E3016" s="10" t="s">
        <v>1682</v>
      </c>
      <c r="F3016" t="s">
        <v>861</v>
      </c>
      <c r="G3016" s="4">
        <v>16534</v>
      </c>
      <c r="H3016" s="4"/>
      <c r="I3016" s="4"/>
      <c r="J3016" s="4">
        <f>SUM(G3016:I3016)</f>
        <v>16534</v>
      </c>
      <c r="K3016" t="s">
        <v>1659</v>
      </c>
      <c r="L3016" t="s">
        <v>1659</v>
      </c>
      <c r="M3016" t="s">
        <v>861</v>
      </c>
      <c r="N3016" t="s">
        <v>1132</v>
      </c>
      <c r="O3016" t="s">
        <v>1132</v>
      </c>
      <c r="P3016" t="str">
        <f>IFERROR(VLOOKUP(F3016,Sheet1!$A$2:$B$54,2,FALSE),"")</f>
        <v/>
      </c>
    </row>
    <row r="3017" spans="1:16" x14ac:dyDescent="0.2">
      <c r="A3017" s="1">
        <v>2022</v>
      </c>
      <c r="B3017" t="s">
        <v>364</v>
      </c>
      <c r="C3017" s="10" t="s">
        <v>1678</v>
      </c>
      <c r="D3017" s="10" t="s">
        <v>1679</v>
      </c>
      <c r="E3017" s="10" t="s">
        <v>1682</v>
      </c>
      <c r="F3017" t="s">
        <v>861</v>
      </c>
      <c r="G3017" s="4">
        <v>42521</v>
      </c>
      <c r="H3017" s="4"/>
      <c r="I3017" s="4"/>
      <c r="J3017" s="4">
        <f>SUM(G3017:I3017)</f>
        <v>42521</v>
      </c>
      <c r="K3017" t="s">
        <v>1659</v>
      </c>
      <c r="L3017" t="s">
        <v>1659</v>
      </c>
      <c r="M3017" t="s">
        <v>861</v>
      </c>
      <c r="N3017" t="s">
        <v>1132</v>
      </c>
      <c r="O3017" t="s">
        <v>1132</v>
      </c>
      <c r="P3017" t="str">
        <f>IFERROR(VLOOKUP(F3017,Sheet1!$A$2:$B$54,2,FALSE),"")</f>
        <v/>
      </c>
    </row>
    <row r="3018" spans="1:16" x14ac:dyDescent="0.2">
      <c r="A3018" s="1">
        <v>2023</v>
      </c>
      <c r="B3018" t="s">
        <v>364</v>
      </c>
      <c r="C3018" s="10" t="s">
        <v>1678</v>
      </c>
      <c r="D3018" s="10" t="s">
        <v>1679</v>
      </c>
      <c r="E3018" s="10" t="s">
        <v>1682</v>
      </c>
      <c r="F3018" t="s">
        <v>861</v>
      </c>
      <c r="G3018" s="4">
        <v>57431</v>
      </c>
      <c r="H3018" s="4"/>
      <c r="I3018" s="4"/>
      <c r="J3018" s="4">
        <f>SUM(G3018:I3018)</f>
        <v>57431</v>
      </c>
      <c r="K3018" t="s">
        <v>1659</v>
      </c>
      <c r="L3018" t="s">
        <v>1659</v>
      </c>
      <c r="M3018" t="s">
        <v>861</v>
      </c>
      <c r="N3018" t="s">
        <v>1132</v>
      </c>
      <c r="O3018" t="s">
        <v>1132</v>
      </c>
      <c r="P3018" t="str">
        <f>IFERROR(VLOOKUP(F3018,Sheet1!$A$2:$B$54,2,FALSE),"")</f>
        <v/>
      </c>
    </row>
    <row r="3019" spans="1:16" x14ac:dyDescent="0.2">
      <c r="A3019" s="1">
        <v>2015</v>
      </c>
      <c r="B3019" t="s">
        <v>365</v>
      </c>
      <c r="C3019" s="10" t="s">
        <v>1678</v>
      </c>
      <c r="D3019" s="10" t="s">
        <v>1679</v>
      </c>
      <c r="E3019" s="10" t="s">
        <v>1682</v>
      </c>
      <c r="F3019" t="s">
        <v>862</v>
      </c>
      <c r="G3019" s="4">
        <v>1822</v>
      </c>
      <c r="H3019" s="4"/>
      <c r="I3019" s="4"/>
      <c r="J3019" s="4">
        <f>SUM(G3019:I3019)</f>
        <v>1822</v>
      </c>
      <c r="K3019" t="s">
        <v>1659</v>
      </c>
      <c r="L3019" t="s">
        <v>1659</v>
      </c>
      <c r="M3019" t="s">
        <v>1470</v>
      </c>
      <c r="N3019" t="s">
        <v>1132</v>
      </c>
      <c r="O3019" t="s">
        <v>1132</v>
      </c>
      <c r="P3019" t="str">
        <f>IFERROR(VLOOKUP(F3019,Sheet1!$A$2:$B$54,2,FALSE),"")</f>
        <v/>
      </c>
    </row>
    <row r="3020" spans="1:16" x14ac:dyDescent="0.2">
      <c r="A3020" s="1">
        <v>2016</v>
      </c>
      <c r="B3020" t="s">
        <v>365</v>
      </c>
      <c r="C3020" s="10" t="s">
        <v>1678</v>
      </c>
      <c r="D3020" s="10" t="s">
        <v>1679</v>
      </c>
      <c r="E3020" s="10" t="s">
        <v>1682</v>
      </c>
      <c r="F3020" t="s">
        <v>862</v>
      </c>
      <c r="G3020" s="4">
        <v>2467</v>
      </c>
      <c r="H3020" s="4"/>
      <c r="I3020" s="4"/>
      <c r="J3020" s="4">
        <f>SUM(G3020:I3020)</f>
        <v>2467</v>
      </c>
      <c r="K3020" t="s">
        <v>1659</v>
      </c>
      <c r="L3020" t="s">
        <v>1659</v>
      </c>
      <c r="M3020" t="s">
        <v>1470</v>
      </c>
      <c r="N3020" t="s">
        <v>1132</v>
      </c>
      <c r="O3020" t="s">
        <v>1132</v>
      </c>
      <c r="P3020" t="str">
        <f>IFERROR(VLOOKUP(F3020,Sheet1!$A$2:$B$54,2,FALSE),"")</f>
        <v/>
      </c>
    </row>
    <row r="3021" spans="1:16" x14ac:dyDescent="0.2">
      <c r="A3021" s="1">
        <v>2017</v>
      </c>
      <c r="B3021" t="s">
        <v>365</v>
      </c>
      <c r="C3021" s="10" t="s">
        <v>1678</v>
      </c>
      <c r="D3021" s="10" t="s">
        <v>1679</v>
      </c>
      <c r="E3021" s="10" t="s">
        <v>1682</v>
      </c>
      <c r="F3021" t="s">
        <v>862</v>
      </c>
      <c r="G3021" s="4">
        <v>2903</v>
      </c>
      <c r="H3021" s="4"/>
      <c r="I3021" s="4"/>
      <c r="J3021" s="4">
        <f>SUM(G3021:I3021)</f>
        <v>2903</v>
      </c>
      <c r="K3021" t="s">
        <v>1659</v>
      </c>
      <c r="L3021" t="s">
        <v>1659</v>
      </c>
      <c r="M3021" t="s">
        <v>1470</v>
      </c>
      <c r="N3021" t="s">
        <v>1132</v>
      </c>
      <c r="O3021" t="s">
        <v>1132</v>
      </c>
      <c r="P3021" t="str">
        <f>IFERROR(VLOOKUP(F3021,Sheet1!$A$2:$B$54,2,FALSE),"")</f>
        <v/>
      </c>
    </row>
    <row r="3022" spans="1:16" x14ac:dyDescent="0.2">
      <c r="A3022" s="1">
        <v>2018</v>
      </c>
      <c r="B3022" t="s">
        <v>365</v>
      </c>
      <c r="C3022" s="10" t="s">
        <v>1678</v>
      </c>
      <c r="D3022" s="10" t="s">
        <v>1679</v>
      </c>
      <c r="E3022" s="10" t="s">
        <v>1682</v>
      </c>
      <c r="F3022" t="s">
        <v>862</v>
      </c>
      <c r="G3022" s="4">
        <v>2878</v>
      </c>
      <c r="H3022" s="4"/>
      <c r="I3022" s="4"/>
      <c r="J3022" s="4">
        <f>SUM(G3022:I3022)</f>
        <v>2878</v>
      </c>
      <c r="K3022" t="s">
        <v>1659</v>
      </c>
      <c r="L3022" t="s">
        <v>1659</v>
      </c>
      <c r="M3022" t="s">
        <v>1470</v>
      </c>
      <c r="N3022" t="s">
        <v>1132</v>
      </c>
      <c r="O3022" t="s">
        <v>1132</v>
      </c>
      <c r="P3022" t="str">
        <f>IFERROR(VLOOKUP(F3022,Sheet1!$A$2:$B$54,2,FALSE),"")</f>
        <v/>
      </c>
    </row>
    <row r="3023" spans="1:16" x14ac:dyDescent="0.2">
      <c r="A3023" s="1">
        <v>2019</v>
      </c>
      <c r="B3023" t="s">
        <v>365</v>
      </c>
      <c r="C3023" s="10" t="s">
        <v>1678</v>
      </c>
      <c r="D3023" s="10" t="s">
        <v>1679</v>
      </c>
      <c r="E3023" s="10" t="s">
        <v>1682</v>
      </c>
      <c r="F3023" t="s">
        <v>862</v>
      </c>
      <c r="G3023" s="4">
        <v>3213</v>
      </c>
      <c r="H3023" s="4"/>
      <c r="I3023" s="4"/>
      <c r="J3023" s="4">
        <f>SUM(G3023:I3023)</f>
        <v>3213</v>
      </c>
      <c r="K3023" t="s">
        <v>1659</v>
      </c>
      <c r="L3023" t="s">
        <v>1659</v>
      </c>
      <c r="M3023" t="s">
        <v>1470</v>
      </c>
      <c r="N3023" t="s">
        <v>1132</v>
      </c>
      <c r="O3023" t="s">
        <v>1132</v>
      </c>
      <c r="P3023" t="str">
        <f>IFERROR(VLOOKUP(F3023,Sheet1!$A$2:$B$54,2,FALSE),"")</f>
        <v/>
      </c>
    </row>
    <row r="3024" spans="1:16" x14ac:dyDescent="0.2">
      <c r="A3024" s="1">
        <v>2020</v>
      </c>
      <c r="B3024" t="s">
        <v>365</v>
      </c>
      <c r="C3024" s="10" t="s">
        <v>1678</v>
      </c>
      <c r="D3024" s="10" t="s">
        <v>1679</v>
      </c>
      <c r="E3024" s="10" t="s">
        <v>1682</v>
      </c>
      <c r="F3024" t="s">
        <v>862</v>
      </c>
      <c r="G3024" s="4">
        <v>3246</v>
      </c>
      <c r="H3024" s="4"/>
      <c r="I3024" s="4"/>
      <c r="J3024" s="4">
        <f>SUM(G3024:I3024)</f>
        <v>3246</v>
      </c>
      <c r="K3024" t="s">
        <v>1659</v>
      </c>
      <c r="L3024" t="s">
        <v>1659</v>
      </c>
      <c r="M3024" t="s">
        <v>1470</v>
      </c>
      <c r="N3024" t="s">
        <v>1132</v>
      </c>
      <c r="O3024" t="s">
        <v>1132</v>
      </c>
      <c r="P3024" t="str">
        <f>IFERROR(VLOOKUP(F3024,Sheet1!$A$2:$B$54,2,FALSE),"")</f>
        <v/>
      </c>
    </row>
    <row r="3025" spans="1:16" x14ac:dyDescent="0.2">
      <c r="A3025" s="1">
        <v>2021</v>
      </c>
      <c r="B3025" t="s">
        <v>365</v>
      </c>
      <c r="C3025" s="10" t="s">
        <v>1678</v>
      </c>
      <c r="D3025" s="10" t="s">
        <v>1679</v>
      </c>
      <c r="E3025" s="10" t="s">
        <v>1682</v>
      </c>
      <c r="F3025" t="s">
        <v>862</v>
      </c>
      <c r="G3025" s="4">
        <v>3547</v>
      </c>
      <c r="H3025" s="4"/>
      <c r="I3025" s="4"/>
      <c r="J3025" s="4">
        <f>SUM(G3025:I3025)</f>
        <v>3547</v>
      </c>
      <c r="K3025" t="s">
        <v>1659</v>
      </c>
      <c r="L3025" t="s">
        <v>1659</v>
      </c>
      <c r="M3025" t="s">
        <v>862</v>
      </c>
      <c r="N3025" t="s">
        <v>1132</v>
      </c>
      <c r="O3025" t="s">
        <v>1132</v>
      </c>
      <c r="P3025" t="str">
        <f>IFERROR(VLOOKUP(F3025,Sheet1!$A$2:$B$54,2,FALSE),"")</f>
        <v/>
      </c>
    </row>
    <row r="3026" spans="1:16" x14ac:dyDescent="0.2">
      <c r="A3026" s="1">
        <v>2022</v>
      </c>
      <c r="B3026" t="s">
        <v>365</v>
      </c>
      <c r="C3026" s="10" t="s">
        <v>1678</v>
      </c>
      <c r="D3026" s="10" t="s">
        <v>1679</v>
      </c>
      <c r="E3026" s="10" t="s">
        <v>1682</v>
      </c>
      <c r="F3026" t="s">
        <v>862</v>
      </c>
      <c r="G3026" s="4">
        <v>3764</v>
      </c>
      <c r="H3026" s="4"/>
      <c r="I3026" s="4"/>
      <c r="J3026" s="4">
        <f>SUM(G3026:I3026)</f>
        <v>3764</v>
      </c>
      <c r="K3026" t="s">
        <v>1659</v>
      </c>
      <c r="L3026" t="s">
        <v>1659</v>
      </c>
      <c r="M3026" t="s">
        <v>862</v>
      </c>
      <c r="N3026" t="s">
        <v>1132</v>
      </c>
      <c r="O3026" t="s">
        <v>1132</v>
      </c>
      <c r="P3026" t="str">
        <f>IFERROR(VLOOKUP(F3026,Sheet1!$A$2:$B$54,2,FALSE),"")</f>
        <v/>
      </c>
    </row>
    <row r="3027" spans="1:16" x14ac:dyDescent="0.2">
      <c r="A3027" s="1">
        <v>2023</v>
      </c>
      <c r="B3027" t="s">
        <v>365</v>
      </c>
      <c r="C3027" s="10" t="s">
        <v>1678</v>
      </c>
      <c r="D3027" s="10" t="s">
        <v>1679</v>
      </c>
      <c r="E3027" s="10" t="s">
        <v>1682</v>
      </c>
      <c r="F3027" t="s">
        <v>862</v>
      </c>
      <c r="G3027" s="4">
        <v>5284</v>
      </c>
      <c r="H3027" s="4"/>
      <c r="I3027" s="4"/>
      <c r="J3027" s="4">
        <f>SUM(G3027:I3027)</f>
        <v>5284</v>
      </c>
      <c r="K3027" t="s">
        <v>1659</v>
      </c>
      <c r="L3027" t="s">
        <v>1659</v>
      </c>
      <c r="M3027" t="s">
        <v>862</v>
      </c>
      <c r="N3027" t="s">
        <v>1132</v>
      </c>
      <c r="O3027" t="s">
        <v>1132</v>
      </c>
      <c r="P3027" t="str">
        <f>IFERROR(VLOOKUP(F3027,Sheet1!$A$2:$B$54,2,FALSE),"")</f>
        <v/>
      </c>
    </row>
    <row r="3028" spans="1:16" x14ac:dyDescent="0.2">
      <c r="A3028" s="1">
        <v>2015</v>
      </c>
      <c r="B3028" t="s">
        <v>366</v>
      </c>
      <c r="C3028" s="10" t="s">
        <v>1678</v>
      </c>
      <c r="D3028" s="10" t="s">
        <v>1679</v>
      </c>
      <c r="E3028" s="10" t="s">
        <v>1682</v>
      </c>
      <c r="F3028" t="s">
        <v>863</v>
      </c>
      <c r="G3028" s="4">
        <v>3316</v>
      </c>
      <c r="H3028" s="4"/>
      <c r="I3028" s="4"/>
      <c r="J3028" s="4">
        <f>SUM(G3028:I3028)</f>
        <v>3316</v>
      </c>
      <c r="K3028" t="s">
        <v>1659</v>
      </c>
      <c r="L3028" t="s">
        <v>1659</v>
      </c>
      <c r="M3028" t="s">
        <v>1471</v>
      </c>
      <c r="N3028" t="s">
        <v>1132</v>
      </c>
      <c r="O3028" t="s">
        <v>1132</v>
      </c>
      <c r="P3028" t="str">
        <f>IFERROR(VLOOKUP(F3028,Sheet1!$A$2:$B$54,2,FALSE),"")</f>
        <v/>
      </c>
    </row>
    <row r="3029" spans="1:16" x14ac:dyDescent="0.2">
      <c r="A3029" s="1">
        <v>2016</v>
      </c>
      <c r="B3029" t="s">
        <v>366</v>
      </c>
      <c r="C3029" s="10" t="s">
        <v>1678</v>
      </c>
      <c r="D3029" s="10" t="s">
        <v>1679</v>
      </c>
      <c r="E3029" s="10" t="s">
        <v>1682</v>
      </c>
      <c r="F3029" t="s">
        <v>863</v>
      </c>
      <c r="G3029" s="4">
        <v>3483</v>
      </c>
      <c r="H3029" s="4"/>
      <c r="I3029" s="4"/>
      <c r="J3029" s="4">
        <f>SUM(G3029:I3029)</f>
        <v>3483</v>
      </c>
      <c r="K3029" t="s">
        <v>1659</v>
      </c>
      <c r="L3029" t="s">
        <v>1659</v>
      </c>
      <c r="M3029" t="s">
        <v>1471</v>
      </c>
      <c r="N3029" t="s">
        <v>1132</v>
      </c>
      <c r="O3029" t="s">
        <v>1132</v>
      </c>
      <c r="P3029" t="str">
        <f>IFERROR(VLOOKUP(F3029,Sheet1!$A$2:$B$54,2,FALSE),"")</f>
        <v/>
      </c>
    </row>
    <row r="3030" spans="1:16" x14ac:dyDescent="0.2">
      <c r="A3030" s="1">
        <v>2017</v>
      </c>
      <c r="B3030" t="s">
        <v>366</v>
      </c>
      <c r="C3030" s="10" t="s">
        <v>1678</v>
      </c>
      <c r="D3030" s="10" t="s">
        <v>1679</v>
      </c>
      <c r="E3030" s="10" t="s">
        <v>1682</v>
      </c>
      <c r="F3030" t="s">
        <v>863</v>
      </c>
      <c r="G3030" s="4">
        <v>3410</v>
      </c>
      <c r="H3030" s="4"/>
      <c r="I3030" s="4"/>
      <c r="J3030" s="4">
        <f>SUM(G3030:I3030)</f>
        <v>3410</v>
      </c>
      <c r="K3030" t="s">
        <v>1659</v>
      </c>
      <c r="L3030" t="s">
        <v>1659</v>
      </c>
      <c r="M3030" t="s">
        <v>1471</v>
      </c>
      <c r="N3030" t="s">
        <v>1132</v>
      </c>
      <c r="O3030" t="s">
        <v>1132</v>
      </c>
      <c r="P3030" t="str">
        <f>IFERROR(VLOOKUP(F3030,Sheet1!$A$2:$B$54,2,FALSE),"")</f>
        <v/>
      </c>
    </row>
    <row r="3031" spans="1:16" x14ac:dyDescent="0.2">
      <c r="A3031" s="1">
        <v>2018</v>
      </c>
      <c r="B3031" t="s">
        <v>366</v>
      </c>
      <c r="C3031" s="10" t="s">
        <v>1678</v>
      </c>
      <c r="D3031" s="10" t="s">
        <v>1679</v>
      </c>
      <c r="E3031" s="10" t="s">
        <v>1682</v>
      </c>
      <c r="F3031" t="s">
        <v>863</v>
      </c>
      <c r="G3031" s="4">
        <v>4583</v>
      </c>
      <c r="H3031" s="4"/>
      <c r="I3031" s="4"/>
      <c r="J3031" s="4">
        <f>SUM(G3031:I3031)</f>
        <v>4583</v>
      </c>
      <c r="K3031" t="s">
        <v>1659</v>
      </c>
      <c r="L3031" t="s">
        <v>1659</v>
      </c>
      <c r="M3031" t="s">
        <v>1471</v>
      </c>
      <c r="N3031" t="s">
        <v>1132</v>
      </c>
      <c r="O3031" t="s">
        <v>1132</v>
      </c>
      <c r="P3031" t="str">
        <f>IFERROR(VLOOKUP(F3031,Sheet1!$A$2:$B$54,2,FALSE),"")</f>
        <v/>
      </c>
    </row>
    <row r="3032" spans="1:16" x14ac:dyDescent="0.2">
      <c r="A3032" s="1">
        <v>2019</v>
      </c>
      <c r="B3032" t="s">
        <v>366</v>
      </c>
      <c r="C3032" s="10" t="s">
        <v>1678</v>
      </c>
      <c r="D3032" s="10" t="s">
        <v>1679</v>
      </c>
      <c r="E3032" s="10" t="s">
        <v>1682</v>
      </c>
      <c r="F3032" t="s">
        <v>863</v>
      </c>
      <c r="G3032" s="4">
        <v>9140</v>
      </c>
      <c r="H3032" s="4"/>
      <c r="I3032" s="4"/>
      <c r="J3032" s="4">
        <f>SUM(G3032:I3032)</f>
        <v>9140</v>
      </c>
      <c r="K3032" t="s">
        <v>1659</v>
      </c>
      <c r="L3032" t="s">
        <v>1659</v>
      </c>
      <c r="M3032" t="s">
        <v>1471</v>
      </c>
      <c r="N3032" t="s">
        <v>1132</v>
      </c>
      <c r="O3032" t="s">
        <v>1132</v>
      </c>
      <c r="P3032" t="str">
        <f>IFERROR(VLOOKUP(F3032,Sheet1!$A$2:$B$54,2,FALSE),"")</f>
        <v/>
      </c>
    </row>
    <row r="3033" spans="1:16" x14ac:dyDescent="0.2">
      <c r="A3033" s="1">
        <v>2020</v>
      </c>
      <c r="B3033" t="s">
        <v>366</v>
      </c>
      <c r="C3033" s="10" t="s">
        <v>1678</v>
      </c>
      <c r="D3033" s="10" t="s">
        <v>1679</v>
      </c>
      <c r="E3033" s="10" t="s">
        <v>1682</v>
      </c>
      <c r="F3033" t="s">
        <v>863</v>
      </c>
      <c r="G3033" s="4">
        <v>9601</v>
      </c>
      <c r="H3033" s="4"/>
      <c r="I3033" s="4"/>
      <c r="J3033" s="4">
        <f>SUM(G3033:I3033)</f>
        <v>9601</v>
      </c>
      <c r="K3033" t="s">
        <v>1659</v>
      </c>
      <c r="L3033" t="s">
        <v>1659</v>
      </c>
      <c r="M3033" t="s">
        <v>1471</v>
      </c>
      <c r="N3033" t="s">
        <v>1132</v>
      </c>
      <c r="O3033" t="s">
        <v>1132</v>
      </c>
      <c r="P3033" t="str">
        <f>IFERROR(VLOOKUP(F3033,Sheet1!$A$2:$B$54,2,FALSE),"")</f>
        <v/>
      </c>
    </row>
    <row r="3034" spans="1:16" x14ac:dyDescent="0.2">
      <c r="A3034" s="1">
        <v>2021</v>
      </c>
      <c r="B3034" t="s">
        <v>366</v>
      </c>
      <c r="C3034" s="10" t="s">
        <v>1678</v>
      </c>
      <c r="D3034" s="10" t="s">
        <v>1679</v>
      </c>
      <c r="E3034" s="10" t="s">
        <v>1682</v>
      </c>
      <c r="F3034" t="s">
        <v>863</v>
      </c>
      <c r="G3034" s="4">
        <v>12251</v>
      </c>
      <c r="H3034" s="4"/>
      <c r="I3034" s="4"/>
      <c r="J3034" s="4">
        <f>SUM(G3034:I3034)</f>
        <v>12251</v>
      </c>
      <c r="K3034" t="s">
        <v>1659</v>
      </c>
      <c r="L3034" t="s">
        <v>1659</v>
      </c>
      <c r="M3034" t="s">
        <v>863</v>
      </c>
      <c r="N3034" t="s">
        <v>1132</v>
      </c>
      <c r="O3034" t="s">
        <v>1132</v>
      </c>
      <c r="P3034" t="str">
        <f>IFERROR(VLOOKUP(F3034,Sheet1!$A$2:$B$54,2,FALSE),"")</f>
        <v/>
      </c>
    </row>
    <row r="3035" spans="1:16" x14ac:dyDescent="0.2">
      <c r="A3035" s="1">
        <v>2022</v>
      </c>
      <c r="B3035" t="s">
        <v>366</v>
      </c>
      <c r="C3035" s="10" t="s">
        <v>1678</v>
      </c>
      <c r="D3035" s="10" t="s">
        <v>1679</v>
      </c>
      <c r="E3035" s="10" t="s">
        <v>1682</v>
      </c>
      <c r="F3035" t="s">
        <v>863</v>
      </c>
      <c r="G3035" s="4">
        <v>21712</v>
      </c>
      <c r="H3035" s="4"/>
      <c r="I3035" s="4"/>
      <c r="J3035" s="4">
        <f>SUM(G3035:I3035)</f>
        <v>21712</v>
      </c>
      <c r="K3035" t="s">
        <v>1659</v>
      </c>
      <c r="L3035" t="s">
        <v>1659</v>
      </c>
      <c r="M3035" t="s">
        <v>863</v>
      </c>
      <c r="N3035" t="s">
        <v>1132</v>
      </c>
      <c r="O3035" t="s">
        <v>1132</v>
      </c>
      <c r="P3035" t="str">
        <f>IFERROR(VLOOKUP(F3035,Sheet1!$A$2:$B$54,2,FALSE),"")</f>
        <v/>
      </c>
    </row>
    <row r="3036" spans="1:16" x14ac:dyDescent="0.2">
      <c r="A3036" s="1">
        <v>2023</v>
      </c>
      <c r="B3036" t="s">
        <v>366</v>
      </c>
      <c r="C3036" s="10" t="s">
        <v>1678</v>
      </c>
      <c r="D3036" s="10" t="s">
        <v>1679</v>
      </c>
      <c r="E3036" s="10" t="s">
        <v>1682</v>
      </c>
      <c r="F3036" t="s">
        <v>863</v>
      </c>
      <c r="G3036" s="4">
        <v>26905</v>
      </c>
      <c r="H3036" s="4"/>
      <c r="I3036" s="4"/>
      <c r="J3036" s="4">
        <f>SUM(G3036:I3036)</f>
        <v>26905</v>
      </c>
      <c r="K3036" t="s">
        <v>1659</v>
      </c>
      <c r="L3036" t="s">
        <v>1659</v>
      </c>
      <c r="M3036" t="s">
        <v>863</v>
      </c>
      <c r="N3036" t="s">
        <v>1132</v>
      </c>
      <c r="O3036" t="s">
        <v>1132</v>
      </c>
      <c r="P3036" t="str">
        <f>IFERROR(VLOOKUP(F3036,Sheet1!$A$2:$B$54,2,FALSE),"")</f>
        <v/>
      </c>
    </row>
    <row r="3037" spans="1:16" x14ac:dyDescent="0.2">
      <c r="A3037" s="1">
        <v>2015</v>
      </c>
      <c r="B3037" t="s">
        <v>367</v>
      </c>
      <c r="C3037" s="10" t="s">
        <v>1678</v>
      </c>
      <c r="D3037" s="10" t="s">
        <v>1679</v>
      </c>
      <c r="E3037" s="10" t="s">
        <v>1682</v>
      </c>
      <c r="F3037" t="s">
        <v>864</v>
      </c>
      <c r="G3037" s="4">
        <v>2158</v>
      </c>
      <c r="H3037" s="4"/>
      <c r="I3037" s="4"/>
      <c r="J3037" s="4">
        <f>SUM(G3037:I3037)</f>
        <v>2158</v>
      </c>
      <c r="K3037" t="s">
        <v>1659</v>
      </c>
      <c r="L3037" t="s">
        <v>1659</v>
      </c>
      <c r="M3037" t="s">
        <v>1472</v>
      </c>
      <c r="N3037" t="s">
        <v>1132</v>
      </c>
      <c r="O3037" t="s">
        <v>1132</v>
      </c>
      <c r="P3037" t="str">
        <f>IFERROR(VLOOKUP(F3037,Sheet1!$A$2:$B$54,2,FALSE),"")</f>
        <v/>
      </c>
    </row>
    <row r="3038" spans="1:16" x14ac:dyDescent="0.2">
      <c r="A3038" s="1">
        <v>2016</v>
      </c>
      <c r="B3038" t="s">
        <v>367</v>
      </c>
      <c r="C3038" s="10" t="s">
        <v>1678</v>
      </c>
      <c r="D3038" s="10" t="s">
        <v>1679</v>
      </c>
      <c r="E3038" s="10" t="s">
        <v>1682</v>
      </c>
      <c r="F3038" t="s">
        <v>864</v>
      </c>
      <c r="G3038" s="4">
        <v>4381</v>
      </c>
      <c r="H3038" s="4"/>
      <c r="I3038" s="4"/>
      <c r="J3038" s="4">
        <f>SUM(G3038:I3038)</f>
        <v>4381</v>
      </c>
      <c r="K3038" t="s">
        <v>1659</v>
      </c>
      <c r="L3038" t="s">
        <v>1659</v>
      </c>
      <c r="M3038" t="s">
        <v>1472</v>
      </c>
      <c r="N3038" t="s">
        <v>1132</v>
      </c>
      <c r="O3038" t="s">
        <v>1132</v>
      </c>
      <c r="P3038" t="str">
        <f>IFERROR(VLOOKUP(F3038,Sheet1!$A$2:$B$54,2,FALSE),"")</f>
        <v/>
      </c>
    </row>
    <row r="3039" spans="1:16" x14ac:dyDescent="0.2">
      <c r="A3039" s="1">
        <v>2017</v>
      </c>
      <c r="B3039" t="s">
        <v>367</v>
      </c>
      <c r="C3039" s="10" t="s">
        <v>1678</v>
      </c>
      <c r="D3039" s="10" t="s">
        <v>1679</v>
      </c>
      <c r="E3039" s="10" t="s">
        <v>1682</v>
      </c>
      <c r="F3039" t="s">
        <v>864</v>
      </c>
      <c r="G3039" s="4">
        <v>4567</v>
      </c>
      <c r="H3039" s="4"/>
      <c r="I3039" s="4"/>
      <c r="J3039" s="4">
        <f>SUM(G3039:I3039)</f>
        <v>4567</v>
      </c>
      <c r="K3039" t="s">
        <v>1659</v>
      </c>
      <c r="L3039" t="s">
        <v>1659</v>
      </c>
      <c r="M3039" t="s">
        <v>1472</v>
      </c>
      <c r="N3039" t="s">
        <v>1132</v>
      </c>
      <c r="O3039" t="s">
        <v>1132</v>
      </c>
      <c r="P3039" t="str">
        <f>IFERROR(VLOOKUP(F3039,Sheet1!$A$2:$B$54,2,FALSE),"")</f>
        <v/>
      </c>
    </row>
    <row r="3040" spans="1:16" x14ac:dyDescent="0.2">
      <c r="A3040" s="1">
        <v>2018</v>
      </c>
      <c r="B3040" t="s">
        <v>367</v>
      </c>
      <c r="C3040" s="10" t="s">
        <v>1678</v>
      </c>
      <c r="D3040" s="10" t="s">
        <v>1679</v>
      </c>
      <c r="E3040" s="10" t="s">
        <v>1682</v>
      </c>
      <c r="F3040" t="s">
        <v>864</v>
      </c>
      <c r="G3040" s="4">
        <v>1639</v>
      </c>
      <c r="H3040" s="4"/>
      <c r="I3040" s="4"/>
      <c r="J3040" s="4">
        <f>SUM(G3040:I3040)</f>
        <v>1639</v>
      </c>
      <c r="K3040" t="s">
        <v>1659</v>
      </c>
      <c r="L3040" t="s">
        <v>1659</v>
      </c>
      <c r="M3040" t="s">
        <v>1472</v>
      </c>
      <c r="N3040" t="s">
        <v>1132</v>
      </c>
      <c r="O3040" t="s">
        <v>1132</v>
      </c>
      <c r="P3040" t="str">
        <f>IFERROR(VLOOKUP(F3040,Sheet1!$A$2:$B$54,2,FALSE),"")</f>
        <v/>
      </c>
    </row>
    <row r="3041" spans="1:16" x14ac:dyDescent="0.2">
      <c r="A3041" s="1">
        <v>2019</v>
      </c>
      <c r="B3041" t="s">
        <v>367</v>
      </c>
      <c r="C3041" s="10" t="s">
        <v>1678</v>
      </c>
      <c r="D3041" s="10" t="s">
        <v>1679</v>
      </c>
      <c r="E3041" s="10" t="s">
        <v>1682</v>
      </c>
      <c r="F3041" t="s">
        <v>864</v>
      </c>
      <c r="G3041" s="4">
        <v>5309</v>
      </c>
      <c r="H3041" s="4"/>
      <c r="I3041" s="4"/>
      <c r="J3041" s="4">
        <f>SUM(G3041:I3041)</f>
        <v>5309</v>
      </c>
      <c r="K3041" t="s">
        <v>1659</v>
      </c>
      <c r="L3041" t="s">
        <v>1659</v>
      </c>
      <c r="M3041" t="s">
        <v>1472</v>
      </c>
      <c r="N3041" t="s">
        <v>1132</v>
      </c>
      <c r="O3041" t="s">
        <v>1132</v>
      </c>
      <c r="P3041" t="str">
        <f>IFERROR(VLOOKUP(F3041,Sheet1!$A$2:$B$54,2,FALSE),"")</f>
        <v/>
      </c>
    </row>
    <row r="3042" spans="1:16" x14ac:dyDescent="0.2">
      <c r="A3042" s="1">
        <v>2020</v>
      </c>
      <c r="B3042" t="s">
        <v>367</v>
      </c>
      <c r="C3042" s="10" t="s">
        <v>1678</v>
      </c>
      <c r="D3042" s="10" t="s">
        <v>1679</v>
      </c>
      <c r="E3042" s="10" t="s">
        <v>1682</v>
      </c>
      <c r="F3042" t="s">
        <v>864</v>
      </c>
      <c r="G3042" s="4">
        <v>719</v>
      </c>
      <c r="H3042" s="4"/>
      <c r="I3042" s="4"/>
      <c r="J3042" s="4">
        <f>SUM(G3042:I3042)</f>
        <v>719</v>
      </c>
      <c r="K3042" t="s">
        <v>1659</v>
      </c>
      <c r="L3042" t="s">
        <v>1659</v>
      </c>
      <c r="M3042" t="s">
        <v>1472</v>
      </c>
      <c r="N3042" t="s">
        <v>1132</v>
      </c>
      <c r="O3042" t="s">
        <v>1132</v>
      </c>
      <c r="P3042" t="str">
        <f>IFERROR(VLOOKUP(F3042,Sheet1!$A$2:$B$54,2,FALSE),"")</f>
        <v/>
      </c>
    </row>
    <row r="3043" spans="1:16" x14ac:dyDescent="0.2">
      <c r="A3043" s="1">
        <v>2021</v>
      </c>
      <c r="B3043" t="s">
        <v>367</v>
      </c>
      <c r="C3043" s="10" t="s">
        <v>1678</v>
      </c>
      <c r="D3043" s="10" t="s">
        <v>1679</v>
      </c>
      <c r="E3043" s="10" t="s">
        <v>1682</v>
      </c>
      <c r="F3043" t="s">
        <v>864</v>
      </c>
      <c r="G3043" s="4">
        <v>0</v>
      </c>
      <c r="H3043" s="4">
        <v>0</v>
      </c>
      <c r="I3043" s="4"/>
      <c r="J3043" s="4">
        <f>SUM(G3043:I3043)</f>
        <v>0</v>
      </c>
      <c r="K3043" t="s">
        <v>1660</v>
      </c>
      <c r="L3043" t="s">
        <v>1659</v>
      </c>
      <c r="M3043" t="s">
        <v>864</v>
      </c>
      <c r="N3043" t="s">
        <v>864</v>
      </c>
      <c r="O3043" t="s">
        <v>1132</v>
      </c>
      <c r="P3043" t="str">
        <f>IFERROR(VLOOKUP(F3043,Sheet1!$A$2:$B$54,2,FALSE),"")</f>
        <v/>
      </c>
    </row>
    <row r="3044" spans="1:16" x14ac:dyDescent="0.2">
      <c r="A3044" s="1">
        <v>2022</v>
      </c>
      <c r="B3044" t="s">
        <v>367</v>
      </c>
      <c r="C3044" s="10" t="s">
        <v>1678</v>
      </c>
      <c r="D3044" s="10" t="s">
        <v>1679</v>
      </c>
      <c r="E3044" s="10" t="s">
        <v>1682</v>
      </c>
      <c r="F3044" t="s">
        <v>864</v>
      </c>
      <c r="G3044" s="4">
        <v>7450</v>
      </c>
      <c r="H3044" s="4"/>
      <c r="I3044" s="4"/>
      <c r="J3044" s="4">
        <f>SUM(G3044:I3044)</f>
        <v>7450</v>
      </c>
      <c r="K3044" t="s">
        <v>1659</v>
      </c>
      <c r="L3044" t="s">
        <v>1659</v>
      </c>
      <c r="M3044" t="s">
        <v>864</v>
      </c>
      <c r="N3044" t="s">
        <v>1132</v>
      </c>
      <c r="O3044" t="s">
        <v>1132</v>
      </c>
      <c r="P3044" t="str">
        <f>IFERROR(VLOOKUP(F3044,Sheet1!$A$2:$B$54,2,FALSE),"")</f>
        <v/>
      </c>
    </row>
    <row r="3045" spans="1:16" x14ac:dyDescent="0.2">
      <c r="A3045" s="1">
        <v>2023</v>
      </c>
      <c r="B3045" t="s">
        <v>367</v>
      </c>
      <c r="C3045" s="10" t="s">
        <v>1678</v>
      </c>
      <c r="D3045" s="10" t="s">
        <v>1679</v>
      </c>
      <c r="E3045" s="10" t="s">
        <v>1682</v>
      </c>
      <c r="F3045" t="s">
        <v>864</v>
      </c>
      <c r="G3045" s="4">
        <v>5065</v>
      </c>
      <c r="H3045" s="4"/>
      <c r="I3045" s="4"/>
      <c r="J3045" s="4">
        <f>SUM(G3045:I3045)</f>
        <v>5065</v>
      </c>
      <c r="K3045" t="s">
        <v>1659</v>
      </c>
      <c r="L3045" t="s">
        <v>1659</v>
      </c>
      <c r="M3045" t="s">
        <v>864</v>
      </c>
      <c r="N3045" t="s">
        <v>1132</v>
      </c>
      <c r="O3045" t="s">
        <v>1132</v>
      </c>
      <c r="P3045" t="str">
        <f>IFERROR(VLOOKUP(F3045,Sheet1!$A$2:$B$54,2,FALSE),"")</f>
        <v/>
      </c>
    </row>
    <row r="3046" spans="1:16" x14ac:dyDescent="0.2">
      <c r="A3046" s="1">
        <v>2015</v>
      </c>
      <c r="B3046" t="s">
        <v>368</v>
      </c>
      <c r="C3046" s="10" t="s">
        <v>1678</v>
      </c>
      <c r="D3046" s="10" t="s">
        <v>1679</v>
      </c>
      <c r="E3046" s="10" t="s">
        <v>1682</v>
      </c>
      <c r="F3046" t="s">
        <v>865</v>
      </c>
      <c r="G3046" s="4">
        <v>2894</v>
      </c>
      <c r="H3046" s="4"/>
      <c r="I3046" s="4"/>
      <c r="J3046" s="4">
        <f>SUM(G3046:I3046)</f>
        <v>2894</v>
      </c>
      <c r="K3046" t="s">
        <v>1659</v>
      </c>
      <c r="L3046" t="s">
        <v>1659</v>
      </c>
      <c r="M3046" t="s">
        <v>1473</v>
      </c>
      <c r="N3046" t="s">
        <v>1132</v>
      </c>
      <c r="O3046" t="s">
        <v>1132</v>
      </c>
      <c r="P3046" t="str">
        <f>IFERROR(VLOOKUP(F3046,Sheet1!$A$2:$B$54,2,FALSE),"")</f>
        <v/>
      </c>
    </row>
    <row r="3047" spans="1:16" x14ac:dyDescent="0.2">
      <c r="A3047" s="1">
        <v>2016</v>
      </c>
      <c r="B3047" t="s">
        <v>368</v>
      </c>
      <c r="C3047" s="10" t="s">
        <v>1678</v>
      </c>
      <c r="D3047" s="10" t="s">
        <v>1679</v>
      </c>
      <c r="E3047" s="10" t="s">
        <v>1682</v>
      </c>
      <c r="F3047" t="s">
        <v>865</v>
      </c>
      <c r="G3047" s="4">
        <v>3618</v>
      </c>
      <c r="H3047" s="4"/>
      <c r="I3047" s="4"/>
      <c r="J3047" s="4">
        <f>SUM(G3047:I3047)</f>
        <v>3618</v>
      </c>
      <c r="K3047" t="s">
        <v>1659</v>
      </c>
      <c r="L3047" t="s">
        <v>1659</v>
      </c>
      <c r="M3047" t="s">
        <v>1473</v>
      </c>
      <c r="N3047" t="s">
        <v>1132</v>
      </c>
      <c r="O3047" t="s">
        <v>1132</v>
      </c>
      <c r="P3047" t="str">
        <f>IFERROR(VLOOKUP(F3047,Sheet1!$A$2:$B$54,2,FALSE),"")</f>
        <v/>
      </c>
    </row>
    <row r="3048" spans="1:16" x14ac:dyDescent="0.2">
      <c r="A3048" s="1">
        <v>2017</v>
      </c>
      <c r="B3048" t="s">
        <v>368</v>
      </c>
      <c r="C3048" s="10" t="s">
        <v>1678</v>
      </c>
      <c r="D3048" s="10" t="s">
        <v>1679</v>
      </c>
      <c r="E3048" s="10" t="s">
        <v>1682</v>
      </c>
      <c r="F3048" t="s">
        <v>865</v>
      </c>
      <c r="G3048" s="4">
        <v>5272</v>
      </c>
      <c r="H3048" s="4"/>
      <c r="I3048" s="4"/>
      <c r="J3048" s="4">
        <f>SUM(G3048:I3048)</f>
        <v>5272</v>
      </c>
      <c r="K3048" t="s">
        <v>1659</v>
      </c>
      <c r="L3048" t="s">
        <v>1659</v>
      </c>
      <c r="M3048" t="s">
        <v>1473</v>
      </c>
      <c r="N3048" t="s">
        <v>1132</v>
      </c>
      <c r="O3048" t="s">
        <v>1132</v>
      </c>
      <c r="P3048" t="str">
        <f>IFERROR(VLOOKUP(F3048,Sheet1!$A$2:$B$54,2,FALSE),"")</f>
        <v/>
      </c>
    </row>
    <row r="3049" spans="1:16" x14ac:dyDescent="0.2">
      <c r="A3049" s="1">
        <v>2018</v>
      </c>
      <c r="B3049" t="s">
        <v>368</v>
      </c>
      <c r="C3049" s="10" t="s">
        <v>1678</v>
      </c>
      <c r="D3049" s="10" t="s">
        <v>1679</v>
      </c>
      <c r="E3049" s="10" t="s">
        <v>1682</v>
      </c>
      <c r="F3049" t="s">
        <v>865</v>
      </c>
      <c r="G3049" s="4">
        <v>6280</v>
      </c>
      <c r="H3049" s="4"/>
      <c r="I3049" s="4"/>
      <c r="J3049" s="4">
        <f>SUM(G3049:I3049)</f>
        <v>6280</v>
      </c>
      <c r="K3049" t="s">
        <v>1659</v>
      </c>
      <c r="L3049" t="s">
        <v>1659</v>
      </c>
      <c r="M3049" t="s">
        <v>1473</v>
      </c>
      <c r="N3049" t="s">
        <v>1132</v>
      </c>
      <c r="O3049" t="s">
        <v>1132</v>
      </c>
      <c r="P3049" t="str">
        <f>IFERROR(VLOOKUP(F3049,Sheet1!$A$2:$B$54,2,FALSE),"")</f>
        <v/>
      </c>
    </row>
    <row r="3050" spans="1:16" x14ac:dyDescent="0.2">
      <c r="A3050" s="1">
        <v>2019</v>
      </c>
      <c r="B3050" t="s">
        <v>368</v>
      </c>
      <c r="C3050" s="10" t="s">
        <v>1678</v>
      </c>
      <c r="D3050" s="10" t="s">
        <v>1679</v>
      </c>
      <c r="E3050" s="10" t="s">
        <v>1682</v>
      </c>
      <c r="F3050" t="s">
        <v>865</v>
      </c>
      <c r="G3050" s="4">
        <v>8416</v>
      </c>
      <c r="H3050" s="4"/>
      <c r="I3050" s="4"/>
      <c r="J3050" s="4">
        <f>SUM(G3050:I3050)</f>
        <v>8416</v>
      </c>
      <c r="K3050" t="s">
        <v>1659</v>
      </c>
      <c r="L3050" t="s">
        <v>1659</v>
      </c>
      <c r="M3050" t="s">
        <v>1473</v>
      </c>
      <c r="N3050" t="s">
        <v>1132</v>
      </c>
      <c r="O3050" t="s">
        <v>1132</v>
      </c>
      <c r="P3050" t="str">
        <f>IFERROR(VLOOKUP(F3050,Sheet1!$A$2:$B$54,2,FALSE),"")</f>
        <v/>
      </c>
    </row>
    <row r="3051" spans="1:16" x14ac:dyDescent="0.2">
      <c r="A3051" s="1">
        <v>2020</v>
      </c>
      <c r="B3051" t="s">
        <v>368</v>
      </c>
      <c r="C3051" s="10" t="s">
        <v>1678</v>
      </c>
      <c r="D3051" s="10" t="s">
        <v>1679</v>
      </c>
      <c r="E3051" s="10" t="s">
        <v>1682</v>
      </c>
      <c r="F3051" t="s">
        <v>865</v>
      </c>
      <c r="G3051" s="4">
        <v>10269</v>
      </c>
      <c r="H3051" s="4"/>
      <c r="I3051" s="4"/>
      <c r="J3051" s="4">
        <f>SUM(G3051:I3051)</f>
        <v>10269</v>
      </c>
      <c r="K3051" t="s">
        <v>1659</v>
      </c>
      <c r="L3051" t="s">
        <v>1659</v>
      </c>
      <c r="M3051" t="s">
        <v>1473</v>
      </c>
      <c r="N3051" t="s">
        <v>1132</v>
      </c>
      <c r="O3051" t="s">
        <v>1132</v>
      </c>
      <c r="P3051" t="str">
        <f>IFERROR(VLOOKUP(F3051,Sheet1!$A$2:$B$54,2,FALSE),"")</f>
        <v/>
      </c>
    </row>
    <row r="3052" spans="1:16" x14ac:dyDescent="0.2">
      <c r="A3052" s="1">
        <v>2021</v>
      </c>
      <c r="B3052" t="s">
        <v>368</v>
      </c>
      <c r="C3052" s="10" t="s">
        <v>1678</v>
      </c>
      <c r="D3052" s="10" t="s">
        <v>1679</v>
      </c>
      <c r="E3052" s="10" t="s">
        <v>1682</v>
      </c>
      <c r="F3052" t="s">
        <v>865</v>
      </c>
      <c r="G3052" s="4">
        <v>12894</v>
      </c>
      <c r="H3052" s="4"/>
      <c r="I3052" s="4"/>
      <c r="J3052" s="4">
        <f>SUM(G3052:I3052)</f>
        <v>12894</v>
      </c>
      <c r="K3052" t="s">
        <v>1659</v>
      </c>
      <c r="L3052" t="s">
        <v>1659</v>
      </c>
      <c r="M3052" t="s">
        <v>865</v>
      </c>
      <c r="N3052" t="s">
        <v>1132</v>
      </c>
      <c r="O3052" t="s">
        <v>1132</v>
      </c>
      <c r="P3052" t="str">
        <f>IFERROR(VLOOKUP(F3052,Sheet1!$A$2:$B$54,2,FALSE),"")</f>
        <v/>
      </c>
    </row>
    <row r="3053" spans="1:16" x14ac:dyDescent="0.2">
      <c r="A3053" s="1">
        <v>2022</v>
      </c>
      <c r="B3053" t="s">
        <v>368</v>
      </c>
      <c r="C3053" s="10" t="s">
        <v>1678</v>
      </c>
      <c r="D3053" s="10" t="s">
        <v>1679</v>
      </c>
      <c r="E3053" s="10" t="s">
        <v>1682</v>
      </c>
      <c r="F3053" t="s">
        <v>865</v>
      </c>
      <c r="G3053" s="4">
        <v>25792</v>
      </c>
      <c r="H3053" s="4"/>
      <c r="I3053" s="4"/>
      <c r="J3053" s="4">
        <f>SUM(G3053:I3053)</f>
        <v>25792</v>
      </c>
      <c r="K3053" t="s">
        <v>1659</v>
      </c>
      <c r="L3053" t="s">
        <v>1659</v>
      </c>
      <c r="M3053" t="s">
        <v>865</v>
      </c>
      <c r="N3053" t="s">
        <v>1132</v>
      </c>
      <c r="O3053" t="s">
        <v>1132</v>
      </c>
      <c r="P3053" t="str">
        <f>IFERROR(VLOOKUP(F3053,Sheet1!$A$2:$B$54,2,FALSE),"")</f>
        <v/>
      </c>
    </row>
    <row r="3054" spans="1:16" x14ac:dyDescent="0.2">
      <c r="A3054" s="1">
        <v>2023</v>
      </c>
      <c r="B3054" t="s">
        <v>368</v>
      </c>
      <c r="C3054" s="10" t="s">
        <v>1678</v>
      </c>
      <c r="D3054" s="10" t="s">
        <v>1679</v>
      </c>
      <c r="E3054" s="10" t="s">
        <v>1682</v>
      </c>
      <c r="F3054" t="s">
        <v>865</v>
      </c>
      <c r="G3054" s="4">
        <v>41774</v>
      </c>
      <c r="H3054" s="4"/>
      <c r="I3054" s="4"/>
      <c r="J3054" s="4">
        <f>SUM(G3054:I3054)</f>
        <v>41774</v>
      </c>
      <c r="K3054" t="s">
        <v>1659</v>
      </c>
      <c r="L3054" t="s">
        <v>1659</v>
      </c>
      <c r="M3054" t="s">
        <v>865</v>
      </c>
      <c r="N3054" t="s">
        <v>1132</v>
      </c>
      <c r="O3054" t="s">
        <v>1132</v>
      </c>
      <c r="P3054" t="str">
        <f>IFERROR(VLOOKUP(F3054,Sheet1!$A$2:$B$54,2,FALSE),"")</f>
        <v/>
      </c>
    </row>
    <row r="3055" spans="1:16" x14ac:dyDescent="0.2">
      <c r="A3055" s="1">
        <v>2022</v>
      </c>
      <c r="B3055" t="s">
        <v>369</v>
      </c>
      <c r="C3055" s="10" t="s">
        <v>1678</v>
      </c>
      <c r="D3055" s="10" t="s">
        <v>1679</v>
      </c>
      <c r="E3055" s="10" t="s">
        <v>1682</v>
      </c>
      <c r="F3055" t="s">
        <v>866</v>
      </c>
      <c r="G3055" s="4">
        <v>2820</v>
      </c>
      <c r="H3055" s="4"/>
      <c r="I3055" s="4"/>
      <c r="J3055" s="4">
        <f>SUM(G3055:I3055)</f>
        <v>2820</v>
      </c>
      <c r="K3055" t="s">
        <v>1659</v>
      </c>
      <c r="L3055" t="s">
        <v>1659</v>
      </c>
      <c r="M3055" t="s">
        <v>866</v>
      </c>
      <c r="N3055" t="s">
        <v>1132</v>
      </c>
      <c r="O3055" t="s">
        <v>1132</v>
      </c>
      <c r="P3055" t="str">
        <f>IFERROR(VLOOKUP(F3055,Sheet1!$A$2:$B$54,2,FALSE),"")</f>
        <v/>
      </c>
    </row>
    <row r="3056" spans="1:16" x14ac:dyDescent="0.2">
      <c r="A3056" s="1">
        <v>2023</v>
      </c>
      <c r="B3056" t="s">
        <v>369</v>
      </c>
      <c r="C3056" s="10" t="s">
        <v>1678</v>
      </c>
      <c r="D3056" s="10" t="s">
        <v>1679</v>
      </c>
      <c r="E3056" s="10" t="s">
        <v>1682</v>
      </c>
      <c r="F3056" t="s">
        <v>866</v>
      </c>
      <c r="G3056" s="4">
        <v>4277</v>
      </c>
      <c r="H3056" s="4"/>
      <c r="I3056" s="4"/>
      <c r="J3056" s="4">
        <f>SUM(G3056:I3056)</f>
        <v>4277</v>
      </c>
      <c r="K3056" t="s">
        <v>1659</v>
      </c>
      <c r="L3056" t="s">
        <v>1659</v>
      </c>
      <c r="M3056" t="s">
        <v>866</v>
      </c>
      <c r="N3056" t="s">
        <v>1132</v>
      </c>
      <c r="O3056" t="s">
        <v>1132</v>
      </c>
      <c r="P3056" t="str">
        <f>IFERROR(VLOOKUP(F3056,Sheet1!$A$2:$B$54,2,FALSE),"")</f>
        <v/>
      </c>
    </row>
    <row r="3057" spans="1:16" x14ac:dyDescent="0.2">
      <c r="A3057" s="1">
        <v>2015</v>
      </c>
      <c r="B3057" t="s">
        <v>370</v>
      </c>
      <c r="C3057" s="10" t="s">
        <v>1678</v>
      </c>
      <c r="D3057" s="10" t="s">
        <v>1679</v>
      </c>
      <c r="E3057" s="10" t="s">
        <v>1682</v>
      </c>
      <c r="F3057" t="s">
        <v>867</v>
      </c>
      <c r="G3057" s="4">
        <v>5184</v>
      </c>
      <c r="H3057" s="4"/>
      <c r="I3057" s="4"/>
      <c r="J3057" s="4">
        <f>SUM(G3057:I3057)</f>
        <v>5184</v>
      </c>
      <c r="K3057" t="s">
        <v>1659</v>
      </c>
      <c r="L3057" t="s">
        <v>1659</v>
      </c>
      <c r="M3057" t="s">
        <v>1474</v>
      </c>
      <c r="N3057" t="s">
        <v>1132</v>
      </c>
      <c r="O3057" t="s">
        <v>1132</v>
      </c>
      <c r="P3057" t="str">
        <f>IFERROR(VLOOKUP(F3057,Sheet1!$A$2:$B$54,2,FALSE),"")</f>
        <v/>
      </c>
    </row>
    <row r="3058" spans="1:16" x14ac:dyDescent="0.2">
      <c r="A3058" s="1">
        <v>2016</v>
      </c>
      <c r="B3058" t="s">
        <v>370</v>
      </c>
      <c r="C3058" s="10" t="s">
        <v>1678</v>
      </c>
      <c r="D3058" s="10" t="s">
        <v>1679</v>
      </c>
      <c r="E3058" s="10" t="s">
        <v>1682</v>
      </c>
      <c r="F3058" t="s">
        <v>867</v>
      </c>
      <c r="G3058" s="4">
        <v>10386</v>
      </c>
      <c r="H3058" s="4"/>
      <c r="I3058" s="4"/>
      <c r="J3058" s="4">
        <f>SUM(G3058:I3058)</f>
        <v>10386</v>
      </c>
      <c r="K3058" t="s">
        <v>1659</v>
      </c>
      <c r="L3058" t="s">
        <v>1659</v>
      </c>
      <c r="M3058" t="s">
        <v>1474</v>
      </c>
      <c r="N3058" t="s">
        <v>1132</v>
      </c>
      <c r="O3058" t="s">
        <v>1132</v>
      </c>
      <c r="P3058" t="str">
        <f>IFERROR(VLOOKUP(F3058,Sheet1!$A$2:$B$54,2,FALSE),"")</f>
        <v/>
      </c>
    </row>
    <row r="3059" spans="1:16" x14ac:dyDescent="0.2">
      <c r="A3059" s="1">
        <v>2017</v>
      </c>
      <c r="B3059" t="s">
        <v>370</v>
      </c>
      <c r="C3059" s="10" t="s">
        <v>1678</v>
      </c>
      <c r="D3059" s="10" t="s">
        <v>1679</v>
      </c>
      <c r="E3059" s="10" t="s">
        <v>1682</v>
      </c>
      <c r="F3059" t="s">
        <v>867</v>
      </c>
      <c r="G3059" s="4">
        <v>12346</v>
      </c>
      <c r="H3059" s="4"/>
      <c r="I3059" s="4"/>
      <c r="J3059" s="4">
        <f>SUM(G3059:I3059)</f>
        <v>12346</v>
      </c>
      <c r="K3059" t="s">
        <v>1659</v>
      </c>
      <c r="L3059" t="s">
        <v>1659</v>
      </c>
      <c r="M3059" t="s">
        <v>1474</v>
      </c>
      <c r="N3059" t="s">
        <v>1132</v>
      </c>
      <c r="O3059" t="s">
        <v>1132</v>
      </c>
      <c r="P3059" t="str">
        <f>IFERROR(VLOOKUP(F3059,Sheet1!$A$2:$B$54,2,FALSE),"")</f>
        <v/>
      </c>
    </row>
    <row r="3060" spans="1:16" x14ac:dyDescent="0.2">
      <c r="A3060" s="1">
        <v>2018</v>
      </c>
      <c r="B3060" t="s">
        <v>370</v>
      </c>
      <c r="C3060" s="10" t="s">
        <v>1678</v>
      </c>
      <c r="D3060" s="10" t="s">
        <v>1679</v>
      </c>
      <c r="E3060" s="10" t="s">
        <v>1682</v>
      </c>
      <c r="F3060" t="s">
        <v>867</v>
      </c>
      <c r="G3060" s="4">
        <v>12545</v>
      </c>
      <c r="H3060" s="4"/>
      <c r="I3060" s="4"/>
      <c r="J3060" s="4">
        <f>SUM(G3060:I3060)</f>
        <v>12545</v>
      </c>
      <c r="K3060" t="s">
        <v>1659</v>
      </c>
      <c r="L3060" t="s">
        <v>1659</v>
      </c>
      <c r="M3060" t="s">
        <v>1474</v>
      </c>
      <c r="N3060" t="s">
        <v>1132</v>
      </c>
      <c r="O3060" t="s">
        <v>1132</v>
      </c>
      <c r="P3060" t="str">
        <f>IFERROR(VLOOKUP(F3060,Sheet1!$A$2:$B$54,2,FALSE),"")</f>
        <v/>
      </c>
    </row>
    <row r="3061" spans="1:16" x14ac:dyDescent="0.2">
      <c r="A3061" s="1">
        <v>2019</v>
      </c>
      <c r="B3061" t="s">
        <v>370</v>
      </c>
      <c r="C3061" s="10" t="s">
        <v>1678</v>
      </c>
      <c r="D3061" s="10" t="s">
        <v>1679</v>
      </c>
      <c r="E3061" s="10" t="s">
        <v>1682</v>
      </c>
      <c r="F3061" t="s">
        <v>867</v>
      </c>
      <c r="G3061" s="4">
        <v>13008</v>
      </c>
      <c r="H3061" s="4"/>
      <c r="I3061" s="4"/>
      <c r="J3061" s="4">
        <f>SUM(G3061:I3061)</f>
        <v>13008</v>
      </c>
      <c r="K3061" t="s">
        <v>1659</v>
      </c>
      <c r="L3061" t="s">
        <v>1659</v>
      </c>
      <c r="M3061" t="s">
        <v>1474</v>
      </c>
      <c r="N3061" t="s">
        <v>1132</v>
      </c>
      <c r="O3061" t="s">
        <v>1132</v>
      </c>
      <c r="P3061" t="str">
        <f>IFERROR(VLOOKUP(F3061,Sheet1!$A$2:$B$54,2,FALSE),"")</f>
        <v/>
      </c>
    </row>
    <row r="3062" spans="1:16" x14ac:dyDescent="0.2">
      <c r="A3062" s="1">
        <v>2020</v>
      </c>
      <c r="B3062" t="s">
        <v>370</v>
      </c>
      <c r="C3062" s="10" t="s">
        <v>1678</v>
      </c>
      <c r="D3062" s="10" t="s">
        <v>1679</v>
      </c>
      <c r="E3062" s="10" t="s">
        <v>1682</v>
      </c>
      <c r="F3062" t="s">
        <v>867</v>
      </c>
      <c r="G3062" s="4">
        <v>13588</v>
      </c>
      <c r="H3062" s="4"/>
      <c r="I3062" s="4"/>
      <c r="J3062" s="4">
        <f>SUM(G3062:I3062)</f>
        <v>13588</v>
      </c>
      <c r="K3062" t="s">
        <v>1659</v>
      </c>
      <c r="L3062" t="s">
        <v>1659</v>
      </c>
      <c r="M3062" t="s">
        <v>1474</v>
      </c>
      <c r="N3062" t="s">
        <v>1132</v>
      </c>
      <c r="O3062" t="s">
        <v>1132</v>
      </c>
      <c r="P3062" t="str">
        <f>IFERROR(VLOOKUP(F3062,Sheet1!$A$2:$B$54,2,FALSE),"")</f>
        <v/>
      </c>
    </row>
    <row r="3063" spans="1:16" x14ac:dyDescent="0.2">
      <c r="A3063" s="1">
        <v>2021</v>
      </c>
      <c r="B3063" t="s">
        <v>370</v>
      </c>
      <c r="C3063" s="10" t="s">
        <v>1678</v>
      </c>
      <c r="D3063" s="10" t="s">
        <v>1679</v>
      </c>
      <c r="E3063" s="10" t="s">
        <v>1682</v>
      </c>
      <c r="F3063" t="s">
        <v>867</v>
      </c>
      <c r="G3063" s="4">
        <v>18664</v>
      </c>
      <c r="H3063" s="4"/>
      <c r="I3063" s="4"/>
      <c r="J3063" s="4">
        <f>SUM(G3063:I3063)</f>
        <v>18664</v>
      </c>
      <c r="K3063" t="s">
        <v>1659</v>
      </c>
      <c r="L3063" t="s">
        <v>1659</v>
      </c>
      <c r="M3063" t="s">
        <v>867</v>
      </c>
      <c r="N3063" t="s">
        <v>1132</v>
      </c>
      <c r="O3063" t="s">
        <v>1132</v>
      </c>
      <c r="P3063" t="str">
        <f>IFERROR(VLOOKUP(F3063,Sheet1!$A$2:$B$54,2,FALSE),"")</f>
        <v/>
      </c>
    </row>
    <row r="3064" spans="1:16" x14ac:dyDescent="0.2">
      <c r="A3064" s="1">
        <v>2022</v>
      </c>
      <c r="B3064" t="s">
        <v>370</v>
      </c>
      <c r="C3064" s="10" t="s">
        <v>1678</v>
      </c>
      <c r="D3064" s="10" t="s">
        <v>1679</v>
      </c>
      <c r="E3064" s="10" t="s">
        <v>1682</v>
      </c>
      <c r="F3064" t="s">
        <v>867</v>
      </c>
      <c r="G3064" s="4">
        <v>30763</v>
      </c>
      <c r="H3064" s="4"/>
      <c r="I3064" s="4"/>
      <c r="J3064" s="4">
        <f>SUM(G3064:I3064)</f>
        <v>30763</v>
      </c>
      <c r="K3064" t="s">
        <v>1659</v>
      </c>
      <c r="L3064" t="s">
        <v>1659</v>
      </c>
      <c r="M3064" t="s">
        <v>867</v>
      </c>
      <c r="N3064" t="s">
        <v>1132</v>
      </c>
      <c r="O3064" t="s">
        <v>1132</v>
      </c>
      <c r="P3064" t="str">
        <f>IFERROR(VLOOKUP(F3064,Sheet1!$A$2:$B$54,2,FALSE),"")</f>
        <v/>
      </c>
    </row>
    <row r="3065" spans="1:16" x14ac:dyDescent="0.2">
      <c r="A3065" s="1">
        <v>2023</v>
      </c>
      <c r="B3065" t="s">
        <v>370</v>
      </c>
      <c r="C3065" s="10" t="s">
        <v>1678</v>
      </c>
      <c r="D3065" s="10" t="s">
        <v>1679</v>
      </c>
      <c r="E3065" s="10" t="s">
        <v>1682</v>
      </c>
      <c r="F3065" t="s">
        <v>867</v>
      </c>
      <c r="G3065" s="4">
        <v>36847</v>
      </c>
      <c r="H3065" s="4"/>
      <c r="I3065" s="4"/>
      <c r="J3065" s="4">
        <f>SUM(G3065:I3065)</f>
        <v>36847</v>
      </c>
      <c r="K3065" t="s">
        <v>1659</v>
      </c>
      <c r="L3065" t="s">
        <v>1659</v>
      </c>
      <c r="M3065" t="s">
        <v>867</v>
      </c>
      <c r="N3065" t="s">
        <v>1132</v>
      </c>
      <c r="O3065" t="s">
        <v>1132</v>
      </c>
      <c r="P3065" t="str">
        <f>IFERROR(VLOOKUP(F3065,Sheet1!$A$2:$B$54,2,FALSE),"")</f>
        <v/>
      </c>
    </row>
    <row r="3066" spans="1:16" x14ac:dyDescent="0.2">
      <c r="A3066" s="1">
        <v>2015</v>
      </c>
      <c r="B3066" t="s">
        <v>371</v>
      </c>
      <c r="C3066" s="10" t="s">
        <v>1678</v>
      </c>
      <c r="D3066" s="10" t="s">
        <v>1679</v>
      </c>
      <c r="E3066" s="10" t="s">
        <v>1682</v>
      </c>
      <c r="F3066" t="s">
        <v>868</v>
      </c>
      <c r="G3066" s="4">
        <v>0</v>
      </c>
      <c r="H3066" s="4"/>
      <c r="I3066" s="4"/>
      <c r="J3066" s="4">
        <f>SUM(G3066:I3066)</f>
        <v>0</v>
      </c>
      <c r="K3066" t="s">
        <v>1659</v>
      </c>
      <c r="L3066" t="s">
        <v>1659</v>
      </c>
      <c r="M3066" t="s">
        <v>1475</v>
      </c>
      <c r="N3066" t="s">
        <v>1132</v>
      </c>
      <c r="O3066" t="s">
        <v>1132</v>
      </c>
      <c r="P3066" t="str">
        <f>IFERROR(VLOOKUP(F3066,Sheet1!$A$2:$B$54,2,FALSE),"")</f>
        <v/>
      </c>
    </row>
    <row r="3067" spans="1:16" x14ac:dyDescent="0.2">
      <c r="A3067" s="1">
        <v>2016</v>
      </c>
      <c r="B3067" t="s">
        <v>371</v>
      </c>
      <c r="C3067" s="10" t="s">
        <v>1678</v>
      </c>
      <c r="D3067" s="10" t="s">
        <v>1679</v>
      </c>
      <c r="E3067" s="10" t="s">
        <v>1682</v>
      </c>
      <c r="F3067" t="s">
        <v>868</v>
      </c>
      <c r="G3067" s="4">
        <v>2370</v>
      </c>
      <c r="H3067" s="4"/>
      <c r="I3067" s="4"/>
      <c r="J3067" s="4">
        <f>SUM(G3067:I3067)</f>
        <v>2370</v>
      </c>
      <c r="K3067" t="s">
        <v>1659</v>
      </c>
      <c r="L3067" t="s">
        <v>1659</v>
      </c>
      <c r="M3067" t="s">
        <v>1475</v>
      </c>
      <c r="N3067" t="s">
        <v>1132</v>
      </c>
      <c r="O3067" t="s">
        <v>1132</v>
      </c>
      <c r="P3067" t="str">
        <f>IFERROR(VLOOKUP(F3067,Sheet1!$A$2:$B$54,2,FALSE),"")</f>
        <v/>
      </c>
    </row>
    <row r="3068" spans="1:16" x14ac:dyDescent="0.2">
      <c r="A3068" s="1">
        <v>2017</v>
      </c>
      <c r="B3068" t="s">
        <v>371</v>
      </c>
      <c r="C3068" s="10" t="s">
        <v>1678</v>
      </c>
      <c r="D3068" s="10" t="s">
        <v>1679</v>
      </c>
      <c r="E3068" s="10" t="s">
        <v>1682</v>
      </c>
      <c r="F3068" t="s">
        <v>868</v>
      </c>
      <c r="G3068" s="4">
        <v>5962</v>
      </c>
      <c r="H3068" s="4"/>
      <c r="I3068" s="4"/>
      <c r="J3068" s="4">
        <f>SUM(G3068:I3068)</f>
        <v>5962</v>
      </c>
      <c r="K3068" t="s">
        <v>1659</v>
      </c>
      <c r="L3068" t="s">
        <v>1659</v>
      </c>
      <c r="M3068" t="s">
        <v>1475</v>
      </c>
      <c r="N3068" t="s">
        <v>1132</v>
      </c>
      <c r="O3068" t="s">
        <v>1132</v>
      </c>
      <c r="P3068" t="str">
        <f>IFERROR(VLOOKUP(F3068,Sheet1!$A$2:$B$54,2,FALSE),"")</f>
        <v/>
      </c>
    </row>
    <row r="3069" spans="1:16" x14ac:dyDescent="0.2">
      <c r="A3069" s="1">
        <v>2018</v>
      </c>
      <c r="B3069" t="s">
        <v>371</v>
      </c>
      <c r="C3069" s="10" t="s">
        <v>1678</v>
      </c>
      <c r="D3069" s="10" t="s">
        <v>1679</v>
      </c>
      <c r="E3069" s="10" t="s">
        <v>1682</v>
      </c>
      <c r="F3069" t="s">
        <v>868</v>
      </c>
      <c r="G3069" s="4">
        <v>8375</v>
      </c>
      <c r="H3069" s="4"/>
      <c r="I3069" s="4"/>
      <c r="J3069" s="4">
        <f>SUM(G3069:I3069)</f>
        <v>8375</v>
      </c>
      <c r="K3069" t="s">
        <v>1659</v>
      </c>
      <c r="L3069" t="s">
        <v>1659</v>
      </c>
      <c r="M3069" t="s">
        <v>1475</v>
      </c>
      <c r="N3069" t="s">
        <v>1132</v>
      </c>
      <c r="O3069" t="s">
        <v>1132</v>
      </c>
      <c r="P3069" t="str">
        <f>IFERROR(VLOOKUP(F3069,Sheet1!$A$2:$B$54,2,FALSE),"")</f>
        <v/>
      </c>
    </row>
    <row r="3070" spans="1:16" x14ac:dyDescent="0.2">
      <c r="A3070" s="1">
        <v>2019</v>
      </c>
      <c r="B3070" t="s">
        <v>371</v>
      </c>
      <c r="C3070" s="10" t="s">
        <v>1678</v>
      </c>
      <c r="D3070" s="10" t="s">
        <v>1679</v>
      </c>
      <c r="E3070" s="10" t="s">
        <v>1682</v>
      </c>
      <c r="F3070" t="s">
        <v>868</v>
      </c>
      <c r="G3070" s="4">
        <v>9801</v>
      </c>
      <c r="H3070" s="4"/>
      <c r="I3070" s="4"/>
      <c r="J3070" s="4">
        <f>SUM(G3070:I3070)</f>
        <v>9801</v>
      </c>
      <c r="K3070" t="s">
        <v>1659</v>
      </c>
      <c r="L3070" t="s">
        <v>1659</v>
      </c>
      <c r="M3070" t="s">
        <v>1475</v>
      </c>
      <c r="N3070" t="s">
        <v>1132</v>
      </c>
      <c r="O3070" t="s">
        <v>1132</v>
      </c>
      <c r="P3070" t="str">
        <f>IFERROR(VLOOKUP(F3070,Sheet1!$A$2:$B$54,2,FALSE),"")</f>
        <v/>
      </c>
    </row>
    <row r="3071" spans="1:16" x14ac:dyDescent="0.2">
      <c r="A3071" s="1">
        <v>2020</v>
      </c>
      <c r="B3071" t="s">
        <v>371</v>
      </c>
      <c r="C3071" s="10" t="s">
        <v>1678</v>
      </c>
      <c r="D3071" s="10" t="s">
        <v>1679</v>
      </c>
      <c r="E3071" s="10" t="s">
        <v>1682</v>
      </c>
      <c r="F3071" t="s">
        <v>868</v>
      </c>
      <c r="G3071" s="4">
        <v>7350</v>
      </c>
      <c r="H3071" s="4"/>
      <c r="I3071" s="4"/>
      <c r="J3071" s="4">
        <f>SUM(G3071:I3071)</f>
        <v>7350</v>
      </c>
      <c r="K3071" t="s">
        <v>1659</v>
      </c>
      <c r="L3071" t="s">
        <v>1659</v>
      </c>
      <c r="M3071" t="s">
        <v>1475</v>
      </c>
      <c r="N3071" t="s">
        <v>1132</v>
      </c>
      <c r="O3071" t="s">
        <v>1132</v>
      </c>
      <c r="P3071" t="str">
        <f>IFERROR(VLOOKUP(F3071,Sheet1!$A$2:$B$54,2,FALSE),"")</f>
        <v/>
      </c>
    </row>
    <row r="3072" spans="1:16" x14ac:dyDescent="0.2">
      <c r="A3072" s="1">
        <v>2021</v>
      </c>
      <c r="B3072" t="s">
        <v>371</v>
      </c>
      <c r="C3072" s="10" t="s">
        <v>1678</v>
      </c>
      <c r="D3072" s="10" t="s">
        <v>1679</v>
      </c>
      <c r="E3072" s="10" t="s">
        <v>1682</v>
      </c>
      <c r="F3072" t="s">
        <v>868</v>
      </c>
      <c r="G3072" s="4">
        <v>6010</v>
      </c>
      <c r="H3072" s="4"/>
      <c r="I3072" s="4"/>
      <c r="J3072" s="4">
        <f>SUM(G3072:I3072)</f>
        <v>6010</v>
      </c>
      <c r="K3072" t="s">
        <v>1659</v>
      </c>
      <c r="L3072" t="s">
        <v>1659</v>
      </c>
      <c r="M3072" t="s">
        <v>868</v>
      </c>
      <c r="N3072" t="s">
        <v>1132</v>
      </c>
      <c r="O3072" t="s">
        <v>1132</v>
      </c>
      <c r="P3072" t="str">
        <f>IFERROR(VLOOKUP(F3072,Sheet1!$A$2:$B$54,2,FALSE),"")</f>
        <v/>
      </c>
    </row>
    <row r="3073" spans="1:16" x14ac:dyDescent="0.2">
      <c r="A3073" s="1">
        <v>2022</v>
      </c>
      <c r="B3073" t="s">
        <v>371</v>
      </c>
      <c r="C3073" s="10" t="s">
        <v>1678</v>
      </c>
      <c r="D3073" s="10" t="s">
        <v>1679</v>
      </c>
      <c r="E3073" s="10" t="s">
        <v>1682</v>
      </c>
      <c r="F3073" t="s">
        <v>868</v>
      </c>
      <c r="G3073" s="4">
        <v>6611</v>
      </c>
      <c r="H3073" s="4"/>
      <c r="I3073" s="4"/>
      <c r="J3073" s="4">
        <f>SUM(G3073:I3073)</f>
        <v>6611</v>
      </c>
      <c r="K3073" t="s">
        <v>1659</v>
      </c>
      <c r="L3073" t="s">
        <v>1659</v>
      </c>
      <c r="M3073" t="s">
        <v>868</v>
      </c>
      <c r="N3073" t="s">
        <v>1132</v>
      </c>
      <c r="O3073" t="s">
        <v>1132</v>
      </c>
      <c r="P3073" t="str">
        <f>IFERROR(VLOOKUP(F3073,Sheet1!$A$2:$B$54,2,FALSE),"")</f>
        <v/>
      </c>
    </row>
    <row r="3074" spans="1:16" x14ac:dyDescent="0.2">
      <c r="A3074" s="1">
        <v>2023</v>
      </c>
      <c r="B3074" t="s">
        <v>371</v>
      </c>
      <c r="C3074" s="10" t="s">
        <v>1678</v>
      </c>
      <c r="D3074" s="10" t="s">
        <v>1679</v>
      </c>
      <c r="E3074" s="10" t="s">
        <v>1682</v>
      </c>
      <c r="F3074" t="s">
        <v>868</v>
      </c>
      <c r="G3074" s="4">
        <v>6735</v>
      </c>
      <c r="H3074" s="4"/>
      <c r="I3074" s="4"/>
      <c r="J3074" s="4">
        <f>SUM(G3074:I3074)</f>
        <v>6735</v>
      </c>
      <c r="K3074" t="s">
        <v>1659</v>
      </c>
      <c r="L3074" t="s">
        <v>1659</v>
      </c>
      <c r="M3074" t="s">
        <v>868</v>
      </c>
      <c r="N3074" t="s">
        <v>1132</v>
      </c>
      <c r="O3074" t="s">
        <v>1132</v>
      </c>
      <c r="P3074" t="str">
        <f>IFERROR(VLOOKUP(F3074,Sheet1!$A$2:$B$54,2,FALSE),"")</f>
        <v/>
      </c>
    </row>
    <row r="3075" spans="1:16" x14ac:dyDescent="0.2">
      <c r="A3075" s="1">
        <v>2021</v>
      </c>
      <c r="B3075" t="s">
        <v>372</v>
      </c>
      <c r="C3075" s="10" t="s">
        <v>1678</v>
      </c>
      <c r="D3075" s="10" t="s">
        <v>1679</v>
      </c>
      <c r="E3075" s="10" t="s">
        <v>1682</v>
      </c>
      <c r="F3075" t="s">
        <v>869</v>
      </c>
      <c r="G3075" s="4">
        <v>8653</v>
      </c>
      <c r="H3075" s="4"/>
      <c r="I3075" s="4"/>
      <c r="J3075" s="4">
        <f>SUM(G3075:I3075)</f>
        <v>8653</v>
      </c>
      <c r="K3075" t="s">
        <v>1659</v>
      </c>
      <c r="L3075" t="s">
        <v>1659</v>
      </c>
      <c r="M3075" t="s">
        <v>869</v>
      </c>
      <c r="N3075" t="s">
        <v>1132</v>
      </c>
      <c r="O3075" t="s">
        <v>1132</v>
      </c>
      <c r="P3075" t="str">
        <f>IFERROR(VLOOKUP(F3075,Sheet1!$A$2:$B$54,2,FALSE),"")</f>
        <v/>
      </c>
    </row>
    <row r="3076" spans="1:16" x14ac:dyDescent="0.2">
      <c r="A3076" s="1">
        <v>2022</v>
      </c>
      <c r="B3076" t="s">
        <v>372</v>
      </c>
      <c r="C3076" s="10" t="s">
        <v>1678</v>
      </c>
      <c r="D3076" s="10" t="s">
        <v>1679</v>
      </c>
      <c r="E3076" s="10" t="s">
        <v>1682</v>
      </c>
      <c r="F3076" t="s">
        <v>869</v>
      </c>
      <c r="G3076" s="4">
        <v>19512</v>
      </c>
      <c r="H3076" s="4"/>
      <c r="I3076" s="4"/>
      <c r="J3076" s="4">
        <f>SUM(G3076:I3076)</f>
        <v>19512</v>
      </c>
      <c r="K3076" t="s">
        <v>1659</v>
      </c>
      <c r="L3076" t="s">
        <v>1659</v>
      </c>
      <c r="M3076" t="s">
        <v>869</v>
      </c>
      <c r="N3076" t="s">
        <v>1132</v>
      </c>
      <c r="O3076" t="s">
        <v>1132</v>
      </c>
      <c r="P3076" t="str">
        <f>IFERROR(VLOOKUP(F3076,Sheet1!$A$2:$B$54,2,FALSE),"")</f>
        <v/>
      </c>
    </row>
    <row r="3077" spans="1:16" x14ac:dyDescent="0.2">
      <c r="A3077" s="1">
        <v>2023</v>
      </c>
      <c r="B3077" t="s">
        <v>372</v>
      </c>
      <c r="C3077" s="10" t="s">
        <v>1678</v>
      </c>
      <c r="D3077" s="10" t="s">
        <v>1679</v>
      </c>
      <c r="E3077" s="10" t="s">
        <v>1682</v>
      </c>
      <c r="F3077" t="s">
        <v>869</v>
      </c>
      <c r="G3077" s="4">
        <v>21242</v>
      </c>
      <c r="H3077" s="4"/>
      <c r="I3077" s="4"/>
      <c r="J3077" s="4">
        <f>SUM(G3077:I3077)</f>
        <v>21242</v>
      </c>
      <c r="K3077" t="s">
        <v>1659</v>
      </c>
      <c r="L3077" t="s">
        <v>1659</v>
      </c>
      <c r="M3077" t="s">
        <v>869</v>
      </c>
      <c r="N3077" t="s">
        <v>1132</v>
      </c>
      <c r="O3077" t="s">
        <v>1132</v>
      </c>
      <c r="P3077" t="str">
        <f>IFERROR(VLOOKUP(F3077,Sheet1!$A$2:$B$54,2,FALSE),"")</f>
        <v/>
      </c>
    </row>
    <row r="3078" spans="1:16" x14ac:dyDescent="0.2">
      <c r="A3078" s="1">
        <v>2016</v>
      </c>
      <c r="B3078" t="s">
        <v>373</v>
      </c>
      <c r="C3078" s="10" t="s">
        <v>1678</v>
      </c>
      <c r="D3078" s="10" t="s">
        <v>1679</v>
      </c>
      <c r="E3078" s="10" t="s">
        <v>1682</v>
      </c>
      <c r="F3078" t="s">
        <v>870</v>
      </c>
      <c r="G3078" s="4">
        <v>2328</v>
      </c>
      <c r="H3078" s="4"/>
      <c r="I3078" s="4"/>
      <c r="J3078" s="4">
        <f>SUM(G3078:I3078)</f>
        <v>2328</v>
      </c>
      <c r="K3078" t="s">
        <v>1659</v>
      </c>
      <c r="L3078" t="s">
        <v>1659</v>
      </c>
      <c r="M3078" t="s">
        <v>1476</v>
      </c>
      <c r="N3078" t="s">
        <v>1132</v>
      </c>
      <c r="O3078" t="s">
        <v>1132</v>
      </c>
      <c r="P3078" t="str">
        <f>IFERROR(VLOOKUP(F3078,Sheet1!$A$2:$B$54,2,FALSE),"")</f>
        <v/>
      </c>
    </row>
    <row r="3079" spans="1:16" x14ac:dyDescent="0.2">
      <c r="A3079" s="1">
        <v>2017</v>
      </c>
      <c r="B3079" t="s">
        <v>373</v>
      </c>
      <c r="C3079" s="10" t="s">
        <v>1678</v>
      </c>
      <c r="D3079" s="10" t="s">
        <v>1679</v>
      </c>
      <c r="E3079" s="10" t="s">
        <v>1682</v>
      </c>
      <c r="F3079" t="s">
        <v>870</v>
      </c>
      <c r="G3079" s="4">
        <v>6057</v>
      </c>
      <c r="H3079" s="4"/>
      <c r="I3079" s="4"/>
      <c r="J3079" s="4">
        <f>SUM(G3079:I3079)</f>
        <v>6057</v>
      </c>
      <c r="K3079" t="s">
        <v>1659</v>
      </c>
      <c r="L3079" t="s">
        <v>1659</v>
      </c>
      <c r="M3079" t="s">
        <v>1476</v>
      </c>
      <c r="N3079" t="s">
        <v>1132</v>
      </c>
      <c r="O3079" t="s">
        <v>1132</v>
      </c>
      <c r="P3079" t="str">
        <f>IFERROR(VLOOKUP(F3079,Sheet1!$A$2:$B$54,2,FALSE),"")</f>
        <v/>
      </c>
    </row>
    <row r="3080" spans="1:16" x14ac:dyDescent="0.2">
      <c r="A3080" s="1">
        <v>2018</v>
      </c>
      <c r="B3080" t="s">
        <v>373</v>
      </c>
      <c r="C3080" s="10" t="s">
        <v>1678</v>
      </c>
      <c r="D3080" s="10" t="s">
        <v>1679</v>
      </c>
      <c r="E3080" s="10" t="s">
        <v>1682</v>
      </c>
      <c r="F3080" t="s">
        <v>870</v>
      </c>
      <c r="G3080" s="4">
        <v>4736</v>
      </c>
      <c r="H3080" s="4"/>
      <c r="I3080" s="4"/>
      <c r="J3080" s="4">
        <f>SUM(G3080:I3080)</f>
        <v>4736</v>
      </c>
      <c r="K3080" t="s">
        <v>1659</v>
      </c>
      <c r="L3080" t="s">
        <v>1659</v>
      </c>
      <c r="M3080" t="s">
        <v>1476</v>
      </c>
      <c r="N3080" t="s">
        <v>1132</v>
      </c>
      <c r="O3080" t="s">
        <v>1132</v>
      </c>
      <c r="P3080" t="str">
        <f>IFERROR(VLOOKUP(F3080,Sheet1!$A$2:$B$54,2,FALSE),"")</f>
        <v/>
      </c>
    </row>
    <row r="3081" spans="1:16" x14ac:dyDescent="0.2">
      <c r="A3081" s="1">
        <v>2019</v>
      </c>
      <c r="B3081" t="s">
        <v>373</v>
      </c>
      <c r="C3081" s="10" t="s">
        <v>1678</v>
      </c>
      <c r="D3081" s="10" t="s">
        <v>1679</v>
      </c>
      <c r="E3081" s="10" t="s">
        <v>1682</v>
      </c>
      <c r="F3081" t="s">
        <v>870</v>
      </c>
      <c r="G3081" s="4">
        <v>4890</v>
      </c>
      <c r="H3081" s="4"/>
      <c r="I3081" s="4"/>
      <c r="J3081" s="4">
        <f>SUM(G3081:I3081)</f>
        <v>4890</v>
      </c>
      <c r="K3081" t="s">
        <v>1659</v>
      </c>
      <c r="L3081" t="s">
        <v>1659</v>
      </c>
      <c r="M3081" t="s">
        <v>1476</v>
      </c>
      <c r="N3081" t="s">
        <v>1132</v>
      </c>
      <c r="O3081" t="s">
        <v>1132</v>
      </c>
      <c r="P3081" t="str">
        <f>IFERROR(VLOOKUP(F3081,Sheet1!$A$2:$B$54,2,FALSE),"")</f>
        <v/>
      </c>
    </row>
    <row r="3082" spans="1:16" x14ac:dyDescent="0.2">
      <c r="A3082" s="1">
        <v>2020</v>
      </c>
      <c r="B3082" t="s">
        <v>373</v>
      </c>
      <c r="C3082" s="10" t="s">
        <v>1678</v>
      </c>
      <c r="D3082" s="10" t="s">
        <v>1679</v>
      </c>
      <c r="E3082" s="10" t="s">
        <v>1682</v>
      </c>
      <c r="F3082" t="s">
        <v>870</v>
      </c>
      <c r="G3082" s="4">
        <v>6365</v>
      </c>
      <c r="H3082" s="4"/>
      <c r="I3082" s="4"/>
      <c r="J3082" s="4">
        <f>SUM(G3082:I3082)</f>
        <v>6365</v>
      </c>
      <c r="K3082" t="s">
        <v>1659</v>
      </c>
      <c r="L3082" t="s">
        <v>1659</v>
      </c>
      <c r="M3082" t="s">
        <v>1476</v>
      </c>
      <c r="N3082" t="s">
        <v>1132</v>
      </c>
      <c r="O3082" t="s">
        <v>1132</v>
      </c>
      <c r="P3082" t="str">
        <f>IFERROR(VLOOKUP(F3082,Sheet1!$A$2:$B$54,2,FALSE),"")</f>
        <v/>
      </c>
    </row>
    <row r="3083" spans="1:16" x14ac:dyDescent="0.2">
      <c r="A3083" s="1">
        <v>2021</v>
      </c>
      <c r="B3083" t="s">
        <v>373</v>
      </c>
      <c r="C3083" s="10" t="s">
        <v>1678</v>
      </c>
      <c r="D3083" s="10" t="s">
        <v>1679</v>
      </c>
      <c r="E3083" s="10" t="s">
        <v>1682</v>
      </c>
      <c r="F3083" t="s">
        <v>870</v>
      </c>
      <c r="G3083" s="4">
        <v>8129</v>
      </c>
      <c r="H3083" s="4"/>
      <c r="I3083" s="4"/>
      <c r="J3083" s="4">
        <f>SUM(G3083:I3083)</f>
        <v>8129</v>
      </c>
      <c r="K3083" t="s">
        <v>1659</v>
      </c>
      <c r="L3083" t="s">
        <v>1659</v>
      </c>
      <c r="M3083" t="s">
        <v>870</v>
      </c>
      <c r="N3083" t="s">
        <v>1132</v>
      </c>
      <c r="O3083" t="s">
        <v>1132</v>
      </c>
      <c r="P3083" t="str">
        <f>IFERROR(VLOOKUP(F3083,Sheet1!$A$2:$B$54,2,FALSE),"")</f>
        <v/>
      </c>
    </row>
    <row r="3084" spans="1:16" x14ac:dyDescent="0.2">
      <c r="A3084" s="1">
        <v>2022</v>
      </c>
      <c r="B3084" t="s">
        <v>373</v>
      </c>
      <c r="C3084" s="10" t="s">
        <v>1678</v>
      </c>
      <c r="D3084" s="10" t="s">
        <v>1679</v>
      </c>
      <c r="E3084" s="10" t="s">
        <v>1682</v>
      </c>
      <c r="F3084" t="s">
        <v>870</v>
      </c>
      <c r="G3084" s="4">
        <v>10199</v>
      </c>
      <c r="H3084" s="4"/>
      <c r="I3084" s="4"/>
      <c r="J3084" s="4">
        <f>SUM(G3084:I3084)</f>
        <v>10199</v>
      </c>
      <c r="K3084" t="s">
        <v>1659</v>
      </c>
      <c r="L3084" t="s">
        <v>1659</v>
      </c>
      <c r="M3084" t="s">
        <v>870</v>
      </c>
      <c r="N3084" t="s">
        <v>1132</v>
      </c>
      <c r="O3084" t="s">
        <v>1132</v>
      </c>
      <c r="P3084" t="str">
        <f>IFERROR(VLOOKUP(F3084,Sheet1!$A$2:$B$54,2,FALSE),"")</f>
        <v/>
      </c>
    </row>
    <row r="3085" spans="1:16" x14ac:dyDescent="0.2">
      <c r="A3085" s="1">
        <v>2023</v>
      </c>
      <c r="B3085" t="s">
        <v>373</v>
      </c>
      <c r="C3085" s="10" t="s">
        <v>1678</v>
      </c>
      <c r="D3085" s="10" t="s">
        <v>1679</v>
      </c>
      <c r="E3085" s="10" t="s">
        <v>1682</v>
      </c>
      <c r="F3085" t="s">
        <v>870</v>
      </c>
      <c r="G3085" s="4">
        <v>14433</v>
      </c>
      <c r="H3085" s="4"/>
      <c r="I3085" s="4"/>
      <c r="J3085" s="4">
        <f>SUM(G3085:I3085)</f>
        <v>14433</v>
      </c>
      <c r="K3085" t="s">
        <v>1659</v>
      </c>
      <c r="L3085" t="s">
        <v>1659</v>
      </c>
      <c r="M3085" t="s">
        <v>870</v>
      </c>
      <c r="N3085" t="s">
        <v>1132</v>
      </c>
      <c r="O3085" t="s">
        <v>1132</v>
      </c>
      <c r="P3085" t="str">
        <f>IFERROR(VLOOKUP(F3085,Sheet1!$A$2:$B$54,2,FALSE),"")</f>
        <v/>
      </c>
    </row>
    <row r="3086" spans="1:16" x14ac:dyDescent="0.2">
      <c r="A3086" s="1">
        <v>2015</v>
      </c>
      <c r="B3086" t="s">
        <v>374</v>
      </c>
      <c r="C3086" s="10" t="s">
        <v>1678</v>
      </c>
      <c r="D3086" s="10" t="s">
        <v>1679</v>
      </c>
      <c r="E3086" s="10" t="s">
        <v>1682</v>
      </c>
      <c r="F3086" t="s">
        <v>871</v>
      </c>
      <c r="G3086" s="4">
        <v>37</v>
      </c>
      <c r="H3086" s="4"/>
      <c r="I3086" s="4"/>
      <c r="J3086" s="4">
        <f>SUM(G3086:I3086)</f>
        <v>37</v>
      </c>
      <c r="K3086" t="s">
        <v>1659</v>
      </c>
      <c r="L3086" t="s">
        <v>1659</v>
      </c>
      <c r="M3086" t="s">
        <v>1477</v>
      </c>
      <c r="N3086" t="s">
        <v>1132</v>
      </c>
      <c r="O3086" t="s">
        <v>1132</v>
      </c>
      <c r="P3086" t="str">
        <f>IFERROR(VLOOKUP(F3086,Sheet1!$A$2:$B$54,2,FALSE),"")</f>
        <v/>
      </c>
    </row>
    <row r="3087" spans="1:16" x14ac:dyDescent="0.2">
      <c r="A3087" s="1">
        <v>2016</v>
      </c>
      <c r="B3087" t="s">
        <v>374</v>
      </c>
      <c r="C3087" s="10" t="s">
        <v>1678</v>
      </c>
      <c r="D3087" s="10" t="s">
        <v>1679</v>
      </c>
      <c r="E3087" s="10" t="s">
        <v>1682</v>
      </c>
      <c r="F3087" t="s">
        <v>871</v>
      </c>
      <c r="G3087" s="4">
        <v>0</v>
      </c>
      <c r="H3087" s="4"/>
      <c r="I3087" s="4"/>
      <c r="J3087" s="4">
        <f>SUM(G3087:I3087)</f>
        <v>0</v>
      </c>
      <c r="K3087" t="s">
        <v>1659</v>
      </c>
      <c r="L3087" t="s">
        <v>1659</v>
      </c>
      <c r="M3087" t="s">
        <v>1478</v>
      </c>
      <c r="N3087" t="s">
        <v>1132</v>
      </c>
      <c r="O3087" t="s">
        <v>1132</v>
      </c>
      <c r="P3087" t="str">
        <f>IFERROR(VLOOKUP(F3087,Sheet1!$A$2:$B$54,2,FALSE),"")</f>
        <v/>
      </c>
    </row>
    <row r="3088" spans="1:16" x14ac:dyDescent="0.2">
      <c r="A3088" s="1">
        <v>2017</v>
      </c>
      <c r="B3088" t="s">
        <v>374</v>
      </c>
      <c r="C3088" s="10" t="s">
        <v>1678</v>
      </c>
      <c r="D3088" s="10" t="s">
        <v>1679</v>
      </c>
      <c r="E3088" s="10" t="s">
        <v>1682</v>
      </c>
      <c r="F3088" t="s">
        <v>871</v>
      </c>
      <c r="G3088" s="4">
        <v>0</v>
      </c>
      <c r="H3088" s="4"/>
      <c r="I3088" s="4"/>
      <c r="J3088" s="4">
        <f>SUM(G3088:I3088)</f>
        <v>0</v>
      </c>
      <c r="K3088" t="s">
        <v>1659</v>
      </c>
      <c r="L3088" t="s">
        <v>1659</v>
      </c>
      <c r="M3088" t="s">
        <v>1479</v>
      </c>
      <c r="N3088" t="s">
        <v>1132</v>
      </c>
      <c r="O3088" t="s">
        <v>1132</v>
      </c>
      <c r="P3088" t="str">
        <f>IFERROR(VLOOKUP(F3088,Sheet1!$A$2:$B$54,2,FALSE),"")</f>
        <v/>
      </c>
    </row>
    <row r="3089" spans="1:16" x14ac:dyDescent="0.2">
      <c r="A3089" s="1">
        <v>2018</v>
      </c>
      <c r="B3089" t="s">
        <v>374</v>
      </c>
      <c r="C3089" s="10" t="s">
        <v>1678</v>
      </c>
      <c r="D3089" s="10" t="s">
        <v>1679</v>
      </c>
      <c r="E3089" s="10" t="s">
        <v>1682</v>
      </c>
      <c r="F3089" t="s">
        <v>871</v>
      </c>
      <c r="G3089" s="4">
        <v>0</v>
      </c>
      <c r="H3089" s="4"/>
      <c r="I3089" s="4"/>
      <c r="J3089" s="4">
        <f>SUM(G3089:I3089)</f>
        <v>0</v>
      </c>
      <c r="K3089" t="s">
        <v>1659</v>
      </c>
      <c r="L3089" t="s">
        <v>1659</v>
      </c>
      <c r="M3089" t="s">
        <v>1478</v>
      </c>
      <c r="N3089" t="s">
        <v>1132</v>
      </c>
      <c r="O3089" t="s">
        <v>1132</v>
      </c>
      <c r="P3089" t="str">
        <f>IFERROR(VLOOKUP(F3089,Sheet1!$A$2:$B$54,2,FALSE),"")</f>
        <v/>
      </c>
    </row>
    <row r="3090" spans="1:16" x14ac:dyDescent="0.2">
      <c r="A3090" s="1">
        <v>2019</v>
      </c>
      <c r="B3090" t="s">
        <v>374</v>
      </c>
      <c r="C3090" s="10" t="s">
        <v>1678</v>
      </c>
      <c r="D3090" s="10" t="s">
        <v>1679</v>
      </c>
      <c r="E3090" s="10" t="s">
        <v>1682</v>
      </c>
      <c r="F3090" t="s">
        <v>871</v>
      </c>
      <c r="G3090" s="4">
        <v>2950</v>
      </c>
      <c r="H3090" s="4"/>
      <c r="I3090" s="4"/>
      <c r="J3090" s="4">
        <f>SUM(G3090:I3090)</f>
        <v>2950</v>
      </c>
      <c r="K3090" t="s">
        <v>1659</v>
      </c>
      <c r="L3090" t="s">
        <v>1659</v>
      </c>
      <c r="M3090" t="s">
        <v>1477</v>
      </c>
      <c r="N3090" t="s">
        <v>1132</v>
      </c>
      <c r="O3090" t="s">
        <v>1132</v>
      </c>
      <c r="P3090" t="str">
        <f>IFERROR(VLOOKUP(F3090,Sheet1!$A$2:$B$54,2,FALSE),"")</f>
        <v/>
      </c>
    </row>
    <row r="3091" spans="1:16" x14ac:dyDescent="0.2">
      <c r="A3091" s="1">
        <v>2020</v>
      </c>
      <c r="B3091" t="s">
        <v>374</v>
      </c>
      <c r="C3091" s="10" t="s">
        <v>1678</v>
      </c>
      <c r="D3091" s="10" t="s">
        <v>1679</v>
      </c>
      <c r="E3091" s="10" t="s">
        <v>1682</v>
      </c>
      <c r="F3091" t="s">
        <v>871</v>
      </c>
      <c r="G3091" s="4">
        <v>4713</v>
      </c>
      <c r="H3091" s="4"/>
      <c r="I3091" s="4"/>
      <c r="J3091" s="4">
        <f>SUM(G3091:I3091)</f>
        <v>4713</v>
      </c>
      <c r="K3091" t="s">
        <v>1659</v>
      </c>
      <c r="L3091" t="s">
        <v>1659</v>
      </c>
      <c r="M3091" t="s">
        <v>1477</v>
      </c>
      <c r="N3091" t="s">
        <v>1132</v>
      </c>
      <c r="O3091" t="s">
        <v>1132</v>
      </c>
      <c r="P3091" t="str">
        <f>IFERROR(VLOOKUP(F3091,Sheet1!$A$2:$B$54,2,FALSE),"")</f>
        <v/>
      </c>
    </row>
    <row r="3092" spans="1:16" x14ac:dyDescent="0.2">
      <c r="A3092" s="1">
        <v>2021</v>
      </c>
      <c r="B3092" t="s">
        <v>374</v>
      </c>
      <c r="C3092" s="10" t="s">
        <v>1678</v>
      </c>
      <c r="D3092" s="10" t="s">
        <v>1679</v>
      </c>
      <c r="E3092" s="10" t="s">
        <v>1682</v>
      </c>
      <c r="F3092" t="s">
        <v>871</v>
      </c>
      <c r="G3092" s="4">
        <v>4993</v>
      </c>
      <c r="H3092" s="4"/>
      <c r="I3092" s="4"/>
      <c r="J3092" s="4">
        <f>SUM(G3092:I3092)</f>
        <v>4993</v>
      </c>
      <c r="K3092" t="s">
        <v>1659</v>
      </c>
      <c r="L3092" t="s">
        <v>1659</v>
      </c>
      <c r="M3092" t="s">
        <v>871</v>
      </c>
      <c r="N3092" t="s">
        <v>1132</v>
      </c>
      <c r="O3092" t="s">
        <v>1132</v>
      </c>
      <c r="P3092" t="str">
        <f>IFERROR(VLOOKUP(F3092,Sheet1!$A$2:$B$54,2,FALSE),"")</f>
        <v/>
      </c>
    </row>
    <row r="3093" spans="1:16" x14ac:dyDescent="0.2">
      <c r="A3093" s="1">
        <v>2022</v>
      </c>
      <c r="B3093" t="s">
        <v>374</v>
      </c>
      <c r="C3093" s="10" t="s">
        <v>1678</v>
      </c>
      <c r="D3093" s="10" t="s">
        <v>1679</v>
      </c>
      <c r="E3093" s="10" t="s">
        <v>1682</v>
      </c>
      <c r="F3093" t="s">
        <v>871</v>
      </c>
      <c r="G3093" s="4">
        <v>3748</v>
      </c>
      <c r="H3093" s="4"/>
      <c r="I3093" s="4"/>
      <c r="J3093" s="4">
        <f>SUM(G3093:I3093)</f>
        <v>3748</v>
      </c>
      <c r="K3093" t="s">
        <v>1659</v>
      </c>
      <c r="L3093" t="s">
        <v>1659</v>
      </c>
      <c r="M3093" t="s">
        <v>871</v>
      </c>
      <c r="N3093" t="s">
        <v>1132</v>
      </c>
      <c r="O3093" t="s">
        <v>1132</v>
      </c>
      <c r="P3093" t="str">
        <f>IFERROR(VLOOKUP(F3093,Sheet1!$A$2:$B$54,2,FALSE),"")</f>
        <v/>
      </c>
    </row>
    <row r="3094" spans="1:16" x14ac:dyDescent="0.2">
      <c r="A3094" s="1">
        <v>2023</v>
      </c>
      <c r="B3094" t="s">
        <v>374</v>
      </c>
      <c r="C3094" s="10" t="s">
        <v>1678</v>
      </c>
      <c r="D3094" s="10" t="s">
        <v>1679</v>
      </c>
      <c r="E3094" s="10" t="s">
        <v>1682</v>
      </c>
      <c r="F3094" t="s">
        <v>871</v>
      </c>
      <c r="G3094" s="4">
        <v>7637</v>
      </c>
      <c r="H3094" s="4"/>
      <c r="I3094" s="4"/>
      <c r="J3094" s="4">
        <f>SUM(G3094:I3094)</f>
        <v>7637</v>
      </c>
      <c r="K3094" t="s">
        <v>1659</v>
      </c>
      <c r="L3094" t="s">
        <v>1659</v>
      </c>
      <c r="M3094" t="s">
        <v>871</v>
      </c>
      <c r="N3094" t="s">
        <v>1132</v>
      </c>
      <c r="O3094" t="s">
        <v>1132</v>
      </c>
      <c r="P3094" t="str">
        <f>IFERROR(VLOOKUP(F3094,Sheet1!$A$2:$B$54,2,FALSE),"")</f>
        <v/>
      </c>
    </row>
    <row r="3095" spans="1:16" x14ac:dyDescent="0.2">
      <c r="A3095" s="1">
        <v>2017</v>
      </c>
      <c r="B3095" t="s">
        <v>375</v>
      </c>
      <c r="C3095" s="10" t="s">
        <v>1678</v>
      </c>
      <c r="D3095" s="10" t="s">
        <v>1679</v>
      </c>
      <c r="E3095" s="10" t="s">
        <v>1682</v>
      </c>
      <c r="F3095" t="s">
        <v>872</v>
      </c>
      <c r="G3095" s="4">
        <v>1176</v>
      </c>
      <c r="H3095" s="4"/>
      <c r="I3095" s="4"/>
      <c r="J3095" s="4">
        <f>SUM(G3095:I3095)</f>
        <v>1176</v>
      </c>
      <c r="K3095" t="s">
        <v>1659</v>
      </c>
      <c r="L3095" t="s">
        <v>1659</v>
      </c>
      <c r="M3095" t="s">
        <v>1480</v>
      </c>
      <c r="N3095" t="s">
        <v>1132</v>
      </c>
      <c r="O3095" t="s">
        <v>1132</v>
      </c>
      <c r="P3095" t="str">
        <f>IFERROR(VLOOKUP(F3095,Sheet1!$A$2:$B$54,2,FALSE),"")</f>
        <v/>
      </c>
    </row>
    <row r="3096" spans="1:16" x14ac:dyDescent="0.2">
      <c r="A3096" s="1">
        <v>2018</v>
      </c>
      <c r="B3096" t="s">
        <v>375</v>
      </c>
      <c r="C3096" s="10" t="s">
        <v>1678</v>
      </c>
      <c r="D3096" s="10" t="s">
        <v>1679</v>
      </c>
      <c r="E3096" s="10" t="s">
        <v>1682</v>
      </c>
      <c r="F3096" t="s">
        <v>872</v>
      </c>
      <c r="G3096" s="4">
        <v>2459</v>
      </c>
      <c r="H3096" s="4"/>
      <c r="I3096" s="4"/>
      <c r="J3096" s="4">
        <f>SUM(G3096:I3096)</f>
        <v>2459</v>
      </c>
      <c r="K3096" t="s">
        <v>1659</v>
      </c>
      <c r="L3096" t="s">
        <v>1659</v>
      </c>
      <c r="M3096" t="s">
        <v>1480</v>
      </c>
      <c r="N3096" t="s">
        <v>1132</v>
      </c>
      <c r="O3096" t="s">
        <v>1132</v>
      </c>
      <c r="P3096" t="str">
        <f>IFERROR(VLOOKUP(F3096,Sheet1!$A$2:$B$54,2,FALSE),"")</f>
        <v/>
      </c>
    </row>
    <row r="3097" spans="1:16" x14ac:dyDescent="0.2">
      <c r="A3097" s="1">
        <v>2019</v>
      </c>
      <c r="B3097" t="s">
        <v>375</v>
      </c>
      <c r="C3097" s="10" t="s">
        <v>1678</v>
      </c>
      <c r="D3097" s="10" t="s">
        <v>1679</v>
      </c>
      <c r="E3097" s="10" t="s">
        <v>1682</v>
      </c>
      <c r="F3097" t="s">
        <v>872</v>
      </c>
      <c r="G3097" s="4">
        <v>2805</v>
      </c>
      <c r="H3097" s="4"/>
      <c r="I3097" s="4"/>
      <c r="J3097" s="4">
        <f>SUM(G3097:I3097)</f>
        <v>2805</v>
      </c>
      <c r="K3097" t="s">
        <v>1659</v>
      </c>
      <c r="L3097" t="s">
        <v>1659</v>
      </c>
      <c r="M3097" t="s">
        <v>1480</v>
      </c>
      <c r="N3097" t="s">
        <v>1132</v>
      </c>
      <c r="O3097" t="s">
        <v>1132</v>
      </c>
      <c r="P3097" t="str">
        <f>IFERROR(VLOOKUP(F3097,Sheet1!$A$2:$B$54,2,FALSE),"")</f>
        <v/>
      </c>
    </row>
    <row r="3098" spans="1:16" x14ac:dyDescent="0.2">
      <c r="A3098" s="1">
        <v>2020</v>
      </c>
      <c r="B3098" t="s">
        <v>375</v>
      </c>
      <c r="C3098" s="10" t="s">
        <v>1678</v>
      </c>
      <c r="D3098" s="10" t="s">
        <v>1679</v>
      </c>
      <c r="E3098" s="10" t="s">
        <v>1682</v>
      </c>
      <c r="F3098" t="s">
        <v>872</v>
      </c>
      <c r="G3098" s="4">
        <v>2864</v>
      </c>
      <c r="H3098" s="4"/>
      <c r="I3098" s="4"/>
      <c r="J3098" s="4">
        <f>SUM(G3098:I3098)</f>
        <v>2864</v>
      </c>
      <c r="K3098" t="s">
        <v>1659</v>
      </c>
      <c r="L3098" t="s">
        <v>1659</v>
      </c>
      <c r="M3098" t="s">
        <v>1480</v>
      </c>
      <c r="N3098" t="s">
        <v>1132</v>
      </c>
      <c r="O3098" t="s">
        <v>1132</v>
      </c>
      <c r="P3098" t="str">
        <f>IFERROR(VLOOKUP(F3098,Sheet1!$A$2:$B$54,2,FALSE),"")</f>
        <v/>
      </c>
    </row>
    <row r="3099" spans="1:16" x14ac:dyDescent="0.2">
      <c r="A3099" s="1">
        <v>2021</v>
      </c>
      <c r="B3099" t="s">
        <v>375</v>
      </c>
      <c r="C3099" s="10" t="s">
        <v>1678</v>
      </c>
      <c r="D3099" s="10" t="s">
        <v>1679</v>
      </c>
      <c r="E3099" s="10" t="s">
        <v>1682</v>
      </c>
      <c r="F3099" t="s">
        <v>872</v>
      </c>
      <c r="G3099" s="4">
        <v>3170</v>
      </c>
      <c r="H3099" s="4"/>
      <c r="I3099" s="4"/>
      <c r="J3099" s="4">
        <f>SUM(G3099:I3099)</f>
        <v>3170</v>
      </c>
      <c r="K3099" t="s">
        <v>1659</v>
      </c>
      <c r="L3099" t="s">
        <v>1659</v>
      </c>
      <c r="M3099" t="s">
        <v>872</v>
      </c>
      <c r="N3099" t="s">
        <v>1132</v>
      </c>
      <c r="O3099" t="s">
        <v>1132</v>
      </c>
      <c r="P3099" t="str">
        <f>IFERROR(VLOOKUP(F3099,Sheet1!$A$2:$B$54,2,FALSE),"")</f>
        <v/>
      </c>
    </row>
    <row r="3100" spans="1:16" x14ac:dyDescent="0.2">
      <c r="A3100" s="1">
        <v>2022</v>
      </c>
      <c r="B3100" t="s">
        <v>375</v>
      </c>
      <c r="C3100" s="10" t="s">
        <v>1678</v>
      </c>
      <c r="D3100" s="10" t="s">
        <v>1679</v>
      </c>
      <c r="E3100" s="10" t="s">
        <v>1682</v>
      </c>
      <c r="F3100" t="s">
        <v>872</v>
      </c>
      <c r="G3100" s="4">
        <v>3423</v>
      </c>
      <c r="H3100" s="4"/>
      <c r="I3100" s="4"/>
      <c r="J3100" s="4">
        <f>SUM(G3100:I3100)</f>
        <v>3423</v>
      </c>
      <c r="K3100" t="s">
        <v>1659</v>
      </c>
      <c r="L3100" t="s">
        <v>1659</v>
      </c>
      <c r="M3100" t="s">
        <v>872</v>
      </c>
      <c r="N3100" t="s">
        <v>1132</v>
      </c>
      <c r="O3100" t="s">
        <v>1132</v>
      </c>
      <c r="P3100" t="str">
        <f>IFERROR(VLOOKUP(F3100,Sheet1!$A$2:$B$54,2,FALSE),"")</f>
        <v/>
      </c>
    </row>
    <row r="3101" spans="1:16" x14ac:dyDescent="0.2">
      <c r="A3101" s="1">
        <v>2023</v>
      </c>
      <c r="B3101" t="s">
        <v>375</v>
      </c>
      <c r="C3101" s="10" t="s">
        <v>1678</v>
      </c>
      <c r="D3101" s="10" t="s">
        <v>1679</v>
      </c>
      <c r="E3101" s="10" t="s">
        <v>1682</v>
      </c>
      <c r="F3101" t="s">
        <v>872</v>
      </c>
      <c r="G3101" s="4">
        <v>4067</v>
      </c>
      <c r="H3101" s="4"/>
      <c r="I3101" s="4"/>
      <c r="J3101" s="4">
        <f>SUM(G3101:I3101)</f>
        <v>4067</v>
      </c>
      <c r="K3101" t="s">
        <v>1659</v>
      </c>
      <c r="L3101" t="s">
        <v>1659</v>
      </c>
      <c r="M3101" t="s">
        <v>872</v>
      </c>
      <c r="N3101" t="s">
        <v>1132</v>
      </c>
      <c r="O3101" t="s">
        <v>1132</v>
      </c>
      <c r="P3101" t="str">
        <f>IFERROR(VLOOKUP(F3101,Sheet1!$A$2:$B$54,2,FALSE),"")</f>
        <v/>
      </c>
    </row>
    <row r="3102" spans="1:16" x14ac:dyDescent="0.2">
      <c r="A3102" s="1">
        <v>2015</v>
      </c>
      <c r="B3102" t="s">
        <v>376</v>
      </c>
      <c r="C3102" s="10" t="s">
        <v>1678</v>
      </c>
      <c r="D3102" s="10" t="s">
        <v>1679</v>
      </c>
      <c r="E3102" s="10" t="s">
        <v>1682</v>
      </c>
      <c r="F3102" t="s">
        <v>873</v>
      </c>
      <c r="G3102" s="4">
        <v>4981</v>
      </c>
      <c r="H3102" s="4"/>
      <c r="I3102" s="4"/>
      <c r="J3102" s="4">
        <f>SUM(G3102:I3102)</f>
        <v>4981</v>
      </c>
      <c r="K3102" t="s">
        <v>1659</v>
      </c>
      <c r="L3102" t="s">
        <v>1659</v>
      </c>
      <c r="M3102" t="s">
        <v>1481</v>
      </c>
      <c r="N3102" t="s">
        <v>1132</v>
      </c>
      <c r="O3102" t="s">
        <v>1132</v>
      </c>
      <c r="P3102" t="str">
        <f>IFERROR(VLOOKUP(F3102,Sheet1!$A$2:$B$54,2,FALSE),"")</f>
        <v/>
      </c>
    </row>
    <row r="3103" spans="1:16" x14ac:dyDescent="0.2">
      <c r="A3103" s="1">
        <v>2016</v>
      </c>
      <c r="B3103" t="s">
        <v>376</v>
      </c>
      <c r="C3103" s="10" t="s">
        <v>1678</v>
      </c>
      <c r="D3103" s="10" t="s">
        <v>1679</v>
      </c>
      <c r="E3103" s="10" t="s">
        <v>1682</v>
      </c>
      <c r="F3103" t="s">
        <v>873</v>
      </c>
      <c r="G3103" s="4">
        <v>7874</v>
      </c>
      <c r="H3103" s="4"/>
      <c r="I3103" s="4"/>
      <c r="J3103" s="4">
        <f>SUM(G3103:I3103)</f>
        <v>7874</v>
      </c>
      <c r="K3103" t="s">
        <v>1659</v>
      </c>
      <c r="L3103" t="s">
        <v>1659</v>
      </c>
      <c r="M3103" t="s">
        <v>1481</v>
      </c>
      <c r="N3103" t="s">
        <v>1132</v>
      </c>
      <c r="O3103" t="s">
        <v>1132</v>
      </c>
      <c r="P3103" t="str">
        <f>IFERROR(VLOOKUP(F3103,Sheet1!$A$2:$B$54,2,FALSE),"")</f>
        <v/>
      </c>
    </row>
    <row r="3104" spans="1:16" x14ac:dyDescent="0.2">
      <c r="A3104" s="1">
        <v>2017</v>
      </c>
      <c r="B3104" t="s">
        <v>376</v>
      </c>
      <c r="C3104" s="10" t="s">
        <v>1678</v>
      </c>
      <c r="D3104" s="10" t="s">
        <v>1679</v>
      </c>
      <c r="E3104" s="10" t="s">
        <v>1682</v>
      </c>
      <c r="F3104" t="s">
        <v>873</v>
      </c>
      <c r="G3104" s="4">
        <v>17101</v>
      </c>
      <c r="H3104" s="4"/>
      <c r="I3104" s="4"/>
      <c r="J3104" s="4">
        <f>SUM(G3104:I3104)</f>
        <v>17101</v>
      </c>
      <c r="K3104" t="s">
        <v>1659</v>
      </c>
      <c r="L3104" t="s">
        <v>1659</v>
      </c>
      <c r="M3104" t="s">
        <v>1481</v>
      </c>
      <c r="N3104" t="s">
        <v>1132</v>
      </c>
      <c r="O3104" t="s">
        <v>1132</v>
      </c>
      <c r="P3104" t="str">
        <f>IFERROR(VLOOKUP(F3104,Sheet1!$A$2:$B$54,2,FALSE),"")</f>
        <v/>
      </c>
    </row>
    <row r="3105" spans="1:16" x14ac:dyDescent="0.2">
      <c r="A3105" s="1">
        <v>2018</v>
      </c>
      <c r="B3105" t="s">
        <v>376</v>
      </c>
      <c r="C3105" s="10" t="s">
        <v>1678</v>
      </c>
      <c r="D3105" s="10" t="s">
        <v>1679</v>
      </c>
      <c r="E3105" s="10" t="s">
        <v>1682</v>
      </c>
      <c r="F3105" t="s">
        <v>873</v>
      </c>
      <c r="G3105" s="4">
        <v>29738</v>
      </c>
      <c r="H3105" s="4"/>
      <c r="I3105" s="4"/>
      <c r="J3105" s="4">
        <f>SUM(G3105:I3105)</f>
        <v>29738</v>
      </c>
      <c r="K3105" t="s">
        <v>1659</v>
      </c>
      <c r="L3105" t="s">
        <v>1659</v>
      </c>
      <c r="M3105" t="s">
        <v>1481</v>
      </c>
      <c r="N3105" t="s">
        <v>1132</v>
      </c>
      <c r="O3105" t="s">
        <v>1132</v>
      </c>
      <c r="P3105" t="str">
        <f>IFERROR(VLOOKUP(F3105,Sheet1!$A$2:$B$54,2,FALSE),"")</f>
        <v/>
      </c>
    </row>
    <row r="3106" spans="1:16" x14ac:dyDescent="0.2">
      <c r="A3106" s="1">
        <v>2019</v>
      </c>
      <c r="B3106" t="s">
        <v>376</v>
      </c>
      <c r="C3106" s="10" t="s">
        <v>1678</v>
      </c>
      <c r="D3106" s="10" t="s">
        <v>1679</v>
      </c>
      <c r="E3106" s="10" t="s">
        <v>1682</v>
      </c>
      <c r="F3106" t="s">
        <v>873</v>
      </c>
      <c r="G3106" s="4">
        <v>35920</v>
      </c>
      <c r="H3106" s="4"/>
      <c r="I3106" s="4"/>
      <c r="J3106" s="4">
        <f>SUM(G3106:I3106)</f>
        <v>35920</v>
      </c>
      <c r="K3106" t="s">
        <v>1659</v>
      </c>
      <c r="L3106" t="s">
        <v>1659</v>
      </c>
      <c r="M3106" t="s">
        <v>1481</v>
      </c>
      <c r="N3106" t="s">
        <v>1132</v>
      </c>
      <c r="O3106" t="s">
        <v>1132</v>
      </c>
      <c r="P3106" t="str">
        <f>IFERROR(VLOOKUP(F3106,Sheet1!$A$2:$B$54,2,FALSE),"")</f>
        <v/>
      </c>
    </row>
    <row r="3107" spans="1:16" x14ac:dyDescent="0.2">
      <c r="A3107" s="1">
        <v>2020</v>
      </c>
      <c r="B3107" t="s">
        <v>376</v>
      </c>
      <c r="C3107" s="10" t="s">
        <v>1678</v>
      </c>
      <c r="D3107" s="10" t="s">
        <v>1679</v>
      </c>
      <c r="E3107" s="10" t="s">
        <v>1682</v>
      </c>
      <c r="F3107" t="s">
        <v>873</v>
      </c>
      <c r="G3107" s="4">
        <v>35895</v>
      </c>
      <c r="H3107" s="4"/>
      <c r="I3107" s="4"/>
      <c r="J3107" s="4">
        <f>SUM(G3107:I3107)</f>
        <v>35895</v>
      </c>
      <c r="K3107" t="s">
        <v>1659</v>
      </c>
      <c r="L3107" t="s">
        <v>1659</v>
      </c>
      <c r="M3107" t="s">
        <v>1481</v>
      </c>
      <c r="N3107" t="s">
        <v>1132</v>
      </c>
      <c r="O3107" t="s">
        <v>1132</v>
      </c>
      <c r="P3107" t="str">
        <f>IFERROR(VLOOKUP(F3107,Sheet1!$A$2:$B$54,2,FALSE),"")</f>
        <v/>
      </c>
    </row>
    <row r="3108" spans="1:16" x14ac:dyDescent="0.2">
      <c r="A3108" s="1">
        <v>2021</v>
      </c>
      <c r="B3108" t="s">
        <v>376</v>
      </c>
      <c r="C3108" s="10" t="s">
        <v>1678</v>
      </c>
      <c r="D3108" s="10" t="s">
        <v>1679</v>
      </c>
      <c r="E3108" s="10" t="s">
        <v>1682</v>
      </c>
      <c r="F3108" t="s">
        <v>873</v>
      </c>
      <c r="G3108" s="4">
        <v>46801</v>
      </c>
      <c r="H3108" s="4"/>
      <c r="I3108" s="4"/>
      <c r="J3108" s="4">
        <f>SUM(G3108:I3108)</f>
        <v>46801</v>
      </c>
      <c r="K3108" t="s">
        <v>1659</v>
      </c>
      <c r="L3108" t="s">
        <v>1659</v>
      </c>
      <c r="M3108" t="s">
        <v>873</v>
      </c>
      <c r="N3108" t="s">
        <v>1132</v>
      </c>
      <c r="O3108" t="s">
        <v>1132</v>
      </c>
      <c r="P3108" t="str">
        <f>IFERROR(VLOOKUP(F3108,Sheet1!$A$2:$B$54,2,FALSE),"")</f>
        <v/>
      </c>
    </row>
    <row r="3109" spans="1:16" x14ac:dyDescent="0.2">
      <c r="A3109" s="1">
        <v>2022</v>
      </c>
      <c r="B3109" t="s">
        <v>376</v>
      </c>
      <c r="C3109" s="10" t="s">
        <v>1678</v>
      </c>
      <c r="D3109" s="10" t="s">
        <v>1679</v>
      </c>
      <c r="E3109" s="10" t="s">
        <v>1682</v>
      </c>
      <c r="F3109" t="s">
        <v>873</v>
      </c>
      <c r="G3109" s="4">
        <v>67292</v>
      </c>
      <c r="H3109" s="4"/>
      <c r="I3109" s="4"/>
      <c r="J3109" s="4">
        <f>SUM(G3109:I3109)</f>
        <v>67292</v>
      </c>
      <c r="K3109" t="s">
        <v>1659</v>
      </c>
      <c r="L3109" t="s">
        <v>1659</v>
      </c>
      <c r="M3109" t="s">
        <v>873</v>
      </c>
      <c r="N3109" t="s">
        <v>1132</v>
      </c>
      <c r="O3109" t="s">
        <v>1132</v>
      </c>
      <c r="P3109" t="str">
        <f>IFERROR(VLOOKUP(F3109,Sheet1!$A$2:$B$54,2,FALSE),"")</f>
        <v/>
      </c>
    </row>
    <row r="3110" spans="1:16" x14ac:dyDescent="0.2">
      <c r="A3110" s="1">
        <v>2023</v>
      </c>
      <c r="B3110" t="s">
        <v>376</v>
      </c>
      <c r="C3110" s="10" t="s">
        <v>1678</v>
      </c>
      <c r="D3110" s="10" t="s">
        <v>1679</v>
      </c>
      <c r="E3110" s="10" t="s">
        <v>1682</v>
      </c>
      <c r="F3110" t="s">
        <v>873</v>
      </c>
      <c r="G3110" s="4">
        <v>87660</v>
      </c>
      <c r="H3110" s="4"/>
      <c r="I3110" s="4"/>
      <c r="J3110" s="4">
        <f>SUM(G3110:I3110)</f>
        <v>87660</v>
      </c>
      <c r="K3110" t="s">
        <v>1659</v>
      </c>
      <c r="L3110" t="s">
        <v>1659</v>
      </c>
      <c r="M3110" t="s">
        <v>873</v>
      </c>
      <c r="N3110" t="s">
        <v>1132</v>
      </c>
      <c r="O3110" t="s">
        <v>1132</v>
      </c>
      <c r="P3110" t="str">
        <f>IFERROR(VLOOKUP(F3110,Sheet1!$A$2:$B$54,2,FALSE),"")</f>
        <v/>
      </c>
    </row>
    <row r="3111" spans="1:16" x14ac:dyDescent="0.2">
      <c r="A3111" s="1">
        <v>2015</v>
      </c>
      <c r="B3111" t="s">
        <v>377</v>
      </c>
      <c r="C3111" s="10" t="s">
        <v>1678</v>
      </c>
      <c r="D3111" s="10" t="s">
        <v>1679</v>
      </c>
      <c r="E3111" s="10" t="s">
        <v>1682</v>
      </c>
      <c r="F3111" t="s">
        <v>874</v>
      </c>
      <c r="G3111" s="4">
        <v>21512</v>
      </c>
      <c r="H3111" s="4"/>
      <c r="I3111" s="4"/>
      <c r="J3111" s="4">
        <f>SUM(G3111:I3111)</f>
        <v>21512</v>
      </c>
      <c r="K3111" t="s">
        <v>1659</v>
      </c>
      <c r="L3111" t="s">
        <v>1659</v>
      </c>
      <c r="M3111" t="s">
        <v>1482</v>
      </c>
      <c r="N3111" t="s">
        <v>1132</v>
      </c>
      <c r="O3111" t="s">
        <v>1132</v>
      </c>
      <c r="P3111" t="str">
        <f>IFERROR(VLOOKUP(F3111,Sheet1!$A$2:$B$54,2,FALSE),"")</f>
        <v/>
      </c>
    </row>
    <row r="3112" spans="1:16" x14ac:dyDescent="0.2">
      <c r="A3112" s="1">
        <v>2016</v>
      </c>
      <c r="B3112" t="s">
        <v>377</v>
      </c>
      <c r="C3112" s="10" t="s">
        <v>1678</v>
      </c>
      <c r="D3112" s="10" t="s">
        <v>1679</v>
      </c>
      <c r="E3112" s="10" t="s">
        <v>1682</v>
      </c>
      <c r="F3112" t="s">
        <v>874</v>
      </c>
      <c r="G3112" s="4">
        <v>27937</v>
      </c>
      <c r="H3112" s="4"/>
      <c r="I3112" s="4"/>
      <c r="J3112" s="4">
        <f>SUM(G3112:I3112)</f>
        <v>27937</v>
      </c>
      <c r="K3112" t="s">
        <v>1659</v>
      </c>
      <c r="L3112" t="s">
        <v>1659</v>
      </c>
      <c r="M3112" t="s">
        <v>1482</v>
      </c>
      <c r="N3112" t="s">
        <v>1132</v>
      </c>
      <c r="O3112" t="s">
        <v>1132</v>
      </c>
      <c r="P3112" t="str">
        <f>IFERROR(VLOOKUP(F3112,Sheet1!$A$2:$B$54,2,FALSE),"")</f>
        <v/>
      </c>
    </row>
    <row r="3113" spans="1:16" x14ac:dyDescent="0.2">
      <c r="A3113" s="1">
        <v>2017</v>
      </c>
      <c r="B3113" t="s">
        <v>377</v>
      </c>
      <c r="C3113" s="10" t="s">
        <v>1678</v>
      </c>
      <c r="D3113" s="10" t="s">
        <v>1679</v>
      </c>
      <c r="E3113" s="10" t="s">
        <v>1682</v>
      </c>
      <c r="F3113" t="s">
        <v>874</v>
      </c>
      <c r="G3113" s="4">
        <v>36132</v>
      </c>
      <c r="H3113" s="4"/>
      <c r="I3113" s="4"/>
      <c r="J3113" s="4">
        <f>SUM(G3113:I3113)</f>
        <v>36132</v>
      </c>
      <c r="K3113" t="s">
        <v>1659</v>
      </c>
      <c r="L3113" t="s">
        <v>1659</v>
      </c>
      <c r="M3113" t="s">
        <v>1482</v>
      </c>
      <c r="N3113" t="s">
        <v>1132</v>
      </c>
      <c r="O3113" t="s">
        <v>1132</v>
      </c>
      <c r="P3113" t="str">
        <f>IFERROR(VLOOKUP(F3113,Sheet1!$A$2:$B$54,2,FALSE),"")</f>
        <v/>
      </c>
    </row>
    <row r="3114" spans="1:16" x14ac:dyDescent="0.2">
      <c r="A3114" s="1">
        <v>2018</v>
      </c>
      <c r="B3114" t="s">
        <v>377</v>
      </c>
      <c r="C3114" s="10" t="s">
        <v>1678</v>
      </c>
      <c r="D3114" s="10" t="s">
        <v>1679</v>
      </c>
      <c r="E3114" s="10" t="s">
        <v>1682</v>
      </c>
      <c r="F3114" t="s">
        <v>874</v>
      </c>
      <c r="G3114" s="4">
        <v>49564</v>
      </c>
      <c r="H3114" s="4"/>
      <c r="I3114" s="4"/>
      <c r="J3114" s="4">
        <f>SUM(G3114:I3114)</f>
        <v>49564</v>
      </c>
      <c r="K3114" t="s">
        <v>1659</v>
      </c>
      <c r="L3114" t="s">
        <v>1659</v>
      </c>
      <c r="M3114" t="s">
        <v>1482</v>
      </c>
      <c r="N3114" t="s">
        <v>1132</v>
      </c>
      <c r="O3114" t="s">
        <v>1132</v>
      </c>
      <c r="P3114" t="str">
        <f>IFERROR(VLOOKUP(F3114,Sheet1!$A$2:$B$54,2,FALSE),"")</f>
        <v/>
      </c>
    </row>
    <row r="3115" spans="1:16" x14ac:dyDescent="0.2">
      <c r="A3115" s="1">
        <v>2019</v>
      </c>
      <c r="B3115" t="s">
        <v>377</v>
      </c>
      <c r="C3115" s="10" t="s">
        <v>1678</v>
      </c>
      <c r="D3115" s="10" t="s">
        <v>1679</v>
      </c>
      <c r="E3115" s="10" t="s">
        <v>1682</v>
      </c>
      <c r="F3115" t="s">
        <v>874</v>
      </c>
      <c r="G3115" s="4">
        <v>57856</v>
      </c>
      <c r="H3115" s="4"/>
      <c r="I3115" s="4"/>
      <c r="J3115" s="4">
        <f>SUM(G3115:I3115)</f>
        <v>57856</v>
      </c>
      <c r="K3115" t="s">
        <v>1659</v>
      </c>
      <c r="L3115" t="s">
        <v>1659</v>
      </c>
      <c r="M3115" t="s">
        <v>1482</v>
      </c>
      <c r="N3115" t="s">
        <v>1132</v>
      </c>
      <c r="O3115" t="s">
        <v>1132</v>
      </c>
      <c r="P3115" t="str">
        <f>IFERROR(VLOOKUP(F3115,Sheet1!$A$2:$B$54,2,FALSE),"")</f>
        <v/>
      </c>
    </row>
    <row r="3116" spans="1:16" x14ac:dyDescent="0.2">
      <c r="A3116" s="1">
        <v>2020</v>
      </c>
      <c r="B3116" t="s">
        <v>377</v>
      </c>
      <c r="C3116" s="10" t="s">
        <v>1678</v>
      </c>
      <c r="D3116" s="10" t="s">
        <v>1679</v>
      </c>
      <c r="E3116" s="10" t="s">
        <v>1682</v>
      </c>
      <c r="F3116" t="s">
        <v>874</v>
      </c>
      <c r="G3116" s="4">
        <v>70916</v>
      </c>
      <c r="H3116" s="4"/>
      <c r="I3116" s="4"/>
      <c r="J3116" s="4">
        <f>SUM(G3116:I3116)</f>
        <v>70916</v>
      </c>
      <c r="K3116" t="s">
        <v>1659</v>
      </c>
      <c r="L3116" t="s">
        <v>1659</v>
      </c>
      <c r="M3116" t="s">
        <v>1482</v>
      </c>
      <c r="N3116" t="s">
        <v>1132</v>
      </c>
      <c r="O3116" t="s">
        <v>1132</v>
      </c>
      <c r="P3116" t="str">
        <f>IFERROR(VLOOKUP(F3116,Sheet1!$A$2:$B$54,2,FALSE),"")</f>
        <v/>
      </c>
    </row>
    <row r="3117" spans="1:16" x14ac:dyDescent="0.2">
      <c r="A3117" s="1">
        <v>2021</v>
      </c>
      <c r="B3117" t="s">
        <v>377</v>
      </c>
      <c r="C3117" s="10" t="s">
        <v>1678</v>
      </c>
      <c r="D3117" s="10" t="s">
        <v>1679</v>
      </c>
      <c r="E3117" s="10" t="s">
        <v>1682</v>
      </c>
      <c r="F3117" t="s">
        <v>874</v>
      </c>
      <c r="G3117" s="4">
        <v>84234</v>
      </c>
      <c r="H3117" s="4"/>
      <c r="I3117" s="4"/>
      <c r="J3117" s="4">
        <f>SUM(G3117:I3117)</f>
        <v>84234</v>
      </c>
      <c r="K3117" t="s">
        <v>1659</v>
      </c>
      <c r="L3117" t="s">
        <v>1659</v>
      </c>
      <c r="M3117" t="s">
        <v>874</v>
      </c>
      <c r="N3117" t="s">
        <v>1132</v>
      </c>
      <c r="O3117" t="s">
        <v>1132</v>
      </c>
      <c r="P3117" t="str">
        <f>IFERROR(VLOOKUP(F3117,Sheet1!$A$2:$B$54,2,FALSE),"")</f>
        <v/>
      </c>
    </row>
    <row r="3118" spans="1:16" x14ac:dyDescent="0.2">
      <c r="A3118" s="1">
        <v>2022</v>
      </c>
      <c r="B3118" t="s">
        <v>377</v>
      </c>
      <c r="C3118" s="10" t="s">
        <v>1678</v>
      </c>
      <c r="D3118" s="10" t="s">
        <v>1679</v>
      </c>
      <c r="E3118" s="10" t="s">
        <v>1682</v>
      </c>
      <c r="F3118" t="s">
        <v>874</v>
      </c>
      <c r="G3118" s="4">
        <v>101927</v>
      </c>
      <c r="H3118" s="4"/>
      <c r="I3118" s="4"/>
      <c r="J3118" s="4">
        <f>SUM(G3118:I3118)</f>
        <v>101927</v>
      </c>
      <c r="K3118" t="s">
        <v>1659</v>
      </c>
      <c r="L3118" t="s">
        <v>1659</v>
      </c>
      <c r="M3118" t="s">
        <v>874</v>
      </c>
      <c r="N3118" t="s">
        <v>1132</v>
      </c>
      <c r="O3118" t="s">
        <v>1132</v>
      </c>
      <c r="P3118" t="str">
        <f>IFERROR(VLOOKUP(F3118,Sheet1!$A$2:$B$54,2,FALSE),"")</f>
        <v/>
      </c>
    </row>
    <row r="3119" spans="1:16" x14ac:dyDescent="0.2">
      <c r="A3119" s="1">
        <v>2023</v>
      </c>
      <c r="B3119" t="s">
        <v>377</v>
      </c>
      <c r="C3119" s="10" t="s">
        <v>1678</v>
      </c>
      <c r="D3119" s="10" t="s">
        <v>1679</v>
      </c>
      <c r="E3119" s="10" t="s">
        <v>1682</v>
      </c>
      <c r="F3119" t="s">
        <v>874</v>
      </c>
      <c r="G3119" s="4">
        <v>112380</v>
      </c>
      <c r="H3119" s="4"/>
      <c r="I3119" s="4"/>
      <c r="J3119" s="4">
        <f>SUM(G3119:I3119)</f>
        <v>112380</v>
      </c>
      <c r="K3119" t="s">
        <v>1659</v>
      </c>
      <c r="L3119" t="s">
        <v>1659</v>
      </c>
      <c r="M3119" t="s">
        <v>874</v>
      </c>
      <c r="N3119" t="s">
        <v>1132</v>
      </c>
      <c r="O3119" t="s">
        <v>1132</v>
      </c>
      <c r="P3119" t="str">
        <f>IFERROR(VLOOKUP(F3119,Sheet1!$A$2:$B$54,2,FALSE),"")</f>
        <v/>
      </c>
    </row>
    <row r="3120" spans="1:16" x14ac:dyDescent="0.2">
      <c r="A3120" s="1">
        <v>2015</v>
      </c>
      <c r="B3120" t="s">
        <v>378</v>
      </c>
      <c r="C3120" s="10" t="s">
        <v>1678</v>
      </c>
      <c r="D3120" s="10" t="s">
        <v>1679</v>
      </c>
      <c r="E3120" s="10" t="s">
        <v>1682</v>
      </c>
      <c r="F3120" t="s">
        <v>875</v>
      </c>
      <c r="G3120" s="4">
        <v>13553</v>
      </c>
      <c r="H3120" s="4"/>
      <c r="I3120" s="4"/>
      <c r="J3120" s="4">
        <f>SUM(G3120:I3120)</f>
        <v>13553</v>
      </c>
      <c r="K3120" t="s">
        <v>1659</v>
      </c>
      <c r="L3120" t="s">
        <v>1659</v>
      </c>
      <c r="M3120" t="s">
        <v>1483</v>
      </c>
      <c r="N3120" t="s">
        <v>1132</v>
      </c>
      <c r="O3120" t="s">
        <v>1132</v>
      </c>
      <c r="P3120" t="str">
        <f>IFERROR(VLOOKUP(F3120,Sheet1!$A$2:$B$54,2,FALSE),"")</f>
        <v/>
      </c>
    </row>
    <row r="3121" spans="1:16" x14ac:dyDescent="0.2">
      <c r="A3121" s="1">
        <v>2016</v>
      </c>
      <c r="B3121" t="s">
        <v>378</v>
      </c>
      <c r="C3121" s="10" t="s">
        <v>1678</v>
      </c>
      <c r="D3121" s="10" t="s">
        <v>1679</v>
      </c>
      <c r="E3121" s="10" t="s">
        <v>1682</v>
      </c>
      <c r="F3121" t="s">
        <v>875</v>
      </c>
      <c r="G3121" s="4">
        <v>16636</v>
      </c>
      <c r="H3121" s="4"/>
      <c r="I3121" s="4"/>
      <c r="J3121" s="4">
        <f>SUM(G3121:I3121)</f>
        <v>16636</v>
      </c>
      <c r="K3121" t="s">
        <v>1659</v>
      </c>
      <c r="L3121" t="s">
        <v>1659</v>
      </c>
      <c r="M3121" t="s">
        <v>1483</v>
      </c>
      <c r="N3121" t="s">
        <v>1132</v>
      </c>
      <c r="O3121" t="s">
        <v>1132</v>
      </c>
      <c r="P3121" t="str">
        <f>IFERROR(VLOOKUP(F3121,Sheet1!$A$2:$B$54,2,FALSE),"")</f>
        <v/>
      </c>
    </row>
    <row r="3122" spans="1:16" x14ac:dyDescent="0.2">
      <c r="A3122" s="1">
        <v>2017</v>
      </c>
      <c r="B3122" t="s">
        <v>378</v>
      </c>
      <c r="C3122" s="10" t="s">
        <v>1678</v>
      </c>
      <c r="D3122" s="10" t="s">
        <v>1679</v>
      </c>
      <c r="E3122" s="10" t="s">
        <v>1682</v>
      </c>
      <c r="F3122" t="s">
        <v>875</v>
      </c>
      <c r="G3122" s="4">
        <v>17865</v>
      </c>
      <c r="H3122" s="4"/>
      <c r="I3122" s="4"/>
      <c r="J3122" s="4">
        <f>SUM(G3122:I3122)</f>
        <v>17865</v>
      </c>
      <c r="K3122" t="s">
        <v>1659</v>
      </c>
      <c r="L3122" t="s">
        <v>1659</v>
      </c>
      <c r="M3122" t="s">
        <v>1483</v>
      </c>
      <c r="N3122" t="s">
        <v>1132</v>
      </c>
      <c r="O3122" t="s">
        <v>1132</v>
      </c>
      <c r="P3122" t="str">
        <f>IFERROR(VLOOKUP(F3122,Sheet1!$A$2:$B$54,2,FALSE),"")</f>
        <v/>
      </c>
    </row>
    <row r="3123" spans="1:16" x14ac:dyDescent="0.2">
      <c r="A3123" s="1">
        <v>2018</v>
      </c>
      <c r="B3123" t="s">
        <v>378</v>
      </c>
      <c r="C3123" s="10" t="s">
        <v>1678</v>
      </c>
      <c r="D3123" s="10" t="s">
        <v>1679</v>
      </c>
      <c r="E3123" s="10" t="s">
        <v>1682</v>
      </c>
      <c r="F3123" t="s">
        <v>875</v>
      </c>
      <c r="G3123" s="4">
        <v>21538</v>
      </c>
      <c r="H3123" s="4"/>
      <c r="I3123" s="4"/>
      <c r="J3123" s="4">
        <f>SUM(G3123:I3123)</f>
        <v>21538</v>
      </c>
      <c r="K3123" t="s">
        <v>1659</v>
      </c>
      <c r="L3123" t="s">
        <v>1659</v>
      </c>
      <c r="M3123" t="s">
        <v>1483</v>
      </c>
      <c r="N3123" t="s">
        <v>1132</v>
      </c>
      <c r="O3123" t="s">
        <v>1132</v>
      </c>
      <c r="P3123" t="str">
        <f>IFERROR(VLOOKUP(F3123,Sheet1!$A$2:$B$54,2,FALSE),"")</f>
        <v/>
      </c>
    </row>
    <row r="3124" spans="1:16" x14ac:dyDescent="0.2">
      <c r="A3124" s="1">
        <v>2019</v>
      </c>
      <c r="B3124" t="s">
        <v>378</v>
      </c>
      <c r="C3124" s="10" t="s">
        <v>1678</v>
      </c>
      <c r="D3124" s="10" t="s">
        <v>1679</v>
      </c>
      <c r="E3124" s="10" t="s">
        <v>1682</v>
      </c>
      <c r="F3124" t="s">
        <v>875</v>
      </c>
      <c r="G3124" s="4">
        <v>29079</v>
      </c>
      <c r="H3124" s="4"/>
      <c r="I3124" s="4"/>
      <c r="J3124" s="4">
        <f>SUM(G3124:I3124)</f>
        <v>29079</v>
      </c>
      <c r="K3124" t="s">
        <v>1659</v>
      </c>
      <c r="L3124" t="s">
        <v>1659</v>
      </c>
      <c r="M3124" t="s">
        <v>1483</v>
      </c>
      <c r="N3124" t="s">
        <v>1132</v>
      </c>
      <c r="O3124" t="s">
        <v>1132</v>
      </c>
      <c r="P3124" t="str">
        <f>IFERROR(VLOOKUP(F3124,Sheet1!$A$2:$B$54,2,FALSE),"")</f>
        <v/>
      </c>
    </row>
    <row r="3125" spans="1:16" x14ac:dyDescent="0.2">
      <c r="A3125" s="1">
        <v>2020</v>
      </c>
      <c r="B3125" t="s">
        <v>378</v>
      </c>
      <c r="C3125" s="10" t="s">
        <v>1678</v>
      </c>
      <c r="D3125" s="10" t="s">
        <v>1679</v>
      </c>
      <c r="E3125" s="10" t="s">
        <v>1682</v>
      </c>
      <c r="F3125" t="s">
        <v>875</v>
      </c>
      <c r="G3125" s="4">
        <v>35681</v>
      </c>
      <c r="H3125" s="4"/>
      <c r="I3125" s="4"/>
      <c r="J3125" s="4">
        <f>SUM(G3125:I3125)</f>
        <v>35681</v>
      </c>
      <c r="K3125" t="s">
        <v>1659</v>
      </c>
      <c r="L3125" t="s">
        <v>1659</v>
      </c>
      <c r="M3125" t="s">
        <v>1483</v>
      </c>
      <c r="N3125" t="s">
        <v>1132</v>
      </c>
      <c r="O3125" t="s">
        <v>1132</v>
      </c>
      <c r="P3125" t="str">
        <f>IFERROR(VLOOKUP(F3125,Sheet1!$A$2:$B$54,2,FALSE),"")</f>
        <v/>
      </c>
    </row>
    <row r="3126" spans="1:16" x14ac:dyDescent="0.2">
      <c r="A3126" s="1">
        <v>2021</v>
      </c>
      <c r="B3126" t="s">
        <v>378</v>
      </c>
      <c r="C3126" s="10" t="s">
        <v>1678</v>
      </c>
      <c r="D3126" s="10" t="s">
        <v>1679</v>
      </c>
      <c r="E3126" s="10" t="s">
        <v>1682</v>
      </c>
      <c r="F3126" t="s">
        <v>875</v>
      </c>
      <c r="G3126" s="4">
        <v>38380</v>
      </c>
      <c r="H3126" s="4"/>
      <c r="I3126" s="4"/>
      <c r="J3126" s="4">
        <f>SUM(G3126:I3126)</f>
        <v>38380</v>
      </c>
      <c r="K3126" t="s">
        <v>1659</v>
      </c>
      <c r="L3126" t="s">
        <v>1659</v>
      </c>
      <c r="M3126" t="s">
        <v>875</v>
      </c>
      <c r="N3126" t="s">
        <v>1132</v>
      </c>
      <c r="O3126" t="s">
        <v>1132</v>
      </c>
      <c r="P3126" t="str">
        <f>IFERROR(VLOOKUP(F3126,Sheet1!$A$2:$B$54,2,FALSE),"")</f>
        <v/>
      </c>
    </row>
    <row r="3127" spans="1:16" x14ac:dyDescent="0.2">
      <c r="A3127" s="1">
        <v>2022</v>
      </c>
      <c r="B3127" t="s">
        <v>378</v>
      </c>
      <c r="C3127" s="10" t="s">
        <v>1678</v>
      </c>
      <c r="D3127" s="10" t="s">
        <v>1679</v>
      </c>
      <c r="E3127" s="10" t="s">
        <v>1682</v>
      </c>
      <c r="F3127" t="s">
        <v>875</v>
      </c>
      <c r="G3127" s="4">
        <v>47551</v>
      </c>
      <c r="H3127" s="4"/>
      <c r="I3127" s="4"/>
      <c r="J3127" s="4">
        <f>SUM(G3127:I3127)</f>
        <v>47551</v>
      </c>
      <c r="K3127" t="s">
        <v>1659</v>
      </c>
      <c r="L3127" t="s">
        <v>1659</v>
      </c>
      <c r="M3127" t="s">
        <v>875</v>
      </c>
      <c r="N3127" t="s">
        <v>1132</v>
      </c>
      <c r="O3127" t="s">
        <v>1132</v>
      </c>
      <c r="P3127" t="str">
        <f>IFERROR(VLOOKUP(F3127,Sheet1!$A$2:$B$54,2,FALSE),"")</f>
        <v/>
      </c>
    </row>
    <row r="3128" spans="1:16" x14ac:dyDescent="0.2">
      <c r="A3128" s="1">
        <v>2023</v>
      </c>
      <c r="B3128" t="s">
        <v>378</v>
      </c>
      <c r="C3128" s="10" t="s">
        <v>1678</v>
      </c>
      <c r="D3128" s="10" t="s">
        <v>1679</v>
      </c>
      <c r="E3128" s="10" t="s">
        <v>1682</v>
      </c>
      <c r="F3128" t="s">
        <v>875</v>
      </c>
      <c r="G3128" s="4">
        <v>59447</v>
      </c>
      <c r="H3128" s="4"/>
      <c r="I3128" s="4"/>
      <c r="J3128" s="4">
        <f>SUM(G3128:I3128)</f>
        <v>59447</v>
      </c>
      <c r="K3128" t="s">
        <v>1659</v>
      </c>
      <c r="L3128" t="s">
        <v>1659</v>
      </c>
      <c r="M3128" t="s">
        <v>875</v>
      </c>
      <c r="N3128" t="s">
        <v>1132</v>
      </c>
      <c r="O3128" t="s">
        <v>1132</v>
      </c>
      <c r="P3128" t="str">
        <f>IFERROR(VLOOKUP(F3128,Sheet1!$A$2:$B$54,2,FALSE),"")</f>
        <v/>
      </c>
    </row>
    <row r="3129" spans="1:16" x14ac:dyDescent="0.2">
      <c r="A3129" s="1">
        <v>2021</v>
      </c>
      <c r="B3129" t="s">
        <v>379</v>
      </c>
      <c r="C3129" s="10" t="s">
        <v>1678</v>
      </c>
      <c r="D3129" s="10" t="s">
        <v>1679</v>
      </c>
      <c r="E3129" s="10" t="s">
        <v>1682</v>
      </c>
      <c r="F3129" t="s">
        <v>876</v>
      </c>
      <c r="G3129" s="4">
        <v>72393</v>
      </c>
      <c r="H3129" s="4"/>
      <c r="I3129" s="4"/>
      <c r="J3129" s="4">
        <f>SUM(G3129:I3129)</f>
        <v>72393</v>
      </c>
      <c r="K3129" t="s">
        <v>1659</v>
      </c>
      <c r="L3129" t="s">
        <v>1659</v>
      </c>
      <c r="M3129" t="s">
        <v>876</v>
      </c>
      <c r="N3129" t="s">
        <v>1132</v>
      </c>
      <c r="O3129" t="s">
        <v>1132</v>
      </c>
      <c r="P3129" t="str">
        <f>IFERROR(VLOOKUP(F3129,Sheet1!$A$2:$B$54,2,FALSE),"")</f>
        <v/>
      </c>
    </row>
    <row r="3130" spans="1:16" x14ac:dyDescent="0.2">
      <c r="A3130" s="1">
        <v>2022</v>
      </c>
      <c r="B3130" t="s">
        <v>379</v>
      </c>
      <c r="C3130" s="10" t="s">
        <v>1678</v>
      </c>
      <c r="D3130" s="10" t="s">
        <v>1679</v>
      </c>
      <c r="E3130" s="10" t="s">
        <v>1682</v>
      </c>
      <c r="F3130" t="s">
        <v>876</v>
      </c>
      <c r="G3130" s="4">
        <v>94795</v>
      </c>
      <c r="H3130" s="4"/>
      <c r="I3130" s="4"/>
      <c r="J3130" s="4">
        <f>SUM(G3130:I3130)</f>
        <v>94795</v>
      </c>
      <c r="K3130" t="s">
        <v>1659</v>
      </c>
      <c r="L3130" t="s">
        <v>1659</v>
      </c>
      <c r="M3130" t="s">
        <v>876</v>
      </c>
      <c r="N3130" t="s">
        <v>1132</v>
      </c>
      <c r="O3130" t="s">
        <v>1132</v>
      </c>
      <c r="P3130" t="str">
        <f>IFERROR(VLOOKUP(F3130,Sheet1!$A$2:$B$54,2,FALSE),"")</f>
        <v/>
      </c>
    </row>
    <row r="3131" spans="1:16" x14ac:dyDescent="0.2">
      <c r="A3131" s="1">
        <v>2023</v>
      </c>
      <c r="B3131" t="s">
        <v>379</v>
      </c>
      <c r="C3131" s="10" t="s">
        <v>1678</v>
      </c>
      <c r="D3131" s="10" t="s">
        <v>1679</v>
      </c>
      <c r="E3131" s="10" t="s">
        <v>1682</v>
      </c>
      <c r="F3131" t="s">
        <v>876</v>
      </c>
      <c r="G3131" s="4">
        <v>103109</v>
      </c>
      <c r="H3131" s="4"/>
      <c r="I3131" s="4"/>
      <c r="J3131" s="4">
        <f>SUM(G3131:I3131)</f>
        <v>103109</v>
      </c>
      <c r="K3131" t="s">
        <v>1659</v>
      </c>
      <c r="L3131" t="s">
        <v>1659</v>
      </c>
      <c r="M3131" t="s">
        <v>876</v>
      </c>
      <c r="N3131" t="s">
        <v>1132</v>
      </c>
      <c r="O3131" t="s">
        <v>1132</v>
      </c>
      <c r="P3131" t="str">
        <f>IFERROR(VLOOKUP(F3131,Sheet1!$A$2:$B$54,2,FALSE),"")</f>
        <v/>
      </c>
    </row>
    <row r="3132" spans="1:16" x14ac:dyDescent="0.2">
      <c r="A3132" s="1">
        <v>2023</v>
      </c>
      <c r="B3132" t="s">
        <v>380</v>
      </c>
      <c r="C3132" s="10" t="s">
        <v>1678</v>
      </c>
      <c r="D3132" s="10" t="s">
        <v>1679</v>
      </c>
      <c r="E3132" s="10" t="s">
        <v>1682</v>
      </c>
      <c r="F3132" t="s">
        <v>877</v>
      </c>
      <c r="G3132" s="4">
        <v>950</v>
      </c>
      <c r="H3132" s="4"/>
      <c r="I3132" s="4"/>
      <c r="J3132" s="4">
        <f>SUM(G3132:I3132)</f>
        <v>950</v>
      </c>
      <c r="K3132" t="s">
        <v>1659</v>
      </c>
      <c r="L3132" t="s">
        <v>1659</v>
      </c>
      <c r="M3132" t="s">
        <v>877</v>
      </c>
      <c r="N3132" t="s">
        <v>1132</v>
      </c>
      <c r="O3132" t="s">
        <v>1132</v>
      </c>
      <c r="P3132" t="str">
        <f>IFERROR(VLOOKUP(F3132,Sheet1!$A$2:$B$54,2,FALSE),"")</f>
        <v/>
      </c>
    </row>
    <row r="3133" spans="1:16" x14ac:dyDescent="0.2">
      <c r="A3133" s="1">
        <v>2015</v>
      </c>
      <c r="B3133" t="s">
        <v>381</v>
      </c>
      <c r="C3133" s="10" t="s">
        <v>1678</v>
      </c>
      <c r="D3133" s="10" t="s">
        <v>1679</v>
      </c>
      <c r="E3133" s="10" t="s">
        <v>1682</v>
      </c>
      <c r="F3133" t="s">
        <v>878</v>
      </c>
      <c r="G3133" s="4">
        <v>3750</v>
      </c>
      <c r="H3133" s="4"/>
      <c r="I3133" s="4"/>
      <c r="J3133" s="4">
        <f>SUM(G3133:I3133)</f>
        <v>3750</v>
      </c>
      <c r="K3133" t="s">
        <v>1659</v>
      </c>
      <c r="L3133" t="s">
        <v>1659</v>
      </c>
      <c r="M3133" t="s">
        <v>1484</v>
      </c>
      <c r="N3133" t="s">
        <v>1132</v>
      </c>
      <c r="O3133" t="s">
        <v>1132</v>
      </c>
      <c r="P3133" t="str">
        <f>IFERROR(VLOOKUP(F3133,Sheet1!$A$2:$B$54,2,FALSE),"")</f>
        <v/>
      </c>
    </row>
    <row r="3134" spans="1:16" x14ac:dyDescent="0.2">
      <c r="A3134" s="1">
        <v>2016</v>
      </c>
      <c r="B3134" t="s">
        <v>381</v>
      </c>
      <c r="C3134" s="10" t="s">
        <v>1678</v>
      </c>
      <c r="D3134" s="10" t="s">
        <v>1679</v>
      </c>
      <c r="E3134" s="10" t="s">
        <v>1682</v>
      </c>
      <c r="F3134" t="s">
        <v>878</v>
      </c>
      <c r="G3134" s="4">
        <v>2623</v>
      </c>
      <c r="H3134" s="4"/>
      <c r="I3134" s="4"/>
      <c r="J3134" s="4">
        <f>SUM(G3134:I3134)</f>
        <v>2623</v>
      </c>
      <c r="K3134" t="s">
        <v>1659</v>
      </c>
      <c r="L3134" t="s">
        <v>1659</v>
      </c>
      <c r="M3134" t="s">
        <v>1484</v>
      </c>
      <c r="N3134" t="s">
        <v>1132</v>
      </c>
      <c r="O3134" t="s">
        <v>1132</v>
      </c>
      <c r="P3134" t="str">
        <f>IFERROR(VLOOKUP(F3134,Sheet1!$A$2:$B$54,2,FALSE),"")</f>
        <v/>
      </c>
    </row>
    <row r="3135" spans="1:16" x14ac:dyDescent="0.2">
      <c r="A3135" s="1">
        <v>2017</v>
      </c>
      <c r="B3135" t="s">
        <v>381</v>
      </c>
      <c r="C3135" s="10" t="s">
        <v>1678</v>
      </c>
      <c r="D3135" s="10" t="s">
        <v>1679</v>
      </c>
      <c r="E3135" s="10" t="s">
        <v>1682</v>
      </c>
      <c r="F3135" t="s">
        <v>878</v>
      </c>
      <c r="G3135" s="4">
        <v>3190</v>
      </c>
      <c r="H3135" s="4"/>
      <c r="I3135" s="4"/>
      <c r="J3135" s="4">
        <f>SUM(G3135:I3135)</f>
        <v>3190</v>
      </c>
      <c r="K3135" t="s">
        <v>1659</v>
      </c>
      <c r="L3135" t="s">
        <v>1659</v>
      </c>
      <c r="M3135" t="s">
        <v>1484</v>
      </c>
      <c r="N3135" t="s">
        <v>1132</v>
      </c>
      <c r="O3135" t="s">
        <v>1132</v>
      </c>
      <c r="P3135" t="str">
        <f>IFERROR(VLOOKUP(F3135,Sheet1!$A$2:$B$54,2,FALSE),"")</f>
        <v/>
      </c>
    </row>
    <row r="3136" spans="1:16" x14ac:dyDescent="0.2">
      <c r="A3136" s="1">
        <v>2018</v>
      </c>
      <c r="B3136" t="s">
        <v>381</v>
      </c>
      <c r="C3136" s="10" t="s">
        <v>1678</v>
      </c>
      <c r="D3136" s="10" t="s">
        <v>1679</v>
      </c>
      <c r="E3136" s="10" t="s">
        <v>1682</v>
      </c>
      <c r="F3136" t="s">
        <v>878</v>
      </c>
      <c r="G3136" s="4">
        <v>6381</v>
      </c>
      <c r="H3136" s="4"/>
      <c r="I3136" s="4"/>
      <c r="J3136" s="4">
        <f>SUM(G3136:I3136)</f>
        <v>6381</v>
      </c>
      <c r="K3136" t="s">
        <v>1659</v>
      </c>
      <c r="L3136" t="s">
        <v>1659</v>
      </c>
      <c r="M3136" t="s">
        <v>1484</v>
      </c>
      <c r="N3136" t="s">
        <v>1132</v>
      </c>
      <c r="O3136" t="s">
        <v>1132</v>
      </c>
      <c r="P3136" t="str">
        <f>IFERROR(VLOOKUP(F3136,Sheet1!$A$2:$B$54,2,FALSE),"")</f>
        <v/>
      </c>
    </row>
    <row r="3137" spans="1:16" x14ac:dyDescent="0.2">
      <c r="A3137" s="1">
        <v>2019</v>
      </c>
      <c r="B3137" t="s">
        <v>381</v>
      </c>
      <c r="C3137" s="10" t="s">
        <v>1678</v>
      </c>
      <c r="D3137" s="10" t="s">
        <v>1679</v>
      </c>
      <c r="E3137" s="10" t="s">
        <v>1682</v>
      </c>
      <c r="F3137" t="s">
        <v>878</v>
      </c>
      <c r="G3137" s="4">
        <v>4890</v>
      </c>
      <c r="H3137" s="4"/>
      <c r="I3137" s="4"/>
      <c r="J3137" s="4">
        <f>SUM(G3137:I3137)</f>
        <v>4890</v>
      </c>
      <c r="K3137" t="s">
        <v>1659</v>
      </c>
      <c r="L3137" t="s">
        <v>1659</v>
      </c>
      <c r="M3137" t="s">
        <v>1484</v>
      </c>
      <c r="N3137" t="s">
        <v>1132</v>
      </c>
      <c r="O3137" t="s">
        <v>1132</v>
      </c>
      <c r="P3137" t="str">
        <f>IFERROR(VLOOKUP(F3137,Sheet1!$A$2:$B$54,2,FALSE),"")</f>
        <v/>
      </c>
    </row>
    <row r="3138" spans="1:16" x14ac:dyDescent="0.2">
      <c r="A3138" s="1">
        <v>2020</v>
      </c>
      <c r="B3138" t="s">
        <v>381</v>
      </c>
      <c r="C3138" s="10" t="s">
        <v>1678</v>
      </c>
      <c r="D3138" s="10" t="s">
        <v>1679</v>
      </c>
      <c r="E3138" s="10" t="s">
        <v>1682</v>
      </c>
      <c r="F3138" t="s">
        <v>878</v>
      </c>
      <c r="G3138" s="4">
        <v>4652</v>
      </c>
      <c r="H3138" s="4"/>
      <c r="I3138" s="4"/>
      <c r="J3138" s="4">
        <f>SUM(G3138:I3138)</f>
        <v>4652</v>
      </c>
      <c r="K3138" t="s">
        <v>1659</v>
      </c>
      <c r="L3138" t="s">
        <v>1659</v>
      </c>
      <c r="M3138" t="s">
        <v>1484</v>
      </c>
      <c r="N3138" t="s">
        <v>1132</v>
      </c>
      <c r="O3138" t="s">
        <v>1132</v>
      </c>
      <c r="P3138" t="str">
        <f>IFERROR(VLOOKUP(F3138,Sheet1!$A$2:$B$54,2,FALSE),"")</f>
        <v/>
      </c>
    </row>
    <row r="3139" spans="1:16" x14ac:dyDescent="0.2">
      <c r="A3139" s="1">
        <v>2021</v>
      </c>
      <c r="B3139" t="s">
        <v>381</v>
      </c>
      <c r="C3139" s="10" t="s">
        <v>1678</v>
      </c>
      <c r="D3139" s="10" t="s">
        <v>1679</v>
      </c>
      <c r="E3139" s="10" t="s">
        <v>1682</v>
      </c>
      <c r="F3139" t="s">
        <v>878</v>
      </c>
      <c r="G3139" s="4">
        <v>6001</v>
      </c>
      <c r="H3139" s="4"/>
      <c r="I3139" s="4"/>
      <c r="J3139" s="4">
        <f>SUM(G3139:I3139)</f>
        <v>6001</v>
      </c>
      <c r="K3139" t="s">
        <v>1659</v>
      </c>
      <c r="L3139" t="s">
        <v>1659</v>
      </c>
      <c r="M3139" t="s">
        <v>878</v>
      </c>
      <c r="N3139" t="s">
        <v>1132</v>
      </c>
      <c r="O3139" t="s">
        <v>1132</v>
      </c>
      <c r="P3139" t="str">
        <f>IFERROR(VLOOKUP(F3139,Sheet1!$A$2:$B$54,2,FALSE),"")</f>
        <v/>
      </c>
    </row>
    <row r="3140" spans="1:16" x14ac:dyDescent="0.2">
      <c r="A3140" s="1">
        <v>2022</v>
      </c>
      <c r="B3140" t="s">
        <v>381</v>
      </c>
      <c r="C3140" s="10" t="s">
        <v>1678</v>
      </c>
      <c r="D3140" s="10" t="s">
        <v>1679</v>
      </c>
      <c r="E3140" s="10" t="s">
        <v>1682</v>
      </c>
      <c r="F3140" t="s">
        <v>878</v>
      </c>
      <c r="G3140" s="4">
        <v>10019</v>
      </c>
      <c r="H3140" s="4"/>
      <c r="I3140" s="4"/>
      <c r="J3140" s="4">
        <f>SUM(G3140:I3140)</f>
        <v>10019</v>
      </c>
      <c r="K3140" t="s">
        <v>1659</v>
      </c>
      <c r="L3140" t="s">
        <v>1659</v>
      </c>
      <c r="M3140" t="s">
        <v>878</v>
      </c>
      <c r="N3140" t="s">
        <v>1132</v>
      </c>
      <c r="O3140" t="s">
        <v>1132</v>
      </c>
      <c r="P3140" t="str">
        <f>IFERROR(VLOOKUP(F3140,Sheet1!$A$2:$B$54,2,FALSE),"")</f>
        <v/>
      </c>
    </row>
    <row r="3141" spans="1:16" x14ac:dyDescent="0.2">
      <c r="A3141" s="1">
        <v>2023</v>
      </c>
      <c r="B3141" t="s">
        <v>381</v>
      </c>
      <c r="C3141" s="10" t="s">
        <v>1678</v>
      </c>
      <c r="D3141" s="10" t="s">
        <v>1679</v>
      </c>
      <c r="E3141" s="10" t="s">
        <v>1682</v>
      </c>
      <c r="F3141" t="s">
        <v>878</v>
      </c>
      <c r="G3141" s="4">
        <v>12844</v>
      </c>
      <c r="H3141" s="4"/>
      <c r="I3141" s="4"/>
      <c r="J3141" s="4">
        <f>SUM(G3141:I3141)</f>
        <v>12844</v>
      </c>
      <c r="K3141" t="s">
        <v>1659</v>
      </c>
      <c r="L3141" t="s">
        <v>1659</v>
      </c>
      <c r="M3141" t="s">
        <v>878</v>
      </c>
      <c r="N3141" t="s">
        <v>1132</v>
      </c>
      <c r="O3141" t="s">
        <v>1132</v>
      </c>
      <c r="P3141" t="str">
        <f>IFERROR(VLOOKUP(F3141,Sheet1!$A$2:$B$54,2,FALSE),"")</f>
        <v/>
      </c>
    </row>
    <row r="3142" spans="1:16" x14ac:dyDescent="0.2">
      <c r="A3142" s="1">
        <v>2017</v>
      </c>
      <c r="B3142" t="s">
        <v>382</v>
      </c>
      <c r="C3142" s="10" t="s">
        <v>1678</v>
      </c>
      <c r="D3142" s="10" t="s">
        <v>1679</v>
      </c>
      <c r="E3142" s="10" t="s">
        <v>1682</v>
      </c>
      <c r="F3142" t="s">
        <v>879</v>
      </c>
      <c r="G3142" s="4">
        <v>52215</v>
      </c>
      <c r="H3142" s="4"/>
      <c r="I3142" s="4"/>
      <c r="J3142" s="4">
        <f>SUM(G3142:I3142)</f>
        <v>52215</v>
      </c>
      <c r="K3142" t="s">
        <v>1659</v>
      </c>
      <c r="L3142" t="s">
        <v>1659</v>
      </c>
      <c r="M3142" t="s">
        <v>1485</v>
      </c>
      <c r="N3142" t="s">
        <v>1132</v>
      </c>
      <c r="O3142" t="s">
        <v>1132</v>
      </c>
      <c r="P3142" t="str">
        <f>IFERROR(VLOOKUP(F3142,Sheet1!$A$2:$B$54,2,FALSE),"")</f>
        <v/>
      </c>
    </row>
    <row r="3143" spans="1:16" x14ac:dyDescent="0.2">
      <c r="A3143" s="1">
        <v>2018</v>
      </c>
      <c r="B3143" t="s">
        <v>382</v>
      </c>
      <c r="C3143" s="10" t="s">
        <v>1678</v>
      </c>
      <c r="D3143" s="10" t="s">
        <v>1679</v>
      </c>
      <c r="E3143" s="10" t="s">
        <v>1682</v>
      </c>
      <c r="F3143" t="s">
        <v>879</v>
      </c>
      <c r="G3143" s="4">
        <v>59035</v>
      </c>
      <c r="H3143" s="4"/>
      <c r="I3143" s="4"/>
      <c r="J3143" s="4">
        <f>SUM(G3143:I3143)</f>
        <v>59035</v>
      </c>
      <c r="K3143" t="s">
        <v>1659</v>
      </c>
      <c r="L3143" t="s">
        <v>1659</v>
      </c>
      <c r="M3143" t="s">
        <v>1485</v>
      </c>
      <c r="N3143" t="s">
        <v>1132</v>
      </c>
      <c r="O3143" t="s">
        <v>1132</v>
      </c>
      <c r="P3143" t="str">
        <f>IFERROR(VLOOKUP(F3143,Sheet1!$A$2:$B$54,2,FALSE),"")</f>
        <v/>
      </c>
    </row>
    <row r="3144" spans="1:16" x14ac:dyDescent="0.2">
      <c r="A3144" s="1">
        <v>2019</v>
      </c>
      <c r="B3144" t="s">
        <v>382</v>
      </c>
      <c r="C3144" s="10" t="s">
        <v>1678</v>
      </c>
      <c r="D3144" s="10" t="s">
        <v>1679</v>
      </c>
      <c r="E3144" s="10" t="s">
        <v>1682</v>
      </c>
      <c r="F3144" t="s">
        <v>879</v>
      </c>
      <c r="G3144" s="4">
        <v>73355</v>
      </c>
      <c r="H3144" s="4"/>
      <c r="I3144" s="4"/>
      <c r="J3144" s="4">
        <f>SUM(G3144:I3144)</f>
        <v>73355</v>
      </c>
      <c r="K3144" t="s">
        <v>1659</v>
      </c>
      <c r="L3144" t="s">
        <v>1659</v>
      </c>
      <c r="M3144" t="s">
        <v>1485</v>
      </c>
      <c r="N3144" t="s">
        <v>1132</v>
      </c>
      <c r="O3144" t="s">
        <v>1132</v>
      </c>
      <c r="P3144" t="str">
        <f>IFERROR(VLOOKUP(F3144,Sheet1!$A$2:$B$54,2,FALSE),"")</f>
        <v/>
      </c>
    </row>
    <row r="3145" spans="1:16" x14ac:dyDescent="0.2">
      <c r="A3145" s="1">
        <v>2020</v>
      </c>
      <c r="B3145" t="s">
        <v>382</v>
      </c>
      <c r="C3145" s="10" t="s">
        <v>1678</v>
      </c>
      <c r="D3145" s="10" t="s">
        <v>1679</v>
      </c>
      <c r="E3145" s="10" t="s">
        <v>1682</v>
      </c>
      <c r="F3145" t="s">
        <v>879</v>
      </c>
      <c r="G3145" s="4">
        <v>96884</v>
      </c>
      <c r="H3145" s="4"/>
      <c r="I3145" s="4"/>
      <c r="J3145" s="4">
        <f>SUM(G3145:I3145)</f>
        <v>96884</v>
      </c>
      <c r="K3145" t="s">
        <v>1659</v>
      </c>
      <c r="L3145" t="s">
        <v>1659</v>
      </c>
      <c r="M3145" t="s">
        <v>1485</v>
      </c>
      <c r="N3145" t="s">
        <v>1132</v>
      </c>
      <c r="O3145" t="s">
        <v>1132</v>
      </c>
      <c r="P3145" t="str">
        <f>IFERROR(VLOOKUP(F3145,Sheet1!$A$2:$B$54,2,FALSE),"")</f>
        <v/>
      </c>
    </row>
    <row r="3146" spans="1:16" x14ac:dyDescent="0.2">
      <c r="A3146" s="1">
        <v>2021</v>
      </c>
      <c r="B3146" t="s">
        <v>382</v>
      </c>
      <c r="C3146" s="10" t="s">
        <v>1678</v>
      </c>
      <c r="D3146" s="10" t="s">
        <v>1679</v>
      </c>
      <c r="E3146" s="10" t="s">
        <v>1682</v>
      </c>
      <c r="F3146" t="s">
        <v>879</v>
      </c>
      <c r="G3146" s="4">
        <v>118641</v>
      </c>
      <c r="H3146" s="4"/>
      <c r="I3146" s="4"/>
      <c r="J3146" s="4">
        <f>SUM(G3146:I3146)</f>
        <v>118641</v>
      </c>
      <c r="K3146" t="s">
        <v>1659</v>
      </c>
      <c r="L3146" t="s">
        <v>1659</v>
      </c>
      <c r="M3146" t="s">
        <v>879</v>
      </c>
      <c r="N3146" t="s">
        <v>1132</v>
      </c>
      <c r="O3146" t="s">
        <v>1132</v>
      </c>
      <c r="P3146" t="str">
        <f>IFERROR(VLOOKUP(F3146,Sheet1!$A$2:$B$54,2,FALSE),"")</f>
        <v/>
      </c>
    </row>
    <row r="3147" spans="1:16" x14ac:dyDescent="0.2">
      <c r="A3147" s="1">
        <v>2022</v>
      </c>
      <c r="B3147" t="s">
        <v>382</v>
      </c>
      <c r="C3147" s="10" t="s">
        <v>1678</v>
      </c>
      <c r="D3147" s="10" t="s">
        <v>1679</v>
      </c>
      <c r="E3147" s="10" t="s">
        <v>1682</v>
      </c>
      <c r="F3147" t="s">
        <v>879</v>
      </c>
      <c r="G3147" s="4">
        <v>122032</v>
      </c>
      <c r="H3147" s="4"/>
      <c r="I3147" s="4"/>
      <c r="J3147" s="4">
        <f>SUM(G3147:I3147)</f>
        <v>122032</v>
      </c>
      <c r="K3147" t="s">
        <v>1659</v>
      </c>
      <c r="L3147" t="s">
        <v>1659</v>
      </c>
      <c r="M3147" t="s">
        <v>879</v>
      </c>
      <c r="N3147" t="s">
        <v>1132</v>
      </c>
      <c r="O3147" t="s">
        <v>1132</v>
      </c>
      <c r="P3147" t="str">
        <f>IFERROR(VLOOKUP(F3147,Sheet1!$A$2:$B$54,2,FALSE),"")</f>
        <v/>
      </c>
    </row>
    <row r="3148" spans="1:16" x14ac:dyDescent="0.2">
      <c r="A3148" s="1">
        <v>2023</v>
      </c>
      <c r="B3148" t="s">
        <v>382</v>
      </c>
      <c r="C3148" s="10" t="s">
        <v>1678</v>
      </c>
      <c r="D3148" s="10" t="s">
        <v>1679</v>
      </c>
      <c r="E3148" s="10" t="s">
        <v>1682</v>
      </c>
      <c r="F3148" t="s">
        <v>879</v>
      </c>
      <c r="G3148" s="4">
        <v>125857</v>
      </c>
      <c r="H3148" s="4"/>
      <c r="I3148" s="4"/>
      <c r="J3148" s="4">
        <f>SUM(G3148:I3148)</f>
        <v>125857</v>
      </c>
      <c r="K3148" t="s">
        <v>1659</v>
      </c>
      <c r="L3148" t="s">
        <v>1659</v>
      </c>
      <c r="M3148" t="s">
        <v>879</v>
      </c>
      <c r="N3148" t="s">
        <v>1132</v>
      </c>
      <c r="O3148" t="s">
        <v>1132</v>
      </c>
      <c r="P3148" t="str">
        <f>IFERROR(VLOOKUP(F3148,Sheet1!$A$2:$B$54,2,FALSE),"")</f>
        <v/>
      </c>
    </row>
    <row r="3149" spans="1:16" x14ac:dyDescent="0.2">
      <c r="A3149" s="1">
        <v>2015</v>
      </c>
      <c r="B3149" t="s">
        <v>383</v>
      </c>
      <c r="C3149" s="10" t="s">
        <v>1678</v>
      </c>
      <c r="D3149" s="10" t="s">
        <v>1679</v>
      </c>
      <c r="E3149" s="10" t="s">
        <v>1682</v>
      </c>
      <c r="F3149" t="s">
        <v>880</v>
      </c>
      <c r="G3149" s="4">
        <v>95572</v>
      </c>
      <c r="H3149" s="4">
        <v>588147</v>
      </c>
      <c r="I3149" s="4"/>
      <c r="J3149" s="4">
        <f>SUM(G3149:I3149)</f>
        <v>683719</v>
      </c>
      <c r="K3149" t="s">
        <v>1660</v>
      </c>
      <c r="L3149" t="s">
        <v>1659</v>
      </c>
      <c r="M3149" t="s">
        <v>1486</v>
      </c>
      <c r="N3149" t="s">
        <v>1486</v>
      </c>
      <c r="O3149" t="s">
        <v>1132</v>
      </c>
      <c r="P3149" t="str">
        <f>IFERROR(VLOOKUP(F3149,Sheet1!$A$2:$B$54,2,FALSE),"")</f>
        <v/>
      </c>
    </row>
    <row r="3150" spans="1:16" x14ac:dyDescent="0.2">
      <c r="A3150" s="1">
        <v>2016</v>
      </c>
      <c r="B3150" t="s">
        <v>383</v>
      </c>
      <c r="C3150" s="10" t="s">
        <v>1678</v>
      </c>
      <c r="D3150" s="10" t="s">
        <v>1679</v>
      </c>
      <c r="E3150" s="10" t="s">
        <v>1682</v>
      </c>
      <c r="F3150" t="s">
        <v>880</v>
      </c>
      <c r="G3150" s="4">
        <v>96476</v>
      </c>
      <c r="H3150" s="4">
        <v>597083</v>
      </c>
      <c r="I3150" s="4"/>
      <c r="J3150" s="4">
        <f>SUM(G3150:I3150)</f>
        <v>693559</v>
      </c>
      <c r="K3150" t="s">
        <v>1660</v>
      </c>
      <c r="L3150" t="s">
        <v>1659</v>
      </c>
      <c r="M3150" t="s">
        <v>1486</v>
      </c>
      <c r="N3150" t="s">
        <v>1486</v>
      </c>
      <c r="O3150" t="s">
        <v>1132</v>
      </c>
      <c r="P3150" t="str">
        <f>IFERROR(VLOOKUP(F3150,Sheet1!$A$2:$B$54,2,FALSE),"")</f>
        <v/>
      </c>
    </row>
    <row r="3151" spans="1:16" x14ac:dyDescent="0.2">
      <c r="A3151" s="1">
        <v>2017</v>
      </c>
      <c r="B3151" t="s">
        <v>383</v>
      </c>
      <c r="C3151" s="10" t="s">
        <v>1678</v>
      </c>
      <c r="D3151" s="10" t="s">
        <v>1679</v>
      </c>
      <c r="E3151" s="10" t="s">
        <v>1682</v>
      </c>
      <c r="F3151" t="s">
        <v>880</v>
      </c>
      <c r="G3151" s="4">
        <v>110998</v>
      </c>
      <c r="H3151" s="4">
        <v>595883</v>
      </c>
      <c r="I3151" s="4"/>
      <c r="J3151" s="4">
        <f>SUM(G3151:I3151)</f>
        <v>706881</v>
      </c>
      <c r="K3151" t="s">
        <v>1660</v>
      </c>
      <c r="L3151" t="s">
        <v>1659</v>
      </c>
      <c r="M3151" t="s">
        <v>1487</v>
      </c>
      <c r="N3151" t="s">
        <v>1487</v>
      </c>
      <c r="O3151" t="s">
        <v>1132</v>
      </c>
      <c r="P3151" t="str">
        <f>IFERROR(VLOOKUP(F3151,Sheet1!$A$2:$B$54,2,FALSE),"")</f>
        <v/>
      </c>
    </row>
    <row r="3152" spans="1:16" x14ac:dyDescent="0.2">
      <c r="A3152" s="1">
        <v>2018</v>
      </c>
      <c r="B3152" t="s">
        <v>383</v>
      </c>
      <c r="C3152" s="10" t="s">
        <v>1678</v>
      </c>
      <c r="D3152" s="10" t="s">
        <v>1679</v>
      </c>
      <c r="E3152" s="10" t="s">
        <v>1682</v>
      </c>
      <c r="F3152" t="s">
        <v>880</v>
      </c>
      <c r="G3152" s="4">
        <v>135849</v>
      </c>
      <c r="H3152" s="4">
        <v>632202</v>
      </c>
      <c r="I3152" s="4"/>
      <c r="J3152" s="4">
        <f>SUM(G3152:I3152)</f>
        <v>768051</v>
      </c>
      <c r="K3152" t="s">
        <v>1660</v>
      </c>
      <c r="L3152" t="s">
        <v>1659</v>
      </c>
      <c r="M3152" t="s">
        <v>1487</v>
      </c>
      <c r="N3152" t="s">
        <v>1487</v>
      </c>
      <c r="O3152" t="s">
        <v>1132</v>
      </c>
      <c r="P3152" t="str">
        <f>IFERROR(VLOOKUP(F3152,Sheet1!$A$2:$B$54,2,FALSE),"")</f>
        <v/>
      </c>
    </row>
    <row r="3153" spans="1:16" x14ac:dyDescent="0.2">
      <c r="A3153" s="1">
        <v>2019</v>
      </c>
      <c r="B3153" t="s">
        <v>383</v>
      </c>
      <c r="C3153" s="10" t="s">
        <v>1678</v>
      </c>
      <c r="D3153" s="10" t="s">
        <v>1679</v>
      </c>
      <c r="E3153" s="10" t="s">
        <v>1682</v>
      </c>
      <c r="F3153" t="s">
        <v>880</v>
      </c>
      <c r="G3153" s="4">
        <v>166264</v>
      </c>
      <c r="H3153" s="4">
        <v>673994</v>
      </c>
      <c r="I3153" s="4"/>
      <c r="J3153" s="4">
        <f>SUM(G3153:I3153)</f>
        <v>840258</v>
      </c>
      <c r="K3153" t="s">
        <v>1660</v>
      </c>
      <c r="L3153" t="s">
        <v>1659</v>
      </c>
      <c r="M3153" t="s">
        <v>1487</v>
      </c>
      <c r="N3153" t="s">
        <v>1487</v>
      </c>
      <c r="O3153" t="s">
        <v>1132</v>
      </c>
      <c r="P3153" t="str">
        <f>IFERROR(VLOOKUP(F3153,Sheet1!$A$2:$B$54,2,FALSE),"")</f>
        <v/>
      </c>
    </row>
    <row r="3154" spans="1:16" x14ac:dyDescent="0.2">
      <c r="A3154" s="1">
        <v>2020</v>
      </c>
      <c r="B3154" t="s">
        <v>383</v>
      </c>
      <c r="C3154" s="10" t="s">
        <v>1678</v>
      </c>
      <c r="D3154" s="10" t="s">
        <v>1679</v>
      </c>
      <c r="E3154" s="10" t="s">
        <v>1682</v>
      </c>
      <c r="F3154" t="s">
        <v>880</v>
      </c>
      <c r="G3154" s="4">
        <v>181834</v>
      </c>
      <c r="H3154" s="4">
        <v>702737</v>
      </c>
      <c r="I3154" s="4"/>
      <c r="J3154" s="4">
        <f>SUM(G3154:I3154)</f>
        <v>884571</v>
      </c>
      <c r="K3154" t="s">
        <v>1660</v>
      </c>
      <c r="L3154" t="s">
        <v>1659</v>
      </c>
      <c r="M3154" t="s">
        <v>1487</v>
      </c>
      <c r="N3154" t="s">
        <v>1487</v>
      </c>
      <c r="O3154" t="s">
        <v>1132</v>
      </c>
      <c r="P3154" t="str">
        <f>IFERROR(VLOOKUP(F3154,Sheet1!$A$2:$B$54,2,FALSE),"")</f>
        <v/>
      </c>
    </row>
    <row r="3155" spans="1:16" x14ac:dyDescent="0.2">
      <c r="A3155" s="1">
        <v>2021</v>
      </c>
      <c r="B3155" t="s">
        <v>383</v>
      </c>
      <c r="C3155" s="10" t="s">
        <v>1678</v>
      </c>
      <c r="D3155" s="10" t="s">
        <v>1679</v>
      </c>
      <c r="E3155" s="10" t="s">
        <v>1682</v>
      </c>
      <c r="F3155" t="s">
        <v>880</v>
      </c>
      <c r="G3155" s="4">
        <v>201220</v>
      </c>
      <c r="H3155" s="4">
        <v>765640</v>
      </c>
      <c r="I3155" s="4"/>
      <c r="J3155" s="4">
        <f>SUM(G3155:I3155)</f>
        <v>966860</v>
      </c>
      <c r="K3155" t="s">
        <v>1660</v>
      </c>
      <c r="L3155" t="s">
        <v>1659</v>
      </c>
      <c r="M3155" t="s">
        <v>880</v>
      </c>
      <c r="N3155" t="s">
        <v>880</v>
      </c>
      <c r="O3155" t="s">
        <v>1132</v>
      </c>
      <c r="P3155" t="str">
        <f>IFERROR(VLOOKUP(F3155,Sheet1!$A$2:$B$54,2,FALSE),"")</f>
        <v/>
      </c>
    </row>
    <row r="3156" spans="1:16" x14ac:dyDescent="0.2">
      <c r="A3156" s="1">
        <v>2022</v>
      </c>
      <c r="B3156" t="s">
        <v>383</v>
      </c>
      <c r="C3156" s="10" t="s">
        <v>1678</v>
      </c>
      <c r="D3156" s="10" t="s">
        <v>1679</v>
      </c>
      <c r="E3156" s="10" t="s">
        <v>1682</v>
      </c>
      <c r="F3156" t="s">
        <v>880</v>
      </c>
      <c r="G3156" s="4">
        <v>245343</v>
      </c>
      <c r="H3156" s="4">
        <v>871245</v>
      </c>
      <c r="I3156" s="4"/>
      <c r="J3156" s="4">
        <f>SUM(G3156:I3156)</f>
        <v>1116588</v>
      </c>
      <c r="K3156" t="s">
        <v>1660</v>
      </c>
      <c r="L3156" t="s">
        <v>1659</v>
      </c>
      <c r="M3156" t="s">
        <v>880</v>
      </c>
      <c r="N3156" t="s">
        <v>880</v>
      </c>
      <c r="O3156" t="s">
        <v>1132</v>
      </c>
      <c r="P3156" t="str">
        <f>IFERROR(VLOOKUP(F3156,Sheet1!$A$2:$B$54,2,FALSE),"")</f>
        <v/>
      </c>
    </row>
    <row r="3157" spans="1:16" x14ac:dyDescent="0.2">
      <c r="A3157" s="1">
        <v>2023</v>
      </c>
      <c r="B3157" t="s">
        <v>383</v>
      </c>
      <c r="C3157" s="10" t="s">
        <v>1678</v>
      </c>
      <c r="D3157" s="10" t="s">
        <v>1679</v>
      </c>
      <c r="E3157" s="10" t="s">
        <v>1682</v>
      </c>
      <c r="F3157" t="s">
        <v>880</v>
      </c>
      <c r="G3157" s="4">
        <v>313758</v>
      </c>
      <c r="H3157" s="4">
        <v>958267</v>
      </c>
      <c r="I3157" s="4"/>
      <c r="J3157" s="4">
        <f>SUM(G3157:I3157)</f>
        <v>1272025</v>
      </c>
      <c r="K3157" t="s">
        <v>1660</v>
      </c>
      <c r="L3157" t="s">
        <v>1659</v>
      </c>
      <c r="M3157" t="s">
        <v>880</v>
      </c>
      <c r="N3157" t="s">
        <v>880</v>
      </c>
      <c r="O3157" t="s">
        <v>1132</v>
      </c>
      <c r="P3157" t="str">
        <f>IFERROR(VLOOKUP(F3157,Sheet1!$A$2:$B$54,2,FALSE),"")</f>
        <v/>
      </c>
    </row>
    <row r="3158" spans="1:16" x14ac:dyDescent="0.2">
      <c r="A3158" s="1">
        <v>2015</v>
      </c>
      <c r="B3158" t="s">
        <v>384</v>
      </c>
      <c r="C3158" s="10" t="s">
        <v>1678</v>
      </c>
      <c r="D3158" s="10" t="s">
        <v>1679</v>
      </c>
      <c r="E3158" s="10" t="s">
        <v>1682</v>
      </c>
      <c r="F3158" t="s">
        <v>881</v>
      </c>
      <c r="G3158" s="4">
        <v>63424</v>
      </c>
      <c r="H3158" s="4"/>
      <c r="I3158" s="4"/>
      <c r="J3158" s="4">
        <f>SUM(G3158:I3158)</f>
        <v>63424</v>
      </c>
      <c r="K3158" t="s">
        <v>1659</v>
      </c>
      <c r="L3158" t="s">
        <v>1659</v>
      </c>
      <c r="M3158" t="s">
        <v>1488</v>
      </c>
      <c r="N3158" t="s">
        <v>1132</v>
      </c>
      <c r="O3158" t="s">
        <v>1132</v>
      </c>
      <c r="P3158" t="str">
        <f>IFERROR(VLOOKUP(F3158,Sheet1!$A$2:$B$54,2,FALSE),"")</f>
        <v/>
      </c>
    </row>
    <row r="3159" spans="1:16" x14ac:dyDescent="0.2">
      <c r="A3159" s="1">
        <v>2016</v>
      </c>
      <c r="B3159" t="s">
        <v>384</v>
      </c>
      <c r="C3159" s="10" t="s">
        <v>1678</v>
      </c>
      <c r="D3159" s="10" t="s">
        <v>1679</v>
      </c>
      <c r="E3159" s="10" t="s">
        <v>1682</v>
      </c>
      <c r="F3159" t="s">
        <v>881</v>
      </c>
      <c r="G3159" s="4">
        <v>68462</v>
      </c>
      <c r="H3159" s="4"/>
      <c r="I3159" s="4"/>
      <c r="J3159" s="4">
        <f>SUM(G3159:I3159)</f>
        <v>68462</v>
      </c>
      <c r="K3159" t="s">
        <v>1659</v>
      </c>
      <c r="L3159" t="s">
        <v>1659</v>
      </c>
      <c r="M3159" t="s">
        <v>1489</v>
      </c>
      <c r="N3159" t="s">
        <v>1132</v>
      </c>
      <c r="O3159" t="s">
        <v>1132</v>
      </c>
      <c r="P3159" t="str">
        <f>IFERROR(VLOOKUP(F3159,Sheet1!$A$2:$B$54,2,FALSE),"")</f>
        <v/>
      </c>
    </row>
    <row r="3160" spans="1:16" x14ac:dyDescent="0.2">
      <c r="A3160" s="1">
        <v>2017</v>
      </c>
      <c r="B3160" t="s">
        <v>384</v>
      </c>
      <c r="C3160" s="10" t="s">
        <v>1678</v>
      </c>
      <c r="D3160" s="10" t="s">
        <v>1679</v>
      </c>
      <c r="E3160" s="10" t="s">
        <v>1682</v>
      </c>
      <c r="F3160" t="s">
        <v>881</v>
      </c>
      <c r="G3160" s="4">
        <v>67068</v>
      </c>
      <c r="H3160" s="4"/>
      <c r="I3160" s="4"/>
      <c r="J3160" s="4">
        <f>SUM(G3160:I3160)</f>
        <v>67068</v>
      </c>
      <c r="K3160" t="s">
        <v>1659</v>
      </c>
      <c r="L3160" t="s">
        <v>1659</v>
      </c>
      <c r="M3160" t="s">
        <v>1490</v>
      </c>
      <c r="N3160" t="s">
        <v>1132</v>
      </c>
      <c r="O3160" t="s">
        <v>1132</v>
      </c>
      <c r="P3160" t="str">
        <f>IFERROR(VLOOKUP(F3160,Sheet1!$A$2:$B$54,2,FALSE),"")</f>
        <v/>
      </c>
    </row>
    <row r="3161" spans="1:16" x14ac:dyDescent="0.2">
      <c r="A3161" s="1">
        <v>2018</v>
      </c>
      <c r="B3161" t="s">
        <v>384</v>
      </c>
      <c r="C3161" s="10" t="s">
        <v>1678</v>
      </c>
      <c r="D3161" s="10" t="s">
        <v>1679</v>
      </c>
      <c r="E3161" s="10" t="s">
        <v>1682</v>
      </c>
      <c r="F3161" t="s">
        <v>881</v>
      </c>
      <c r="G3161" s="4">
        <v>72383</v>
      </c>
      <c r="H3161" s="4"/>
      <c r="I3161" s="4"/>
      <c r="J3161" s="4">
        <f>SUM(G3161:I3161)</f>
        <v>72383</v>
      </c>
      <c r="K3161" t="s">
        <v>1659</v>
      </c>
      <c r="L3161" t="s">
        <v>1659</v>
      </c>
      <c r="M3161" t="s">
        <v>1490</v>
      </c>
      <c r="N3161" t="s">
        <v>1132</v>
      </c>
      <c r="O3161" t="s">
        <v>1132</v>
      </c>
      <c r="P3161" t="str">
        <f>IFERROR(VLOOKUP(F3161,Sheet1!$A$2:$B$54,2,FALSE),"")</f>
        <v/>
      </c>
    </row>
    <row r="3162" spans="1:16" x14ac:dyDescent="0.2">
      <c r="A3162" s="1">
        <v>2019</v>
      </c>
      <c r="B3162" t="s">
        <v>384</v>
      </c>
      <c r="C3162" s="10" t="s">
        <v>1678</v>
      </c>
      <c r="D3162" s="10" t="s">
        <v>1679</v>
      </c>
      <c r="E3162" s="10" t="s">
        <v>1682</v>
      </c>
      <c r="F3162" t="s">
        <v>881</v>
      </c>
      <c r="G3162" s="4">
        <v>87419</v>
      </c>
      <c r="H3162" s="4"/>
      <c r="I3162" s="4"/>
      <c r="J3162" s="4">
        <f>SUM(G3162:I3162)</f>
        <v>87419</v>
      </c>
      <c r="K3162" t="s">
        <v>1659</v>
      </c>
      <c r="L3162" t="s">
        <v>1659</v>
      </c>
      <c r="M3162" t="s">
        <v>1490</v>
      </c>
      <c r="N3162" t="s">
        <v>1132</v>
      </c>
      <c r="O3162" t="s">
        <v>1132</v>
      </c>
      <c r="P3162" t="str">
        <f>IFERROR(VLOOKUP(F3162,Sheet1!$A$2:$B$54,2,FALSE),"")</f>
        <v/>
      </c>
    </row>
    <row r="3163" spans="1:16" x14ac:dyDescent="0.2">
      <c r="A3163" s="1">
        <v>2020</v>
      </c>
      <c r="B3163" t="s">
        <v>384</v>
      </c>
      <c r="C3163" s="10" t="s">
        <v>1678</v>
      </c>
      <c r="D3163" s="10" t="s">
        <v>1679</v>
      </c>
      <c r="E3163" s="10" t="s">
        <v>1682</v>
      </c>
      <c r="F3163" t="s">
        <v>881</v>
      </c>
      <c r="G3163" s="4">
        <v>103215</v>
      </c>
      <c r="H3163" s="4"/>
      <c r="I3163" s="4"/>
      <c r="J3163" s="4">
        <f>SUM(G3163:I3163)</f>
        <v>103215</v>
      </c>
      <c r="K3163" t="s">
        <v>1659</v>
      </c>
      <c r="L3163" t="s">
        <v>1659</v>
      </c>
      <c r="M3163" t="s">
        <v>1490</v>
      </c>
      <c r="N3163" t="s">
        <v>1132</v>
      </c>
      <c r="O3163" t="s">
        <v>1132</v>
      </c>
      <c r="P3163" t="str">
        <f>IFERROR(VLOOKUP(F3163,Sheet1!$A$2:$B$54,2,FALSE),"")</f>
        <v/>
      </c>
    </row>
    <row r="3164" spans="1:16" x14ac:dyDescent="0.2">
      <c r="A3164" s="1">
        <v>2021</v>
      </c>
      <c r="B3164" t="s">
        <v>384</v>
      </c>
      <c r="C3164" s="10" t="s">
        <v>1678</v>
      </c>
      <c r="D3164" s="10" t="s">
        <v>1679</v>
      </c>
      <c r="E3164" s="10" t="s">
        <v>1682</v>
      </c>
      <c r="F3164" t="s">
        <v>881</v>
      </c>
      <c r="G3164" s="4">
        <v>106337</v>
      </c>
      <c r="H3164" s="4"/>
      <c r="I3164" s="4"/>
      <c r="J3164" s="4">
        <f>SUM(G3164:I3164)</f>
        <v>106337</v>
      </c>
      <c r="K3164" t="s">
        <v>1659</v>
      </c>
      <c r="L3164" t="s">
        <v>1659</v>
      </c>
      <c r="M3164" t="s">
        <v>881</v>
      </c>
      <c r="N3164" t="s">
        <v>1132</v>
      </c>
      <c r="O3164" t="s">
        <v>1132</v>
      </c>
      <c r="P3164" t="str">
        <f>IFERROR(VLOOKUP(F3164,Sheet1!$A$2:$B$54,2,FALSE),"")</f>
        <v/>
      </c>
    </row>
    <row r="3165" spans="1:16" x14ac:dyDescent="0.2">
      <c r="A3165" s="1">
        <v>2022</v>
      </c>
      <c r="B3165" t="s">
        <v>384</v>
      </c>
      <c r="C3165" s="10" t="s">
        <v>1678</v>
      </c>
      <c r="D3165" s="10" t="s">
        <v>1679</v>
      </c>
      <c r="E3165" s="10" t="s">
        <v>1682</v>
      </c>
      <c r="F3165" t="s">
        <v>881</v>
      </c>
      <c r="G3165" s="4">
        <v>121247</v>
      </c>
      <c r="H3165" s="4"/>
      <c r="I3165" s="4"/>
      <c r="J3165" s="4">
        <f>SUM(G3165:I3165)</f>
        <v>121247</v>
      </c>
      <c r="K3165" t="s">
        <v>1659</v>
      </c>
      <c r="L3165" t="s">
        <v>1659</v>
      </c>
      <c r="M3165" t="s">
        <v>881</v>
      </c>
      <c r="N3165" t="s">
        <v>1132</v>
      </c>
      <c r="O3165" t="s">
        <v>1132</v>
      </c>
      <c r="P3165" t="str">
        <f>IFERROR(VLOOKUP(F3165,Sheet1!$A$2:$B$54,2,FALSE),"")</f>
        <v/>
      </c>
    </row>
    <row r="3166" spans="1:16" x14ac:dyDescent="0.2">
      <c r="A3166" s="1">
        <v>2023</v>
      </c>
      <c r="B3166" t="s">
        <v>384</v>
      </c>
      <c r="C3166" s="10" t="s">
        <v>1678</v>
      </c>
      <c r="D3166" s="10" t="s">
        <v>1679</v>
      </c>
      <c r="E3166" s="10" t="s">
        <v>1682</v>
      </c>
      <c r="F3166" t="s">
        <v>881</v>
      </c>
      <c r="G3166" s="4">
        <v>157298</v>
      </c>
      <c r="H3166" s="4"/>
      <c r="I3166" s="4"/>
      <c r="J3166" s="4">
        <f>SUM(G3166:I3166)</f>
        <v>157298</v>
      </c>
      <c r="K3166" t="s">
        <v>1659</v>
      </c>
      <c r="L3166" t="s">
        <v>1659</v>
      </c>
      <c r="M3166" t="s">
        <v>881</v>
      </c>
      <c r="N3166" t="s">
        <v>1132</v>
      </c>
      <c r="O3166" t="s">
        <v>1132</v>
      </c>
      <c r="P3166" t="str">
        <f>IFERROR(VLOOKUP(F3166,Sheet1!$A$2:$B$54,2,FALSE),"")</f>
        <v/>
      </c>
    </row>
    <row r="3167" spans="1:16" x14ac:dyDescent="0.2">
      <c r="A3167" s="1">
        <v>2015</v>
      </c>
      <c r="B3167" t="s">
        <v>385</v>
      </c>
      <c r="C3167" s="10" t="s">
        <v>1678</v>
      </c>
      <c r="D3167" s="10" t="s">
        <v>1679</v>
      </c>
      <c r="E3167" s="10" t="s">
        <v>1682</v>
      </c>
      <c r="F3167" t="s">
        <v>882</v>
      </c>
      <c r="G3167" s="4">
        <v>213180</v>
      </c>
      <c r="H3167" s="4"/>
      <c r="I3167" s="4"/>
      <c r="J3167" s="4">
        <f>SUM(G3167:I3167)</f>
        <v>213180</v>
      </c>
      <c r="K3167" t="s">
        <v>1659</v>
      </c>
      <c r="L3167" t="s">
        <v>1659</v>
      </c>
      <c r="M3167" t="s">
        <v>1491</v>
      </c>
      <c r="N3167" t="s">
        <v>1132</v>
      </c>
      <c r="O3167" t="s">
        <v>1132</v>
      </c>
      <c r="P3167" t="str">
        <f>IFERROR(VLOOKUP(F3167,Sheet1!$A$2:$B$54,2,FALSE),"")</f>
        <v/>
      </c>
    </row>
    <row r="3168" spans="1:16" x14ac:dyDescent="0.2">
      <c r="A3168" s="1">
        <v>2016</v>
      </c>
      <c r="B3168" t="s">
        <v>385</v>
      </c>
      <c r="C3168" s="10" t="s">
        <v>1678</v>
      </c>
      <c r="D3168" s="10" t="s">
        <v>1679</v>
      </c>
      <c r="E3168" s="10" t="s">
        <v>1682</v>
      </c>
      <c r="F3168" t="s">
        <v>882</v>
      </c>
      <c r="G3168" s="4">
        <v>246398</v>
      </c>
      <c r="H3168" s="4"/>
      <c r="I3168" s="4"/>
      <c r="J3168" s="4">
        <f>SUM(G3168:I3168)</f>
        <v>246398</v>
      </c>
      <c r="K3168" t="s">
        <v>1659</v>
      </c>
      <c r="L3168" t="s">
        <v>1659</v>
      </c>
      <c r="M3168" t="s">
        <v>1491</v>
      </c>
      <c r="N3168" t="s">
        <v>1132</v>
      </c>
      <c r="O3168" t="s">
        <v>1132</v>
      </c>
      <c r="P3168" t="str">
        <f>IFERROR(VLOOKUP(F3168,Sheet1!$A$2:$B$54,2,FALSE),"")</f>
        <v/>
      </c>
    </row>
    <row r="3169" spans="1:16" x14ac:dyDescent="0.2">
      <c r="A3169" s="1">
        <v>2017</v>
      </c>
      <c r="B3169" t="s">
        <v>385</v>
      </c>
      <c r="C3169" s="10" t="s">
        <v>1678</v>
      </c>
      <c r="D3169" s="10" t="s">
        <v>1679</v>
      </c>
      <c r="E3169" s="10" t="s">
        <v>1682</v>
      </c>
      <c r="F3169" t="s">
        <v>882</v>
      </c>
      <c r="G3169" s="4">
        <v>242456</v>
      </c>
      <c r="H3169" s="4"/>
      <c r="I3169" s="4"/>
      <c r="J3169" s="4">
        <f>SUM(G3169:I3169)</f>
        <v>242456</v>
      </c>
      <c r="K3169" t="s">
        <v>1659</v>
      </c>
      <c r="L3169" t="s">
        <v>1659</v>
      </c>
      <c r="M3169" t="s">
        <v>1491</v>
      </c>
      <c r="N3169" t="s">
        <v>1132</v>
      </c>
      <c r="O3169" t="s">
        <v>1132</v>
      </c>
      <c r="P3169" t="str">
        <f>IFERROR(VLOOKUP(F3169,Sheet1!$A$2:$B$54,2,FALSE),"")</f>
        <v/>
      </c>
    </row>
    <row r="3170" spans="1:16" x14ac:dyDescent="0.2">
      <c r="A3170" s="1">
        <v>2018</v>
      </c>
      <c r="B3170" t="s">
        <v>385</v>
      </c>
      <c r="C3170" s="10" t="s">
        <v>1678</v>
      </c>
      <c r="D3170" s="10" t="s">
        <v>1679</v>
      </c>
      <c r="E3170" s="10" t="s">
        <v>1682</v>
      </c>
      <c r="F3170" t="s">
        <v>882</v>
      </c>
      <c r="G3170" s="4">
        <v>258231</v>
      </c>
      <c r="H3170" s="4"/>
      <c r="I3170" s="4"/>
      <c r="J3170" s="4">
        <f>SUM(G3170:I3170)</f>
        <v>258231</v>
      </c>
      <c r="K3170" t="s">
        <v>1659</v>
      </c>
      <c r="L3170" t="s">
        <v>1659</v>
      </c>
      <c r="M3170" t="s">
        <v>1491</v>
      </c>
      <c r="N3170" t="s">
        <v>1132</v>
      </c>
      <c r="O3170" t="s">
        <v>1132</v>
      </c>
      <c r="P3170" t="str">
        <f>IFERROR(VLOOKUP(F3170,Sheet1!$A$2:$B$54,2,FALSE),"")</f>
        <v/>
      </c>
    </row>
    <row r="3171" spans="1:16" x14ac:dyDescent="0.2">
      <c r="A3171" s="1">
        <v>2019</v>
      </c>
      <c r="B3171" t="s">
        <v>385</v>
      </c>
      <c r="C3171" s="10" t="s">
        <v>1678</v>
      </c>
      <c r="D3171" s="10" t="s">
        <v>1679</v>
      </c>
      <c r="E3171" s="10" t="s">
        <v>1682</v>
      </c>
      <c r="F3171" t="s">
        <v>882</v>
      </c>
      <c r="G3171" s="4">
        <v>311804</v>
      </c>
      <c r="H3171" s="4"/>
      <c r="I3171" s="4"/>
      <c r="J3171" s="4">
        <f>SUM(G3171:I3171)</f>
        <v>311804</v>
      </c>
      <c r="K3171" t="s">
        <v>1659</v>
      </c>
      <c r="L3171" t="s">
        <v>1659</v>
      </c>
      <c r="M3171" t="s">
        <v>1491</v>
      </c>
      <c r="N3171" t="s">
        <v>1132</v>
      </c>
      <c r="O3171" t="s">
        <v>1132</v>
      </c>
      <c r="P3171" t="str">
        <f>IFERROR(VLOOKUP(F3171,Sheet1!$A$2:$B$54,2,FALSE),"")</f>
        <v/>
      </c>
    </row>
    <row r="3172" spans="1:16" x14ac:dyDescent="0.2">
      <c r="A3172" s="1">
        <v>2020</v>
      </c>
      <c r="B3172" t="s">
        <v>385</v>
      </c>
      <c r="C3172" s="10" t="s">
        <v>1678</v>
      </c>
      <c r="D3172" s="10" t="s">
        <v>1679</v>
      </c>
      <c r="E3172" s="10" t="s">
        <v>1682</v>
      </c>
      <c r="F3172" t="s">
        <v>882</v>
      </c>
      <c r="G3172" s="4">
        <v>334382</v>
      </c>
      <c r="H3172" s="4"/>
      <c r="I3172" s="4"/>
      <c r="J3172" s="4">
        <f>SUM(G3172:I3172)</f>
        <v>334382</v>
      </c>
      <c r="K3172" t="s">
        <v>1659</v>
      </c>
      <c r="L3172" t="s">
        <v>1659</v>
      </c>
      <c r="M3172" t="s">
        <v>1491</v>
      </c>
      <c r="N3172" t="s">
        <v>1132</v>
      </c>
      <c r="O3172" t="s">
        <v>1132</v>
      </c>
      <c r="P3172" t="str">
        <f>IFERROR(VLOOKUP(F3172,Sheet1!$A$2:$B$54,2,FALSE),"")</f>
        <v/>
      </c>
    </row>
    <row r="3173" spans="1:16" x14ac:dyDescent="0.2">
      <c r="A3173" s="1">
        <v>2021</v>
      </c>
      <c r="B3173" t="s">
        <v>385</v>
      </c>
      <c r="C3173" s="10" t="s">
        <v>1678</v>
      </c>
      <c r="D3173" s="10" t="s">
        <v>1679</v>
      </c>
      <c r="E3173" s="10" t="s">
        <v>1682</v>
      </c>
      <c r="F3173" t="s">
        <v>882</v>
      </c>
      <c r="G3173" s="4">
        <v>307018</v>
      </c>
      <c r="H3173" s="4"/>
      <c r="I3173" s="4"/>
      <c r="J3173" s="4">
        <f>SUM(G3173:I3173)</f>
        <v>307018</v>
      </c>
      <c r="K3173" t="s">
        <v>1659</v>
      </c>
      <c r="L3173" t="s">
        <v>1659</v>
      </c>
      <c r="M3173" t="s">
        <v>882</v>
      </c>
      <c r="N3173" t="s">
        <v>1132</v>
      </c>
      <c r="O3173" t="s">
        <v>1132</v>
      </c>
      <c r="P3173" t="str">
        <f>IFERROR(VLOOKUP(F3173,Sheet1!$A$2:$B$54,2,FALSE),"")</f>
        <v/>
      </c>
    </row>
    <row r="3174" spans="1:16" x14ac:dyDescent="0.2">
      <c r="A3174" s="1">
        <v>2022</v>
      </c>
      <c r="B3174" t="s">
        <v>385</v>
      </c>
      <c r="C3174" s="10" t="s">
        <v>1678</v>
      </c>
      <c r="D3174" s="10" t="s">
        <v>1679</v>
      </c>
      <c r="E3174" s="10" t="s">
        <v>1682</v>
      </c>
      <c r="F3174" t="s">
        <v>882</v>
      </c>
      <c r="G3174" s="4">
        <v>383549</v>
      </c>
      <c r="H3174" s="4"/>
      <c r="I3174" s="4"/>
      <c r="J3174" s="4">
        <f>SUM(G3174:I3174)</f>
        <v>383549</v>
      </c>
      <c r="K3174" t="s">
        <v>1659</v>
      </c>
      <c r="L3174" t="s">
        <v>1659</v>
      </c>
      <c r="M3174" t="s">
        <v>882</v>
      </c>
      <c r="N3174" t="s">
        <v>1132</v>
      </c>
      <c r="O3174" t="s">
        <v>1132</v>
      </c>
      <c r="P3174" t="str">
        <f>IFERROR(VLOOKUP(F3174,Sheet1!$A$2:$B$54,2,FALSE),"")</f>
        <v/>
      </c>
    </row>
    <row r="3175" spans="1:16" x14ac:dyDescent="0.2">
      <c r="A3175" s="1">
        <v>2023</v>
      </c>
      <c r="B3175" t="s">
        <v>385</v>
      </c>
      <c r="C3175" s="10" t="s">
        <v>1678</v>
      </c>
      <c r="D3175" s="10" t="s">
        <v>1679</v>
      </c>
      <c r="E3175" s="10" t="s">
        <v>1682</v>
      </c>
      <c r="F3175" t="s">
        <v>882</v>
      </c>
      <c r="G3175" s="4">
        <v>436816</v>
      </c>
      <c r="H3175" s="4"/>
      <c r="I3175" s="4"/>
      <c r="J3175" s="4">
        <f>SUM(G3175:I3175)</f>
        <v>436816</v>
      </c>
      <c r="K3175" t="s">
        <v>1659</v>
      </c>
      <c r="L3175" t="s">
        <v>1659</v>
      </c>
      <c r="M3175" t="s">
        <v>882</v>
      </c>
      <c r="N3175" t="s">
        <v>1132</v>
      </c>
      <c r="O3175" t="s">
        <v>1132</v>
      </c>
      <c r="P3175" t="str">
        <f>IFERROR(VLOOKUP(F3175,Sheet1!$A$2:$B$54,2,FALSE),"")</f>
        <v/>
      </c>
    </row>
    <row r="3176" spans="1:16" x14ac:dyDescent="0.2">
      <c r="A3176" s="1">
        <v>2015</v>
      </c>
      <c r="B3176" t="s">
        <v>362</v>
      </c>
      <c r="C3176" s="10" t="s">
        <v>1678</v>
      </c>
      <c r="D3176" s="10" t="s">
        <v>1679</v>
      </c>
      <c r="E3176" s="10" t="s">
        <v>1682</v>
      </c>
      <c r="F3176" t="s">
        <v>859</v>
      </c>
      <c r="G3176" s="4">
        <v>539828</v>
      </c>
      <c r="H3176" s="4">
        <v>9537717</v>
      </c>
      <c r="I3176" s="4">
        <v>9434</v>
      </c>
      <c r="J3176" s="4">
        <f>SUM(G3176:I3176)</f>
        <v>10086979</v>
      </c>
      <c r="K3176" t="s">
        <v>1660</v>
      </c>
      <c r="L3176" t="s">
        <v>1660</v>
      </c>
      <c r="M3176" t="s">
        <v>1466</v>
      </c>
      <c r="N3176" t="s">
        <v>1466</v>
      </c>
      <c r="O3176" t="s">
        <v>1466</v>
      </c>
      <c r="P3176">
        <f>IFERROR(VLOOKUP(F3176,Sheet1!$A$2:$B$54,2,FALSE),"")</f>
        <v>4901050</v>
      </c>
    </row>
    <row r="3177" spans="1:16" x14ac:dyDescent="0.2">
      <c r="A3177" s="1">
        <v>2016</v>
      </c>
      <c r="B3177" t="s">
        <v>362</v>
      </c>
      <c r="C3177" s="10" t="s">
        <v>1678</v>
      </c>
      <c r="D3177" s="10" t="s">
        <v>1679</v>
      </c>
      <c r="E3177" s="10" t="s">
        <v>1682</v>
      </c>
      <c r="F3177" t="s">
        <v>859</v>
      </c>
      <c r="G3177" s="4">
        <v>663765</v>
      </c>
      <c r="H3177" s="4">
        <v>9413101</v>
      </c>
      <c r="I3177" s="4">
        <v>10236</v>
      </c>
      <c r="J3177" s="4">
        <f>SUM(G3177:I3177)</f>
        <v>10087102</v>
      </c>
      <c r="K3177" t="s">
        <v>1660</v>
      </c>
      <c r="L3177" t="s">
        <v>1660</v>
      </c>
      <c r="M3177" t="s">
        <v>1466</v>
      </c>
      <c r="N3177" t="s">
        <v>1466</v>
      </c>
      <c r="O3177" t="s">
        <v>1466</v>
      </c>
      <c r="P3177">
        <f>IFERROR(VLOOKUP(F3177,Sheet1!$A$2:$B$54,2,FALSE),"")</f>
        <v>4901050</v>
      </c>
    </row>
    <row r="3178" spans="1:16" x14ac:dyDescent="0.2">
      <c r="A3178" s="1">
        <v>2017</v>
      </c>
      <c r="B3178" t="s">
        <v>362</v>
      </c>
      <c r="C3178" s="10" t="s">
        <v>1678</v>
      </c>
      <c r="D3178" s="10" t="s">
        <v>1679</v>
      </c>
      <c r="E3178" s="10" t="s">
        <v>1682</v>
      </c>
      <c r="F3178" t="s">
        <v>859</v>
      </c>
      <c r="G3178" s="4">
        <v>830557</v>
      </c>
      <c r="H3178" s="4">
        <v>9671575</v>
      </c>
      <c r="I3178" s="4">
        <v>2730</v>
      </c>
      <c r="J3178" s="4">
        <f>SUM(G3178:I3178)</f>
        <v>10504862</v>
      </c>
      <c r="K3178" t="s">
        <v>1660</v>
      </c>
      <c r="L3178" t="s">
        <v>1660</v>
      </c>
      <c r="M3178" t="s">
        <v>1466</v>
      </c>
      <c r="N3178" t="s">
        <v>1466</v>
      </c>
      <c r="O3178" t="s">
        <v>1466</v>
      </c>
      <c r="P3178">
        <f>IFERROR(VLOOKUP(F3178,Sheet1!$A$2:$B$54,2,FALSE),"")</f>
        <v>4901050</v>
      </c>
    </row>
    <row r="3179" spans="1:16" x14ac:dyDescent="0.2">
      <c r="A3179" s="1">
        <v>2018</v>
      </c>
      <c r="B3179" t="s">
        <v>362</v>
      </c>
      <c r="C3179" s="10" t="s">
        <v>1678</v>
      </c>
      <c r="D3179" s="10" t="s">
        <v>1679</v>
      </c>
      <c r="E3179" s="10" t="s">
        <v>1682</v>
      </c>
      <c r="F3179" t="s">
        <v>859</v>
      </c>
      <c r="G3179" s="4">
        <v>1111118</v>
      </c>
      <c r="H3179" s="4">
        <v>10465327</v>
      </c>
      <c r="I3179" s="4">
        <v>0</v>
      </c>
      <c r="J3179" s="4">
        <f>SUM(G3179:I3179)</f>
        <v>11576445</v>
      </c>
      <c r="K3179" t="s">
        <v>1660</v>
      </c>
      <c r="L3179" t="s">
        <v>1660</v>
      </c>
      <c r="M3179" t="s">
        <v>1466</v>
      </c>
      <c r="N3179" t="s">
        <v>1466</v>
      </c>
      <c r="O3179" t="s">
        <v>1466</v>
      </c>
      <c r="P3179">
        <f>IFERROR(VLOOKUP(F3179,Sheet1!$A$2:$B$54,2,FALSE),"")</f>
        <v>4901050</v>
      </c>
    </row>
    <row r="3180" spans="1:16" x14ac:dyDescent="0.2">
      <c r="A3180" s="1">
        <v>2019</v>
      </c>
      <c r="B3180" t="s">
        <v>362</v>
      </c>
      <c r="C3180" s="10" t="s">
        <v>1678</v>
      </c>
      <c r="D3180" s="10" t="s">
        <v>1679</v>
      </c>
      <c r="E3180" s="10" t="s">
        <v>1682</v>
      </c>
      <c r="F3180" t="s">
        <v>859</v>
      </c>
      <c r="G3180" s="4">
        <v>1394452</v>
      </c>
      <c r="H3180" s="4">
        <v>11501889</v>
      </c>
      <c r="I3180" s="4">
        <v>0</v>
      </c>
      <c r="J3180" s="4">
        <f>SUM(G3180:I3180)</f>
        <v>12896341</v>
      </c>
      <c r="K3180" t="s">
        <v>1660</v>
      </c>
      <c r="L3180" t="s">
        <v>1660</v>
      </c>
      <c r="M3180" t="s">
        <v>1466</v>
      </c>
      <c r="N3180" t="s">
        <v>1466</v>
      </c>
      <c r="O3180" t="s">
        <v>1466</v>
      </c>
      <c r="P3180">
        <f>IFERROR(VLOOKUP(F3180,Sheet1!$A$2:$B$54,2,FALSE),"")</f>
        <v>4901050</v>
      </c>
    </row>
    <row r="3181" spans="1:16" x14ac:dyDescent="0.2">
      <c r="A3181" s="1">
        <v>2020</v>
      </c>
      <c r="B3181" t="s">
        <v>362</v>
      </c>
      <c r="C3181" s="10" t="s">
        <v>1678</v>
      </c>
      <c r="D3181" s="10" t="s">
        <v>1679</v>
      </c>
      <c r="E3181" s="10" t="s">
        <v>1682</v>
      </c>
      <c r="F3181" t="s">
        <v>859</v>
      </c>
      <c r="G3181" s="4">
        <v>1696009</v>
      </c>
      <c r="H3181" s="4">
        <v>12065963</v>
      </c>
      <c r="I3181" s="4">
        <v>0</v>
      </c>
      <c r="J3181" s="4">
        <f>SUM(G3181:I3181)</f>
        <v>13761972</v>
      </c>
      <c r="K3181" t="s">
        <v>1660</v>
      </c>
      <c r="L3181" t="s">
        <v>1660</v>
      </c>
      <c r="M3181" t="s">
        <v>1466</v>
      </c>
      <c r="N3181" t="s">
        <v>1466</v>
      </c>
      <c r="O3181" t="s">
        <v>1466</v>
      </c>
      <c r="P3181">
        <f>IFERROR(VLOOKUP(F3181,Sheet1!$A$2:$B$54,2,FALSE),"")</f>
        <v>4901050</v>
      </c>
    </row>
    <row r="3182" spans="1:16" x14ac:dyDescent="0.2">
      <c r="A3182" s="1">
        <v>2021</v>
      </c>
      <c r="B3182" t="s">
        <v>362</v>
      </c>
      <c r="C3182" s="10" t="s">
        <v>1678</v>
      </c>
      <c r="D3182" s="10" t="s">
        <v>1679</v>
      </c>
      <c r="E3182" s="10" t="s">
        <v>1682</v>
      </c>
      <c r="F3182" t="s">
        <v>859</v>
      </c>
      <c r="G3182" s="4">
        <v>2218589</v>
      </c>
      <c r="H3182" s="4">
        <v>13090108</v>
      </c>
      <c r="I3182" s="4">
        <v>0</v>
      </c>
      <c r="J3182" s="4">
        <f>SUM(G3182:I3182)</f>
        <v>15308697</v>
      </c>
      <c r="K3182" t="s">
        <v>1660</v>
      </c>
      <c r="L3182" t="s">
        <v>1660</v>
      </c>
      <c r="M3182" t="s">
        <v>859</v>
      </c>
      <c r="N3182" t="s">
        <v>859</v>
      </c>
      <c r="O3182" t="s">
        <v>859</v>
      </c>
      <c r="P3182">
        <f>IFERROR(VLOOKUP(F3182,Sheet1!$A$2:$B$54,2,FALSE),"")</f>
        <v>4901050</v>
      </c>
    </row>
    <row r="3183" spans="1:16" x14ac:dyDescent="0.2">
      <c r="A3183" s="1">
        <v>2022</v>
      </c>
      <c r="B3183" t="s">
        <v>362</v>
      </c>
      <c r="C3183" s="10" t="s">
        <v>1678</v>
      </c>
      <c r="D3183" s="10" t="s">
        <v>1679</v>
      </c>
      <c r="E3183" s="10" t="s">
        <v>1682</v>
      </c>
      <c r="F3183" t="s">
        <v>859</v>
      </c>
      <c r="G3183" s="4">
        <v>2803962</v>
      </c>
      <c r="H3183" s="4">
        <v>14111222</v>
      </c>
      <c r="I3183" s="4">
        <v>0</v>
      </c>
      <c r="J3183" s="4">
        <f>SUM(G3183:I3183)</f>
        <v>16915184</v>
      </c>
      <c r="K3183" t="s">
        <v>1660</v>
      </c>
      <c r="L3183" t="s">
        <v>1660</v>
      </c>
      <c r="M3183" t="s">
        <v>859</v>
      </c>
      <c r="N3183" t="s">
        <v>859</v>
      </c>
      <c r="O3183" t="s">
        <v>859</v>
      </c>
      <c r="P3183">
        <f>IFERROR(VLOOKUP(F3183,Sheet1!$A$2:$B$54,2,FALSE),"")</f>
        <v>4901050</v>
      </c>
    </row>
    <row r="3184" spans="1:16" x14ac:dyDescent="0.2">
      <c r="A3184" s="1">
        <v>2023</v>
      </c>
      <c r="B3184" t="s">
        <v>362</v>
      </c>
      <c r="C3184" s="10" t="s">
        <v>1678</v>
      </c>
      <c r="D3184" s="10" t="s">
        <v>1679</v>
      </c>
      <c r="E3184" s="10" t="s">
        <v>1682</v>
      </c>
      <c r="F3184" t="s">
        <v>859</v>
      </c>
      <c r="G3184" s="4">
        <v>3433039</v>
      </c>
      <c r="H3184" s="4">
        <v>15429249</v>
      </c>
      <c r="I3184" s="4"/>
      <c r="J3184" s="4">
        <f>SUM(G3184:I3184)</f>
        <v>18862288</v>
      </c>
      <c r="K3184" t="s">
        <v>1660</v>
      </c>
      <c r="L3184" t="s">
        <v>1659</v>
      </c>
      <c r="M3184" t="s">
        <v>859</v>
      </c>
      <c r="N3184" t="s">
        <v>859</v>
      </c>
      <c r="O3184" t="s">
        <v>1132</v>
      </c>
      <c r="P3184">
        <f>IFERROR(VLOOKUP(F3184,Sheet1!$A$2:$B$54,2,FALSE),"")</f>
        <v>4901050</v>
      </c>
    </row>
    <row r="3185" spans="1:16" x14ac:dyDescent="0.2">
      <c r="A3185" s="1">
        <v>2023</v>
      </c>
      <c r="B3185" t="s">
        <v>387</v>
      </c>
      <c r="C3185" s="10" t="s">
        <v>1678</v>
      </c>
      <c r="D3185" s="10" t="s">
        <v>1679</v>
      </c>
      <c r="E3185" s="10" t="s">
        <v>1682</v>
      </c>
      <c r="F3185" t="s">
        <v>884</v>
      </c>
      <c r="G3185" s="4">
        <v>56553</v>
      </c>
      <c r="H3185" s="4"/>
      <c r="I3185" s="4"/>
      <c r="J3185" s="4">
        <f>SUM(G3185:I3185)</f>
        <v>56553</v>
      </c>
      <c r="K3185" t="s">
        <v>1659</v>
      </c>
      <c r="L3185" t="s">
        <v>1659</v>
      </c>
      <c r="M3185" t="s">
        <v>884</v>
      </c>
      <c r="N3185" t="s">
        <v>1132</v>
      </c>
      <c r="O3185" t="s">
        <v>1132</v>
      </c>
      <c r="P3185" t="str">
        <f>IFERROR(VLOOKUP(F3185,Sheet1!$A$2:$B$54,2,FALSE),"")</f>
        <v/>
      </c>
    </row>
    <row r="3186" spans="1:16" x14ac:dyDescent="0.2">
      <c r="A3186" s="1">
        <v>2020</v>
      </c>
      <c r="B3186" t="s">
        <v>388</v>
      </c>
      <c r="C3186" s="10" t="s">
        <v>1678</v>
      </c>
      <c r="D3186" s="10" t="s">
        <v>1679</v>
      </c>
      <c r="E3186" s="10" t="s">
        <v>1682</v>
      </c>
      <c r="F3186" t="s">
        <v>885</v>
      </c>
      <c r="G3186" s="4">
        <v>7711</v>
      </c>
      <c r="H3186" s="4"/>
      <c r="I3186" s="4"/>
      <c r="J3186" s="4">
        <f>SUM(G3186:I3186)</f>
        <v>7711</v>
      </c>
      <c r="K3186" t="s">
        <v>1659</v>
      </c>
      <c r="L3186" t="s">
        <v>1659</v>
      </c>
      <c r="M3186" t="s">
        <v>1493</v>
      </c>
      <c r="N3186" t="s">
        <v>1132</v>
      </c>
      <c r="O3186" t="s">
        <v>1132</v>
      </c>
      <c r="P3186" t="str">
        <f>IFERROR(VLOOKUP(F3186,Sheet1!$A$2:$B$54,2,FALSE),"")</f>
        <v/>
      </c>
    </row>
    <row r="3187" spans="1:16" x14ac:dyDescent="0.2">
      <c r="A3187" s="1">
        <v>2021</v>
      </c>
      <c r="B3187" t="s">
        <v>388</v>
      </c>
      <c r="C3187" s="10" t="s">
        <v>1678</v>
      </c>
      <c r="D3187" s="10" t="s">
        <v>1679</v>
      </c>
      <c r="E3187" s="10" t="s">
        <v>1682</v>
      </c>
      <c r="F3187" t="s">
        <v>885</v>
      </c>
      <c r="G3187" s="4">
        <v>15378</v>
      </c>
      <c r="H3187" s="4"/>
      <c r="I3187" s="4"/>
      <c r="J3187" s="4">
        <f>SUM(G3187:I3187)</f>
        <v>15378</v>
      </c>
      <c r="K3187" t="s">
        <v>1659</v>
      </c>
      <c r="L3187" t="s">
        <v>1659</v>
      </c>
      <c r="M3187" t="s">
        <v>885</v>
      </c>
      <c r="N3187" t="s">
        <v>1132</v>
      </c>
      <c r="O3187" t="s">
        <v>1132</v>
      </c>
      <c r="P3187" t="str">
        <f>IFERROR(VLOOKUP(F3187,Sheet1!$A$2:$B$54,2,FALSE),"")</f>
        <v/>
      </c>
    </row>
    <row r="3188" spans="1:16" x14ac:dyDescent="0.2">
      <c r="A3188" s="1">
        <v>2022</v>
      </c>
      <c r="B3188" t="s">
        <v>388</v>
      </c>
      <c r="C3188" s="10" t="s">
        <v>1678</v>
      </c>
      <c r="D3188" s="10" t="s">
        <v>1679</v>
      </c>
      <c r="E3188" s="10" t="s">
        <v>1682</v>
      </c>
      <c r="F3188" t="s">
        <v>885</v>
      </c>
      <c r="G3188" s="4">
        <v>22944</v>
      </c>
      <c r="H3188" s="4"/>
      <c r="I3188" s="4"/>
      <c r="J3188" s="4">
        <f>SUM(G3188:I3188)</f>
        <v>22944</v>
      </c>
      <c r="K3188" t="s">
        <v>1659</v>
      </c>
      <c r="L3188" t="s">
        <v>1659</v>
      </c>
      <c r="M3188" t="s">
        <v>885</v>
      </c>
      <c r="N3188" t="s">
        <v>1132</v>
      </c>
      <c r="O3188" t="s">
        <v>1132</v>
      </c>
      <c r="P3188" t="str">
        <f>IFERROR(VLOOKUP(F3188,Sheet1!$A$2:$B$54,2,FALSE),"")</f>
        <v/>
      </c>
    </row>
    <row r="3189" spans="1:16" x14ac:dyDescent="0.2">
      <c r="A3189" s="1">
        <v>2023</v>
      </c>
      <c r="B3189" t="s">
        <v>388</v>
      </c>
      <c r="C3189" s="10" t="s">
        <v>1678</v>
      </c>
      <c r="D3189" s="10" t="s">
        <v>1679</v>
      </c>
      <c r="E3189" s="10" t="s">
        <v>1682</v>
      </c>
      <c r="F3189" t="s">
        <v>885</v>
      </c>
      <c r="G3189" s="4">
        <v>26933</v>
      </c>
      <c r="H3189" s="4"/>
      <c r="I3189" s="4"/>
      <c r="J3189" s="4">
        <f>SUM(G3189:I3189)</f>
        <v>26933</v>
      </c>
      <c r="K3189" t="s">
        <v>1659</v>
      </c>
      <c r="L3189" t="s">
        <v>1659</v>
      </c>
      <c r="M3189" t="s">
        <v>885</v>
      </c>
      <c r="N3189" t="s">
        <v>1132</v>
      </c>
      <c r="O3189" t="s">
        <v>1132</v>
      </c>
      <c r="P3189" t="str">
        <f>IFERROR(VLOOKUP(F3189,Sheet1!$A$2:$B$54,2,FALSE),"")</f>
        <v/>
      </c>
    </row>
    <row r="3190" spans="1:16" x14ac:dyDescent="0.2">
      <c r="A3190" s="1">
        <v>2015</v>
      </c>
      <c r="B3190" t="s">
        <v>389</v>
      </c>
      <c r="C3190" s="10" t="s">
        <v>1678</v>
      </c>
      <c r="D3190" s="10" t="s">
        <v>1679</v>
      </c>
      <c r="E3190" s="10" t="s">
        <v>1682</v>
      </c>
      <c r="F3190" t="s">
        <v>886</v>
      </c>
      <c r="G3190" s="4">
        <v>33789</v>
      </c>
      <c r="H3190" s="4"/>
      <c r="I3190" s="4"/>
      <c r="J3190" s="4">
        <f>SUM(G3190:I3190)</f>
        <v>33789</v>
      </c>
      <c r="K3190" t="s">
        <v>1659</v>
      </c>
      <c r="L3190" t="s">
        <v>1659</v>
      </c>
      <c r="M3190" t="s">
        <v>1494</v>
      </c>
      <c r="N3190" t="s">
        <v>1132</v>
      </c>
      <c r="O3190" t="s">
        <v>1132</v>
      </c>
      <c r="P3190" t="str">
        <f>IFERROR(VLOOKUP(F3190,Sheet1!$A$2:$B$54,2,FALSE),"")</f>
        <v/>
      </c>
    </row>
    <row r="3191" spans="1:16" x14ac:dyDescent="0.2">
      <c r="A3191" s="1">
        <v>2016</v>
      </c>
      <c r="B3191" t="s">
        <v>389</v>
      </c>
      <c r="C3191" s="10" t="s">
        <v>1678</v>
      </c>
      <c r="D3191" s="10" t="s">
        <v>1679</v>
      </c>
      <c r="E3191" s="10" t="s">
        <v>1682</v>
      </c>
      <c r="F3191" t="s">
        <v>886</v>
      </c>
      <c r="G3191" s="4">
        <v>34644</v>
      </c>
      <c r="H3191" s="4"/>
      <c r="I3191" s="4"/>
      <c r="J3191" s="4">
        <f>SUM(G3191:I3191)</f>
        <v>34644</v>
      </c>
      <c r="K3191" t="s">
        <v>1659</v>
      </c>
      <c r="L3191" t="s">
        <v>1659</v>
      </c>
      <c r="M3191" t="s">
        <v>1494</v>
      </c>
      <c r="N3191" t="s">
        <v>1132</v>
      </c>
      <c r="O3191" t="s">
        <v>1132</v>
      </c>
      <c r="P3191" t="str">
        <f>IFERROR(VLOOKUP(F3191,Sheet1!$A$2:$B$54,2,FALSE),"")</f>
        <v/>
      </c>
    </row>
    <row r="3192" spans="1:16" x14ac:dyDescent="0.2">
      <c r="A3192" s="1">
        <v>2017</v>
      </c>
      <c r="B3192" t="s">
        <v>389</v>
      </c>
      <c r="C3192" s="10" t="s">
        <v>1678</v>
      </c>
      <c r="D3192" s="10" t="s">
        <v>1679</v>
      </c>
      <c r="E3192" s="10" t="s">
        <v>1682</v>
      </c>
      <c r="F3192" t="s">
        <v>886</v>
      </c>
      <c r="G3192" s="4">
        <v>40022</v>
      </c>
      <c r="H3192" s="4"/>
      <c r="I3192" s="4"/>
      <c r="J3192" s="4">
        <f>SUM(G3192:I3192)</f>
        <v>40022</v>
      </c>
      <c r="K3192" t="s">
        <v>1659</v>
      </c>
      <c r="L3192" t="s">
        <v>1659</v>
      </c>
      <c r="M3192" t="s">
        <v>1494</v>
      </c>
      <c r="N3192" t="s">
        <v>1132</v>
      </c>
      <c r="O3192" t="s">
        <v>1132</v>
      </c>
      <c r="P3192" t="str">
        <f>IFERROR(VLOOKUP(F3192,Sheet1!$A$2:$B$54,2,FALSE),"")</f>
        <v/>
      </c>
    </row>
    <row r="3193" spans="1:16" x14ac:dyDescent="0.2">
      <c r="A3193" s="1">
        <v>2018</v>
      </c>
      <c r="B3193" t="s">
        <v>389</v>
      </c>
      <c r="C3193" s="10" t="s">
        <v>1678</v>
      </c>
      <c r="D3193" s="10" t="s">
        <v>1679</v>
      </c>
      <c r="E3193" s="10" t="s">
        <v>1682</v>
      </c>
      <c r="F3193" t="s">
        <v>886</v>
      </c>
      <c r="G3193" s="4">
        <v>56906</v>
      </c>
      <c r="H3193" s="4"/>
      <c r="I3193" s="4"/>
      <c r="J3193" s="4">
        <f>SUM(G3193:I3193)</f>
        <v>56906</v>
      </c>
      <c r="K3193" t="s">
        <v>1659</v>
      </c>
      <c r="L3193" t="s">
        <v>1659</v>
      </c>
      <c r="M3193" t="s">
        <v>1494</v>
      </c>
      <c r="N3193" t="s">
        <v>1132</v>
      </c>
      <c r="O3193" t="s">
        <v>1132</v>
      </c>
      <c r="P3193" t="str">
        <f>IFERROR(VLOOKUP(F3193,Sheet1!$A$2:$B$54,2,FALSE),"")</f>
        <v/>
      </c>
    </row>
    <row r="3194" spans="1:16" x14ac:dyDescent="0.2">
      <c r="A3194" s="1">
        <v>2019</v>
      </c>
      <c r="B3194" t="s">
        <v>389</v>
      </c>
      <c r="C3194" s="10" t="s">
        <v>1678</v>
      </c>
      <c r="D3194" s="10" t="s">
        <v>1679</v>
      </c>
      <c r="E3194" s="10" t="s">
        <v>1682</v>
      </c>
      <c r="F3194" t="s">
        <v>886</v>
      </c>
      <c r="G3194" s="4">
        <v>73302</v>
      </c>
      <c r="H3194" s="4"/>
      <c r="I3194" s="4"/>
      <c r="J3194" s="4">
        <f>SUM(G3194:I3194)</f>
        <v>73302</v>
      </c>
      <c r="K3194" t="s">
        <v>1659</v>
      </c>
      <c r="L3194" t="s">
        <v>1659</v>
      </c>
      <c r="M3194" t="s">
        <v>1494</v>
      </c>
      <c r="N3194" t="s">
        <v>1132</v>
      </c>
      <c r="O3194" t="s">
        <v>1132</v>
      </c>
      <c r="P3194" t="str">
        <f>IFERROR(VLOOKUP(F3194,Sheet1!$A$2:$B$54,2,FALSE),"")</f>
        <v/>
      </c>
    </row>
    <row r="3195" spans="1:16" x14ac:dyDescent="0.2">
      <c r="A3195" s="1">
        <v>2020</v>
      </c>
      <c r="B3195" t="s">
        <v>389</v>
      </c>
      <c r="C3195" s="10" t="s">
        <v>1678</v>
      </c>
      <c r="D3195" s="10" t="s">
        <v>1679</v>
      </c>
      <c r="E3195" s="10" t="s">
        <v>1682</v>
      </c>
      <c r="F3195" t="s">
        <v>886</v>
      </c>
      <c r="G3195" s="4">
        <v>103810</v>
      </c>
      <c r="H3195" s="4"/>
      <c r="I3195" s="4"/>
      <c r="J3195" s="4">
        <f>SUM(G3195:I3195)</f>
        <v>103810</v>
      </c>
      <c r="K3195" t="s">
        <v>1659</v>
      </c>
      <c r="L3195" t="s">
        <v>1659</v>
      </c>
      <c r="M3195" t="s">
        <v>1494</v>
      </c>
      <c r="N3195" t="s">
        <v>1132</v>
      </c>
      <c r="O3195" t="s">
        <v>1132</v>
      </c>
      <c r="P3195" t="str">
        <f>IFERROR(VLOOKUP(F3195,Sheet1!$A$2:$B$54,2,FALSE),"")</f>
        <v/>
      </c>
    </row>
    <row r="3196" spans="1:16" x14ac:dyDescent="0.2">
      <c r="A3196" s="1">
        <v>2021</v>
      </c>
      <c r="B3196" t="s">
        <v>389</v>
      </c>
      <c r="C3196" s="10" t="s">
        <v>1678</v>
      </c>
      <c r="D3196" s="10" t="s">
        <v>1679</v>
      </c>
      <c r="E3196" s="10" t="s">
        <v>1682</v>
      </c>
      <c r="F3196" t="s">
        <v>886</v>
      </c>
      <c r="G3196" s="4">
        <v>85876</v>
      </c>
      <c r="H3196" s="4"/>
      <c r="I3196" s="4"/>
      <c r="J3196" s="4">
        <f>SUM(G3196:I3196)</f>
        <v>85876</v>
      </c>
      <c r="K3196" t="s">
        <v>1659</v>
      </c>
      <c r="L3196" t="s">
        <v>1659</v>
      </c>
      <c r="M3196" t="s">
        <v>886</v>
      </c>
      <c r="N3196" t="s">
        <v>1132</v>
      </c>
      <c r="O3196" t="s">
        <v>1132</v>
      </c>
      <c r="P3196" t="str">
        <f>IFERROR(VLOOKUP(F3196,Sheet1!$A$2:$B$54,2,FALSE),"")</f>
        <v/>
      </c>
    </row>
    <row r="3197" spans="1:16" x14ac:dyDescent="0.2">
      <c r="A3197" s="1">
        <v>2022</v>
      </c>
      <c r="B3197" t="s">
        <v>389</v>
      </c>
      <c r="C3197" s="10" t="s">
        <v>1678</v>
      </c>
      <c r="D3197" s="10" t="s">
        <v>1679</v>
      </c>
      <c r="E3197" s="10" t="s">
        <v>1682</v>
      </c>
      <c r="F3197" t="s">
        <v>886</v>
      </c>
      <c r="G3197" s="4">
        <v>93054</v>
      </c>
      <c r="H3197" s="4"/>
      <c r="I3197" s="4"/>
      <c r="J3197" s="4">
        <f>SUM(G3197:I3197)</f>
        <v>93054</v>
      </c>
      <c r="K3197" t="s">
        <v>1659</v>
      </c>
      <c r="L3197" t="s">
        <v>1659</v>
      </c>
      <c r="M3197" t="s">
        <v>886</v>
      </c>
      <c r="N3197" t="s">
        <v>1132</v>
      </c>
      <c r="O3197" t="s">
        <v>1132</v>
      </c>
      <c r="P3197" t="str">
        <f>IFERROR(VLOOKUP(F3197,Sheet1!$A$2:$B$54,2,FALSE),"")</f>
        <v/>
      </c>
    </row>
    <row r="3198" spans="1:16" x14ac:dyDescent="0.2">
      <c r="A3198" s="1">
        <v>2023</v>
      </c>
      <c r="B3198" t="s">
        <v>389</v>
      </c>
      <c r="C3198" s="10" t="s">
        <v>1678</v>
      </c>
      <c r="D3198" s="10" t="s">
        <v>1679</v>
      </c>
      <c r="E3198" s="10" t="s">
        <v>1682</v>
      </c>
      <c r="F3198" t="s">
        <v>886</v>
      </c>
      <c r="G3198" s="4">
        <v>125058</v>
      </c>
      <c r="H3198" s="4"/>
      <c r="I3198" s="4"/>
      <c r="J3198" s="4">
        <f>SUM(G3198:I3198)</f>
        <v>125058</v>
      </c>
      <c r="K3198" t="s">
        <v>1659</v>
      </c>
      <c r="L3198" t="s">
        <v>1659</v>
      </c>
      <c r="M3198" t="s">
        <v>886</v>
      </c>
      <c r="N3198" t="s">
        <v>1132</v>
      </c>
      <c r="O3198" t="s">
        <v>1132</v>
      </c>
      <c r="P3198" t="str">
        <f>IFERROR(VLOOKUP(F3198,Sheet1!$A$2:$B$54,2,FALSE),"")</f>
        <v/>
      </c>
    </row>
    <row r="3199" spans="1:16" x14ac:dyDescent="0.2">
      <c r="A3199" s="1">
        <v>2015</v>
      </c>
      <c r="B3199" t="s">
        <v>390</v>
      </c>
      <c r="C3199" s="10" t="s">
        <v>1678</v>
      </c>
      <c r="D3199" s="10" t="s">
        <v>1679</v>
      </c>
      <c r="E3199" s="10" t="s">
        <v>1682</v>
      </c>
      <c r="F3199" t="s">
        <v>887</v>
      </c>
      <c r="G3199" s="4">
        <v>98953</v>
      </c>
      <c r="H3199" s="4"/>
      <c r="I3199" s="4"/>
      <c r="J3199" s="4">
        <f>SUM(G3199:I3199)</f>
        <v>98953</v>
      </c>
      <c r="K3199" t="s">
        <v>1659</v>
      </c>
      <c r="L3199" t="s">
        <v>1659</v>
      </c>
      <c r="M3199" t="s">
        <v>1495</v>
      </c>
      <c r="N3199" t="s">
        <v>1132</v>
      </c>
      <c r="O3199" t="s">
        <v>1132</v>
      </c>
      <c r="P3199" t="str">
        <f>IFERROR(VLOOKUP(F3199,Sheet1!$A$2:$B$54,2,FALSE),"")</f>
        <v/>
      </c>
    </row>
    <row r="3200" spans="1:16" x14ac:dyDescent="0.2">
      <c r="A3200" s="1">
        <v>2016</v>
      </c>
      <c r="B3200" t="s">
        <v>390</v>
      </c>
      <c r="C3200" s="10" t="s">
        <v>1678</v>
      </c>
      <c r="D3200" s="10" t="s">
        <v>1679</v>
      </c>
      <c r="E3200" s="10" t="s">
        <v>1682</v>
      </c>
      <c r="F3200" t="s">
        <v>887</v>
      </c>
      <c r="G3200" s="4">
        <v>129888</v>
      </c>
      <c r="H3200" s="4"/>
      <c r="I3200" s="4"/>
      <c r="J3200" s="4">
        <f>SUM(G3200:I3200)</f>
        <v>129888</v>
      </c>
      <c r="K3200" t="s">
        <v>1659</v>
      </c>
      <c r="L3200" t="s">
        <v>1659</v>
      </c>
      <c r="M3200" t="s">
        <v>1495</v>
      </c>
      <c r="N3200" t="s">
        <v>1132</v>
      </c>
      <c r="O3200" t="s">
        <v>1132</v>
      </c>
      <c r="P3200" t="str">
        <f>IFERROR(VLOOKUP(F3200,Sheet1!$A$2:$B$54,2,FALSE),"")</f>
        <v/>
      </c>
    </row>
    <row r="3201" spans="1:16" x14ac:dyDescent="0.2">
      <c r="A3201" s="1">
        <v>2017</v>
      </c>
      <c r="B3201" t="s">
        <v>390</v>
      </c>
      <c r="C3201" s="10" t="s">
        <v>1678</v>
      </c>
      <c r="D3201" s="10" t="s">
        <v>1679</v>
      </c>
      <c r="E3201" s="10" t="s">
        <v>1682</v>
      </c>
      <c r="F3201" t="s">
        <v>887</v>
      </c>
      <c r="G3201" s="4">
        <v>142152</v>
      </c>
      <c r="H3201" s="4"/>
      <c r="I3201" s="4"/>
      <c r="J3201" s="4">
        <f>SUM(G3201:I3201)</f>
        <v>142152</v>
      </c>
      <c r="K3201" t="s">
        <v>1659</v>
      </c>
      <c r="L3201" t="s">
        <v>1659</v>
      </c>
      <c r="M3201" t="s">
        <v>1495</v>
      </c>
      <c r="N3201" t="s">
        <v>1132</v>
      </c>
      <c r="O3201" t="s">
        <v>1132</v>
      </c>
      <c r="P3201" t="str">
        <f>IFERROR(VLOOKUP(F3201,Sheet1!$A$2:$B$54,2,FALSE),"")</f>
        <v/>
      </c>
    </row>
    <row r="3202" spans="1:16" x14ac:dyDescent="0.2">
      <c r="A3202" s="1">
        <v>2018</v>
      </c>
      <c r="B3202" t="s">
        <v>390</v>
      </c>
      <c r="C3202" s="10" t="s">
        <v>1678</v>
      </c>
      <c r="D3202" s="10" t="s">
        <v>1679</v>
      </c>
      <c r="E3202" s="10" t="s">
        <v>1682</v>
      </c>
      <c r="F3202" t="s">
        <v>887</v>
      </c>
      <c r="G3202" s="4">
        <v>174189</v>
      </c>
      <c r="H3202" s="4"/>
      <c r="I3202" s="4"/>
      <c r="J3202" s="4">
        <f>SUM(G3202:I3202)</f>
        <v>174189</v>
      </c>
      <c r="K3202" t="s">
        <v>1659</v>
      </c>
      <c r="L3202" t="s">
        <v>1659</v>
      </c>
      <c r="M3202" t="s">
        <v>1495</v>
      </c>
      <c r="N3202" t="s">
        <v>1132</v>
      </c>
      <c r="O3202" t="s">
        <v>1132</v>
      </c>
      <c r="P3202" t="str">
        <f>IFERROR(VLOOKUP(F3202,Sheet1!$A$2:$B$54,2,FALSE),"")</f>
        <v/>
      </c>
    </row>
    <row r="3203" spans="1:16" x14ac:dyDescent="0.2">
      <c r="A3203" s="1">
        <v>2019</v>
      </c>
      <c r="B3203" t="s">
        <v>390</v>
      </c>
      <c r="C3203" s="10" t="s">
        <v>1678</v>
      </c>
      <c r="D3203" s="10" t="s">
        <v>1679</v>
      </c>
      <c r="E3203" s="10" t="s">
        <v>1682</v>
      </c>
      <c r="F3203" t="s">
        <v>887</v>
      </c>
      <c r="G3203" s="4">
        <v>117708</v>
      </c>
      <c r="H3203" s="4"/>
      <c r="I3203" s="4"/>
      <c r="J3203" s="4">
        <f>SUM(G3203:I3203)</f>
        <v>117708</v>
      </c>
      <c r="K3203" t="s">
        <v>1659</v>
      </c>
      <c r="L3203" t="s">
        <v>1659</v>
      </c>
      <c r="M3203" t="s">
        <v>1495</v>
      </c>
      <c r="N3203" t="s">
        <v>1132</v>
      </c>
      <c r="O3203" t="s">
        <v>1132</v>
      </c>
      <c r="P3203" t="str">
        <f>IFERROR(VLOOKUP(F3203,Sheet1!$A$2:$B$54,2,FALSE),"")</f>
        <v/>
      </c>
    </row>
    <row r="3204" spans="1:16" x14ac:dyDescent="0.2">
      <c r="A3204" s="1">
        <v>2020</v>
      </c>
      <c r="B3204" t="s">
        <v>390</v>
      </c>
      <c r="C3204" s="10" t="s">
        <v>1678</v>
      </c>
      <c r="D3204" s="10" t="s">
        <v>1679</v>
      </c>
      <c r="E3204" s="10" t="s">
        <v>1682</v>
      </c>
      <c r="F3204" t="s">
        <v>887</v>
      </c>
      <c r="G3204" s="4">
        <v>125574</v>
      </c>
      <c r="H3204" s="4"/>
      <c r="I3204" s="4"/>
      <c r="J3204" s="4">
        <f>SUM(G3204:I3204)</f>
        <v>125574</v>
      </c>
      <c r="K3204" t="s">
        <v>1659</v>
      </c>
      <c r="L3204" t="s">
        <v>1659</v>
      </c>
      <c r="M3204" t="s">
        <v>1495</v>
      </c>
      <c r="N3204" t="s">
        <v>1132</v>
      </c>
      <c r="O3204" t="s">
        <v>1132</v>
      </c>
      <c r="P3204" t="str">
        <f>IFERROR(VLOOKUP(F3204,Sheet1!$A$2:$B$54,2,FALSE),"")</f>
        <v/>
      </c>
    </row>
    <row r="3205" spans="1:16" x14ac:dyDescent="0.2">
      <c r="A3205" s="1">
        <v>2021</v>
      </c>
      <c r="B3205" t="s">
        <v>390</v>
      </c>
      <c r="C3205" s="10" t="s">
        <v>1678</v>
      </c>
      <c r="D3205" s="10" t="s">
        <v>1679</v>
      </c>
      <c r="E3205" s="10" t="s">
        <v>1682</v>
      </c>
      <c r="F3205" t="s">
        <v>887</v>
      </c>
      <c r="G3205" s="4">
        <v>127414</v>
      </c>
      <c r="H3205" s="4"/>
      <c r="I3205" s="4"/>
      <c r="J3205" s="4">
        <f>SUM(G3205:I3205)</f>
        <v>127414</v>
      </c>
      <c r="K3205" t="s">
        <v>1659</v>
      </c>
      <c r="L3205" t="s">
        <v>1659</v>
      </c>
      <c r="M3205" t="s">
        <v>887</v>
      </c>
      <c r="N3205" t="s">
        <v>1132</v>
      </c>
      <c r="O3205" t="s">
        <v>1132</v>
      </c>
      <c r="P3205" t="str">
        <f>IFERROR(VLOOKUP(F3205,Sheet1!$A$2:$B$54,2,FALSE),"")</f>
        <v/>
      </c>
    </row>
    <row r="3206" spans="1:16" x14ac:dyDescent="0.2">
      <c r="A3206" s="1">
        <v>2022</v>
      </c>
      <c r="B3206" t="s">
        <v>390</v>
      </c>
      <c r="C3206" s="10" t="s">
        <v>1678</v>
      </c>
      <c r="D3206" s="10" t="s">
        <v>1679</v>
      </c>
      <c r="E3206" s="10" t="s">
        <v>1682</v>
      </c>
      <c r="F3206" t="s">
        <v>887</v>
      </c>
      <c r="G3206" s="4">
        <v>143932</v>
      </c>
      <c r="H3206" s="4"/>
      <c r="I3206" s="4"/>
      <c r="J3206" s="4">
        <f>SUM(G3206:I3206)</f>
        <v>143932</v>
      </c>
      <c r="K3206" t="s">
        <v>1659</v>
      </c>
      <c r="L3206" t="s">
        <v>1659</v>
      </c>
      <c r="M3206" t="s">
        <v>887</v>
      </c>
      <c r="N3206" t="s">
        <v>1132</v>
      </c>
      <c r="O3206" t="s">
        <v>1132</v>
      </c>
      <c r="P3206" t="str">
        <f>IFERROR(VLOOKUP(F3206,Sheet1!$A$2:$B$54,2,FALSE),"")</f>
        <v/>
      </c>
    </row>
    <row r="3207" spans="1:16" x14ac:dyDescent="0.2">
      <c r="A3207" s="1">
        <v>2023</v>
      </c>
      <c r="B3207" t="s">
        <v>390</v>
      </c>
      <c r="C3207" s="10" t="s">
        <v>1678</v>
      </c>
      <c r="D3207" s="10" t="s">
        <v>1679</v>
      </c>
      <c r="E3207" s="10" t="s">
        <v>1682</v>
      </c>
      <c r="F3207" t="s">
        <v>887</v>
      </c>
      <c r="G3207" s="4">
        <v>156259</v>
      </c>
      <c r="H3207" s="4"/>
      <c r="I3207" s="4"/>
      <c r="J3207" s="4">
        <f>SUM(G3207:I3207)</f>
        <v>156259</v>
      </c>
      <c r="K3207" t="s">
        <v>1659</v>
      </c>
      <c r="L3207" t="s">
        <v>1659</v>
      </c>
      <c r="M3207" t="s">
        <v>887</v>
      </c>
      <c r="N3207" t="s">
        <v>1132</v>
      </c>
      <c r="O3207" t="s">
        <v>1132</v>
      </c>
      <c r="P3207" t="str">
        <f>IFERROR(VLOOKUP(F3207,Sheet1!$A$2:$B$54,2,FALSE),"")</f>
        <v/>
      </c>
    </row>
    <row r="3208" spans="1:16" x14ac:dyDescent="0.2">
      <c r="A3208" s="1">
        <v>2015</v>
      </c>
      <c r="B3208" t="s">
        <v>391</v>
      </c>
      <c r="C3208" s="10" t="s">
        <v>1678</v>
      </c>
      <c r="D3208" s="10" t="s">
        <v>1679</v>
      </c>
      <c r="E3208" s="10" t="s">
        <v>1682</v>
      </c>
      <c r="F3208" t="s">
        <v>888</v>
      </c>
      <c r="G3208" s="4">
        <v>3568582</v>
      </c>
      <c r="H3208" s="4">
        <v>23756666</v>
      </c>
      <c r="I3208" s="4">
        <v>613591</v>
      </c>
      <c r="J3208" s="4">
        <f>SUM(G3208:I3208)</f>
        <v>27938839</v>
      </c>
      <c r="K3208" t="s">
        <v>1660</v>
      </c>
      <c r="L3208" t="s">
        <v>1660</v>
      </c>
      <c r="M3208" t="s">
        <v>1496</v>
      </c>
      <c r="N3208" t="s">
        <v>1496</v>
      </c>
      <c r="O3208" t="s">
        <v>1496</v>
      </c>
      <c r="P3208" t="str">
        <f>IFERROR(VLOOKUP(F3208,Sheet1!$A$2:$B$54,2,FALSE),"")</f>
        <v/>
      </c>
    </row>
    <row r="3209" spans="1:16" x14ac:dyDescent="0.2">
      <c r="A3209" s="1">
        <v>2016</v>
      </c>
      <c r="B3209" t="s">
        <v>391</v>
      </c>
      <c r="C3209" s="10" t="s">
        <v>1678</v>
      </c>
      <c r="D3209" s="10" t="s">
        <v>1679</v>
      </c>
      <c r="E3209" s="10" t="s">
        <v>1682</v>
      </c>
      <c r="F3209" t="s">
        <v>888</v>
      </c>
      <c r="G3209" s="4">
        <v>3133534</v>
      </c>
      <c r="H3209" s="4">
        <v>22514682</v>
      </c>
      <c r="I3209" s="4">
        <v>523787</v>
      </c>
      <c r="J3209" s="4">
        <f>SUM(G3209:I3209)</f>
        <v>26172003</v>
      </c>
      <c r="K3209" t="s">
        <v>1660</v>
      </c>
      <c r="L3209" t="s">
        <v>1660</v>
      </c>
      <c r="M3209" t="s">
        <v>1496</v>
      </c>
      <c r="N3209" t="s">
        <v>1496</v>
      </c>
      <c r="O3209" t="s">
        <v>1496</v>
      </c>
      <c r="P3209" t="str">
        <f>IFERROR(VLOOKUP(F3209,Sheet1!$A$2:$B$54,2,FALSE),"")</f>
        <v/>
      </c>
    </row>
    <row r="3210" spans="1:16" x14ac:dyDescent="0.2">
      <c r="A3210" s="1">
        <v>2017</v>
      </c>
      <c r="B3210" t="s">
        <v>391</v>
      </c>
      <c r="C3210" s="10" t="s">
        <v>1678</v>
      </c>
      <c r="D3210" s="10" t="s">
        <v>1679</v>
      </c>
      <c r="E3210" s="10" t="s">
        <v>1682</v>
      </c>
      <c r="F3210" t="s">
        <v>888</v>
      </c>
      <c r="G3210" s="4">
        <v>2622887</v>
      </c>
      <c r="H3210" s="4">
        <v>20920155</v>
      </c>
      <c r="I3210" s="4">
        <v>401347</v>
      </c>
      <c r="J3210" s="4">
        <f>SUM(G3210:I3210)</f>
        <v>23944389</v>
      </c>
      <c r="K3210" t="s">
        <v>1660</v>
      </c>
      <c r="L3210" t="s">
        <v>1660</v>
      </c>
      <c r="M3210" t="s">
        <v>1496</v>
      </c>
      <c r="N3210" t="s">
        <v>1496</v>
      </c>
      <c r="O3210" t="s">
        <v>1496</v>
      </c>
      <c r="P3210" t="str">
        <f>IFERROR(VLOOKUP(F3210,Sheet1!$A$2:$B$54,2,FALSE),"")</f>
        <v/>
      </c>
    </row>
    <row r="3211" spans="1:16" x14ac:dyDescent="0.2">
      <c r="A3211" s="1">
        <v>2018</v>
      </c>
      <c r="B3211" t="s">
        <v>391</v>
      </c>
      <c r="C3211" s="10" t="s">
        <v>1678</v>
      </c>
      <c r="D3211" s="10" t="s">
        <v>1679</v>
      </c>
      <c r="E3211" s="10" t="s">
        <v>1682</v>
      </c>
      <c r="F3211" t="s">
        <v>888</v>
      </c>
      <c r="G3211" s="4">
        <v>2432964</v>
      </c>
      <c r="H3211" s="4">
        <v>19836205</v>
      </c>
      <c r="I3211" s="4">
        <v>340054</v>
      </c>
      <c r="J3211" s="4">
        <f>SUM(G3211:I3211)</f>
        <v>22609223</v>
      </c>
      <c r="K3211" t="s">
        <v>1660</v>
      </c>
      <c r="L3211" t="s">
        <v>1660</v>
      </c>
      <c r="M3211" t="s">
        <v>1496</v>
      </c>
      <c r="N3211" t="s">
        <v>1496</v>
      </c>
      <c r="O3211" t="s">
        <v>1496</v>
      </c>
      <c r="P3211" t="str">
        <f>IFERROR(VLOOKUP(F3211,Sheet1!$A$2:$B$54,2,FALSE),"")</f>
        <v/>
      </c>
    </row>
    <row r="3212" spans="1:16" x14ac:dyDescent="0.2">
      <c r="A3212" s="1">
        <v>2019</v>
      </c>
      <c r="B3212" t="s">
        <v>391</v>
      </c>
      <c r="C3212" s="10" t="s">
        <v>1678</v>
      </c>
      <c r="D3212" s="10" t="s">
        <v>1679</v>
      </c>
      <c r="E3212" s="10" t="s">
        <v>1682</v>
      </c>
      <c r="F3212" t="s">
        <v>888</v>
      </c>
      <c r="G3212" s="4">
        <v>2268418</v>
      </c>
      <c r="H3212" s="4"/>
      <c r="I3212" s="4"/>
      <c r="J3212" s="4">
        <f>SUM(G3212:I3212)</f>
        <v>2268418</v>
      </c>
      <c r="K3212" t="s">
        <v>1659</v>
      </c>
      <c r="L3212" t="s">
        <v>1659</v>
      </c>
      <c r="M3212" t="s">
        <v>1496</v>
      </c>
      <c r="N3212" t="s">
        <v>1132</v>
      </c>
      <c r="O3212" t="s">
        <v>1132</v>
      </c>
      <c r="P3212" t="str">
        <f>IFERROR(VLOOKUP(F3212,Sheet1!$A$2:$B$54,2,FALSE),"")</f>
        <v/>
      </c>
    </row>
    <row r="3213" spans="1:16" x14ac:dyDescent="0.2">
      <c r="A3213" s="1">
        <v>2020</v>
      </c>
      <c r="B3213" t="s">
        <v>391</v>
      </c>
      <c r="C3213" s="10" t="s">
        <v>1678</v>
      </c>
      <c r="D3213" s="10" t="s">
        <v>1679</v>
      </c>
      <c r="E3213" s="10" t="s">
        <v>1682</v>
      </c>
      <c r="F3213" t="s">
        <v>888</v>
      </c>
      <c r="G3213" s="4">
        <v>2110722</v>
      </c>
      <c r="H3213" s="4"/>
      <c r="I3213" s="4"/>
      <c r="J3213" s="4">
        <f>SUM(G3213:I3213)</f>
        <v>2110722</v>
      </c>
      <c r="K3213" t="s">
        <v>1659</v>
      </c>
      <c r="L3213" t="s">
        <v>1659</v>
      </c>
      <c r="M3213" t="s">
        <v>1496</v>
      </c>
      <c r="N3213" t="s">
        <v>1132</v>
      </c>
      <c r="O3213" t="s">
        <v>1132</v>
      </c>
      <c r="P3213" t="str">
        <f>IFERROR(VLOOKUP(F3213,Sheet1!$A$2:$B$54,2,FALSE),"")</f>
        <v/>
      </c>
    </row>
    <row r="3214" spans="1:16" x14ac:dyDescent="0.2">
      <c r="A3214" s="1">
        <v>2021</v>
      </c>
      <c r="B3214" t="s">
        <v>391</v>
      </c>
      <c r="C3214" s="10" t="s">
        <v>1678</v>
      </c>
      <c r="D3214" s="10" t="s">
        <v>1679</v>
      </c>
      <c r="E3214" s="10" t="s">
        <v>1682</v>
      </c>
      <c r="F3214" t="s">
        <v>888</v>
      </c>
      <c r="G3214" s="4">
        <v>2030266</v>
      </c>
      <c r="H3214" s="4"/>
      <c r="I3214" s="4"/>
      <c r="J3214" s="4">
        <f>SUM(G3214:I3214)</f>
        <v>2030266</v>
      </c>
      <c r="K3214" t="s">
        <v>1659</v>
      </c>
      <c r="L3214" t="s">
        <v>1659</v>
      </c>
      <c r="M3214" t="s">
        <v>888</v>
      </c>
      <c r="N3214" t="s">
        <v>1132</v>
      </c>
      <c r="O3214" t="s">
        <v>1132</v>
      </c>
      <c r="P3214" t="str">
        <f>IFERROR(VLOOKUP(F3214,Sheet1!$A$2:$B$54,2,FALSE),"")</f>
        <v/>
      </c>
    </row>
    <row r="3215" spans="1:16" x14ac:dyDescent="0.2">
      <c r="A3215" s="1">
        <v>2022</v>
      </c>
      <c r="B3215" t="s">
        <v>391</v>
      </c>
      <c r="C3215" s="10" t="s">
        <v>1678</v>
      </c>
      <c r="D3215" s="10" t="s">
        <v>1679</v>
      </c>
      <c r="E3215" s="10" t="s">
        <v>1682</v>
      </c>
      <c r="F3215" t="s">
        <v>888</v>
      </c>
      <c r="G3215" s="4">
        <v>2047619</v>
      </c>
      <c r="H3215" s="4"/>
      <c r="I3215" s="4"/>
      <c r="J3215" s="4">
        <f>SUM(G3215:I3215)</f>
        <v>2047619</v>
      </c>
      <c r="K3215" t="s">
        <v>1659</v>
      </c>
      <c r="L3215" t="s">
        <v>1659</v>
      </c>
      <c r="M3215" t="s">
        <v>888</v>
      </c>
      <c r="N3215" t="s">
        <v>1132</v>
      </c>
      <c r="O3215" t="s">
        <v>1132</v>
      </c>
      <c r="P3215" t="str">
        <f>IFERROR(VLOOKUP(F3215,Sheet1!$A$2:$B$54,2,FALSE),"")</f>
        <v/>
      </c>
    </row>
    <row r="3216" spans="1:16" x14ac:dyDescent="0.2">
      <c r="A3216" s="1">
        <v>2023</v>
      </c>
      <c r="B3216" t="s">
        <v>391</v>
      </c>
      <c r="C3216" s="10" t="s">
        <v>1678</v>
      </c>
      <c r="D3216" s="10" t="s">
        <v>1679</v>
      </c>
      <c r="E3216" s="10" t="s">
        <v>1682</v>
      </c>
      <c r="F3216" t="s">
        <v>888</v>
      </c>
      <c r="G3216" s="4">
        <v>2244137</v>
      </c>
      <c r="H3216" s="4"/>
      <c r="I3216" s="4"/>
      <c r="J3216" s="4">
        <f>SUM(G3216:I3216)</f>
        <v>2244137</v>
      </c>
      <c r="K3216" t="s">
        <v>1659</v>
      </c>
      <c r="L3216" t="s">
        <v>1659</v>
      </c>
      <c r="M3216" t="s">
        <v>888</v>
      </c>
      <c r="N3216" t="s">
        <v>1132</v>
      </c>
      <c r="O3216" t="s">
        <v>1132</v>
      </c>
      <c r="P3216" t="str">
        <f>IFERROR(VLOOKUP(F3216,Sheet1!$A$2:$B$54,2,FALSE),"")</f>
        <v/>
      </c>
    </row>
    <row r="3217" spans="1:16" x14ac:dyDescent="0.2">
      <c r="A3217" s="1">
        <v>2015</v>
      </c>
      <c r="B3217" t="s">
        <v>392</v>
      </c>
      <c r="C3217" s="10" t="s">
        <v>1678</v>
      </c>
      <c r="D3217" s="10" t="s">
        <v>1679</v>
      </c>
      <c r="E3217" s="10" t="s">
        <v>1682</v>
      </c>
      <c r="F3217" t="s">
        <v>889</v>
      </c>
      <c r="G3217" s="4"/>
      <c r="H3217" s="4">
        <v>8666930</v>
      </c>
      <c r="I3217" s="4">
        <v>503898</v>
      </c>
      <c r="J3217" s="4">
        <f>SUM(G3217:I3217)</f>
        <v>9170828</v>
      </c>
      <c r="K3217" t="s">
        <v>1661</v>
      </c>
      <c r="L3217" t="s">
        <v>1660</v>
      </c>
      <c r="M3217" t="s">
        <v>1132</v>
      </c>
      <c r="N3217" t="s">
        <v>1497</v>
      </c>
      <c r="O3217" t="s">
        <v>1497</v>
      </c>
      <c r="P3217" t="str">
        <f>IFERROR(VLOOKUP(F3217,Sheet1!$A$2:$B$54,2,FALSE),"")</f>
        <v/>
      </c>
    </row>
    <row r="3218" spans="1:16" x14ac:dyDescent="0.2">
      <c r="A3218" s="1">
        <v>2016</v>
      </c>
      <c r="B3218" t="s">
        <v>392</v>
      </c>
      <c r="C3218" s="10" t="s">
        <v>1678</v>
      </c>
      <c r="D3218" s="10" t="s">
        <v>1679</v>
      </c>
      <c r="E3218" s="10" t="s">
        <v>1682</v>
      </c>
      <c r="F3218" t="s">
        <v>889</v>
      </c>
      <c r="G3218" s="4"/>
      <c r="H3218" s="4">
        <v>8439296</v>
      </c>
      <c r="I3218" s="4">
        <v>452322</v>
      </c>
      <c r="J3218" s="4">
        <f>SUM(G3218:I3218)</f>
        <v>8891618</v>
      </c>
      <c r="K3218" t="s">
        <v>1661</v>
      </c>
      <c r="L3218" t="s">
        <v>1660</v>
      </c>
      <c r="M3218" t="s">
        <v>1132</v>
      </c>
      <c r="N3218" t="s">
        <v>1497</v>
      </c>
      <c r="O3218" t="s">
        <v>1497</v>
      </c>
      <c r="P3218" t="str">
        <f>IFERROR(VLOOKUP(F3218,Sheet1!$A$2:$B$54,2,FALSE),"")</f>
        <v/>
      </c>
    </row>
    <row r="3219" spans="1:16" x14ac:dyDescent="0.2">
      <c r="A3219" s="1">
        <v>2017</v>
      </c>
      <c r="B3219" t="s">
        <v>392</v>
      </c>
      <c r="C3219" s="10" t="s">
        <v>1678</v>
      </c>
      <c r="D3219" s="10" t="s">
        <v>1679</v>
      </c>
      <c r="E3219" s="10" t="s">
        <v>1682</v>
      </c>
      <c r="F3219" t="s">
        <v>889</v>
      </c>
      <c r="G3219" s="4">
        <v>3277</v>
      </c>
      <c r="H3219" s="4">
        <v>8376290</v>
      </c>
      <c r="I3219" s="4">
        <v>411432</v>
      </c>
      <c r="J3219" s="4">
        <f>SUM(G3219:I3219)</f>
        <v>8790999</v>
      </c>
      <c r="K3219" t="s">
        <v>1660</v>
      </c>
      <c r="L3219" t="s">
        <v>1660</v>
      </c>
      <c r="M3219" t="s">
        <v>1497</v>
      </c>
      <c r="N3219" t="s">
        <v>1497</v>
      </c>
      <c r="O3219" t="s">
        <v>1497</v>
      </c>
      <c r="P3219" t="str">
        <f>IFERROR(VLOOKUP(F3219,Sheet1!$A$2:$B$54,2,FALSE),"")</f>
        <v/>
      </c>
    </row>
    <row r="3220" spans="1:16" x14ac:dyDescent="0.2">
      <c r="A3220" s="1">
        <v>2018</v>
      </c>
      <c r="B3220" t="s">
        <v>392</v>
      </c>
      <c r="C3220" s="10" t="s">
        <v>1678</v>
      </c>
      <c r="D3220" s="10" t="s">
        <v>1679</v>
      </c>
      <c r="E3220" s="10" t="s">
        <v>1682</v>
      </c>
      <c r="F3220" t="s">
        <v>889</v>
      </c>
      <c r="G3220" s="4">
        <v>4213</v>
      </c>
      <c r="H3220" s="4">
        <v>8382818</v>
      </c>
      <c r="I3220" s="4">
        <v>393049</v>
      </c>
      <c r="J3220" s="4">
        <f>SUM(G3220:I3220)</f>
        <v>8780080</v>
      </c>
      <c r="K3220" t="s">
        <v>1660</v>
      </c>
      <c r="L3220" t="s">
        <v>1660</v>
      </c>
      <c r="M3220" t="s">
        <v>1497</v>
      </c>
      <c r="N3220" t="s">
        <v>1497</v>
      </c>
      <c r="O3220" t="s">
        <v>1497</v>
      </c>
      <c r="P3220" t="str">
        <f>IFERROR(VLOOKUP(F3220,Sheet1!$A$2:$B$54,2,FALSE),"")</f>
        <v/>
      </c>
    </row>
    <row r="3221" spans="1:16" x14ac:dyDescent="0.2">
      <c r="A3221" s="1">
        <v>2019</v>
      </c>
      <c r="B3221" t="s">
        <v>392</v>
      </c>
      <c r="C3221" s="10" t="s">
        <v>1678</v>
      </c>
      <c r="D3221" s="10" t="s">
        <v>1679</v>
      </c>
      <c r="E3221" s="10" t="s">
        <v>1682</v>
      </c>
      <c r="F3221" t="s">
        <v>889</v>
      </c>
      <c r="G3221" s="4">
        <v>7420</v>
      </c>
      <c r="H3221" s="4"/>
      <c r="I3221" s="4"/>
      <c r="J3221" s="4">
        <f>SUM(G3221:I3221)</f>
        <v>7420</v>
      </c>
      <c r="K3221" t="s">
        <v>1659</v>
      </c>
      <c r="L3221" t="s">
        <v>1659</v>
      </c>
      <c r="M3221" t="s">
        <v>1497</v>
      </c>
      <c r="N3221" t="s">
        <v>1132</v>
      </c>
      <c r="O3221" t="s">
        <v>1132</v>
      </c>
      <c r="P3221" t="str">
        <f>IFERROR(VLOOKUP(F3221,Sheet1!$A$2:$B$54,2,FALSE),"")</f>
        <v/>
      </c>
    </row>
    <row r="3222" spans="1:16" x14ac:dyDescent="0.2">
      <c r="A3222" s="1">
        <v>2020</v>
      </c>
      <c r="B3222" t="s">
        <v>392</v>
      </c>
      <c r="C3222" s="10" t="s">
        <v>1678</v>
      </c>
      <c r="D3222" s="10" t="s">
        <v>1679</v>
      </c>
      <c r="E3222" s="10" t="s">
        <v>1682</v>
      </c>
      <c r="F3222" t="s">
        <v>889</v>
      </c>
      <c r="G3222" s="4">
        <v>23835</v>
      </c>
      <c r="H3222" s="4"/>
      <c r="I3222" s="4"/>
      <c r="J3222" s="4">
        <f>SUM(G3222:I3222)</f>
        <v>23835</v>
      </c>
      <c r="K3222" t="s">
        <v>1659</v>
      </c>
      <c r="L3222" t="s">
        <v>1659</v>
      </c>
      <c r="M3222" t="s">
        <v>1497</v>
      </c>
      <c r="N3222" t="s">
        <v>1132</v>
      </c>
      <c r="O3222" t="s">
        <v>1132</v>
      </c>
      <c r="P3222" t="str">
        <f>IFERROR(VLOOKUP(F3222,Sheet1!$A$2:$B$54,2,FALSE),"")</f>
        <v/>
      </c>
    </row>
    <row r="3223" spans="1:16" x14ac:dyDescent="0.2">
      <c r="A3223" s="1">
        <v>2021</v>
      </c>
      <c r="B3223" t="s">
        <v>392</v>
      </c>
      <c r="C3223" s="10" t="s">
        <v>1678</v>
      </c>
      <c r="D3223" s="10" t="s">
        <v>1679</v>
      </c>
      <c r="E3223" s="10" t="s">
        <v>1682</v>
      </c>
      <c r="F3223" t="s">
        <v>889</v>
      </c>
      <c r="G3223" s="4">
        <v>68833</v>
      </c>
      <c r="H3223" s="4"/>
      <c r="I3223" s="4"/>
      <c r="J3223" s="4">
        <f>SUM(G3223:I3223)</f>
        <v>68833</v>
      </c>
      <c r="K3223" t="s">
        <v>1659</v>
      </c>
      <c r="L3223" t="s">
        <v>1659</v>
      </c>
      <c r="M3223" t="s">
        <v>889</v>
      </c>
      <c r="N3223" t="s">
        <v>1132</v>
      </c>
      <c r="O3223" t="s">
        <v>1132</v>
      </c>
      <c r="P3223" t="str">
        <f>IFERROR(VLOOKUP(F3223,Sheet1!$A$2:$B$54,2,FALSE),"")</f>
        <v/>
      </c>
    </row>
    <row r="3224" spans="1:16" x14ac:dyDescent="0.2">
      <c r="A3224" s="1">
        <v>2022</v>
      </c>
      <c r="B3224" t="s">
        <v>392</v>
      </c>
      <c r="C3224" s="10" t="s">
        <v>1678</v>
      </c>
      <c r="D3224" s="10" t="s">
        <v>1679</v>
      </c>
      <c r="E3224" s="10" t="s">
        <v>1682</v>
      </c>
      <c r="F3224" t="s">
        <v>889</v>
      </c>
      <c r="G3224" s="4">
        <v>163470</v>
      </c>
      <c r="H3224" s="4"/>
      <c r="I3224" s="4"/>
      <c r="J3224" s="4">
        <f>SUM(G3224:I3224)</f>
        <v>163470</v>
      </c>
      <c r="K3224" t="s">
        <v>1659</v>
      </c>
      <c r="L3224" t="s">
        <v>1659</v>
      </c>
      <c r="M3224" t="s">
        <v>889</v>
      </c>
      <c r="N3224" t="s">
        <v>1132</v>
      </c>
      <c r="O3224" t="s">
        <v>1132</v>
      </c>
      <c r="P3224" t="str">
        <f>IFERROR(VLOOKUP(F3224,Sheet1!$A$2:$B$54,2,FALSE),"")</f>
        <v/>
      </c>
    </row>
    <row r="3225" spans="1:16" x14ac:dyDescent="0.2">
      <c r="A3225" s="1">
        <v>2023</v>
      </c>
      <c r="B3225" t="s">
        <v>392</v>
      </c>
      <c r="C3225" s="10" t="s">
        <v>1678</v>
      </c>
      <c r="D3225" s="10" t="s">
        <v>1679</v>
      </c>
      <c r="E3225" s="10" t="s">
        <v>1682</v>
      </c>
      <c r="F3225" t="s">
        <v>889</v>
      </c>
      <c r="G3225" s="4">
        <v>268901</v>
      </c>
      <c r="H3225" s="4"/>
      <c r="I3225" s="4"/>
      <c r="J3225" s="4">
        <f>SUM(G3225:I3225)</f>
        <v>268901</v>
      </c>
      <c r="K3225" t="s">
        <v>1659</v>
      </c>
      <c r="L3225" t="s">
        <v>1659</v>
      </c>
      <c r="M3225" t="s">
        <v>889</v>
      </c>
      <c r="N3225" t="s">
        <v>1132</v>
      </c>
      <c r="O3225" t="s">
        <v>1132</v>
      </c>
      <c r="P3225" t="str">
        <f>IFERROR(VLOOKUP(F3225,Sheet1!$A$2:$B$54,2,FALSE),"")</f>
        <v/>
      </c>
    </row>
    <row r="3226" spans="1:16" x14ac:dyDescent="0.2">
      <c r="A3226" s="1">
        <v>2022</v>
      </c>
      <c r="B3226" t="s">
        <v>393</v>
      </c>
      <c r="C3226" s="10" t="s">
        <v>1678</v>
      </c>
      <c r="D3226" s="10" t="s">
        <v>1679</v>
      </c>
      <c r="E3226" s="10" t="s">
        <v>1682</v>
      </c>
      <c r="F3226" t="s">
        <v>890</v>
      </c>
      <c r="G3226" s="4">
        <v>2221</v>
      </c>
      <c r="H3226" s="4"/>
      <c r="I3226" s="4"/>
      <c r="J3226" s="4">
        <f>SUM(G3226:I3226)</f>
        <v>2221</v>
      </c>
      <c r="K3226" t="s">
        <v>1659</v>
      </c>
      <c r="L3226" t="s">
        <v>1659</v>
      </c>
      <c r="M3226" t="s">
        <v>890</v>
      </c>
      <c r="N3226" t="s">
        <v>1132</v>
      </c>
      <c r="O3226" t="s">
        <v>1132</v>
      </c>
      <c r="P3226" t="str">
        <f>IFERROR(VLOOKUP(F3226,Sheet1!$A$2:$B$54,2,FALSE),"")</f>
        <v/>
      </c>
    </row>
    <row r="3227" spans="1:16" x14ac:dyDescent="0.2">
      <c r="A3227" s="1">
        <v>2023</v>
      </c>
      <c r="B3227" t="s">
        <v>393</v>
      </c>
      <c r="C3227" s="10" t="s">
        <v>1678</v>
      </c>
      <c r="D3227" s="10" t="s">
        <v>1679</v>
      </c>
      <c r="E3227" s="10" t="s">
        <v>1682</v>
      </c>
      <c r="F3227" t="s">
        <v>890</v>
      </c>
      <c r="G3227" s="4">
        <v>4964</v>
      </c>
      <c r="H3227" s="4"/>
      <c r="I3227" s="4"/>
      <c r="J3227" s="4">
        <f>SUM(G3227:I3227)</f>
        <v>4964</v>
      </c>
      <c r="K3227" t="s">
        <v>1659</v>
      </c>
      <c r="L3227" t="s">
        <v>1659</v>
      </c>
      <c r="M3227" t="s">
        <v>890</v>
      </c>
      <c r="N3227" t="s">
        <v>1132</v>
      </c>
      <c r="O3227" t="s">
        <v>1132</v>
      </c>
      <c r="P3227" t="str">
        <f>IFERROR(VLOOKUP(F3227,Sheet1!$A$2:$B$54,2,FALSE),"")</f>
        <v/>
      </c>
    </row>
    <row r="3228" spans="1:16" x14ac:dyDescent="0.2">
      <c r="A3228" s="1">
        <v>2015</v>
      </c>
      <c r="B3228" t="s">
        <v>394</v>
      </c>
      <c r="C3228" s="10" t="s">
        <v>1678</v>
      </c>
      <c r="D3228" s="10" t="s">
        <v>1679</v>
      </c>
      <c r="E3228" s="10" t="s">
        <v>1682</v>
      </c>
      <c r="F3228" t="s">
        <v>891</v>
      </c>
      <c r="G3228" s="4">
        <v>27146</v>
      </c>
      <c r="H3228" s="4">
        <v>516396</v>
      </c>
      <c r="I3228" s="4"/>
      <c r="J3228" s="4">
        <f>SUM(G3228:I3228)</f>
        <v>543542</v>
      </c>
      <c r="K3228" t="s">
        <v>1660</v>
      </c>
      <c r="L3228" t="s">
        <v>1659</v>
      </c>
      <c r="M3228" t="s">
        <v>1498</v>
      </c>
      <c r="N3228" t="s">
        <v>1498</v>
      </c>
      <c r="O3228" t="s">
        <v>1132</v>
      </c>
      <c r="P3228" t="str">
        <f>IFERROR(VLOOKUP(F3228,Sheet1!$A$2:$B$54,2,FALSE),"")</f>
        <v/>
      </c>
    </row>
    <row r="3229" spans="1:16" x14ac:dyDescent="0.2">
      <c r="A3229" s="1">
        <v>2016</v>
      </c>
      <c r="B3229" t="s">
        <v>394</v>
      </c>
      <c r="C3229" s="10" t="s">
        <v>1678</v>
      </c>
      <c r="D3229" s="10" t="s">
        <v>1679</v>
      </c>
      <c r="E3229" s="10" t="s">
        <v>1682</v>
      </c>
      <c r="F3229" t="s">
        <v>891</v>
      </c>
      <c r="G3229" s="4">
        <v>27548</v>
      </c>
      <c r="H3229" s="4">
        <v>565078</v>
      </c>
      <c r="I3229" s="4"/>
      <c r="J3229" s="4">
        <f>SUM(G3229:I3229)</f>
        <v>592626</v>
      </c>
      <c r="K3229" t="s">
        <v>1660</v>
      </c>
      <c r="L3229" t="s">
        <v>1659</v>
      </c>
      <c r="M3229" t="s">
        <v>1498</v>
      </c>
      <c r="N3229" t="s">
        <v>1498</v>
      </c>
      <c r="O3229" t="s">
        <v>1132</v>
      </c>
      <c r="P3229" t="str">
        <f>IFERROR(VLOOKUP(F3229,Sheet1!$A$2:$B$54,2,FALSE),"")</f>
        <v/>
      </c>
    </row>
    <row r="3230" spans="1:16" x14ac:dyDescent="0.2">
      <c r="A3230" s="1">
        <v>2017</v>
      </c>
      <c r="B3230" t="s">
        <v>394</v>
      </c>
      <c r="C3230" s="10" t="s">
        <v>1678</v>
      </c>
      <c r="D3230" s="10" t="s">
        <v>1679</v>
      </c>
      <c r="E3230" s="10" t="s">
        <v>1682</v>
      </c>
      <c r="F3230" t="s">
        <v>891</v>
      </c>
      <c r="G3230" s="4">
        <v>27666</v>
      </c>
      <c r="H3230" s="4">
        <v>607565</v>
      </c>
      <c r="I3230" s="4"/>
      <c r="J3230" s="4">
        <f>SUM(G3230:I3230)</f>
        <v>635231</v>
      </c>
      <c r="K3230" t="s">
        <v>1660</v>
      </c>
      <c r="L3230" t="s">
        <v>1659</v>
      </c>
      <c r="M3230" t="s">
        <v>1498</v>
      </c>
      <c r="N3230" t="s">
        <v>1498</v>
      </c>
      <c r="O3230" t="s">
        <v>1132</v>
      </c>
      <c r="P3230" t="str">
        <f>IFERROR(VLOOKUP(F3230,Sheet1!$A$2:$B$54,2,FALSE),"")</f>
        <v/>
      </c>
    </row>
    <row r="3231" spans="1:16" x14ac:dyDescent="0.2">
      <c r="A3231" s="1">
        <v>2018</v>
      </c>
      <c r="B3231" t="s">
        <v>394</v>
      </c>
      <c r="C3231" s="10" t="s">
        <v>1678</v>
      </c>
      <c r="D3231" s="10" t="s">
        <v>1679</v>
      </c>
      <c r="E3231" s="10" t="s">
        <v>1682</v>
      </c>
      <c r="F3231" t="s">
        <v>891</v>
      </c>
      <c r="G3231" s="4">
        <v>28471</v>
      </c>
      <c r="H3231" s="4">
        <v>659574</v>
      </c>
      <c r="I3231" s="4"/>
      <c r="J3231" s="4">
        <f>SUM(G3231:I3231)</f>
        <v>688045</v>
      </c>
      <c r="K3231" t="s">
        <v>1660</v>
      </c>
      <c r="L3231" t="s">
        <v>1659</v>
      </c>
      <c r="M3231" t="s">
        <v>1498</v>
      </c>
      <c r="N3231" t="s">
        <v>1498</v>
      </c>
      <c r="O3231" t="s">
        <v>1132</v>
      </c>
      <c r="P3231" t="str">
        <f>IFERROR(VLOOKUP(F3231,Sheet1!$A$2:$B$54,2,FALSE),"")</f>
        <v/>
      </c>
    </row>
    <row r="3232" spans="1:16" x14ac:dyDescent="0.2">
      <c r="A3232" s="1">
        <v>2019</v>
      </c>
      <c r="B3232" t="s">
        <v>394</v>
      </c>
      <c r="C3232" s="10" t="s">
        <v>1678</v>
      </c>
      <c r="D3232" s="10" t="s">
        <v>1679</v>
      </c>
      <c r="E3232" s="10" t="s">
        <v>1682</v>
      </c>
      <c r="F3232" t="s">
        <v>891</v>
      </c>
      <c r="G3232" s="4">
        <v>34039</v>
      </c>
      <c r="H3232" s="4">
        <v>0</v>
      </c>
      <c r="I3232" s="4"/>
      <c r="J3232" s="4">
        <f>SUM(G3232:I3232)</f>
        <v>34039</v>
      </c>
      <c r="K3232" t="s">
        <v>1660</v>
      </c>
      <c r="L3232" t="s">
        <v>1659</v>
      </c>
      <c r="M3232" t="s">
        <v>1498</v>
      </c>
      <c r="N3232" t="s">
        <v>1498</v>
      </c>
      <c r="O3232" t="s">
        <v>1132</v>
      </c>
      <c r="P3232" t="str">
        <f>IFERROR(VLOOKUP(F3232,Sheet1!$A$2:$B$54,2,FALSE),"")</f>
        <v/>
      </c>
    </row>
    <row r="3233" spans="1:16" x14ac:dyDescent="0.2">
      <c r="A3233" s="1">
        <v>2020</v>
      </c>
      <c r="B3233" t="s">
        <v>394</v>
      </c>
      <c r="C3233" s="10" t="s">
        <v>1678</v>
      </c>
      <c r="D3233" s="10" t="s">
        <v>1679</v>
      </c>
      <c r="E3233" s="10" t="s">
        <v>1682</v>
      </c>
      <c r="F3233" t="s">
        <v>891</v>
      </c>
      <c r="G3233" s="4">
        <v>35060</v>
      </c>
      <c r="H3233" s="4">
        <v>0</v>
      </c>
      <c r="I3233" s="4"/>
      <c r="J3233" s="4">
        <f>SUM(G3233:I3233)</f>
        <v>35060</v>
      </c>
      <c r="K3233" t="s">
        <v>1660</v>
      </c>
      <c r="L3233" t="s">
        <v>1659</v>
      </c>
      <c r="M3233" t="s">
        <v>1499</v>
      </c>
      <c r="N3233" t="s">
        <v>1499</v>
      </c>
      <c r="O3233" t="s">
        <v>1132</v>
      </c>
      <c r="P3233" t="str">
        <f>IFERROR(VLOOKUP(F3233,Sheet1!$A$2:$B$54,2,FALSE),"")</f>
        <v/>
      </c>
    </row>
    <row r="3234" spans="1:16" x14ac:dyDescent="0.2">
      <c r="A3234" s="1">
        <v>2021</v>
      </c>
      <c r="B3234" t="s">
        <v>394</v>
      </c>
      <c r="C3234" s="10" t="s">
        <v>1678</v>
      </c>
      <c r="D3234" s="10" t="s">
        <v>1679</v>
      </c>
      <c r="E3234" s="10" t="s">
        <v>1682</v>
      </c>
      <c r="F3234" t="s">
        <v>891</v>
      </c>
      <c r="G3234" s="4">
        <v>43098</v>
      </c>
      <c r="H3234" s="4"/>
      <c r="I3234" s="4"/>
      <c r="J3234" s="4">
        <f>SUM(G3234:I3234)</f>
        <v>43098</v>
      </c>
      <c r="K3234" t="s">
        <v>1659</v>
      </c>
      <c r="L3234" t="s">
        <v>1659</v>
      </c>
      <c r="M3234" t="s">
        <v>891</v>
      </c>
      <c r="N3234" t="s">
        <v>1132</v>
      </c>
      <c r="O3234" t="s">
        <v>1132</v>
      </c>
      <c r="P3234" t="str">
        <f>IFERROR(VLOOKUP(F3234,Sheet1!$A$2:$B$54,2,FALSE),"")</f>
        <v/>
      </c>
    </row>
    <row r="3235" spans="1:16" x14ac:dyDescent="0.2">
      <c r="A3235" s="1">
        <v>2022</v>
      </c>
      <c r="B3235" t="s">
        <v>394</v>
      </c>
      <c r="C3235" s="10" t="s">
        <v>1678</v>
      </c>
      <c r="D3235" s="10" t="s">
        <v>1679</v>
      </c>
      <c r="E3235" s="10" t="s">
        <v>1682</v>
      </c>
      <c r="F3235" t="s">
        <v>891</v>
      </c>
      <c r="G3235" s="4">
        <v>68214</v>
      </c>
      <c r="H3235" s="4">
        <v>0</v>
      </c>
      <c r="I3235" s="4"/>
      <c r="J3235" s="4">
        <f>SUM(G3235:I3235)</f>
        <v>68214</v>
      </c>
      <c r="K3235" t="s">
        <v>1660</v>
      </c>
      <c r="L3235" t="s">
        <v>1659</v>
      </c>
      <c r="M3235" t="s">
        <v>891</v>
      </c>
      <c r="N3235" t="s">
        <v>891</v>
      </c>
      <c r="O3235" t="s">
        <v>1132</v>
      </c>
      <c r="P3235" t="str">
        <f>IFERROR(VLOOKUP(F3235,Sheet1!$A$2:$B$54,2,FALSE),"")</f>
        <v/>
      </c>
    </row>
    <row r="3236" spans="1:16" x14ac:dyDescent="0.2">
      <c r="A3236" s="1">
        <v>2023</v>
      </c>
      <c r="B3236" t="s">
        <v>394</v>
      </c>
      <c r="C3236" s="10" t="s">
        <v>1678</v>
      </c>
      <c r="D3236" s="10" t="s">
        <v>1679</v>
      </c>
      <c r="E3236" s="10" t="s">
        <v>1682</v>
      </c>
      <c r="F3236" t="s">
        <v>891</v>
      </c>
      <c r="G3236" s="4">
        <v>77952</v>
      </c>
      <c r="H3236" s="4"/>
      <c r="I3236" s="4"/>
      <c r="J3236" s="4">
        <f>SUM(G3236:I3236)</f>
        <v>77952</v>
      </c>
      <c r="K3236" t="s">
        <v>1659</v>
      </c>
      <c r="L3236" t="s">
        <v>1659</v>
      </c>
      <c r="M3236" t="s">
        <v>891</v>
      </c>
      <c r="N3236" t="s">
        <v>1132</v>
      </c>
      <c r="O3236" t="s">
        <v>1132</v>
      </c>
      <c r="P3236" t="str">
        <f>IFERROR(VLOOKUP(F3236,Sheet1!$A$2:$B$54,2,FALSE),"")</f>
        <v/>
      </c>
    </row>
    <row r="3237" spans="1:16" x14ac:dyDescent="0.2">
      <c r="A3237" s="1">
        <v>2015</v>
      </c>
      <c r="B3237" t="s">
        <v>395</v>
      </c>
      <c r="C3237" s="10" t="s">
        <v>1678</v>
      </c>
      <c r="D3237" s="10" t="s">
        <v>1679</v>
      </c>
      <c r="E3237" s="10" t="s">
        <v>1682</v>
      </c>
      <c r="F3237" t="s">
        <v>892</v>
      </c>
      <c r="G3237" s="4">
        <v>8770</v>
      </c>
      <c r="H3237" s="4"/>
      <c r="I3237" s="4"/>
      <c r="J3237" s="4">
        <f>SUM(G3237:I3237)</f>
        <v>8770</v>
      </c>
      <c r="K3237" t="s">
        <v>1659</v>
      </c>
      <c r="L3237" t="s">
        <v>1659</v>
      </c>
      <c r="M3237" t="s">
        <v>1500</v>
      </c>
      <c r="N3237" t="s">
        <v>1132</v>
      </c>
      <c r="O3237" t="s">
        <v>1132</v>
      </c>
      <c r="P3237" t="str">
        <f>IFERROR(VLOOKUP(F3237,Sheet1!$A$2:$B$54,2,FALSE),"")</f>
        <v/>
      </c>
    </row>
    <row r="3238" spans="1:16" x14ac:dyDescent="0.2">
      <c r="A3238" s="1">
        <v>2016</v>
      </c>
      <c r="B3238" t="s">
        <v>395</v>
      </c>
      <c r="C3238" s="10" t="s">
        <v>1678</v>
      </c>
      <c r="D3238" s="10" t="s">
        <v>1679</v>
      </c>
      <c r="E3238" s="10" t="s">
        <v>1682</v>
      </c>
      <c r="F3238" t="s">
        <v>892</v>
      </c>
      <c r="G3238" s="4">
        <v>11465</v>
      </c>
      <c r="H3238" s="4"/>
      <c r="I3238" s="4"/>
      <c r="J3238" s="4">
        <f>SUM(G3238:I3238)</f>
        <v>11465</v>
      </c>
      <c r="K3238" t="s">
        <v>1659</v>
      </c>
      <c r="L3238" t="s">
        <v>1659</v>
      </c>
      <c r="M3238" t="s">
        <v>1500</v>
      </c>
      <c r="N3238" t="s">
        <v>1132</v>
      </c>
      <c r="O3238" t="s">
        <v>1132</v>
      </c>
      <c r="P3238" t="str">
        <f>IFERROR(VLOOKUP(F3238,Sheet1!$A$2:$B$54,2,FALSE),"")</f>
        <v/>
      </c>
    </row>
    <row r="3239" spans="1:16" x14ac:dyDescent="0.2">
      <c r="A3239" s="1">
        <v>2017</v>
      </c>
      <c r="B3239" t="s">
        <v>395</v>
      </c>
      <c r="C3239" s="10" t="s">
        <v>1678</v>
      </c>
      <c r="D3239" s="10" t="s">
        <v>1679</v>
      </c>
      <c r="E3239" s="10" t="s">
        <v>1682</v>
      </c>
      <c r="F3239" t="s">
        <v>892</v>
      </c>
      <c r="G3239" s="4">
        <v>11314</v>
      </c>
      <c r="H3239" s="4"/>
      <c r="I3239" s="4"/>
      <c r="J3239" s="4">
        <f>SUM(G3239:I3239)</f>
        <v>11314</v>
      </c>
      <c r="K3239" t="s">
        <v>1659</v>
      </c>
      <c r="L3239" t="s">
        <v>1659</v>
      </c>
      <c r="M3239" t="s">
        <v>1501</v>
      </c>
      <c r="N3239" t="s">
        <v>1132</v>
      </c>
      <c r="O3239" t="s">
        <v>1132</v>
      </c>
      <c r="P3239" t="str">
        <f>IFERROR(VLOOKUP(F3239,Sheet1!$A$2:$B$54,2,FALSE),"")</f>
        <v/>
      </c>
    </row>
    <row r="3240" spans="1:16" x14ac:dyDescent="0.2">
      <c r="A3240" s="1">
        <v>2018</v>
      </c>
      <c r="B3240" t="s">
        <v>395</v>
      </c>
      <c r="C3240" s="10" t="s">
        <v>1678</v>
      </c>
      <c r="D3240" s="10" t="s">
        <v>1679</v>
      </c>
      <c r="E3240" s="10" t="s">
        <v>1682</v>
      </c>
      <c r="F3240" t="s">
        <v>892</v>
      </c>
      <c r="G3240" s="4">
        <v>59927</v>
      </c>
      <c r="H3240" s="4"/>
      <c r="I3240" s="4"/>
      <c r="J3240" s="4">
        <f>SUM(G3240:I3240)</f>
        <v>59927</v>
      </c>
      <c r="K3240" t="s">
        <v>1659</v>
      </c>
      <c r="L3240" t="s">
        <v>1659</v>
      </c>
      <c r="M3240" t="s">
        <v>1501</v>
      </c>
      <c r="N3240" t="s">
        <v>1132</v>
      </c>
      <c r="O3240" t="s">
        <v>1132</v>
      </c>
      <c r="P3240" t="str">
        <f>IFERROR(VLOOKUP(F3240,Sheet1!$A$2:$B$54,2,FALSE),"")</f>
        <v/>
      </c>
    </row>
    <row r="3241" spans="1:16" x14ac:dyDescent="0.2">
      <c r="A3241" s="1">
        <v>2019</v>
      </c>
      <c r="B3241" t="s">
        <v>395</v>
      </c>
      <c r="C3241" s="10" t="s">
        <v>1678</v>
      </c>
      <c r="D3241" s="10" t="s">
        <v>1679</v>
      </c>
      <c r="E3241" s="10" t="s">
        <v>1682</v>
      </c>
      <c r="F3241" t="s">
        <v>892</v>
      </c>
      <c r="G3241" s="4">
        <v>63084</v>
      </c>
      <c r="H3241" s="4"/>
      <c r="I3241" s="4"/>
      <c r="J3241" s="4">
        <f>SUM(G3241:I3241)</f>
        <v>63084</v>
      </c>
      <c r="K3241" t="s">
        <v>1659</v>
      </c>
      <c r="L3241" t="s">
        <v>1659</v>
      </c>
      <c r="M3241" t="s">
        <v>1500</v>
      </c>
      <c r="N3241" t="s">
        <v>1132</v>
      </c>
      <c r="O3241" t="s">
        <v>1132</v>
      </c>
      <c r="P3241" t="str">
        <f>IFERROR(VLOOKUP(F3241,Sheet1!$A$2:$B$54,2,FALSE),"")</f>
        <v/>
      </c>
    </row>
    <row r="3242" spans="1:16" x14ac:dyDescent="0.2">
      <c r="A3242" s="1">
        <v>2020</v>
      </c>
      <c r="B3242" t="s">
        <v>395</v>
      </c>
      <c r="C3242" s="10" t="s">
        <v>1678</v>
      </c>
      <c r="D3242" s="10" t="s">
        <v>1679</v>
      </c>
      <c r="E3242" s="10" t="s">
        <v>1682</v>
      </c>
      <c r="F3242" t="s">
        <v>892</v>
      </c>
      <c r="G3242" s="4">
        <v>34856</v>
      </c>
      <c r="H3242" s="4"/>
      <c r="I3242" s="4"/>
      <c r="J3242" s="4">
        <f>SUM(G3242:I3242)</f>
        <v>34856</v>
      </c>
      <c r="K3242" t="s">
        <v>1659</v>
      </c>
      <c r="L3242" t="s">
        <v>1659</v>
      </c>
      <c r="M3242" t="s">
        <v>1500</v>
      </c>
      <c r="N3242" t="s">
        <v>1132</v>
      </c>
      <c r="O3242" t="s">
        <v>1132</v>
      </c>
      <c r="P3242" t="str">
        <f>IFERROR(VLOOKUP(F3242,Sheet1!$A$2:$B$54,2,FALSE),"")</f>
        <v/>
      </c>
    </row>
    <row r="3243" spans="1:16" x14ac:dyDescent="0.2">
      <c r="A3243" s="1">
        <v>2021</v>
      </c>
      <c r="B3243" t="s">
        <v>395</v>
      </c>
      <c r="C3243" s="10" t="s">
        <v>1678</v>
      </c>
      <c r="D3243" s="10" t="s">
        <v>1679</v>
      </c>
      <c r="E3243" s="10" t="s">
        <v>1682</v>
      </c>
      <c r="F3243" t="s">
        <v>892</v>
      </c>
      <c r="G3243" s="4">
        <v>50074</v>
      </c>
      <c r="H3243" s="4"/>
      <c r="I3243" s="4"/>
      <c r="J3243" s="4">
        <f>SUM(G3243:I3243)</f>
        <v>50074</v>
      </c>
      <c r="K3243" t="s">
        <v>1659</v>
      </c>
      <c r="L3243" t="s">
        <v>1659</v>
      </c>
      <c r="M3243" t="s">
        <v>892</v>
      </c>
      <c r="N3243" t="s">
        <v>1132</v>
      </c>
      <c r="O3243" t="s">
        <v>1132</v>
      </c>
      <c r="P3243" t="str">
        <f>IFERROR(VLOOKUP(F3243,Sheet1!$A$2:$B$54,2,FALSE),"")</f>
        <v/>
      </c>
    </row>
    <row r="3244" spans="1:16" x14ac:dyDescent="0.2">
      <c r="A3244" s="1">
        <v>2022</v>
      </c>
      <c r="B3244" t="s">
        <v>395</v>
      </c>
      <c r="C3244" s="10" t="s">
        <v>1678</v>
      </c>
      <c r="D3244" s="10" t="s">
        <v>1679</v>
      </c>
      <c r="E3244" s="10" t="s">
        <v>1682</v>
      </c>
      <c r="F3244" t="s">
        <v>892</v>
      </c>
      <c r="G3244" s="4">
        <v>73437</v>
      </c>
      <c r="H3244" s="4"/>
      <c r="I3244" s="4"/>
      <c r="J3244" s="4">
        <f>SUM(G3244:I3244)</f>
        <v>73437</v>
      </c>
      <c r="K3244" t="s">
        <v>1659</v>
      </c>
      <c r="L3244" t="s">
        <v>1659</v>
      </c>
      <c r="M3244" t="s">
        <v>892</v>
      </c>
      <c r="N3244" t="s">
        <v>1132</v>
      </c>
      <c r="O3244" t="s">
        <v>1132</v>
      </c>
      <c r="P3244" t="str">
        <f>IFERROR(VLOOKUP(F3244,Sheet1!$A$2:$B$54,2,FALSE),"")</f>
        <v/>
      </c>
    </row>
    <row r="3245" spans="1:16" x14ac:dyDescent="0.2">
      <c r="A3245" s="1">
        <v>2023</v>
      </c>
      <c r="B3245" t="s">
        <v>395</v>
      </c>
      <c r="C3245" s="10" t="s">
        <v>1678</v>
      </c>
      <c r="D3245" s="10" t="s">
        <v>1679</v>
      </c>
      <c r="E3245" s="10" t="s">
        <v>1682</v>
      </c>
      <c r="F3245" t="s">
        <v>892</v>
      </c>
      <c r="G3245" s="4">
        <v>84693</v>
      </c>
      <c r="H3245" s="4"/>
      <c r="I3245" s="4"/>
      <c r="J3245" s="4">
        <f>SUM(G3245:I3245)</f>
        <v>84693</v>
      </c>
      <c r="K3245" t="s">
        <v>1659</v>
      </c>
      <c r="L3245" t="s">
        <v>1659</v>
      </c>
      <c r="M3245" t="s">
        <v>892</v>
      </c>
      <c r="N3245" t="s">
        <v>1132</v>
      </c>
      <c r="O3245" t="s">
        <v>1132</v>
      </c>
      <c r="P3245" t="str">
        <f>IFERROR(VLOOKUP(F3245,Sheet1!$A$2:$B$54,2,FALSE),"")</f>
        <v/>
      </c>
    </row>
    <row r="3246" spans="1:16" x14ac:dyDescent="0.2">
      <c r="A3246" s="1">
        <v>2015</v>
      </c>
      <c r="B3246" t="s">
        <v>386</v>
      </c>
      <c r="C3246" s="10" t="s">
        <v>1678</v>
      </c>
      <c r="D3246" s="10" t="s">
        <v>1679</v>
      </c>
      <c r="E3246" s="10" t="s">
        <v>1682</v>
      </c>
      <c r="F3246" t="s">
        <v>883</v>
      </c>
      <c r="G3246" s="4">
        <v>540616</v>
      </c>
      <c r="H3246" s="4">
        <v>5159939</v>
      </c>
      <c r="I3246" s="4">
        <v>42093</v>
      </c>
      <c r="J3246" s="4">
        <f>SUM(G3246:I3246)</f>
        <v>5742648</v>
      </c>
      <c r="K3246" t="s">
        <v>1660</v>
      </c>
      <c r="L3246" t="s">
        <v>1660</v>
      </c>
      <c r="M3246" t="s">
        <v>1492</v>
      </c>
      <c r="N3246" t="s">
        <v>1492</v>
      </c>
      <c r="O3246" t="s">
        <v>1492</v>
      </c>
      <c r="P3246">
        <f>IFERROR(VLOOKUP(F3246,Sheet1!$A$2:$B$54,2,FALSE),"")</f>
        <v>4900013</v>
      </c>
    </row>
    <row r="3247" spans="1:16" x14ac:dyDescent="0.2">
      <c r="A3247" s="1">
        <v>2016</v>
      </c>
      <c r="B3247" t="s">
        <v>386</v>
      </c>
      <c r="C3247" s="10" t="s">
        <v>1678</v>
      </c>
      <c r="D3247" s="10" t="s">
        <v>1679</v>
      </c>
      <c r="E3247" s="10" t="s">
        <v>1682</v>
      </c>
      <c r="F3247" t="s">
        <v>883</v>
      </c>
      <c r="G3247" s="4">
        <v>601039</v>
      </c>
      <c r="H3247" s="4">
        <v>5083278</v>
      </c>
      <c r="I3247" s="4">
        <v>39890</v>
      </c>
      <c r="J3247" s="4">
        <f>SUM(G3247:I3247)</f>
        <v>5724207</v>
      </c>
      <c r="K3247" t="s">
        <v>1660</v>
      </c>
      <c r="L3247" t="s">
        <v>1660</v>
      </c>
      <c r="M3247" t="s">
        <v>1492</v>
      </c>
      <c r="N3247" t="s">
        <v>1492</v>
      </c>
      <c r="O3247" t="s">
        <v>1492</v>
      </c>
      <c r="P3247">
        <f>IFERROR(VLOOKUP(F3247,Sheet1!$A$2:$B$54,2,FALSE),"")</f>
        <v>4900013</v>
      </c>
    </row>
    <row r="3248" spans="1:16" x14ac:dyDescent="0.2">
      <c r="A3248" s="1">
        <v>2017</v>
      </c>
      <c r="B3248" t="s">
        <v>386</v>
      </c>
      <c r="C3248" s="10" t="s">
        <v>1678</v>
      </c>
      <c r="D3248" s="10" t="s">
        <v>1679</v>
      </c>
      <c r="E3248" s="10" t="s">
        <v>1682</v>
      </c>
      <c r="F3248" t="s">
        <v>883</v>
      </c>
      <c r="G3248" s="4">
        <v>610002</v>
      </c>
      <c r="H3248" s="4">
        <v>5048046</v>
      </c>
      <c r="I3248" s="4">
        <v>30608</v>
      </c>
      <c r="J3248" s="4">
        <f>SUM(G3248:I3248)</f>
        <v>5688656</v>
      </c>
      <c r="K3248" t="s">
        <v>1660</v>
      </c>
      <c r="L3248" t="s">
        <v>1660</v>
      </c>
      <c r="M3248" t="s">
        <v>1492</v>
      </c>
      <c r="N3248" t="s">
        <v>1492</v>
      </c>
      <c r="O3248" t="s">
        <v>1492</v>
      </c>
      <c r="P3248">
        <f>IFERROR(VLOOKUP(F3248,Sheet1!$A$2:$B$54,2,FALSE),"")</f>
        <v>4900013</v>
      </c>
    </row>
    <row r="3249" spans="1:16" x14ac:dyDescent="0.2">
      <c r="A3249" s="1">
        <v>2015</v>
      </c>
      <c r="B3249" t="s">
        <v>396</v>
      </c>
      <c r="C3249" s="10" t="s">
        <v>1678</v>
      </c>
      <c r="D3249" s="10" t="s">
        <v>1679</v>
      </c>
      <c r="E3249" s="10" t="s">
        <v>1682</v>
      </c>
      <c r="F3249" t="s">
        <v>894</v>
      </c>
      <c r="G3249" s="4">
        <v>0</v>
      </c>
      <c r="H3249" s="4"/>
      <c r="I3249" s="4"/>
      <c r="J3249" s="4">
        <f>SUM(G3249:I3249)</f>
        <v>0</v>
      </c>
      <c r="K3249" t="s">
        <v>1659</v>
      </c>
      <c r="L3249" t="s">
        <v>1659</v>
      </c>
      <c r="M3249" t="s">
        <v>1502</v>
      </c>
      <c r="N3249" t="s">
        <v>1132</v>
      </c>
      <c r="O3249" t="s">
        <v>1132</v>
      </c>
      <c r="P3249" t="str">
        <f>IFERROR(VLOOKUP(F3249,Sheet1!$A$2:$B$54,2,FALSE),"")</f>
        <v/>
      </c>
    </row>
    <row r="3250" spans="1:16" x14ac:dyDescent="0.2">
      <c r="A3250" s="1">
        <v>2016</v>
      </c>
      <c r="B3250" t="s">
        <v>396</v>
      </c>
      <c r="C3250" s="10" t="s">
        <v>1678</v>
      </c>
      <c r="D3250" s="10" t="s">
        <v>1679</v>
      </c>
      <c r="E3250" s="10" t="s">
        <v>1682</v>
      </c>
      <c r="F3250" t="s">
        <v>894</v>
      </c>
      <c r="G3250" s="4">
        <v>0</v>
      </c>
      <c r="H3250" s="4"/>
      <c r="I3250" s="4"/>
      <c r="J3250" s="4">
        <f>SUM(G3250:I3250)</f>
        <v>0</v>
      </c>
      <c r="K3250" t="s">
        <v>1659</v>
      </c>
      <c r="L3250" t="s">
        <v>1659</v>
      </c>
      <c r="M3250" t="s">
        <v>1502</v>
      </c>
      <c r="N3250" t="s">
        <v>1132</v>
      </c>
      <c r="O3250" t="s">
        <v>1132</v>
      </c>
      <c r="P3250" t="str">
        <f>IFERROR(VLOOKUP(F3250,Sheet1!$A$2:$B$54,2,FALSE),"")</f>
        <v/>
      </c>
    </row>
    <row r="3251" spans="1:16" x14ac:dyDescent="0.2">
      <c r="A3251" s="1">
        <v>2017</v>
      </c>
      <c r="B3251" t="s">
        <v>396</v>
      </c>
      <c r="C3251" s="10" t="s">
        <v>1678</v>
      </c>
      <c r="D3251" s="10" t="s">
        <v>1679</v>
      </c>
      <c r="E3251" s="10" t="s">
        <v>1682</v>
      </c>
      <c r="F3251" t="s">
        <v>894</v>
      </c>
      <c r="G3251" s="4">
        <v>756</v>
      </c>
      <c r="H3251" s="4"/>
      <c r="I3251" s="4"/>
      <c r="J3251" s="4">
        <f>SUM(G3251:I3251)</f>
        <v>756</v>
      </c>
      <c r="K3251" t="s">
        <v>1659</v>
      </c>
      <c r="L3251" t="s">
        <v>1659</v>
      </c>
      <c r="M3251" t="s">
        <v>1503</v>
      </c>
      <c r="N3251" t="s">
        <v>1132</v>
      </c>
      <c r="O3251" t="s">
        <v>1132</v>
      </c>
      <c r="P3251" t="str">
        <f>IFERROR(VLOOKUP(F3251,Sheet1!$A$2:$B$54,2,FALSE),"")</f>
        <v/>
      </c>
    </row>
    <row r="3252" spans="1:16" x14ac:dyDescent="0.2">
      <c r="A3252" s="1">
        <v>2018</v>
      </c>
      <c r="B3252" t="s">
        <v>396</v>
      </c>
      <c r="C3252" s="10" t="s">
        <v>1678</v>
      </c>
      <c r="D3252" s="10" t="s">
        <v>1679</v>
      </c>
      <c r="E3252" s="10" t="s">
        <v>1682</v>
      </c>
      <c r="F3252" t="s">
        <v>894</v>
      </c>
      <c r="G3252" s="4">
        <v>12166</v>
      </c>
      <c r="H3252" s="4"/>
      <c r="I3252" s="4"/>
      <c r="J3252" s="4">
        <f>SUM(G3252:I3252)</f>
        <v>12166</v>
      </c>
      <c r="K3252" t="s">
        <v>1659</v>
      </c>
      <c r="L3252" t="s">
        <v>1659</v>
      </c>
      <c r="M3252" t="s">
        <v>1503</v>
      </c>
      <c r="N3252" t="s">
        <v>1132</v>
      </c>
      <c r="O3252" t="s">
        <v>1132</v>
      </c>
      <c r="P3252" t="str">
        <f>IFERROR(VLOOKUP(F3252,Sheet1!$A$2:$B$54,2,FALSE),"")</f>
        <v/>
      </c>
    </row>
    <row r="3253" spans="1:16" x14ac:dyDescent="0.2">
      <c r="A3253" s="1">
        <v>2019</v>
      </c>
      <c r="B3253" t="s">
        <v>396</v>
      </c>
      <c r="C3253" s="10" t="s">
        <v>1678</v>
      </c>
      <c r="D3253" s="10" t="s">
        <v>1679</v>
      </c>
      <c r="E3253" s="10" t="s">
        <v>1682</v>
      </c>
      <c r="F3253" t="s">
        <v>894</v>
      </c>
      <c r="G3253" s="4">
        <v>25642</v>
      </c>
      <c r="H3253" s="4"/>
      <c r="I3253" s="4"/>
      <c r="J3253" s="4">
        <f>SUM(G3253:I3253)</f>
        <v>25642</v>
      </c>
      <c r="K3253" t="s">
        <v>1659</v>
      </c>
      <c r="L3253" t="s">
        <v>1659</v>
      </c>
      <c r="M3253" t="s">
        <v>1502</v>
      </c>
      <c r="N3253" t="s">
        <v>1132</v>
      </c>
      <c r="O3253" t="s">
        <v>1132</v>
      </c>
      <c r="P3253" t="str">
        <f>IFERROR(VLOOKUP(F3253,Sheet1!$A$2:$B$54,2,FALSE),"")</f>
        <v/>
      </c>
    </row>
    <row r="3254" spans="1:16" x14ac:dyDescent="0.2">
      <c r="A3254" s="1">
        <v>2020</v>
      </c>
      <c r="B3254" t="s">
        <v>396</v>
      </c>
      <c r="C3254" s="10" t="s">
        <v>1678</v>
      </c>
      <c r="D3254" s="10" t="s">
        <v>1679</v>
      </c>
      <c r="E3254" s="10" t="s">
        <v>1682</v>
      </c>
      <c r="F3254" t="s">
        <v>894</v>
      </c>
      <c r="G3254" s="4">
        <v>32310</v>
      </c>
      <c r="H3254" s="4"/>
      <c r="I3254" s="4"/>
      <c r="J3254" s="4">
        <f>SUM(G3254:I3254)</f>
        <v>32310</v>
      </c>
      <c r="K3254" t="s">
        <v>1659</v>
      </c>
      <c r="L3254" t="s">
        <v>1659</v>
      </c>
      <c r="M3254" t="s">
        <v>1502</v>
      </c>
      <c r="N3254" t="s">
        <v>1132</v>
      </c>
      <c r="O3254" t="s">
        <v>1132</v>
      </c>
      <c r="P3254" t="str">
        <f>IFERROR(VLOOKUP(F3254,Sheet1!$A$2:$B$54,2,FALSE),"")</f>
        <v/>
      </c>
    </row>
    <row r="3255" spans="1:16" x14ac:dyDescent="0.2">
      <c r="A3255" s="1">
        <v>2021</v>
      </c>
      <c r="B3255" t="s">
        <v>396</v>
      </c>
      <c r="C3255" s="10" t="s">
        <v>1678</v>
      </c>
      <c r="D3255" s="10" t="s">
        <v>1679</v>
      </c>
      <c r="E3255" s="10" t="s">
        <v>1682</v>
      </c>
      <c r="F3255" t="s">
        <v>894</v>
      </c>
      <c r="G3255" s="4">
        <v>45830</v>
      </c>
      <c r="H3255" s="4"/>
      <c r="I3255" s="4"/>
      <c r="J3255" s="4">
        <f>SUM(G3255:I3255)</f>
        <v>45830</v>
      </c>
      <c r="K3255" t="s">
        <v>1659</v>
      </c>
      <c r="L3255" t="s">
        <v>1659</v>
      </c>
      <c r="M3255" t="s">
        <v>894</v>
      </c>
      <c r="N3255" t="s">
        <v>1132</v>
      </c>
      <c r="O3255" t="s">
        <v>1132</v>
      </c>
      <c r="P3255" t="str">
        <f>IFERROR(VLOOKUP(F3255,Sheet1!$A$2:$B$54,2,FALSE),"")</f>
        <v/>
      </c>
    </row>
    <row r="3256" spans="1:16" x14ac:dyDescent="0.2">
      <c r="A3256" s="1">
        <v>2022</v>
      </c>
      <c r="B3256" t="s">
        <v>396</v>
      </c>
      <c r="C3256" s="10" t="s">
        <v>1678</v>
      </c>
      <c r="D3256" s="10" t="s">
        <v>1679</v>
      </c>
      <c r="E3256" s="10" t="s">
        <v>1682</v>
      </c>
      <c r="F3256" t="s">
        <v>894</v>
      </c>
      <c r="G3256" s="4">
        <v>38101</v>
      </c>
      <c r="H3256" s="4"/>
      <c r="I3256" s="4"/>
      <c r="J3256" s="4">
        <f>SUM(G3256:I3256)</f>
        <v>38101</v>
      </c>
      <c r="K3256" t="s">
        <v>1659</v>
      </c>
      <c r="L3256" t="s">
        <v>1659</v>
      </c>
      <c r="M3256" t="s">
        <v>894</v>
      </c>
      <c r="N3256" t="s">
        <v>1132</v>
      </c>
      <c r="O3256" t="s">
        <v>1132</v>
      </c>
      <c r="P3256" t="str">
        <f>IFERROR(VLOOKUP(F3256,Sheet1!$A$2:$B$54,2,FALSE),"")</f>
        <v/>
      </c>
    </row>
    <row r="3257" spans="1:16" x14ac:dyDescent="0.2">
      <c r="A3257" s="1">
        <v>2023</v>
      </c>
      <c r="B3257" t="s">
        <v>396</v>
      </c>
      <c r="C3257" s="10" t="s">
        <v>1678</v>
      </c>
      <c r="D3257" s="10" t="s">
        <v>1679</v>
      </c>
      <c r="E3257" s="10" t="s">
        <v>1682</v>
      </c>
      <c r="F3257" t="s">
        <v>894</v>
      </c>
      <c r="G3257" s="4">
        <v>32484</v>
      </c>
      <c r="H3257" s="4"/>
      <c r="I3257" s="4"/>
      <c r="J3257" s="4">
        <f>SUM(G3257:I3257)</f>
        <v>32484</v>
      </c>
      <c r="K3257" t="s">
        <v>1659</v>
      </c>
      <c r="L3257" t="s">
        <v>1659</v>
      </c>
      <c r="M3257" t="s">
        <v>894</v>
      </c>
      <c r="N3257" t="s">
        <v>1132</v>
      </c>
      <c r="O3257" t="s">
        <v>1132</v>
      </c>
      <c r="P3257" t="str">
        <f>IFERROR(VLOOKUP(F3257,Sheet1!$A$2:$B$54,2,FALSE),"")</f>
        <v/>
      </c>
    </row>
    <row r="3258" spans="1:16" x14ac:dyDescent="0.2">
      <c r="A3258" s="1">
        <v>2018</v>
      </c>
      <c r="B3258" t="s">
        <v>386</v>
      </c>
      <c r="C3258" s="10" t="s">
        <v>1678</v>
      </c>
      <c r="D3258" s="10" t="s">
        <v>1679</v>
      </c>
      <c r="E3258" s="10" t="s">
        <v>1682</v>
      </c>
      <c r="F3258" t="s">
        <v>883</v>
      </c>
      <c r="G3258" s="4">
        <v>699060</v>
      </c>
      <c r="H3258" s="4">
        <v>5169074</v>
      </c>
      <c r="I3258" s="4">
        <v>23973</v>
      </c>
      <c r="J3258" s="4">
        <f>SUM(G3258:I3258)</f>
        <v>5892107</v>
      </c>
      <c r="K3258" t="s">
        <v>1660</v>
      </c>
      <c r="L3258" t="s">
        <v>1660</v>
      </c>
      <c r="M3258" t="s">
        <v>1492</v>
      </c>
      <c r="N3258" t="s">
        <v>1492</v>
      </c>
      <c r="O3258" t="s">
        <v>1492</v>
      </c>
      <c r="P3258">
        <f>IFERROR(VLOOKUP(F3258,Sheet1!$A$2:$B$54,2,FALSE),"")</f>
        <v>4900013</v>
      </c>
    </row>
    <row r="3259" spans="1:16" x14ac:dyDescent="0.2">
      <c r="A3259" s="1">
        <v>2019</v>
      </c>
      <c r="B3259" t="s">
        <v>386</v>
      </c>
      <c r="C3259" s="10" t="s">
        <v>1678</v>
      </c>
      <c r="D3259" s="10" t="s">
        <v>1679</v>
      </c>
      <c r="E3259" s="10" t="s">
        <v>1682</v>
      </c>
      <c r="F3259" t="s">
        <v>883</v>
      </c>
      <c r="G3259" s="4">
        <v>810848</v>
      </c>
      <c r="H3259" s="4">
        <v>5343411</v>
      </c>
      <c r="I3259" s="4">
        <v>20729</v>
      </c>
      <c r="J3259" s="4">
        <f>SUM(G3259:I3259)</f>
        <v>6174988</v>
      </c>
      <c r="K3259" t="s">
        <v>1660</v>
      </c>
      <c r="L3259" t="s">
        <v>1660</v>
      </c>
      <c r="M3259" t="s">
        <v>1492</v>
      </c>
      <c r="N3259" t="s">
        <v>1492</v>
      </c>
      <c r="O3259" t="s">
        <v>1492</v>
      </c>
      <c r="P3259">
        <f>IFERROR(VLOOKUP(F3259,Sheet1!$A$2:$B$54,2,FALSE),"")</f>
        <v>4900013</v>
      </c>
    </row>
    <row r="3260" spans="1:16" x14ac:dyDescent="0.2">
      <c r="A3260" s="1">
        <v>2020</v>
      </c>
      <c r="B3260" t="s">
        <v>386</v>
      </c>
      <c r="C3260" s="10" t="s">
        <v>1678</v>
      </c>
      <c r="D3260" s="10" t="s">
        <v>1679</v>
      </c>
      <c r="E3260" s="10" t="s">
        <v>1682</v>
      </c>
      <c r="F3260" t="s">
        <v>883</v>
      </c>
      <c r="G3260" s="4">
        <v>971649</v>
      </c>
      <c r="H3260" s="4">
        <v>5950591</v>
      </c>
      <c r="I3260" s="4">
        <v>23755</v>
      </c>
      <c r="J3260" s="4">
        <f>SUM(G3260:I3260)</f>
        <v>6945995</v>
      </c>
      <c r="K3260" t="s">
        <v>1660</v>
      </c>
      <c r="L3260" t="s">
        <v>1660</v>
      </c>
      <c r="M3260" t="s">
        <v>1492</v>
      </c>
      <c r="N3260" t="s">
        <v>1492</v>
      </c>
      <c r="O3260" t="s">
        <v>1492</v>
      </c>
      <c r="P3260">
        <f>IFERROR(VLOOKUP(F3260,Sheet1!$A$2:$B$54,2,FALSE),"")</f>
        <v>4900013</v>
      </c>
    </row>
    <row r="3261" spans="1:16" x14ac:dyDescent="0.2">
      <c r="A3261" s="1">
        <v>2021</v>
      </c>
      <c r="B3261" t="s">
        <v>386</v>
      </c>
      <c r="C3261" s="10" t="s">
        <v>1678</v>
      </c>
      <c r="D3261" s="10" t="s">
        <v>1679</v>
      </c>
      <c r="E3261" s="10" t="s">
        <v>1682</v>
      </c>
      <c r="F3261" t="s">
        <v>883</v>
      </c>
      <c r="G3261" s="4">
        <v>1060567</v>
      </c>
      <c r="H3261" s="4">
        <v>5954662</v>
      </c>
      <c r="I3261" s="4">
        <v>24398</v>
      </c>
      <c r="J3261" s="4">
        <f>SUM(G3261:I3261)</f>
        <v>7039627</v>
      </c>
      <c r="K3261" t="s">
        <v>1660</v>
      </c>
      <c r="L3261" t="s">
        <v>1660</v>
      </c>
      <c r="M3261" t="s">
        <v>883</v>
      </c>
      <c r="N3261" t="s">
        <v>883</v>
      </c>
      <c r="O3261" t="s">
        <v>883</v>
      </c>
      <c r="P3261">
        <f>IFERROR(VLOOKUP(F3261,Sheet1!$A$2:$B$54,2,FALSE),"")</f>
        <v>4900013</v>
      </c>
    </row>
    <row r="3262" spans="1:16" x14ac:dyDescent="0.2">
      <c r="A3262" s="1">
        <v>2022</v>
      </c>
      <c r="B3262" t="s">
        <v>386</v>
      </c>
      <c r="C3262" s="10" t="s">
        <v>1678</v>
      </c>
      <c r="D3262" s="10" t="s">
        <v>1679</v>
      </c>
      <c r="E3262" s="10" t="s">
        <v>1682</v>
      </c>
      <c r="F3262" t="s">
        <v>883</v>
      </c>
      <c r="G3262" s="4">
        <v>1249062</v>
      </c>
      <c r="H3262" s="4">
        <v>6015260</v>
      </c>
      <c r="I3262" s="4">
        <v>25344</v>
      </c>
      <c r="J3262" s="4">
        <f>SUM(G3262:I3262)</f>
        <v>7289666</v>
      </c>
      <c r="K3262" t="s">
        <v>1660</v>
      </c>
      <c r="L3262" t="s">
        <v>1660</v>
      </c>
      <c r="M3262" t="s">
        <v>883</v>
      </c>
      <c r="N3262" t="s">
        <v>883</v>
      </c>
      <c r="O3262" t="s">
        <v>883</v>
      </c>
      <c r="P3262">
        <f>IFERROR(VLOOKUP(F3262,Sheet1!$A$2:$B$54,2,FALSE),"")</f>
        <v>4900013</v>
      </c>
    </row>
    <row r="3263" spans="1:16" x14ac:dyDescent="0.2">
      <c r="A3263" s="1">
        <v>2023</v>
      </c>
      <c r="B3263" t="s">
        <v>386</v>
      </c>
      <c r="C3263" s="10" t="s">
        <v>1678</v>
      </c>
      <c r="D3263" s="10" t="s">
        <v>1679</v>
      </c>
      <c r="E3263" s="10" t="s">
        <v>1682</v>
      </c>
      <c r="F3263" t="s">
        <v>883</v>
      </c>
      <c r="G3263" s="4">
        <v>1534270</v>
      </c>
      <c r="H3263" s="4">
        <v>6316554</v>
      </c>
      <c r="I3263" s="4">
        <v>26989</v>
      </c>
      <c r="J3263" s="4">
        <f>SUM(G3263:I3263)</f>
        <v>7877813</v>
      </c>
      <c r="K3263" t="s">
        <v>1660</v>
      </c>
      <c r="L3263" t="s">
        <v>1660</v>
      </c>
      <c r="M3263" t="s">
        <v>883</v>
      </c>
      <c r="N3263" t="s">
        <v>883</v>
      </c>
      <c r="O3263" t="s">
        <v>883</v>
      </c>
      <c r="P3263">
        <f>IFERROR(VLOOKUP(F3263,Sheet1!$A$2:$B$54,2,FALSE),"")</f>
        <v>4900013</v>
      </c>
    </row>
    <row r="3264" spans="1:16" x14ac:dyDescent="0.2">
      <c r="A3264" s="1">
        <v>2015</v>
      </c>
      <c r="B3264" t="s">
        <v>470</v>
      </c>
      <c r="C3264" s="10" t="s">
        <v>1678</v>
      </c>
      <c r="D3264" s="10" t="s">
        <v>1679</v>
      </c>
      <c r="E3264" s="10" t="s">
        <v>1682</v>
      </c>
      <c r="F3264" t="s">
        <v>893</v>
      </c>
      <c r="G3264" s="4">
        <v>16659</v>
      </c>
      <c r="H3264" s="4">
        <v>241881</v>
      </c>
      <c r="I3264" s="4"/>
      <c r="J3264" s="4">
        <f>SUM(G3264:I3264)</f>
        <v>258540</v>
      </c>
      <c r="K3264" t="s">
        <v>1660</v>
      </c>
      <c r="L3264" t="s">
        <v>1659</v>
      </c>
      <c r="M3264" t="s">
        <v>968</v>
      </c>
      <c r="N3264" t="s">
        <v>968</v>
      </c>
      <c r="O3264" t="s">
        <v>1132</v>
      </c>
      <c r="P3264">
        <f>IFERROR(VLOOKUP(F3264,Sheet1!$A$2:$B$54,2,FALSE),"")</f>
        <v>4900012</v>
      </c>
    </row>
    <row r="3265" spans="1:16" x14ac:dyDescent="0.2">
      <c r="A3265" s="1">
        <v>2016</v>
      </c>
      <c r="B3265" t="s">
        <v>470</v>
      </c>
      <c r="C3265" s="10" t="s">
        <v>1678</v>
      </c>
      <c r="D3265" s="10" t="s">
        <v>1679</v>
      </c>
      <c r="E3265" s="10" t="s">
        <v>1682</v>
      </c>
      <c r="F3265" t="s">
        <v>893</v>
      </c>
      <c r="G3265" s="4">
        <v>27206</v>
      </c>
      <c r="H3265" s="4">
        <v>248906</v>
      </c>
      <c r="I3265" s="4"/>
      <c r="J3265" s="4">
        <f>SUM(G3265:I3265)</f>
        <v>276112</v>
      </c>
      <c r="K3265" t="s">
        <v>1660</v>
      </c>
      <c r="L3265" t="s">
        <v>1659</v>
      </c>
      <c r="M3265" t="s">
        <v>968</v>
      </c>
      <c r="N3265" t="s">
        <v>968</v>
      </c>
      <c r="O3265" t="s">
        <v>1132</v>
      </c>
      <c r="P3265">
        <f>IFERROR(VLOOKUP(F3265,Sheet1!$A$2:$B$54,2,FALSE),"")</f>
        <v>4900012</v>
      </c>
    </row>
    <row r="3266" spans="1:16" x14ac:dyDescent="0.2">
      <c r="A3266" s="1">
        <v>2016</v>
      </c>
      <c r="B3266" t="s">
        <v>398</v>
      </c>
      <c r="C3266" s="10" t="s">
        <v>1678</v>
      </c>
      <c r="D3266" s="10" t="s">
        <v>1679</v>
      </c>
      <c r="E3266" s="10" t="s">
        <v>1682</v>
      </c>
      <c r="F3266" t="s">
        <v>896</v>
      </c>
      <c r="G3266" s="4">
        <v>35132</v>
      </c>
      <c r="H3266" s="4"/>
      <c r="I3266" s="4"/>
      <c r="J3266" s="4">
        <f>SUM(G3266:I3266)</f>
        <v>35132</v>
      </c>
      <c r="K3266" t="s">
        <v>1659</v>
      </c>
      <c r="L3266" t="s">
        <v>1659</v>
      </c>
      <c r="M3266" t="s">
        <v>1505</v>
      </c>
      <c r="N3266" t="s">
        <v>1132</v>
      </c>
      <c r="O3266" t="s">
        <v>1132</v>
      </c>
      <c r="P3266" t="str">
        <f>IFERROR(VLOOKUP(F3266,Sheet1!$A$2:$B$54,2,FALSE),"")</f>
        <v/>
      </c>
    </row>
    <row r="3267" spans="1:16" x14ac:dyDescent="0.2">
      <c r="A3267" s="1">
        <v>2017</v>
      </c>
      <c r="B3267" t="s">
        <v>398</v>
      </c>
      <c r="C3267" s="10" t="s">
        <v>1678</v>
      </c>
      <c r="D3267" s="10" t="s">
        <v>1679</v>
      </c>
      <c r="E3267" s="10" t="s">
        <v>1682</v>
      </c>
      <c r="F3267" t="s">
        <v>896</v>
      </c>
      <c r="G3267" s="4">
        <v>41514</v>
      </c>
      <c r="H3267" s="4"/>
      <c r="I3267" s="4"/>
      <c r="J3267" s="4">
        <f>SUM(G3267:I3267)</f>
        <v>41514</v>
      </c>
      <c r="K3267" t="s">
        <v>1659</v>
      </c>
      <c r="L3267" t="s">
        <v>1659</v>
      </c>
      <c r="M3267" t="s">
        <v>1505</v>
      </c>
      <c r="N3267" t="s">
        <v>1132</v>
      </c>
      <c r="O3267" t="s">
        <v>1132</v>
      </c>
      <c r="P3267" t="str">
        <f>IFERROR(VLOOKUP(F3267,Sheet1!$A$2:$B$54,2,FALSE),"")</f>
        <v/>
      </c>
    </row>
    <row r="3268" spans="1:16" x14ac:dyDescent="0.2">
      <c r="A3268" s="1">
        <v>2018</v>
      </c>
      <c r="B3268" t="s">
        <v>398</v>
      </c>
      <c r="C3268" s="10" t="s">
        <v>1678</v>
      </c>
      <c r="D3268" s="10" t="s">
        <v>1679</v>
      </c>
      <c r="E3268" s="10" t="s">
        <v>1682</v>
      </c>
      <c r="F3268" t="s">
        <v>896</v>
      </c>
      <c r="G3268" s="4">
        <v>40770</v>
      </c>
      <c r="H3268" s="4"/>
      <c r="I3268" s="4"/>
      <c r="J3268" s="4">
        <f>SUM(G3268:I3268)</f>
        <v>40770</v>
      </c>
      <c r="K3268" t="s">
        <v>1659</v>
      </c>
      <c r="L3268" t="s">
        <v>1659</v>
      </c>
      <c r="M3268" t="s">
        <v>1505</v>
      </c>
      <c r="N3268" t="s">
        <v>1132</v>
      </c>
      <c r="O3268" t="s">
        <v>1132</v>
      </c>
      <c r="P3268" t="str">
        <f>IFERROR(VLOOKUP(F3268,Sheet1!$A$2:$B$54,2,FALSE),"")</f>
        <v/>
      </c>
    </row>
    <row r="3269" spans="1:16" x14ac:dyDescent="0.2">
      <c r="A3269" s="1">
        <v>2019</v>
      </c>
      <c r="B3269" t="s">
        <v>398</v>
      </c>
      <c r="C3269" s="10" t="s">
        <v>1678</v>
      </c>
      <c r="D3269" s="10" t="s">
        <v>1679</v>
      </c>
      <c r="E3269" s="10" t="s">
        <v>1682</v>
      </c>
      <c r="F3269" t="s">
        <v>896</v>
      </c>
      <c r="G3269" s="4">
        <v>33517</v>
      </c>
      <c r="H3269" s="4"/>
      <c r="I3269" s="4"/>
      <c r="J3269" s="4">
        <f>SUM(G3269:I3269)</f>
        <v>33517</v>
      </c>
      <c r="K3269" t="s">
        <v>1659</v>
      </c>
      <c r="L3269" t="s">
        <v>1659</v>
      </c>
      <c r="M3269" t="s">
        <v>1505</v>
      </c>
      <c r="N3269" t="s">
        <v>1132</v>
      </c>
      <c r="O3269" t="s">
        <v>1132</v>
      </c>
      <c r="P3269" t="str">
        <f>IFERROR(VLOOKUP(F3269,Sheet1!$A$2:$B$54,2,FALSE),"")</f>
        <v/>
      </c>
    </row>
    <row r="3270" spans="1:16" x14ac:dyDescent="0.2">
      <c r="A3270" s="1">
        <v>2020</v>
      </c>
      <c r="B3270" t="s">
        <v>398</v>
      </c>
      <c r="C3270" s="10" t="s">
        <v>1678</v>
      </c>
      <c r="D3270" s="10" t="s">
        <v>1679</v>
      </c>
      <c r="E3270" s="10" t="s">
        <v>1682</v>
      </c>
      <c r="F3270" t="s">
        <v>896</v>
      </c>
      <c r="G3270" s="4">
        <v>41380</v>
      </c>
      <c r="H3270" s="4"/>
      <c r="I3270" s="4"/>
      <c r="J3270" s="4">
        <f>SUM(G3270:I3270)</f>
        <v>41380</v>
      </c>
      <c r="K3270" t="s">
        <v>1659</v>
      </c>
      <c r="L3270" t="s">
        <v>1659</v>
      </c>
      <c r="M3270" t="s">
        <v>1505</v>
      </c>
      <c r="N3270" t="s">
        <v>1132</v>
      </c>
      <c r="O3270" t="s">
        <v>1132</v>
      </c>
      <c r="P3270" t="str">
        <f>IFERROR(VLOOKUP(F3270,Sheet1!$A$2:$B$54,2,FALSE),"")</f>
        <v/>
      </c>
    </row>
    <row r="3271" spans="1:16" x14ac:dyDescent="0.2">
      <c r="A3271" s="1">
        <v>2021</v>
      </c>
      <c r="B3271" t="s">
        <v>398</v>
      </c>
      <c r="C3271" s="10" t="s">
        <v>1678</v>
      </c>
      <c r="D3271" s="10" t="s">
        <v>1679</v>
      </c>
      <c r="E3271" s="10" t="s">
        <v>1682</v>
      </c>
      <c r="F3271" t="s">
        <v>896</v>
      </c>
      <c r="G3271" s="4">
        <v>40118</v>
      </c>
      <c r="H3271" s="4"/>
      <c r="I3271" s="4"/>
      <c r="J3271" s="4">
        <f>SUM(G3271:I3271)</f>
        <v>40118</v>
      </c>
      <c r="K3271" t="s">
        <v>1659</v>
      </c>
      <c r="L3271" t="s">
        <v>1659</v>
      </c>
      <c r="M3271" t="s">
        <v>896</v>
      </c>
      <c r="N3271" t="s">
        <v>1132</v>
      </c>
      <c r="O3271" t="s">
        <v>1132</v>
      </c>
      <c r="P3271" t="str">
        <f>IFERROR(VLOOKUP(F3271,Sheet1!$A$2:$B$54,2,FALSE),"")</f>
        <v/>
      </c>
    </row>
    <row r="3272" spans="1:16" x14ac:dyDescent="0.2">
      <c r="A3272" s="1">
        <v>2022</v>
      </c>
      <c r="B3272" t="s">
        <v>398</v>
      </c>
      <c r="C3272" s="10" t="s">
        <v>1678</v>
      </c>
      <c r="D3272" s="10" t="s">
        <v>1679</v>
      </c>
      <c r="E3272" s="10" t="s">
        <v>1682</v>
      </c>
      <c r="F3272" t="s">
        <v>896</v>
      </c>
      <c r="G3272" s="4">
        <v>49121</v>
      </c>
      <c r="H3272" s="4"/>
      <c r="I3272" s="4"/>
      <c r="J3272" s="4">
        <f>SUM(G3272:I3272)</f>
        <v>49121</v>
      </c>
      <c r="K3272" t="s">
        <v>1659</v>
      </c>
      <c r="L3272" t="s">
        <v>1659</v>
      </c>
      <c r="M3272" t="s">
        <v>896</v>
      </c>
      <c r="N3272" t="s">
        <v>1132</v>
      </c>
      <c r="O3272" t="s">
        <v>1132</v>
      </c>
      <c r="P3272" t="str">
        <f>IFERROR(VLOOKUP(F3272,Sheet1!$A$2:$B$54,2,FALSE),"")</f>
        <v/>
      </c>
    </row>
    <row r="3273" spans="1:16" x14ac:dyDescent="0.2">
      <c r="A3273" s="1">
        <v>2023</v>
      </c>
      <c r="B3273" t="s">
        <v>398</v>
      </c>
      <c r="C3273" s="10" t="s">
        <v>1678</v>
      </c>
      <c r="D3273" s="10" t="s">
        <v>1679</v>
      </c>
      <c r="E3273" s="10" t="s">
        <v>1682</v>
      </c>
      <c r="F3273" t="s">
        <v>896</v>
      </c>
      <c r="G3273" s="4">
        <v>64478</v>
      </c>
      <c r="H3273" s="4"/>
      <c r="I3273" s="4"/>
      <c r="J3273" s="4">
        <f>SUM(G3273:I3273)</f>
        <v>64478</v>
      </c>
      <c r="K3273" t="s">
        <v>1659</v>
      </c>
      <c r="L3273" t="s">
        <v>1659</v>
      </c>
      <c r="M3273" t="s">
        <v>896</v>
      </c>
      <c r="N3273" t="s">
        <v>1132</v>
      </c>
      <c r="O3273" t="s">
        <v>1132</v>
      </c>
      <c r="P3273" t="str">
        <f>IFERROR(VLOOKUP(F3273,Sheet1!$A$2:$B$54,2,FALSE),"")</f>
        <v/>
      </c>
    </row>
    <row r="3274" spans="1:16" x14ac:dyDescent="0.2">
      <c r="A3274" s="1">
        <v>2015</v>
      </c>
      <c r="B3274" t="s">
        <v>399</v>
      </c>
      <c r="C3274" s="10" t="s">
        <v>1678</v>
      </c>
      <c r="D3274" s="10" t="s">
        <v>1679</v>
      </c>
      <c r="E3274" s="10" t="s">
        <v>1682</v>
      </c>
      <c r="F3274" t="s">
        <v>897</v>
      </c>
      <c r="G3274" s="4">
        <v>7233</v>
      </c>
      <c r="H3274" s="4">
        <v>335073</v>
      </c>
      <c r="I3274" s="4"/>
      <c r="J3274" s="4">
        <f>SUM(G3274:I3274)</f>
        <v>342306</v>
      </c>
      <c r="K3274" t="s">
        <v>1660</v>
      </c>
      <c r="L3274" t="s">
        <v>1659</v>
      </c>
      <c r="M3274" t="s">
        <v>1506</v>
      </c>
      <c r="N3274" t="s">
        <v>1506</v>
      </c>
      <c r="O3274" t="s">
        <v>1132</v>
      </c>
      <c r="P3274" t="str">
        <f>IFERROR(VLOOKUP(F3274,Sheet1!$A$2:$B$54,2,FALSE),"")</f>
        <v/>
      </c>
    </row>
    <row r="3275" spans="1:16" x14ac:dyDescent="0.2">
      <c r="A3275" s="1">
        <v>2016</v>
      </c>
      <c r="B3275" t="s">
        <v>399</v>
      </c>
      <c r="C3275" s="10" t="s">
        <v>1678</v>
      </c>
      <c r="D3275" s="10" t="s">
        <v>1679</v>
      </c>
      <c r="E3275" s="10" t="s">
        <v>1682</v>
      </c>
      <c r="F3275" t="s">
        <v>897</v>
      </c>
      <c r="G3275" s="4">
        <v>9620</v>
      </c>
      <c r="H3275" s="4">
        <v>360371</v>
      </c>
      <c r="I3275" s="4"/>
      <c r="J3275" s="4">
        <f>SUM(G3275:I3275)</f>
        <v>369991</v>
      </c>
      <c r="K3275" t="s">
        <v>1660</v>
      </c>
      <c r="L3275" t="s">
        <v>1659</v>
      </c>
      <c r="M3275" t="s">
        <v>1506</v>
      </c>
      <c r="N3275" t="s">
        <v>1506</v>
      </c>
      <c r="O3275" t="s">
        <v>1132</v>
      </c>
      <c r="P3275" t="str">
        <f>IFERROR(VLOOKUP(F3275,Sheet1!$A$2:$B$54,2,FALSE),"")</f>
        <v/>
      </c>
    </row>
    <row r="3276" spans="1:16" x14ac:dyDescent="0.2">
      <c r="A3276" s="1">
        <v>2017</v>
      </c>
      <c r="B3276" t="s">
        <v>399</v>
      </c>
      <c r="C3276" s="10" t="s">
        <v>1678</v>
      </c>
      <c r="D3276" s="10" t="s">
        <v>1679</v>
      </c>
      <c r="E3276" s="10" t="s">
        <v>1682</v>
      </c>
      <c r="F3276" t="s">
        <v>897</v>
      </c>
      <c r="G3276" s="4">
        <v>9402</v>
      </c>
      <c r="H3276" s="4">
        <v>463792</v>
      </c>
      <c r="I3276" s="4"/>
      <c r="J3276" s="4">
        <f>SUM(G3276:I3276)</f>
        <v>473194</v>
      </c>
      <c r="K3276" t="s">
        <v>1660</v>
      </c>
      <c r="L3276" t="s">
        <v>1659</v>
      </c>
      <c r="M3276" t="s">
        <v>1506</v>
      </c>
      <c r="N3276" t="s">
        <v>1506</v>
      </c>
      <c r="O3276" t="s">
        <v>1132</v>
      </c>
      <c r="P3276" t="str">
        <f>IFERROR(VLOOKUP(F3276,Sheet1!$A$2:$B$54,2,FALSE),"")</f>
        <v/>
      </c>
    </row>
    <row r="3277" spans="1:16" x14ac:dyDescent="0.2">
      <c r="A3277" s="1">
        <v>2018</v>
      </c>
      <c r="B3277" t="s">
        <v>399</v>
      </c>
      <c r="C3277" s="10" t="s">
        <v>1678</v>
      </c>
      <c r="D3277" s="10" t="s">
        <v>1679</v>
      </c>
      <c r="E3277" s="10" t="s">
        <v>1682</v>
      </c>
      <c r="F3277" t="s">
        <v>897</v>
      </c>
      <c r="G3277" s="4">
        <v>31282</v>
      </c>
      <c r="H3277" s="4">
        <v>514948</v>
      </c>
      <c r="I3277" s="4"/>
      <c r="J3277" s="4">
        <f>SUM(G3277:I3277)</f>
        <v>546230</v>
      </c>
      <c r="K3277" t="s">
        <v>1660</v>
      </c>
      <c r="L3277" t="s">
        <v>1659</v>
      </c>
      <c r="M3277" t="s">
        <v>1506</v>
      </c>
      <c r="N3277" t="s">
        <v>1506</v>
      </c>
      <c r="O3277" t="s">
        <v>1132</v>
      </c>
      <c r="P3277" t="str">
        <f>IFERROR(VLOOKUP(F3277,Sheet1!$A$2:$B$54,2,FALSE),"")</f>
        <v/>
      </c>
    </row>
    <row r="3278" spans="1:16" x14ac:dyDescent="0.2">
      <c r="A3278" s="1">
        <v>2019</v>
      </c>
      <c r="B3278" t="s">
        <v>399</v>
      </c>
      <c r="C3278" s="10" t="s">
        <v>1678</v>
      </c>
      <c r="D3278" s="10" t="s">
        <v>1679</v>
      </c>
      <c r="E3278" s="10" t="s">
        <v>1682</v>
      </c>
      <c r="F3278" t="s">
        <v>897</v>
      </c>
      <c r="G3278" s="4">
        <v>29318</v>
      </c>
      <c r="H3278" s="4">
        <v>492766</v>
      </c>
      <c r="I3278" s="4"/>
      <c r="J3278" s="4">
        <f>SUM(G3278:I3278)</f>
        <v>522084</v>
      </c>
      <c r="K3278" t="s">
        <v>1660</v>
      </c>
      <c r="L3278" t="s">
        <v>1659</v>
      </c>
      <c r="M3278" t="s">
        <v>1506</v>
      </c>
      <c r="N3278" t="s">
        <v>1506</v>
      </c>
      <c r="O3278" t="s">
        <v>1132</v>
      </c>
      <c r="P3278" t="str">
        <f>IFERROR(VLOOKUP(F3278,Sheet1!$A$2:$B$54,2,FALSE),"")</f>
        <v/>
      </c>
    </row>
    <row r="3279" spans="1:16" x14ac:dyDescent="0.2">
      <c r="A3279" s="1">
        <v>2020</v>
      </c>
      <c r="B3279" t="s">
        <v>399</v>
      </c>
      <c r="C3279" s="10" t="s">
        <v>1678</v>
      </c>
      <c r="D3279" s="10" t="s">
        <v>1679</v>
      </c>
      <c r="E3279" s="10" t="s">
        <v>1682</v>
      </c>
      <c r="F3279" t="s">
        <v>897</v>
      </c>
      <c r="G3279" s="4">
        <v>50309</v>
      </c>
      <c r="H3279" s="4">
        <v>496898</v>
      </c>
      <c r="I3279" s="4"/>
      <c r="J3279" s="4">
        <f>SUM(G3279:I3279)</f>
        <v>547207</v>
      </c>
      <c r="K3279" t="s">
        <v>1660</v>
      </c>
      <c r="L3279" t="s">
        <v>1659</v>
      </c>
      <c r="M3279" t="s">
        <v>1506</v>
      </c>
      <c r="N3279" t="s">
        <v>1506</v>
      </c>
      <c r="O3279" t="s">
        <v>1132</v>
      </c>
      <c r="P3279" t="str">
        <f>IFERROR(VLOOKUP(F3279,Sheet1!$A$2:$B$54,2,FALSE),"")</f>
        <v/>
      </c>
    </row>
    <row r="3280" spans="1:16" x14ac:dyDescent="0.2">
      <c r="A3280" s="1">
        <v>2021</v>
      </c>
      <c r="B3280" t="s">
        <v>399</v>
      </c>
      <c r="C3280" s="10" t="s">
        <v>1678</v>
      </c>
      <c r="D3280" s="10" t="s">
        <v>1679</v>
      </c>
      <c r="E3280" s="10" t="s">
        <v>1682</v>
      </c>
      <c r="F3280" t="s">
        <v>897</v>
      </c>
      <c r="G3280" s="4">
        <v>85357</v>
      </c>
      <c r="H3280" s="4">
        <v>523871</v>
      </c>
      <c r="I3280" s="4"/>
      <c r="J3280" s="4">
        <f>SUM(G3280:I3280)</f>
        <v>609228</v>
      </c>
      <c r="K3280" t="s">
        <v>1660</v>
      </c>
      <c r="L3280" t="s">
        <v>1659</v>
      </c>
      <c r="M3280" t="s">
        <v>897</v>
      </c>
      <c r="N3280" t="s">
        <v>897</v>
      </c>
      <c r="O3280" t="s">
        <v>1132</v>
      </c>
      <c r="P3280" t="str">
        <f>IFERROR(VLOOKUP(F3280,Sheet1!$A$2:$B$54,2,FALSE),"")</f>
        <v/>
      </c>
    </row>
    <row r="3281" spans="1:16" x14ac:dyDescent="0.2">
      <c r="A3281" s="1">
        <v>2022</v>
      </c>
      <c r="B3281" t="s">
        <v>399</v>
      </c>
      <c r="C3281" s="10" t="s">
        <v>1678</v>
      </c>
      <c r="D3281" s="10" t="s">
        <v>1679</v>
      </c>
      <c r="E3281" s="10" t="s">
        <v>1682</v>
      </c>
      <c r="F3281" t="s">
        <v>897</v>
      </c>
      <c r="G3281" s="4">
        <v>97474</v>
      </c>
      <c r="H3281" s="4">
        <v>478753</v>
      </c>
      <c r="I3281" s="4"/>
      <c r="J3281" s="4">
        <f>SUM(G3281:I3281)</f>
        <v>576227</v>
      </c>
      <c r="K3281" t="s">
        <v>1660</v>
      </c>
      <c r="L3281" t="s">
        <v>1659</v>
      </c>
      <c r="M3281" t="s">
        <v>897</v>
      </c>
      <c r="N3281" t="s">
        <v>897</v>
      </c>
      <c r="O3281" t="s">
        <v>1132</v>
      </c>
      <c r="P3281" t="str">
        <f>IFERROR(VLOOKUP(F3281,Sheet1!$A$2:$B$54,2,FALSE),"")</f>
        <v/>
      </c>
    </row>
    <row r="3282" spans="1:16" x14ac:dyDescent="0.2">
      <c r="A3282" s="1">
        <v>2023</v>
      </c>
      <c r="B3282" t="s">
        <v>399</v>
      </c>
      <c r="C3282" s="10" t="s">
        <v>1678</v>
      </c>
      <c r="D3282" s="10" t="s">
        <v>1679</v>
      </c>
      <c r="E3282" s="10" t="s">
        <v>1682</v>
      </c>
      <c r="F3282" t="s">
        <v>897</v>
      </c>
      <c r="G3282" s="4">
        <v>121598</v>
      </c>
      <c r="H3282" s="4">
        <v>502743</v>
      </c>
      <c r="I3282" s="4"/>
      <c r="J3282" s="4">
        <f>SUM(G3282:I3282)</f>
        <v>624341</v>
      </c>
      <c r="K3282" t="s">
        <v>1660</v>
      </c>
      <c r="L3282" t="s">
        <v>1659</v>
      </c>
      <c r="M3282" t="s">
        <v>897</v>
      </c>
      <c r="N3282" t="s">
        <v>897</v>
      </c>
      <c r="O3282" t="s">
        <v>1132</v>
      </c>
      <c r="P3282" t="str">
        <f>IFERROR(VLOOKUP(F3282,Sheet1!$A$2:$B$54,2,FALSE),"")</f>
        <v/>
      </c>
    </row>
    <row r="3283" spans="1:16" x14ac:dyDescent="0.2">
      <c r="A3283" s="1">
        <v>2015</v>
      </c>
      <c r="B3283" t="s">
        <v>400</v>
      </c>
      <c r="C3283" s="10" t="s">
        <v>1678</v>
      </c>
      <c r="D3283" s="10" t="s">
        <v>1679</v>
      </c>
      <c r="E3283" s="10" t="s">
        <v>1682</v>
      </c>
      <c r="F3283" t="s">
        <v>898</v>
      </c>
      <c r="G3283" s="4">
        <v>2006</v>
      </c>
      <c r="H3283" s="4"/>
      <c r="I3283" s="4"/>
      <c r="J3283" s="4">
        <f>SUM(G3283:I3283)</f>
        <v>2006</v>
      </c>
      <c r="K3283" t="s">
        <v>1659</v>
      </c>
      <c r="L3283" t="s">
        <v>1659</v>
      </c>
      <c r="M3283" t="s">
        <v>1507</v>
      </c>
      <c r="N3283" t="s">
        <v>1132</v>
      </c>
      <c r="O3283" t="s">
        <v>1132</v>
      </c>
      <c r="P3283" t="str">
        <f>IFERROR(VLOOKUP(F3283,Sheet1!$A$2:$B$54,2,FALSE),"")</f>
        <v/>
      </c>
    </row>
    <row r="3284" spans="1:16" x14ac:dyDescent="0.2">
      <c r="A3284" s="1">
        <v>2016</v>
      </c>
      <c r="B3284" t="s">
        <v>400</v>
      </c>
      <c r="C3284" s="10" t="s">
        <v>1678</v>
      </c>
      <c r="D3284" s="10" t="s">
        <v>1679</v>
      </c>
      <c r="E3284" s="10" t="s">
        <v>1682</v>
      </c>
      <c r="F3284" t="s">
        <v>898</v>
      </c>
      <c r="G3284" s="4">
        <v>3007</v>
      </c>
      <c r="H3284" s="4"/>
      <c r="I3284" s="4"/>
      <c r="J3284" s="4">
        <f>SUM(G3284:I3284)</f>
        <v>3007</v>
      </c>
      <c r="K3284" t="s">
        <v>1659</v>
      </c>
      <c r="L3284" t="s">
        <v>1659</v>
      </c>
      <c r="M3284" t="s">
        <v>1507</v>
      </c>
      <c r="N3284" t="s">
        <v>1132</v>
      </c>
      <c r="O3284" t="s">
        <v>1132</v>
      </c>
      <c r="P3284" t="str">
        <f>IFERROR(VLOOKUP(F3284,Sheet1!$A$2:$B$54,2,FALSE),"")</f>
        <v/>
      </c>
    </row>
    <row r="3285" spans="1:16" x14ac:dyDescent="0.2">
      <c r="A3285" s="1">
        <v>2017</v>
      </c>
      <c r="B3285" t="s">
        <v>400</v>
      </c>
      <c r="C3285" s="10" t="s">
        <v>1678</v>
      </c>
      <c r="D3285" s="10" t="s">
        <v>1679</v>
      </c>
      <c r="E3285" s="10" t="s">
        <v>1682</v>
      </c>
      <c r="F3285" t="s">
        <v>898</v>
      </c>
      <c r="G3285" s="4">
        <v>2705</v>
      </c>
      <c r="H3285" s="4"/>
      <c r="I3285" s="4"/>
      <c r="J3285" s="4">
        <f>SUM(G3285:I3285)</f>
        <v>2705</v>
      </c>
      <c r="K3285" t="s">
        <v>1659</v>
      </c>
      <c r="L3285" t="s">
        <v>1659</v>
      </c>
      <c r="M3285" t="s">
        <v>1507</v>
      </c>
      <c r="N3285" t="s">
        <v>1132</v>
      </c>
      <c r="O3285" t="s">
        <v>1132</v>
      </c>
      <c r="P3285" t="str">
        <f>IFERROR(VLOOKUP(F3285,Sheet1!$A$2:$B$54,2,FALSE),"")</f>
        <v/>
      </c>
    </row>
    <row r="3286" spans="1:16" x14ac:dyDescent="0.2">
      <c r="A3286" s="1">
        <v>2018</v>
      </c>
      <c r="B3286" t="s">
        <v>400</v>
      </c>
      <c r="C3286" s="10" t="s">
        <v>1678</v>
      </c>
      <c r="D3286" s="10" t="s">
        <v>1679</v>
      </c>
      <c r="E3286" s="10" t="s">
        <v>1682</v>
      </c>
      <c r="F3286" t="s">
        <v>898</v>
      </c>
      <c r="G3286" s="4">
        <v>3321</v>
      </c>
      <c r="H3286" s="4"/>
      <c r="I3286" s="4"/>
      <c r="J3286" s="4">
        <f>SUM(G3286:I3286)</f>
        <v>3321</v>
      </c>
      <c r="K3286" t="s">
        <v>1659</v>
      </c>
      <c r="L3286" t="s">
        <v>1659</v>
      </c>
      <c r="M3286" t="s">
        <v>1507</v>
      </c>
      <c r="N3286" t="s">
        <v>1132</v>
      </c>
      <c r="O3286" t="s">
        <v>1132</v>
      </c>
      <c r="P3286" t="str">
        <f>IFERROR(VLOOKUP(F3286,Sheet1!$A$2:$B$54,2,FALSE),"")</f>
        <v/>
      </c>
    </row>
    <row r="3287" spans="1:16" x14ac:dyDescent="0.2">
      <c r="A3287" s="1">
        <v>2019</v>
      </c>
      <c r="B3287" t="s">
        <v>400</v>
      </c>
      <c r="C3287" s="10" t="s">
        <v>1678</v>
      </c>
      <c r="D3287" s="10" t="s">
        <v>1679</v>
      </c>
      <c r="E3287" s="10" t="s">
        <v>1682</v>
      </c>
      <c r="F3287" t="s">
        <v>898</v>
      </c>
      <c r="G3287" s="4">
        <v>3882</v>
      </c>
      <c r="H3287" s="4"/>
      <c r="I3287" s="4"/>
      <c r="J3287" s="4">
        <f>SUM(G3287:I3287)</f>
        <v>3882</v>
      </c>
      <c r="K3287" t="s">
        <v>1659</v>
      </c>
      <c r="L3287" t="s">
        <v>1659</v>
      </c>
      <c r="M3287" t="s">
        <v>1507</v>
      </c>
      <c r="N3287" t="s">
        <v>1132</v>
      </c>
      <c r="O3287" t="s">
        <v>1132</v>
      </c>
      <c r="P3287" t="str">
        <f>IFERROR(VLOOKUP(F3287,Sheet1!$A$2:$B$54,2,FALSE),"")</f>
        <v/>
      </c>
    </row>
    <row r="3288" spans="1:16" x14ac:dyDescent="0.2">
      <c r="A3288" s="1">
        <v>2020</v>
      </c>
      <c r="B3288" t="s">
        <v>400</v>
      </c>
      <c r="C3288" s="10" t="s">
        <v>1678</v>
      </c>
      <c r="D3288" s="10" t="s">
        <v>1679</v>
      </c>
      <c r="E3288" s="10" t="s">
        <v>1682</v>
      </c>
      <c r="F3288" t="s">
        <v>898</v>
      </c>
      <c r="G3288" s="4">
        <v>4292</v>
      </c>
      <c r="H3288" s="4"/>
      <c r="I3288" s="4"/>
      <c r="J3288" s="4">
        <f>SUM(G3288:I3288)</f>
        <v>4292</v>
      </c>
      <c r="K3288" t="s">
        <v>1659</v>
      </c>
      <c r="L3288" t="s">
        <v>1659</v>
      </c>
      <c r="M3288" t="s">
        <v>1507</v>
      </c>
      <c r="N3288" t="s">
        <v>1132</v>
      </c>
      <c r="O3288" t="s">
        <v>1132</v>
      </c>
      <c r="P3288" t="str">
        <f>IFERROR(VLOOKUP(F3288,Sheet1!$A$2:$B$54,2,FALSE),"")</f>
        <v/>
      </c>
    </row>
    <row r="3289" spans="1:16" x14ac:dyDescent="0.2">
      <c r="A3289" s="1">
        <v>2021</v>
      </c>
      <c r="B3289" t="s">
        <v>400</v>
      </c>
      <c r="C3289" s="10" t="s">
        <v>1678</v>
      </c>
      <c r="D3289" s="10" t="s">
        <v>1679</v>
      </c>
      <c r="E3289" s="10" t="s">
        <v>1682</v>
      </c>
      <c r="F3289" t="s">
        <v>898</v>
      </c>
      <c r="G3289" s="4">
        <v>4156</v>
      </c>
      <c r="H3289" s="4"/>
      <c r="I3289" s="4"/>
      <c r="J3289" s="4">
        <f>SUM(G3289:I3289)</f>
        <v>4156</v>
      </c>
      <c r="K3289" t="s">
        <v>1659</v>
      </c>
      <c r="L3289" t="s">
        <v>1659</v>
      </c>
      <c r="M3289" t="s">
        <v>898</v>
      </c>
      <c r="N3289" t="s">
        <v>1132</v>
      </c>
      <c r="O3289" t="s">
        <v>1132</v>
      </c>
      <c r="P3289" t="str">
        <f>IFERROR(VLOOKUP(F3289,Sheet1!$A$2:$B$54,2,FALSE),"")</f>
        <v/>
      </c>
    </row>
    <row r="3290" spans="1:16" x14ac:dyDescent="0.2">
      <c r="A3290" s="1">
        <v>2022</v>
      </c>
      <c r="B3290" t="s">
        <v>400</v>
      </c>
      <c r="C3290" s="10" t="s">
        <v>1678</v>
      </c>
      <c r="D3290" s="10" t="s">
        <v>1679</v>
      </c>
      <c r="E3290" s="10" t="s">
        <v>1682</v>
      </c>
      <c r="F3290" t="s">
        <v>898</v>
      </c>
      <c r="G3290" s="4">
        <v>1095</v>
      </c>
      <c r="H3290" s="4"/>
      <c r="I3290" s="4"/>
      <c r="J3290" s="4">
        <f>SUM(G3290:I3290)</f>
        <v>1095</v>
      </c>
      <c r="K3290" t="s">
        <v>1659</v>
      </c>
      <c r="L3290" t="s">
        <v>1659</v>
      </c>
      <c r="M3290" t="s">
        <v>898</v>
      </c>
      <c r="N3290" t="s">
        <v>1132</v>
      </c>
      <c r="O3290" t="s">
        <v>1132</v>
      </c>
      <c r="P3290" t="str">
        <f>IFERROR(VLOOKUP(F3290,Sheet1!$A$2:$B$54,2,FALSE),"")</f>
        <v/>
      </c>
    </row>
    <row r="3291" spans="1:16" x14ac:dyDescent="0.2">
      <c r="A3291" s="1">
        <v>2023</v>
      </c>
      <c r="B3291" t="s">
        <v>400</v>
      </c>
      <c r="C3291" s="10" t="s">
        <v>1678</v>
      </c>
      <c r="D3291" s="10" t="s">
        <v>1679</v>
      </c>
      <c r="E3291" s="10" t="s">
        <v>1682</v>
      </c>
      <c r="F3291" t="s">
        <v>898</v>
      </c>
      <c r="G3291" s="4">
        <v>7381</v>
      </c>
      <c r="H3291" s="4"/>
      <c r="I3291" s="4"/>
      <c r="J3291" s="4">
        <f>SUM(G3291:I3291)</f>
        <v>7381</v>
      </c>
      <c r="K3291" t="s">
        <v>1659</v>
      </c>
      <c r="L3291" t="s">
        <v>1659</v>
      </c>
      <c r="M3291" t="s">
        <v>898</v>
      </c>
      <c r="N3291" t="s">
        <v>1132</v>
      </c>
      <c r="O3291" t="s">
        <v>1132</v>
      </c>
      <c r="P3291" t="str">
        <f>IFERROR(VLOOKUP(F3291,Sheet1!$A$2:$B$54,2,FALSE),"")</f>
        <v/>
      </c>
    </row>
    <row r="3292" spans="1:16" x14ac:dyDescent="0.2">
      <c r="A3292" s="1">
        <v>2015</v>
      </c>
      <c r="B3292" t="s">
        <v>401</v>
      </c>
      <c r="C3292" s="10" t="s">
        <v>1678</v>
      </c>
      <c r="D3292" s="10" t="s">
        <v>1679</v>
      </c>
      <c r="E3292" s="10" t="s">
        <v>1682</v>
      </c>
      <c r="F3292" t="s">
        <v>899</v>
      </c>
      <c r="G3292" s="4">
        <v>335160</v>
      </c>
      <c r="H3292" s="4"/>
      <c r="I3292" s="4"/>
      <c r="J3292" s="4">
        <f>SUM(G3292:I3292)</f>
        <v>335160</v>
      </c>
      <c r="K3292" t="s">
        <v>1659</v>
      </c>
      <c r="L3292" t="s">
        <v>1659</v>
      </c>
      <c r="M3292" t="s">
        <v>1508</v>
      </c>
      <c r="N3292" t="s">
        <v>1132</v>
      </c>
      <c r="O3292" t="s">
        <v>1132</v>
      </c>
      <c r="P3292" t="str">
        <f>IFERROR(VLOOKUP(F3292,Sheet1!$A$2:$B$54,2,FALSE),"")</f>
        <v/>
      </c>
    </row>
    <row r="3293" spans="1:16" x14ac:dyDescent="0.2">
      <c r="A3293" s="1">
        <v>2016</v>
      </c>
      <c r="B3293" t="s">
        <v>401</v>
      </c>
      <c r="C3293" s="10" t="s">
        <v>1678</v>
      </c>
      <c r="D3293" s="10" t="s">
        <v>1679</v>
      </c>
      <c r="E3293" s="10" t="s">
        <v>1682</v>
      </c>
      <c r="F3293" t="s">
        <v>899</v>
      </c>
      <c r="G3293" s="4">
        <v>484547</v>
      </c>
      <c r="H3293" s="4"/>
      <c r="I3293" s="4"/>
      <c r="J3293" s="4">
        <f>SUM(G3293:I3293)</f>
        <v>484547</v>
      </c>
      <c r="K3293" t="s">
        <v>1659</v>
      </c>
      <c r="L3293" t="s">
        <v>1659</v>
      </c>
      <c r="M3293" t="s">
        <v>1508</v>
      </c>
      <c r="N3293" t="s">
        <v>1132</v>
      </c>
      <c r="O3293" t="s">
        <v>1132</v>
      </c>
      <c r="P3293" t="str">
        <f>IFERROR(VLOOKUP(F3293,Sheet1!$A$2:$B$54,2,FALSE),"")</f>
        <v/>
      </c>
    </row>
    <row r="3294" spans="1:16" x14ac:dyDescent="0.2">
      <c r="A3294" s="1">
        <v>2017</v>
      </c>
      <c r="B3294" t="s">
        <v>401</v>
      </c>
      <c r="C3294" s="10" t="s">
        <v>1678</v>
      </c>
      <c r="D3294" s="10" t="s">
        <v>1679</v>
      </c>
      <c r="E3294" s="10" t="s">
        <v>1682</v>
      </c>
      <c r="F3294" t="s">
        <v>899</v>
      </c>
      <c r="G3294" s="4">
        <v>611006</v>
      </c>
      <c r="H3294" s="4"/>
      <c r="I3294" s="4"/>
      <c r="J3294" s="4">
        <f>SUM(G3294:I3294)</f>
        <v>611006</v>
      </c>
      <c r="K3294" t="s">
        <v>1659</v>
      </c>
      <c r="L3294" t="s">
        <v>1659</v>
      </c>
      <c r="M3294" t="s">
        <v>1508</v>
      </c>
      <c r="N3294" t="s">
        <v>1132</v>
      </c>
      <c r="O3294" t="s">
        <v>1132</v>
      </c>
      <c r="P3294" t="str">
        <f>IFERROR(VLOOKUP(F3294,Sheet1!$A$2:$B$54,2,FALSE),"")</f>
        <v/>
      </c>
    </row>
    <row r="3295" spans="1:16" x14ac:dyDescent="0.2">
      <c r="A3295" s="1">
        <v>2018</v>
      </c>
      <c r="B3295" t="s">
        <v>401</v>
      </c>
      <c r="C3295" s="10" t="s">
        <v>1678</v>
      </c>
      <c r="D3295" s="10" t="s">
        <v>1679</v>
      </c>
      <c r="E3295" s="10" t="s">
        <v>1682</v>
      </c>
      <c r="F3295" t="s">
        <v>899</v>
      </c>
      <c r="G3295" s="4">
        <v>767284</v>
      </c>
      <c r="H3295" s="4"/>
      <c r="I3295" s="4"/>
      <c r="J3295" s="4">
        <f>SUM(G3295:I3295)</f>
        <v>767284</v>
      </c>
      <c r="K3295" t="s">
        <v>1659</v>
      </c>
      <c r="L3295" t="s">
        <v>1659</v>
      </c>
      <c r="M3295" t="s">
        <v>1508</v>
      </c>
      <c r="N3295" t="s">
        <v>1132</v>
      </c>
      <c r="O3295" t="s">
        <v>1132</v>
      </c>
      <c r="P3295" t="str">
        <f>IFERROR(VLOOKUP(F3295,Sheet1!$A$2:$B$54,2,FALSE),"")</f>
        <v/>
      </c>
    </row>
    <row r="3296" spans="1:16" x14ac:dyDescent="0.2">
      <c r="A3296" s="1">
        <v>2019</v>
      </c>
      <c r="B3296" t="s">
        <v>401</v>
      </c>
      <c r="C3296" s="10" t="s">
        <v>1678</v>
      </c>
      <c r="D3296" s="10" t="s">
        <v>1679</v>
      </c>
      <c r="E3296" s="10" t="s">
        <v>1682</v>
      </c>
      <c r="F3296" t="s">
        <v>899</v>
      </c>
      <c r="G3296" s="4">
        <v>1025963</v>
      </c>
      <c r="H3296" s="4"/>
      <c r="I3296" s="4"/>
      <c r="J3296" s="4">
        <f>SUM(G3296:I3296)</f>
        <v>1025963</v>
      </c>
      <c r="K3296" t="s">
        <v>1659</v>
      </c>
      <c r="L3296" t="s">
        <v>1659</v>
      </c>
      <c r="M3296" t="s">
        <v>1508</v>
      </c>
      <c r="N3296" t="s">
        <v>1132</v>
      </c>
      <c r="O3296" t="s">
        <v>1132</v>
      </c>
      <c r="P3296" t="str">
        <f>IFERROR(VLOOKUP(F3296,Sheet1!$A$2:$B$54,2,FALSE),"")</f>
        <v/>
      </c>
    </row>
    <row r="3297" spans="1:16" x14ac:dyDescent="0.2">
      <c r="A3297" s="1">
        <v>2020</v>
      </c>
      <c r="B3297" t="s">
        <v>401</v>
      </c>
      <c r="C3297" s="10" t="s">
        <v>1678</v>
      </c>
      <c r="D3297" s="10" t="s">
        <v>1679</v>
      </c>
      <c r="E3297" s="10" t="s">
        <v>1682</v>
      </c>
      <c r="F3297" t="s">
        <v>899</v>
      </c>
      <c r="G3297" s="4">
        <v>1218913</v>
      </c>
      <c r="H3297" s="4"/>
      <c r="I3297" s="4"/>
      <c r="J3297" s="4">
        <f>SUM(G3297:I3297)</f>
        <v>1218913</v>
      </c>
      <c r="K3297" t="s">
        <v>1659</v>
      </c>
      <c r="L3297" t="s">
        <v>1659</v>
      </c>
      <c r="M3297" t="s">
        <v>1508</v>
      </c>
      <c r="N3297" t="s">
        <v>1132</v>
      </c>
      <c r="O3297" t="s">
        <v>1132</v>
      </c>
      <c r="P3297" t="str">
        <f>IFERROR(VLOOKUP(F3297,Sheet1!$A$2:$B$54,2,FALSE),"")</f>
        <v/>
      </c>
    </row>
    <row r="3298" spans="1:16" x14ac:dyDescent="0.2">
      <c r="A3298" s="1">
        <v>2021</v>
      </c>
      <c r="B3298" t="s">
        <v>401</v>
      </c>
      <c r="C3298" s="10" t="s">
        <v>1678</v>
      </c>
      <c r="D3298" s="10" t="s">
        <v>1679</v>
      </c>
      <c r="E3298" s="10" t="s">
        <v>1682</v>
      </c>
      <c r="F3298" t="s">
        <v>899</v>
      </c>
      <c r="G3298" s="4">
        <v>1629515</v>
      </c>
      <c r="H3298" s="4"/>
      <c r="I3298" s="4"/>
      <c r="J3298" s="4">
        <f>SUM(G3298:I3298)</f>
        <v>1629515</v>
      </c>
      <c r="K3298" t="s">
        <v>1659</v>
      </c>
      <c r="L3298" t="s">
        <v>1659</v>
      </c>
      <c r="M3298" t="s">
        <v>899</v>
      </c>
      <c r="N3298" t="s">
        <v>1132</v>
      </c>
      <c r="O3298" t="s">
        <v>1132</v>
      </c>
      <c r="P3298" t="str">
        <f>IFERROR(VLOOKUP(F3298,Sheet1!$A$2:$B$54,2,FALSE),"")</f>
        <v/>
      </c>
    </row>
    <row r="3299" spans="1:16" x14ac:dyDescent="0.2">
      <c r="A3299" s="1">
        <v>2022</v>
      </c>
      <c r="B3299" t="s">
        <v>401</v>
      </c>
      <c r="C3299" s="10" t="s">
        <v>1678</v>
      </c>
      <c r="D3299" s="10" t="s">
        <v>1679</v>
      </c>
      <c r="E3299" s="10" t="s">
        <v>1682</v>
      </c>
      <c r="F3299" t="s">
        <v>899</v>
      </c>
      <c r="G3299" s="4">
        <v>1908235</v>
      </c>
      <c r="H3299" s="4"/>
      <c r="I3299" s="4"/>
      <c r="J3299" s="4">
        <f>SUM(G3299:I3299)</f>
        <v>1908235</v>
      </c>
      <c r="K3299" t="s">
        <v>1659</v>
      </c>
      <c r="L3299" t="s">
        <v>1659</v>
      </c>
      <c r="M3299" t="s">
        <v>899</v>
      </c>
      <c r="N3299" t="s">
        <v>1132</v>
      </c>
      <c r="O3299" t="s">
        <v>1132</v>
      </c>
      <c r="P3299" t="str">
        <f>IFERROR(VLOOKUP(F3299,Sheet1!$A$2:$B$54,2,FALSE),"")</f>
        <v/>
      </c>
    </row>
    <row r="3300" spans="1:16" x14ac:dyDescent="0.2">
      <c r="A3300" s="1">
        <v>2023</v>
      </c>
      <c r="B3300" t="s">
        <v>401</v>
      </c>
      <c r="C3300" s="10" t="s">
        <v>1678</v>
      </c>
      <c r="D3300" s="10" t="s">
        <v>1679</v>
      </c>
      <c r="E3300" s="10" t="s">
        <v>1682</v>
      </c>
      <c r="F3300" t="s">
        <v>899</v>
      </c>
      <c r="G3300" s="4">
        <v>2232824</v>
      </c>
      <c r="H3300" s="4"/>
      <c r="I3300" s="4"/>
      <c r="J3300" s="4">
        <f>SUM(G3300:I3300)</f>
        <v>2232824</v>
      </c>
      <c r="K3300" t="s">
        <v>1659</v>
      </c>
      <c r="L3300" t="s">
        <v>1659</v>
      </c>
      <c r="M3300" t="s">
        <v>899</v>
      </c>
      <c r="N3300" t="s">
        <v>1132</v>
      </c>
      <c r="O3300" t="s">
        <v>1132</v>
      </c>
      <c r="P3300" t="str">
        <f>IFERROR(VLOOKUP(F3300,Sheet1!$A$2:$B$54,2,FALSE),"")</f>
        <v/>
      </c>
    </row>
    <row r="3301" spans="1:16" x14ac:dyDescent="0.2">
      <c r="A3301" s="1">
        <v>2015</v>
      </c>
      <c r="B3301" t="s">
        <v>402</v>
      </c>
      <c r="C3301" s="10" t="s">
        <v>1678</v>
      </c>
      <c r="D3301" s="10" t="s">
        <v>1679</v>
      </c>
      <c r="E3301" s="10" t="s">
        <v>1682</v>
      </c>
      <c r="F3301" t="s">
        <v>900</v>
      </c>
      <c r="G3301" s="4">
        <v>23049</v>
      </c>
      <c r="H3301" s="4">
        <v>306605</v>
      </c>
      <c r="I3301" s="4"/>
      <c r="J3301" s="4">
        <f>SUM(G3301:I3301)</f>
        <v>329654</v>
      </c>
      <c r="K3301" t="s">
        <v>1660</v>
      </c>
      <c r="L3301" t="s">
        <v>1659</v>
      </c>
      <c r="M3301" t="s">
        <v>1509</v>
      </c>
      <c r="N3301" t="s">
        <v>1509</v>
      </c>
      <c r="O3301" t="s">
        <v>1132</v>
      </c>
      <c r="P3301" t="str">
        <f>IFERROR(VLOOKUP(F3301,Sheet1!$A$2:$B$54,2,FALSE),"")</f>
        <v/>
      </c>
    </row>
    <row r="3302" spans="1:16" x14ac:dyDescent="0.2">
      <c r="A3302" s="1">
        <v>2016</v>
      </c>
      <c r="B3302" t="s">
        <v>402</v>
      </c>
      <c r="C3302" s="10" t="s">
        <v>1678</v>
      </c>
      <c r="D3302" s="10" t="s">
        <v>1679</v>
      </c>
      <c r="E3302" s="10" t="s">
        <v>1682</v>
      </c>
      <c r="F3302" t="s">
        <v>900</v>
      </c>
      <c r="G3302" s="4">
        <v>18475</v>
      </c>
      <c r="H3302" s="4">
        <v>302285</v>
      </c>
      <c r="I3302" s="4"/>
      <c r="J3302" s="4">
        <f>SUM(G3302:I3302)</f>
        <v>320760</v>
      </c>
      <c r="K3302" t="s">
        <v>1660</v>
      </c>
      <c r="L3302" t="s">
        <v>1659</v>
      </c>
      <c r="M3302" t="s">
        <v>1509</v>
      </c>
      <c r="N3302" t="s">
        <v>1509</v>
      </c>
      <c r="O3302" t="s">
        <v>1132</v>
      </c>
      <c r="P3302" t="str">
        <f>IFERROR(VLOOKUP(F3302,Sheet1!$A$2:$B$54,2,FALSE),"")</f>
        <v/>
      </c>
    </row>
    <row r="3303" spans="1:16" x14ac:dyDescent="0.2">
      <c r="A3303" s="1">
        <v>2017</v>
      </c>
      <c r="B3303" t="s">
        <v>402</v>
      </c>
      <c r="C3303" s="10" t="s">
        <v>1678</v>
      </c>
      <c r="D3303" s="10" t="s">
        <v>1679</v>
      </c>
      <c r="E3303" s="10" t="s">
        <v>1682</v>
      </c>
      <c r="F3303" t="s">
        <v>900</v>
      </c>
      <c r="G3303" s="4">
        <v>20894</v>
      </c>
      <c r="H3303" s="4">
        <v>299664</v>
      </c>
      <c r="I3303" s="4"/>
      <c r="J3303" s="4">
        <f>SUM(G3303:I3303)</f>
        <v>320558</v>
      </c>
      <c r="K3303" t="s">
        <v>1660</v>
      </c>
      <c r="L3303" t="s">
        <v>1659</v>
      </c>
      <c r="M3303" t="s">
        <v>1509</v>
      </c>
      <c r="N3303" t="s">
        <v>1509</v>
      </c>
      <c r="O3303" t="s">
        <v>1132</v>
      </c>
      <c r="P3303" t="str">
        <f>IFERROR(VLOOKUP(F3303,Sheet1!$A$2:$B$54,2,FALSE),"")</f>
        <v/>
      </c>
    </row>
    <row r="3304" spans="1:16" x14ac:dyDescent="0.2">
      <c r="A3304" s="1">
        <v>2018</v>
      </c>
      <c r="B3304" t="s">
        <v>402</v>
      </c>
      <c r="C3304" s="10" t="s">
        <v>1678</v>
      </c>
      <c r="D3304" s="10" t="s">
        <v>1679</v>
      </c>
      <c r="E3304" s="10" t="s">
        <v>1682</v>
      </c>
      <c r="F3304" t="s">
        <v>900</v>
      </c>
      <c r="G3304" s="4">
        <v>23219</v>
      </c>
      <c r="H3304" s="4">
        <v>296937</v>
      </c>
      <c r="I3304" s="4"/>
      <c r="J3304" s="4">
        <f>SUM(G3304:I3304)</f>
        <v>320156</v>
      </c>
      <c r="K3304" t="s">
        <v>1660</v>
      </c>
      <c r="L3304" t="s">
        <v>1659</v>
      </c>
      <c r="M3304" t="s">
        <v>1509</v>
      </c>
      <c r="N3304" t="s">
        <v>1509</v>
      </c>
      <c r="O3304" t="s">
        <v>1132</v>
      </c>
      <c r="P3304" t="str">
        <f>IFERROR(VLOOKUP(F3304,Sheet1!$A$2:$B$54,2,FALSE),"")</f>
        <v/>
      </c>
    </row>
    <row r="3305" spans="1:16" x14ac:dyDescent="0.2">
      <c r="A3305" s="1">
        <v>2019</v>
      </c>
      <c r="B3305" t="s">
        <v>402</v>
      </c>
      <c r="C3305" s="10" t="s">
        <v>1678</v>
      </c>
      <c r="D3305" s="10" t="s">
        <v>1679</v>
      </c>
      <c r="E3305" s="10" t="s">
        <v>1682</v>
      </c>
      <c r="F3305" t="s">
        <v>900</v>
      </c>
      <c r="G3305" s="4">
        <v>28583</v>
      </c>
      <c r="H3305" s="4">
        <v>314121</v>
      </c>
      <c r="I3305" s="4"/>
      <c r="J3305" s="4">
        <f>SUM(G3305:I3305)</f>
        <v>342704</v>
      </c>
      <c r="K3305" t="s">
        <v>1660</v>
      </c>
      <c r="L3305" t="s">
        <v>1659</v>
      </c>
      <c r="M3305" t="s">
        <v>1509</v>
      </c>
      <c r="N3305" t="s">
        <v>1509</v>
      </c>
      <c r="O3305" t="s">
        <v>1132</v>
      </c>
      <c r="P3305" t="str">
        <f>IFERROR(VLOOKUP(F3305,Sheet1!$A$2:$B$54,2,FALSE),"")</f>
        <v/>
      </c>
    </row>
    <row r="3306" spans="1:16" x14ac:dyDescent="0.2">
      <c r="A3306" s="1">
        <v>2020</v>
      </c>
      <c r="B3306" t="s">
        <v>402</v>
      </c>
      <c r="C3306" s="10" t="s">
        <v>1678</v>
      </c>
      <c r="D3306" s="10" t="s">
        <v>1679</v>
      </c>
      <c r="E3306" s="10" t="s">
        <v>1682</v>
      </c>
      <c r="F3306" t="s">
        <v>900</v>
      </c>
      <c r="G3306" s="4">
        <v>16288</v>
      </c>
      <c r="H3306" s="4">
        <v>343315</v>
      </c>
      <c r="I3306" s="4"/>
      <c r="J3306" s="4">
        <f>SUM(G3306:I3306)</f>
        <v>359603</v>
      </c>
      <c r="K3306" t="s">
        <v>1660</v>
      </c>
      <c r="L3306" t="s">
        <v>1659</v>
      </c>
      <c r="M3306" t="s">
        <v>1509</v>
      </c>
      <c r="N3306" t="s">
        <v>1509</v>
      </c>
      <c r="O3306" t="s">
        <v>1132</v>
      </c>
      <c r="P3306" t="str">
        <f>IFERROR(VLOOKUP(F3306,Sheet1!$A$2:$B$54,2,FALSE),"")</f>
        <v/>
      </c>
    </row>
    <row r="3307" spans="1:16" x14ac:dyDescent="0.2">
      <c r="A3307" s="1">
        <v>2021</v>
      </c>
      <c r="B3307" t="s">
        <v>402</v>
      </c>
      <c r="C3307" s="10" t="s">
        <v>1678</v>
      </c>
      <c r="D3307" s="10" t="s">
        <v>1679</v>
      </c>
      <c r="E3307" s="10" t="s">
        <v>1682</v>
      </c>
      <c r="F3307" t="s">
        <v>900</v>
      </c>
      <c r="G3307" s="4">
        <v>17696</v>
      </c>
      <c r="H3307" s="4">
        <v>378534</v>
      </c>
      <c r="I3307" s="4"/>
      <c r="J3307" s="4">
        <f>SUM(G3307:I3307)</f>
        <v>396230</v>
      </c>
      <c r="K3307" t="s">
        <v>1660</v>
      </c>
      <c r="L3307" t="s">
        <v>1659</v>
      </c>
      <c r="M3307" t="s">
        <v>900</v>
      </c>
      <c r="N3307" t="s">
        <v>900</v>
      </c>
      <c r="O3307" t="s">
        <v>1132</v>
      </c>
      <c r="P3307" t="str">
        <f>IFERROR(VLOOKUP(F3307,Sheet1!$A$2:$B$54,2,FALSE),"")</f>
        <v/>
      </c>
    </row>
    <row r="3308" spans="1:16" x14ac:dyDescent="0.2">
      <c r="A3308" s="1">
        <v>2022</v>
      </c>
      <c r="B3308" t="s">
        <v>402</v>
      </c>
      <c r="C3308" s="10" t="s">
        <v>1678</v>
      </c>
      <c r="D3308" s="10" t="s">
        <v>1679</v>
      </c>
      <c r="E3308" s="10" t="s">
        <v>1682</v>
      </c>
      <c r="F3308" t="s">
        <v>900</v>
      </c>
      <c r="G3308" s="4">
        <v>24346</v>
      </c>
      <c r="H3308" s="4">
        <v>388157</v>
      </c>
      <c r="I3308" s="4"/>
      <c r="J3308" s="4">
        <f>SUM(G3308:I3308)</f>
        <v>412503</v>
      </c>
      <c r="K3308" t="s">
        <v>1660</v>
      </c>
      <c r="L3308" t="s">
        <v>1659</v>
      </c>
      <c r="M3308" t="s">
        <v>900</v>
      </c>
      <c r="N3308" t="s">
        <v>900</v>
      </c>
      <c r="O3308" t="s">
        <v>1132</v>
      </c>
      <c r="P3308" t="str">
        <f>IFERROR(VLOOKUP(F3308,Sheet1!$A$2:$B$54,2,FALSE),"")</f>
        <v/>
      </c>
    </row>
    <row r="3309" spans="1:16" x14ac:dyDescent="0.2">
      <c r="A3309" s="1">
        <v>2023</v>
      </c>
      <c r="B3309" t="s">
        <v>402</v>
      </c>
      <c r="C3309" s="10" t="s">
        <v>1678</v>
      </c>
      <c r="D3309" s="10" t="s">
        <v>1679</v>
      </c>
      <c r="E3309" s="10" t="s">
        <v>1682</v>
      </c>
      <c r="F3309" t="s">
        <v>900</v>
      </c>
      <c r="G3309" s="4">
        <v>27952</v>
      </c>
      <c r="H3309" s="4">
        <v>403812</v>
      </c>
      <c r="I3309" s="4"/>
      <c r="J3309" s="4">
        <f>SUM(G3309:I3309)</f>
        <v>431764</v>
      </c>
      <c r="K3309" t="s">
        <v>1660</v>
      </c>
      <c r="L3309" t="s">
        <v>1659</v>
      </c>
      <c r="M3309" t="s">
        <v>900</v>
      </c>
      <c r="N3309" t="s">
        <v>900</v>
      </c>
      <c r="O3309" t="s">
        <v>1132</v>
      </c>
      <c r="P3309" t="str">
        <f>IFERROR(VLOOKUP(F3309,Sheet1!$A$2:$B$54,2,FALSE),"")</f>
        <v/>
      </c>
    </row>
    <row r="3310" spans="1:16" x14ac:dyDescent="0.2">
      <c r="A3310" s="1">
        <v>2015</v>
      </c>
      <c r="B3310" t="s">
        <v>403</v>
      </c>
      <c r="C3310" s="10" t="s">
        <v>1678</v>
      </c>
      <c r="D3310" s="10" t="s">
        <v>1679</v>
      </c>
      <c r="E3310" s="10" t="s">
        <v>1682</v>
      </c>
      <c r="F3310" t="s">
        <v>901</v>
      </c>
      <c r="G3310" s="4">
        <v>91721</v>
      </c>
      <c r="H3310" s="4">
        <v>989497</v>
      </c>
      <c r="I3310" s="4">
        <v>85429</v>
      </c>
      <c r="J3310" s="4">
        <f>SUM(G3310:I3310)</f>
        <v>1166647</v>
      </c>
      <c r="K3310" t="s">
        <v>1660</v>
      </c>
      <c r="L3310" t="s">
        <v>1660</v>
      </c>
      <c r="M3310" t="s">
        <v>1510</v>
      </c>
      <c r="N3310" t="s">
        <v>1510</v>
      </c>
      <c r="O3310" t="s">
        <v>1510</v>
      </c>
      <c r="P3310" t="str">
        <f>IFERROR(VLOOKUP(F3310,Sheet1!$A$2:$B$54,2,FALSE),"")</f>
        <v/>
      </c>
    </row>
    <row r="3311" spans="1:16" x14ac:dyDescent="0.2">
      <c r="A3311" s="1">
        <v>2016</v>
      </c>
      <c r="B3311" t="s">
        <v>403</v>
      </c>
      <c r="C3311" s="10" t="s">
        <v>1678</v>
      </c>
      <c r="D3311" s="10" t="s">
        <v>1679</v>
      </c>
      <c r="E3311" s="10" t="s">
        <v>1682</v>
      </c>
      <c r="F3311" t="s">
        <v>901</v>
      </c>
      <c r="G3311" s="4">
        <v>117522</v>
      </c>
      <c r="H3311" s="4">
        <v>1034482</v>
      </c>
      <c r="I3311" s="4">
        <v>90155</v>
      </c>
      <c r="J3311" s="4">
        <f>SUM(G3311:I3311)</f>
        <v>1242159</v>
      </c>
      <c r="K3311" t="s">
        <v>1660</v>
      </c>
      <c r="L3311" t="s">
        <v>1660</v>
      </c>
      <c r="M3311" t="s">
        <v>1510</v>
      </c>
      <c r="N3311" t="s">
        <v>1510</v>
      </c>
      <c r="O3311" t="s">
        <v>1510</v>
      </c>
      <c r="P3311" t="str">
        <f>IFERROR(VLOOKUP(F3311,Sheet1!$A$2:$B$54,2,FALSE),"")</f>
        <v/>
      </c>
    </row>
    <row r="3312" spans="1:16" x14ac:dyDescent="0.2">
      <c r="A3312" s="1">
        <v>2017</v>
      </c>
      <c r="B3312" t="s">
        <v>403</v>
      </c>
      <c r="C3312" s="10" t="s">
        <v>1678</v>
      </c>
      <c r="D3312" s="10" t="s">
        <v>1679</v>
      </c>
      <c r="E3312" s="10" t="s">
        <v>1682</v>
      </c>
      <c r="F3312" t="s">
        <v>901</v>
      </c>
      <c r="G3312" s="4">
        <v>143054</v>
      </c>
      <c r="H3312" s="4">
        <v>1051485</v>
      </c>
      <c r="I3312" s="4">
        <v>96925</v>
      </c>
      <c r="J3312" s="4">
        <f>SUM(G3312:I3312)</f>
        <v>1291464</v>
      </c>
      <c r="K3312" t="s">
        <v>1660</v>
      </c>
      <c r="L3312" t="s">
        <v>1660</v>
      </c>
      <c r="M3312" t="s">
        <v>1510</v>
      </c>
      <c r="N3312" t="s">
        <v>1510</v>
      </c>
      <c r="O3312" t="s">
        <v>1510</v>
      </c>
      <c r="P3312" t="str">
        <f>IFERROR(VLOOKUP(F3312,Sheet1!$A$2:$B$54,2,FALSE),"")</f>
        <v/>
      </c>
    </row>
    <row r="3313" spans="1:16" x14ac:dyDescent="0.2">
      <c r="A3313" s="1">
        <v>2018</v>
      </c>
      <c r="B3313" t="s">
        <v>403</v>
      </c>
      <c r="C3313" s="10" t="s">
        <v>1678</v>
      </c>
      <c r="D3313" s="10" t="s">
        <v>1679</v>
      </c>
      <c r="E3313" s="10" t="s">
        <v>1682</v>
      </c>
      <c r="F3313" t="s">
        <v>901</v>
      </c>
      <c r="G3313" s="4">
        <v>173836</v>
      </c>
      <c r="H3313" s="4">
        <v>1121851</v>
      </c>
      <c r="I3313" s="4">
        <v>100007</v>
      </c>
      <c r="J3313" s="4">
        <f>SUM(G3313:I3313)</f>
        <v>1395694</v>
      </c>
      <c r="K3313" t="s">
        <v>1660</v>
      </c>
      <c r="L3313" t="s">
        <v>1660</v>
      </c>
      <c r="M3313" t="s">
        <v>1510</v>
      </c>
      <c r="N3313" t="s">
        <v>1510</v>
      </c>
      <c r="O3313" t="s">
        <v>1510</v>
      </c>
      <c r="P3313" t="str">
        <f>IFERROR(VLOOKUP(F3313,Sheet1!$A$2:$B$54,2,FALSE),"")</f>
        <v/>
      </c>
    </row>
    <row r="3314" spans="1:16" x14ac:dyDescent="0.2">
      <c r="A3314" s="1">
        <v>2019</v>
      </c>
      <c r="B3314" t="s">
        <v>403</v>
      </c>
      <c r="C3314" s="10" t="s">
        <v>1678</v>
      </c>
      <c r="D3314" s="10" t="s">
        <v>1679</v>
      </c>
      <c r="E3314" s="10" t="s">
        <v>1682</v>
      </c>
      <c r="F3314" t="s">
        <v>901</v>
      </c>
      <c r="G3314" s="4">
        <v>210561</v>
      </c>
      <c r="H3314" s="4">
        <v>1129930</v>
      </c>
      <c r="I3314" s="4">
        <v>101209</v>
      </c>
      <c r="J3314" s="4">
        <f>SUM(G3314:I3314)</f>
        <v>1441700</v>
      </c>
      <c r="K3314" t="s">
        <v>1660</v>
      </c>
      <c r="L3314" t="s">
        <v>1660</v>
      </c>
      <c r="M3314" t="s">
        <v>1510</v>
      </c>
      <c r="N3314" t="s">
        <v>1510</v>
      </c>
      <c r="O3314" t="s">
        <v>1510</v>
      </c>
      <c r="P3314" t="str">
        <f>IFERROR(VLOOKUP(F3314,Sheet1!$A$2:$B$54,2,FALSE),"")</f>
        <v/>
      </c>
    </row>
    <row r="3315" spans="1:16" x14ac:dyDescent="0.2">
      <c r="A3315" s="1">
        <v>2020</v>
      </c>
      <c r="B3315" t="s">
        <v>403</v>
      </c>
      <c r="C3315" s="10" t="s">
        <v>1678</v>
      </c>
      <c r="D3315" s="10" t="s">
        <v>1679</v>
      </c>
      <c r="E3315" s="10" t="s">
        <v>1682</v>
      </c>
      <c r="F3315" t="s">
        <v>901</v>
      </c>
      <c r="G3315" s="4">
        <v>246301</v>
      </c>
      <c r="H3315" s="4">
        <v>1197486</v>
      </c>
      <c r="I3315" s="4">
        <v>108722</v>
      </c>
      <c r="J3315" s="4">
        <f>SUM(G3315:I3315)</f>
        <v>1552509</v>
      </c>
      <c r="K3315" t="s">
        <v>1660</v>
      </c>
      <c r="L3315" t="s">
        <v>1660</v>
      </c>
      <c r="M3315" t="s">
        <v>1510</v>
      </c>
      <c r="N3315" t="s">
        <v>1510</v>
      </c>
      <c r="O3315" t="s">
        <v>1510</v>
      </c>
      <c r="P3315" t="str">
        <f>IFERROR(VLOOKUP(F3315,Sheet1!$A$2:$B$54,2,FALSE),"")</f>
        <v/>
      </c>
    </row>
    <row r="3316" spans="1:16" x14ac:dyDescent="0.2">
      <c r="A3316" s="1">
        <v>2021</v>
      </c>
      <c r="B3316" t="s">
        <v>403</v>
      </c>
      <c r="C3316" s="10" t="s">
        <v>1678</v>
      </c>
      <c r="D3316" s="10" t="s">
        <v>1679</v>
      </c>
      <c r="E3316" s="10" t="s">
        <v>1682</v>
      </c>
      <c r="F3316" t="s">
        <v>901</v>
      </c>
      <c r="G3316" s="4">
        <v>263574</v>
      </c>
      <c r="H3316" s="4">
        <v>1255396</v>
      </c>
      <c r="I3316" s="4">
        <v>80286</v>
      </c>
      <c r="J3316" s="4">
        <f>SUM(G3316:I3316)</f>
        <v>1599256</v>
      </c>
      <c r="K3316" t="s">
        <v>1660</v>
      </c>
      <c r="L3316" t="s">
        <v>1660</v>
      </c>
      <c r="M3316" t="s">
        <v>901</v>
      </c>
      <c r="N3316" t="s">
        <v>901</v>
      </c>
      <c r="O3316" t="s">
        <v>901</v>
      </c>
      <c r="P3316" t="str">
        <f>IFERROR(VLOOKUP(F3316,Sheet1!$A$2:$B$54,2,FALSE),"")</f>
        <v/>
      </c>
    </row>
    <row r="3317" spans="1:16" x14ac:dyDescent="0.2">
      <c r="A3317" s="1">
        <v>2022</v>
      </c>
      <c r="B3317" t="s">
        <v>403</v>
      </c>
      <c r="C3317" s="10" t="s">
        <v>1678</v>
      </c>
      <c r="D3317" s="10" t="s">
        <v>1679</v>
      </c>
      <c r="E3317" s="10" t="s">
        <v>1682</v>
      </c>
      <c r="F3317" t="s">
        <v>901</v>
      </c>
      <c r="G3317" s="4">
        <v>341653</v>
      </c>
      <c r="H3317" s="4">
        <v>1296023</v>
      </c>
      <c r="I3317" s="4">
        <v>56665</v>
      </c>
      <c r="J3317" s="4">
        <f>SUM(G3317:I3317)</f>
        <v>1694341</v>
      </c>
      <c r="K3317" t="s">
        <v>1660</v>
      </c>
      <c r="L3317" t="s">
        <v>1660</v>
      </c>
      <c r="M3317" t="s">
        <v>901</v>
      </c>
      <c r="N3317" t="s">
        <v>901</v>
      </c>
      <c r="O3317" t="s">
        <v>901</v>
      </c>
      <c r="P3317" t="str">
        <f>IFERROR(VLOOKUP(F3317,Sheet1!$A$2:$B$54,2,FALSE),"")</f>
        <v/>
      </c>
    </row>
    <row r="3318" spans="1:16" x14ac:dyDescent="0.2">
      <c r="A3318" s="1">
        <v>2023</v>
      </c>
      <c r="B3318" t="s">
        <v>403</v>
      </c>
      <c r="C3318" s="10" t="s">
        <v>1678</v>
      </c>
      <c r="D3318" s="10" t="s">
        <v>1679</v>
      </c>
      <c r="E3318" s="10" t="s">
        <v>1682</v>
      </c>
      <c r="F3318" t="s">
        <v>901</v>
      </c>
      <c r="G3318" s="4">
        <v>363691</v>
      </c>
      <c r="H3318" s="4">
        <v>1339665</v>
      </c>
      <c r="I3318" s="4">
        <v>62061</v>
      </c>
      <c r="J3318" s="4">
        <f>SUM(G3318:I3318)</f>
        <v>1765417</v>
      </c>
      <c r="K3318" t="s">
        <v>1660</v>
      </c>
      <c r="L3318" t="s">
        <v>1660</v>
      </c>
      <c r="M3318" t="s">
        <v>901</v>
      </c>
      <c r="N3318" t="s">
        <v>901</v>
      </c>
      <c r="O3318" t="s">
        <v>901</v>
      </c>
      <c r="P3318" t="str">
        <f>IFERROR(VLOOKUP(F3318,Sheet1!$A$2:$B$54,2,FALSE),"")</f>
        <v/>
      </c>
    </row>
    <row r="3319" spans="1:16" x14ac:dyDescent="0.2">
      <c r="A3319" s="1">
        <v>2015</v>
      </c>
      <c r="B3319" t="s">
        <v>404</v>
      </c>
      <c r="C3319" s="10" t="s">
        <v>1678</v>
      </c>
      <c r="D3319" s="10" t="s">
        <v>1679</v>
      </c>
      <c r="E3319" s="10" t="s">
        <v>1682</v>
      </c>
      <c r="F3319" t="s">
        <v>902</v>
      </c>
      <c r="G3319" s="4">
        <v>1241</v>
      </c>
      <c r="H3319" s="4"/>
      <c r="I3319" s="4"/>
      <c r="J3319" s="4">
        <f>SUM(G3319:I3319)</f>
        <v>1241</v>
      </c>
      <c r="K3319" t="s">
        <v>1659</v>
      </c>
      <c r="L3319" t="s">
        <v>1659</v>
      </c>
      <c r="M3319" t="s">
        <v>1511</v>
      </c>
      <c r="N3319" t="s">
        <v>1132</v>
      </c>
      <c r="O3319" t="s">
        <v>1132</v>
      </c>
      <c r="P3319" t="str">
        <f>IFERROR(VLOOKUP(F3319,Sheet1!$A$2:$B$54,2,FALSE),"")</f>
        <v/>
      </c>
    </row>
    <row r="3320" spans="1:16" x14ac:dyDescent="0.2">
      <c r="A3320" s="1">
        <v>2016</v>
      </c>
      <c r="B3320" t="s">
        <v>404</v>
      </c>
      <c r="C3320" s="10" t="s">
        <v>1678</v>
      </c>
      <c r="D3320" s="10" t="s">
        <v>1679</v>
      </c>
      <c r="E3320" s="10" t="s">
        <v>1682</v>
      </c>
      <c r="F3320" t="s">
        <v>902</v>
      </c>
      <c r="G3320" s="4">
        <v>1515</v>
      </c>
      <c r="H3320" s="4"/>
      <c r="I3320" s="4"/>
      <c r="J3320" s="4">
        <f>SUM(G3320:I3320)</f>
        <v>1515</v>
      </c>
      <c r="K3320" t="s">
        <v>1659</v>
      </c>
      <c r="L3320" t="s">
        <v>1659</v>
      </c>
      <c r="M3320" t="s">
        <v>1511</v>
      </c>
      <c r="N3320" t="s">
        <v>1132</v>
      </c>
      <c r="O3320" t="s">
        <v>1132</v>
      </c>
      <c r="P3320" t="str">
        <f>IFERROR(VLOOKUP(F3320,Sheet1!$A$2:$B$54,2,FALSE),"")</f>
        <v/>
      </c>
    </row>
    <row r="3321" spans="1:16" x14ac:dyDescent="0.2">
      <c r="A3321" s="1">
        <v>2017</v>
      </c>
      <c r="B3321" t="s">
        <v>404</v>
      </c>
      <c r="C3321" s="10" t="s">
        <v>1678</v>
      </c>
      <c r="D3321" s="10" t="s">
        <v>1679</v>
      </c>
      <c r="E3321" s="10" t="s">
        <v>1682</v>
      </c>
      <c r="F3321" t="s">
        <v>902</v>
      </c>
      <c r="G3321" s="4">
        <v>2855</v>
      </c>
      <c r="H3321" s="4"/>
      <c r="I3321" s="4"/>
      <c r="J3321" s="4">
        <f>SUM(G3321:I3321)</f>
        <v>2855</v>
      </c>
      <c r="K3321" t="s">
        <v>1659</v>
      </c>
      <c r="L3321" t="s">
        <v>1659</v>
      </c>
      <c r="M3321" t="s">
        <v>1511</v>
      </c>
      <c r="N3321" t="s">
        <v>1132</v>
      </c>
      <c r="O3321" t="s">
        <v>1132</v>
      </c>
      <c r="P3321" t="str">
        <f>IFERROR(VLOOKUP(F3321,Sheet1!$A$2:$B$54,2,FALSE),"")</f>
        <v/>
      </c>
    </row>
    <row r="3322" spans="1:16" x14ac:dyDescent="0.2">
      <c r="A3322" s="1">
        <v>2018</v>
      </c>
      <c r="B3322" t="s">
        <v>404</v>
      </c>
      <c r="C3322" s="10" t="s">
        <v>1678</v>
      </c>
      <c r="D3322" s="10" t="s">
        <v>1679</v>
      </c>
      <c r="E3322" s="10" t="s">
        <v>1682</v>
      </c>
      <c r="F3322" t="s">
        <v>902</v>
      </c>
      <c r="G3322" s="4">
        <v>0</v>
      </c>
      <c r="H3322" s="4"/>
      <c r="I3322" s="4"/>
      <c r="J3322" s="4">
        <f>SUM(G3322:I3322)</f>
        <v>0</v>
      </c>
      <c r="K3322" t="s">
        <v>1659</v>
      </c>
      <c r="L3322" t="s">
        <v>1659</v>
      </c>
      <c r="M3322" t="s">
        <v>1511</v>
      </c>
      <c r="N3322" t="s">
        <v>1132</v>
      </c>
      <c r="O3322" t="s">
        <v>1132</v>
      </c>
      <c r="P3322" t="str">
        <f>IFERROR(VLOOKUP(F3322,Sheet1!$A$2:$B$54,2,FALSE),"")</f>
        <v/>
      </c>
    </row>
    <row r="3323" spans="1:16" x14ac:dyDescent="0.2">
      <c r="A3323" s="1">
        <v>2019</v>
      </c>
      <c r="B3323" t="s">
        <v>404</v>
      </c>
      <c r="C3323" s="10" t="s">
        <v>1678</v>
      </c>
      <c r="D3323" s="10" t="s">
        <v>1679</v>
      </c>
      <c r="E3323" s="10" t="s">
        <v>1682</v>
      </c>
      <c r="F3323" t="s">
        <v>902</v>
      </c>
      <c r="G3323" s="4">
        <v>0</v>
      </c>
      <c r="H3323" s="4"/>
      <c r="I3323" s="4"/>
      <c r="J3323" s="4">
        <f>SUM(G3323:I3323)</f>
        <v>0</v>
      </c>
      <c r="K3323" t="s">
        <v>1659</v>
      </c>
      <c r="L3323" t="s">
        <v>1659</v>
      </c>
      <c r="M3323" t="s">
        <v>1511</v>
      </c>
      <c r="N3323" t="s">
        <v>1132</v>
      </c>
      <c r="O3323" t="s">
        <v>1132</v>
      </c>
      <c r="P3323" t="str">
        <f>IFERROR(VLOOKUP(F3323,Sheet1!$A$2:$B$54,2,FALSE),"")</f>
        <v/>
      </c>
    </row>
    <row r="3324" spans="1:16" x14ac:dyDescent="0.2">
      <c r="A3324" s="1">
        <v>2020</v>
      </c>
      <c r="B3324" t="s">
        <v>404</v>
      </c>
      <c r="C3324" s="10" t="s">
        <v>1678</v>
      </c>
      <c r="D3324" s="10" t="s">
        <v>1679</v>
      </c>
      <c r="E3324" s="10" t="s">
        <v>1682</v>
      </c>
      <c r="F3324" t="s">
        <v>902</v>
      </c>
      <c r="G3324" s="4">
        <v>0</v>
      </c>
      <c r="H3324" s="4"/>
      <c r="I3324" s="4"/>
      <c r="J3324" s="4">
        <f>SUM(G3324:I3324)</f>
        <v>0</v>
      </c>
      <c r="K3324" t="s">
        <v>1659</v>
      </c>
      <c r="L3324" t="s">
        <v>1659</v>
      </c>
      <c r="M3324" t="s">
        <v>1511</v>
      </c>
      <c r="N3324" t="s">
        <v>1132</v>
      </c>
      <c r="O3324" t="s">
        <v>1132</v>
      </c>
      <c r="P3324" t="str">
        <f>IFERROR(VLOOKUP(F3324,Sheet1!$A$2:$B$54,2,FALSE),"")</f>
        <v/>
      </c>
    </row>
    <row r="3325" spans="1:16" x14ac:dyDescent="0.2">
      <c r="A3325" s="1">
        <v>2021</v>
      </c>
      <c r="B3325" t="s">
        <v>404</v>
      </c>
      <c r="C3325" s="10" t="s">
        <v>1678</v>
      </c>
      <c r="D3325" s="10" t="s">
        <v>1679</v>
      </c>
      <c r="E3325" s="10" t="s">
        <v>1682</v>
      </c>
      <c r="F3325" t="s">
        <v>902</v>
      </c>
      <c r="G3325" s="4">
        <v>0</v>
      </c>
      <c r="H3325" s="4"/>
      <c r="I3325" s="4"/>
      <c r="J3325" s="4">
        <f>SUM(G3325:I3325)</f>
        <v>0</v>
      </c>
      <c r="K3325" t="s">
        <v>1659</v>
      </c>
      <c r="L3325" t="s">
        <v>1659</v>
      </c>
      <c r="M3325" t="s">
        <v>1512</v>
      </c>
      <c r="N3325" t="s">
        <v>1132</v>
      </c>
      <c r="O3325" t="s">
        <v>1132</v>
      </c>
      <c r="P3325" t="str">
        <f>IFERROR(VLOOKUP(F3325,Sheet1!$A$2:$B$54,2,FALSE),"")</f>
        <v/>
      </c>
    </row>
    <row r="3326" spans="1:16" x14ac:dyDescent="0.2">
      <c r="A3326" s="1">
        <v>2022</v>
      </c>
      <c r="B3326" t="s">
        <v>404</v>
      </c>
      <c r="C3326" s="10" t="s">
        <v>1678</v>
      </c>
      <c r="D3326" s="10" t="s">
        <v>1679</v>
      </c>
      <c r="E3326" s="10" t="s">
        <v>1682</v>
      </c>
      <c r="F3326" t="s">
        <v>902</v>
      </c>
      <c r="G3326" s="4">
        <v>914</v>
      </c>
      <c r="H3326" s="4"/>
      <c r="I3326" s="4"/>
      <c r="J3326" s="4">
        <f>SUM(G3326:I3326)</f>
        <v>914</v>
      </c>
      <c r="K3326" t="s">
        <v>1659</v>
      </c>
      <c r="L3326" t="s">
        <v>1659</v>
      </c>
      <c r="M3326" t="s">
        <v>1512</v>
      </c>
      <c r="N3326" t="s">
        <v>1132</v>
      </c>
      <c r="O3326" t="s">
        <v>1132</v>
      </c>
      <c r="P3326" t="str">
        <f>IFERROR(VLOOKUP(F3326,Sheet1!$A$2:$B$54,2,FALSE),"")</f>
        <v/>
      </c>
    </row>
    <row r="3327" spans="1:16" x14ac:dyDescent="0.2">
      <c r="A3327" s="1">
        <v>2023</v>
      </c>
      <c r="B3327" t="s">
        <v>404</v>
      </c>
      <c r="C3327" s="10" t="s">
        <v>1678</v>
      </c>
      <c r="D3327" s="10" t="s">
        <v>1679</v>
      </c>
      <c r="E3327" s="10" t="s">
        <v>1682</v>
      </c>
      <c r="F3327" t="s">
        <v>902</v>
      </c>
      <c r="G3327" s="4">
        <v>15440</v>
      </c>
      <c r="H3327" s="4"/>
      <c r="I3327" s="4"/>
      <c r="J3327" s="4">
        <f>SUM(G3327:I3327)</f>
        <v>15440</v>
      </c>
      <c r="K3327" t="s">
        <v>1659</v>
      </c>
      <c r="L3327" t="s">
        <v>1659</v>
      </c>
      <c r="M3327" t="s">
        <v>902</v>
      </c>
      <c r="N3327" t="s">
        <v>1132</v>
      </c>
      <c r="O3327" t="s">
        <v>1132</v>
      </c>
      <c r="P3327" t="str">
        <f>IFERROR(VLOOKUP(F3327,Sheet1!$A$2:$B$54,2,FALSE),"")</f>
        <v/>
      </c>
    </row>
    <row r="3328" spans="1:16" x14ac:dyDescent="0.2">
      <c r="A3328" s="1">
        <v>2015</v>
      </c>
      <c r="B3328" t="s">
        <v>405</v>
      </c>
      <c r="C3328" s="10" t="s">
        <v>1678</v>
      </c>
      <c r="D3328" s="10" t="s">
        <v>1679</v>
      </c>
      <c r="E3328" s="10" t="s">
        <v>1682</v>
      </c>
      <c r="F3328" t="s">
        <v>903</v>
      </c>
      <c r="G3328" s="4">
        <v>1370</v>
      </c>
      <c r="H3328" s="4"/>
      <c r="I3328" s="4"/>
      <c r="J3328" s="4">
        <f>SUM(G3328:I3328)</f>
        <v>1370</v>
      </c>
      <c r="K3328" t="s">
        <v>1659</v>
      </c>
      <c r="L3328" t="s">
        <v>1659</v>
      </c>
      <c r="M3328" t="s">
        <v>1513</v>
      </c>
      <c r="N3328" t="s">
        <v>1132</v>
      </c>
      <c r="O3328" t="s">
        <v>1132</v>
      </c>
      <c r="P3328" t="str">
        <f>IFERROR(VLOOKUP(F3328,Sheet1!$A$2:$B$54,2,FALSE),"")</f>
        <v/>
      </c>
    </row>
    <row r="3329" spans="1:16" x14ac:dyDescent="0.2">
      <c r="A3329" s="1">
        <v>2016</v>
      </c>
      <c r="B3329" t="s">
        <v>405</v>
      </c>
      <c r="C3329" s="10" t="s">
        <v>1678</v>
      </c>
      <c r="D3329" s="10" t="s">
        <v>1679</v>
      </c>
      <c r="E3329" s="10" t="s">
        <v>1682</v>
      </c>
      <c r="F3329" t="s">
        <v>903</v>
      </c>
      <c r="G3329" s="4">
        <v>4987</v>
      </c>
      <c r="H3329" s="4"/>
      <c r="I3329" s="4"/>
      <c r="J3329" s="4">
        <f>SUM(G3329:I3329)</f>
        <v>4987</v>
      </c>
      <c r="K3329" t="s">
        <v>1659</v>
      </c>
      <c r="L3329" t="s">
        <v>1659</v>
      </c>
      <c r="M3329" t="s">
        <v>1513</v>
      </c>
      <c r="N3329" t="s">
        <v>1132</v>
      </c>
      <c r="O3329" t="s">
        <v>1132</v>
      </c>
      <c r="P3329" t="str">
        <f>IFERROR(VLOOKUP(F3329,Sheet1!$A$2:$B$54,2,FALSE),"")</f>
        <v/>
      </c>
    </row>
    <row r="3330" spans="1:16" x14ac:dyDescent="0.2">
      <c r="A3330" s="1">
        <v>2017</v>
      </c>
      <c r="B3330" t="s">
        <v>405</v>
      </c>
      <c r="C3330" s="10" t="s">
        <v>1678</v>
      </c>
      <c r="D3330" s="10" t="s">
        <v>1679</v>
      </c>
      <c r="E3330" s="10" t="s">
        <v>1682</v>
      </c>
      <c r="F3330" t="s">
        <v>903</v>
      </c>
      <c r="G3330" s="4">
        <v>3761</v>
      </c>
      <c r="H3330" s="4"/>
      <c r="I3330" s="4"/>
      <c r="J3330" s="4">
        <f>SUM(G3330:I3330)</f>
        <v>3761</v>
      </c>
      <c r="K3330" t="s">
        <v>1659</v>
      </c>
      <c r="L3330" t="s">
        <v>1659</v>
      </c>
      <c r="M3330" t="s">
        <v>1513</v>
      </c>
      <c r="N3330" t="s">
        <v>1132</v>
      </c>
      <c r="O3330" t="s">
        <v>1132</v>
      </c>
      <c r="P3330" t="str">
        <f>IFERROR(VLOOKUP(F3330,Sheet1!$A$2:$B$54,2,FALSE),"")</f>
        <v/>
      </c>
    </row>
    <row r="3331" spans="1:16" x14ac:dyDescent="0.2">
      <c r="A3331" s="1">
        <v>2018</v>
      </c>
      <c r="B3331" t="s">
        <v>405</v>
      </c>
      <c r="C3331" s="10" t="s">
        <v>1678</v>
      </c>
      <c r="D3331" s="10" t="s">
        <v>1679</v>
      </c>
      <c r="E3331" s="10" t="s">
        <v>1682</v>
      </c>
      <c r="F3331" t="s">
        <v>903</v>
      </c>
      <c r="G3331" s="4">
        <v>4497</v>
      </c>
      <c r="H3331" s="4"/>
      <c r="I3331" s="4"/>
      <c r="J3331" s="4">
        <f>SUM(G3331:I3331)</f>
        <v>4497</v>
      </c>
      <c r="K3331" t="s">
        <v>1659</v>
      </c>
      <c r="L3331" t="s">
        <v>1659</v>
      </c>
      <c r="M3331" t="s">
        <v>1513</v>
      </c>
      <c r="N3331" t="s">
        <v>1132</v>
      </c>
      <c r="O3331" t="s">
        <v>1132</v>
      </c>
      <c r="P3331" t="str">
        <f>IFERROR(VLOOKUP(F3331,Sheet1!$A$2:$B$54,2,FALSE),"")</f>
        <v/>
      </c>
    </row>
    <row r="3332" spans="1:16" x14ac:dyDescent="0.2">
      <c r="A3332" s="1">
        <v>2019</v>
      </c>
      <c r="B3332" t="s">
        <v>405</v>
      </c>
      <c r="C3332" s="10" t="s">
        <v>1678</v>
      </c>
      <c r="D3332" s="10" t="s">
        <v>1679</v>
      </c>
      <c r="E3332" s="10" t="s">
        <v>1682</v>
      </c>
      <c r="F3332" t="s">
        <v>903</v>
      </c>
      <c r="G3332" s="4">
        <v>5212</v>
      </c>
      <c r="H3332" s="4"/>
      <c r="I3332" s="4"/>
      <c r="J3332" s="4">
        <f>SUM(G3332:I3332)</f>
        <v>5212</v>
      </c>
      <c r="K3332" t="s">
        <v>1659</v>
      </c>
      <c r="L3332" t="s">
        <v>1659</v>
      </c>
      <c r="M3332" t="s">
        <v>1513</v>
      </c>
      <c r="N3332" t="s">
        <v>1132</v>
      </c>
      <c r="O3332" t="s">
        <v>1132</v>
      </c>
      <c r="P3332" t="str">
        <f>IFERROR(VLOOKUP(F3332,Sheet1!$A$2:$B$54,2,FALSE),"")</f>
        <v/>
      </c>
    </row>
    <row r="3333" spans="1:16" x14ac:dyDescent="0.2">
      <c r="A3333" s="1">
        <v>2020</v>
      </c>
      <c r="B3333" t="s">
        <v>405</v>
      </c>
      <c r="C3333" s="10" t="s">
        <v>1678</v>
      </c>
      <c r="D3333" s="10" t="s">
        <v>1679</v>
      </c>
      <c r="E3333" s="10" t="s">
        <v>1682</v>
      </c>
      <c r="F3333" t="s">
        <v>903</v>
      </c>
      <c r="G3333" s="4">
        <v>9038</v>
      </c>
      <c r="H3333" s="4"/>
      <c r="I3333" s="4"/>
      <c r="J3333" s="4">
        <f>SUM(G3333:I3333)</f>
        <v>9038</v>
      </c>
      <c r="K3333" t="s">
        <v>1659</v>
      </c>
      <c r="L3333" t="s">
        <v>1659</v>
      </c>
      <c r="M3333" t="s">
        <v>1513</v>
      </c>
      <c r="N3333" t="s">
        <v>1132</v>
      </c>
      <c r="O3333" t="s">
        <v>1132</v>
      </c>
      <c r="P3333" t="str">
        <f>IFERROR(VLOOKUP(F3333,Sheet1!$A$2:$B$54,2,FALSE),"")</f>
        <v/>
      </c>
    </row>
    <row r="3334" spans="1:16" x14ac:dyDescent="0.2">
      <c r="A3334" s="1">
        <v>2021</v>
      </c>
      <c r="B3334" t="s">
        <v>405</v>
      </c>
      <c r="C3334" s="10" t="s">
        <v>1678</v>
      </c>
      <c r="D3334" s="10" t="s">
        <v>1679</v>
      </c>
      <c r="E3334" s="10" t="s">
        <v>1682</v>
      </c>
      <c r="F3334" t="s">
        <v>903</v>
      </c>
      <c r="G3334" s="4">
        <v>7680</v>
      </c>
      <c r="H3334" s="4"/>
      <c r="I3334" s="4"/>
      <c r="J3334" s="4">
        <f>SUM(G3334:I3334)</f>
        <v>7680</v>
      </c>
      <c r="K3334" t="s">
        <v>1659</v>
      </c>
      <c r="L3334" t="s">
        <v>1659</v>
      </c>
      <c r="M3334" t="s">
        <v>903</v>
      </c>
      <c r="N3334" t="s">
        <v>1132</v>
      </c>
      <c r="O3334" t="s">
        <v>1132</v>
      </c>
      <c r="P3334" t="str">
        <f>IFERROR(VLOOKUP(F3334,Sheet1!$A$2:$B$54,2,FALSE),"")</f>
        <v/>
      </c>
    </row>
    <row r="3335" spans="1:16" x14ac:dyDescent="0.2">
      <c r="A3335" s="1">
        <v>2022</v>
      </c>
      <c r="B3335" t="s">
        <v>405</v>
      </c>
      <c r="C3335" s="10" t="s">
        <v>1678</v>
      </c>
      <c r="D3335" s="10" t="s">
        <v>1679</v>
      </c>
      <c r="E3335" s="10" t="s">
        <v>1682</v>
      </c>
      <c r="F3335" t="s">
        <v>903</v>
      </c>
      <c r="G3335" s="4">
        <v>12577</v>
      </c>
      <c r="H3335" s="4"/>
      <c r="I3335" s="4"/>
      <c r="J3335" s="4">
        <f>SUM(G3335:I3335)</f>
        <v>12577</v>
      </c>
      <c r="K3335" t="s">
        <v>1659</v>
      </c>
      <c r="L3335" t="s">
        <v>1659</v>
      </c>
      <c r="M3335" t="s">
        <v>903</v>
      </c>
      <c r="N3335" t="s">
        <v>1132</v>
      </c>
      <c r="O3335" t="s">
        <v>1132</v>
      </c>
      <c r="P3335" t="str">
        <f>IFERROR(VLOOKUP(F3335,Sheet1!$A$2:$B$54,2,FALSE),"")</f>
        <v/>
      </c>
    </row>
    <row r="3336" spans="1:16" x14ac:dyDescent="0.2">
      <c r="A3336" s="1">
        <v>2023</v>
      </c>
      <c r="B3336" t="s">
        <v>405</v>
      </c>
      <c r="C3336" s="10" t="s">
        <v>1678</v>
      </c>
      <c r="D3336" s="10" t="s">
        <v>1679</v>
      </c>
      <c r="E3336" s="10" t="s">
        <v>1682</v>
      </c>
      <c r="F3336" t="s">
        <v>903</v>
      </c>
      <c r="G3336" s="4">
        <v>10647</v>
      </c>
      <c r="H3336" s="4"/>
      <c r="I3336" s="4"/>
      <c r="J3336" s="4">
        <f>SUM(G3336:I3336)</f>
        <v>10647</v>
      </c>
      <c r="K3336" t="s">
        <v>1659</v>
      </c>
      <c r="L3336" t="s">
        <v>1659</v>
      </c>
      <c r="M3336" t="s">
        <v>903</v>
      </c>
      <c r="N3336" t="s">
        <v>1132</v>
      </c>
      <c r="O3336" t="s">
        <v>1132</v>
      </c>
      <c r="P3336" t="str">
        <f>IFERROR(VLOOKUP(F3336,Sheet1!$A$2:$B$54,2,FALSE),"")</f>
        <v/>
      </c>
    </row>
    <row r="3337" spans="1:16" x14ac:dyDescent="0.2">
      <c r="A3337" s="1">
        <v>2015</v>
      </c>
      <c r="B3337" t="s">
        <v>406</v>
      </c>
      <c r="C3337" s="10" t="s">
        <v>1678</v>
      </c>
      <c r="D3337" s="10" t="s">
        <v>1679</v>
      </c>
      <c r="E3337" s="10" t="s">
        <v>1682</v>
      </c>
      <c r="F3337" t="s">
        <v>904</v>
      </c>
      <c r="G3337" s="4">
        <v>16495</v>
      </c>
      <c r="H3337" s="4"/>
      <c r="I3337" s="4"/>
      <c r="J3337" s="4">
        <f>SUM(G3337:I3337)</f>
        <v>16495</v>
      </c>
      <c r="K3337" t="s">
        <v>1659</v>
      </c>
      <c r="L3337" t="s">
        <v>1659</v>
      </c>
      <c r="M3337" t="s">
        <v>1514</v>
      </c>
      <c r="N3337" t="s">
        <v>1132</v>
      </c>
      <c r="O3337" t="s">
        <v>1132</v>
      </c>
      <c r="P3337" t="str">
        <f>IFERROR(VLOOKUP(F3337,Sheet1!$A$2:$B$54,2,FALSE),"")</f>
        <v/>
      </c>
    </row>
    <row r="3338" spans="1:16" x14ac:dyDescent="0.2">
      <c r="A3338" s="1">
        <v>2016</v>
      </c>
      <c r="B3338" t="s">
        <v>406</v>
      </c>
      <c r="C3338" s="10" t="s">
        <v>1678</v>
      </c>
      <c r="D3338" s="10" t="s">
        <v>1679</v>
      </c>
      <c r="E3338" s="10" t="s">
        <v>1682</v>
      </c>
      <c r="F3338" t="s">
        <v>904</v>
      </c>
      <c r="G3338" s="4">
        <v>24525</v>
      </c>
      <c r="H3338" s="4"/>
      <c r="I3338" s="4"/>
      <c r="J3338" s="4">
        <f>SUM(G3338:I3338)</f>
        <v>24525</v>
      </c>
      <c r="K3338" t="s">
        <v>1659</v>
      </c>
      <c r="L3338" t="s">
        <v>1659</v>
      </c>
      <c r="M3338" t="s">
        <v>1514</v>
      </c>
      <c r="N3338" t="s">
        <v>1132</v>
      </c>
      <c r="O3338" t="s">
        <v>1132</v>
      </c>
      <c r="P3338" t="str">
        <f>IFERROR(VLOOKUP(F3338,Sheet1!$A$2:$B$54,2,FALSE),"")</f>
        <v/>
      </c>
    </row>
    <row r="3339" spans="1:16" x14ac:dyDescent="0.2">
      <c r="A3339" s="1">
        <v>2017</v>
      </c>
      <c r="B3339" t="s">
        <v>406</v>
      </c>
      <c r="C3339" s="10" t="s">
        <v>1678</v>
      </c>
      <c r="D3339" s="10" t="s">
        <v>1679</v>
      </c>
      <c r="E3339" s="10" t="s">
        <v>1682</v>
      </c>
      <c r="F3339" t="s">
        <v>904</v>
      </c>
      <c r="G3339" s="4">
        <v>26299</v>
      </c>
      <c r="H3339" s="4"/>
      <c r="I3339" s="4"/>
      <c r="J3339" s="4">
        <f>SUM(G3339:I3339)</f>
        <v>26299</v>
      </c>
      <c r="K3339" t="s">
        <v>1659</v>
      </c>
      <c r="L3339" t="s">
        <v>1659</v>
      </c>
      <c r="M3339" t="s">
        <v>1514</v>
      </c>
      <c r="N3339" t="s">
        <v>1132</v>
      </c>
      <c r="O3339" t="s">
        <v>1132</v>
      </c>
      <c r="P3339" t="str">
        <f>IFERROR(VLOOKUP(F3339,Sheet1!$A$2:$B$54,2,FALSE),"")</f>
        <v/>
      </c>
    </row>
    <row r="3340" spans="1:16" x14ac:dyDescent="0.2">
      <c r="A3340" s="1">
        <v>2018</v>
      </c>
      <c r="B3340" t="s">
        <v>406</v>
      </c>
      <c r="C3340" s="10" t="s">
        <v>1678</v>
      </c>
      <c r="D3340" s="10" t="s">
        <v>1679</v>
      </c>
      <c r="E3340" s="10" t="s">
        <v>1682</v>
      </c>
      <c r="F3340" t="s">
        <v>904</v>
      </c>
      <c r="G3340" s="4">
        <v>29862</v>
      </c>
      <c r="H3340" s="4"/>
      <c r="I3340" s="4"/>
      <c r="J3340" s="4">
        <f>SUM(G3340:I3340)</f>
        <v>29862</v>
      </c>
      <c r="K3340" t="s">
        <v>1659</v>
      </c>
      <c r="L3340" t="s">
        <v>1659</v>
      </c>
      <c r="M3340" t="s">
        <v>1514</v>
      </c>
      <c r="N3340" t="s">
        <v>1132</v>
      </c>
      <c r="O3340" t="s">
        <v>1132</v>
      </c>
      <c r="P3340" t="str">
        <f>IFERROR(VLOOKUP(F3340,Sheet1!$A$2:$B$54,2,FALSE),"")</f>
        <v/>
      </c>
    </row>
    <row r="3341" spans="1:16" x14ac:dyDescent="0.2">
      <c r="A3341" s="1">
        <v>2019</v>
      </c>
      <c r="B3341" t="s">
        <v>406</v>
      </c>
      <c r="C3341" s="10" t="s">
        <v>1678</v>
      </c>
      <c r="D3341" s="10" t="s">
        <v>1679</v>
      </c>
      <c r="E3341" s="10" t="s">
        <v>1682</v>
      </c>
      <c r="F3341" t="s">
        <v>904</v>
      </c>
      <c r="G3341" s="4">
        <v>42655</v>
      </c>
      <c r="H3341" s="4"/>
      <c r="I3341" s="4"/>
      <c r="J3341" s="4">
        <f>SUM(G3341:I3341)</f>
        <v>42655</v>
      </c>
      <c r="K3341" t="s">
        <v>1659</v>
      </c>
      <c r="L3341" t="s">
        <v>1659</v>
      </c>
      <c r="M3341" t="s">
        <v>1514</v>
      </c>
      <c r="N3341" t="s">
        <v>1132</v>
      </c>
      <c r="O3341" t="s">
        <v>1132</v>
      </c>
      <c r="P3341" t="str">
        <f>IFERROR(VLOOKUP(F3341,Sheet1!$A$2:$B$54,2,FALSE),"")</f>
        <v/>
      </c>
    </row>
    <row r="3342" spans="1:16" x14ac:dyDescent="0.2">
      <c r="A3342" s="1">
        <v>2020</v>
      </c>
      <c r="B3342" t="s">
        <v>406</v>
      </c>
      <c r="C3342" s="10" t="s">
        <v>1678</v>
      </c>
      <c r="D3342" s="10" t="s">
        <v>1679</v>
      </c>
      <c r="E3342" s="10" t="s">
        <v>1682</v>
      </c>
      <c r="F3342" t="s">
        <v>904</v>
      </c>
      <c r="G3342" s="4">
        <v>40264</v>
      </c>
      <c r="H3342" s="4"/>
      <c r="I3342" s="4"/>
      <c r="J3342" s="4">
        <f>SUM(G3342:I3342)</f>
        <v>40264</v>
      </c>
      <c r="K3342" t="s">
        <v>1659</v>
      </c>
      <c r="L3342" t="s">
        <v>1659</v>
      </c>
      <c r="M3342" t="s">
        <v>1514</v>
      </c>
      <c r="N3342" t="s">
        <v>1132</v>
      </c>
      <c r="O3342" t="s">
        <v>1132</v>
      </c>
      <c r="P3342" t="str">
        <f>IFERROR(VLOOKUP(F3342,Sheet1!$A$2:$B$54,2,FALSE),"")</f>
        <v/>
      </c>
    </row>
    <row r="3343" spans="1:16" x14ac:dyDescent="0.2">
      <c r="A3343" s="1">
        <v>2021</v>
      </c>
      <c r="B3343" t="s">
        <v>406</v>
      </c>
      <c r="C3343" s="10" t="s">
        <v>1678</v>
      </c>
      <c r="D3343" s="10" t="s">
        <v>1679</v>
      </c>
      <c r="E3343" s="10" t="s">
        <v>1682</v>
      </c>
      <c r="F3343" t="s">
        <v>904</v>
      </c>
      <c r="G3343" s="4">
        <v>36036</v>
      </c>
      <c r="H3343" s="4"/>
      <c r="I3343" s="4"/>
      <c r="J3343" s="4">
        <f>SUM(G3343:I3343)</f>
        <v>36036</v>
      </c>
      <c r="K3343" t="s">
        <v>1659</v>
      </c>
      <c r="L3343" t="s">
        <v>1659</v>
      </c>
      <c r="M3343" t="s">
        <v>904</v>
      </c>
      <c r="N3343" t="s">
        <v>1132</v>
      </c>
      <c r="O3343" t="s">
        <v>1132</v>
      </c>
      <c r="P3343" t="str">
        <f>IFERROR(VLOOKUP(F3343,Sheet1!$A$2:$B$54,2,FALSE),"")</f>
        <v/>
      </c>
    </row>
    <row r="3344" spans="1:16" x14ac:dyDescent="0.2">
      <c r="A3344" s="1">
        <v>2022</v>
      </c>
      <c r="B3344" t="s">
        <v>406</v>
      </c>
      <c r="C3344" s="10" t="s">
        <v>1678</v>
      </c>
      <c r="D3344" s="10" t="s">
        <v>1679</v>
      </c>
      <c r="E3344" s="10" t="s">
        <v>1682</v>
      </c>
      <c r="F3344" t="s">
        <v>904</v>
      </c>
      <c r="G3344" s="4">
        <v>16179</v>
      </c>
      <c r="H3344" s="4"/>
      <c r="I3344" s="4"/>
      <c r="J3344" s="4">
        <f>SUM(G3344:I3344)</f>
        <v>16179</v>
      </c>
      <c r="K3344" t="s">
        <v>1659</v>
      </c>
      <c r="L3344" t="s">
        <v>1659</v>
      </c>
      <c r="M3344" t="s">
        <v>904</v>
      </c>
      <c r="N3344" t="s">
        <v>1132</v>
      </c>
      <c r="O3344" t="s">
        <v>1132</v>
      </c>
      <c r="P3344" t="str">
        <f>IFERROR(VLOOKUP(F3344,Sheet1!$A$2:$B$54,2,FALSE),"")</f>
        <v/>
      </c>
    </row>
    <row r="3345" spans="1:16" x14ac:dyDescent="0.2">
      <c r="A3345" s="1">
        <v>2023</v>
      </c>
      <c r="B3345" t="s">
        <v>406</v>
      </c>
      <c r="C3345" s="10" t="s">
        <v>1678</v>
      </c>
      <c r="D3345" s="10" t="s">
        <v>1679</v>
      </c>
      <c r="E3345" s="10" t="s">
        <v>1682</v>
      </c>
      <c r="F3345" t="s">
        <v>904</v>
      </c>
      <c r="G3345" s="4">
        <v>13757</v>
      </c>
      <c r="H3345" s="4"/>
      <c r="I3345" s="4"/>
      <c r="J3345" s="4">
        <f>SUM(G3345:I3345)</f>
        <v>13757</v>
      </c>
      <c r="K3345" t="s">
        <v>1659</v>
      </c>
      <c r="L3345" t="s">
        <v>1659</v>
      </c>
      <c r="M3345" t="s">
        <v>904</v>
      </c>
      <c r="N3345" t="s">
        <v>1132</v>
      </c>
      <c r="O3345" t="s">
        <v>1132</v>
      </c>
      <c r="P3345" t="str">
        <f>IFERROR(VLOOKUP(F3345,Sheet1!$A$2:$B$54,2,FALSE),"")</f>
        <v/>
      </c>
    </row>
    <row r="3346" spans="1:16" x14ac:dyDescent="0.2">
      <c r="A3346" s="1">
        <v>2015</v>
      </c>
      <c r="B3346" t="s">
        <v>407</v>
      </c>
      <c r="C3346" s="10" t="s">
        <v>1678</v>
      </c>
      <c r="D3346" s="10" t="s">
        <v>1679</v>
      </c>
      <c r="E3346" s="10" t="s">
        <v>1682</v>
      </c>
      <c r="F3346" t="s">
        <v>905</v>
      </c>
      <c r="G3346" s="4">
        <v>299427</v>
      </c>
      <c r="H3346" s="4">
        <v>4951833</v>
      </c>
      <c r="I3346" s="4"/>
      <c r="J3346" s="4">
        <f>SUM(G3346:I3346)</f>
        <v>5251260</v>
      </c>
      <c r="K3346" t="s">
        <v>1660</v>
      </c>
      <c r="L3346" t="s">
        <v>1659</v>
      </c>
      <c r="M3346" t="s">
        <v>1515</v>
      </c>
      <c r="N3346" t="s">
        <v>1515</v>
      </c>
      <c r="O3346" t="s">
        <v>1132</v>
      </c>
      <c r="P3346" t="str">
        <f>IFERROR(VLOOKUP(F3346,Sheet1!$A$2:$B$54,2,FALSE),"")</f>
        <v/>
      </c>
    </row>
    <row r="3347" spans="1:16" x14ac:dyDescent="0.2">
      <c r="A3347" s="1">
        <v>2016</v>
      </c>
      <c r="B3347" t="s">
        <v>407</v>
      </c>
      <c r="C3347" s="10" t="s">
        <v>1678</v>
      </c>
      <c r="D3347" s="10" t="s">
        <v>1679</v>
      </c>
      <c r="E3347" s="10" t="s">
        <v>1682</v>
      </c>
      <c r="F3347" t="s">
        <v>905</v>
      </c>
      <c r="G3347" s="4">
        <v>389155</v>
      </c>
      <c r="H3347" s="4">
        <v>5352353</v>
      </c>
      <c r="I3347" s="4"/>
      <c r="J3347" s="4">
        <f>SUM(G3347:I3347)</f>
        <v>5741508</v>
      </c>
      <c r="K3347" t="s">
        <v>1660</v>
      </c>
      <c r="L3347" t="s">
        <v>1659</v>
      </c>
      <c r="M3347" t="s">
        <v>1515</v>
      </c>
      <c r="N3347" t="s">
        <v>1515</v>
      </c>
      <c r="O3347" t="s">
        <v>1132</v>
      </c>
      <c r="P3347" t="str">
        <f>IFERROR(VLOOKUP(F3347,Sheet1!$A$2:$B$54,2,FALSE),"")</f>
        <v/>
      </c>
    </row>
    <row r="3348" spans="1:16" x14ac:dyDescent="0.2">
      <c r="A3348" s="1">
        <v>2017</v>
      </c>
      <c r="B3348" t="s">
        <v>407</v>
      </c>
      <c r="C3348" s="10" t="s">
        <v>1678</v>
      </c>
      <c r="D3348" s="10" t="s">
        <v>1679</v>
      </c>
      <c r="E3348" s="10" t="s">
        <v>1682</v>
      </c>
      <c r="F3348" t="s">
        <v>905</v>
      </c>
      <c r="G3348" s="4">
        <v>464630</v>
      </c>
      <c r="H3348" s="4">
        <v>5683883</v>
      </c>
      <c r="I3348" s="4"/>
      <c r="J3348" s="4">
        <f>SUM(G3348:I3348)</f>
        <v>6148513</v>
      </c>
      <c r="K3348" t="s">
        <v>1660</v>
      </c>
      <c r="L3348" t="s">
        <v>1659</v>
      </c>
      <c r="M3348" t="s">
        <v>1515</v>
      </c>
      <c r="N3348" t="s">
        <v>1515</v>
      </c>
      <c r="O3348" t="s">
        <v>1132</v>
      </c>
      <c r="P3348" t="str">
        <f>IFERROR(VLOOKUP(F3348,Sheet1!$A$2:$B$54,2,FALSE),"")</f>
        <v/>
      </c>
    </row>
    <row r="3349" spans="1:16" x14ac:dyDescent="0.2">
      <c r="A3349" s="1">
        <v>2018</v>
      </c>
      <c r="B3349" t="s">
        <v>407</v>
      </c>
      <c r="C3349" s="10" t="s">
        <v>1678</v>
      </c>
      <c r="D3349" s="10" t="s">
        <v>1679</v>
      </c>
      <c r="E3349" s="10" t="s">
        <v>1682</v>
      </c>
      <c r="F3349" t="s">
        <v>905</v>
      </c>
      <c r="G3349" s="4">
        <v>548017</v>
      </c>
      <c r="H3349" s="4">
        <v>5774827</v>
      </c>
      <c r="I3349" s="4"/>
      <c r="J3349" s="4">
        <f>SUM(G3349:I3349)</f>
        <v>6322844</v>
      </c>
      <c r="K3349" t="s">
        <v>1660</v>
      </c>
      <c r="L3349" t="s">
        <v>1659</v>
      </c>
      <c r="M3349" t="s">
        <v>1515</v>
      </c>
      <c r="N3349" t="s">
        <v>1515</v>
      </c>
      <c r="O3349" t="s">
        <v>1132</v>
      </c>
      <c r="P3349" t="str">
        <f>IFERROR(VLOOKUP(F3349,Sheet1!$A$2:$B$54,2,FALSE),"")</f>
        <v/>
      </c>
    </row>
    <row r="3350" spans="1:16" x14ac:dyDescent="0.2">
      <c r="A3350" s="1">
        <v>2019</v>
      </c>
      <c r="B3350" t="s">
        <v>407</v>
      </c>
      <c r="C3350" s="10" t="s">
        <v>1678</v>
      </c>
      <c r="D3350" s="10" t="s">
        <v>1679</v>
      </c>
      <c r="E3350" s="10" t="s">
        <v>1682</v>
      </c>
      <c r="F3350" t="s">
        <v>905</v>
      </c>
      <c r="G3350" s="4">
        <v>680374</v>
      </c>
      <c r="H3350" s="4">
        <v>5880715</v>
      </c>
      <c r="I3350" s="4"/>
      <c r="J3350" s="4">
        <f>SUM(G3350:I3350)</f>
        <v>6561089</v>
      </c>
      <c r="K3350" t="s">
        <v>1660</v>
      </c>
      <c r="L3350" t="s">
        <v>1659</v>
      </c>
      <c r="M3350" t="s">
        <v>1515</v>
      </c>
      <c r="N3350" t="s">
        <v>1515</v>
      </c>
      <c r="O3350" t="s">
        <v>1132</v>
      </c>
      <c r="P3350" t="str">
        <f>IFERROR(VLOOKUP(F3350,Sheet1!$A$2:$B$54,2,FALSE),"")</f>
        <v/>
      </c>
    </row>
    <row r="3351" spans="1:16" x14ac:dyDescent="0.2">
      <c r="A3351" s="1">
        <v>2020</v>
      </c>
      <c r="B3351" t="s">
        <v>407</v>
      </c>
      <c r="C3351" s="10" t="s">
        <v>1678</v>
      </c>
      <c r="D3351" s="10" t="s">
        <v>1679</v>
      </c>
      <c r="E3351" s="10" t="s">
        <v>1682</v>
      </c>
      <c r="F3351" t="s">
        <v>905</v>
      </c>
      <c r="G3351" s="4">
        <v>742368</v>
      </c>
      <c r="H3351" s="4">
        <v>5998031</v>
      </c>
      <c r="I3351" s="4"/>
      <c r="J3351" s="4">
        <f>SUM(G3351:I3351)</f>
        <v>6740399</v>
      </c>
      <c r="K3351" t="s">
        <v>1660</v>
      </c>
      <c r="L3351" t="s">
        <v>1659</v>
      </c>
      <c r="M3351" t="s">
        <v>1515</v>
      </c>
      <c r="N3351" t="s">
        <v>1515</v>
      </c>
      <c r="O3351" t="s">
        <v>1132</v>
      </c>
      <c r="P3351" t="str">
        <f>IFERROR(VLOOKUP(F3351,Sheet1!$A$2:$B$54,2,FALSE),"")</f>
        <v/>
      </c>
    </row>
    <row r="3352" spans="1:16" x14ac:dyDescent="0.2">
      <c r="A3352" s="1">
        <v>2021</v>
      </c>
      <c r="B3352" t="s">
        <v>407</v>
      </c>
      <c r="C3352" s="10" t="s">
        <v>1678</v>
      </c>
      <c r="D3352" s="10" t="s">
        <v>1679</v>
      </c>
      <c r="E3352" s="10" t="s">
        <v>1682</v>
      </c>
      <c r="F3352" t="s">
        <v>905</v>
      </c>
      <c r="G3352" s="4">
        <v>819020</v>
      </c>
      <c r="H3352" s="4">
        <v>6328567</v>
      </c>
      <c r="I3352" s="4"/>
      <c r="J3352" s="4">
        <f>SUM(G3352:I3352)</f>
        <v>7147587</v>
      </c>
      <c r="K3352" t="s">
        <v>1660</v>
      </c>
      <c r="L3352" t="s">
        <v>1659</v>
      </c>
      <c r="M3352" t="s">
        <v>905</v>
      </c>
      <c r="N3352" t="s">
        <v>905</v>
      </c>
      <c r="O3352" t="s">
        <v>1132</v>
      </c>
      <c r="P3352" t="str">
        <f>IFERROR(VLOOKUP(F3352,Sheet1!$A$2:$B$54,2,FALSE),"")</f>
        <v/>
      </c>
    </row>
    <row r="3353" spans="1:16" x14ac:dyDescent="0.2">
      <c r="A3353" s="1">
        <v>2022</v>
      </c>
      <c r="B3353" t="s">
        <v>407</v>
      </c>
      <c r="C3353" s="10" t="s">
        <v>1678</v>
      </c>
      <c r="D3353" s="10" t="s">
        <v>1679</v>
      </c>
      <c r="E3353" s="10" t="s">
        <v>1682</v>
      </c>
      <c r="F3353" t="s">
        <v>905</v>
      </c>
      <c r="G3353" s="4">
        <v>957459</v>
      </c>
      <c r="H3353" s="4">
        <v>6312959</v>
      </c>
      <c r="I3353" s="4"/>
      <c r="J3353" s="4">
        <f>SUM(G3353:I3353)</f>
        <v>7270418</v>
      </c>
      <c r="K3353" t="s">
        <v>1660</v>
      </c>
      <c r="L3353" t="s">
        <v>1659</v>
      </c>
      <c r="M3353" t="s">
        <v>905</v>
      </c>
      <c r="N3353" t="s">
        <v>905</v>
      </c>
      <c r="O3353" t="s">
        <v>1132</v>
      </c>
      <c r="P3353" t="str">
        <f>IFERROR(VLOOKUP(F3353,Sheet1!$A$2:$B$54,2,FALSE),"")</f>
        <v/>
      </c>
    </row>
    <row r="3354" spans="1:16" x14ac:dyDescent="0.2">
      <c r="A3354" s="1">
        <v>2023</v>
      </c>
      <c r="B3354" t="s">
        <v>407</v>
      </c>
      <c r="C3354" s="10" t="s">
        <v>1678</v>
      </c>
      <c r="D3354" s="10" t="s">
        <v>1679</v>
      </c>
      <c r="E3354" s="10" t="s">
        <v>1682</v>
      </c>
      <c r="F3354" t="s">
        <v>905</v>
      </c>
      <c r="G3354" s="4">
        <v>1145608</v>
      </c>
      <c r="H3354" s="4">
        <v>6776228</v>
      </c>
      <c r="I3354" s="4"/>
      <c r="J3354" s="4">
        <f>SUM(G3354:I3354)</f>
        <v>7921836</v>
      </c>
      <c r="K3354" t="s">
        <v>1660</v>
      </c>
      <c r="L3354" t="s">
        <v>1659</v>
      </c>
      <c r="M3354" t="s">
        <v>905</v>
      </c>
      <c r="N3354" t="s">
        <v>905</v>
      </c>
      <c r="O3354" t="s">
        <v>1132</v>
      </c>
      <c r="P3354" t="str">
        <f>IFERROR(VLOOKUP(F3354,Sheet1!$A$2:$B$54,2,FALSE),"")</f>
        <v/>
      </c>
    </row>
    <row r="3355" spans="1:16" x14ac:dyDescent="0.2">
      <c r="A3355" s="1">
        <v>2015</v>
      </c>
      <c r="B3355" t="s">
        <v>408</v>
      </c>
      <c r="C3355" s="10" t="s">
        <v>1678</v>
      </c>
      <c r="D3355" s="10" t="s">
        <v>1679</v>
      </c>
      <c r="E3355" s="10" t="s">
        <v>1682</v>
      </c>
      <c r="F3355" t="s">
        <v>906</v>
      </c>
      <c r="G3355" s="4">
        <v>12779</v>
      </c>
      <c r="H3355" s="4">
        <v>73962</v>
      </c>
      <c r="I3355" s="4"/>
      <c r="J3355" s="4">
        <f>SUM(G3355:I3355)</f>
        <v>86741</v>
      </c>
      <c r="K3355" t="s">
        <v>1660</v>
      </c>
      <c r="L3355" t="s">
        <v>1659</v>
      </c>
      <c r="M3355" t="s">
        <v>1516</v>
      </c>
      <c r="N3355" t="s">
        <v>1516</v>
      </c>
      <c r="O3355" t="s">
        <v>1132</v>
      </c>
      <c r="P3355" t="str">
        <f>IFERROR(VLOOKUP(F3355,Sheet1!$A$2:$B$54,2,FALSE),"")</f>
        <v/>
      </c>
    </row>
    <row r="3356" spans="1:16" x14ac:dyDescent="0.2">
      <c r="A3356" s="1">
        <v>2016</v>
      </c>
      <c r="B3356" t="s">
        <v>408</v>
      </c>
      <c r="C3356" s="10" t="s">
        <v>1678</v>
      </c>
      <c r="D3356" s="10" t="s">
        <v>1679</v>
      </c>
      <c r="E3356" s="10" t="s">
        <v>1682</v>
      </c>
      <c r="F3356" t="s">
        <v>906</v>
      </c>
      <c r="G3356" s="4">
        <v>18216</v>
      </c>
      <c r="H3356" s="4">
        <v>86957</v>
      </c>
      <c r="I3356" s="4"/>
      <c r="J3356" s="4">
        <f>SUM(G3356:I3356)</f>
        <v>105173</v>
      </c>
      <c r="K3356" t="s">
        <v>1660</v>
      </c>
      <c r="L3356" t="s">
        <v>1659</v>
      </c>
      <c r="M3356" t="s">
        <v>1516</v>
      </c>
      <c r="N3356" t="s">
        <v>1516</v>
      </c>
      <c r="O3356" t="s">
        <v>1132</v>
      </c>
      <c r="P3356" t="str">
        <f>IFERROR(VLOOKUP(F3356,Sheet1!$A$2:$B$54,2,FALSE),"")</f>
        <v/>
      </c>
    </row>
    <row r="3357" spans="1:16" x14ac:dyDescent="0.2">
      <c r="A3357" s="1">
        <v>2017</v>
      </c>
      <c r="B3357" t="s">
        <v>408</v>
      </c>
      <c r="C3357" s="10" t="s">
        <v>1678</v>
      </c>
      <c r="D3357" s="10" t="s">
        <v>1679</v>
      </c>
      <c r="E3357" s="10" t="s">
        <v>1682</v>
      </c>
      <c r="F3357" t="s">
        <v>906</v>
      </c>
      <c r="G3357" s="4">
        <v>18291</v>
      </c>
      <c r="H3357" s="4">
        <v>81222</v>
      </c>
      <c r="I3357" s="4"/>
      <c r="J3357" s="4">
        <f>SUM(G3357:I3357)</f>
        <v>99513</v>
      </c>
      <c r="K3357" t="s">
        <v>1660</v>
      </c>
      <c r="L3357" t="s">
        <v>1659</v>
      </c>
      <c r="M3357" t="s">
        <v>1516</v>
      </c>
      <c r="N3357" t="s">
        <v>1516</v>
      </c>
      <c r="O3357" t="s">
        <v>1132</v>
      </c>
      <c r="P3357" t="str">
        <f>IFERROR(VLOOKUP(F3357,Sheet1!$A$2:$B$54,2,FALSE),"")</f>
        <v/>
      </c>
    </row>
    <row r="3358" spans="1:16" x14ac:dyDescent="0.2">
      <c r="A3358" s="1">
        <v>2018</v>
      </c>
      <c r="B3358" t="s">
        <v>408</v>
      </c>
      <c r="C3358" s="10" t="s">
        <v>1678</v>
      </c>
      <c r="D3358" s="10" t="s">
        <v>1679</v>
      </c>
      <c r="E3358" s="10" t="s">
        <v>1682</v>
      </c>
      <c r="F3358" t="s">
        <v>906</v>
      </c>
      <c r="G3358" s="4">
        <v>17058</v>
      </c>
      <c r="H3358" s="4">
        <v>79213</v>
      </c>
      <c r="I3358" s="4"/>
      <c r="J3358" s="4">
        <f>SUM(G3358:I3358)</f>
        <v>96271</v>
      </c>
      <c r="K3358" t="s">
        <v>1660</v>
      </c>
      <c r="L3358" t="s">
        <v>1659</v>
      </c>
      <c r="M3358" t="s">
        <v>1516</v>
      </c>
      <c r="N3358" t="s">
        <v>1516</v>
      </c>
      <c r="O3358" t="s">
        <v>1132</v>
      </c>
      <c r="P3358" t="str">
        <f>IFERROR(VLOOKUP(F3358,Sheet1!$A$2:$B$54,2,FALSE),"")</f>
        <v/>
      </c>
    </row>
    <row r="3359" spans="1:16" x14ac:dyDescent="0.2">
      <c r="A3359" s="1">
        <v>2019</v>
      </c>
      <c r="B3359" t="s">
        <v>408</v>
      </c>
      <c r="C3359" s="10" t="s">
        <v>1678</v>
      </c>
      <c r="D3359" s="10" t="s">
        <v>1679</v>
      </c>
      <c r="E3359" s="10" t="s">
        <v>1682</v>
      </c>
      <c r="F3359" t="s">
        <v>906</v>
      </c>
      <c r="G3359" s="4">
        <v>26531</v>
      </c>
      <c r="H3359" s="4">
        <v>80381</v>
      </c>
      <c r="I3359" s="4"/>
      <c r="J3359" s="4">
        <f>SUM(G3359:I3359)</f>
        <v>106912</v>
      </c>
      <c r="K3359" t="s">
        <v>1660</v>
      </c>
      <c r="L3359" t="s">
        <v>1659</v>
      </c>
      <c r="M3359" t="s">
        <v>1516</v>
      </c>
      <c r="N3359" t="s">
        <v>1516</v>
      </c>
      <c r="O3359" t="s">
        <v>1132</v>
      </c>
      <c r="P3359" t="str">
        <f>IFERROR(VLOOKUP(F3359,Sheet1!$A$2:$B$54,2,FALSE),"")</f>
        <v/>
      </c>
    </row>
    <row r="3360" spans="1:16" x14ac:dyDescent="0.2">
      <c r="A3360" s="1">
        <v>2020</v>
      </c>
      <c r="B3360" t="s">
        <v>408</v>
      </c>
      <c r="C3360" s="10" t="s">
        <v>1678</v>
      </c>
      <c r="D3360" s="10" t="s">
        <v>1679</v>
      </c>
      <c r="E3360" s="10" t="s">
        <v>1682</v>
      </c>
      <c r="F3360" t="s">
        <v>906</v>
      </c>
      <c r="G3360" s="4">
        <v>22649</v>
      </c>
      <c r="H3360" s="4">
        <v>82664</v>
      </c>
      <c r="I3360" s="4"/>
      <c r="J3360" s="4">
        <f>SUM(G3360:I3360)</f>
        <v>105313</v>
      </c>
      <c r="K3360" t="s">
        <v>1660</v>
      </c>
      <c r="L3360" t="s">
        <v>1659</v>
      </c>
      <c r="M3360" t="s">
        <v>1516</v>
      </c>
      <c r="N3360" t="s">
        <v>1516</v>
      </c>
      <c r="O3360" t="s">
        <v>1132</v>
      </c>
      <c r="P3360" t="str">
        <f>IFERROR(VLOOKUP(F3360,Sheet1!$A$2:$B$54,2,FALSE),"")</f>
        <v/>
      </c>
    </row>
    <row r="3361" spans="1:16" x14ac:dyDescent="0.2">
      <c r="A3361" s="1">
        <v>2021</v>
      </c>
      <c r="B3361" t="s">
        <v>408</v>
      </c>
      <c r="C3361" s="10" t="s">
        <v>1678</v>
      </c>
      <c r="D3361" s="10" t="s">
        <v>1679</v>
      </c>
      <c r="E3361" s="10" t="s">
        <v>1682</v>
      </c>
      <c r="F3361" t="s">
        <v>906</v>
      </c>
      <c r="G3361" s="4">
        <v>21411</v>
      </c>
      <c r="H3361" s="4">
        <v>83813</v>
      </c>
      <c r="I3361" s="4"/>
      <c r="J3361" s="4">
        <f>SUM(G3361:I3361)</f>
        <v>105224</v>
      </c>
      <c r="K3361" t="s">
        <v>1660</v>
      </c>
      <c r="L3361" t="s">
        <v>1659</v>
      </c>
      <c r="M3361" t="s">
        <v>906</v>
      </c>
      <c r="N3361" t="s">
        <v>906</v>
      </c>
      <c r="O3361" t="s">
        <v>1132</v>
      </c>
      <c r="P3361" t="str">
        <f>IFERROR(VLOOKUP(F3361,Sheet1!$A$2:$B$54,2,FALSE),"")</f>
        <v/>
      </c>
    </row>
    <row r="3362" spans="1:16" x14ac:dyDescent="0.2">
      <c r="A3362" s="1">
        <v>2022</v>
      </c>
      <c r="B3362" t="s">
        <v>408</v>
      </c>
      <c r="C3362" s="10" t="s">
        <v>1678</v>
      </c>
      <c r="D3362" s="10" t="s">
        <v>1679</v>
      </c>
      <c r="E3362" s="10" t="s">
        <v>1682</v>
      </c>
      <c r="F3362" t="s">
        <v>906</v>
      </c>
      <c r="G3362" s="4">
        <v>22866</v>
      </c>
      <c r="H3362" s="4">
        <v>69836</v>
      </c>
      <c r="I3362" s="4"/>
      <c r="J3362" s="4">
        <f>SUM(G3362:I3362)</f>
        <v>92702</v>
      </c>
      <c r="K3362" t="s">
        <v>1660</v>
      </c>
      <c r="L3362" t="s">
        <v>1659</v>
      </c>
      <c r="M3362" t="s">
        <v>906</v>
      </c>
      <c r="N3362" t="s">
        <v>906</v>
      </c>
      <c r="O3362" t="s">
        <v>1132</v>
      </c>
      <c r="P3362" t="str">
        <f>IFERROR(VLOOKUP(F3362,Sheet1!$A$2:$B$54,2,FALSE),"")</f>
        <v/>
      </c>
    </row>
    <row r="3363" spans="1:16" x14ac:dyDescent="0.2">
      <c r="A3363" s="1">
        <v>2023</v>
      </c>
      <c r="B3363" t="s">
        <v>408</v>
      </c>
      <c r="C3363" s="10" t="s">
        <v>1678</v>
      </c>
      <c r="D3363" s="10" t="s">
        <v>1679</v>
      </c>
      <c r="E3363" s="10" t="s">
        <v>1682</v>
      </c>
      <c r="F3363" t="s">
        <v>906</v>
      </c>
      <c r="G3363" s="4">
        <v>31610</v>
      </c>
      <c r="H3363" s="4">
        <v>72553</v>
      </c>
      <c r="I3363" s="4"/>
      <c r="J3363" s="4">
        <f>SUM(G3363:I3363)</f>
        <v>104163</v>
      </c>
      <c r="K3363" t="s">
        <v>1660</v>
      </c>
      <c r="L3363" t="s">
        <v>1659</v>
      </c>
      <c r="M3363" t="s">
        <v>906</v>
      </c>
      <c r="N3363" t="s">
        <v>906</v>
      </c>
      <c r="O3363" t="s">
        <v>1132</v>
      </c>
      <c r="P3363" t="str">
        <f>IFERROR(VLOOKUP(F3363,Sheet1!$A$2:$B$54,2,FALSE),"")</f>
        <v/>
      </c>
    </row>
    <row r="3364" spans="1:16" x14ac:dyDescent="0.2">
      <c r="A3364" s="1">
        <v>2015</v>
      </c>
      <c r="B3364" t="s">
        <v>409</v>
      </c>
      <c r="C3364" s="10" t="s">
        <v>1678</v>
      </c>
      <c r="D3364" s="10" t="s">
        <v>1679</v>
      </c>
      <c r="E3364" s="10" t="s">
        <v>1682</v>
      </c>
      <c r="F3364" t="s">
        <v>907</v>
      </c>
      <c r="G3364" s="4">
        <v>4626</v>
      </c>
      <c r="H3364" s="4">
        <v>95440</v>
      </c>
      <c r="I3364" s="4"/>
      <c r="J3364" s="4">
        <f>SUM(G3364:I3364)</f>
        <v>100066</v>
      </c>
      <c r="K3364" t="s">
        <v>1660</v>
      </c>
      <c r="L3364" t="s">
        <v>1659</v>
      </c>
      <c r="M3364" t="s">
        <v>1517</v>
      </c>
      <c r="N3364" t="s">
        <v>1517</v>
      </c>
      <c r="O3364" t="s">
        <v>1132</v>
      </c>
      <c r="P3364" t="str">
        <f>IFERROR(VLOOKUP(F3364,Sheet1!$A$2:$B$54,2,FALSE),"")</f>
        <v/>
      </c>
    </row>
    <row r="3365" spans="1:16" x14ac:dyDescent="0.2">
      <c r="A3365" s="1">
        <v>2016</v>
      </c>
      <c r="B3365" t="s">
        <v>409</v>
      </c>
      <c r="C3365" s="10" t="s">
        <v>1678</v>
      </c>
      <c r="D3365" s="10" t="s">
        <v>1679</v>
      </c>
      <c r="E3365" s="10" t="s">
        <v>1682</v>
      </c>
      <c r="F3365" t="s">
        <v>907</v>
      </c>
      <c r="G3365" s="4">
        <v>10272</v>
      </c>
      <c r="H3365" s="4">
        <v>123450</v>
      </c>
      <c r="I3365" s="4"/>
      <c r="J3365" s="4">
        <f>SUM(G3365:I3365)</f>
        <v>133722</v>
      </c>
      <c r="K3365" t="s">
        <v>1660</v>
      </c>
      <c r="L3365" t="s">
        <v>1659</v>
      </c>
      <c r="M3365" t="s">
        <v>1517</v>
      </c>
      <c r="N3365" t="s">
        <v>1517</v>
      </c>
      <c r="O3365" t="s">
        <v>1132</v>
      </c>
      <c r="P3365" t="str">
        <f>IFERROR(VLOOKUP(F3365,Sheet1!$A$2:$B$54,2,FALSE),"")</f>
        <v/>
      </c>
    </row>
    <row r="3366" spans="1:16" x14ac:dyDescent="0.2">
      <c r="A3366" s="1">
        <v>2017</v>
      </c>
      <c r="B3366" t="s">
        <v>409</v>
      </c>
      <c r="C3366" s="10" t="s">
        <v>1678</v>
      </c>
      <c r="D3366" s="10" t="s">
        <v>1679</v>
      </c>
      <c r="E3366" s="10" t="s">
        <v>1682</v>
      </c>
      <c r="F3366" t="s">
        <v>907</v>
      </c>
      <c r="G3366" s="4">
        <v>16749</v>
      </c>
      <c r="H3366" s="4">
        <v>154651</v>
      </c>
      <c r="I3366" s="4"/>
      <c r="J3366" s="4">
        <f>SUM(G3366:I3366)</f>
        <v>171400</v>
      </c>
      <c r="K3366" t="s">
        <v>1660</v>
      </c>
      <c r="L3366" t="s">
        <v>1659</v>
      </c>
      <c r="M3366" t="s">
        <v>1517</v>
      </c>
      <c r="N3366" t="s">
        <v>1517</v>
      </c>
      <c r="O3366" t="s">
        <v>1132</v>
      </c>
      <c r="P3366" t="str">
        <f>IFERROR(VLOOKUP(F3366,Sheet1!$A$2:$B$54,2,FALSE),"")</f>
        <v/>
      </c>
    </row>
    <row r="3367" spans="1:16" x14ac:dyDescent="0.2">
      <c r="A3367" s="1">
        <v>2018</v>
      </c>
      <c r="B3367" t="s">
        <v>409</v>
      </c>
      <c r="C3367" s="10" t="s">
        <v>1678</v>
      </c>
      <c r="D3367" s="10" t="s">
        <v>1679</v>
      </c>
      <c r="E3367" s="10" t="s">
        <v>1682</v>
      </c>
      <c r="F3367" t="s">
        <v>907</v>
      </c>
      <c r="G3367" s="4">
        <v>23005</v>
      </c>
      <c r="H3367" s="4">
        <v>171188</v>
      </c>
      <c r="I3367" s="4"/>
      <c r="J3367" s="4">
        <f>SUM(G3367:I3367)</f>
        <v>194193</v>
      </c>
      <c r="K3367" t="s">
        <v>1660</v>
      </c>
      <c r="L3367" t="s">
        <v>1659</v>
      </c>
      <c r="M3367" t="s">
        <v>1517</v>
      </c>
      <c r="N3367" t="s">
        <v>1517</v>
      </c>
      <c r="O3367" t="s">
        <v>1132</v>
      </c>
      <c r="P3367" t="str">
        <f>IFERROR(VLOOKUP(F3367,Sheet1!$A$2:$B$54,2,FALSE),"")</f>
        <v/>
      </c>
    </row>
    <row r="3368" spans="1:16" x14ac:dyDescent="0.2">
      <c r="A3368" s="1">
        <v>2019</v>
      </c>
      <c r="B3368" t="s">
        <v>409</v>
      </c>
      <c r="C3368" s="10" t="s">
        <v>1678</v>
      </c>
      <c r="D3368" s="10" t="s">
        <v>1679</v>
      </c>
      <c r="E3368" s="10" t="s">
        <v>1682</v>
      </c>
      <c r="F3368" t="s">
        <v>907</v>
      </c>
      <c r="G3368" s="4">
        <v>26013</v>
      </c>
      <c r="H3368" s="4">
        <v>168217</v>
      </c>
      <c r="I3368" s="4"/>
      <c r="J3368" s="4">
        <f>SUM(G3368:I3368)</f>
        <v>194230</v>
      </c>
      <c r="K3368" t="s">
        <v>1660</v>
      </c>
      <c r="L3368" t="s">
        <v>1659</v>
      </c>
      <c r="M3368" t="s">
        <v>1517</v>
      </c>
      <c r="N3368" t="s">
        <v>1517</v>
      </c>
      <c r="O3368" t="s">
        <v>1132</v>
      </c>
      <c r="P3368" t="str">
        <f>IFERROR(VLOOKUP(F3368,Sheet1!$A$2:$B$54,2,FALSE),"")</f>
        <v/>
      </c>
    </row>
    <row r="3369" spans="1:16" x14ac:dyDescent="0.2">
      <c r="A3369" s="1">
        <v>2020</v>
      </c>
      <c r="B3369" t="s">
        <v>409</v>
      </c>
      <c r="C3369" s="10" t="s">
        <v>1678</v>
      </c>
      <c r="D3369" s="10" t="s">
        <v>1679</v>
      </c>
      <c r="E3369" s="10" t="s">
        <v>1682</v>
      </c>
      <c r="F3369" t="s">
        <v>907</v>
      </c>
      <c r="G3369" s="4">
        <v>26284</v>
      </c>
      <c r="H3369" s="4">
        <v>162121</v>
      </c>
      <c r="I3369" s="4"/>
      <c r="J3369" s="4">
        <f>SUM(G3369:I3369)</f>
        <v>188405</v>
      </c>
      <c r="K3369" t="s">
        <v>1660</v>
      </c>
      <c r="L3369" t="s">
        <v>1659</v>
      </c>
      <c r="M3369" t="s">
        <v>1517</v>
      </c>
      <c r="N3369" t="s">
        <v>1517</v>
      </c>
      <c r="O3369" t="s">
        <v>1132</v>
      </c>
      <c r="P3369" t="str">
        <f>IFERROR(VLOOKUP(F3369,Sheet1!$A$2:$B$54,2,FALSE),"")</f>
        <v/>
      </c>
    </row>
    <row r="3370" spans="1:16" x14ac:dyDescent="0.2">
      <c r="A3370" s="1">
        <v>2021</v>
      </c>
      <c r="B3370" t="s">
        <v>409</v>
      </c>
      <c r="C3370" s="10" t="s">
        <v>1678</v>
      </c>
      <c r="D3370" s="10" t="s">
        <v>1679</v>
      </c>
      <c r="E3370" s="10" t="s">
        <v>1682</v>
      </c>
      <c r="F3370" t="s">
        <v>907</v>
      </c>
      <c r="G3370" s="4">
        <v>21671</v>
      </c>
      <c r="H3370" s="4">
        <v>152219</v>
      </c>
      <c r="I3370" s="4"/>
      <c r="J3370" s="4">
        <f>SUM(G3370:I3370)</f>
        <v>173890</v>
      </c>
      <c r="K3370" t="s">
        <v>1660</v>
      </c>
      <c r="L3370" t="s">
        <v>1659</v>
      </c>
      <c r="M3370" t="s">
        <v>907</v>
      </c>
      <c r="N3370" t="s">
        <v>907</v>
      </c>
      <c r="O3370" t="s">
        <v>1132</v>
      </c>
      <c r="P3370" t="str">
        <f>IFERROR(VLOOKUP(F3370,Sheet1!$A$2:$B$54,2,FALSE),"")</f>
        <v/>
      </c>
    </row>
    <row r="3371" spans="1:16" x14ac:dyDescent="0.2">
      <c r="A3371" s="1">
        <v>2022</v>
      </c>
      <c r="B3371" t="s">
        <v>409</v>
      </c>
      <c r="C3371" s="10" t="s">
        <v>1678</v>
      </c>
      <c r="D3371" s="10" t="s">
        <v>1679</v>
      </c>
      <c r="E3371" s="10" t="s">
        <v>1682</v>
      </c>
      <c r="F3371" t="s">
        <v>907</v>
      </c>
      <c r="G3371" s="4">
        <v>26073</v>
      </c>
      <c r="H3371" s="4">
        <v>169494</v>
      </c>
      <c r="I3371" s="4"/>
      <c r="J3371" s="4">
        <f>SUM(G3371:I3371)</f>
        <v>195567</v>
      </c>
      <c r="K3371" t="s">
        <v>1660</v>
      </c>
      <c r="L3371" t="s">
        <v>1659</v>
      </c>
      <c r="M3371" t="s">
        <v>907</v>
      </c>
      <c r="N3371" t="s">
        <v>907</v>
      </c>
      <c r="O3371" t="s">
        <v>1132</v>
      </c>
      <c r="P3371" t="str">
        <f>IFERROR(VLOOKUP(F3371,Sheet1!$A$2:$B$54,2,FALSE),"")</f>
        <v/>
      </c>
    </row>
    <row r="3372" spans="1:16" x14ac:dyDescent="0.2">
      <c r="A3372" s="1">
        <v>2023</v>
      </c>
      <c r="B3372" t="s">
        <v>409</v>
      </c>
      <c r="C3372" s="10" t="s">
        <v>1678</v>
      </c>
      <c r="D3372" s="10" t="s">
        <v>1679</v>
      </c>
      <c r="E3372" s="10" t="s">
        <v>1682</v>
      </c>
      <c r="F3372" t="s">
        <v>907</v>
      </c>
      <c r="G3372" s="4">
        <v>30016</v>
      </c>
      <c r="H3372" s="4">
        <v>183135</v>
      </c>
      <c r="I3372" s="4"/>
      <c r="J3372" s="4">
        <f>SUM(G3372:I3372)</f>
        <v>213151</v>
      </c>
      <c r="K3372" t="s">
        <v>1660</v>
      </c>
      <c r="L3372" t="s">
        <v>1659</v>
      </c>
      <c r="M3372" t="s">
        <v>907</v>
      </c>
      <c r="N3372" t="s">
        <v>907</v>
      </c>
      <c r="O3372" t="s">
        <v>1132</v>
      </c>
      <c r="P3372" t="str">
        <f>IFERROR(VLOOKUP(F3372,Sheet1!$A$2:$B$54,2,FALSE),"")</f>
        <v/>
      </c>
    </row>
    <row r="3373" spans="1:16" x14ac:dyDescent="0.2">
      <c r="A3373" s="1">
        <v>2021</v>
      </c>
      <c r="B3373" t="s">
        <v>410</v>
      </c>
      <c r="C3373" s="10" t="s">
        <v>1678</v>
      </c>
      <c r="D3373" s="10" t="s">
        <v>1679</v>
      </c>
      <c r="E3373" s="10" t="s">
        <v>1682</v>
      </c>
      <c r="F3373" t="s">
        <v>908</v>
      </c>
      <c r="G3373" s="4">
        <v>26224</v>
      </c>
      <c r="H3373" s="4">
        <v>210136</v>
      </c>
      <c r="I3373" s="4"/>
      <c r="J3373" s="4">
        <f>SUM(G3373:I3373)</f>
        <v>236360</v>
      </c>
      <c r="K3373" t="s">
        <v>1660</v>
      </c>
      <c r="L3373" t="s">
        <v>1659</v>
      </c>
      <c r="M3373" t="s">
        <v>908</v>
      </c>
      <c r="N3373" t="s">
        <v>908</v>
      </c>
      <c r="O3373" t="s">
        <v>1132</v>
      </c>
      <c r="P3373" t="str">
        <f>IFERROR(VLOOKUP(F3373,Sheet1!$A$2:$B$54,2,FALSE),"")</f>
        <v/>
      </c>
    </row>
    <row r="3374" spans="1:16" x14ac:dyDescent="0.2">
      <c r="A3374" s="1">
        <v>2022</v>
      </c>
      <c r="B3374" t="s">
        <v>410</v>
      </c>
      <c r="C3374" s="10" t="s">
        <v>1678</v>
      </c>
      <c r="D3374" s="10" t="s">
        <v>1679</v>
      </c>
      <c r="E3374" s="10" t="s">
        <v>1682</v>
      </c>
      <c r="F3374" t="s">
        <v>908</v>
      </c>
      <c r="G3374" s="4">
        <v>26299</v>
      </c>
      <c r="H3374" s="4">
        <v>214837</v>
      </c>
      <c r="I3374" s="4"/>
      <c r="J3374" s="4">
        <f>SUM(G3374:I3374)</f>
        <v>241136</v>
      </c>
      <c r="K3374" t="s">
        <v>1660</v>
      </c>
      <c r="L3374" t="s">
        <v>1659</v>
      </c>
      <c r="M3374" t="s">
        <v>908</v>
      </c>
      <c r="N3374" t="s">
        <v>908</v>
      </c>
      <c r="O3374" t="s">
        <v>1132</v>
      </c>
      <c r="P3374" t="str">
        <f>IFERROR(VLOOKUP(F3374,Sheet1!$A$2:$B$54,2,FALSE),"")</f>
        <v/>
      </c>
    </row>
    <row r="3375" spans="1:16" x14ac:dyDescent="0.2">
      <c r="A3375" s="1">
        <v>2023</v>
      </c>
      <c r="B3375" t="s">
        <v>410</v>
      </c>
      <c r="C3375" s="10" t="s">
        <v>1678</v>
      </c>
      <c r="D3375" s="10" t="s">
        <v>1679</v>
      </c>
      <c r="E3375" s="10" t="s">
        <v>1682</v>
      </c>
      <c r="F3375" t="s">
        <v>908</v>
      </c>
      <c r="G3375" s="4">
        <v>29007</v>
      </c>
      <c r="H3375" s="4">
        <v>214945</v>
      </c>
      <c r="I3375" s="4"/>
      <c r="J3375" s="4">
        <f>SUM(G3375:I3375)</f>
        <v>243952</v>
      </c>
      <c r="K3375" t="s">
        <v>1660</v>
      </c>
      <c r="L3375" t="s">
        <v>1659</v>
      </c>
      <c r="M3375" t="s">
        <v>908</v>
      </c>
      <c r="N3375" t="s">
        <v>908</v>
      </c>
      <c r="O3375" t="s">
        <v>1132</v>
      </c>
      <c r="P3375" t="str">
        <f>IFERROR(VLOOKUP(F3375,Sheet1!$A$2:$B$54,2,FALSE),"")</f>
        <v/>
      </c>
    </row>
    <row r="3376" spans="1:16" x14ac:dyDescent="0.2">
      <c r="A3376" s="1">
        <v>2015</v>
      </c>
      <c r="B3376" t="s">
        <v>411</v>
      </c>
      <c r="C3376" s="10" t="s">
        <v>1678</v>
      </c>
      <c r="D3376" s="10" t="s">
        <v>1679</v>
      </c>
      <c r="E3376" s="10" t="s">
        <v>1682</v>
      </c>
      <c r="F3376" t="s">
        <v>909</v>
      </c>
      <c r="G3376" s="4">
        <v>2125</v>
      </c>
      <c r="H3376" s="4">
        <v>81185</v>
      </c>
      <c r="I3376" s="4"/>
      <c r="J3376" s="4">
        <f>SUM(G3376:I3376)</f>
        <v>83310</v>
      </c>
      <c r="K3376" t="s">
        <v>1660</v>
      </c>
      <c r="L3376" t="s">
        <v>1659</v>
      </c>
      <c r="M3376" t="s">
        <v>1518</v>
      </c>
      <c r="N3376" t="s">
        <v>1518</v>
      </c>
      <c r="O3376" t="s">
        <v>1132</v>
      </c>
      <c r="P3376" t="str">
        <f>IFERROR(VLOOKUP(F3376,Sheet1!$A$2:$B$54,2,FALSE),"")</f>
        <v/>
      </c>
    </row>
    <row r="3377" spans="1:16" x14ac:dyDescent="0.2">
      <c r="A3377" s="1">
        <v>2016</v>
      </c>
      <c r="B3377" t="s">
        <v>411</v>
      </c>
      <c r="C3377" s="10" t="s">
        <v>1678</v>
      </c>
      <c r="D3377" s="10" t="s">
        <v>1679</v>
      </c>
      <c r="E3377" s="10" t="s">
        <v>1682</v>
      </c>
      <c r="F3377" t="s">
        <v>909</v>
      </c>
      <c r="G3377" s="4">
        <v>2038</v>
      </c>
      <c r="H3377" s="4">
        <v>74258</v>
      </c>
      <c r="I3377" s="4"/>
      <c r="J3377" s="4">
        <f>SUM(G3377:I3377)</f>
        <v>76296</v>
      </c>
      <c r="K3377" t="s">
        <v>1660</v>
      </c>
      <c r="L3377" t="s">
        <v>1659</v>
      </c>
      <c r="M3377" t="s">
        <v>1518</v>
      </c>
      <c r="N3377" t="s">
        <v>1518</v>
      </c>
      <c r="O3377" t="s">
        <v>1132</v>
      </c>
      <c r="P3377" t="str">
        <f>IFERROR(VLOOKUP(F3377,Sheet1!$A$2:$B$54,2,FALSE),"")</f>
        <v/>
      </c>
    </row>
    <row r="3378" spans="1:16" x14ac:dyDescent="0.2">
      <c r="A3378" s="1">
        <v>2017</v>
      </c>
      <c r="B3378" t="s">
        <v>411</v>
      </c>
      <c r="C3378" s="10" t="s">
        <v>1678</v>
      </c>
      <c r="D3378" s="10" t="s">
        <v>1679</v>
      </c>
      <c r="E3378" s="10" t="s">
        <v>1682</v>
      </c>
      <c r="F3378" t="s">
        <v>909</v>
      </c>
      <c r="G3378" s="4">
        <v>4480</v>
      </c>
      <c r="H3378" s="4">
        <v>72877</v>
      </c>
      <c r="I3378" s="4"/>
      <c r="J3378" s="4">
        <f>SUM(G3378:I3378)</f>
        <v>77357</v>
      </c>
      <c r="K3378" t="s">
        <v>1660</v>
      </c>
      <c r="L3378" t="s">
        <v>1659</v>
      </c>
      <c r="M3378" t="s">
        <v>1519</v>
      </c>
      <c r="N3378" t="s">
        <v>1519</v>
      </c>
      <c r="O3378" t="s">
        <v>1132</v>
      </c>
      <c r="P3378" t="str">
        <f>IFERROR(VLOOKUP(F3378,Sheet1!$A$2:$B$54,2,FALSE),"")</f>
        <v/>
      </c>
    </row>
    <row r="3379" spans="1:16" x14ac:dyDescent="0.2">
      <c r="A3379" s="1">
        <v>2018</v>
      </c>
      <c r="B3379" t="s">
        <v>411</v>
      </c>
      <c r="C3379" s="10" t="s">
        <v>1678</v>
      </c>
      <c r="D3379" s="10" t="s">
        <v>1679</v>
      </c>
      <c r="E3379" s="10" t="s">
        <v>1682</v>
      </c>
      <c r="F3379" t="s">
        <v>909</v>
      </c>
      <c r="G3379" s="4">
        <v>6315</v>
      </c>
      <c r="H3379" s="4">
        <v>77339</v>
      </c>
      <c r="I3379" s="4"/>
      <c r="J3379" s="4">
        <f>SUM(G3379:I3379)</f>
        <v>83654</v>
      </c>
      <c r="K3379" t="s">
        <v>1660</v>
      </c>
      <c r="L3379" t="s">
        <v>1659</v>
      </c>
      <c r="M3379" t="s">
        <v>1519</v>
      </c>
      <c r="N3379" t="s">
        <v>1519</v>
      </c>
      <c r="O3379" t="s">
        <v>1132</v>
      </c>
      <c r="P3379" t="str">
        <f>IFERROR(VLOOKUP(F3379,Sheet1!$A$2:$B$54,2,FALSE),"")</f>
        <v/>
      </c>
    </row>
    <row r="3380" spans="1:16" x14ac:dyDescent="0.2">
      <c r="A3380" s="1">
        <v>2019</v>
      </c>
      <c r="B3380" t="s">
        <v>411</v>
      </c>
      <c r="C3380" s="10" t="s">
        <v>1678</v>
      </c>
      <c r="D3380" s="10" t="s">
        <v>1679</v>
      </c>
      <c r="E3380" s="10" t="s">
        <v>1682</v>
      </c>
      <c r="F3380" t="s">
        <v>909</v>
      </c>
      <c r="G3380" s="4">
        <v>5132</v>
      </c>
      <c r="H3380" s="4">
        <v>70819</v>
      </c>
      <c r="I3380" s="4"/>
      <c r="J3380" s="4">
        <f>SUM(G3380:I3380)</f>
        <v>75951</v>
      </c>
      <c r="K3380" t="s">
        <v>1660</v>
      </c>
      <c r="L3380" t="s">
        <v>1659</v>
      </c>
      <c r="M3380" t="s">
        <v>1519</v>
      </c>
      <c r="N3380" t="s">
        <v>1519</v>
      </c>
      <c r="O3380" t="s">
        <v>1132</v>
      </c>
      <c r="P3380" t="str">
        <f>IFERROR(VLOOKUP(F3380,Sheet1!$A$2:$B$54,2,FALSE),"")</f>
        <v/>
      </c>
    </row>
    <row r="3381" spans="1:16" x14ac:dyDescent="0.2">
      <c r="A3381" s="1">
        <v>2020</v>
      </c>
      <c r="B3381" t="s">
        <v>411</v>
      </c>
      <c r="C3381" s="10" t="s">
        <v>1678</v>
      </c>
      <c r="D3381" s="10" t="s">
        <v>1679</v>
      </c>
      <c r="E3381" s="10" t="s">
        <v>1682</v>
      </c>
      <c r="F3381" t="s">
        <v>909</v>
      </c>
      <c r="G3381" s="4">
        <v>1657</v>
      </c>
      <c r="H3381" s="4">
        <v>65278</v>
      </c>
      <c r="I3381" s="4"/>
      <c r="J3381" s="4">
        <f>SUM(G3381:I3381)</f>
        <v>66935</v>
      </c>
      <c r="K3381" t="s">
        <v>1660</v>
      </c>
      <c r="L3381" t="s">
        <v>1659</v>
      </c>
      <c r="M3381" t="s">
        <v>1519</v>
      </c>
      <c r="N3381" t="s">
        <v>1519</v>
      </c>
      <c r="O3381" t="s">
        <v>1132</v>
      </c>
      <c r="P3381" t="str">
        <f>IFERROR(VLOOKUP(F3381,Sheet1!$A$2:$B$54,2,FALSE),"")</f>
        <v/>
      </c>
    </row>
    <row r="3382" spans="1:16" x14ac:dyDescent="0.2">
      <c r="A3382" s="1">
        <v>2021</v>
      </c>
      <c r="B3382" t="s">
        <v>411</v>
      </c>
      <c r="C3382" s="10" t="s">
        <v>1678</v>
      </c>
      <c r="D3382" s="10" t="s">
        <v>1679</v>
      </c>
      <c r="E3382" s="10" t="s">
        <v>1682</v>
      </c>
      <c r="F3382" t="s">
        <v>909</v>
      </c>
      <c r="G3382" s="4">
        <v>0</v>
      </c>
      <c r="H3382" s="4">
        <v>65152</v>
      </c>
      <c r="I3382" s="4"/>
      <c r="J3382" s="4">
        <f>SUM(G3382:I3382)</f>
        <v>65152</v>
      </c>
      <c r="K3382" t="s">
        <v>1660</v>
      </c>
      <c r="L3382" t="s">
        <v>1659</v>
      </c>
      <c r="M3382" t="s">
        <v>909</v>
      </c>
      <c r="N3382" t="s">
        <v>909</v>
      </c>
      <c r="O3382" t="s">
        <v>1132</v>
      </c>
      <c r="P3382" t="str">
        <f>IFERROR(VLOOKUP(F3382,Sheet1!$A$2:$B$54,2,FALSE),"")</f>
        <v/>
      </c>
    </row>
    <row r="3383" spans="1:16" x14ac:dyDescent="0.2">
      <c r="A3383" s="1">
        <v>2022</v>
      </c>
      <c r="B3383" t="s">
        <v>411</v>
      </c>
      <c r="C3383" s="10" t="s">
        <v>1678</v>
      </c>
      <c r="D3383" s="10" t="s">
        <v>1679</v>
      </c>
      <c r="E3383" s="10" t="s">
        <v>1682</v>
      </c>
      <c r="F3383" t="s">
        <v>909</v>
      </c>
      <c r="G3383" s="4">
        <v>23545</v>
      </c>
      <c r="H3383" s="4">
        <v>80576</v>
      </c>
      <c r="I3383" s="4"/>
      <c r="J3383" s="4">
        <f>SUM(G3383:I3383)</f>
        <v>104121</v>
      </c>
      <c r="K3383" t="s">
        <v>1660</v>
      </c>
      <c r="L3383" t="s">
        <v>1659</v>
      </c>
      <c r="M3383" t="s">
        <v>909</v>
      </c>
      <c r="N3383" t="s">
        <v>909</v>
      </c>
      <c r="O3383" t="s">
        <v>1132</v>
      </c>
      <c r="P3383" t="str">
        <f>IFERROR(VLOOKUP(F3383,Sheet1!$A$2:$B$54,2,FALSE),"")</f>
        <v/>
      </c>
    </row>
    <row r="3384" spans="1:16" x14ac:dyDescent="0.2">
      <c r="A3384" s="1">
        <v>2023</v>
      </c>
      <c r="B3384" t="s">
        <v>411</v>
      </c>
      <c r="C3384" s="10" t="s">
        <v>1678</v>
      </c>
      <c r="D3384" s="10" t="s">
        <v>1679</v>
      </c>
      <c r="E3384" s="10" t="s">
        <v>1682</v>
      </c>
      <c r="F3384" t="s">
        <v>909</v>
      </c>
      <c r="G3384" s="4">
        <v>38615</v>
      </c>
      <c r="H3384" s="4">
        <v>56850</v>
      </c>
      <c r="I3384" s="4"/>
      <c r="J3384" s="4">
        <f>SUM(G3384:I3384)</f>
        <v>95465</v>
      </c>
      <c r="K3384" t="s">
        <v>1660</v>
      </c>
      <c r="L3384" t="s">
        <v>1659</v>
      </c>
      <c r="M3384" t="s">
        <v>909</v>
      </c>
      <c r="N3384" t="s">
        <v>909</v>
      </c>
      <c r="O3384" t="s">
        <v>1132</v>
      </c>
      <c r="P3384" t="str">
        <f>IFERROR(VLOOKUP(F3384,Sheet1!$A$2:$B$54,2,FALSE),"")</f>
        <v/>
      </c>
    </row>
    <row r="3385" spans="1:16" x14ac:dyDescent="0.2">
      <c r="A3385" s="1">
        <v>2015</v>
      </c>
      <c r="B3385" t="s">
        <v>412</v>
      </c>
      <c r="C3385" s="10" t="s">
        <v>1678</v>
      </c>
      <c r="D3385" s="10" t="s">
        <v>1679</v>
      </c>
      <c r="E3385" s="10" t="s">
        <v>1682</v>
      </c>
      <c r="F3385" t="s">
        <v>910</v>
      </c>
      <c r="G3385" s="4">
        <v>22904</v>
      </c>
      <c r="H3385" s="4">
        <v>94147</v>
      </c>
      <c r="I3385" s="4"/>
      <c r="J3385" s="4">
        <f>SUM(G3385:I3385)</f>
        <v>117051</v>
      </c>
      <c r="K3385" t="s">
        <v>1660</v>
      </c>
      <c r="L3385" t="s">
        <v>1659</v>
      </c>
      <c r="M3385" t="s">
        <v>1520</v>
      </c>
      <c r="N3385" t="s">
        <v>1520</v>
      </c>
      <c r="O3385" t="s">
        <v>1132</v>
      </c>
      <c r="P3385" t="str">
        <f>IFERROR(VLOOKUP(F3385,Sheet1!$A$2:$B$54,2,FALSE),"")</f>
        <v/>
      </c>
    </row>
    <row r="3386" spans="1:16" x14ac:dyDescent="0.2">
      <c r="A3386" s="1">
        <v>2016</v>
      </c>
      <c r="B3386" t="s">
        <v>412</v>
      </c>
      <c r="C3386" s="10" t="s">
        <v>1678</v>
      </c>
      <c r="D3386" s="10" t="s">
        <v>1679</v>
      </c>
      <c r="E3386" s="10" t="s">
        <v>1682</v>
      </c>
      <c r="F3386" t="s">
        <v>910</v>
      </c>
      <c r="G3386" s="4">
        <v>19594</v>
      </c>
      <c r="H3386" s="4">
        <v>105467</v>
      </c>
      <c r="I3386" s="4"/>
      <c r="J3386" s="4">
        <f>SUM(G3386:I3386)</f>
        <v>125061</v>
      </c>
      <c r="K3386" t="s">
        <v>1660</v>
      </c>
      <c r="L3386" t="s">
        <v>1659</v>
      </c>
      <c r="M3386" t="s">
        <v>1520</v>
      </c>
      <c r="N3386" t="s">
        <v>1520</v>
      </c>
      <c r="O3386" t="s">
        <v>1132</v>
      </c>
      <c r="P3386" t="str">
        <f>IFERROR(VLOOKUP(F3386,Sheet1!$A$2:$B$54,2,FALSE),"")</f>
        <v/>
      </c>
    </row>
    <row r="3387" spans="1:16" x14ac:dyDescent="0.2">
      <c r="A3387" s="1">
        <v>2017</v>
      </c>
      <c r="B3387" t="s">
        <v>412</v>
      </c>
      <c r="C3387" s="10" t="s">
        <v>1678</v>
      </c>
      <c r="D3387" s="10" t="s">
        <v>1679</v>
      </c>
      <c r="E3387" s="10" t="s">
        <v>1682</v>
      </c>
      <c r="F3387" t="s">
        <v>910</v>
      </c>
      <c r="G3387" s="4">
        <v>8346</v>
      </c>
      <c r="H3387" s="4">
        <v>106994</v>
      </c>
      <c r="I3387" s="4"/>
      <c r="J3387" s="4">
        <f>SUM(G3387:I3387)</f>
        <v>115340</v>
      </c>
      <c r="K3387" t="s">
        <v>1660</v>
      </c>
      <c r="L3387" t="s">
        <v>1659</v>
      </c>
      <c r="M3387" t="s">
        <v>1520</v>
      </c>
      <c r="N3387" t="s">
        <v>1520</v>
      </c>
      <c r="O3387" t="s">
        <v>1132</v>
      </c>
      <c r="P3387" t="str">
        <f>IFERROR(VLOOKUP(F3387,Sheet1!$A$2:$B$54,2,FALSE),"")</f>
        <v/>
      </c>
    </row>
    <row r="3388" spans="1:16" x14ac:dyDescent="0.2">
      <c r="A3388" s="1">
        <v>2018</v>
      </c>
      <c r="B3388" t="s">
        <v>412</v>
      </c>
      <c r="C3388" s="10" t="s">
        <v>1678</v>
      </c>
      <c r="D3388" s="10" t="s">
        <v>1679</v>
      </c>
      <c r="E3388" s="10" t="s">
        <v>1682</v>
      </c>
      <c r="F3388" t="s">
        <v>910</v>
      </c>
      <c r="G3388" s="4">
        <v>10012</v>
      </c>
      <c r="H3388" s="4">
        <v>103427</v>
      </c>
      <c r="I3388" s="4"/>
      <c r="J3388" s="4">
        <f>SUM(G3388:I3388)</f>
        <v>113439</v>
      </c>
      <c r="K3388" t="s">
        <v>1660</v>
      </c>
      <c r="L3388" t="s">
        <v>1659</v>
      </c>
      <c r="M3388" t="s">
        <v>1520</v>
      </c>
      <c r="N3388" t="s">
        <v>1520</v>
      </c>
      <c r="O3388" t="s">
        <v>1132</v>
      </c>
      <c r="P3388" t="str">
        <f>IFERROR(VLOOKUP(F3388,Sheet1!$A$2:$B$54,2,FALSE),"")</f>
        <v/>
      </c>
    </row>
    <row r="3389" spans="1:16" x14ac:dyDescent="0.2">
      <c r="A3389" s="1">
        <v>2019</v>
      </c>
      <c r="B3389" t="s">
        <v>412</v>
      </c>
      <c r="C3389" s="10" t="s">
        <v>1678</v>
      </c>
      <c r="D3389" s="10" t="s">
        <v>1679</v>
      </c>
      <c r="E3389" s="10" t="s">
        <v>1682</v>
      </c>
      <c r="F3389" t="s">
        <v>910</v>
      </c>
      <c r="G3389" s="4">
        <v>21322</v>
      </c>
      <c r="H3389" s="4">
        <v>103898</v>
      </c>
      <c r="I3389" s="4"/>
      <c r="J3389" s="4">
        <f>SUM(G3389:I3389)</f>
        <v>125220</v>
      </c>
      <c r="K3389" t="s">
        <v>1660</v>
      </c>
      <c r="L3389" t="s">
        <v>1659</v>
      </c>
      <c r="M3389" t="s">
        <v>1520</v>
      </c>
      <c r="N3389" t="s">
        <v>1520</v>
      </c>
      <c r="O3389" t="s">
        <v>1132</v>
      </c>
      <c r="P3389" t="str">
        <f>IFERROR(VLOOKUP(F3389,Sheet1!$A$2:$B$54,2,FALSE),"")</f>
        <v/>
      </c>
    </row>
    <row r="3390" spans="1:16" x14ac:dyDescent="0.2">
      <c r="A3390" s="1">
        <v>2020</v>
      </c>
      <c r="B3390" t="s">
        <v>412</v>
      </c>
      <c r="C3390" s="10" t="s">
        <v>1678</v>
      </c>
      <c r="D3390" s="10" t="s">
        <v>1679</v>
      </c>
      <c r="E3390" s="10" t="s">
        <v>1682</v>
      </c>
      <c r="F3390" t="s">
        <v>910</v>
      </c>
      <c r="G3390" s="4">
        <v>25107</v>
      </c>
      <c r="H3390" s="4">
        <v>106084</v>
      </c>
      <c r="I3390" s="4"/>
      <c r="J3390" s="4">
        <f>SUM(G3390:I3390)</f>
        <v>131191</v>
      </c>
      <c r="K3390" t="s">
        <v>1660</v>
      </c>
      <c r="L3390" t="s">
        <v>1659</v>
      </c>
      <c r="M3390" t="s">
        <v>1520</v>
      </c>
      <c r="N3390" t="s">
        <v>1520</v>
      </c>
      <c r="O3390" t="s">
        <v>1132</v>
      </c>
      <c r="P3390" t="str">
        <f>IFERROR(VLOOKUP(F3390,Sheet1!$A$2:$B$54,2,FALSE),"")</f>
        <v/>
      </c>
    </row>
    <row r="3391" spans="1:16" x14ac:dyDescent="0.2">
      <c r="A3391" s="1">
        <v>2021</v>
      </c>
      <c r="B3391" t="s">
        <v>412</v>
      </c>
      <c r="C3391" s="10" t="s">
        <v>1678</v>
      </c>
      <c r="D3391" s="10" t="s">
        <v>1679</v>
      </c>
      <c r="E3391" s="10" t="s">
        <v>1682</v>
      </c>
      <c r="F3391" t="s">
        <v>910</v>
      </c>
      <c r="G3391" s="4">
        <v>27209</v>
      </c>
      <c r="H3391" s="4">
        <v>118184</v>
      </c>
      <c r="I3391" s="4"/>
      <c r="J3391" s="4">
        <f>SUM(G3391:I3391)</f>
        <v>145393</v>
      </c>
      <c r="K3391" t="s">
        <v>1660</v>
      </c>
      <c r="L3391" t="s">
        <v>1659</v>
      </c>
      <c r="M3391" t="s">
        <v>910</v>
      </c>
      <c r="N3391" t="s">
        <v>910</v>
      </c>
      <c r="O3391" t="s">
        <v>1132</v>
      </c>
      <c r="P3391" t="str">
        <f>IFERROR(VLOOKUP(F3391,Sheet1!$A$2:$B$54,2,FALSE),"")</f>
        <v/>
      </c>
    </row>
    <row r="3392" spans="1:16" x14ac:dyDescent="0.2">
      <c r="A3392" s="1">
        <v>2022</v>
      </c>
      <c r="B3392" t="s">
        <v>412</v>
      </c>
      <c r="C3392" s="10" t="s">
        <v>1678</v>
      </c>
      <c r="D3392" s="10" t="s">
        <v>1679</v>
      </c>
      <c r="E3392" s="10" t="s">
        <v>1682</v>
      </c>
      <c r="F3392" t="s">
        <v>910</v>
      </c>
      <c r="G3392" s="4">
        <v>31389</v>
      </c>
      <c r="H3392" s="4">
        <v>116245</v>
      </c>
      <c r="I3392" s="4"/>
      <c r="J3392" s="4">
        <f>SUM(G3392:I3392)</f>
        <v>147634</v>
      </c>
      <c r="K3392" t="s">
        <v>1660</v>
      </c>
      <c r="L3392" t="s">
        <v>1659</v>
      </c>
      <c r="M3392" t="s">
        <v>910</v>
      </c>
      <c r="N3392" t="s">
        <v>910</v>
      </c>
      <c r="O3392" t="s">
        <v>1132</v>
      </c>
      <c r="P3392" t="str">
        <f>IFERROR(VLOOKUP(F3392,Sheet1!$A$2:$B$54,2,FALSE),"")</f>
        <v/>
      </c>
    </row>
    <row r="3393" spans="1:16" x14ac:dyDescent="0.2">
      <c r="A3393" s="1">
        <v>2023</v>
      </c>
      <c r="B3393" t="s">
        <v>412</v>
      </c>
      <c r="C3393" s="10" t="s">
        <v>1678</v>
      </c>
      <c r="D3393" s="10" t="s">
        <v>1679</v>
      </c>
      <c r="E3393" s="10" t="s">
        <v>1682</v>
      </c>
      <c r="F3393" t="s">
        <v>910</v>
      </c>
      <c r="G3393" s="4">
        <v>46367</v>
      </c>
      <c r="H3393" s="4">
        <v>130528</v>
      </c>
      <c r="I3393" s="4"/>
      <c r="J3393" s="4">
        <f>SUM(G3393:I3393)</f>
        <v>176895</v>
      </c>
      <c r="K3393" t="s">
        <v>1660</v>
      </c>
      <c r="L3393" t="s">
        <v>1659</v>
      </c>
      <c r="M3393" t="s">
        <v>910</v>
      </c>
      <c r="N3393" t="s">
        <v>910</v>
      </c>
      <c r="O3393" t="s">
        <v>1132</v>
      </c>
      <c r="P3393" t="str">
        <f>IFERROR(VLOOKUP(F3393,Sheet1!$A$2:$B$54,2,FALSE),"")</f>
        <v/>
      </c>
    </row>
    <row r="3394" spans="1:16" x14ac:dyDescent="0.2">
      <c r="A3394" s="1">
        <v>2015</v>
      </c>
      <c r="B3394" t="s">
        <v>413</v>
      </c>
      <c r="C3394" s="10" t="s">
        <v>1678</v>
      </c>
      <c r="D3394" s="10" t="s">
        <v>1679</v>
      </c>
      <c r="E3394" s="10" t="s">
        <v>1682</v>
      </c>
      <c r="F3394" t="s">
        <v>911</v>
      </c>
      <c r="G3394" s="4">
        <v>761358</v>
      </c>
      <c r="H3394" s="4">
        <v>9003341</v>
      </c>
      <c r="I3394" s="4">
        <v>77248</v>
      </c>
      <c r="J3394" s="4">
        <f>SUM(G3394:I3394)</f>
        <v>9841947</v>
      </c>
      <c r="K3394" t="s">
        <v>1660</v>
      </c>
      <c r="L3394" t="s">
        <v>1660</v>
      </c>
      <c r="M3394" t="s">
        <v>1521</v>
      </c>
      <c r="N3394" t="s">
        <v>1521</v>
      </c>
      <c r="O3394" t="s">
        <v>1521</v>
      </c>
      <c r="P3394" t="str">
        <f>IFERROR(VLOOKUP(F3394,Sheet1!$A$2:$B$54,2,FALSE),"")</f>
        <v/>
      </c>
    </row>
    <row r="3395" spans="1:16" x14ac:dyDescent="0.2">
      <c r="A3395" s="1">
        <v>2016</v>
      </c>
      <c r="B3395" t="s">
        <v>413</v>
      </c>
      <c r="C3395" s="10" t="s">
        <v>1678</v>
      </c>
      <c r="D3395" s="10" t="s">
        <v>1679</v>
      </c>
      <c r="E3395" s="10" t="s">
        <v>1682</v>
      </c>
      <c r="F3395" t="s">
        <v>911</v>
      </c>
      <c r="G3395" s="4">
        <v>728540</v>
      </c>
      <c r="H3395" s="4">
        <v>9036213</v>
      </c>
      <c r="I3395" s="4">
        <v>78900</v>
      </c>
      <c r="J3395" s="4">
        <f>SUM(G3395:I3395)</f>
        <v>9843653</v>
      </c>
      <c r="K3395" t="s">
        <v>1660</v>
      </c>
      <c r="L3395" t="s">
        <v>1660</v>
      </c>
      <c r="M3395" t="s">
        <v>1521</v>
      </c>
      <c r="N3395" t="s">
        <v>1521</v>
      </c>
      <c r="O3395" t="s">
        <v>1521</v>
      </c>
      <c r="P3395" t="str">
        <f>IFERROR(VLOOKUP(F3395,Sheet1!$A$2:$B$54,2,FALSE),"")</f>
        <v/>
      </c>
    </row>
    <row r="3396" spans="1:16" x14ac:dyDescent="0.2">
      <c r="A3396" s="1">
        <v>2017</v>
      </c>
      <c r="B3396" t="s">
        <v>413</v>
      </c>
      <c r="C3396" s="10" t="s">
        <v>1678</v>
      </c>
      <c r="D3396" s="10" t="s">
        <v>1679</v>
      </c>
      <c r="E3396" s="10" t="s">
        <v>1682</v>
      </c>
      <c r="F3396" t="s">
        <v>911</v>
      </c>
      <c r="G3396" s="4">
        <v>638160</v>
      </c>
      <c r="H3396" s="4">
        <v>8733955</v>
      </c>
      <c r="I3396" s="4">
        <v>74832</v>
      </c>
      <c r="J3396" s="4">
        <f>SUM(G3396:I3396)</f>
        <v>9446947</v>
      </c>
      <c r="K3396" t="s">
        <v>1660</v>
      </c>
      <c r="L3396" t="s">
        <v>1660</v>
      </c>
      <c r="M3396" t="s">
        <v>1521</v>
      </c>
      <c r="N3396" t="s">
        <v>1521</v>
      </c>
      <c r="O3396" t="s">
        <v>1521</v>
      </c>
      <c r="P3396" t="str">
        <f>IFERROR(VLOOKUP(F3396,Sheet1!$A$2:$B$54,2,FALSE),"")</f>
        <v/>
      </c>
    </row>
    <row r="3397" spans="1:16" x14ac:dyDescent="0.2">
      <c r="A3397" s="1">
        <v>2018</v>
      </c>
      <c r="B3397" t="s">
        <v>413</v>
      </c>
      <c r="C3397" s="10" t="s">
        <v>1678</v>
      </c>
      <c r="D3397" s="10" t="s">
        <v>1679</v>
      </c>
      <c r="E3397" s="10" t="s">
        <v>1682</v>
      </c>
      <c r="F3397" t="s">
        <v>911</v>
      </c>
      <c r="G3397" s="4">
        <v>636440</v>
      </c>
      <c r="H3397" s="4">
        <v>8711955</v>
      </c>
      <c r="I3397" s="4">
        <v>72354</v>
      </c>
      <c r="J3397" s="4">
        <f>SUM(G3397:I3397)</f>
        <v>9420749</v>
      </c>
      <c r="K3397" t="s">
        <v>1660</v>
      </c>
      <c r="L3397" t="s">
        <v>1660</v>
      </c>
      <c r="M3397" t="s">
        <v>1521</v>
      </c>
      <c r="N3397" t="s">
        <v>1521</v>
      </c>
      <c r="O3397" t="s">
        <v>1521</v>
      </c>
      <c r="P3397" t="str">
        <f>IFERROR(VLOOKUP(F3397,Sheet1!$A$2:$B$54,2,FALSE),"")</f>
        <v/>
      </c>
    </row>
    <row r="3398" spans="1:16" x14ac:dyDescent="0.2">
      <c r="A3398" s="1">
        <v>2019</v>
      </c>
      <c r="B3398" t="s">
        <v>413</v>
      </c>
      <c r="C3398" s="10" t="s">
        <v>1678</v>
      </c>
      <c r="D3398" s="10" t="s">
        <v>1679</v>
      </c>
      <c r="E3398" s="10" t="s">
        <v>1682</v>
      </c>
      <c r="F3398" t="s">
        <v>911</v>
      </c>
      <c r="G3398" s="4">
        <v>657951</v>
      </c>
      <c r="H3398" s="4"/>
      <c r="I3398" s="4"/>
      <c r="J3398" s="4">
        <f>SUM(G3398:I3398)</f>
        <v>657951</v>
      </c>
      <c r="K3398" t="s">
        <v>1659</v>
      </c>
      <c r="L3398" t="s">
        <v>1659</v>
      </c>
      <c r="M3398" t="s">
        <v>1521</v>
      </c>
      <c r="N3398" t="s">
        <v>1132</v>
      </c>
      <c r="O3398" t="s">
        <v>1132</v>
      </c>
      <c r="P3398" t="str">
        <f>IFERROR(VLOOKUP(F3398,Sheet1!$A$2:$B$54,2,FALSE),"")</f>
        <v/>
      </c>
    </row>
    <row r="3399" spans="1:16" x14ac:dyDescent="0.2">
      <c r="A3399" s="1">
        <v>2020</v>
      </c>
      <c r="B3399" t="s">
        <v>413</v>
      </c>
      <c r="C3399" s="10" t="s">
        <v>1678</v>
      </c>
      <c r="D3399" s="10" t="s">
        <v>1679</v>
      </c>
      <c r="E3399" s="10" t="s">
        <v>1682</v>
      </c>
      <c r="F3399" t="s">
        <v>911</v>
      </c>
      <c r="G3399" s="4">
        <v>666558</v>
      </c>
      <c r="H3399" s="4"/>
      <c r="I3399" s="4"/>
      <c r="J3399" s="4">
        <f>SUM(G3399:I3399)</f>
        <v>666558</v>
      </c>
      <c r="K3399" t="s">
        <v>1659</v>
      </c>
      <c r="L3399" t="s">
        <v>1659</v>
      </c>
      <c r="M3399" t="s">
        <v>1521</v>
      </c>
      <c r="N3399" t="s">
        <v>1132</v>
      </c>
      <c r="O3399" t="s">
        <v>1132</v>
      </c>
      <c r="P3399" t="str">
        <f>IFERROR(VLOOKUP(F3399,Sheet1!$A$2:$B$54,2,FALSE),"")</f>
        <v/>
      </c>
    </row>
    <row r="3400" spans="1:16" x14ac:dyDescent="0.2">
      <c r="A3400" s="1">
        <v>2021</v>
      </c>
      <c r="B3400" t="s">
        <v>413</v>
      </c>
      <c r="C3400" s="10" t="s">
        <v>1678</v>
      </c>
      <c r="D3400" s="10" t="s">
        <v>1679</v>
      </c>
      <c r="E3400" s="10" t="s">
        <v>1682</v>
      </c>
      <c r="F3400" t="s">
        <v>911</v>
      </c>
      <c r="G3400" s="4">
        <v>672932</v>
      </c>
      <c r="H3400" s="4"/>
      <c r="I3400" s="4"/>
      <c r="J3400" s="4">
        <f>SUM(G3400:I3400)</f>
        <v>672932</v>
      </c>
      <c r="K3400" t="s">
        <v>1659</v>
      </c>
      <c r="L3400" t="s">
        <v>1659</v>
      </c>
      <c r="M3400" t="s">
        <v>911</v>
      </c>
      <c r="N3400" t="s">
        <v>1132</v>
      </c>
      <c r="O3400" t="s">
        <v>1132</v>
      </c>
      <c r="P3400" t="str">
        <f>IFERROR(VLOOKUP(F3400,Sheet1!$A$2:$B$54,2,FALSE),"")</f>
        <v/>
      </c>
    </row>
    <row r="3401" spans="1:16" x14ac:dyDescent="0.2">
      <c r="A3401" s="1">
        <v>2022</v>
      </c>
      <c r="B3401" t="s">
        <v>413</v>
      </c>
      <c r="C3401" s="10" t="s">
        <v>1678</v>
      </c>
      <c r="D3401" s="10" t="s">
        <v>1679</v>
      </c>
      <c r="E3401" s="10" t="s">
        <v>1682</v>
      </c>
      <c r="F3401" t="s">
        <v>911</v>
      </c>
      <c r="G3401" s="4">
        <v>692750</v>
      </c>
      <c r="H3401" s="4"/>
      <c r="I3401" s="4"/>
      <c r="J3401" s="4">
        <f>SUM(G3401:I3401)</f>
        <v>692750</v>
      </c>
      <c r="K3401" t="s">
        <v>1659</v>
      </c>
      <c r="L3401" t="s">
        <v>1659</v>
      </c>
      <c r="M3401" t="s">
        <v>911</v>
      </c>
      <c r="N3401" t="s">
        <v>1132</v>
      </c>
      <c r="O3401" t="s">
        <v>1132</v>
      </c>
      <c r="P3401" t="str">
        <f>IFERROR(VLOOKUP(F3401,Sheet1!$A$2:$B$54,2,FALSE),"")</f>
        <v/>
      </c>
    </row>
    <row r="3402" spans="1:16" x14ac:dyDescent="0.2">
      <c r="A3402" s="1">
        <v>2023</v>
      </c>
      <c r="B3402" t="s">
        <v>413</v>
      </c>
      <c r="C3402" s="10" t="s">
        <v>1678</v>
      </c>
      <c r="D3402" s="10" t="s">
        <v>1679</v>
      </c>
      <c r="E3402" s="10" t="s">
        <v>1682</v>
      </c>
      <c r="F3402" t="s">
        <v>911</v>
      </c>
      <c r="G3402" s="4">
        <v>786768</v>
      </c>
      <c r="H3402" s="4"/>
      <c r="I3402" s="4"/>
      <c r="J3402" s="4">
        <f>SUM(G3402:I3402)</f>
        <v>786768</v>
      </c>
      <c r="K3402" t="s">
        <v>1659</v>
      </c>
      <c r="L3402" t="s">
        <v>1659</v>
      </c>
      <c r="M3402" t="s">
        <v>911</v>
      </c>
      <c r="N3402" t="s">
        <v>1132</v>
      </c>
      <c r="O3402" t="s">
        <v>1132</v>
      </c>
      <c r="P3402" t="str">
        <f>IFERROR(VLOOKUP(F3402,Sheet1!$A$2:$B$54,2,FALSE),"")</f>
        <v/>
      </c>
    </row>
    <row r="3403" spans="1:16" x14ac:dyDescent="0.2">
      <c r="A3403" s="1">
        <v>2015</v>
      </c>
      <c r="B3403" t="s">
        <v>414</v>
      </c>
      <c r="C3403" s="10" t="s">
        <v>1678</v>
      </c>
      <c r="D3403" s="10" t="s">
        <v>1679</v>
      </c>
      <c r="E3403" s="10" t="s">
        <v>1682</v>
      </c>
      <c r="F3403" t="s">
        <v>912</v>
      </c>
      <c r="G3403" s="4">
        <v>53050</v>
      </c>
      <c r="H3403" s="4">
        <v>1154574</v>
      </c>
      <c r="I3403" s="4">
        <v>15752</v>
      </c>
      <c r="J3403" s="4">
        <f>SUM(G3403:I3403)</f>
        <v>1223376</v>
      </c>
      <c r="K3403" t="s">
        <v>1660</v>
      </c>
      <c r="L3403" t="s">
        <v>1660</v>
      </c>
      <c r="M3403" t="s">
        <v>1522</v>
      </c>
      <c r="N3403" t="s">
        <v>1522</v>
      </c>
      <c r="O3403" t="s">
        <v>1522</v>
      </c>
      <c r="P3403" t="str">
        <f>IFERROR(VLOOKUP(F3403,Sheet1!$A$2:$B$54,2,FALSE),"")</f>
        <v/>
      </c>
    </row>
    <row r="3404" spans="1:16" x14ac:dyDescent="0.2">
      <c r="A3404" s="1">
        <v>2016</v>
      </c>
      <c r="B3404" t="s">
        <v>414</v>
      </c>
      <c r="C3404" s="10" t="s">
        <v>1678</v>
      </c>
      <c r="D3404" s="10" t="s">
        <v>1679</v>
      </c>
      <c r="E3404" s="10" t="s">
        <v>1682</v>
      </c>
      <c r="F3404" t="s">
        <v>912</v>
      </c>
      <c r="G3404" s="4">
        <v>57218</v>
      </c>
      <c r="H3404" s="4">
        <v>1115186</v>
      </c>
      <c r="I3404" s="4">
        <v>7992</v>
      </c>
      <c r="J3404" s="4">
        <f>SUM(G3404:I3404)</f>
        <v>1180396</v>
      </c>
      <c r="K3404" t="s">
        <v>1660</v>
      </c>
      <c r="L3404" t="s">
        <v>1660</v>
      </c>
      <c r="M3404" t="s">
        <v>1522</v>
      </c>
      <c r="N3404" t="s">
        <v>1522</v>
      </c>
      <c r="O3404" t="s">
        <v>1522</v>
      </c>
      <c r="P3404" t="str">
        <f>IFERROR(VLOOKUP(F3404,Sheet1!$A$2:$B$54,2,FALSE),"")</f>
        <v/>
      </c>
    </row>
    <row r="3405" spans="1:16" x14ac:dyDescent="0.2">
      <c r="A3405" s="1">
        <v>2017</v>
      </c>
      <c r="B3405" t="s">
        <v>414</v>
      </c>
      <c r="C3405" s="10" t="s">
        <v>1678</v>
      </c>
      <c r="D3405" s="10" t="s">
        <v>1679</v>
      </c>
      <c r="E3405" s="10" t="s">
        <v>1682</v>
      </c>
      <c r="F3405" t="s">
        <v>912</v>
      </c>
      <c r="G3405" s="4">
        <v>57534</v>
      </c>
      <c r="H3405" s="4">
        <v>1063990</v>
      </c>
      <c r="I3405" s="4">
        <v>8250</v>
      </c>
      <c r="J3405" s="4">
        <f>SUM(G3405:I3405)</f>
        <v>1129774</v>
      </c>
      <c r="K3405" t="s">
        <v>1660</v>
      </c>
      <c r="L3405" t="s">
        <v>1660</v>
      </c>
      <c r="M3405" t="s">
        <v>1522</v>
      </c>
      <c r="N3405" t="s">
        <v>1522</v>
      </c>
      <c r="O3405" t="s">
        <v>1522</v>
      </c>
      <c r="P3405" t="str">
        <f>IFERROR(VLOOKUP(F3405,Sheet1!$A$2:$B$54,2,FALSE),"")</f>
        <v/>
      </c>
    </row>
    <row r="3406" spans="1:16" x14ac:dyDescent="0.2">
      <c r="A3406" s="1">
        <v>2018</v>
      </c>
      <c r="B3406" t="s">
        <v>414</v>
      </c>
      <c r="C3406" s="10" t="s">
        <v>1678</v>
      </c>
      <c r="D3406" s="10" t="s">
        <v>1679</v>
      </c>
      <c r="E3406" s="10" t="s">
        <v>1682</v>
      </c>
      <c r="F3406" t="s">
        <v>912</v>
      </c>
      <c r="G3406" s="4">
        <v>61113</v>
      </c>
      <c r="H3406" s="4">
        <v>1150394</v>
      </c>
      <c r="I3406" s="4">
        <v>8383</v>
      </c>
      <c r="J3406" s="4">
        <f>SUM(G3406:I3406)</f>
        <v>1219890</v>
      </c>
      <c r="K3406" t="s">
        <v>1660</v>
      </c>
      <c r="L3406" t="s">
        <v>1660</v>
      </c>
      <c r="M3406" t="s">
        <v>1522</v>
      </c>
      <c r="N3406" t="s">
        <v>1522</v>
      </c>
      <c r="O3406" t="s">
        <v>1522</v>
      </c>
      <c r="P3406" t="str">
        <f>IFERROR(VLOOKUP(F3406,Sheet1!$A$2:$B$54,2,FALSE),"")</f>
        <v/>
      </c>
    </row>
    <row r="3407" spans="1:16" x14ac:dyDescent="0.2">
      <c r="A3407" s="1">
        <v>2019</v>
      </c>
      <c r="B3407" t="s">
        <v>414</v>
      </c>
      <c r="C3407" s="10" t="s">
        <v>1678</v>
      </c>
      <c r="D3407" s="10" t="s">
        <v>1679</v>
      </c>
      <c r="E3407" s="10" t="s">
        <v>1682</v>
      </c>
      <c r="F3407" t="s">
        <v>912</v>
      </c>
      <c r="G3407" s="4">
        <v>84801</v>
      </c>
      <c r="H3407" s="4"/>
      <c r="I3407" s="4"/>
      <c r="J3407" s="4">
        <f>SUM(G3407:I3407)</f>
        <v>84801</v>
      </c>
      <c r="K3407" t="s">
        <v>1659</v>
      </c>
      <c r="L3407" t="s">
        <v>1659</v>
      </c>
      <c r="M3407" t="s">
        <v>1522</v>
      </c>
      <c r="N3407" t="s">
        <v>1132</v>
      </c>
      <c r="O3407" t="s">
        <v>1132</v>
      </c>
      <c r="P3407" t="str">
        <f>IFERROR(VLOOKUP(F3407,Sheet1!$A$2:$B$54,2,FALSE),"")</f>
        <v/>
      </c>
    </row>
    <row r="3408" spans="1:16" x14ac:dyDescent="0.2">
      <c r="A3408" s="1">
        <v>2020</v>
      </c>
      <c r="B3408" t="s">
        <v>414</v>
      </c>
      <c r="C3408" s="10" t="s">
        <v>1678</v>
      </c>
      <c r="D3408" s="10" t="s">
        <v>1679</v>
      </c>
      <c r="E3408" s="10" t="s">
        <v>1682</v>
      </c>
      <c r="F3408" t="s">
        <v>912</v>
      </c>
      <c r="G3408" s="4">
        <v>98862</v>
      </c>
      <c r="H3408" s="4"/>
      <c r="I3408" s="4"/>
      <c r="J3408" s="4">
        <f>SUM(G3408:I3408)</f>
        <v>98862</v>
      </c>
      <c r="K3408" t="s">
        <v>1659</v>
      </c>
      <c r="L3408" t="s">
        <v>1659</v>
      </c>
      <c r="M3408" t="s">
        <v>1522</v>
      </c>
      <c r="N3408" t="s">
        <v>1132</v>
      </c>
      <c r="O3408" t="s">
        <v>1132</v>
      </c>
      <c r="P3408" t="str">
        <f>IFERROR(VLOOKUP(F3408,Sheet1!$A$2:$B$54,2,FALSE),"")</f>
        <v/>
      </c>
    </row>
    <row r="3409" spans="1:16" x14ac:dyDescent="0.2">
      <c r="A3409" s="1">
        <v>2021</v>
      </c>
      <c r="B3409" t="s">
        <v>414</v>
      </c>
      <c r="C3409" s="10" t="s">
        <v>1678</v>
      </c>
      <c r="D3409" s="10" t="s">
        <v>1679</v>
      </c>
      <c r="E3409" s="10" t="s">
        <v>1682</v>
      </c>
      <c r="F3409" t="s">
        <v>912</v>
      </c>
      <c r="G3409" s="4">
        <v>117322</v>
      </c>
      <c r="H3409" s="4"/>
      <c r="I3409" s="4"/>
      <c r="J3409" s="4">
        <f>SUM(G3409:I3409)</f>
        <v>117322</v>
      </c>
      <c r="K3409" t="s">
        <v>1659</v>
      </c>
      <c r="L3409" t="s">
        <v>1659</v>
      </c>
      <c r="M3409" t="s">
        <v>912</v>
      </c>
      <c r="N3409" t="s">
        <v>1132</v>
      </c>
      <c r="O3409" t="s">
        <v>1132</v>
      </c>
      <c r="P3409" t="str">
        <f>IFERROR(VLOOKUP(F3409,Sheet1!$A$2:$B$54,2,FALSE),"")</f>
        <v/>
      </c>
    </row>
    <row r="3410" spans="1:16" x14ac:dyDescent="0.2">
      <c r="A3410" s="1">
        <v>2022</v>
      </c>
      <c r="B3410" t="s">
        <v>414</v>
      </c>
      <c r="C3410" s="10" t="s">
        <v>1678</v>
      </c>
      <c r="D3410" s="10" t="s">
        <v>1679</v>
      </c>
      <c r="E3410" s="10" t="s">
        <v>1682</v>
      </c>
      <c r="F3410" t="s">
        <v>912</v>
      </c>
      <c r="G3410" s="4">
        <v>146839</v>
      </c>
      <c r="H3410" s="4"/>
      <c r="I3410" s="4"/>
      <c r="J3410" s="4">
        <f>SUM(G3410:I3410)</f>
        <v>146839</v>
      </c>
      <c r="K3410" t="s">
        <v>1659</v>
      </c>
      <c r="L3410" t="s">
        <v>1659</v>
      </c>
      <c r="M3410" t="s">
        <v>912</v>
      </c>
      <c r="N3410" t="s">
        <v>1132</v>
      </c>
      <c r="O3410" t="s">
        <v>1132</v>
      </c>
      <c r="P3410" t="str">
        <f>IFERROR(VLOOKUP(F3410,Sheet1!$A$2:$B$54,2,FALSE),"")</f>
        <v/>
      </c>
    </row>
    <row r="3411" spans="1:16" x14ac:dyDescent="0.2">
      <c r="A3411" s="1">
        <v>2023</v>
      </c>
      <c r="B3411" t="s">
        <v>414</v>
      </c>
      <c r="C3411" s="10" t="s">
        <v>1678</v>
      </c>
      <c r="D3411" s="10" t="s">
        <v>1679</v>
      </c>
      <c r="E3411" s="10" t="s">
        <v>1682</v>
      </c>
      <c r="F3411" t="s">
        <v>912</v>
      </c>
      <c r="G3411" s="4">
        <v>165393</v>
      </c>
      <c r="H3411" s="4"/>
      <c r="I3411" s="4"/>
      <c r="J3411" s="4">
        <f>SUM(G3411:I3411)</f>
        <v>165393</v>
      </c>
      <c r="K3411" t="s">
        <v>1659</v>
      </c>
      <c r="L3411" t="s">
        <v>1659</v>
      </c>
      <c r="M3411" t="s">
        <v>912</v>
      </c>
      <c r="N3411" t="s">
        <v>1132</v>
      </c>
      <c r="O3411" t="s">
        <v>1132</v>
      </c>
      <c r="P3411" t="str">
        <f>IFERROR(VLOOKUP(F3411,Sheet1!$A$2:$B$54,2,FALSE),"")</f>
        <v/>
      </c>
    </row>
    <row r="3412" spans="1:16" x14ac:dyDescent="0.2">
      <c r="A3412" s="1">
        <v>2015</v>
      </c>
      <c r="B3412" t="s">
        <v>415</v>
      </c>
      <c r="C3412" s="10" t="s">
        <v>1678</v>
      </c>
      <c r="D3412" s="10" t="s">
        <v>1679</v>
      </c>
      <c r="E3412" s="10" t="s">
        <v>1682</v>
      </c>
      <c r="F3412" t="s">
        <v>913</v>
      </c>
      <c r="G3412" s="4">
        <v>547490</v>
      </c>
      <c r="H3412" s="4">
        <v>5198575</v>
      </c>
      <c r="I3412" s="4">
        <v>152571</v>
      </c>
      <c r="J3412" s="4">
        <f>SUM(G3412:I3412)</f>
        <v>5898636</v>
      </c>
      <c r="K3412" t="s">
        <v>1660</v>
      </c>
      <c r="L3412" t="s">
        <v>1660</v>
      </c>
      <c r="M3412" t="s">
        <v>1523</v>
      </c>
      <c r="N3412" t="s">
        <v>1523</v>
      </c>
      <c r="O3412" t="s">
        <v>1523</v>
      </c>
      <c r="P3412" t="str">
        <f>IFERROR(VLOOKUP(F3412,Sheet1!$A$2:$B$54,2,FALSE),"")</f>
        <v/>
      </c>
    </row>
    <row r="3413" spans="1:16" x14ac:dyDescent="0.2">
      <c r="A3413" s="1">
        <v>2016</v>
      </c>
      <c r="B3413" t="s">
        <v>415</v>
      </c>
      <c r="C3413" s="10" t="s">
        <v>1678</v>
      </c>
      <c r="D3413" s="10" t="s">
        <v>1679</v>
      </c>
      <c r="E3413" s="10" t="s">
        <v>1682</v>
      </c>
      <c r="F3413" t="s">
        <v>913</v>
      </c>
      <c r="G3413" s="4">
        <v>521798</v>
      </c>
      <c r="H3413" s="4">
        <v>5027876</v>
      </c>
      <c r="I3413" s="4">
        <v>123665</v>
      </c>
      <c r="J3413" s="4">
        <f>SUM(G3413:I3413)</f>
        <v>5673339</v>
      </c>
      <c r="K3413" t="s">
        <v>1660</v>
      </c>
      <c r="L3413" t="s">
        <v>1660</v>
      </c>
      <c r="M3413" t="s">
        <v>1523</v>
      </c>
      <c r="N3413" t="s">
        <v>1523</v>
      </c>
      <c r="O3413" t="s">
        <v>1523</v>
      </c>
      <c r="P3413" t="str">
        <f>IFERROR(VLOOKUP(F3413,Sheet1!$A$2:$B$54,2,FALSE),"")</f>
        <v/>
      </c>
    </row>
    <row r="3414" spans="1:16" x14ac:dyDescent="0.2">
      <c r="A3414" s="1">
        <v>2017</v>
      </c>
      <c r="B3414" t="s">
        <v>415</v>
      </c>
      <c r="C3414" s="10" t="s">
        <v>1678</v>
      </c>
      <c r="D3414" s="10" t="s">
        <v>1679</v>
      </c>
      <c r="E3414" s="10" t="s">
        <v>1682</v>
      </c>
      <c r="F3414" t="s">
        <v>913</v>
      </c>
      <c r="G3414" s="4">
        <v>465837</v>
      </c>
      <c r="H3414" s="4">
        <v>4961388</v>
      </c>
      <c r="I3414" s="4">
        <v>91387</v>
      </c>
      <c r="J3414" s="4">
        <f>SUM(G3414:I3414)</f>
        <v>5518612</v>
      </c>
      <c r="K3414" t="s">
        <v>1660</v>
      </c>
      <c r="L3414" t="s">
        <v>1660</v>
      </c>
      <c r="M3414" t="s">
        <v>1523</v>
      </c>
      <c r="N3414" t="s">
        <v>1523</v>
      </c>
      <c r="O3414" t="s">
        <v>1523</v>
      </c>
      <c r="P3414" t="str">
        <f>IFERROR(VLOOKUP(F3414,Sheet1!$A$2:$B$54,2,FALSE),"")</f>
        <v/>
      </c>
    </row>
    <row r="3415" spans="1:16" x14ac:dyDescent="0.2">
      <c r="A3415" s="1">
        <v>2018</v>
      </c>
      <c r="B3415" t="s">
        <v>415</v>
      </c>
      <c r="C3415" s="10" t="s">
        <v>1678</v>
      </c>
      <c r="D3415" s="10" t="s">
        <v>1679</v>
      </c>
      <c r="E3415" s="10" t="s">
        <v>1682</v>
      </c>
      <c r="F3415" t="s">
        <v>913</v>
      </c>
      <c r="G3415" s="4">
        <v>462476</v>
      </c>
      <c r="H3415" s="4">
        <v>4952213</v>
      </c>
      <c r="I3415" s="4">
        <v>80649</v>
      </c>
      <c r="J3415" s="4">
        <f>SUM(G3415:I3415)</f>
        <v>5495338</v>
      </c>
      <c r="K3415" t="s">
        <v>1660</v>
      </c>
      <c r="L3415" t="s">
        <v>1660</v>
      </c>
      <c r="M3415" t="s">
        <v>1523</v>
      </c>
      <c r="N3415" t="s">
        <v>1523</v>
      </c>
      <c r="O3415" t="s">
        <v>1523</v>
      </c>
      <c r="P3415" t="str">
        <f>IFERROR(VLOOKUP(F3415,Sheet1!$A$2:$B$54,2,FALSE),"")</f>
        <v/>
      </c>
    </row>
    <row r="3416" spans="1:16" x14ac:dyDescent="0.2">
      <c r="A3416" s="1">
        <v>2019</v>
      </c>
      <c r="B3416" t="s">
        <v>415</v>
      </c>
      <c r="C3416" s="10" t="s">
        <v>1678</v>
      </c>
      <c r="D3416" s="10" t="s">
        <v>1679</v>
      </c>
      <c r="E3416" s="10" t="s">
        <v>1682</v>
      </c>
      <c r="F3416" t="s">
        <v>913</v>
      </c>
      <c r="G3416" s="4">
        <v>468999</v>
      </c>
      <c r="H3416" s="4"/>
      <c r="I3416" s="4"/>
      <c r="J3416" s="4">
        <f>SUM(G3416:I3416)</f>
        <v>468999</v>
      </c>
      <c r="K3416" t="s">
        <v>1659</v>
      </c>
      <c r="L3416" t="s">
        <v>1659</v>
      </c>
      <c r="M3416" t="s">
        <v>1523</v>
      </c>
      <c r="N3416" t="s">
        <v>1132</v>
      </c>
      <c r="O3416" t="s">
        <v>1132</v>
      </c>
      <c r="P3416" t="str">
        <f>IFERROR(VLOOKUP(F3416,Sheet1!$A$2:$B$54,2,FALSE),"")</f>
        <v/>
      </c>
    </row>
    <row r="3417" spans="1:16" x14ac:dyDescent="0.2">
      <c r="A3417" s="1">
        <v>2020</v>
      </c>
      <c r="B3417" t="s">
        <v>415</v>
      </c>
      <c r="C3417" s="10" t="s">
        <v>1678</v>
      </c>
      <c r="D3417" s="10" t="s">
        <v>1679</v>
      </c>
      <c r="E3417" s="10" t="s">
        <v>1682</v>
      </c>
      <c r="F3417" t="s">
        <v>913</v>
      </c>
      <c r="G3417" s="4">
        <v>500442</v>
      </c>
      <c r="H3417" s="4"/>
      <c r="I3417" s="4"/>
      <c r="J3417" s="4">
        <f>SUM(G3417:I3417)</f>
        <v>500442</v>
      </c>
      <c r="K3417" t="s">
        <v>1659</v>
      </c>
      <c r="L3417" t="s">
        <v>1659</v>
      </c>
      <c r="M3417" t="s">
        <v>1523</v>
      </c>
      <c r="N3417" t="s">
        <v>1132</v>
      </c>
      <c r="O3417" t="s">
        <v>1132</v>
      </c>
      <c r="P3417" t="str">
        <f>IFERROR(VLOOKUP(F3417,Sheet1!$A$2:$B$54,2,FALSE),"")</f>
        <v/>
      </c>
    </row>
    <row r="3418" spans="1:16" x14ac:dyDescent="0.2">
      <c r="A3418" s="1">
        <v>2021</v>
      </c>
      <c r="B3418" t="s">
        <v>415</v>
      </c>
      <c r="C3418" s="10" t="s">
        <v>1678</v>
      </c>
      <c r="D3418" s="10" t="s">
        <v>1679</v>
      </c>
      <c r="E3418" s="10" t="s">
        <v>1682</v>
      </c>
      <c r="F3418" t="s">
        <v>913</v>
      </c>
      <c r="G3418" s="4">
        <v>531526</v>
      </c>
      <c r="H3418" s="4"/>
      <c r="I3418" s="4"/>
      <c r="J3418" s="4">
        <f>SUM(G3418:I3418)</f>
        <v>531526</v>
      </c>
      <c r="K3418" t="s">
        <v>1659</v>
      </c>
      <c r="L3418" t="s">
        <v>1659</v>
      </c>
      <c r="M3418" t="s">
        <v>913</v>
      </c>
      <c r="N3418" t="s">
        <v>1132</v>
      </c>
      <c r="O3418" t="s">
        <v>1132</v>
      </c>
      <c r="P3418" t="str">
        <f>IFERROR(VLOOKUP(F3418,Sheet1!$A$2:$B$54,2,FALSE),"")</f>
        <v/>
      </c>
    </row>
    <row r="3419" spans="1:16" x14ac:dyDescent="0.2">
      <c r="A3419" s="1">
        <v>2022</v>
      </c>
      <c r="B3419" t="s">
        <v>415</v>
      </c>
      <c r="C3419" s="10" t="s">
        <v>1678</v>
      </c>
      <c r="D3419" s="10" t="s">
        <v>1679</v>
      </c>
      <c r="E3419" s="10" t="s">
        <v>1682</v>
      </c>
      <c r="F3419" t="s">
        <v>913</v>
      </c>
      <c r="G3419" s="4">
        <v>587906</v>
      </c>
      <c r="H3419" s="4"/>
      <c r="I3419" s="4"/>
      <c r="J3419" s="4">
        <f>SUM(G3419:I3419)</f>
        <v>587906</v>
      </c>
      <c r="K3419" t="s">
        <v>1659</v>
      </c>
      <c r="L3419" t="s">
        <v>1659</v>
      </c>
      <c r="M3419" t="s">
        <v>913</v>
      </c>
      <c r="N3419" t="s">
        <v>1132</v>
      </c>
      <c r="O3419" t="s">
        <v>1132</v>
      </c>
      <c r="P3419" t="str">
        <f>IFERROR(VLOOKUP(F3419,Sheet1!$A$2:$B$54,2,FALSE),"")</f>
        <v/>
      </c>
    </row>
    <row r="3420" spans="1:16" x14ac:dyDescent="0.2">
      <c r="A3420" s="1">
        <v>2023</v>
      </c>
      <c r="B3420" t="s">
        <v>415</v>
      </c>
      <c r="C3420" s="10" t="s">
        <v>1678</v>
      </c>
      <c r="D3420" s="10" t="s">
        <v>1679</v>
      </c>
      <c r="E3420" s="10" t="s">
        <v>1682</v>
      </c>
      <c r="F3420" t="s">
        <v>913</v>
      </c>
      <c r="G3420" s="4">
        <v>704246</v>
      </c>
      <c r="H3420" s="4"/>
      <c r="I3420" s="4"/>
      <c r="J3420" s="4">
        <f>SUM(G3420:I3420)</f>
        <v>704246</v>
      </c>
      <c r="K3420" t="s">
        <v>1659</v>
      </c>
      <c r="L3420" t="s">
        <v>1659</v>
      </c>
      <c r="M3420" t="s">
        <v>913</v>
      </c>
      <c r="N3420" t="s">
        <v>1132</v>
      </c>
      <c r="O3420" t="s">
        <v>1132</v>
      </c>
      <c r="P3420" t="str">
        <f>IFERROR(VLOOKUP(F3420,Sheet1!$A$2:$B$54,2,FALSE),"")</f>
        <v/>
      </c>
    </row>
    <row r="3421" spans="1:16" x14ac:dyDescent="0.2">
      <c r="A3421" s="1">
        <v>2015</v>
      </c>
      <c r="B3421" t="s">
        <v>416</v>
      </c>
      <c r="C3421" s="10" t="s">
        <v>1678</v>
      </c>
      <c r="D3421" s="10" t="s">
        <v>1679</v>
      </c>
      <c r="E3421" s="10" t="s">
        <v>1682</v>
      </c>
      <c r="F3421" t="s">
        <v>914</v>
      </c>
      <c r="G3421" s="4">
        <v>120856</v>
      </c>
      <c r="H3421" s="4"/>
      <c r="I3421" s="4"/>
      <c r="J3421" s="4">
        <f>SUM(G3421:I3421)</f>
        <v>120856</v>
      </c>
      <c r="K3421" t="s">
        <v>1659</v>
      </c>
      <c r="L3421" t="s">
        <v>1659</v>
      </c>
      <c r="M3421" t="s">
        <v>1524</v>
      </c>
      <c r="N3421" t="s">
        <v>1132</v>
      </c>
      <c r="O3421" t="s">
        <v>1132</v>
      </c>
      <c r="P3421" t="str">
        <f>IFERROR(VLOOKUP(F3421,Sheet1!$A$2:$B$54,2,FALSE),"")</f>
        <v/>
      </c>
    </row>
    <row r="3422" spans="1:16" x14ac:dyDescent="0.2">
      <c r="A3422" s="1">
        <v>2016</v>
      </c>
      <c r="B3422" t="s">
        <v>416</v>
      </c>
      <c r="C3422" s="10" t="s">
        <v>1678</v>
      </c>
      <c r="D3422" s="10" t="s">
        <v>1679</v>
      </c>
      <c r="E3422" s="10" t="s">
        <v>1682</v>
      </c>
      <c r="F3422" t="s">
        <v>914</v>
      </c>
      <c r="G3422" s="4">
        <v>147918</v>
      </c>
      <c r="H3422" s="4"/>
      <c r="I3422" s="4"/>
      <c r="J3422" s="4">
        <f>SUM(G3422:I3422)</f>
        <v>147918</v>
      </c>
      <c r="K3422" t="s">
        <v>1659</v>
      </c>
      <c r="L3422" t="s">
        <v>1659</v>
      </c>
      <c r="M3422" t="s">
        <v>1524</v>
      </c>
      <c r="N3422" t="s">
        <v>1132</v>
      </c>
      <c r="O3422" t="s">
        <v>1132</v>
      </c>
      <c r="P3422" t="str">
        <f>IFERROR(VLOOKUP(F3422,Sheet1!$A$2:$B$54,2,FALSE),"")</f>
        <v/>
      </c>
    </row>
    <row r="3423" spans="1:16" x14ac:dyDescent="0.2">
      <c r="A3423" s="1">
        <v>2017</v>
      </c>
      <c r="B3423" t="s">
        <v>416</v>
      </c>
      <c r="C3423" s="10" t="s">
        <v>1678</v>
      </c>
      <c r="D3423" s="10" t="s">
        <v>1679</v>
      </c>
      <c r="E3423" s="10" t="s">
        <v>1682</v>
      </c>
      <c r="F3423" t="s">
        <v>914</v>
      </c>
      <c r="G3423" s="4">
        <v>161297</v>
      </c>
      <c r="H3423" s="4"/>
      <c r="I3423" s="4"/>
      <c r="J3423" s="4">
        <f>SUM(G3423:I3423)</f>
        <v>161297</v>
      </c>
      <c r="K3423" t="s">
        <v>1659</v>
      </c>
      <c r="L3423" t="s">
        <v>1659</v>
      </c>
      <c r="M3423" t="s">
        <v>1524</v>
      </c>
      <c r="N3423" t="s">
        <v>1132</v>
      </c>
      <c r="O3423" t="s">
        <v>1132</v>
      </c>
      <c r="P3423" t="str">
        <f>IFERROR(VLOOKUP(F3423,Sheet1!$A$2:$B$54,2,FALSE),"")</f>
        <v/>
      </c>
    </row>
    <row r="3424" spans="1:16" x14ac:dyDescent="0.2">
      <c r="A3424" s="1">
        <v>2018</v>
      </c>
      <c r="B3424" t="s">
        <v>416</v>
      </c>
      <c r="C3424" s="10" t="s">
        <v>1678</v>
      </c>
      <c r="D3424" s="10" t="s">
        <v>1679</v>
      </c>
      <c r="E3424" s="10" t="s">
        <v>1682</v>
      </c>
      <c r="F3424" t="s">
        <v>914</v>
      </c>
      <c r="G3424" s="4">
        <v>192986</v>
      </c>
      <c r="H3424" s="4"/>
      <c r="I3424" s="4"/>
      <c r="J3424" s="4">
        <f>SUM(G3424:I3424)</f>
        <v>192986</v>
      </c>
      <c r="K3424" t="s">
        <v>1659</v>
      </c>
      <c r="L3424" t="s">
        <v>1659</v>
      </c>
      <c r="M3424" t="s">
        <v>1524</v>
      </c>
      <c r="N3424" t="s">
        <v>1132</v>
      </c>
      <c r="O3424" t="s">
        <v>1132</v>
      </c>
      <c r="P3424" t="str">
        <f>IFERROR(VLOOKUP(F3424,Sheet1!$A$2:$B$54,2,FALSE),"")</f>
        <v/>
      </c>
    </row>
    <row r="3425" spans="1:16" x14ac:dyDescent="0.2">
      <c r="A3425" s="1">
        <v>2019</v>
      </c>
      <c r="B3425" t="s">
        <v>416</v>
      </c>
      <c r="C3425" s="10" t="s">
        <v>1678</v>
      </c>
      <c r="D3425" s="10" t="s">
        <v>1679</v>
      </c>
      <c r="E3425" s="10" t="s">
        <v>1682</v>
      </c>
      <c r="F3425" t="s">
        <v>914</v>
      </c>
      <c r="G3425" s="4">
        <v>236851</v>
      </c>
      <c r="H3425" s="4"/>
      <c r="I3425" s="4"/>
      <c r="J3425" s="4">
        <f>SUM(G3425:I3425)</f>
        <v>236851</v>
      </c>
      <c r="K3425" t="s">
        <v>1659</v>
      </c>
      <c r="L3425" t="s">
        <v>1659</v>
      </c>
      <c r="M3425" t="s">
        <v>1524</v>
      </c>
      <c r="N3425" t="s">
        <v>1132</v>
      </c>
      <c r="O3425" t="s">
        <v>1132</v>
      </c>
      <c r="P3425" t="str">
        <f>IFERROR(VLOOKUP(F3425,Sheet1!$A$2:$B$54,2,FALSE),"")</f>
        <v/>
      </c>
    </row>
    <row r="3426" spans="1:16" x14ac:dyDescent="0.2">
      <c r="A3426" s="1">
        <v>2020</v>
      </c>
      <c r="B3426" t="s">
        <v>416</v>
      </c>
      <c r="C3426" s="10" t="s">
        <v>1678</v>
      </c>
      <c r="D3426" s="10" t="s">
        <v>1679</v>
      </c>
      <c r="E3426" s="10" t="s">
        <v>1682</v>
      </c>
      <c r="F3426" t="s">
        <v>914</v>
      </c>
      <c r="G3426" s="4">
        <v>214399</v>
      </c>
      <c r="H3426" s="4"/>
      <c r="I3426" s="4"/>
      <c r="J3426" s="4">
        <f>SUM(G3426:I3426)</f>
        <v>214399</v>
      </c>
      <c r="K3426" t="s">
        <v>1659</v>
      </c>
      <c r="L3426" t="s">
        <v>1659</v>
      </c>
      <c r="M3426" t="s">
        <v>1524</v>
      </c>
      <c r="N3426" t="s">
        <v>1132</v>
      </c>
      <c r="O3426" t="s">
        <v>1132</v>
      </c>
      <c r="P3426" t="str">
        <f>IFERROR(VLOOKUP(F3426,Sheet1!$A$2:$B$54,2,FALSE),"")</f>
        <v/>
      </c>
    </row>
    <row r="3427" spans="1:16" x14ac:dyDescent="0.2">
      <c r="A3427" s="1">
        <v>2021</v>
      </c>
      <c r="B3427" t="s">
        <v>416</v>
      </c>
      <c r="C3427" s="10" t="s">
        <v>1678</v>
      </c>
      <c r="D3427" s="10" t="s">
        <v>1679</v>
      </c>
      <c r="E3427" s="10" t="s">
        <v>1682</v>
      </c>
      <c r="F3427" t="s">
        <v>914</v>
      </c>
      <c r="G3427" s="4">
        <v>224693</v>
      </c>
      <c r="H3427" s="4"/>
      <c r="I3427" s="4"/>
      <c r="J3427" s="4">
        <f>SUM(G3427:I3427)</f>
        <v>224693</v>
      </c>
      <c r="K3427" t="s">
        <v>1659</v>
      </c>
      <c r="L3427" t="s">
        <v>1659</v>
      </c>
      <c r="M3427" t="s">
        <v>914</v>
      </c>
      <c r="N3427" t="s">
        <v>1132</v>
      </c>
      <c r="O3427" t="s">
        <v>1132</v>
      </c>
      <c r="P3427" t="str">
        <f>IFERROR(VLOOKUP(F3427,Sheet1!$A$2:$B$54,2,FALSE),"")</f>
        <v/>
      </c>
    </row>
    <row r="3428" spans="1:16" x14ac:dyDescent="0.2">
      <c r="A3428" s="1">
        <v>2022</v>
      </c>
      <c r="B3428" t="s">
        <v>416</v>
      </c>
      <c r="C3428" s="10" t="s">
        <v>1678</v>
      </c>
      <c r="D3428" s="10" t="s">
        <v>1679</v>
      </c>
      <c r="E3428" s="10" t="s">
        <v>1682</v>
      </c>
      <c r="F3428" t="s">
        <v>914</v>
      </c>
      <c r="G3428" s="4">
        <v>319794</v>
      </c>
      <c r="H3428" s="4"/>
      <c r="I3428" s="4"/>
      <c r="J3428" s="4">
        <f>SUM(G3428:I3428)</f>
        <v>319794</v>
      </c>
      <c r="K3428" t="s">
        <v>1659</v>
      </c>
      <c r="L3428" t="s">
        <v>1659</v>
      </c>
      <c r="M3428" t="s">
        <v>914</v>
      </c>
      <c r="N3428" t="s">
        <v>1132</v>
      </c>
      <c r="O3428" t="s">
        <v>1132</v>
      </c>
      <c r="P3428" t="str">
        <f>IFERROR(VLOOKUP(F3428,Sheet1!$A$2:$B$54,2,FALSE),"")</f>
        <v/>
      </c>
    </row>
    <row r="3429" spans="1:16" x14ac:dyDescent="0.2">
      <c r="A3429" s="1">
        <v>2023</v>
      </c>
      <c r="B3429" t="s">
        <v>416</v>
      </c>
      <c r="C3429" s="10" t="s">
        <v>1678</v>
      </c>
      <c r="D3429" s="10" t="s">
        <v>1679</v>
      </c>
      <c r="E3429" s="10" t="s">
        <v>1682</v>
      </c>
      <c r="F3429" t="s">
        <v>914</v>
      </c>
      <c r="G3429" s="4">
        <v>399646</v>
      </c>
      <c r="H3429" s="4"/>
      <c r="I3429" s="4"/>
      <c r="J3429" s="4">
        <f>SUM(G3429:I3429)</f>
        <v>399646</v>
      </c>
      <c r="K3429" t="s">
        <v>1659</v>
      </c>
      <c r="L3429" t="s">
        <v>1659</v>
      </c>
      <c r="M3429" t="s">
        <v>914</v>
      </c>
      <c r="N3429" t="s">
        <v>1132</v>
      </c>
      <c r="O3429" t="s">
        <v>1132</v>
      </c>
      <c r="P3429" t="str">
        <f>IFERROR(VLOOKUP(F3429,Sheet1!$A$2:$B$54,2,FALSE),"")</f>
        <v/>
      </c>
    </row>
    <row r="3430" spans="1:16" x14ac:dyDescent="0.2">
      <c r="A3430" s="1">
        <v>2015</v>
      </c>
      <c r="B3430" t="s">
        <v>417</v>
      </c>
      <c r="C3430" s="10" t="s">
        <v>1678</v>
      </c>
      <c r="D3430" s="10" t="s">
        <v>1679</v>
      </c>
      <c r="E3430" s="10" t="s">
        <v>1682</v>
      </c>
      <c r="F3430" t="s">
        <v>915</v>
      </c>
      <c r="G3430" s="4">
        <v>78555</v>
      </c>
      <c r="H3430" s="4"/>
      <c r="I3430" s="4"/>
      <c r="J3430" s="4">
        <f>SUM(G3430:I3430)</f>
        <v>78555</v>
      </c>
      <c r="K3430" t="s">
        <v>1659</v>
      </c>
      <c r="L3430" t="s">
        <v>1659</v>
      </c>
      <c r="M3430" t="s">
        <v>915</v>
      </c>
      <c r="N3430" t="s">
        <v>1132</v>
      </c>
      <c r="O3430" t="s">
        <v>1132</v>
      </c>
      <c r="P3430" t="str">
        <f>IFERROR(VLOOKUP(F3430,Sheet1!$A$2:$B$54,2,FALSE),"")</f>
        <v/>
      </c>
    </row>
    <row r="3431" spans="1:16" x14ac:dyDescent="0.2">
      <c r="A3431" s="1">
        <v>2016</v>
      </c>
      <c r="B3431" t="s">
        <v>417</v>
      </c>
      <c r="C3431" s="10" t="s">
        <v>1678</v>
      </c>
      <c r="D3431" s="10" t="s">
        <v>1679</v>
      </c>
      <c r="E3431" s="10" t="s">
        <v>1682</v>
      </c>
      <c r="F3431" t="s">
        <v>915</v>
      </c>
      <c r="G3431" s="4">
        <v>104929</v>
      </c>
      <c r="H3431" s="4"/>
      <c r="I3431" s="4"/>
      <c r="J3431" s="4">
        <f>SUM(G3431:I3431)</f>
        <v>104929</v>
      </c>
      <c r="K3431" t="s">
        <v>1659</v>
      </c>
      <c r="L3431" t="s">
        <v>1659</v>
      </c>
      <c r="M3431" t="s">
        <v>915</v>
      </c>
      <c r="N3431" t="s">
        <v>1132</v>
      </c>
      <c r="O3431" t="s">
        <v>1132</v>
      </c>
      <c r="P3431" t="str">
        <f>IFERROR(VLOOKUP(F3431,Sheet1!$A$2:$B$54,2,FALSE),"")</f>
        <v/>
      </c>
    </row>
    <row r="3432" spans="1:16" x14ac:dyDescent="0.2">
      <c r="A3432" s="1">
        <v>2017</v>
      </c>
      <c r="B3432" t="s">
        <v>417</v>
      </c>
      <c r="C3432" s="10" t="s">
        <v>1678</v>
      </c>
      <c r="D3432" s="10" t="s">
        <v>1679</v>
      </c>
      <c r="E3432" s="10" t="s">
        <v>1682</v>
      </c>
      <c r="F3432" t="s">
        <v>915</v>
      </c>
      <c r="G3432" s="4">
        <v>114190</v>
      </c>
      <c r="H3432" s="4"/>
      <c r="I3432" s="4"/>
      <c r="J3432" s="4">
        <f>SUM(G3432:I3432)</f>
        <v>114190</v>
      </c>
      <c r="K3432" t="s">
        <v>1659</v>
      </c>
      <c r="L3432" t="s">
        <v>1659</v>
      </c>
      <c r="M3432" t="s">
        <v>915</v>
      </c>
      <c r="N3432" t="s">
        <v>1132</v>
      </c>
      <c r="O3432" t="s">
        <v>1132</v>
      </c>
      <c r="P3432" t="str">
        <f>IFERROR(VLOOKUP(F3432,Sheet1!$A$2:$B$54,2,FALSE),"")</f>
        <v/>
      </c>
    </row>
    <row r="3433" spans="1:16" x14ac:dyDescent="0.2">
      <c r="A3433" s="1">
        <v>2018</v>
      </c>
      <c r="B3433" t="s">
        <v>417</v>
      </c>
      <c r="C3433" s="10" t="s">
        <v>1678</v>
      </c>
      <c r="D3433" s="10" t="s">
        <v>1679</v>
      </c>
      <c r="E3433" s="10" t="s">
        <v>1682</v>
      </c>
      <c r="F3433" t="s">
        <v>915</v>
      </c>
      <c r="G3433" s="4">
        <v>123983</v>
      </c>
      <c r="H3433" s="4"/>
      <c r="I3433" s="4"/>
      <c r="J3433" s="4">
        <f>SUM(G3433:I3433)</f>
        <v>123983</v>
      </c>
      <c r="K3433" t="s">
        <v>1659</v>
      </c>
      <c r="L3433" t="s">
        <v>1659</v>
      </c>
      <c r="M3433" t="s">
        <v>915</v>
      </c>
      <c r="N3433" t="s">
        <v>1132</v>
      </c>
      <c r="O3433" t="s">
        <v>1132</v>
      </c>
      <c r="P3433" t="str">
        <f>IFERROR(VLOOKUP(F3433,Sheet1!$A$2:$B$54,2,FALSE),"")</f>
        <v/>
      </c>
    </row>
    <row r="3434" spans="1:16" x14ac:dyDescent="0.2">
      <c r="A3434" s="1">
        <v>2019</v>
      </c>
      <c r="B3434" t="s">
        <v>417</v>
      </c>
      <c r="C3434" s="10" t="s">
        <v>1678</v>
      </c>
      <c r="D3434" s="10" t="s">
        <v>1679</v>
      </c>
      <c r="E3434" s="10" t="s">
        <v>1682</v>
      </c>
      <c r="F3434" t="s">
        <v>915</v>
      </c>
      <c r="G3434" s="4">
        <v>153486</v>
      </c>
      <c r="H3434" s="4"/>
      <c r="I3434" s="4"/>
      <c r="J3434" s="4">
        <f>SUM(G3434:I3434)</f>
        <v>153486</v>
      </c>
      <c r="K3434" t="s">
        <v>1659</v>
      </c>
      <c r="L3434" t="s">
        <v>1659</v>
      </c>
      <c r="M3434" t="s">
        <v>915</v>
      </c>
      <c r="N3434" t="s">
        <v>1132</v>
      </c>
      <c r="O3434" t="s">
        <v>1132</v>
      </c>
      <c r="P3434" t="str">
        <f>IFERROR(VLOOKUP(F3434,Sheet1!$A$2:$B$54,2,FALSE),"")</f>
        <v/>
      </c>
    </row>
    <row r="3435" spans="1:16" x14ac:dyDescent="0.2">
      <c r="A3435" s="1">
        <v>2020</v>
      </c>
      <c r="B3435" t="s">
        <v>417</v>
      </c>
      <c r="C3435" s="10" t="s">
        <v>1678</v>
      </c>
      <c r="D3435" s="10" t="s">
        <v>1679</v>
      </c>
      <c r="E3435" s="10" t="s">
        <v>1682</v>
      </c>
      <c r="F3435" t="s">
        <v>915</v>
      </c>
      <c r="G3435" s="4">
        <v>244054</v>
      </c>
      <c r="H3435" s="4"/>
      <c r="I3435" s="4"/>
      <c r="J3435" s="4">
        <f>SUM(G3435:I3435)</f>
        <v>244054</v>
      </c>
      <c r="K3435" t="s">
        <v>1659</v>
      </c>
      <c r="L3435" t="s">
        <v>1659</v>
      </c>
      <c r="M3435" t="s">
        <v>1525</v>
      </c>
      <c r="N3435" t="s">
        <v>1132</v>
      </c>
      <c r="O3435" t="s">
        <v>1132</v>
      </c>
      <c r="P3435" t="str">
        <f>IFERROR(VLOOKUP(F3435,Sheet1!$A$2:$B$54,2,FALSE),"")</f>
        <v/>
      </c>
    </row>
    <row r="3436" spans="1:16" x14ac:dyDescent="0.2">
      <c r="A3436" s="1">
        <v>2021</v>
      </c>
      <c r="B3436" t="s">
        <v>417</v>
      </c>
      <c r="C3436" s="10" t="s">
        <v>1678</v>
      </c>
      <c r="D3436" s="10" t="s">
        <v>1679</v>
      </c>
      <c r="E3436" s="10" t="s">
        <v>1682</v>
      </c>
      <c r="F3436" t="s">
        <v>915</v>
      </c>
      <c r="G3436" s="4">
        <v>295770</v>
      </c>
      <c r="H3436" s="4"/>
      <c r="I3436" s="4"/>
      <c r="J3436" s="4">
        <f>SUM(G3436:I3436)</f>
        <v>295770</v>
      </c>
      <c r="K3436" t="s">
        <v>1659</v>
      </c>
      <c r="L3436" t="s">
        <v>1659</v>
      </c>
      <c r="M3436" t="s">
        <v>915</v>
      </c>
      <c r="N3436" t="s">
        <v>1132</v>
      </c>
      <c r="O3436" t="s">
        <v>1132</v>
      </c>
      <c r="P3436" t="str">
        <f>IFERROR(VLOOKUP(F3436,Sheet1!$A$2:$B$54,2,FALSE),"")</f>
        <v/>
      </c>
    </row>
    <row r="3437" spans="1:16" x14ac:dyDescent="0.2">
      <c r="A3437" s="1">
        <v>2022</v>
      </c>
      <c r="B3437" t="s">
        <v>417</v>
      </c>
      <c r="C3437" s="10" t="s">
        <v>1678</v>
      </c>
      <c r="D3437" s="10" t="s">
        <v>1679</v>
      </c>
      <c r="E3437" s="10" t="s">
        <v>1682</v>
      </c>
      <c r="F3437" t="s">
        <v>915</v>
      </c>
      <c r="G3437" s="4">
        <v>406608</v>
      </c>
      <c r="H3437" s="4"/>
      <c r="I3437" s="4"/>
      <c r="J3437" s="4">
        <f>SUM(G3437:I3437)</f>
        <v>406608</v>
      </c>
      <c r="K3437" t="s">
        <v>1659</v>
      </c>
      <c r="L3437" t="s">
        <v>1659</v>
      </c>
      <c r="M3437" t="s">
        <v>915</v>
      </c>
      <c r="N3437" t="s">
        <v>1132</v>
      </c>
      <c r="O3437" t="s">
        <v>1132</v>
      </c>
      <c r="P3437" t="str">
        <f>IFERROR(VLOOKUP(F3437,Sheet1!$A$2:$B$54,2,FALSE),"")</f>
        <v/>
      </c>
    </row>
    <row r="3438" spans="1:16" x14ac:dyDescent="0.2">
      <c r="A3438" s="1">
        <v>2023</v>
      </c>
      <c r="B3438" t="s">
        <v>417</v>
      </c>
      <c r="C3438" s="10" t="s">
        <v>1678</v>
      </c>
      <c r="D3438" s="10" t="s">
        <v>1679</v>
      </c>
      <c r="E3438" s="10" t="s">
        <v>1682</v>
      </c>
      <c r="F3438" t="s">
        <v>915</v>
      </c>
      <c r="G3438" s="4">
        <v>497083</v>
      </c>
      <c r="H3438" s="4"/>
      <c r="I3438" s="4"/>
      <c r="J3438" s="4">
        <f>SUM(G3438:I3438)</f>
        <v>497083</v>
      </c>
      <c r="K3438" t="s">
        <v>1659</v>
      </c>
      <c r="L3438" t="s">
        <v>1659</v>
      </c>
      <c r="M3438" t="s">
        <v>915</v>
      </c>
      <c r="N3438" t="s">
        <v>1132</v>
      </c>
      <c r="O3438" t="s">
        <v>1132</v>
      </c>
      <c r="P3438" t="str">
        <f>IFERROR(VLOOKUP(F3438,Sheet1!$A$2:$B$54,2,FALSE),"")</f>
        <v/>
      </c>
    </row>
    <row r="3439" spans="1:16" x14ac:dyDescent="0.2">
      <c r="A3439" s="1">
        <v>2015</v>
      </c>
      <c r="B3439" t="s">
        <v>418</v>
      </c>
      <c r="C3439" s="10" t="s">
        <v>1678</v>
      </c>
      <c r="D3439" s="10" t="s">
        <v>1679</v>
      </c>
      <c r="E3439" s="10" t="s">
        <v>1682</v>
      </c>
      <c r="F3439" t="s">
        <v>916</v>
      </c>
      <c r="G3439" s="4">
        <v>108250</v>
      </c>
      <c r="H3439" s="4">
        <v>0</v>
      </c>
      <c r="I3439" s="4"/>
      <c r="J3439" s="4">
        <f>SUM(G3439:I3439)</f>
        <v>108250</v>
      </c>
      <c r="K3439" t="s">
        <v>1660</v>
      </c>
      <c r="L3439" t="s">
        <v>1659</v>
      </c>
      <c r="M3439" t="s">
        <v>1526</v>
      </c>
      <c r="N3439" t="s">
        <v>1646</v>
      </c>
      <c r="O3439" t="s">
        <v>1132</v>
      </c>
      <c r="P3439" t="str">
        <f>IFERROR(VLOOKUP(F3439,Sheet1!$A$2:$B$54,2,FALSE),"")</f>
        <v/>
      </c>
    </row>
    <row r="3440" spans="1:16" x14ac:dyDescent="0.2">
      <c r="A3440" s="1">
        <v>2016</v>
      </c>
      <c r="B3440" t="s">
        <v>418</v>
      </c>
      <c r="C3440" s="10" t="s">
        <v>1678</v>
      </c>
      <c r="D3440" s="10" t="s">
        <v>1679</v>
      </c>
      <c r="E3440" s="10" t="s">
        <v>1682</v>
      </c>
      <c r="F3440" t="s">
        <v>916</v>
      </c>
      <c r="G3440" s="4">
        <v>149963</v>
      </c>
      <c r="H3440" s="4"/>
      <c r="I3440" s="4"/>
      <c r="J3440" s="4">
        <f>SUM(G3440:I3440)</f>
        <v>149963</v>
      </c>
      <c r="K3440" t="s">
        <v>1659</v>
      </c>
      <c r="L3440" t="s">
        <v>1659</v>
      </c>
      <c r="M3440" t="s">
        <v>1527</v>
      </c>
      <c r="N3440" t="s">
        <v>1132</v>
      </c>
      <c r="O3440" t="s">
        <v>1132</v>
      </c>
      <c r="P3440" t="str">
        <f>IFERROR(VLOOKUP(F3440,Sheet1!$A$2:$B$54,2,FALSE),"")</f>
        <v/>
      </c>
    </row>
    <row r="3441" spans="1:16" x14ac:dyDescent="0.2">
      <c r="A3441" s="1">
        <v>2017</v>
      </c>
      <c r="B3441" t="s">
        <v>418</v>
      </c>
      <c r="C3441" s="10" t="s">
        <v>1678</v>
      </c>
      <c r="D3441" s="10" t="s">
        <v>1679</v>
      </c>
      <c r="E3441" s="10" t="s">
        <v>1682</v>
      </c>
      <c r="F3441" t="s">
        <v>916</v>
      </c>
      <c r="G3441" s="4">
        <v>186652</v>
      </c>
      <c r="H3441" s="4"/>
      <c r="I3441" s="4"/>
      <c r="J3441" s="4">
        <f>SUM(G3441:I3441)</f>
        <v>186652</v>
      </c>
      <c r="K3441" t="s">
        <v>1659</v>
      </c>
      <c r="L3441" t="s">
        <v>1659</v>
      </c>
      <c r="M3441" t="s">
        <v>1528</v>
      </c>
      <c r="N3441" t="s">
        <v>1132</v>
      </c>
      <c r="O3441" t="s">
        <v>1132</v>
      </c>
      <c r="P3441" t="str">
        <f>IFERROR(VLOOKUP(F3441,Sheet1!$A$2:$B$54,2,FALSE),"")</f>
        <v/>
      </c>
    </row>
    <row r="3442" spans="1:16" x14ac:dyDescent="0.2">
      <c r="A3442" s="1">
        <v>2018</v>
      </c>
      <c r="B3442" t="s">
        <v>418</v>
      </c>
      <c r="C3442" s="10" t="s">
        <v>1678</v>
      </c>
      <c r="D3442" s="10" t="s">
        <v>1679</v>
      </c>
      <c r="E3442" s="10" t="s">
        <v>1682</v>
      </c>
      <c r="F3442" t="s">
        <v>916</v>
      </c>
      <c r="G3442" s="4">
        <v>224334</v>
      </c>
      <c r="H3442" s="4"/>
      <c r="I3442" s="4"/>
      <c r="J3442" s="4">
        <f>SUM(G3442:I3442)</f>
        <v>224334</v>
      </c>
      <c r="K3442" t="s">
        <v>1659</v>
      </c>
      <c r="L3442" t="s">
        <v>1659</v>
      </c>
      <c r="M3442" t="s">
        <v>1528</v>
      </c>
      <c r="N3442" t="s">
        <v>1132</v>
      </c>
      <c r="O3442" t="s">
        <v>1132</v>
      </c>
      <c r="P3442" t="str">
        <f>IFERROR(VLOOKUP(F3442,Sheet1!$A$2:$B$54,2,FALSE),"")</f>
        <v/>
      </c>
    </row>
    <row r="3443" spans="1:16" x14ac:dyDescent="0.2">
      <c r="A3443" s="1">
        <v>2019</v>
      </c>
      <c r="B3443" t="s">
        <v>418</v>
      </c>
      <c r="C3443" s="10" t="s">
        <v>1678</v>
      </c>
      <c r="D3443" s="10" t="s">
        <v>1679</v>
      </c>
      <c r="E3443" s="10" t="s">
        <v>1682</v>
      </c>
      <c r="F3443" t="s">
        <v>916</v>
      </c>
      <c r="G3443" s="4">
        <v>313808</v>
      </c>
      <c r="H3443" s="4"/>
      <c r="I3443" s="4"/>
      <c r="J3443" s="4">
        <f>SUM(G3443:I3443)</f>
        <v>313808</v>
      </c>
      <c r="K3443" t="s">
        <v>1659</v>
      </c>
      <c r="L3443" t="s">
        <v>1659</v>
      </c>
      <c r="M3443" t="s">
        <v>1528</v>
      </c>
      <c r="N3443" t="s">
        <v>1132</v>
      </c>
      <c r="O3443" t="s">
        <v>1132</v>
      </c>
      <c r="P3443" t="str">
        <f>IFERROR(VLOOKUP(F3443,Sheet1!$A$2:$B$54,2,FALSE),"")</f>
        <v/>
      </c>
    </row>
    <row r="3444" spans="1:16" x14ac:dyDescent="0.2">
      <c r="A3444" s="1">
        <v>2020</v>
      </c>
      <c r="B3444" t="s">
        <v>418</v>
      </c>
      <c r="C3444" s="10" t="s">
        <v>1678</v>
      </c>
      <c r="D3444" s="10" t="s">
        <v>1679</v>
      </c>
      <c r="E3444" s="10" t="s">
        <v>1682</v>
      </c>
      <c r="F3444" t="s">
        <v>916</v>
      </c>
      <c r="G3444" s="4">
        <v>358064</v>
      </c>
      <c r="H3444" s="4"/>
      <c r="I3444" s="4"/>
      <c r="J3444" s="4">
        <f>SUM(G3444:I3444)</f>
        <v>358064</v>
      </c>
      <c r="K3444" t="s">
        <v>1659</v>
      </c>
      <c r="L3444" t="s">
        <v>1659</v>
      </c>
      <c r="M3444" t="s">
        <v>1528</v>
      </c>
      <c r="N3444" t="s">
        <v>1132</v>
      </c>
      <c r="O3444" t="s">
        <v>1132</v>
      </c>
      <c r="P3444" t="str">
        <f>IFERROR(VLOOKUP(F3444,Sheet1!$A$2:$B$54,2,FALSE),"")</f>
        <v/>
      </c>
    </row>
    <row r="3445" spans="1:16" x14ac:dyDescent="0.2">
      <c r="A3445" s="1">
        <v>2021</v>
      </c>
      <c r="B3445" t="s">
        <v>418</v>
      </c>
      <c r="C3445" s="10" t="s">
        <v>1678</v>
      </c>
      <c r="D3445" s="10" t="s">
        <v>1679</v>
      </c>
      <c r="E3445" s="10" t="s">
        <v>1682</v>
      </c>
      <c r="F3445" t="s">
        <v>916</v>
      </c>
      <c r="G3445" s="4">
        <v>396108</v>
      </c>
      <c r="H3445" s="4"/>
      <c r="I3445" s="4"/>
      <c r="J3445" s="4">
        <f>SUM(G3445:I3445)</f>
        <v>396108</v>
      </c>
      <c r="K3445" t="s">
        <v>1659</v>
      </c>
      <c r="L3445" t="s">
        <v>1659</v>
      </c>
      <c r="M3445" t="s">
        <v>916</v>
      </c>
      <c r="N3445" t="s">
        <v>1132</v>
      </c>
      <c r="O3445" t="s">
        <v>1132</v>
      </c>
      <c r="P3445" t="str">
        <f>IFERROR(VLOOKUP(F3445,Sheet1!$A$2:$B$54,2,FALSE),"")</f>
        <v/>
      </c>
    </row>
    <row r="3446" spans="1:16" x14ac:dyDescent="0.2">
      <c r="A3446" s="1">
        <v>2022</v>
      </c>
      <c r="B3446" t="s">
        <v>418</v>
      </c>
      <c r="C3446" s="10" t="s">
        <v>1678</v>
      </c>
      <c r="D3446" s="10" t="s">
        <v>1679</v>
      </c>
      <c r="E3446" s="10" t="s">
        <v>1682</v>
      </c>
      <c r="F3446" t="s">
        <v>916</v>
      </c>
      <c r="G3446" s="4">
        <v>494785</v>
      </c>
      <c r="H3446" s="4"/>
      <c r="I3446" s="4"/>
      <c r="J3446" s="4">
        <f>SUM(G3446:I3446)</f>
        <v>494785</v>
      </c>
      <c r="K3446" t="s">
        <v>1659</v>
      </c>
      <c r="L3446" t="s">
        <v>1659</v>
      </c>
      <c r="M3446" t="s">
        <v>916</v>
      </c>
      <c r="N3446" t="s">
        <v>1132</v>
      </c>
      <c r="O3446" t="s">
        <v>1132</v>
      </c>
      <c r="P3446" t="str">
        <f>IFERROR(VLOOKUP(F3446,Sheet1!$A$2:$B$54,2,FALSE),"")</f>
        <v/>
      </c>
    </row>
    <row r="3447" spans="1:16" x14ac:dyDescent="0.2">
      <c r="A3447" s="1">
        <v>2023</v>
      </c>
      <c r="B3447" t="s">
        <v>418</v>
      </c>
      <c r="C3447" s="10" t="s">
        <v>1678</v>
      </c>
      <c r="D3447" s="10" t="s">
        <v>1679</v>
      </c>
      <c r="E3447" s="10" t="s">
        <v>1682</v>
      </c>
      <c r="F3447" t="s">
        <v>916</v>
      </c>
      <c r="G3447" s="4">
        <v>546473</v>
      </c>
      <c r="H3447" s="4"/>
      <c r="I3447" s="4"/>
      <c r="J3447" s="4">
        <f>SUM(G3447:I3447)</f>
        <v>546473</v>
      </c>
      <c r="K3447" t="s">
        <v>1659</v>
      </c>
      <c r="L3447" t="s">
        <v>1659</v>
      </c>
      <c r="M3447" t="s">
        <v>916</v>
      </c>
      <c r="N3447" t="s">
        <v>1132</v>
      </c>
      <c r="O3447" t="s">
        <v>1132</v>
      </c>
      <c r="P3447" t="str">
        <f>IFERROR(VLOOKUP(F3447,Sheet1!$A$2:$B$54,2,FALSE),"")</f>
        <v/>
      </c>
    </row>
    <row r="3448" spans="1:16" x14ac:dyDescent="0.2">
      <c r="A3448" s="1">
        <v>2015</v>
      </c>
      <c r="B3448" t="s">
        <v>419</v>
      </c>
      <c r="C3448" s="10" t="s">
        <v>1678</v>
      </c>
      <c r="D3448" s="10" t="s">
        <v>1679</v>
      </c>
      <c r="E3448" s="10" t="s">
        <v>1682</v>
      </c>
      <c r="F3448" t="s">
        <v>917</v>
      </c>
      <c r="G3448" s="4">
        <v>28462</v>
      </c>
      <c r="H3448" s="4"/>
      <c r="I3448" s="4"/>
      <c r="J3448" s="4">
        <f>SUM(G3448:I3448)</f>
        <v>28462</v>
      </c>
      <c r="K3448" t="s">
        <v>1659</v>
      </c>
      <c r="L3448" t="s">
        <v>1659</v>
      </c>
      <c r="M3448" t="s">
        <v>1529</v>
      </c>
      <c r="N3448" t="s">
        <v>1132</v>
      </c>
      <c r="O3448" t="s">
        <v>1132</v>
      </c>
      <c r="P3448" t="str">
        <f>IFERROR(VLOOKUP(F3448,Sheet1!$A$2:$B$54,2,FALSE),"")</f>
        <v/>
      </c>
    </row>
    <row r="3449" spans="1:16" x14ac:dyDescent="0.2">
      <c r="A3449" s="1">
        <v>2016</v>
      </c>
      <c r="B3449" t="s">
        <v>419</v>
      </c>
      <c r="C3449" s="10" t="s">
        <v>1678</v>
      </c>
      <c r="D3449" s="10" t="s">
        <v>1679</v>
      </c>
      <c r="E3449" s="10" t="s">
        <v>1682</v>
      </c>
      <c r="F3449" t="s">
        <v>917</v>
      </c>
      <c r="G3449" s="4">
        <v>27736</v>
      </c>
      <c r="H3449" s="4"/>
      <c r="I3449" s="4"/>
      <c r="J3449" s="4">
        <f>SUM(G3449:I3449)</f>
        <v>27736</v>
      </c>
      <c r="K3449" t="s">
        <v>1659</v>
      </c>
      <c r="L3449" t="s">
        <v>1659</v>
      </c>
      <c r="M3449" t="s">
        <v>1529</v>
      </c>
      <c r="N3449" t="s">
        <v>1132</v>
      </c>
      <c r="O3449" t="s">
        <v>1132</v>
      </c>
      <c r="P3449" t="str">
        <f>IFERROR(VLOOKUP(F3449,Sheet1!$A$2:$B$54,2,FALSE),"")</f>
        <v/>
      </c>
    </row>
    <row r="3450" spans="1:16" x14ac:dyDescent="0.2">
      <c r="A3450" s="1">
        <v>2017</v>
      </c>
      <c r="B3450" t="s">
        <v>419</v>
      </c>
      <c r="C3450" s="10" t="s">
        <v>1678</v>
      </c>
      <c r="D3450" s="10" t="s">
        <v>1679</v>
      </c>
      <c r="E3450" s="10" t="s">
        <v>1682</v>
      </c>
      <c r="F3450" t="s">
        <v>917</v>
      </c>
      <c r="G3450" s="4">
        <v>32304</v>
      </c>
      <c r="H3450" s="4"/>
      <c r="I3450" s="4"/>
      <c r="J3450" s="4">
        <f>SUM(G3450:I3450)</f>
        <v>32304</v>
      </c>
      <c r="K3450" t="s">
        <v>1659</v>
      </c>
      <c r="L3450" t="s">
        <v>1659</v>
      </c>
      <c r="M3450" t="s">
        <v>1529</v>
      </c>
      <c r="N3450" t="s">
        <v>1132</v>
      </c>
      <c r="O3450" t="s">
        <v>1132</v>
      </c>
      <c r="P3450" t="str">
        <f>IFERROR(VLOOKUP(F3450,Sheet1!$A$2:$B$54,2,FALSE),"")</f>
        <v/>
      </c>
    </row>
    <row r="3451" spans="1:16" x14ac:dyDescent="0.2">
      <c r="A3451" s="1">
        <v>2018</v>
      </c>
      <c r="B3451" t="s">
        <v>419</v>
      </c>
      <c r="C3451" s="10" t="s">
        <v>1678</v>
      </c>
      <c r="D3451" s="10" t="s">
        <v>1679</v>
      </c>
      <c r="E3451" s="10" t="s">
        <v>1682</v>
      </c>
      <c r="F3451" t="s">
        <v>917</v>
      </c>
      <c r="G3451" s="4">
        <v>38863</v>
      </c>
      <c r="H3451" s="4"/>
      <c r="I3451" s="4"/>
      <c r="J3451" s="4">
        <f>SUM(G3451:I3451)</f>
        <v>38863</v>
      </c>
      <c r="K3451" t="s">
        <v>1659</v>
      </c>
      <c r="L3451" t="s">
        <v>1659</v>
      </c>
      <c r="M3451" t="s">
        <v>1529</v>
      </c>
      <c r="N3451" t="s">
        <v>1132</v>
      </c>
      <c r="O3451" t="s">
        <v>1132</v>
      </c>
      <c r="P3451" t="str">
        <f>IFERROR(VLOOKUP(F3451,Sheet1!$A$2:$B$54,2,FALSE),"")</f>
        <v/>
      </c>
    </row>
    <row r="3452" spans="1:16" x14ac:dyDescent="0.2">
      <c r="A3452" s="1">
        <v>2019</v>
      </c>
      <c r="B3452" t="s">
        <v>419</v>
      </c>
      <c r="C3452" s="10" t="s">
        <v>1678</v>
      </c>
      <c r="D3452" s="10" t="s">
        <v>1679</v>
      </c>
      <c r="E3452" s="10" t="s">
        <v>1682</v>
      </c>
      <c r="F3452" t="s">
        <v>917</v>
      </c>
      <c r="G3452" s="4">
        <v>50748</v>
      </c>
      <c r="H3452" s="4"/>
      <c r="I3452" s="4"/>
      <c r="J3452" s="4">
        <f>SUM(G3452:I3452)</f>
        <v>50748</v>
      </c>
      <c r="K3452" t="s">
        <v>1659</v>
      </c>
      <c r="L3452" t="s">
        <v>1659</v>
      </c>
      <c r="M3452" t="s">
        <v>1529</v>
      </c>
      <c r="N3452" t="s">
        <v>1132</v>
      </c>
      <c r="O3452" t="s">
        <v>1132</v>
      </c>
      <c r="P3452" t="str">
        <f>IFERROR(VLOOKUP(F3452,Sheet1!$A$2:$B$54,2,FALSE),"")</f>
        <v/>
      </c>
    </row>
    <row r="3453" spans="1:16" x14ac:dyDescent="0.2">
      <c r="A3453" s="1">
        <v>2020</v>
      </c>
      <c r="B3453" t="s">
        <v>419</v>
      </c>
      <c r="C3453" s="10" t="s">
        <v>1678</v>
      </c>
      <c r="D3453" s="10" t="s">
        <v>1679</v>
      </c>
      <c r="E3453" s="10" t="s">
        <v>1682</v>
      </c>
      <c r="F3453" t="s">
        <v>917</v>
      </c>
      <c r="G3453" s="4">
        <v>56718</v>
      </c>
      <c r="H3453" s="4"/>
      <c r="I3453" s="4"/>
      <c r="J3453" s="4">
        <f>SUM(G3453:I3453)</f>
        <v>56718</v>
      </c>
      <c r="K3453" t="s">
        <v>1659</v>
      </c>
      <c r="L3453" t="s">
        <v>1659</v>
      </c>
      <c r="M3453" t="s">
        <v>1529</v>
      </c>
      <c r="N3453" t="s">
        <v>1132</v>
      </c>
      <c r="O3453" t="s">
        <v>1132</v>
      </c>
      <c r="P3453" t="str">
        <f>IFERROR(VLOOKUP(F3453,Sheet1!$A$2:$B$54,2,FALSE),"")</f>
        <v/>
      </c>
    </row>
    <row r="3454" spans="1:16" x14ac:dyDescent="0.2">
      <c r="A3454" s="1">
        <v>2021</v>
      </c>
      <c r="B3454" t="s">
        <v>419</v>
      </c>
      <c r="C3454" s="10" t="s">
        <v>1678</v>
      </c>
      <c r="D3454" s="10" t="s">
        <v>1679</v>
      </c>
      <c r="E3454" s="10" t="s">
        <v>1682</v>
      </c>
      <c r="F3454" t="s">
        <v>917</v>
      </c>
      <c r="G3454" s="4">
        <v>60537</v>
      </c>
      <c r="H3454" s="4"/>
      <c r="I3454" s="4"/>
      <c r="J3454" s="4">
        <f>SUM(G3454:I3454)</f>
        <v>60537</v>
      </c>
      <c r="K3454" t="s">
        <v>1659</v>
      </c>
      <c r="L3454" t="s">
        <v>1659</v>
      </c>
      <c r="M3454" t="s">
        <v>917</v>
      </c>
      <c r="N3454" t="s">
        <v>1132</v>
      </c>
      <c r="O3454" t="s">
        <v>1132</v>
      </c>
      <c r="P3454" t="str">
        <f>IFERROR(VLOOKUP(F3454,Sheet1!$A$2:$B$54,2,FALSE),"")</f>
        <v/>
      </c>
    </row>
    <row r="3455" spans="1:16" x14ac:dyDescent="0.2">
      <c r="A3455" s="1">
        <v>2022</v>
      </c>
      <c r="B3455" t="s">
        <v>419</v>
      </c>
      <c r="C3455" s="10" t="s">
        <v>1678</v>
      </c>
      <c r="D3455" s="10" t="s">
        <v>1679</v>
      </c>
      <c r="E3455" s="10" t="s">
        <v>1682</v>
      </c>
      <c r="F3455" t="s">
        <v>917</v>
      </c>
      <c r="G3455" s="4">
        <v>72065</v>
      </c>
      <c r="H3455" s="4"/>
      <c r="I3455" s="4"/>
      <c r="J3455" s="4">
        <f>SUM(G3455:I3455)</f>
        <v>72065</v>
      </c>
      <c r="K3455" t="s">
        <v>1659</v>
      </c>
      <c r="L3455" t="s">
        <v>1659</v>
      </c>
      <c r="M3455" t="s">
        <v>917</v>
      </c>
      <c r="N3455" t="s">
        <v>1132</v>
      </c>
      <c r="O3455" t="s">
        <v>1132</v>
      </c>
      <c r="P3455" t="str">
        <f>IFERROR(VLOOKUP(F3455,Sheet1!$A$2:$B$54,2,FALSE),"")</f>
        <v/>
      </c>
    </row>
    <row r="3456" spans="1:16" x14ac:dyDescent="0.2">
      <c r="A3456" s="1">
        <v>2023</v>
      </c>
      <c r="B3456" t="s">
        <v>419</v>
      </c>
      <c r="C3456" s="10" t="s">
        <v>1678</v>
      </c>
      <c r="D3456" s="10" t="s">
        <v>1679</v>
      </c>
      <c r="E3456" s="10" t="s">
        <v>1682</v>
      </c>
      <c r="F3456" t="s">
        <v>917</v>
      </c>
      <c r="G3456" s="4">
        <v>96329</v>
      </c>
      <c r="H3456" s="4"/>
      <c r="I3456" s="4"/>
      <c r="J3456" s="4">
        <f>SUM(G3456:I3456)</f>
        <v>96329</v>
      </c>
      <c r="K3456" t="s">
        <v>1659</v>
      </c>
      <c r="L3456" t="s">
        <v>1659</v>
      </c>
      <c r="M3456" t="s">
        <v>917</v>
      </c>
      <c r="N3456" t="s">
        <v>1132</v>
      </c>
      <c r="O3456" t="s">
        <v>1132</v>
      </c>
      <c r="P3456" t="str">
        <f>IFERROR(VLOOKUP(F3456,Sheet1!$A$2:$B$54,2,FALSE),"")</f>
        <v/>
      </c>
    </row>
    <row r="3457" spans="1:16" x14ac:dyDescent="0.2">
      <c r="A3457" s="1">
        <v>2015</v>
      </c>
      <c r="B3457" t="s">
        <v>420</v>
      </c>
      <c r="C3457" s="10" t="s">
        <v>1678</v>
      </c>
      <c r="D3457" s="10" t="s">
        <v>1679</v>
      </c>
      <c r="E3457" s="10" t="s">
        <v>1682</v>
      </c>
      <c r="F3457" t="s">
        <v>918</v>
      </c>
      <c r="G3457" s="4">
        <v>8823</v>
      </c>
      <c r="H3457" s="4"/>
      <c r="I3457" s="4"/>
      <c r="J3457" s="4">
        <f>SUM(G3457:I3457)</f>
        <v>8823</v>
      </c>
      <c r="K3457" t="s">
        <v>1659</v>
      </c>
      <c r="L3457" t="s">
        <v>1659</v>
      </c>
      <c r="M3457" t="s">
        <v>1530</v>
      </c>
      <c r="N3457" t="s">
        <v>1132</v>
      </c>
      <c r="O3457" t="s">
        <v>1132</v>
      </c>
      <c r="P3457" t="str">
        <f>IFERROR(VLOOKUP(F3457,Sheet1!$A$2:$B$54,2,FALSE),"")</f>
        <v/>
      </c>
    </row>
    <row r="3458" spans="1:16" x14ac:dyDescent="0.2">
      <c r="A3458" s="1">
        <v>2016</v>
      </c>
      <c r="B3458" t="s">
        <v>420</v>
      </c>
      <c r="C3458" s="10" t="s">
        <v>1678</v>
      </c>
      <c r="D3458" s="10" t="s">
        <v>1679</v>
      </c>
      <c r="E3458" s="10" t="s">
        <v>1682</v>
      </c>
      <c r="F3458" t="s">
        <v>918</v>
      </c>
      <c r="G3458" s="4">
        <v>19865</v>
      </c>
      <c r="H3458" s="4"/>
      <c r="I3458" s="4"/>
      <c r="J3458" s="4">
        <f>SUM(G3458:I3458)</f>
        <v>19865</v>
      </c>
      <c r="K3458" t="s">
        <v>1659</v>
      </c>
      <c r="L3458" t="s">
        <v>1659</v>
      </c>
      <c r="M3458" t="s">
        <v>1530</v>
      </c>
      <c r="N3458" t="s">
        <v>1132</v>
      </c>
      <c r="O3458" t="s">
        <v>1132</v>
      </c>
      <c r="P3458" t="str">
        <f>IFERROR(VLOOKUP(F3458,Sheet1!$A$2:$B$54,2,FALSE),"")</f>
        <v/>
      </c>
    </row>
    <row r="3459" spans="1:16" x14ac:dyDescent="0.2">
      <c r="A3459" s="1">
        <v>2017</v>
      </c>
      <c r="B3459" t="s">
        <v>420</v>
      </c>
      <c r="C3459" s="10" t="s">
        <v>1678</v>
      </c>
      <c r="D3459" s="10" t="s">
        <v>1679</v>
      </c>
      <c r="E3459" s="10" t="s">
        <v>1682</v>
      </c>
      <c r="F3459" t="s">
        <v>918</v>
      </c>
      <c r="G3459" s="4">
        <v>47182</v>
      </c>
      <c r="H3459" s="4"/>
      <c r="I3459" s="4"/>
      <c r="J3459" s="4">
        <f>SUM(G3459:I3459)</f>
        <v>47182</v>
      </c>
      <c r="K3459" t="s">
        <v>1659</v>
      </c>
      <c r="L3459" t="s">
        <v>1659</v>
      </c>
      <c r="M3459" t="s">
        <v>1530</v>
      </c>
      <c r="N3459" t="s">
        <v>1132</v>
      </c>
      <c r="O3459" t="s">
        <v>1132</v>
      </c>
      <c r="P3459" t="str">
        <f>IFERROR(VLOOKUP(F3459,Sheet1!$A$2:$B$54,2,FALSE),"")</f>
        <v/>
      </c>
    </row>
    <row r="3460" spans="1:16" x14ac:dyDescent="0.2">
      <c r="A3460" s="1">
        <v>2018</v>
      </c>
      <c r="B3460" t="s">
        <v>420</v>
      </c>
      <c r="C3460" s="10" t="s">
        <v>1678</v>
      </c>
      <c r="D3460" s="10" t="s">
        <v>1679</v>
      </c>
      <c r="E3460" s="10" t="s">
        <v>1682</v>
      </c>
      <c r="F3460" t="s">
        <v>918</v>
      </c>
      <c r="G3460" s="4">
        <v>55506</v>
      </c>
      <c r="H3460" s="4"/>
      <c r="I3460" s="4"/>
      <c r="J3460" s="4">
        <f>SUM(G3460:I3460)</f>
        <v>55506</v>
      </c>
      <c r="K3460" t="s">
        <v>1659</v>
      </c>
      <c r="L3460" t="s">
        <v>1659</v>
      </c>
      <c r="M3460" t="s">
        <v>1530</v>
      </c>
      <c r="N3460" t="s">
        <v>1132</v>
      </c>
      <c r="O3460" t="s">
        <v>1132</v>
      </c>
      <c r="P3460" t="str">
        <f>IFERROR(VLOOKUP(F3460,Sheet1!$A$2:$B$54,2,FALSE),"")</f>
        <v/>
      </c>
    </row>
    <row r="3461" spans="1:16" x14ac:dyDescent="0.2">
      <c r="A3461" s="1">
        <v>2019</v>
      </c>
      <c r="B3461" t="s">
        <v>420</v>
      </c>
      <c r="C3461" s="10" t="s">
        <v>1678</v>
      </c>
      <c r="D3461" s="10" t="s">
        <v>1679</v>
      </c>
      <c r="E3461" s="10" t="s">
        <v>1682</v>
      </c>
      <c r="F3461" t="s">
        <v>918</v>
      </c>
      <c r="G3461" s="4">
        <v>72566</v>
      </c>
      <c r="H3461" s="4"/>
      <c r="I3461" s="4"/>
      <c r="J3461" s="4">
        <f>SUM(G3461:I3461)</f>
        <v>72566</v>
      </c>
      <c r="K3461" t="s">
        <v>1659</v>
      </c>
      <c r="L3461" t="s">
        <v>1659</v>
      </c>
      <c r="M3461" t="s">
        <v>1530</v>
      </c>
      <c r="N3461" t="s">
        <v>1132</v>
      </c>
      <c r="O3461" t="s">
        <v>1132</v>
      </c>
      <c r="P3461" t="str">
        <f>IFERROR(VLOOKUP(F3461,Sheet1!$A$2:$B$54,2,FALSE),"")</f>
        <v/>
      </c>
    </row>
    <row r="3462" spans="1:16" x14ac:dyDescent="0.2">
      <c r="A3462" s="1">
        <v>2020</v>
      </c>
      <c r="B3462" t="s">
        <v>420</v>
      </c>
      <c r="C3462" s="10" t="s">
        <v>1678</v>
      </c>
      <c r="D3462" s="10" t="s">
        <v>1679</v>
      </c>
      <c r="E3462" s="10" t="s">
        <v>1682</v>
      </c>
      <c r="F3462" t="s">
        <v>918</v>
      </c>
      <c r="G3462" s="4">
        <v>84356</v>
      </c>
      <c r="H3462" s="4"/>
      <c r="I3462" s="4"/>
      <c r="J3462" s="4">
        <f>SUM(G3462:I3462)</f>
        <v>84356</v>
      </c>
      <c r="K3462" t="s">
        <v>1659</v>
      </c>
      <c r="L3462" t="s">
        <v>1659</v>
      </c>
      <c r="M3462" t="s">
        <v>1530</v>
      </c>
      <c r="N3462" t="s">
        <v>1132</v>
      </c>
      <c r="O3462" t="s">
        <v>1132</v>
      </c>
      <c r="P3462" t="str">
        <f>IFERROR(VLOOKUP(F3462,Sheet1!$A$2:$B$54,2,FALSE),"")</f>
        <v/>
      </c>
    </row>
    <row r="3463" spans="1:16" x14ac:dyDescent="0.2">
      <c r="A3463" s="1">
        <v>2021</v>
      </c>
      <c r="B3463" t="s">
        <v>420</v>
      </c>
      <c r="C3463" s="10" t="s">
        <v>1678</v>
      </c>
      <c r="D3463" s="10" t="s">
        <v>1679</v>
      </c>
      <c r="E3463" s="10" t="s">
        <v>1682</v>
      </c>
      <c r="F3463" t="s">
        <v>918</v>
      </c>
      <c r="G3463" s="4">
        <v>101405</v>
      </c>
      <c r="H3463" s="4"/>
      <c r="I3463" s="4"/>
      <c r="J3463" s="4">
        <f>SUM(G3463:I3463)</f>
        <v>101405</v>
      </c>
      <c r="K3463" t="s">
        <v>1659</v>
      </c>
      <c r="L3463" t="s">
        <v>1659</v>
      </c>
      <c r="M3463" t="s">
        <v>918</v>
      </c>
      <c r="N3463" t="s">
        <v>1132</v>
      </c>
      <c r="O3463" t="s">
        <v>1132</v>
      </c>
      <c r="P3463" t="str">
        <f>IFERROR(VLOOKUP(F3463,Sheet1!$A$2:$B$54,2,FALSE),"")</f>
        <v/>
      </c>
    </row>
    <row r="3464" spans="1:16" x14ac:dyDescent="0.2">
      <c r="A3464" s="1">
        <v>2022</v>
      </c>
      <c r="B3464" t="s">
        <v>420</v>
      </c>
      <c r="C3464" s="10" t="s">
        <v>1678</v>
      </c>
      <c r="D3464" s="10" t="s">
        <v>1679</v>
      </c>
      <c r="E3464" s="10" t="s">
        <v>1682</v>
      </c>
      <c r="F3464" t="s">
        <v>918</v>
      </c>
      <c r="G3464" s="4">
        <v>100426</v>
      </c>
      <c r="H3464" s="4"/>
      <c r="I3464" s="4"/>
      <c r="J3464" s="4">
        <f>SUM(G3464:I3464)</f>
        <v>100426</v>
      </c>
      <c r="K3464" t="s">
        <v>1659</v>
      </c>
      <c r="L3464" t="s">
        <v>1659</v>
      </c>
      <c r="M3464" t="s">
        <v>918</v>
      </c>
      <c r="N3464" t="s">
        <v>1132</v>
      </c>
      <c r="O3464" t="s">
        <v>1132</v>
      </c>
      <c r="P3464" t="str">
        <f>IFERROR(VLOOKUP(F3464,Sheet1!$A$2:$B$54,2,FALSE),"")</f>
        <v/>
      </c>
    </row>
    <row r="3465" spans="1:16" x14ac:dyDescent="0.2">
      <c r="A3465" s="1">
        <v>2023</v>
      </c>
      <c r="B3465" t="s">
        <v>420</v>
      </c>
      <c r="C3465" s="10" t="s">
        <v>1678</v>
      </c>
      <c r="D3465" s="10" t="s">
        <v>1679</v>
      </c>
      <c r="E3465" s="10" t="s">
        <v>1682</v>
      </c>
      <c r="F3465" t="s">
        <v>918</v>
      </c>
      <c r="G3465" s="4">
        <v>120490</v>
      </c>
      <c r="H3465" s="4"/>
      <c r="I3465" s="4"/>
      <c r="J3465" s="4">
        <f>SUM(G3465:I3465)</f>
        <v>120490</v>
      </c>
      <c r="K3465" t="s">
        <v>1659</v>
      </c>
      <c r="L3465" t="s">
        <v>1659</v>
      </c>
      <c r="M3465" t="s">
        <v>918</v>
      </c>
      <c r="N3465" t="s">
        <v>1132</v>
      </c>
      <c r="O3465" t="s">
        <v>1132</v>
      </c>
      <c r="P3465" t="str">
        <f>IFERROR(VLOOKUP(F3465,Sheet1!$A$2:$B$54,2,FALSE),"")</f>
        <v/>
      </c>
    </row>
    <row r="3466" spans="1:16" x14ac:dyDescent="0.2">
      <c r="A3466" s="1">
        <v>2020</v>
      </c>
      <c r="B3466" t="s">
        <v>421</v>
      </c>
      <c r="C3466" s="10" t="s">
        <v>1678</v>
      </c>
      <c r="D3466" s="10" t="s">
        <v>1679</v>
      </c>
      <c r="E3466" s="10" t="s">
        <v>1682</v>
      </c>
      <c r="F3466" t="s">
        <v>919</v>
      </c>
      <c r="G3466" s="4">
        <v>533294</v>
      </c>
      <c r="H3466" s="4"/>
      <c r="I3466" s="4"/>
      <c r="J3466" s="4">
        <f>SUM(G3466:I3466)</f>
        <v>533294</v>
      </c>
      <c r="K3466" t="s">
        <v>1659</v>
      </c>
      <c r="L3466" t="s">
        <v>1659</v>
      </c>
      <c r="M3466" t="s">
        <v>1531</v>
      </c>
      <c r="N3466" t="s">
        <v>1132</v>
      </c>
      <c r="O3466" t="s">
        <v>1132</v>
      </c>
      <c r="P3466" t="str">
        <f>IFERROR(VLOOKUP(F3466,Sheet1!$A$2:$B$54,2,FALSE),"")</f>
        <v/>
      </c>
    </row>
    <row r="3467" spans="1:16" x14ac:dyDescent="0.2">
      <c r="A3467" s="1">
        <v>2021</v>
      </c>
      <c r="B3467" t="s">
        <v>421</v>
      </c>
      <c r="C3467" s="10" t="s">
        <v>1678</v>
      </c>
      <c r="D3467" s="10" t="s">
        <v>1679</v>
      </c>
      <c r="E3467" s="10" t="s">
        <v>1682</v>
      </c>
      <c r="F3467" t="s">
        <v>919</v>
      </c>
      <c r="G3467" s="4">
        <v>717806</v>
      </c>
      <c r="H3467" s="4"/>
      <c r="I3467" s="4"/>
      <c r="J3467" s="4">
        <f>SUM(G3467:I3467)</f>
        <v>717806</v>
      </c>
      <c r="K3467" t="s">
        <v>1659</v>
      </c>
      <c r="L3467" t="s">
        <v>1659</v>
      </c>
      <c r="M3467" t="s">
        <v>919</v>
      </c>
      <c r="N3467" t="s">
        <v>1132</v>
      </c>
      <c r="O3467" t="s">
        <v>1132</v>
      </c>
      <c r="P3467" t="str">
        <f>IFERROR(VLOOKUP(F3467,Sheet1!$A$2:$B$54,2,FALSE),"")</f>
        <v/>
      </c>
    </row>
    <row r="3468" spans="1:16" x14ac:dyDescent="0.2">
      <c r="A3468" s="1">
        <v>2022</v>
      </c>
      <c r="B3468" t="s">
        <v>421</v>
      </c>
      <c r="C3468" s="10" t="s">
        <v>1678</v>
      </c>
      <c r="D3468" s="10" t="s">
        <v>1679</v>
      </c>
      <c r="E3468" s="10" t="s">
        <v>1682</v>
      </c>
      <c r="F3468" t="s">
        <v>919</v>
      </c>
      <c r="G3468" s="4">
        <v>1057898</v>
      </c>
      <c r="H3468" s="4"/>
      <c r="I3468" s="4"/>
      <c r="J3468" s="4">
        <f>SUM(G3468:I3468)</f>
        <v>1057898</v>
      </c>
      <c r="K3468" t="s">
        <v>1659</v>
      </c>
      <c r="L3468" t="s">
        <v>1659</v>
      </c>
      <c r="M3468" t="s">
        <v>919</v>
      </c>
      <c r="N3468" t="s">
        <v>1132</v>
      </c>
      <c r="O3468" t="s">
        <v>1132</v>
      </c>
      <c r="P3468" t="str">
        <f>IFERROR(VLOOKUP(F3468,Sheet1!$A$2:$B$54,2,FALSE),"")</f>
        <v/>
      </c>
    </row>
    <row r="3469" spans="1:16" x14ac:dyDescent="0.2">
      <c r="A3469" s="1">
        <v>2023</v>
      </c>
      <c r="B3469" t="s">
        <v>421</v>
      </c>
      <c r="C3469" s="10" t="s">
        <v>1678</v>
      </c>
      <c r="D3469" s="10" t="s">
        <v>1679</v>
      </c>
      <c r="E3469" s="10" t="s">
        <v>1682</v>
      </c>
      <c r="F3469" t="s">
        <v>919</v>
      </c>
      <c r="G3469" s="4">
        <v>1242924</v>
      </c>
      <c r="H3469" s="4"/>
      <c r="I3469" s="4"/>
      <c r="J3469" s="4">
        <f>SUM(G3469:I3469)</f>
        <v>1242924</v>
      </c>
      <c r="K3469" t="s">
        <v>1659</v>
      </c>
      <c r="L3469" t="s">
        <v>1659</v>
      </c>
      <c r="M3469" t="s">
        <v>919</v>
      </c>
      <c r="N3469" t="s">
        <v>1132</v>
      </c>
      <c r="O3469" t="s">
        <v>1132</v>
      </c>
      <c r="P3469" t="str">
        <f>IFERROR(VLOOKUP(F3469,Sheet1!$A$2:$B$54,2,FALSE),"")</f>
        <v/>
      </c>
    </row>
    <row r="3470" spans="1:16" x14ac:dyDescent="0.2">
      <c r="A3470" s="1">
        <v>2015</v>
      </c>
      <c r="B3470" t="s">
        <v>422</v>
      </c>
      <c r="C3470" s="10" t="s">
        <v>1678</v>
      </c>
      <c r="D3470" s="10" t="s">
        <v>1679</v>
      </c>
      <c r="E3470" s="10" t="s">
        <v>1682</v>
      </c>
      <c r="F3470" t="s">
        <v>920</v>
      </c>
      <c r="G3470" s="4">
        <v>122446</v>
      </c>
      <c r="H3470" s="4"/>
      <c r="I3470" s="4"/>
      <c r="J3470" s="4">
        <f>SUM(G3470:I3470)</f>
        <v>122446</v>
      </c>
      <c r="K3470" t="s">
        <v>1659</v>
      </c>
      <c r="L3470" t="s">
        <v>1659</v>
      </c>
      <c r="M3470" t="s">
        <v>1532</v>
      </c>
      <c r="N3470" t="s">
        <v>1132</v>
      </c>
      <c r="O3470" t="s">
        <v>1132</v>
      </c>
      <c r="P3470" t="str">
        <f>IFERROR(VLOOKUP(F3470,Sheet1!$A$2:$B$54,2,FALSE),"")</f>
        <v/>
      </c>
    </row>
    <row r="3471" spans="1:16" x14ac:dyDescent="0.2">
      <c r="A3471" s="1">
        <v>2016</v>
      </c>
      <c r="B3471" t="s">
        <v>422</v>
      </c>
      <c r="C3471" s="10" t="s">
        <v>1678</v>
      </c>
      <c r="D3471" s="10" t="s">
        <v>1679</v>
      </c>
      <c r="E3471" s="10" t="s">
        <v>1682</v>
      </c>
      <c r="F3471" t="s">
        <v>920</v>
      </c>
      <c r="G3471" s="4">
        <v>160732</v>
      </c>
      <c r="H3471" s="4"/>
      <c r="I3471" s="4"/>
      <c r="J3471" s="4">
        <f>SUM(G3471:I3471)</f>
        <v>160732</v>
      </c>
      <c r="K3471" t="s">
        <v>1659</v>
      </c>
      <c r="L3471" t="s">
        <v>1659</v>
      </c>
      <c r="M3471" t="s">
        <v>1532</v>
      </c>
      <c r="N3471" t="s">
        <v>1132</v>
      </c>
      <c r="O3471" t="s">
        <v>1132</v>
      </c>
      <c r="P3471" t="str">
        <f>IFERROR(VLOOKUP(F3471,Sheet1!$A$2:$B$54,2,FALSE),"")</f>
        <v/>
      </c>
    </row>
    <row r="3472" spans="1:16" x14ac:dyDescent="0.2">
      <c r="A3472" s="1">
        <v>2017</v>
      </c>
      <c r="B3472" t="s">
        <v>422</v>
      </c>
      <c r="C3472" s="10" t="s">
        <v>1678</v>
      </c>
      <c r="D3472" s="10" t="s">
        <v>1679</v>
      </c>
      <c r="E3472" s="10" t="s">
        <v>1682</v>
      </c>
      <c r="F3472" t="s">
        <v>920</v>
      </c>
      <c r="G3472" s="4">
        <v>206713</v>
      </c>
      <c r="H3472" s="4"/>
      <c r="I3472" s="4"/>
      <c r="J3472" s="4">
        <f>SUM(G3472:I3472)</f>
        <v>206713</v>
      </c>
      <c r="K3472" t="s">
        <v>1659</v>
      </c>
      <c r="L3472" t="s">
        <v>1659</v>
      </c>
      <c r="M3472" t="s">
        <v>1532</v>
      </c>
      <c r="N3472" t="s">
        <v>1132</v>
      </c>
      <c r="O3472" t="s">
        <v>1132</v>
      </c>
      <c r="P3472" t="str">
        <f>IFERROR(VLOOKUP(F3472,Sheet1!$A$2:$B$54,2,FALSE),"")</f>
        <v/>
      </c>
    </row>
    <row r="3473" spans="1:16" x14ac:dyDescent="0.2">
      <c r="A3473" s="1">
        <v>2018</v>
      </c>
      <c r="B3473" t="s">
        <v>422</v>
      </c>
      <c r="C3473" s="10" t="s">
        <v>1678</v>
      </c>
      <c r="D3473" s="10" t="s">
        <v>1679</v>
      </c>
      <c r="E3473" s="10" t="s">
        <v>1682</v>
      </c>
      <c r="F3473" t="s">
        <v>920</v>
      </c>
      <c r="G3473" s="4">
        <v>242779</v>
      </c>
      <c r="H3473" s="4"/>
      <c r="I3473" s="4"/>
      <c r="J3473" s="4">
        <f>SUM(G3473:I3473)</f>
        <v>242779</v>
      </c>
      <c r="K3473" t="s">
        <v>1659</v>
      </c>
      <c r="L3473" t="s">
        <v>1659</v>
      </c>
      <c r="M3473" t="s">
        <v>1532</v>
      </c>
      <c r="N3473" t="s">
        <v>1132</v>
      </c>
      <c r="O3473" t="s">
        <v>1132</v>
      </c>
      <c r="P3473" t="str">
        <f>IFERROR(VLOOKUP(F3473,Sheet1!$A$2:$B$54,2,FALSE),"")</f>
        <v/>
      </c>
    </row>
    <row r="3474" spans="1:16" x14ac:dyDescent="0.2">
      <c r="A3474" s="1">
        <v>2019</v>
      </c>
      <c r="B3474" t="s">
        <v>422</v>
      </c>
      <c r="C3474" s="10" t="s">
        <v>1678</v>
      </c>
      <c r="D3474" s="10" t="s">
        <v>1679</v>
      </c>
      <c r="E3474" s="10" t="s">
        <v>1682</v>
      </c>
      <c r="F3474" t="s">
        <v>920</v>
      </c>
      <c r="G3474" s="4">
        <v>304803</v>
      </c>
      <c r="H3474" s="4"/>
      <c r="I3474" s="4"/>
      <c r="J3474" s="4">
        <f>SUM(G3474:I3474)</f>
        <v>304803</v>
      </c>
      <c r="K3474" t="s">
        <v>1659</v>
      </c>
      <c r="L3474" t="s">
        <v>1659</v>
      </c>
      <c r="M3474" t="s">
        <v>1532</v>
      </c>
      <c r="N3474" t="s">
        <v>1132</v>
      </c>
      <c r="O3474" t="s">
        <v>1132</v>
      </c>
      <c r="P3474" t="str">
        <f>IFERROR(VLOOKUP(F3474,Sheet1!$A$2:$B$54,2,FALSE),"")</f>
        <v/>
      </c>
    </row>
    <row r="3475" spans="1:16" x14ac:dyDescent="0.2">
      <c r="A3475" s="1">
        <v>2020</v>
      </c>
      <c r="B3475" t="s">
        <v>422</v>
      </c>
      <c r="C3475" s="10" t="s">
        <v>1678</v>
      </c>
      <c r="D3475" s="10" t="s">
        <v>1679</v>
      </c>
      <c r="E3475" s="10" t="s">
        <v>1682</v>
      </c>
      <c r="F3475" t="s">
        <v>920</v>
      </c>
      <c r="G3475" s="4">
        <v>347024</v>
      </c>
      <c r="H3475" s="4"/>
      <c r="I3475" s="4"/>
      <c r="J3475" s="4">
        <f>SUM(G3475:I3475)</f>
        <v>347024</v>
      </c>
      <c r="K3475" t="s">
        <v>1659</v>
      </c>
      <c r="L3475" t="s">
        <v>1659</v>
      </c>
      <c r="M3475" t="s">
        <v>1532</v>
      </c>
      <c r="N3475" t="s">
        <v>1132</v>
      </c>
      <c r="O3475" t="s">
        <v>1132</v>
      </c>
      <c r="P3475" t="str">
        <f>IFERROR(VLOOKUP(F3475,Sheet1!$A$2:$B$54,2,FALSE),"")</f>
        <v/>
      </c>
    </row>
    <row r="3476" spans="1:16" x14ac:dyDescent="0.2">
      <c r="A3476" s="1">
        <v>2021</v>
      </c>
      <c r="B3476" t="s">
        <v>422</v>
      </c>
      <c r="C3476" s="10" t="s">
        <v>1678</v>
      </c>
      <c r="D3476" s="10" t="s">
        <v>1679</v>
      </c>
      <c r="E3476" s="10" t="s">
        <v>1682</v>
      </c>
      <c r="F3476" t="s">
        <v>920</v>
      </c>
      <c r="G3476" s="4">
        <v>409592</v>
      </c>
      <c r="H3476" s="4"/>
      <c r="I3476" s="4"/>
      <c r="J3476" s="4">
        <f>SUM(G3476:I3476)</f>
        <v>409592</v>
      </c>
      <c r="K3476" t="s">
        <v>1659</v>
      </c>
      <c r="L3476" t="s">
        <v>1659</v>
      </c>
      <c r="M3476" t="s">
        <v>920</v>
      </c>
      <c r="N3476" t="s">
        <v>1132</v>
      </c>
      <c r="O3476" t="s">
        <v>1132</v>
      </c>
      <c r="P3476" t="str">
        <f>IFERROR(VLOOKUP(F3476,Sheet1!$A$2:$B$54,2,FALSE),"")</f>
        <v/>
      </c>
    </row>
    <row r="3477" spans="1:16" x14ac:dyDescent="0.2">
      <c r="A3477" s="1">
        <v>2022</v>
      </c>
      <c r="B3477" t="s">
        <v>422</v>
      </c>
      <c r="C3477" s="10" t="s">
        <v>1678</v>
      </c>
      <c r="D3477" s="10" t="s">
        <v>1679</v>
      </c>
      <c r="E3477" s="10" t="s">
        <v>1682</v>
      </c>
      <c r="F3477" t="s">
        <v>920</v>
      </c>
      <c r="G3477" s="4">
        <v>519378</v>
      </c>
      <c r="H3477" s="4"/>
      <c r="I3477" s="4"/>
      <c r="J3477" s="4">
        <f>SUM(G3477:I3477)</f>
        <v>519378</v>
      </c>
      <c r="K3477" t="s">
        <v>1659</v>
      </c>
      <c r="L3477" t="s">
        <v>1659</v>
      </c>
      <c r="M3477" t="s">
        <v>920</v>
      </c>
      <c r="N3477" t="s">
        <v>1132</v>
      </c>
      <c r="O3477" t="s">
        <v>1132</v>
      </c>
      <c r="P3477" t="str">
        <f>IFERROR(VLOOKUP(F3477,Sheet1!$A$2:$B$54,2,FALSE),"")</f>
        <v/>
      </c>
    </row>
    <row r="3478" spans="1:16" x14ac:dyDescent="0.2">
      <c r="A3478" s="1">
        <v>2023</v>
      </c>
      <c r="B3478" t="s">
        <v>422</v>
      </c>
      <c r="C3478" s="10" t="s">
        <v>1678</v>
      </c>
      <c r="D3478" s="10" t="s">
        <v>1679</v>
      </c>
      <c r="E3478" s="10" t="s">
        <v>1682</v>
      </c>
      <c r="F3478" t="s">
        <v>920</v>
      </c>
      <c r="G3478" s="4">
        <v>652234</v>
      </c>
      <c r="H3478" s="4"/>
      <c r="I3478" s="4"/>
      <c r="J3478" s="4">
        <f>SUM(G3478:I3478)</f>
        <v>652234</v>
      </c>
      <c r="K3478" t="s">
        <v>1659</v>
      </c>
      <c r="L3478" t="s">
        <v>1659</v>
      </c>
      <c r="M3478" t="s">
        <v>920</v>
      </c>
      <c r="N3478" t="s">
        <v>1132</v>
      </c>
      <c r="O3478" t="s">
        <v>1132</v>
      </c>
      <c r="P3478" t="str">
        <f>IFERROR(VLOOKUP(F3478,Sheet1!$A$2:$B$54,2,FALSE),"")</f>
        <v/>
      </c>
    </row>
    <row r="3479" spans="1:16" x14ac:dyDescent="0.2">
      <c r="A3479" s="1">
        <v>2018</v>
      </c>
      <c r="B3479" t="s">
        <v>423</v>
      </c>
      <c r="C3479" s="10" t="s">
        <v>1678</v>
      </c>
      <c r="D3479" s="10" t="s">
        <v>1679</v>
      </c>
      <c r="E3479" s="10" t="s">
        <v>1682</v>
      </c>
      <c r="F3479" t="s">
        <v>921</v>
      </c>
      <c r="G3479" s="4">
        <v>2885</v>
      </c>
      <c r="H3479" s="4"/>
      <c r="I3479" s="4"/>
      <c r="J3479" s="4">
        <f>SUM(G3479:I3479)</f>
        <v>2885</v>
      </c>
      <c r="K3479" t="s">
        <v>1659</v>
      </c>
      <c r="L3479" t="s">
        <v>1659</v>
      </c>
      <c r="M3479" t="s">
        <v>1533</v>
      </c>
      <c r="N3479" t="s">
        <v>1132</v>
      </c>
      <c r="O3479" t="s">
        <v>1132</v>
      </c>
      <c r="P3479" t="str">
        <f>IFERROR(VLOOKUP(F3479,Sheet1!$A$2:$B$54,2,FALSE),"")</f>
        <v/>
      </c>
    </row>
    <row r="3480" spans="1:16" x14ac:dyDescent="0.2">
      <c r="A3480" s="1">
        <v>2019</v>
      </c>
      <c r="B3480" t="s">
        <v>423</v>
      </c>
      <c r="C3480" s="10" t="s">
        <v>1678</v>
      </c>
      <c r="D3480" s="10" t="s">
        <v>1679</v>
      </c>
      <c r="E3480" s="10" t="s">
        <v>1682</v>
      </c>
      <c r="F3480" t="s">
        <v>921</v>
      </c>
      <c r="G3480" s="4">
        <v>4628</v>
      </c>
      <c r="H3480" s="4"/>
      <c r="I3480" s="4"/>
      <c r="J3480" s="4">
        <f>SUM(G3480:I3480)</f>
        <v>4628</v>
      </c>
      <c r="K3480" t="s">
        <v>1659</v>
      </c>
      <c r="L3480" t="s">
        <v>1659</v>
      </c>
      <c r="M3480" t="s">
        <v>1533</v>
      </c>
      <c r="N3480" t="s">
        <v>1132</v>
      </c>
      <c r="O3480" t="s">
        <v>1132</v>
      </c>
      <c r="P3480" t="str">
        <f>IFERROR(VLOOKUP(F3480,Sheet1!$A$2:$B$54,2,FALSE),"")</f>
        <v/>
      </c>
    </row>
    <row r="3481" spans="1:16" x14ac:dyDescent="0.2">
      <c r="A3481" s="1">
        <v>2020</v>
      </c>
      <c r="B3481" t="s">
        <v>423</v>
      </c>
      <c r="C3481" s="10" t="s">
        <v>1678</v>
      </c>
      <c r="D3481" s="10" t="s">
        <v>1679</v>
      </c>
      <c r="E3481" s="10" t="s">
        <v>1682</v>
      </c>
      <c r="F3481" t="s">
        <v>921</v>
      </c>
      <c r="G3481" s="4">
        <v>14882</v>
      </c>
      <c r="H3481" s="4"/>
      <c r="I3481" s="4"/>
      <c r="J3481" s="4">
        <f>SUM(G3481:I3481)</f>
        <v>14882</v>
      </c>
      <c r="K3481" t="s">
        <v>1659</v>
      </c>
      <c r="L3481" t="s">
        <v>1659</v>
      </c>
      <c r="M3481" t="s">
        <v>1533</v>
      </c>
      <c r="N3481" t="s">
        <v>1132</v>
      </c>
      <c r="O3481" t="s">
        <v>1132</v>
      </c>
      <c r="P3481" t="str">
        <f>IFERROR(VLOOKUP(F3481,Sheet1!$A$2:$B$54,2,FALSE),"")</f>
        <v/>
      </c>
    </row>
    <row r="3482" spans="1:16" x14ac:dyDescent="0.2">
      <c r="A3482" s="1">
        <v>2021</v>
      </c>
      <c r="B3482" t="s">
        <v>423</v>
      </c>
      <c r="C3482" s="10" t="s">
        <v>1678</v>
      </c>
      <c r="D3482" s="10" t="s">
        <v>1679</v>
      </c>
      <c r="E3482" s="10" t="s">
        <v>1682</v>
      </c>
      <c r="F3482" t="s">
        <v>921</v>
      </c>
      <c r="G3482" s="4">
        <v>18054</v>
      </c>
      <c r="H3482" s="4"/>
      <c r="I3482" s="4"/>
      <c r="J3482" s="4">
        <f>SUM(G3482:I3482)</f>
        <v>18054</v>
      </c>
      <c r="K3482" t="s">
        <v>1659</v>
      </c>
      <c r="L3482" t="s">
        <v>1659</v>
      </c>
      <c r="M3482" t="s">
        <v>921</v>
      </c>
      <c r="N3482" t="s">
        <v>1132</v>
      </c>
      <c r="O3482" t="s">
        <v>1132</v>
      </c>
      <c r="P3482" t="str">
        <f>IFERROR(VLOOKUP(F3482,Sheet1!$A$2:$B$54,2,FALSE),"")</f>
        <v/>
      </c>
    </row>
    <row r="3483" spans="1:16" x14ac:dyDescent="0.2">
      <c r="A3483" s="1">
        <v>2022</v>
      </c>
      <c r="B3483" t="s">
        <v>423</v>
      </c>
      <c r="C3483" s="10" t="s">
        <v>1678</v>
      </c>
      <c r="D3483" s="10" t="s">
        <v>1679</v>
      </c>
      <c r="E3483" s="10" t="s">
        <v>1682</v>
      </c>
      <c r="F3483" t="s">
        <v>921</v>
      </c>
      <c r="G3483" s="4">
        <v>22106</v>
      </c>
      <c r="H3483" s="4"/>
      <c r="I3483" s="4"/>
      <c r="J3483" s="4">
        <f>SUM(G3483:I3483)</f>
        <v>22106</v>
      </c>
      <c r="K3483" t="s">
        <v>1659</v>
      </c>
      <c r="L3483" t="s">
        <v>1659</v>
      </c>
      <c r="M3483" t="s">
        <v>921</v>
      </c>
      <c r="N3483" t="s">
        <v>1132</v>
      </c>
      <c r="O3483" t="s">
        <v>1132</v>
      </c>
      <c r="P3483" t="str">
        <f>IFERROR(VLOOKUP(F3483,Sheet1!$A$2:$B$54,2,FALSE),"")</f>
        <v/>
      </c>
    </row>
    <row r="3484" spans="1:16" x14ac:dyDescent="0.2">
      <c r="A3484" s="1">
        <v>2023</v>
      </c>
      <c r="B3484" t="s">
        <v>423</v>
      </c>
      <c r="C3484" s="10" t="s">
        <v>1678</v>
      </c>
      <c r="D3484" s="10" t="s">
        <v>1679</v>
      </c>
      <c r="E3484" s="10" t="s">
        <v>1682</v>
      </c>
      <c r="F3484" t="s">
        <v>921</v>
      </c>
      <c r="G3484" s="4">
        <v>27571</v>
      </c>
      <c r="H3484" s="4"/>
      <c r="I3484" s="4"/>
      <c r="J3484" s="4">
        <f>SUM(G3484:I3484)</f>
        <v>27571</v>
      </c>
      <c r="K3484" t="s">
        <v>1659</v>
      </c>
      <c r="L3484" t="s">
        <v>1659</v>
      </c>
      <c r="M3484" t="s">
        <v>921</v>
      </c>
      <c r="N3484" t="s">
        <v>1132</v>
      </c>
      <c r="O3484" t="s">
        <v>1132</v>
      </c>
      <c r="P3484" t="str">
        <f>IFERROR(VLOOKUP(F3484,Sheet1!$A$2:$B$54,2,FALSE),"")</f>
        <v/>
      </c>
    </row>
    <row r="3485" spans="1:16" x14ac:dyDescent="0.2">
      <c r="A3485" s="1">
        <v>2015</v>
      </c>
      <c r="B3485" t="s">
        <v>424</v>
      </c>
      <c r="C3485" s="10" t="s">
        <v>1678</v>
      </c>
      <c r="D3485" s="10" t="s">
        <v>1679</v>
      </c>
      <c r="E3485" s="10" t="s">
        <v>1682</v>
      </c>
      <c r="F3485" t="s">
        <v>922</v>
      </c>
      <c r="G3485" s="4">
        <v>23132</v>
      </c>
      <c r="H3485" s="4"/>
      <c r="I3485" s="4"/>
      <c r="J3485" s="4">
        <f>SUM(G3485:I3485)</f>
        <v>23132</v>
      </c>
      <c r="K3485" t="s">
        <v>1659</v>
      </c>
      <c r="L3485" t="s">
        <v>1659</v>
      </c>
      <c r="M3485" t="s">
        <v>1534</v>
      </c>
      <c r="N3485" t="s">
        <v>1132</v>
      </c>
      <c r="O3485" t="s">
        <v>1132</v>
      </c>
      <c r="P3485" t="str">
        <f>IFERROR(VLOOKUP(F3485,Sheet1!$A$2:$B$54,2,FALSE),"")</f>
        <v/>
      </c>
    </row>
    <row r="3486" spans="1:16" x14ac:dyDescent="0.2">
      <c r="A3486" s="1">
        <v>2016</v>
      </c>
      <c r="B3486" t="s">
        <v>424</v>
      </c>
      <c r="C3486" s="10" t="s">
        <v>1678</v>
      </c>
      <c r="D3486" s="10" t="s">
        <v>1679</v>
      </c>
      <c r="E3486" s="10" t="s">
        <v>1682</v>
      </c>
      <c r="F3486" t="s">
        <v>922</v>
      </c>
      <c r="G3486" s="4">
        <v>36898</v>
      </c>
      <c r="H3486" s="4"/>
      <c r="I3486" s="4"/>
      <c r="J3486" s="4">
        <f>SUM(G3486:I3486)</f>
        <v>36898</v>
      </c>
      <c r="K3486" t="s">
        <v>1659</v>
      </c>
      <c r="L3486" t="s">
        <v>1659</v>
      </c>
      <c r="M3486" t="s">
        <v>1534</v>
      </c>
      <c r="N3486" t="s">
        <v>1132</v>
      </c>
      <c r="O3486" t="s">
        <v>1132</v>
      </c>
      <c r="P3486" t="str">
        <f>IFERROR(VLOOKUP(F3486,Sheet1!$A$2:$B$54,2,FALSE),"")</f>
        <v/>
      </c>
    </row>
    <row r="3487" spans="1:16" x14ac:dyDescent="0.2">
      <c r="A3487" s="1">
        <v>2017</v>
      </c>
      <c r="B3487" t="s">
        <v>424</v>
      </c>
      <c r="C3487" s="10" t="s">
        <v>1678</v>
      </c>
      <c r="D3487" s="10" t="s">
        <v>1679</v>
      </c>
      <c r="E3487" s="10" t="s">
        <v>1682</v>
      </c>
      <c r="F3487" t="s">
        <v>922</v>
      </c>
      <c r="G3487" s="4">
        <v>39230</v>
      </c>
      <c r="H3487" s="4"/>
      <c r="I3487" s="4"/>
      <c r="J3487" s="4">
        <f>SUM(G3487:I3487)</f>
        <v>39230</v>
      </c>
      <c r="K3487" t="s">
        <v>1659</v>
      </c>
      <c r="L3487" t="s">
        <v>1659</v>
      </c>
      <c r="M3487" t="s">
        <v>1534</v>
      </c>
      <c r="N3487" t="s">
        <v>1132</v>
      </c>
      <c r="O3487" t="s">
        <v>1132</v>
      </c>
      <c r="P3487" t="str">
        <f>IFERROR(VLOOKUP(F3487,Sheet1!$A$2:$B$54,2,FALSE),"")</f>
        <v/>
      </c>
    </row>
    <row r="3488" spans="1:16" x14ac:dyDescent="0.2">
      <c r="A3488" s="1">
        <v>2018</v>
      </c>
      <c r="B3488" t="s">
        <v>424</v>
      </c>
      <c r="C3488" s="10" t="s">
        <v>1678</v>
      </c>
      <c r="D3488" s="10" t="s">
        <v>1679</v>
      </c>
      <c r="E3488" s="10" t="s">
        <v>1682</v>
      </c>
      <c r="F3488" t="s">
        <v>922</v>
      </c>
      <c r="G3488" s="4">
        <v>46673</v>
      </c>
      <c r="H3488" s="4"/>
      <c r="I3488" s="4"/>
      <c r="J3488" s="4">
        <f>SUM(G3488:I3488)</f>
        <v>46673</v>
      </c>
      <c r="K3488" t="s">
        <v>1659</v>
      </c>
      <c r="L3488" t="s">
        <v>1659</v>
      </c>
      <c r="M3488" t="s">
        <v>1534</v>
      </c>
      <c r="N3488" t="s">
        <v>1132</v>
      </c>
      <c r="O3488" t="s">
        <v>1132</v>
      </c>
      <c r="P3488" t="str">
        <f>IFERROR(VLOOKUP(F3488,Sheet1!$A$2:$B$54,2,FALSE),"")</f>
        <v/>
      </c>
    </row>
    <row r="3489" spans="1:16" x14ac:dyDescent="0.2">
      <c r="A3489" s="1">
        <v>2019</v>
      </c>
      <c r="B3489" t="s">
        <v>424</v>
      </c>
      <c r="C3489" s="10" t="s">
        <v>1678</v>
      </c>
      <c r="D3489" s="10" t="s">
        <v>1679</v>
      </c>
      <c r="E3489" s="10" t="s">
        <v>1682</v>
      </c>
      <c r="F3489" t="s">
        <v>922</v>
      </c>
      <c r="G3489" s="4">
        <v>46369</v>
      </c>
      <c r="H3489" s="4"/>
      <c r="I3489" s="4"/>
      <c r="J3489" s="4">
        <f>SUM(G3489:I3489)</f>
        <v>46369</v>
      </c>
      <c r="K3489" t="s">
        <v>1659</v>
      </c>
      <c r="L3489" t="s">
        <v>1659</v>
      </c>
      <c r="M3489" t="s">
        <v>1534</v>
      </c>
      <c r="N3489" t="s">
        <v>1132</v>
      </c>
      <c r="O3489" t="s">
        <v>1132</v>
      </c>
      <c r="P3489" t="str">
        <f>IFERROR(VLOOKUP(F3489,Sheet1!$A$2:$B$54,2,FALSE),"")</f>
        <v/>
      </c>
    </row>
    <row r="3490" spans="1:16" x14ac:dyDescent="0.2">
      <c r="A3490" s="1">
        <v>2020</v>
      </c>
      <c r="B3490" t="s">
        <v>424</v>
      </c>
      <c r="C3490" s="10" t="s">
        <v>1678</v>
      </c>
      <c r="D3490" s="10" t="s">
        <v>1679</v>
      </c>
      <c r="E3490" s="10" t="s">
        <v>1682</v>
      </c>
      <c r="F3490" t="s">
        <v>922</v>
      </c>
      <c r="G3490" s="4">
        <v>60893</v>
      </c>
      <c r="H3490" s="4"/>
      <c r="I3490" s="4"/>
      <c r="J3490" s="4">
        <f>SUM(G3490:I3490)</f>
        <v>60893</v>
      </c>
      <c r="K3490" t="s">
        <v>1659</v>
      </c>
      <c r="L3490" t="s">
        <v>1659</v>
      </c>
      <c r="M3490" t="s">
        <v>1534</v>
      </c>
      <c r="N3490" t="s">
        <v>1132</v>
      </c>
      <c r="O3490" t="s">
        <v>1132</v>
      </c>
      <c r="P3490" t="str">
        <f>IFERROR(VLOOKUP(F3490,Sheet1!$A$2:$B$54,2,FALSE),"")</f>
        <v/>
      </c>
    </row>
    <row r="3491" spans="1:16" x14ac:dyDescent="0.2">
      <c r="A3491" s="1">
        <v>2021</v>
      </c>
      <c r="B3491" t="s">
        <v>424</v>
      </c>
      <c r="C3491" s="10" t="s">
        <v>1678</v>
      </c>
      <c r="D3491" s="10" t="s">
        <v>1679</v>
      </c>
      <c r="E3491" s="10" t="s">
        <v>1682</v>
      </c>
      <c r="F3491" t="s">
        <v>922</v>
      </c>
      <c r="G3491" s="4">
        <v>60103</v>
      </c>
      <c r="H3491" s="4"/>
      <c r="I3491" s="4"/>
      <c r="J3491" s="4">
        <f>SUM(G3491:I3491)</f>
        <v>60103</v>
      </c>
      <c r="K3491" t="s">
        <v>1659</v>
      </c>
      <c r="L3491" t="s">
        <v>1659</v>
      </c>
      <c r="M3491" t="s">
        <v>922</v>
      </c>
      <c r="N3491" t="s">
        <v>1132</v>
      </c>
      <c r="O3491" t="s">
        <v>1132</v>
      </c>
      <c r="P3491" t="str">
        <f>IFERROR(VLOOKUP(F3491,Sheet1!$A$2:$B$54,2,FALSE),"")</f>
        <v/>
      </c>
    </row>
    <row r="3492" spans="1:16" x14ac:dyDescent="0.2">
      <c r="A3492" s="1">
        <v>2022</v>
      </c>
      <c r="B3492" t="s">
        <v>424</v>
      </c>
      <c r="C3492" s="10" t="s">
        <v>1678</v>
      </c>
      <c r="D3492" s="10" t="s">
        <v>1679</v>
      </c>
      <c r="E3492" s="10" t="s">
        <v>1682</v>
      </c>
      <c r="F3492" t="s">
        <v>922</v>
      </c>
      <c r="G3492" s="4">
        <v>97720</v>
      </c>
      <c r="H3492" s="4"/>
      <c r="I3492" s="4"/>
      <c r="J3492" s="4">
        <f>SUM(G3492:I3492)</f>
        <v>97720</v>
      </c>
      <c r="K3492" t="s">
        <v>1659</v>
      </c>
      <c r="L3492" t="s">
        <v>1659</v>
      </c>
      <c r="M3492" t="s">
        <v>922</v>
      </c>
      <c r="N3492" t="s">
        <v>1132</v>
      </c>
      <c r="O3492" t="s">
        <v>1132</v>
      </c>
      <c r="P3492" t="str">
        <f>IFERROR(VLOOKUP(F3492,Sheet1!$A$2:$B$54,2,FALSE),"")</f>
        <v/>
      </c>
    </row>
    <row r="3493" spans="1:16" x14ac:dyDescent="0.2">
      <c r="A3493" s="1">
        <v>2023</v>
      </c>
      <c r="B3493" t="s">
        <v>424</v>
      </c>
      <c r="C3493" s="10" t="s">
        <v>1678</v>
      </c>
      <c r="D3493" s="10" t="s">
        <v>1679</v>
      </c>
      <c r="E3493" s="10" t="s">
        <v>1682</v>
      </c>
      <c r="F3493" t="s">
        <v>922</v>
      </c>
      <c r="G3493" s="4">
        <v>113578</v>
      </c>
      <c r="H3493" s="4"/>
      <c r="I3493" s="4"/>
      <c r="J3493" s="4">
        <f>SUM(G3493:I3493)</f>
        <v>113578</v>
      </c>
      <c r="K3493" t="s">
        <v>1659</v>
      </c>
      <c r="L3493" t="s">
        <v>1659</v>
      </c>
      <c r="M3493" t="s">
        <v>922</v>
      </c>
      <c r="N3493" t="s">
        <v>1132</v>
      </c>
      <c r="O3493" t="s">
        <v>1132</v>
      </c>
      <c r="P3493" t="str">
        <f>IFERROR(VLOOKUP(F3493,Sheet1!$A$2:$B$54,2,FALSE),"")</f>
        <v/>
      </c>
    </row>
    <row r="3494" spans="1:16" x14ac:dyDescent="0.2">
      <c r="A3494" s="1">
        <v>2015</v>
      </c>
      <c r="B3494" t="s">
        <v>425</v>
      </c>
      <c r="C3494" s="10" t="s">
        <v>1678</v>
      </c>
      <c r="D3494" s="10" t="s">
        <v>1679</v>
      </c>
      <c r="E3494" s="10" t="s">
        <v>1682</v>
      </c>
      <c r="F3494" t="s">
        <v>923</v>
      </c>
      <c r="G3494" s="4">
        <v>98190</v>
      </c>
      <c r="H3494" s="4"/>
      <c r="I3494" s="4"/>
      <c r="J3494" s="4">
        <f>SUM(G3494:I3494)</f>
        <v>98190</v>
      </c>
      <c r="K3494" t="s">
        <v>1659</v>
      </c>
      <c r="L3494" t="s">
        <v>1659</v>
      </c>
      <c r="M3494" t="s">
        <v>1535</v>
      </c>
      <c r="N3494" t="s">
        <v>1132</v>
      </c>
      <c r="O3494" t="s">
        <v>1132</v>
      </c>
      <c r="P3494" t="str">
        <f>IFERROR(VLOOKUP(F3494,Sheet1!$A$2:$B$54,2,FALSE),"")</f>
        <v/>
      </c>
    </row>
    <row r="3495" spans="1:16" x14ac:dyDescent="0.2">
      <c r="A3495" s="1">
        <v>2016</v>
      </c>
      <c r="B3495" t="s">
        <v>425</v>
      </c>
      <c r="C3495" s="10" t="s">
        <v>1678</v>
      </c>
      <c r="D3495" s="10" t="s">
        <v>1679</v>
      </c>
      <c r="E3495" s="10" t="s">
        <v>1682</v>
      </c>
      <c r="F3495" t="s">
        <v>923</v>
      </c>
      <c r="G3495" s="4">
        <v>107662</v>
      </c>
      <c r="H3495" s="4"/>
      <c r="I3495" s="4"/>
      <c r="J3495" s="4">
        <f>SUM(G3495:I3495)</f>
        <v>107662</v>
      </c>
      <c r="K3495" t="s">
        <v>1659</v>
      </c>
      <c r="L3495" t="s">
        <v>1659</v>
      </c>
      <c r="M3495" t="s">
        <v>1535</v>
      </c>
      <c r="N3495" t="s">
        <v>1132</v>
      </c>
      <c r="O3495" t="s">
        <v>1132</v>
      </c>
      <c r="P3495" t="str">
        <f>IFERROR(VLOOKUP(F3495,Sheet1!$A$2:$B$54,2,FALSE),"")</f>
        <v/>
      </c>
    </row>
    <row r="3496" spans="1:16" x14ac:dyDescent="0.2">
      <c r="A3496" s="1">
        <v>2017</v>
      </c>
      <c r="B3496" t="s">
        <v>425</v>
      </c>
      <c r="C3496" s="10" t="s">
        <v>1678</v>
      </c>
      <c r="D3496" s="10" t="s">
        <v>1679</v>
      </c>
      <c r="E3496" s="10" t="s">
        <v>1682</v>
      </c>
      <c r="F3496" t="s">
        <v>923</v>
      </c>
      <c r="G3496" s="4">
        <v>122248</v>
      </c>
      <c r="H3496" s="4"/>
      <c r="I3496" s="4"/>
      <c r="J3496" s="4">
        <f>SUM(G3496:I3496)</f>
        <v>122248</v>
      </c>
      <c r="K3496" t="s">
        <v>1659</v>
      </c>
      <c r="L3496" t="s">
        <v>1659</v>
      </c>
      <c r="M3496" t="s">
        <v>1535</v>
      </c>
      <c r="N3496" t="s">
        <v>1132</v>
      </c>
      <c r="O3496" t="s">
        <v>1132</v>
      </c>
      <c r="P3496" t="str">
        <f>IFERROR(VLOOKUP(F3496,Sheet1!$A$2:$B$54,2,FALSE),"")</f>
        <v/>
      </c>
    </row>
    <row r="3497" spans="1:16" x14ac:dyDescent="0.2">
      <c r="A3497" s="1">
        <v>2018</v>
      </c>
      <c r="B3497" t="s">
        <v>425</v>
      </c>
      <c r="C3497" s="10" t="s">
        <v>1678</v>
      </c>
      <c r="D3497" s="10" t="s">
        <v>1679</v>
      </c>
      <c r="E3497" s="10" t="s">
        <v>1682</v>
      </c>
      <c r="F3497" t="s">
        <v>923</v>
      </c>
      <c r="G3497" s="4">
        <v>139730</v>
      </c>
      <c r="H3497" s="4"/>
      <c r="I3497" s="4"/>
      <c r="J3497" s="4">
        <f>SUM(G3497:I3497)</f>
        <v>139730</v>
      </c>
      <c r="K3497" t="s">
        <v>1659</v>
      </c>
      <c r="L3497" t="s">
        <v>1659</v>
      </c>
      <c r="M3497" t="s">
        <v>1535</v>
      </c>
      <c r="N3497" t="s">
        <v>1132</v>
      </c>
      <c r="O3497" t="s">
        <v>1132</v>
      </c>
      <c r="P3497" t="str">
        <f>IFERROR(VLOOKUP(F3497,Sheet1!$A$2:$B$54,2,FALSE),"")</f>
        <v/>
      </c>
    </row>
    <row r="3498" spans="1:16" x14ac:dyDescent="0.2">
      <c r="A3498" s="1">
        <v>2019</v>
      </c>
      <c r="B3498" t="s">
        <v>425</v>
      </c>
      <c r="C3498" s="10" t="s">
        <v>1678</v>
      </c>
      <c r="D3498" s="10" t="s">
        <v>1679</v>
      </c>
      <c r="E3498" s="10" t="s">
        <v>1682</v>
      </c>
      <c r="F3498" t="s">
        <v>923</v>
      </c>
      <c r="G3498" s="4">
        <v>159801</v>
      </c>
      <c r="H3498" s="4"/>
      <c r="I3498" s="4"/>
      <c r="J3498" s="4">
        <f>SUM(G3498:I3498)</f>
        <v>159801</v>
      </c>
      <c r="K3498" t="s">
        <v>1659</v>
      </c>
      <c r="L3498" t="s">
        <v>1659</v>
      </c>
      <c r="M3498" t="s">
        <v>1535</v>
      </c>
      <c r="N3498" t="s">
        <v>1132</v>
      </c>
      <c r="O3498" t="s">
        <v>1132</v>
      </c>
      <c r="P3498" t="str">
        <f>IFERROR(VLOOKUP(F3498,Sheet1!$A$2:$B$54,2,FALSE),"")</f>
        <v/>
      </c>
    </row>
    <row r="3499" spans="1:16" x14ac:dyDescent="0.2">
      <c r="A3499" s="1">
        <v>2020</v>
      </c>
      <c r="B3499" t="s">
        <v>425</v>
      </c>
      <c r="C3499" s="10" t="s">
        <v>1678</v>
      </c>
      <c r="D3499" s="10" t="s">
        <v>1679</v>
      </c>
      <c r="E3499" s="10" t="s">
        <v>1682</v>
      </c>
      <c r="F3499" t="s">
        <v>923</v>
      </c>
      <c r="G3499" s="4">
        <v>210373</v>
      </c>
      <c r="H3499" s="4"/>
      <c r="I3499" s="4"/>
      <c r="J3499" s="4">
        <f>SUM(G3499:I3499)</f>
        <v>210373</v>
      </c>
      <c r="K3499" t="s">
        <v>1659</v>
      </c>
      <c r="L3499" t="s">
        <v>1659</v>
      </c>
      <c r="M3499" t="s">
        <v>1535</v>
      </c>
      <c r="N3499" t="s">
        <v>1132</v>
      </c>
      <c r="O3499" t="s">
        <v>1132</v>
      </c>
      <c r="P3499" t="str">
        <f>IFERROR(VLOOKUP(F3499,Sheet1!$A$2:$B$54,2,FALSE),"")</f>
        <v/>
      </c>
    </row>
    <row r="3500" spans="1:16" x14ac:dyDescent="0.2">
      <c r="A3500" s="1">
        <v>2021</v>
      </c>
      <c r="B3500" t="s">
        <v>425</v>
      </c>
      <c r="C3500" s="10" t="s">
        <v>1678</v>
      </c>
      <c r="D3500" s="10" t="s">
        <v>1679</v>
      </c>
      <c r="E3500" s="10" t="s">
        <v>1682</v>
      </c>
      <c r="F3500" t="s">
        <v>923</v>
      </c>
      <c r="G3500" s="4">
        <v>226918</v>
      </c>
      <c r="H3500" s="4"/>
      <c r="I3500" s="4"/>
      <c r="J3500" s="4">
        <f>SUM(G3500:I3500)</f>
        <v>226918</v>
      </c>
      <c r="K3500" t="s">
        <v>1659</v>
      </c>
      <c r="L3500" t="s">
        <v>1659</v>
      </c>
      <c r="M3500" t="s">
        <v>923</v>
      </c>
      <c r="N3500" t="s">
        <v>1132</v>
      </c>
      <c r="O3500" t="s">
        <v>1132</v>
      </c>
      <c r="P3500" t="str">
        <f>IFERROR(VLOOKUP(F3500,Sheet1!$A$2:$B$54,2,FALSE),"")</f>
        <v/>
      </c>
    </row>
    <row r="3501" spans="1:16" x14ac:dyDescent="0.2">
      <c r="A3501" s="1">
        <v>2022</v>
      </c>
      <c r="B3501" t="s">
        <v>425</v>
      </c>
      <c r="C3501" s="10" t="s">
        <v>1678</v>
      </c>
      <c r="D3501" s="10" t="s">
        <v>1679</v>
      </c>
      <c r="E3501" s="10" t="s">
        <v>1682</v>
      </c>
      <c r="F3501" t="s">
        <v>923</v>
      </c>
      <c r="G3501" s="4">
        <v>281545</v>
      </c>
      <c r="H3501" s="4"/>
      <c r="I3501" s="4"/>
      <c r="J3501" s="4">
        <f>SUM(G3501:I3501)</f>
        <v>281545</v>
      </c>
      <c r="K3501" t="s">
        <v>1659</v>
      </c>
      <c r="L3501" t="s">
        <v>1659</v>
      </c>
      <c r="M3501" t="s">
        <v>923</v>
      </c>
      <c r="N3501" t="s">
        <v>1132</v>
      </c>
      <c r="O3501" t="s">
        <v>1132</v>
      </c>
      <c r="P3501" t="str">
        <f>IFERROR(VLOOKUP(F3501,Sheet1!$A$2:$B$54,2,FALSE),"")</f>
        <v/>
      </c>
    </row>
    <row r="3502" spans="1:16" x14ac:dyDescent="0.2">
      <c r="A3502" s="1">
        <v>2023</v>
      </c>
      <c r="B3502" t="s">
        <v>425</v>
      </c>
      <c r="C3502" s="10" t="s">
        <v>1678</v>
      </c>
      <c r="D3502" s="10" t="s">
        <v>1679</v>
      </c>
      <c r="E3502" s="10" t="s">
        <v>1682</v>
      </c>
      <c r="F3502" t="s">
        <v>923</v>
      </c>
      <c r="G3502" s="4">
        <v>311302</v>
      </c>
      <c r="H3502" s="4"/>
      <c r="I3502" s="4"/>
      <c r="J3502" s="4">
        <f>SUM(G3502:I3502)</f>
        <v>311302</v>
      </c>
      <c r="K3502" t="s">
        <v>1659</v>
      </c>
      <c r="L3502" t="s">
        <v>1659</v>
      </c>
      <c r="M3502" t="s">
        <v>923</v>
      </c>
      <c r="N3502" t="s">
        <v>1132</v>
      </c>
      <c r="O3502" t="s">
        <v>1132</v>
      </c>
      <c r="P3502" t="str">
        <f>IFERROR(VLOOKUP(F3502,Sheet1!$A$2:$B$54,2,FALSE),"")</f>
        <v/>
      </c>
    </row>
    <row r="3503" spans="1:16" x14ac:dyDescent="0.2">
      <c r="A3503" s="1">
        <v>2015</v>
      </c>
      <c r="B3503" t="s">
        <v>426</v>
      </c>
      <c r="C3503" s="10" t="s">
        <v>1678</v>
      </c>
      <c r="D3503" s="10" t="s">
        <v>1679</v>
      </c>
      <c r="E3503" s="10" t="s">
        <v>1682</v>
      </c>
      <c r="F3503" t="s">
        <v>924</v>
      </c>
      <c r="G3503" s="4">
        <v>35445</v>
      </c>
      <c r="H3503" s="4"/>
      <c r="I3503" s="4"/>
      <c r="J3503" s="4">
        <f>SUM(G3503:I3503)</f>
        <v>35445</v>
      </c>
      <c r="K3503" t="s">
        <v>1659</v>
      </c>
      <c r="L3503" t="s">
        <v>1659</v>
      </c>
      <c r="M3503" t="s">
        <v>1536</v>
      </c>
      <c r="N3503" t="s">
        <v>1132</v>
      </c>
      <c r="O3503" t="s">
        <v>1132</v>
      </c>
      <c r="P3503" t="str">
        <f>IFERROR(VLOOKUP(F3503,Sheet1!$A$2:$B$54,2,FALSE),"")</f>
        <v/>
      </c>
    </row>
    <row r="3504" spans="1:16" x14ac:dyDescent="0.2">
      <c r="A3504" s="1">
        <v>2016</v>
      </c>
      <c r="B3504" t="s">
        <v>426</v>
      </c>
      <c r="C3504" s="10" t="s">
        <v>1678</v>
      </c>
      <c r="D3504" s="10" t="s">
        <v>1679</v>
      </c>
      <c r="E3504" s="10" t="s">
        <v>1682</v>
      </c>
      <c r="F3504" t="s">
        <v>924</v>
      </c>
      <c r="G3504" s="4">
        <v>60334</v>
      </c>
      <c r="H3504" s="4"/>
      <c r="I3504" s="4"/>
      <c r="J3504" s="4">
        <f>SUM(G3504:I3504)</f>
        <v>60334</v>
      </c>
      <c r="K3504" t="s">
        <v>1659</v>
      </c>
      <c r="L3504" t="s">
        <v>1659</v>
      </c>
      <c r="M3504" t="s">
        <v>1536</v>
      </c>
      <c r="N3504" t="s">
        <v>1132</v>
      </c>
      <c r="O3504" t="s">
        <v>1132</v>
      </c>
      <c r="P3504" t="str">
        <f>IFERROR(VLOOKUP(F3504,Sheet1!$A$2:$B$54,2,FALSE),"")</f>
        <v/>
      </c>
    </row>
    <row r="3505" spans="1:16" x14ac:dyDescent="0.2">
      <c r="A3505" s="1">
        <v>2017</v>
      </c>
      <c r="B3505" t="s">
        <v>426</v>
      </c>
      <c r="C3505" s="10" t="s">
        <v>1678</v>
      </c>
      <c r="D3505" s="10" t="s">
        <v>1679</v>
      </c>
      <c r="E3505" s="10" t="s">
        <v>1682</v>
      </c>
      <c r="F3505" t="s">
        <v>924</v>
      </c>
      <c r="G3505" s="4">
        <v>56873</v>
      </c>
      <c r="H3505" s="4"/>
      <c r="I3505" s="4"/>
      <c r="J3505" s="4">
        <f>SUM(G3505:I3505)</f>
        <v>56873</v>
      </c>
      <c r="K3505" t="s">
        <v>1659</v>
      </c>
      <c r="L3505" t="s">
        <v>1659</v>
      </c>
      <c r="M3505" t="s">
        <v>1537</v>
      </c>
      <c r="N3505" t="s">
        <v>1132</v>
      </c>
      <c r="O3505" t="s">
        <v>1132</v>
      </c>
      <c r="P3505" t="str">
        <f>IFERROR(VLOOKUP(F3505,Sheet1!$A$2:$B$54,2,FALSE),"")</f>
        <v/>
      </c>
    </row>
    <row r="3506" spans="1:16" x14ac:dyDescent="0.2">
      <c r="A3506" s="1">
        <v>2018</v>
      </c>
      <c r="B3506" t="s">
        <v>426</v>
      </c>
      <c r="C3506" s="10" t="s">
        <v>1678</v>
      </c>
      <c r="D3506" s="10" t="s">
        <v>1679</v>
      </c>
      <c r="E3506" s="10" t="s">
        <v>1682</v>
      </c>
      <c r="F3506" t="s">
        <v>924</v>
      </c>
      <c r="G3506" s="4">
        <v>41135</v>
      </c>
      <c r="H3506" s="4"/>
      <c r="I3506" s="4"/>
      <c r="J3506" s="4">
        <f>SUM(G3506:I3506)</f>
        <v>41135</v>
      </c>
      <c r="K3506" t="s">
        <v>1659</v>
      </c>
      <c r="L3506" t="s">
        <v>1659</v>
      </c>
      <c r="M3506" t="s">
        <v>1537</v>
      </c>
      <c r="N3506" t="s">
        <v>1132</v>
      </c>
      <c r="O3506" t="s">
        <v>1132</v>
      </c>
      <c r="P3506" t="str">
        <f>IFERROR(VLOOKUP(F3506,Sheet1!$A$2:$B$54,2,FALSE),"")</f>
        <v/>
      </c>
    </row>
    <row r="3507" spans="1:16" x14ac:dyDescent="0.2">
      <c r="A3507" s="1">
        <v>2019</v>
      </c>
      <c r="B3507" t="s">
        <v>426</v>
      </c>
      <c r="C3507" s="10" t="s">
        <v>1678</v>
      </c>
      <c r="D3507" s="10" t="s">
        <v>1679</v>
      </c>
      <c r="E3507" s="10" t="s">
        <v>1682</v>
      </c>
      <c r="F3507" t="s">
        <v>924</v>
      </c>
      <c r="G3507" s="4">
        <v>57328</v>
      </c>
      <c r="H3507" s="4"/>
      <c r="I3507" s="4"/>
      <c r="J3507" s="4">
        <f>SUM(G3507:I3507)</f>
        <v>57328</v>
      </c>
      <c r="K3507" t="s">
        <v>1659</v>
      </c>
      <c r="L3507" t="s">
        <v>1659</v>
      </c>
      <c r="M3507" t="s">
        <v>1537</v>
      </c>
      <c r="N3507" t="s">
        <v>1132</v>
      </c>
      <c r="O3507" t="s">
        <v>1132</v>
      </c>
      <c r="P3507" t="str">
        <f>IFERROR(VLOOKUP(F3507,Sheet1!$A$2:$B$54,2,FALSE),"")</f>
        <v/>
      </c>
    </row>
    <row r="3508" spans="1:16" x14ac:dyDescent="0.2">
      <c r="A3508" s="1">
        <v>2020</v>
      </c>
      <c r="B3508" t="s">
        <v>426</v>
      </c>
      <c r="C3508" s="10" t="s">
        <v>1678</v>
      </c>
      <c r="D3508" s="10" t="s">
        <v>1679</v>
      </c>
      <c r="E3508" s="10" t="s">
        <v>1682</v>
      </c>
      <c r="F3508" t="s">
        <v>924</v>
      </c>
      <c r="G3508" s="4">
        <v>88863</v>
      </c>
      <c r="H3508" s="4"/>
      <c r="I3508" s="4"/>
      <c r="J3508" s="4">
        <f>SUM(G3508:I3508)</f>
        <v>88863</v>
      </c>
      <c r="K3508" t="s">
        <v>1659</v>
      </c>
      <c r="L3508" t="s">
        <v>1659</v>
      </c>
      <c r="M3508" t="s">
        <v>1537</v>
      </c>
      <c r="N3508" t="s">
        <v>1132</v>
      </c>
      <c r="O3508" t="s">
        <v>1132</v>
      </c>
      <c r="P3508" t="str">
        <f>IFERROR(VLOOKUP(F3508,Sheet1!$A$2:$B$54,2,FALSE),"")</f>
        <v/>
      </c>
    </row>
    <row r="3509" spans="1:16" x14ac:dyDescent="0.2">
      <c r="A3509" s="1">
        <v>2021</v>
      </c>
      <c r="B3509" t="s">
        <v>426</v>
      </c>
      <c r="C3509" s="10" t="s">
        <v>1678</v>
      </c>
      <c r="D3509" s="10" t="s">
        <v>1679</v>
      </c>
      <c r="E3509" s="10" t="s">
        <v>1682</v>
      </c>
      <c r="F3509" t="s">
        <v>924</v>
      </c>
      <c r="G3509" s="4">
        <v>178455</v>
      </c>
      <c r="H3509" s="4"/>
      <c r="I3509" s="4"/>
      <c r="J3509" s="4">
        <f>SUM(G3509:I3509)</f>
        <v>178455</v>
      </c>
      <c r="K3509" t="s">
        <v>1659</v>
      </c>
      <c r="L3509" t="s">
        <v>1659</v>
      </c>
      <c r="M3509" t="s">
        <v>924</v>
      </c>
      <c r="N3509" t="s">
        <v>1132</v>
      </c>
      <c r="O3509" t="s">
        <v>1132</v>
      </c>
      <c r="P3509" t="str">
        <f>IFERROR(VLOOKUP(F3509,Sheet1!$A$2:$B$54,2,FALSE),"")</f>
        <v/>
      </c>
    </row>
    <row r="3510" spans="1:16" x14ac:dyDescent="0.2">
      <c r="A3510" s="1">
        <v>2022</v>
      </c>
      <c r="B3510" t="s">
        <v>426</v>
      </c>
      <c r="C3510" s="10" t="s">
        <v>1678</v>
      </c>
      <c r="D3510" s="10" t="s">
        <v>1679</v>
      </c>
      <c r="E3510" s="10" t="s">
        <v>1682</v>
      </c>
      <c r="F3510" t="s">
        <v>924</v>
      </c>
      <c r="G3510" s="4">
        <v>214727</v>
      </c>
      <c r="H3510" s="4"/>
      <c r="I3510" s="4"/>
      <c r="J3510" s="4">
        <f>SUM(G3510:I3510)</f>
        <v>214727</v>
      </c>
      <c r="K3510" t="s">
        <v>1659</v>
      </c>
      <c r="L3510" t="s">
        <v>1659</v>
      </c>
      <c r="M3510" t="s">
        <v>924</v>
      </c>
      <c r="N3510" t="s">
        <v>1132</v>
      </c>
      <c r="O3510" t="s">
        <v>1132</v>
      </c>
      <c r="P3510" t="str">
        <f>IFERROR(VLOOKUP(F3510,Sheet1!$A$2:$B$54,2,FALSE),"")</f>
        <v/>
      </c>
    </row>
    <row r="3511" spans="1:16" x14ac:dyDescent="0.2">
      <c r="A3511" s="1">
        <v>2023</v>
      </c>
      <c r="B3511" t="s">
        <v>426</v>
      </c>
      <c r="C3511" s="10" t="s">
        <v>1678</v>
      </c>
      <c r="D3511" s="10" t="s">
        <v>1679</v>
      </c>
      <c r="E3511" s="10" t="s">
        <v>1682</v>
      </c>
      <c r="F3511" t="s">
        <v>924</v>
      </c>
      <c r="G3511" s="4">
        <v>257110</v>
      </c>
      <c r="H3511" s="4"/>
      <c r="I3511" s="4"/>
      <c r="J3511" s="4">
        <f>SUM(G3511:I3511)</f>
        <v>257110</v>
      </c>
      <c r="K3511" t="s">
        <v>1659</v>
      </c>
      <c r="L3511" t="s">
        <v>1659</v>
      </c>
      <c r="M3511" t="s">
        <v>924</v>
      </c>
      <c r="N3511" t="s">
        <v>1132</v>
      </c>
      <c r="O3511" t="s">
        <v>1132</v>
      </c>
      <c r="P3511" t="str">
        <f>IFERROR(VLOOKUP(F3511,Sheet1!$A$2:$B$54,2,FALSE),"")</f>
        <v/>
      </c>
    </row>
    <row r="3512" spans="1:16" x14ac:dyDescent="0.2">
      <c r="A3512" s="1">
        <v>2017</v>
      </c>
      <c r="B3512" t="s">
        <v>470</v>
      </c>
      <c r="C3512" s="10" t="s">
        <v>1678</v>
      </c>
      <c r="D3512" s="10" t="s">
        <v>1679</v>
      </c>
      <c r="E3512" s="10" t="s">
        <v>1682</v>
      </c>
      <c r="F3512" t="s">
        <v>893</v>
      </c>
      <c r="G3512" s="4">
        <v>37919</v>
      </c>
      <c r="H3512" s="4">
        <v>236960</v>
      </c>
      <c r="I3512" s="4"/>
      <c r="J3512" s="4">
        <f>SUM(G3512:I3512)</f>
        <v>274879</v>
      </c>
      <c r="K3512" t="s">
        <v>1660</v>
      </c>
      <c r="L3512" t="s">
        <v>1659</v>
      </c>
      <c r="M3512" t="s">
        <v>968</v>
      </c>
      <c r="N3512" t="s">
        <v>968</v>
      </c>
      <c r="O3512" t="s">
        <v>1132</v>
      </c>
      <c r="P3512">
        <f>IFERROR(VLOOKUP(F3512,Sheet1!$A$2:$B$54,2,FALSE),"")</f>
        <v>4900012</v>
      </c>
    </row>
    <row r="3513" spans="1:16" x14ac:dyDescent="0.2">
      <c r="A3513" s="1">
        <v>2018</v>
      </c>
      <c r="B3513" t="s">
        <v>470</v>
      </c>
      <c r="C3513" s="10" t="s">
        <v>1678</v>
      </c>
      <c r="D3513" s="10" t="s">
        <v>1679</v>
      </c>
      <c r="E3513" s="10" t="s">
        <v>1682</v>
      </c>
      <c r="F3513" t="s">
        <v>893</v>
      </c>
      <c r="G3513" s="4">
        <v>56797</v>
      </c>
      <c r="H3513" s="4">
        <v>216952</v>
      </c>
      <c r="I3513" s="4"/>
      <c r="J3513" s="4">
        <f>SUM(G3513:I3513)</f>
        <v>273749</v>
      </c>
      <c r="K3513" t="s">
        <v>1660</v>
      </c>
      <c r="L3513" t="s">
        <v>1659</v>
      </c>
      <c r="M3513" t="s">
        <v>968</v>
      </c>
      <c r="N3513" t="s">
        <v>968</v>
      </c>
      <c r="O3513" t="s">
        <v>1132</v>
      </c>
      <c r="P3513">
        <f>IFERROR(VLOOKUP(F3513,Sheet1!$A$2:$B$54,2,FALSE),"")</f>
        <v>4900012</v>
      </c>
    </row>
    <row r="3514" spans="1:16" x14ac:dyDescent="0.2">
      <c r="A3514" s="1">
        <v>2019</v>
      </c>
      <c r="B3514" t="s">
        <v>470</v>
      </c>
      <c r="C3514" s="10" t="s">
        <v>1678</v>
      </c>
      <c r="D3514" s="10" t="s">
        <v>1679</v>
      </c>
      <c r="E3514" s="10" t="s">
        <v>1682</v>
      </c>
      <c r="F3514" t="s">
        <v>893</v>
      </c>
      <c r="G3514" s="4">
        <v>60510</v>
      </c>
      <c r="H3514" s="4">
        <v>236339</v>
      </c>
      <c r="I3514" s="4"/>
      <c r="J3514" s="4">
        <f>SUM(G3514:I3514)</f>
        <v>296849</v>
      </c>
      <c r="K3514" t="s">
        <v>1660</v>
      </c>
      <c r="L3514" t="s">
        <v>1659</v>
      </c>
      <c r="M3514" t="s">
        <v>968</v>
      </c>
      <c r="N3514" t="s">
        <v>968</v>
      </c>
      <c r="O3514" t="s">
        <v>1132</v>
      </c>
      <c r="P3514">
        <f>IFERROR(VLOOKUP(F3514,Sheet1!$A$2:$B$54,2,FALSE),"")</f>
        <v>4900012</v>
      </c>
    </row>
    <row r="3515" spans="1:16" x14ac:dyDescent="0.2">
      <c r="A3515" s="1">
        <v>2020</v>
      </c>
      <c r="B3515" t="s">
        <v>470</v>
      </c>
      <c r="C3515" s="10" t="s">
        <v>1678</v>
      </c>
      <c r="D3515" s="10" t="s">
        <v>1679</v>
      </c>
      <c r="E3515" s="10" t="s">
        <v>1682</v>
      </c>
      <c r="F3515" t="s">
        <v>893</v>
      </c>
      <c r="G3515" s="4">
        <v>59582</v>
      </c>
      <c r="H3515" s="4">
        <v>256047</v>
      </c>
      <c r="I3515" s="4"/>
      <c r="J3515" s="4">
        <f>SUM(G3515:I3515)</f>
        <v>315629</v>
      </c>
      <c r="K3515" t="s">
        <v>1660</v>
      </c>
      <c r="L3515" t="s">
        <v>1659</v>
      </c>
      <c r="M3515" t="s">
        <v>968</v>
      </c>
      <c r="N3515" t="s">
        <v>968</v>
      </c>
      <c r="O3515" t="s">
        <v>1132</v>
      </c>
      <c r="P3515">
        <f>IFERROR(VLOOKUP(F3515,Sheet1!$A$2:$B$54,2,FALSE),"")</f>
        <v>4900012</v>
      </c>
    </row>
    <row r="3516" spans="1:16" x14ac:dyDescent="0.2">
      <c r="A3516" s="1">
        <v>2021</v>
      </c>
      <c r="B3516" t="s">
        <v>470</v>
      </c>
      <c r="C3516" s="10" t="s">
        <v>1678</v>
      </c>
      <c r="D3516" s="10" t="s">
        <v>1679</v>
      </c>
      <c r="E3516" s="10" t="s">
        <v>1682</v>
      </c>
      <c r="F3516" t="s">
        <v>893</v>
      </c>
      <c r="G3516" s="4">
        <v>63203</v>
      </c>
      <c r="H3516" s="4">
        <v>239937</v>
      </c>
      <c r="I3516" s="4"/>
      <c r="J3516" s="4">
        <f>SUM(G3516:I3516)</f>
        <v>303140</v>
      </c>
      <c r="K3516" t="s">
        <v>1660</v>
      </c>
      <c r="L3516" t="s">
        <v>1659</v>
      </c>
      <c r="M3516" t="s">
        <v>893</v>
      </c>
      <c r="N3516" t="s">
        <v>893</v>
      </c>
      <c r="O3516" t="s">
        <v>1132</v>
      </c>
      <c r="P3516">
        <f>IFERROR(VLOOKUP(F3516,Sheet1!$A$2:$B$54,2,FALSE),"")</f>
        <v>4900012</v>
      </c>
    </row>
    <row r="3517" spans="1:16" x14ac:dyDescent="0.2">
      <c r="A3517" s="1">
        <v>2022</v>
      </c>
      <c r="B3517" t="s">
        <v>470</v>
      </c>
      <c r="C3517" s="10" t="s">
        <v>1678</v>
      </c>
      <c r="D3517" s="10" t="s">
        <v>1679</v>
      </c>
      <c r="E3517" s="10" t="s">
        <v>1682</v>
      </c>
      <c r="F3517" t="s">
        <v>893</v>
      </c>
      <c r="G3517" s="4">
        <v>68339</v>
      </c>
      <c r="H3517" s="4">
        <v>199539</v>
      </c>
      <c r="I3517" s="4"/>
      <c r="J3517" s="4">
        <f>SUM(G3517:I3517)</f>
        <v>267878</v>
      </c>
      <c r="K3517" t="s">
        <v>1660</v>
      </c>
      <c r="L3517" t="s">
        <v>1659</v>
      </c>
      <c r="M3517" t="s">
        <v>893</v>
      </c>
      <c r="N3517" t="s">
        <v>893</v>
      </c>
      <c r="O3517" t="s">
        <v>1132</v>
      </c>
      <c r="P3517">
        <f>IFERROR(VLOOKUP(F3517,Sheet1!$A$2:$B$54,2,FALSE),"")</f>
        <v>4900012</v>
      </c>
    </row>
    <row r="3518" spans="1:16" x14ac:dyDescent="0.2">
      <c r="A3518" s="1">
        <v>2023</v>
      </c>
      <c r="B3518" t="s">
        <v>470</v>
      </c>
      <c r="C3518" s="10" t="s">
        <v>1678</v>
      </c>
      <c r="D3518" s="10" t="s">
        <v>1679</v>
      </c>
      <c r="E3518" s="10" t="s">
        <v>1682</v>
      </c>
      <c r="F3518" t="s">
        <v>893</v>
      </c>
      <c r="G3518" s="4">
        <v>91470</v>
      </c>
      <c r="H3518" s="4">
        <v>208337</v>
      </c>
      <c r="I3518" s="4"/>
      <c r="J3518" s="4">
        <f>SUM(G3518:I3518)</f>
        <v>299807</v>
      </c>
      <c r="K3518" t="s">
        <v>1660</v>
      </c>
      <c r="L3518" t="s">
        <v>1659</v>
      </c>
      <c r="M3518" t="s">
        <v>893</v>
      </c>
      <c r="N3518" t="s">
        <v>893</v>
      </c>
      <c r="O3518" t="s">
        <v>1132</v>
      </c>
      <c r="P3518">
        <f>IFERROR(VLOOKUP(F3518,Sheet1!$A$2:$B$54,2,FALSE),"")</f>
        <v>4900012</v>
      </c>
    </row>
    <row r="3519" spans="1:16" x14ac:dyDescent="0.2">
      <c r="A3519" s="1">
        <v>2015</v>
      </c>
      <c r="B3519" t="s">
        <v>397</v>
      </c>
      <c r="C3519" s="10" t="s">
        <v>1678</v>
      </c>
      <c r="D3519" s="10" t="s">
        <v>1679</v>
      </c>
      <c r="E3519" s="10" t="s">
        <v>1682</v>
      </c>
      <c r="F3519" t="s">
        <v>895</v>
      </c>
      <c r="G3519" s="4">
        <v>21210</v>
      </c>
      <c r="H3519" s="4">
        <v>206530</v>
      </c>
      <c r="I3519" s="4"/>
      <c r="J3519" s="4">
        <f>SUM(G3519:I3519)</f>
        <v>227740</v>
      </c>
      <c r="K3519" t="s">
        <v>1660</v>
      </c>
      <c r="L3519" t="s">
        <v>1659</v>
      </c>
      <c r="M3519" t="s">
        <v>979</v>
      </c>
      <c r="N3519" t="s">
        <v>979</v>
      </c>
      <c r="O3519" t="s">
        <v>1132</v>
      </c>
      <c r="P3519">
        <f>IFERROR(VLOOKUP(F3519,Sheet1!$A$2:$B$54,2,FALSE),"")</f>
        <v>4900020</v>
      </c>
    </row>
    <row r="3520" spans="1:16" x14ac:dyDescent="0.2">
      <c r="A3520" s="1">
        <v>2016</v>
      </c>
      <c r="B3520" t="s">
        <v>397</v>
      </c>
      <c r="C3520" s="10" t="s">
        <v>1678</v>
      </c>
      <c r="D3520" s="10" t="s">
        <v>1679</v>
      </c>
      <c r="E3520" s="10" t="s">
        <v>1682</v>
      </c>
      <c r="F3520" t="s">
        <v>895</v>
      </c>
      <c r="G3520" s="4">
        <v>23970</v>
      </c>
      <c r="H3520" s="4">
        <v>217864</v>
      </c>
      <c r="I3520" s="4"/>
      <c r="J3520" s="4">
        <f>SUM(G3520:I3520)</f>
        <v>241834</v>
      </c>
      <c r="K3520" t="s">
        <v>1660</v>
      </c>
      <c r="L3520" t="s">
        <v>1659</v>
      </c>
      <c r="M3520" t="s">
        <v>1504</v>
      </c>
      <c r="N3520" t="s">
        <v>1504</v>
      </c>
      <c r="O3520" t="s">
        <v>1132</v>
      </c>
      <c r="P3520">
        <f>IFERROR(VLOOKUP(F3520,Sheet1!$A$2:$B$54,2,FALSE),"")</f>
        <v>4900020</v>
      </c>
    </row>
    <row r="3521" spans="1:16" x14ac:dyDescent="0.2">
      <c r="A3521" s="1">
        <v>2015</v>
      </c>
      <c r="B3521" t="s">
        <v>428</v>
      </c>
      <c r="C3521" s="10" t="s">
        <v>1678</v>
      </c>
      <c r="D3521" s="10" t="s">
        <v>1679</v>
      </c>
      <c r="E3521" s="10" t="s">
        <v>1682</v>
      </c>
      <c r="F3521" t="s">
        <v>926</v>
      </c>
      <c r="G3521" s="4">
        <v>51927</v>
      </c>
      <c r="H3521" s="4"/>
      <c r="I3521" s="4"/>
      <c r="J3521" s="4">
        <f>SUM(G3521:I3521)</f>
        <v>51927</v>
      </c>
      <c r="K3521" t="s">
        <v>1659</v>
      </c>
      <c r="L3521" t="s">
        <v>1659</v>
      </c>
      <c r="M3521" t="s">
        <v>1539</v>
      </c>
      <c r="N3521" t="s">
        <v>1132</v>
      </c>
      <c r="O3521" t="s">
        <v>1132</v>
      </c>
      <c r="P3521" t="str">
        <f>IFERROR(VLOOKUP(F3521,Sheet1!$A$2:$B$54,2,FALSE),"")</f>
        <v/>
      </c>
    </row>
    <row r="3522" spans="1:16" x14ac:dyDescent="0.2">
      <c r="A3522" s="1">
        <v>2016</v>
      </c>
      <c r="B3522" t="s">
        <v>428</v>
      </c>
      <c r="C3522" s="10" t="s">
        <v>1678</v>
      </c>
      <c r="D3522" s="10" t="s">
        <v>1679</v>
      </c>
      <c r="E3522" s="10" t="s">
        <v>1682</v>
      </c>
      <c r="F3522" t="s">
        <v>926</v>
      </c>
      <c r="G3522" s="4">
        <v>61868</v>
      </c>
      <c r="H3522" s="4"/>
      <c r="I3522" s="4"/>
      <c r="J3522" s="4">
        <f>SUM(G3522:I3522)</f>
        <v>61868</v>
      </c>
      <c r="K3522" t="s">
        <v>1659</v>
      </c>
      <c r="L3522" t="s">
        <v>1659</v>
      </c>
      <c r="M3522" t="s">
        <v>1539</v>
      </c>
      <c r="N3522" t="s">
        <v>1132</v>
      </c>
      <c r="O3522" t="s">
        <v>1132</v>
      </c>
      <c r="P3522" t="str">
        <f>IFERROR(VLOOKUP(F3522,Sheet1!$A$2:$B$54,2,FALSE),"")</f>
        <v/>
      </c>
    </row>
    <row r="3523" spans="1:16" x14ac:dyDescent="0.2">
      <c r="A3523" s="1">
        <v>2017</v>
      </c>
      <c r="B3523" t="s">
        <v>428</v>
      </c>
      <c r="C3523" s="10" t="s">
        <v>1678</v>
      </c>
      <c r="D3523" s="10" t="s">
        <v>1679</v>
      </c>
      <c r="E3523" s="10" t="s">
        <v>1682</v>
      </c>
      <c r="F3523" t="s">
        <v>926</v>
      </c>
      <c r="G3523" s="4">
        <v>81839</v>
      </c>
      <c r="H3523" s="4"/>
      <c r="I3523" s="4"/>
      <c r="J3523" s="4">
        <f>SUM(G3523:I3523)</f>
        <v>81839</v>
      </c>
      <c r="K3523" t="s">
        <v>1659</v>
      </c>
      <c r="L3523" t="s">
        <v>1659</v>
      </c>
      <c r="M3523" t="s">
        <v>1539</v>
      </c>
      <c r="N3523" t="s">
        <v>1132</v>
      </c>
      <c r="O3523" t="s">
        <v>1132</v>
      </c>
      <c r="P3523" t="str">
        <f>IFERROR(VLOOKUP(F3523,Sheet1!$A$2:$B$54,2,FALSE),"")</f>
        <v/>
      </c>
    </row>
    <row r="3524" spans="1:16" x14ac:dyDescent="0.2">
      <c r="A3524" s="1">
        <v>2018</v>
      </c>
      <c r="B3524" t="s">
        <v>428</v>
      </c>
      <c r="C3524" s="10" t="s">
        <v>1678</v>
      </c>
      <c r="D3524" s="10" t="s">
        <v>1679</v>
      </c>
      <c r="E3524" s="10" t="s">
        <v>1682</v>
      </c>
      <c r="F3524" t="s">
        <v>926</v>
      </c>
      <c r="G3524" s="4">
        <v>112414</v>
      </c>
      <c r="H3524" s="4"/>
      <c r="I3524" s="4"/>
      <c r="J3524" s="4">
        <f>SUM(G3524:I3524)</f>
        <v>112414</v>
      </c>
      <c r="K3524" t="s">
        <v>1659</v>
      </c>
      <c r="L3524" t="s">
        <v>1659</v>
      </c>
      <c r="M3524" t="s">
        <v>1539</v>
      </c>
      <c r="N3524" t="s">
        <v>1132</v>
      </c>
      <c r="O3524" t="s">
        <v>1132</v>
      </c>
      <c r="P3524" t="str">
        <f>IFERROR(VLOOKUP(F3524,Sheet1!$A$2:$B$54,2,FALSE),"")</f>
        <v/>
      </c>
    </row>
    <row r="3525" spans="1:16" x14ac:dyDescent="0.2">
      <c r="A3525" s="1">
        <v>2019</v>
      </c>
      <c r="B3525" t="s">
        <v>428</v>
      </c>
      <c r="C3525" s="10" t="s">
        <v>1678</v>
      </c>
      <c r="D3525" s="10" t="s">
        <v>1679</v>
      </c>
      <c r="E3525" s="10" t="s">
        <v>1682</v>
      </c>
      <c r="F3525" t="s">
        <v>926</v>
      </c>
      <c r="G3525" s="4">
        <v>144721</v>
      </c>
      <c r="H3525" s="4"/>
      <c r="I3525" s="4"/>
      <c r="J3525" s="4">
        <f>SUM(G3525:I3525)</f>
        <v>144721</v>
      </c>
      <c r="K3525" t="s">
        <v>1659</v>
      </c>
      <c r="L3525" t="s">
        <v>1659</v>
      </c>
      <c r="M3525" t="s">
        <v>1539</v>
      </c>
      <c r="N3525" t="s">
        <v>1132</v>
      </c>
      <c r="O3525" t="s">
        <v>1132</v>
      </c>
      <c r="P3525" t="str">
        <f>IFERROR(VLOOKUP(F3525,Sheet1!$A$2:$B$54,2,FALSE),"")</f>
        <v/>
      </c>
    </row>
    <row r="3526" spans="1:16" x14ac:dyDescent="0.2">
      <c r="A3526" s="1">
        <v>2020</v>
      </c>
      <c r="B3526" t="s">
        <v>428</v>
      </c>
      <c r="C3526" s="10" t="s">
        <v>1678</v>
      </c>
      <c r="D3526" s="10" t="s">
        <v>1679</v>
      </c>
      <c r="E3526" s="10" t="s">
        <v>1682</v>
      </c>
      <c r="F3526" t="s">
        <v>926</v>
      </c>
      <c r="G3526" s="4">
        <v>185546</v>
      </c>
      <c r="H3526" s="4"/>
      <c r="I3526" s="4"/>
      <c r="J3526" s="4">
        <f>SUM(G3526:I3526)</f>
        <v>185546</v>
      </c>
      <c r="K3526" t="s">
        <v>1659</v>
      </c>
      <c r="L3526" t="s">
        <v>1659</v>
      </c>
      <c r="M3526" t="s">
        <v>1539</v>
      </c>
      <c r="N3526" t="s">
        <v>1132</v>
      </c>
      <c r="O3526" t="s">
        <v>1132</v>
      </c>
      <c r="P3526" t="str">
        <f>IFERROR(VLOOKUP(F3526,Sheet1!$A$2:$B$54,2,FALSE),"")</f>
        <v/>
      </c>
    </row>
    <row r="3527" spans="1:16" x14ac:dyDescent="0.2">
      <c r="A3527" s="1">
        <v>2021</v>
      </c>
      <c r="B3527" t="s">
        <v>428</v>
      </c>
      <c r="C3527" s="10" t="s">
        <v>1678</v>
      </c>
      <c r="D3527" s="10" t="s">
        <v>1679</v>
      </c>
      <c r="E3527" s="10" t="s">
        <v>1682</v>
      </c>
      <c r="F3527" t="s">
        <v>926</v>
      </c>
      <c r="G3527" s="4">
        <v>252439</v>
      </c>
      <c r="H3527" s="4"/>
      <c r="I3527" s="4"/>
      <c r="J3527" s="4">
        <f>SUM(G3527:I3527)</f>
        <v>252439</v>
      </c>
      <c r="K3527" t="s">
        <v>1659</v>
      </c>
      <c r="L3527" t="s">
        <v>1659</v>
      </c>
      <c r="M3527" t="s">
        <v>926</v>
      </c>
      <c r="N3527" t="s">
        <v>1132</v>
      </c>
      <c r="O3527" t="s">
        <v>1132</v>
      </c>
      <c r="P3527" t="str">
        <f>IFERROR(VLOOKUP(F3527,Sheet1!$A$2:$B$54,2,FALSE),"")</f>
        <v/>
      </c>
    </row>
    <row r="3528" spans="1:16" x14ac:dyDescent="0.2">
      <c r="A3528" s="1">
        <v>2022</v>
      </c>
      <c r="B3528" t="s">
        <v>428</v>
      </c>
      <c r="C3528" s="10" t="s">
        <v>1678</v>
      </c>
      <c r="D3528" s="10" t="s">
        <v>1679</v>
      </c>
      <c r="E3528" s="10" t="s">
        <v>1682</v>
      </c>
      <c r="F3528" t="s">
        <v>926</v>
      </c>
      <c r="G3528" s="4">
        <v>360264</v>
      </c>
      <c r="H3528" s="4"/>
      <c r="I3528" s="4"/>
      <c r="J3528" s="4">
        <f>SUM(G3528:I3528)</f>
        <v>360264</v>
      </c>
      <c r="K3528" t="s">
        <v>1659</v>
      </c>
      <c r="L3528" t="s">
        <v>1659</v>
      </c>
      <c r="M3528" t="s">
        <v>926</v>
      </c>
      <c r="N3528" t="s">
        <v>1132</v>
      </c>
      <c r="O3528" t="s">
        <v>1132</v>
      </c>
      <c r="P3528" t="str">
        <f>IFERROR(VLOOKUP(F3528,Sheet1!$A$2:$B$54,2,FALSE),"")</f>
        <v/>
      </c>
    </row>
    <row r="3529" spans="1:16" x14ac:dyDescent="0.2">
      <c r="A3529" s="1">
        <v>2023</v>
      </c>
      <c r="B3529" t="s">
        <v>428</v>
      </c>
      <c r="C3529" s="10" t="s">
        <v>1678</v>
      </c>
      <c r="D3529" s="10" t="s">
        <v>1679</v>
      </c>
      <c r="E3529" s="10" t="s">
        <v>1682</v>
      </c>
      <c r="F3529" t="s">
        <v>926</v>
      </c>
      <c r="G3529" s="4">
        <v>423841</v>
      </c>
      <c r="H3529" s="4"/>
      <c r="I3529" s="4"/>
      <c r="J3529" s="4">
        <f>SUM(G3529:I3529)</f>
        <v>423841</v>
      </c>
      <c r="K3529" t="s">
        <v>1659</v>
      </c>
      <c r="L3529" t="s">
        <v>1659</v>
      </c>
      <c r="M3529" t="s">
        <v>926</v>
      </c>
      <c r="N3529" t="s">
        <v>1132</v>
      </c>
      <c r="O3529" t="s">
        <v>1132</v>
      </c>
      <c r="P3529" t="str">
        <f>IFERROR(VLOOKUP(F3529,Sheet1!$A$2:$B$54,2,FALSE),"")</f>
        <v/>
      </c>
    </row>
    <row r="3530" spans="1:16" x14ac:dyDescent="0.2">
      <c r="A3530" s="1">
        <v>2015</v>
      </c>
      <c r="B3530" t="s">
        <v>429</v>
      </c>
      <c r="C3530" s="10" t="s">
        <v>1678</v>
      </c>
      <c r="D3530" s="10" t="s">
        <v>1679</v>
      </c>
      <c r="E3530" s="10" t="s">
        <v>1682</v>
      </c>
      <c r="F3530" t="s">
        <v>927</v>
      </c>
      <c r="G3530" s="4">
        <v>4663</v>
      </c>
      <c r="H3530" s="4"/>
      <c r="I3530" s="4"/>
      <c r="J3530" s="4">
        <f>SUM(G3530:I3530)</f>
        <v>4663</v>
      </c>
      <c r="K3530" t="s">
        <v>1659</v>
      </c>
      <c r="L3530" t="s">
        <v>1659</v>
      </c>
      <c r="M3530" t="s">
        <v>1540</v>
      </c>
      <c r="N3530" t="s">
        <v>1132</v>
      </c>
      <c r="O3530" t="s">
        <v>1132</v>
      </c>
      <c r="P3530" t="str">
        <f>IFERROR(VLOOKUP(F3530,Sheet1!$A$2:$B$54,2,FALSE),"")</f>
        <v/>
      </c>
    </row>
    <row r="3531" spans="1:16" x14ac:dyDescent="0.2">
      <c r="A3531" s="1">
        <v>2016</v>
      </c>
      <c r="B3531" t="s">
        <v>429</v>
      </c>
      <c r="C3531" s="10" t="s">
        <v>1678</v>
      </c>
      <c r="D3531" s="10" t="s">
        <v>1679</v>
      </c>
      <c r="E3531" s="10" t="s">
        <v>1682</v>
      </c>
      <c r="F3531" t="s">
        <v>927</v>
      </c>
      <c r="G3531" s="4">
        <v>7899</v>
      </c>
      <c r="H3531" s="4"/>
      <c r="I3531" s="4"/>
      <c r="J3531" s="4">
        <f>SUM(G3531:I3531)</f>
        <v>7899</v>
      </c>
      <c r="K3531" t="s">
        <v>1659</v>
      </c>
      <c r="L3531" t="s">
        <v>1659</v>
      </c>
      <c r="M3531" t="s">
        <v>1541</v>
      </c>
      <c r="N3531" t="s">
        <v>1132</v>
      </c>
      <c r="O3531" t="s">
        <v>1132</v>
      </c>
      <c r="P3531" t="str">
        <f>IFERROR(VLOOKUP(F3531,Sheet1!$A$2:$B$54,2,FALSE),"")</f>
        <v/>
      </c>
    </row>
    <row r="3532" spans="1:16" x14ac:dyDescent="0.2">
      <c r="A3532" s="1">
        <v>2017</v>
      </c>
      <c r="B3532" t="s">
        <v>429</v>
      </c>
      <c r="C3532" s="10" t="s">
        <v>1678</v>
      </c>
      <c r="D3532" s="10" t="s">
        <v>1679</v>
      </c>
      <c r="E3532" s="10" t="s">
        <v>1682</v>
      </c>
      <c r="F3532" t="s">
        <v>927</v>
      </c>
      <c r="G3532" s="4">
        <v>12934</v>
      </c>
      <c r="H3532" s="4"/>
      <c r="I3532" s="4"/>
      <c r="J3532" s="4">
        <f>SUM(G3532:I3532)</f>
        <v>12934</v>
      </c>
      <c r="K3532" t="s">
        <v>1659</v>
      </c>
      <c r="L3532" t="s">
        <v>1659</v>
      </c>
      <c r="M3532" t="s">
        <v>1541</v>
      </c>
      <c r="N3532" t="s">
        <v>1132</v>
      </c>
      <c r="O3532" t="s">
        <v>1132</v>
      </c>
      <c r="P3532" t="str">
        <f>IFERROR(VLOOKUP(F3532,Sheet1!$A$2:$B$54,2,FALSE),"")</f>
        <v/>
      </c>
    </row>
    <row r="3533" spans="1:16" x14ac:dyDescent="0.2">
      <c r="A3533" s="1">
        <v>2018</v>
      </c>
      <c r="B3533" t="s">
        <v>429</v>
      </c>
      <c r="C3533" s="10" t="s">
        <v>1678</v>
      </c>
      <c r="D3533" s="10" t="s">
        <v>1679</v>
      </c>
      <c r="E3533" s="10" t="s">
        <v>1682</v>
      </c>
      <c r="F3533" t="s">
        <v>927</v>
      </c>
      <c r="G3533" s="4">
        <v>14208</v>
      </c>
      <c r="H3533" s="4"/>
      <c r="I3533" s="4"/>
      <c r="J3533" s="4">
        <f>SUM(G3533:I3533)</f>
        <v>14208</v>
      </c>
      <c r="K3533" t="s">
        <v>1659</v>
      </c>
      <c r="L3533" t="s">
        <v>1659</v>
      </c>
      <c r="M3533" t="s">
        <v>1541</v>
      </c>
      <c r="N3533" t="s">
        <v>1132</v>
      </c>
      <c r="O3533" t="s">
        <v>1132</v>
      </c>
      <c r="P3533" t="str">
        <f>IFERROR(VLOOKUP(F3533,Sheet1!$A$2:$B$54,2,FALSE),"")</f>
        <v/>
      </c>
    </row>
    <row r="3534" spans="1:16" x14ac:dyDescent="0.2">
      <c r="A3534" s="1">
        <v>2019</v>
      </c>
      <c r="B3534" t="s">
        <v>429</v>
      </c>
      <c r="C3534" s="10" t="s">
        <v>1678</v>
      </c>
      <c r="D3534" s="10" t="s">
        <v>1679</v>
      </c>
      <c r="E3534" s="10" t="s">
        <v>1682</v>
      </c>
      <c r="F3534" t="s">
        <v>927</v>
      </c>
      <c r="G3534" s="4">
        <v>20034</v>
      </c>
      <c r="H3534" s="4"/>
      <c r="I3534" s="4"/>
      <c r="J3534" s="4">
        <f>SUM(G3534:I3534)</f>
        <v>20034</v>
      </c>
      <c r="K3534" t="s">
        <v>1659</v>
      </c>
      <c r="L3534" t="s">
        <v>1659</v>
      </c>
      <c r="M3534" t="s">
        <v>1541</v>
      </c>
      <c r="N3534" t="s">
        <v>1132</v>
      </c>
      <c r="O3534" t="s">
        <v>1132</v>
      </c>
      <c r="P3534" t="str">
        <f>IFERROR(VLOOKUP(F3534,Sheet1!$A$2:$B$54,2,FALSE),"")</f>
        <v/>
      </c>
    </row>
    <row r="3535" spans="1:16" x14ac:dyDescent="0.2">
      <c r="A3535" s="1">
        <v>2020</v>
      </c>
      <c r="B3535" t="s">
        <v>429</v>
      </c>
      <c r="C3535" s="10" t="s">
        <v>1678</v>
      </c>
      <c r="D3535" s="10" t="s">
        <v>1679</v>
      </c>
      <c r="E3535" s="10" t="s">
        <v>1682</v>
      </c>
      <c r="F3535" t="s">
        <v>927</v>
      </c>
      <c r="G3535" s="4">
        <v>25719</v>
      </c>
      <c r="H3535" s="4"/>
      <c r="I3535" s="4"/>
      <c r="J3535" s="4">
        <f>SUM(G3535:I3535)</f>
        <v>25719</v>
      </c>
      <c r="K3535" t="s">
        <v>1659</v>
      </c>
      <c r="L3535" t="s">
        <v>1659</v>
      </c>
      <c r="M3535" t="s">
        <v>1541</v>
      </c>
      <c r="N3535" t="s">
        <v>1132</v>
      </c>
      <c r="O3535" t="s">
        <v>1132</v>
      </c>
      <c r="P3535" t="str">
        <f>IFERROR(VLOOKUP(F3535,Sheet1!$A$2:$B$54,2,FALSE),"")</f>
        <v/>
      </c>
    </row>
    <row r="3536" spans="1:16" x14ac:dyDescent="0.2">
      <c r="A3536" s="1">
        <v>2021</v>
      </c>
      <c r="B3536" t="s">
        <v>429</v>
      </c>
      <c r="C3536" s="10" t="s">
        <v>1678</v>
      </c>
      <c r="D3536" s="10" t="s">
        <v>1679</v>
      </c>
      <c r="E3536" s="10" t="s">
        <v>1682</v>
      </c>
      <c r="F3536" t="s">
        <v>927</v>
      </c>
      <c r="G3536" s="4">
        <v>37381</v>
      </c>
      <c r="H3536" s="4"/>
      <c r="I3536" s="4"/>
      <c r="J3536" s="4">
        <f>SUM(G3536:I3536)</f>
        <v>37381</v>
      </c>
      <c r="K3536" t="s">
        <v>1659</v>
      </c>
      <c r="L3536" t="s">
        <v>1659</v>
      </c>
      <c r="M3536" t="s">
        <v>927</v>
      </c>
      <c r="N3536" t="s">
        <v>1132</v>
      </c>
      <c r="O3536" t="s">
        <v>1132</v>
      </c>
      <c r="P3536" t="str">
        <f>IFERROR(VLOOKUP(F3536,Sheet1!$A$2:$B$54,2,FALSE),"")</f>
        <v/>
      </c>
    </row>
    <row r="3537" spans="1:16" x14ac:dyDescent="0.2">
      <c r="A3537" s="1">
        <v>2022</v>
      </c>
      <c r="B3537" t="s">
        <v>429</v>
      </c>
      <c r="C3537" s="10" t="s">
        <v>1678</v>
      </c>
      <c r="D3537" s="10" t="s">
        <v>1679</v>
      </c>
      <c r="E3537" s="10" t="s">
        <v>1682</v>
      </c>
      <c r="F3537" t="s">
        <v>927</v>
      </c>
      <c r="G3537" s="4">
        <v>45765</v>
      </c>
      <c r="H3537" s="4"/>
      <c r="I3537" s="4"/>
      <c r="J3537" s="4">
        <f>SUM(G3537:I3537)</f>
        <v>45765</v>
      </c>
      <c r="K3537" t="s">
        <v>1659</v>
      </c>
      <c r="L3537" t="s">
        <v>1659</v>
      </c>
      <c r="M3537" t="s">
        <v>927</v>
      </c>
      <c r="N3537" t="s">
        <v>1132</v>
      </c>
      <c r="O3537" t="s">
        <v>1132</v>
      </c>
      <c r="P3537" t="str">
        <f>IFERROR(VLOOKUP(F3537,Sheet1!$A$2:$B$54,2,FALSE),"")</f>
        <v/>
      </c>
    </row>
    <row r="3538" spans="1:16" x14ac:dyDescent="0.2">
      <c r="A3538" s="1">
        <v>2023</v>
      </c>
      <c r="B3538" t="s">
        <v>429</v>
      </c>
      <c r="C3538" s="10" t="s">
        <v>1678</v>
      </c>
      <c r="D3538" s="10" t="s">
        <v>1679</v>
      </c>
      <c r="E3538" s="10" t="s">
        <v>1682</v>
      </c>
      <c r="F3538" t="s">
        <v>927</v>
      </c>
      <c r="G3538" s="4">
        <v>50907</v>
      </c>
      <c r="H3538" s="4"/>
      <c r="I3538" s="4"/>
      <c r="J3538" s="4">
        <f>SUM(G3538:I3538)</f>
        <v>50907</v>
      </c>
      <c r="K3538" t="s">
        <v>1659</v>
      </c>
      <c r="L3538" t="s">
        <v>1659</v>
      </c>
      <c r="M3538" t="s">
        <v>927</v>
      </c>
      <c r="N3538" t="s">
        <v>1132</v>
      </c>
      <c r="O3538" t="s">
        <v>1132</v>
      </c>
      <c r="P3538" t="str">
        <f>IFERROR(VLOOKUP(F3538,Sheet1!$A$2:$B$54,2,FALSE),"")</f>
        <v/>
      </c>
    </row>
    <row r="3539" spans="1:16" x14ac:dyDescent="0.2">
      <c r="A3539" s="1">
        <v>2015</v>
      </c>
      <c r="B3539" t="s">
        <v>430</v>
      </c>
      <c r="C3539" s="10" t="s">
        <v>1678</v>
      </c>
      <c r="D3539" s="10" t="s">
        <v>1679</v>
      </c>
      <c r="E3539" s="10" t="s">
        <v>1682</v>
      </c>
      <c r="F3539" t="s">
        <v>928</v>
      </c>
      <c r="G3539" s="4">
        <v>15021</v>
      </c>
      <c r="H3539" s="4"/>
      <c r="I3539" s="4"/>
      <c r="J3539" s="4">
        <f>SUM(G3539:I3539)</f>
        <v>15021</v>
      </c>
      <c r="K3539" t="s">
        <v>1659</v>
      </c>
      <c r="L3539" t="s">
        <v>1659</v>
      </c>
      <c r="M3539" t="s">
        <v>1542</v>
      </c>
      <c r="N3539" t="s">
        <v>1132</v>
      </c>
      <c r="O3539" t="s">
        <v>1132</v>
      </c>
      <c r="P3539" t="str">
        <f>IFERROR(VLOOKUP(F3539,Sheet1!$A$2:$B$54,2,FALSE),"")</f>
        <v/>
      </c>
    </row>
    <row r="3540" spans="1:16" x14ac:dyDescent="0.2">
      <c r="A3540" s="1">
        <v>2016</v>
      </c>
      <c r="B3540" t="s">
        <v>430</v>
      </c>
      <c r="C3540" s="10" t="s">
        <v>1678</v>
      </c>
      <c r="D3540" s="10" t="s">
        <v>1679</v>
      </c>
      <c r="E3540" s="10" t="s">
        <v>1682</v>
      </c>
      <c r="F3540" t="s">
        <v>928</v>
      </c>
      <c r="G3540" s="4">
        <v>26396</v>
      </c>
      <c r="H3540" s="4"/>
      <c r="I3540" s="4"/>
      <c r="J3540" s="4">
        <f>SUM(G3540:I3540)</f>
        <v>26396</v>
      </c>
      <c r="K3540" t="s">
        <v>1659</v>
      </c>
      <c r="L3540" t="s">
        <v>1659</v>
      </c>
      <c r="M3540" t="s">
        <v>1543</v>
      </c>
      <c r="N3540" t="s">
        <v>1132</v>
      </c>
      <c r="O3540" t="s">
        <v>1132</v>
      </c>
      <c r="P3540" t="str">
        <f>IFERROR(VLOOKUP(F3540,Sheet1!$A$2:$B$54,2,FALSE),"")</f>
        <v/>
      </c>
    </row>
    <row r="3541" spans="1:16" x14ac:dyDescent="0.2">
      <c r="A3541" s="1">
        <v>2017</v>
      </c>
      <c r="B3541" t="s">
        <v>430</v>
      </c>
      <c r="C3541" s="10" t="s">
        <v>1678</v>
      </c>
      <c r="D3541" s="10" t="s">
        <v>1679</v>
      </c>
      <c r="E3541" s="10" t="s">
        <v>1682</v>
      </c>
      <c r="F3541" t="s">
        <v>928</v>
      </c>
      <c r="G3541" s="4">
        <v>36675</v>
      </c>
      <c r="H3541" s="4"/>
      <c r="I3541" s="4"/>
      <c r="J3541" s="4">
        <f>SUM(G3541:I3541)</f>
        <v>36675</v>
      </c>
      <c r="K3541" t="s">
        <v>1659</v>
      </c>
      <c r="L3541" t="s">
        <v>1659</v>
      </c>
      <c r="M3541" t="s">
        <v>1544</v>
      </c>
      <c r="N3541" t="s">
        <v>1132</v>
      </c>
      <c r="O3541" t="s">
        <v>1132</v>
      </c>
      <c r="P3541" t="str">
        <f>IFERROR(VLOOKUP(F3541,Sheet1!$A$2:$B$54,2,FALSE),"")</f>
        <v/>
      </c>
    </row>
    <row r="3542" spans="1:16" x14ac:dyDescent="0.2">
      <c r="A3542" s="1">
        <v>2018</v>
      </c>
      <c r="B3542" t="s">
        <v>430</v>
      </c>
      <c r="C3542" s="10" t="s">
        <v>1678</v>
      </c>
      <c r="D3542" s="10" t="s">
        <v>1679</v>
      </c>
      <c r="E3542" s="10" t="s">
        <v>1682</v>
      </c>
      <c r="F3542" t="s">
        <v>928</v>
      </c>
      <c r="G3542" s="4">
        <v>49206</v>
      </c>
      <c r="H3542" s="4"/>
      <c r="I3542" s="4"/>
      <c r="J3542" s="4">
        <f>SUM(G3542:I3542)</f>
        <v>49206</v>
      </c>
      <c r="K3542" t="s">
        <v>1659</v>
      </c>
      <c r="L3542" t="s">
        <v>1659</v>
      </c>
      <c r="M3542" t="s">
        <v>1544</v>
      </c>
      <c r="N3542" t="s">
        <v>1132</v>
      </c>
      <c r="O3542" t="s">
        <v>1132</v>
      </c>
      <c r="P3542" t="str">
        <f>IFERROR(VLOOKUP(F3542,Sheet1!$A$2:$B$54,2,FALSE),"")</f>
        <v/>
      </c>
    </row>
    <row r="3543" spans="1:16" x14ac:dyDescent="0.2">
      <c r="A3543" s="1">
        <v>2019</v>
      </c>
      <c r="B3543" t="s">
        <v>430</v>
      </c>
      <c r="C3543" s="10" t="s">
        <v>1678</v>
      </c>
      <c r="D3543" s="10" t="s">
        <v>1679</v>
      </c>
      <c r="E3543" s="10" t="s">
        <v>1682</v>
      </c>
      <c r="F3543" t="s">
        <v>928</v>
      </c>
      <c r="G3543" s="4">
        <v>70729</v>
      </c>
      <c r="H3543" s="4"/>
      <c r="I3543" s="4"/>
      <c r="J3543" s="4">
        <f>SUM(G3543:I3543)</f>
        <v>70729</v>
      </c>
      <c r="K3543" t="s">
        <v>1659</v>
      </c>
      <c r="L3543" t="s">
        <v>1659</v>
      </c>
      <c r="M3543" t="s">
        <v>1545</v>
      </c>
      <c r="N3543" t="s">
        <v>1132</v>
      </c>
      <c r="O3543" t="s">
        <v>1132</v>
      </c>
      <c r="P3543" t="str">
        <f>IFERROR(VLOOKUP(F3543,Sheet1!$A$2:$B$54,2,FALSE),"")</f>
        <v/>
      </c>
    </row>
    <row r="3544" spans="1:16" x14ac:dyDescent="0.2">
      <c r="A3544" s="1">
        <v>2020</v>
      </c>
      <c r="B3544" t="s">
        <v>430</v>
      </c>
      <c r="C3544" s="10" t="s">
        <v>1678</v>
      </c>
      <c r="D3544" s="10" t="s">
        <v>1679</v>
      </c>
      <c r="E3544" s="10" t="s">
        <v>1682</v>
      </c>
      <c r="F3544" t="s">
        <v>928</v>
      </c>
      <c r="G3544" s="4">
        <v>80526</v>
      </c>
      <c r="H3544" s="4"/>
      <c r="I3544" s="4"/>
      <c r="J3544" s="4">
        <f>SUM(G3544:I3544)</f>
        <v>80526</v>
      </c>
      <c r="K3544" t="s">
        <v>1659</v>
      </c>
      <c r="L3544" t="s">
        <v>1659</v>
      </c>
      <c r="M3544" t="s">
        <v>1544</v>
      </c>
      <c r="N3544" t="s">
        <v>1132</v>
      </c>
      <c r="O3544" t="s">
        <v>1132</v>
      </c>
      <c r="P3544" t="str">
        <f>IFERROR(VLOOKUP(F3544,Sheet1!$A$2:$B$54,2,FALSE),"")</f>
        <v/>
      </c>
    </row>
    <row r="3545" spans="1:16" x14ac:dyDescent="0.2">
      <c r="A3545" s="1">
        <v>2021</v>
      </c>
      <c r="B3545" t="s">
        <v>430</v>
      </c>
      <c r="C3545" s="10" t="s">
        <v>1678</v>
      </c>
      <c r="D3545" s="10" t="s">
        <v>1679</v>
      </c>
      <c r="E3545" s="10" t="s">
        <v>1682</v>
      </c>
      <c r="F3545" t="s">
        <v>928</v>
      </c>
      <c r="G3545" s="4">
        <v>80999</v>
      </c>
      <c r="H3545" s="4"/>
      <c r="I3545" s="4"/>
      <c r="J3545" s="4">
        <f>SUM(G3545:I3545)</f>
        <v>80999</v>
      </c>
      <c r="K3545" t="s">
        <v>1659</v>
      </c>
      <c r="L3545" t="s">
        <v>1659</v>
      </c>
      <c r="M3545" t="s">
        <v>928</v>
      </c>
      <c r="N3545" t="s">
        <v>1132</v>
      </c>
      <c r="O3545" t="s">
        <v>1132</v>
      </c>
      <c r="P3545" t="str">
        <f>IFERROR(VLOOKUP(F3545,Sheet1!$A$2:$B$54,2,FALSE),"")</f>
        <v/>
      </c>
    </row>
    <row r="3546" spans="1:16" x14ac:dyDescent="0.2">
      <c r="A3546" s="1">
        <v>2022</v>
      </c>
      <c r="B3546" t="s">
        <v>430</v>
      </c>
      <c r="C3546" s="10" t="s">
        <v>1678</v>
      </c>
      <c r="D3546" s="10" t="s">
        <v>1679</v>
      </c>
      <c r="E3546" s="10" t="s">
        <v>1682</v>
      </c>
      <c r="F3546" t="s">
        <v>928</v>
      </c>
      <c r="G3546" s="4">
        <v>101769</v>
      </c>
      <c r="H3546" s="4"/>
      <c r="I3546" s="4"/>
      <c r="J3546" s="4">
        <f>SUM(G3546:I3546)</f>
        <v>101769</v>
      </c>
      <c r="K3546" t="s">
        <v>1659</v>
      </c>
      <c r="L3546" t="s">
        <v>1659</v>
      </c>
      <c r="M3546" t="s">
        <v>928</v>
      </c>
      <c r="N3546" t="s">
        <v>1132</v>
      </c>
      <c r="O3546" t="s">
        <v>1132</v>
      </c>
      <c r="P3546" t="str">
        <f>IFERROR(VLOOKUP(F3546,Sheet1!$A$2:$B$54,2,FALSE),"")</f>
        <v/>
      </c>
    </row>
    <row r="3547" spans="1:16" x14ac:dyDescent="0.2">
      <c r="A3547" s="1">
        <v>2023</v>
      </c>
      <c r="B3547" t="s">
        <v>430</v>
      </c>
      <c r="C3547" s="10" t="s">
        <v>1678</v>
      </c>
      <c r="D3547" s="10" t="s">
        <v>1679</v>
      </c>
      <c r="E3547" s="10" t="s">
        <v>1682</v>
      </c>
      <c r="F3547" t="s">
        <v>928</v>
      </c>
      <c r="G3547" s="4">
        <v>144625</v>
      </c>
      <c r="H3547" s="4"/>
      <c r="I3547" s="4"/>
      <c r="J3547" s="4">
        <f>SUM(G3547:I3547)</f>
        <v>144625</v>
      </c>
      <c r="K3547" t="s">
        <v>1659</v>
      </c>
      <c r="L3547" t="s">
        <v>1659</v>
      </c>
      <c r="M3547" t="s">
        <v>928</v>
      </c>
      <c r="N3547" t="s">
        <v>1132</v>
      </c>
      <c r="O3547" t="s">
        <v>1132</v>
      </c>
      <c r="P3547" t="str">
        <f>IFERROR(VLOOKUP(F3547,Sheet1!$A$2:$B$54,2,FALSE),"")</f>
        <v/>
      </c>
    </row>
    <row r="3548" spans="1:16" x14ac:dyDescent="0.2">
      <c r="A3548" s="1">
        <v>2015</v>
      </c>
      <c r="B3548" t="s">
        <v>431</v>
      </c>
      <c r="C3548" s="10" t="s">
        <v>1678</v>
      </c>
      <c r="D3548" s="10" t="s">
        <v>1679</v>
      </c>
      <c r="E3548" s="10" t="s">
        <v>1682</v>
      </c>
      <c r="F3548" t="s">
        <v>929</v>
      </c>
      <c r="G3548" s="4">
        <v>102538</v>
      </c>
      <c r="H3548" s="4"/>
      <c r="I3548" s="4"/>
      <c r="J3548" s="4">
        <f>SUM(G3548:I3548)</f>
        <v>102538</v>
      </c>
      <c r="K3548" t="s">
        <v>1659</v>
      </c>
      <c r="L3548" t="s">
        <v>1659</v>
      </c>
      <c r="M3548" t="s">
        <v>1546</v>
      </c>
      <c r="N3548" t="s">
        <v>1132</v>
      </c>
      <c r="O3548" t="s">
        <v>1132</v>
      </c>
      <c r="P3548" t="str">
        <f>IFERROR(VLOOKUP(F3548,Sheet1!$A$2:$B$54,2,FALSE),"")</f>
        <v/>
      </c>
    </row>
    <row r="3549" spans="1:16" x14ac:dyDescent="0.2">
      <c r="A3549" s="1">
        <v>2016</v>
      </c>
      <c r="B3549" t="s">
        <v>431</v>
      </c>
      <c r="C3549" s="10" t="s">
        <v>1678</v>
      </c>
      <c r="D3549" s="10" t="s">
        <v>1679</v>
      </c>
      <c r="E3549" s="10" t="s">
        <v>1682</v>
      </c>
      <c r="F3549" t="s">
        <v>929</v>
      </c>
      <c r="G3549" s="4">
        <v>157830</v>
      </c>
      <c r="H3549" s="4"/>
      <c r="I3549" s="4"/>
      <c r="J3549" s="4">
        <f>SUM(G3549:I3549)</f>
        <v>157830</v>
      </c>
      <c r="K3549" t="s">
        <v>1659</v>
      </c>
      <c r="L3549" t="s">
        <v>1659</v>
      </c>
      <c r="M3549" t="s">
        <v>1546</v>
      </c>
      <c r="N3549" t="s">
        <v>1132</v>
      </c>
      <c r="O3549" t="s">
        <v>1132</v>
      </c>
      <c r="P3549" t="str">
        <f>IFERROR(VLOOKUP(F3549,Sheet1!$A$2:$B$54,2,FALSE),"")</f>
        <v/>
      </c>
    </row>
    <row r="3550" spans="1:16" x14ac:dyDescent="0.2">
      <c r="A3550" s="1">
        <v>2017</v>
      </c>
      <c r="B3550" t="s">
        <v>431</v>
      </c>
      <c r="C3550" s="10" t="s">
        <v>1678</v>
      </c>
      <c r="D3550" s="10" t="s">
        <v>1679</v>
      </c>
      <c r="E3550" s="10" t="s">
        <v>1682</v>
      </c>
      <c r="F3550" t="s">
        <v>929</v>
      </c>
      <c r="G3550" s="4">
        <v>217993</v>
      </c>
      <c r="H3550" s="4"/>
      <c r="I3550" s="4"/>
      <c r="J3550" s="4">
        <f>SUM(G3550:I3550)</f>
        <v>217993</v>
      </c>
      <c r="K3550" t="s">
        <v>1659</v>
      </c>
      <c r="L3550" t="s">
        <v>1659</v>
      </c>
      <c r="M3550" t="s">
        <v>1546</v>
      </c>
      <c r="N3550" t="s">
        <v>1132</v>
      </c>
      <c r="O3550" t="s">
        <v>1132</v>
      </c>
      <c r="P3550" t="str">
        <f>IFERROR(VLOOKUP(F3550,Sheet1!$A$2:$B$54,2,FALSE),"")</f>
        <v/>
      </c>
    </row>
    <row r="3551" spans="1:16" x14ac:dyDescent="0.2">
      <c r="A3551" s="1">
        <v>2018</v>
      </c>
      <c r="B3551" t="s">
        <v>431</v>
      </c>
      <c r="C3551" s="10" t="s">
        <v>1678</v>
      </c>
      <c r="D3551" s="10" t="s">
        <v>1679</v>
      </c>
      <c r="E3551" s="10" t="s">
        <v>1682</v>
      </c>
      <c r="F3551" t="s">
        <v>929</v>
      </c>
      <c r="G3551" s="4">
        <v>254273</v>
      </c>
      <c r="H3551" s="4"/>
      <c r="I3551" s="4"/>
      <c r="J3551" s="4">
        <f>SUM(G3551:I3551)</f>
        <v>254273</v>
      </c>
      <c r="K3551" t="s">
        <v>1659</v>
      </c>
      <c r="L3551" t="s">
        <v>1659</v>
      </c>
      <c r="M3551" t="s">
        <v>1546</v>
      </c>
      <c r="N3551" t="s">
        <v>1132</v>
      </c>
      <c r="O3551" t="s">
        <v>1132</v>
      </c>
      <c r="P3551" t="str">
        <f>IFERROR(VLOOKUP(F3551,Sheet1!$A$2:$B$54,2,FALSE),"")</f>
        <v/>
      </c>
    </row>
    <row r="3552" spans="1:16" x14ac:dyDescent="0.2">
      <c r="A3552" s="1">
        <v>2019</v>
      </c>
      <c r="B3552" t="s">
        <v>431</v>
      </c>
      <c r="C3552" s="10" t="s">
        <v>1678</v>
      </c>
      <c r="D3552" s="10" t="s">
        <v>1679</v>
      </c>
      <c r="E3552" s="10" t="s">
        <v>1682</v>
      </c>
      <c r="F3552" t="s">
        <v>929</v>
      </c>
      <c r="G3552" s="4">
        <v>294411</v>
      </c>
      <c r="H3552" s="4"/>
      <c r="I3552" s="4"/>
      <c r="J3552" s="4">
        <f>SUM(G3552:I3552)</f>
        <v>294411</v>
      </c>
      <c r="K3552" t="s">
        <v>1659</v>
      </c>
      <c r="L3552" t="s">
        <v>1659</v>
      </c>
      <c r="M3552" t="s">
        <v>1546</v>
      </c>
      <c r="N3552" t="s">
        <v>1132</v>
      </c>
      <c r="O3552" t="s">
        <v>1132</v>
      </c>
      <c r="P3552" t="str">
        <f>IFERROR(VLOOKUP(F3552,Sheet1!$A$2:$B$54,2,FALSE),"")</f>
        <v/>
      </c>
    </row>
    <row r="3553" spans="1:16" x14ac:dyDescent="0.2">
      <c r="A3553" s="1">
        <v>2020</v>
      </c>
      <c r="B3553" t="s">
        <v>431</v>
      </c>
      <c r="C3553" s="10" t="s">
        <v>1678</v>
      </c>
      <c r="D3553" s="10" t="s">
        <v>1679</v>
      </c>
      <c r="E3553" s="10" t="s">
        <v>1682</v>
      </c>
      <c r="F3553" t="s">
        <v>929</v>
      </c>
      <c r="G3553" s="4">
        <v>348950</v>
      </c>
      <c r="H3553" s="4"/>
      <c r="I3553" s="4"/>
      <c r="J3553" s="4">
        <f>SUM(G3553:I3553)</f>
        <v>348950</v>
      </c>
      <c r="K3553" t="s">
        <v>1659</v>
      </c>
      <c r="L3553" t="s">
        <v>1659</v>
      </c>
      <c r="M3553" t="s">
        <v>1546</v>
      </c>
      <c r="N3553" t="s">
        <v>1132</v>
      </c>
      <c r="O3553" t="s">
        <v>1132</v>
      </c>
      <c r="P3553" t="str">
        <f>IFERROR(VLOOKUP(F3553,Sheet1!$A$2:$B$54,2,FALSE),"")</f>
        <v/>
      </c>
    </row>
    <row r="3554" spans="1:16" x14ac:dyDescent="0.2">
      <c r="A3554" s="1">
        <v>2021</v>
      </c>
      <c r="B3554" t="s">
        <v>431</v>
      </c>
      <c r="C3554" s="10" t="s">
        <v>1678</v>
      </c>
      <c r="D3554" s="10" t="s">
        <v>1679</v>
      </c>
      <c r="E3554" s="10" t="s">
        <v>1682</v>
      </c>
      <c r="F3554" t="s">
        <v>929</v>
      </c>
      <c r="G3554" s="4">
        <v>432620</v>
      </c>
      <c r="H3554" s="4"/>
      <c r="I3554" s="4"/>
      <c r="J3554" s="4">
        <f>SUM(G3554:I3554)</f>
        <v>432620</v>
      </c>
      <c r="K3554" t="s">
        <v>1659</v>
      </c>
      <c r="L3554" t="s">
        <v>1659</v>
      </c>
      <c r="M3554" t="s">
        <v>929</v>
      </c>
      <c r="N3554" t="s">
        <v>1132</v>
      </c>
      <c r="O3554" t="s">
        <v>1132</v>
      </c>
      <c r="P3554" t="str">
        <f>IFERROR(VLOOKUP(F3554,Sheet1!$A$2:$B$54,2,FALSE),"")</f>
        <v/>
      </c>
    </row>
    <row r="3555" spans="1:16" x14ac:dyDescent="0.2">
      <c r="A3555" s="1">
        <v>2022</v>
      </c>
      <c r="B3555" t="s">
        <v>431</v>
      </c>
      <c r="C3555" s="10" t="s">
        <v>1678</v>
      </c>
      <c r="D3555" s="10" t="s">
        <v>1679</v>
      </c>
      <c r="E3555" s="10" t="s">
        <v>1682</v>
      </c>
      <c r="F3555" t="s">
        <v>929</v>
      </c>
      <c r="G3555" s="4">
        <v>548440</v>
      </c>
      <c r="H3555" s="4"/>
      <c r="I3555" s="4"/>
      <c r="J3555" s="4">
        <f>SUM(G3555:I3555)</f>
        <v>548440</v>
      </c>
      <c r="K3555" t="s">
        <v>1659</v>
      </c>
      <c r="L3555" t="s">
        <v>1659</v>
      </c>
      <c r="M3555" t="s">
        <v>929</v>
      </c>
      <c r="N3555" t="s">
        <v>1132</v>
      </c>
      <c r="O3555" t="s">
        <v>1132</v>
      </c>
      <c r="P3555" t="str">
        <f>IFERROR(VLOOKUP(F3555,Sheet1!$A$2:$B$54,2,FALSE),"")</f>
        <v/>
      </c>
    </row>
    <row r="3556" spans="1:16" x14ac:dyDescent="0.2">
      <c r="A3556" s="1">
        <v>2023</v>
      </c>
      <c r="B3556" t="s">
        <v>431</v>
      </c>
      <c r="C3556" s="10" t="s">
        <v>1678</v>
      </c>
      <c r="D3556" s="10" t="s">
        <v>1679</v>
      </c>
      <c r="E3556" s="10" t="s">
        <v>1682</v>
      </c>
      <c r="F3556" t="s">
        <v>929</v>
      </c>
      <c r="G3556" s="4">
        <v>658479</v>
      </c>
      <c r="H3556" s="4"/>
      <c r="I3556" s="4"/>
      <c r="J3556" s="4">
        <f>SUM(G3556:I3556)</f>
        <v>658479</v>
      </c>
      <c r="K3556" t="s">
        <v>1659</v>
      </c>
      <c r="L3556" t="s">
        <v>1659</v>
      </c>
      <c r="M3556" t="s">
        <v>929</v>
      </c>
      <c r="N3556" t="s">
        <v>1132</v>
      </c>
      <c r="O3556" t="s">
        <v>1132</v>
      </c>
      <c r="P3556" t="str">
        <f>IFERROR(VLOOKUP(F3556,Sheet1!$A$2:$B$54,2,FALSE),"")</f>
        <v/>
      </c>
    </row>
    <row r="3557" spans="1:16" x14ac:dyDescent="0.2">
      <c r="A3557" s="1">
        <v>2017</v>
      </c>
      <c r="B3557" t="s">
        <v>397</v>
      </c>
      <c r="C3557" s="10" t="s">
        <v>1678</v>
      </c>
      <c r="D3557" s="10" t="s">
        <v>1679</v>
      </c>
      <c r="E3557" s="10" t="s">
        <v>1682</v>
      </c>
      <c r="F3557" s="10" t="s">
        <v>895</v>
      </c>
      <c r="G3557" s="4">
        <v>26004</v>
      </c>
      <c r="H3557" s="4">
        <v>222322</v>
      </c>
      <c r="I3557" s="4"/>
      <c r="J3557" s="4">
        <f>SUM(G3557:I3557)</f>
        <v>248326</v>
      </c>
      <c r="K3557" t="s">
        <v>1660</v>
      </c>
      <c r="L3557" t="s">
        <v>1659</v>
      </c>
      <c r="M3557" t="s">
        <v>1504</v>
      </c>
      <c r="N3557" t="s">
        <v>1504</v>
      </c>
      <c r="O3557" t="s">
        <v>1132</v>
      </c>
      <c r="P3557">
        <f>IFERROR(VLOOKUP(F3557,Sheet1!$A$2:$B$54,2,FALSE),"")</f>
        <v>4900020</v>
      </c>
    </row>
    <row r="3558" spans="1:16" x14ac:dyDescent="0.2">
      <c r="A3558" s="1">
        <v>2018</v>
      </c>
      <c r="B3558" t="s">
        <v>397</v>
      </c>
      <c r="C3558" s="10" t="s">
        <v>1678</v>
      </c>
      <c r="D3558" s="10" t="s">
        <v>1679</v>
      </c>
      <c r="E3558" s="10" t="s">
        <v>1682</v>
      </c>
      <c r="F3558" t="s">
        <v>895</v>
      </c>
      <c r="G3558" s="4">
        <v>31860</v>
      </c>
      <c r="H3558" s="4">
        <v>264402</v>
      </c>
      <c r="I3558" s="4"/>
      <c r="J3558" s="4">
        <f>SUM(G3558:I3558)</f>
        <v>296262</v>
      </c>
      <c r="K3558" t="s">
        <v>1660</v>
      </c>
      <c r="L3558" t="s">
        <v>1659</v>
      </c>
      <c r="M3558" t="s">
        <v>1504</v>
      </c>
      <c r="N3558" t="s">
        <v>1504</v>
      </c>
      <c r="O3558" t="s">
        <v>1132</v>
      </c>
      <c r="P3558">
        <f>IFERROR(VLOOKUP(F3558,Sheet1!$A$2:$B$54,2,FALSE),"")</f>
        <v>4900020</v>
      </c>
    </row>
    <row r="3559" spans="1:16" x14ac:dyDescent="0.2">
      <c r="A3559" s="1">
        <v>2019</v>
      </c>
      <c r="B3559" t="s">
        <v>397</v>
      </c>
      <c r="C3559" s="10" t="s">
        <v>1678</v>
      </c>
      <c r="D3559" s="10" t="s">
        <v>1679</v>
      </c>
      <c r="E3559" s="10" t="s">
        <v>1682</v>
      </c>
      <c r="F3559" t="s">
        <v>895</v>
      </c>
      <c r="G3559" s="4">
        <v>50515</v>
      </c>
      <c r="H3559" s="4">
        <v>325184</v>
      </c>
      <c r="I3559" s="4"/>
      <c r="J3559" s="4">
        <f>SUM(G3559:I3559)</f>
        <v>375699</v>
      </c>
      <c r="K3559" t="s">
        <v>1660</v>
      </c>
      <c r="L3559" t="s">
        <v>1659</v>
      </c>
      <c r="M3559" t="s">
        <v>1504</v>
      </c>
      <c r="N3559" t="s">
        <v>1504</v>
      </c>
      <c r="O3559" t="s">
        <v>1132</v>
      </c>
      <c r="P3559">
        <f>IFERROR(VLOOKUP(F3559,Sheet1!$A$2:$B$54,2,FALSE),"")</f>
        <v>4900020</v>
      </c>
    </row>
    <row r="3560" spans="1:16" x14ac:dyDescent="0.2">
      <c r="A3560" s="1">
        <v>2020</v>
      </c>
      <c r="B3560" t="s">
        <v>397</v>
      </c>
      <c r="C3560" s="10" t="s">
        <v>1678</v>
      </c>
      <c r="D3560" s="10" t="s">
        <v>1679</v>
      </c>
      <c r="E3560" s="10" t="s">
        <v>1682</v>
      </c>
      <c r="F3560" t="s">
        <v>895</v>
      </c>
      <c r="G3560" s="4">
        <v>72586</v>
      </c>
      <c r="H3560" s="4">
        <v>320146</v>
      </c>
      <c r="I3560" s="4"/>
      <c r="J3560" s="4">
        <f>SUM(G3560:I3560)</f>
        <v>392732</v>
      </c>
      <c r="K3560" t="s">
        <v>1660</v>
      </c>
      <c r="L3560" t="s">
        <v>1659</v>
      </c>
      <c r="M3560" t="s">
        <v>1504</v>
      </c>
      <c r="N3560" t="s">
        <v>1504</v>
      </c>
      <c r="O3560" t="s">
        <v>1132</v>
      </c>
      <c r="P3560">
        <f>IFERROR(VLOOKUP(F3560,Sheet1!$A$2:$B$54,2,FALSE),"")</f>
        <v>4900020</v>
      </c>
    </row>
    <row r="3561" spans="1:16" x14ac:dyDescent="0.2">
      <c r="A3561" s="1">
        <v>2021</v>
      </c>
      <c r="B3561" t="s">
        <v>397</v>
      </c>
      <c r="C3561" s="10" t="s">
        <v>1678</v>
      </c>
      <c r="D3561" s="10" t="s">
        <v>1679</v>
      </c>
      <c r="E3561" s="10" t="s">
        <v>1682</v>
      </c>
      <c r="F3561" t="s">
        <v>895</v>
      </c>
      <c r="G3561" s="4">
        <v>92290</v>
      </c>
      <c r="H3561" s="4">
        <v>345082</v>
      </c>
      <c r="I3561" s="4"/>
      <c r="J3561" s="4">
        <f>SUM(G3561:I3561)</f>
        <v>437372</v>
      </c>
      <c r="K3561" t="s">
        <v>1660</v>
      </c>
      <c r="L3561" t="s">
        <v>1659</v>
      </c>
      <c r="M3561" t="s">
        <v>895</v>
      </c>
      <c r="N3561" t="s">
        <v>895</v>
      </c>
      <c r="O3561" t="s">
        <v>1132</v>
      </c>
      <c r="P3561">
        <f>IFERROR(VLOOKUP(F3561,Sheet1!$A$2:$B$54,2,FALSE),"")</f>
        <v>4900020</v>
      </c>
    </row>
    <row r="3562" spans="1:16" x14ac:dyDescent="0.2">
      <c r="A3562" s="1">
        <v>2022</v>
      </c>
      <c r="B3562" t="s">
        <v>397</v>
      </c>
      <c r="C3562" s="10" t="s">
        <v>1678</v>
      </c>
      <c r="D3562" s="10" t="s">
        <v>1679</v>
      </c>
      <c r="E3562" s="10" t="s">
        <v>1682</v>
      </c>
      <c r="F3562" t="s">
        <v>895</v>
      </c>
      <c r="G3562" s="4">
        <v>110658</v>
      </c>
      <c r="H3562" s="4">
        <v>364398</v>
      </c>
      <c r="I3562" s="4"/>
      <c r="J3562" s="4">
        <f>SUM(G3562:I3562)</f>
        <v>475056</v>
      </c>
      <c r="K3562" t="s">
        <v>1660</v>
      </c>
      <c r="L3562" t="s">
        <v>1659</v>
      </c>
      <c r="M3562" t="s">
        <v>895</v>
      </c>
      <c r="N3562" t="s">
        <v>895</v>
      </c>
      <c r="O3562" t="s">
        <v>1132</v>
      </c>
      <c r="P3562">
        <f>IFERROR(VLOOKUP(F3562,Sheet1!$A$2:$B$54,2,FALSE),"")</f>
        <v>4900020</v>
      </c>
    </row>
    <row r="3563" spans="1:16" x14ac:dyDescent="0.2">
      <c r="A3563" s="1">
        <v>2023</v>
      </c>
      <c r="B3563" t="s">
        <v>397</v>
      </c>
      <c r="C3563" s="10" t="s">
        <v>1678</v>
      </c>
      <c r="D3563" s="10" t="s">
        <v>1679</v>
      </c>
      <c r="E3563" s="10" t="s">
        <v>1682</v>
      </c>
      <c r="F3563" t="s">
        <v>895</v>
      </c>
      <c r="G3563" s="4">
        <v>117905</v>
      </c>
      <c r="H3563" s="4">
        <v>382624</v>
      </c>
      <c r="I3563" s="4"/>
      <c r="J3563" s="4">
        <f>SUM(G3563:I3563)</f>
        <v>500529</v>
      </c>
      <c r="K3563" t="s">
        <v>1660</v>
      </c>
      <c r="L3563" t="s">
        <v>1659</v>
      </c>
      <c r="M3563" t="s">
        <v>895</v>
      </c>
      <c r="N3563" t="s">
        <v>895</v>
      </c>
      <c r="O3563" t="s">
        <v>1132</v>
      </c>
      <c r="P3563">
        <f>IFERROR(VLOOKUP(F3563,Sheet1!$A$2:$B$54,2,FALSE),"")</f>
        <v>4900020</v>
      </c>
    </row>
    <row r="3564" spans="1:16" x14ac:dyDescent="0.2">
      <c r="A3564" s="1">
        <v>2015</v>
      </c>
      <c r="B3564" t="s">
        <v>427</v>
      </c>
      <c r="C3564" s="10" t="s">
        <v>1678</v>
      </c>
      <c r="D3564" s="10" t="s">
        <v>1679</v>
      </c>
      <c r="E3564" s="10" t="s">
        <v>1682</v>
      </c>
      <c r="F3564" t="s">
        <v>925</v>
      </c>
      <c r="G3564" s="4">
        <v>322673</v>
      </c>
      <c r="H3564" s="4">
        <v>5171825</v>
      </c>
      <c r="I3564" s="4"/>
      <c r="J3564" s="4">
        <f>SUM(G3564:I3564)</f>
        <v>5494498</v>
      </c>
      <c r="K3564" t="s">
        <v>1660</v>
      </c>
      <c r="L3564" t="s">
        <v>1659</v>
      </c>
      <c r="M3564" t="s">
        <v>1538</v>
      </c>
      <c r="N3564" t="s">
        <v>1538</v>
      </c>
      <c r="O3564" t="s">
        <v>1132</v>
      </c>
      <c r="P3564">
        <f>IFERROR(VLOOKUP(F3564,Sheet1!$A$2:$B$54,2,FALSE),"")</f>
        <v>4901110</v>
      </c>
    </row>
    <row r="3565" spans="1:16" x14ac:dyDescent="0.2">
      <c r="A3565" s="1">
        <v>2016</v>
      </c>
      <c r="B3565" t="s">
        <v>427</v>
      </c>
      <c r="C3565" s="10" t="s">
        <v>1678</v>
      </c>
      <c r="D3565" s="10" t="s">
        <v>1679</v>
      </c>
      <c r="E3565" s="10" t="s">
        <v>1682</v>
      </c>
      <c r="F3565" t="s">
        <v>925</v>
      </c>
      <c r="G3565" s="4">
        <v>407683</v>
      </c>
      <c r="H3565" s="4">
        <v>5274590</v>
      </c>
      <c r="I3565" s="4"/>
      <c r="J3565" s="4">
        <f>SUM(G3565:I3565)</f>
        <v>5682273</v>
      </c>
      <c r="K3565" t="s">
        <v>1660</v>
      </c>
      <c r="L3565" t="s">
        <v>1659</v>
      </c>
      <c r="M3565" t="s">
        <v>1538</v>
      </c>
      <c r="N3565" t="s">
        <v>1538</v>
      </c>
      <c r="O3565" t="s">
        <v>1132</v>
      </c>
      <c r="P3565">
        <f>IFERROR(VLOOKUP(F3565,Sheet1!$A$2:$B$54,2,FALSE),"")</f>
        <v>4901110</v>
      </c>
    </row>
    <row r="3566" spans="1:16" x14ac:dyDescent="0.2">
      <c r="A3566" s="1">
        <v>2019</v>
      </c>
      <c r="B3566" t="s">
        <v>433</v>
      </c>
      <c r="C3566" s="10" t="s">
        <v>1678</v>
      </c>
      <c r="D3566" s="10" t="s">
        <v>1679</v>
      </c>
      <c r="E3566" s="10" t="s">
        <v>1682</v>
      </c>
      <c r="F3566" t="s">
        <v>931</v>
      </c>
      <c r="G3566" s="4">
        <v>1872</v>
      </c>
      <c r="H3566" s="4"/>
      <c r="I3566" s="4"/>
      <c r="J3566" s="4">
        <f>SUM(G3566:I3566)</f>
        <v>1872</v>
      </c>
      <c r="K3566" t="s">
        <v>1659</v>
      </c>
      <c r="L3566" t="s">
        <v>1659</v>
      </c>
      <c r="M3566" t="s">
        <v>1548</v>
      </c>
      <c r="N3566" t="s">
        <v>1132</v>
      </c>
      <c r="O3566" t="s">
        <v>1132</v>
      </c>
      <c r="P3566" t="str">
        <f>IFERROR(VLOOKUP(F3566,Sheet1!$A$2:$B$54,2,FALSE),"")</f>
        <v/>
      </c>
    </row>
    <row r="3567" spans="1:16" x14ac:dyDescent="0.2">
      <c r="A3567" s="1">
        <v>2020</v>
      </c>
      <c r="B3567" t="s">
        <v>433</v>
      </c>
      <c r="C3567" s="10" t="s">
        <v>1678</v>
      </c>
      <c r="D3567" s="10" t="s">
        <v>1679</v>
      </c>
      <c r="E3567" s="10" t="s">
        <v>1682</v>
      </c>
      <c r="F3567" t="s">
        <v>931</v>
      </c>
      <c r="G3567" s="4">
        <v>3364</v>
      </c>
      <c r="H3567" s="4"/>
      <c r="I3567" s="4"/>
      <c r="J3567" s="4">
        <f>SUM(G3567:I3567)</f>
        <v>3364</v>
      </c>
      <c r="K3567" t="s">
        <v>1659</v>
      </c>
      <c r="L3567" t="s">
        <v>1659</v>
      </c>
      <c r="M3567" t="s">
        <v>1549</v>
      </c>
      <c r="N3567" t="s">
        <v>1132</v>
      </c>
      <c r="O3567" t="s">
        <v>1132</v>
      </c>
      <c r="P3567" t="str">
        <f>IFERROR(VLOOKUP(F3567,Sheet1!$A$2:$B$54,2,FALSE),"")</f>
        <v/>
      </c>
    </row>
    <row r="3568" spans="1:16" x14ac:dyDescent="0.2">
      <c r="A3568" s="1">
        <v>2021</v>
      </c>
      <c r="B3568" t="s">
        <v>433</v>
      </c>
      <c r="C3568" s="10" t="s">
        <v>1678</v>
      </c>
      <c r="D3568" s="10" t="s">
        <v>1679</v>
      </c>
      <c r="E3568" s="10" t="s">
        <v>1682</v>
      </c>
      <c r="F3568" t="s">
        <v>931</v>
      </c>
      <c r="G3568" s="4">
        <v>6427</v>
      </c>
      <c r="H3568" s="4"/>
      <c r="I3568" s="4"/>
      <c r="J3568" s="4">
        <f>SUM(G3568:I3568)</f>
        <v>6427</v>
      </c>
      <c r="K3568" t="s">
        <v>1659</v>
      </c>
      <c r="L3568" t="s">
        <v>1659</v>
      </c>
      <c r="M3568" t="s">
        <v>931</v>
      </c>
      <c r="N3568" t="s">
        <v>1132</v>
      </c>
      <c r="O3568" t="s">
        <v>1132</v>
      </c>
      <c r="P3568" t="str">
        <f>IFERROR(VLOOKUP(F3568,Sheet1!$A$2:$B$54,2,FALSE),"")</f>
        <v/>
      </c>
    </row>
    <row r="3569" spans="1:16" x14ac:dyDescent="0.2">
      <c r="A3569" s="1">
        <v>2022</v>
      </c>
      <c r="B3569" t="s">
        <v>433</v>
      </c>
      <c r="C3569" s="10" t="s">
        <v>1678</v>
      </c>
      <c r="D3569" s="10" t="s">
        <v>1679</v>
      </c>
      <c r="E3569" s="10" t="s">
        <v>1682</v>
      </c>
      <c r="F3569" t="s">
        <v>931</v>
      </c>
      <c r="G3569" s="4">
        <v>3940</v>
      </c>
      <c r="H3569" s="4"/>
      <c r="I3569" s="4"/>
      <c r="J3569" s="4">
        <f>SUM(G3569:I3569)</f>
        <v>3940</v>
      </c>
      <c r="K3569" t="s">
        <v>1659</v>
      </c>
      <c r="L3569" t="s">
        <v>1659</v>
      </c>
      <c r="M3569" t="s">
        <v>931</v>
      </c>
      <c r="N3569" t="s">
        <v>1132</v>
      </c>
      <c r="O3569" t="s">
        <v>1132</v>
      </c>
      <c r="P3569" t="str">
        <f>IFERROR(VLOOKUP(F3569,Sheet1!$A$2:$B$54,2,FALSE),"")</f>
        <v/>
      </c>
    </row>
    <row r="3570" spans="1:16" x14ac:dyDescent="0.2">
      <c r="A3570" s="1">
        <v>2023</v>
      </c>
      <c r="B3570" t="s">
        <v>433</v>
      </c>
      <c r="C3570" s="10" t="s">
        <v>1678</v>
      </c>
      <c r="D3570" s="10" t="s">
        <v>1679</v>
      </c>
      <c r="E3570" s="10" t="s">
        <v>1682</v>
      </c>
      <c r="F3570" t="s">
        <v>931</v>
      </c>
      <c r="G3570" s="4">
        <v>4273</v>
      </c>
      <c r="H3570" s="4"/>
      <c r="I3570" s="4"/>
      <c r="J3570" s="4">
        <f>SUM(G3570:I3570)</f>
        <v>4273</v>
      </c>
      <c r="K3570" t="s">
        <v>1659</v>
      </c>
      <c r="L3570" t="s">
        <v>1659</v>
      </c>
      <c r="M3570" t="s">
        <v>931</v>
      </c>
      <c r="N3570" t="s">
        <v>1132</v>
      </c>
      <c r="O3570" t="s">
        <v>1132</v>
      </c>
      <c r="P3570" t="str">
        <f>IFERROR(VLOOKUP(F3570,Sheet1!$A$2:$B$54,2,FALSE),"")</f>
        <v/>
      </c>
    </row>
    <row r="3571" spans="1:16" x14ac:dyDescent="0.2">
      <c r="A3571" s="1">
        <v>2015</v>
      </c>
      <c r="B3571" t="s">
        <v>434</v>
      </c>
      <c r="C3571" s="10" t="s">
        <v>1678</v>
      </c>
      <c r="D3571" s="10" t="s">
        <v>1679</v>
      </c>
      <c r="E3571" s="10" t="s">
        <v>1682</v>
      </c>
      <c r="F3571" t="s">
        <v>932</v>
      </c>
      <c r="G3571" s="4">
        <v>10751</v>
      </c>
      <c r="H3571" s="4"/>
      <c r="I3571" s="4"/>
      <c r="J3571" s="4">
        <f>SUM(G3571:I3571)</f>
        <v>10751</v>
      </c>
      <c r="K3571" t="s">
        <v>1659</v>
      </c>
      <c r="L3571" t="s">
        <v>1659</v>
      </c>
      <c r="M3571" t="s">
        <v>1550</v>
      </c>
      <c r="N3571" t="s">
        <v>1132</v>
      </c>
      <c r="O3571" t="s">
        <v>1132</v>
      </c>
      <c r="P3571" t="str">
        <f>IFERROR(VLOOKUP(F3571,Sheet1!$A$2:$B$54,2,FALSE),"")</f>
        <v/>
      </c>
    </row>
    <row r="3572" spans="1:16" x14ac:dyDescent="0.2">
      <c r="A3572" s="1">
        <v>2016</v>
      </c>
      <c r="B3572" t="s">
        <v>434</v>
      </c>
      <c r="C3572" s="10" t="s">
        <v>1678</v>
      </c>
      <c r="D3572" s="10" t="s">
        <v>1679</v>
      </c>
      <c r="E3572" s="10" t="s">
        <v>1682</v>
      </c>
      <c r="F3572" t="s">
        <v>932</v>
      </c>
      <c r="G3572" s="4">
        <v>13229</v>
      </c>
      <c r="H3572" s="4"/>
      <c r="I3572" s="4"/>
      <c r="J3572" s="4">
        <f>SUM(G3572:I3572)</f>
        <v>13229</v>
      </c>
      <c r="K3572" t="s">
        <v>1659</v>
      </c>
      <c r="L3572" t="s">
        <v>1659</v>
      </c>
      <c r="M3572" t="s">
        <v>1550</v>
      </c>
      <c r="N3572" t="s">
        <v>1132</v>
      </c>
      <c r="O3572" t="s">
        <v>1132</v>
      </c>
      <c r="P3572" t="str">
        <f>IFERROR(VLOOKUP(F3572,Sheet1!$A$2:$B$54,2,FALSE),"")</f>
        <v/>
      </c>
    </row>
    <row r="3573" spans="1:16" x14ac:dyDescent="0.2">
      <c r="A3573" s="1">
        <v>2017</v>
      </c>
      <c r="B3573" t="s">
        <v>434</v>
      </c>
      <c r="C3573" s="10" t="s">
        <v>1678</v>
      </c>
      <c r="D3573" s="10" t="s">
        <v>1679</v>
      </c>
      <c r="E3573" s="10" t="s">
        <v>1682</v>
      </c>
      <c r="F3573" t="s">
        <v>932</v>
      </c>
      <c r="G3573" s="4">
        <v>15036</v>
      </c>
      <c r="H3573" s="4"/>
      <c r="I3573" s="4"/>
      <c r="J3573" s="4">
        <f>SUM(G3573:I3573)</f>
        <v>15036</v>
      </c>
      <c r="K3573" t="s">
        <v>1659</v>
      </c>
      <c r="L3573" t="s">
        <v>1659</v>
      </c>
      <c r="M3573" t="s">
        <v>1550</v>
      </c>
      <c r="N3573" t="s">
        <v>1132</v>
      </c>
      <c r="O3573" t="s">
        <v>1132</v>
      </c>
      <c r="P3573" t="str">
        <f>IFERROR(VLOOKUP(F3573,Sheet1!$A$2:$B$54,2,FALSE),"")</f>
        <v/>
      </c>
    </row>
    <row r="3574" spans="1:16" x14ac:dyDescent="0.2">
      <c r="A3574" s="1">
        <v>2018</v>
      </c>
      <c r="B3574" t="s">
        <v>434</v>
      </c>
      <c r="C3574" s="10" t="s">
        <v>1678</v>
      </c>
      <c r="D3574" s="10" t="s">
        <v>1679</v>
      </c>
      <c r="E3574" s="10" t="s">
        <v>1682</v>
      </c>
      <c r="F3574" t="s">
        <v>932</v>
      </c>
      <c r="G3574" s="4">
        <v>18333</v>
      </c>
      <c r="H3574" s="4"/>
      <c r="I3574" s="4"/>
      <c r="J3574" s="4">
        <f>SUM(G3574:I3574)</f>
        <v>18333</v>
      </c>
      <c r="K3574" t="s">
        <v>1659</v>
      </c>
      <c r="L3574" t="s">
        <v>1659</v>
      </c>
      <c r="M3574" t="s">
        <v>1550</v>
      </c>
      <c r="N3574" t="s">
        <v>1132</v>
      </c>
      <c r="O3574" t="s">
        <v>1132</v>
      </c>
      <c r="P3574" t="str">
        <f>IFERROR(VLOOKUP(F3574,Sheet1!$A$2:$B$54,2,FALSE),"")</f>
        <v/>
      </c>
    </row>
    <row r="3575" spans="1:16" x14ac:dyDescent="0.2">
      <c r="A3575" s="1">
        <v>2019</v>
      </c>
      <c r="B3575" t="s">
        <v>434</v>
      </c>
      <c r="C3575" s="10" t="s">
        <v>1678</v>
      </c>
      <c r="D3575" s="10" t="s">
        <v>1679</v>
      </c>
      <c r="E3575" s="10" t="s">
        <v>1682</v>
      </c>
      <c r="F3575" t="s">
        <v>932</v>
      </c>
      <c r="G3575" s="4">
        <v>25925</v>
      </c>
      <c r="H3575" s="4"/>
      <c r="I3575" s="4"/>
      <c r="J3575" s="4">
        <f>SUM(G3575:I3575)</f>
        <v>25925</v>
      </c>
      <c r="K3575" t="s">
        <v>1659</v>
      </c>
      <c r="L3575" t="s">
        <v>1659</v>
      </c>
      <c r="M3575" t="s">
        <v>1550</v>
      </c>
      <c r="N3575" t="s">
        <v>1132</v>
      </c>
      <c r="O3575" t="s">
        <v>1132</v>
      </c>
      <c r="P3575" t="str">
        <f>IFERROR(VLOOKUP(F3575,Sheet1!$A$2:$B$54,2,FALSE),"")</f>
        <v/>
      </c>
    </row>
    <row r="3576" spans="1:16" x14ac:dyDescent="0.2">
      <c r="A3576" s="1">
        <v>2020</v>
      </c>
      <c r="B3576" t="s">
        <v>434</v>
      </c>
      <c r="C3576" s="10" t="s">
        <v>1678</v>
      </c>
      <c r="D3576" s="10" t="s">
        <v>1679</v>
      </c>
      <c r="E3576" s="10" t="s">
        <v>1682</v>
      </c>
      <c r="F3576" t="s">
        <v>932</v>
      </c>
      <c r="G3576" s="4">
        <v>28668</v>
      </c>
      <c r="H3576" s="4"/>
      <c r="I3576" s="4"/>
      <c r="J3576" s="4">
        <f>SUM(G3576:I3576)</f>
        <v>28668</v>
      </c>
      <c r="K3576" t="s">
        <v>1659</v>
      </c>
      <c r="L3576" t="s">
        <v>1659</v>
      </c>
      <c r="M3576" t="s">
        <v>1550</v>
      </c>
      <c r="N3576" t="s">
        <v>1132</v>
      </c>
      <c r="O3576" t="s">
        <v>1132</v>
      </c>
      <c r="P3576" t="str">
        <f>IFERROR(VLOOKUP(F3576,Sheet1!$A$2:$B$54,2,FALSE),"")</f>
        <v/>
      </c>
    </row>
    <row r="3577" spans="1:16" x14ac:dyDescent="0.2">
      <c r="A3577" s="1">
        <v>2021</v>
      </c>
      <c r="B3577" t="s">
        <v>434</v>
      </c>
      <c r="C3577" s="10" t="s">
        <v>1678</v>
      </c>
      <c r="D3577" s="10" t="s">
        <v>1679</v>
      </c>
      <c r="E3577" s="10" t="s">
        <v>1682</v>
      </c>
      <c r="F3577" t="s">
        <v>932</v>
      </c>
      <c r="G3577" s="4">
        <v>33171</v>
      </c>
      <c r="H3577" s="4"/>
      <c r="I3577" s="4"/>
      <c r="J3577" s="4">
        <f>SUM(G3577:I3577)</f>
        <v>33171</v>
      </c>
      <c r="K3577" t="s">
        <v>1659</v>
      </c>
      <c r="L3577" t="s">
        <v>1659</v>
      </c>
      <c r="M3577" t="s">
        <v>932</v>
      </c>
      <c r="N3577" t="s">
        <v>1132</v>
      </c>
      <c r="O3577" t="s">
        <v>1132</v>
      </c>
      <c r="P3577" t="str">
        <f>IFERROR(VLOOKUP(F3577,Sheet1!$A$2:$B$54,2,FALSE),"")</f>
        <v/>
      </c>
    </row>
    <row r="3578" spans="1:16" x14ac:dyDescent="0.2">
      <c r="A3578" s="1">
        <v>2022</v>
      </c>
      <c r="B3578" t="s">
        <v>434</v>
      </c>
      <c r="C3578" s="10" t="s">
        <v>1678</v>
      </c>
      <c r="D3578" s="10" t="s">
        <v>1679</v>
      </c>
      <c r="E3578" s="10" t="s">
        <v>1682</v>
      </c>
      <c r="F3578" t="s">
        <v>932</v>
      </c>
      <c r="G3578" s="4">
        <v>49841</v>
      </c>
      <c r="H3578" s="4"/>
      <c r="I3578" s="4"/>
      <c r="J3578" s="4">
        <f>SUM(G3578:I3578)</f>
        <v>49841</v>
      </c>
      <c r="K3578" t="s">
        <v>1659</v>
      </c>
      <c r="L3578" t="s">
        <v>1659</v>
      </c>
      <c r="M3578" t="s">
        <v>932</v>
      </c>
      <c r="N3578" t="s">
        <v>1132</v>
      </c>
      <c r="O3578" t="s">
        <v>1132</v>
      </c>
      <c r="P3578" t="str">
        <f>IFERROR(VLOOKUP(F3578,Sheet1!$A$2:$B$54,2,FALSE),"")</f>
        <v/>
      </c>
    </row>
    <row r="3579" spans="1:16" x14ac:dyDescent="0.2">
      <c r="A3579" s="1">
        <v>2023</v>
      </c>
      <c r="B3579" t="s">
        <v>434</v>
      </c>
      <c r="C3579" s="10" t="s">
        <v>1678</v>
      </c>
      <c r="D3579" s="10" t="s">
        <v>1679</v>
      </c>
      <c r="E3579" s="10" t="s">
        <v>1682</v>
      </c>
      <c r="F3579" t="s">
        <v>932</v>
      </c>
      <c r="G3579" s="4">
        <v>59282</v>
      </c>
      <c r="H3579" s="4"/>
      <c r="I3579" s="4"/>
      <c r="J3579" s="4">
        <f>SUM(G3579:I3579)</f>
        <v>59282</v>
      </c>
      <c r="K3579" t="s">
        <v>1659</v>
      </c>
      <c r="L3579" t="s">
        <v>1659</v>
      </c>
      <c r="M3579" t="s">
        <v>932</v>
      </c>
      <c r="N3579" t="s">
        <v>1132</v>
      </c>
      <c r="O3579" t="s">
        <v>1132</v>
      </c>
      <c r="P3579" t="str">
        <f>IFERROR(VLOOKUP(F3579,Sheet1!$A$2:$B$54,2,FALSE),"")</f>
        <v/>
      </c>
    </row>
    <row r="3580" spans="1:16" x14ac:dyDescent="0.2">
      <c r="A3580" s="1">
        <v>2017</v>
      </c>
      <c r="B3580" t="s">
        <v>427</v>
      </c>
      <c r="C3580" s="10" t="s">
        <v>1678</v>
      </c>
      <c r="D3580" s="10" t="s">
        <v>1679</v>
      </c>
      <c r="E3580" s="10" t="s">
        <v>1682</v>
      </c>
      <c r="F3580" t="s">
        <v>925</v>
      </c>
      <c r="G3580" s="4">
        <v>552840</v>
      </c>
      <c r="H3580" s="4">
        <v>5544466</v>
      </c>
      <c r="I3580" s="4"/>
      <c r="J3580" s="4">
        <f>SUM(G3580:I3580)</f>
        <v>6097306</v>
      </c>
      <c r="K3580" t="s">
        <v>1660</v>
      </c>
      <c r="L3580" t="s">
        <v>1659</v>
      </c>
      <c r="M3580" t="s">
        <v>1538</v>
      </c>
      <c r="N3580" t="s">
        <v>1538</v>
      </c>
      <c r="O3580" t="s">
        <v>1132</v>
      </c>
      <c r="P3580">
        <f>IFERROR(VLOOKUP(F3580,Sheet1!$A$2:$B$54,2,FALSE),"")</f>
        <v>4901110</v>
      </c>
    </row>
    <row r="3581" spans="1:16" x14ac:dyDescent="0.2">
      <c r="A3581" s="1">
        <v>2018</v>
      </c>
      <c r="B3581" t="s">
        <v>427</v>
      </c>
      <c r="C3581" s="10" t="s">
        <v>1678</v>
      </c>
      <c r="D3581" s="10" t="s">
        <v>1679</v>
      </c>
      <c r="E3581" s="10" t="s">
        <v>1682</v>
      </c>
      <c r="F3581" t="s">
        <v>925</v>
      </c>
      <c r="G3581" s="4">
        <v>766901</v>
      </c>
      <c r="H3581" s="4">
        <v>6043442</v>
      </c>
      <c r="I3581" s="4"/>
      <c r="J3581" s="4">
        <f>SUM(G3581:I3581)</f>
        <v>6810343</v>
      </c>
      <c r="K3581" t="s">
        <v>1660</v>
      </c>
      <c r="L3581" t="s">
        <v>1659</v>
      </c>
      <c r="M3581" t="s">
        <v>1538</v>
      </c>
      <c r="N3581" t="s">
        <v>1538</v>
      </c>
      <c r="O3581" t="s">
        <v>1132</v>
      </c>
      <c r="P3581">
        <f>IFERROR(VLOOKUP(F3581,Sheet1!$A$2:$B$54,2,FALSE),"")</f>
        <v>4901110</v>
      </c>
    </row>
    <row r="3582" spans="1:16" x14ac:dyDescent="0.2">
      <c r="A3582" s="1">
        <v>2019</v>
      </c>
      <c r="B3582" t="s">
        <v>427</v>
      </c>
      <c r="C3582" s="10" t="s">
        <v>1678</v>
      </c>
      <c r="D3582" s="10" t="s">
        <v>1679</v>
      </c>
      <c r="E3582" s="10" t="s">
        <v>1682</v>
      </c>
      <c r="F3582" t="s">
        <v>925</v>
      </c>
      <c r="G3582" s="4">
        <v>951429</v>
      </c>
      <c r="H3582" s="4">
        <v>6447489</v>
      </c>
      <c r="I3582" s="4"/>
      <c r="J3582" s="4">
        <f>SUM(G3582:I3582)</f>
        <v>7398918</v>
      </c>
      <c r="K3582" t="s">
        <v>1660</v>
      </c>
      <c r="L3582" t="s">
        <v>1659</v>
      </c>
      <c r="M3582" t="s">
        <v>1538</v>
      </c>
      <c r="N3582" t="s">
        <v>1538</v>
      </c>
      <c r="O3582" t="s">
        <v>1132</v>
      </c>
      <c r="P3582">
        <f>IFERROR(VLOOKUP(F3582,Sheet1!$A$2:$B$54,2,FALSE),"")</f>
        <v>4901110</v>
      </c>
    </row>
    <row r="3583" spans="1:16" x14ac:dyDescent="0.2">
      <c r="A3583" s="1">
        <v>2020</v>
      </c>
      <c r="B3583" t="s">
        <v>427</v>
      </c>
      <c r="C3583" s="10" t="s">
        <v>1678</v>
      </c>
      <c r="D3583" s="10" t="s">
        <v>1679</v>
      </c>
      <c r="E3583" s="10" t="s">
        <v>1682</v>
      </c>
      <c r="F3583" t="s">
        <v>925</v>
      </c>
      <c r="G3583" s="4">
        <v>1132749</v>
      </c>
      <c r="H3583" s="4">
        <v>6958542</v>
      </c>
      <c r="I3583" s="4"/>
      <c r="J3583" s="4">
        <f>SUM(G3583:I3583)</f>
        <v>8091291</v>
      </c>
      <c r="K3583" t="s">
        <v>1660</v>
      </c>
      <c r="L3583" t="s">
        <v>1659</v>
      </c>
      <c r="M3583" t="s">
        <v>1538</v>
      </c>
      <c r="N3583" t="s">
        <v>1538</v>
      </c>
      <c r="O3583" t="s">
        <v>1132</v>
      </c>
      <c r="P3583">
        <f>IFERROR(VLOOKUP(F3583,Sheet1!$A$2:$B$54,2,FALSE),"")</f>
        <v>4901110</v>
      </c>
    </row>
    <row r="3584" spans="1:16" x14ac:dyDescent="0.2">
      <c r="A3584" s="1">
        <v>2021</v>
      </c>
      <c r="B3584" t="s">
        <v>427</v>
      </c>
      <c r="C3584" s="10" t="s">
        <v>1678</v>
      </c>
      <c r="D3584" s="10" t="s">
        <v>1679</v>
      </c>
      <c r="E3584" s="10" t="s">
        <v>1682</v>
      </c>
      <c r="F3584" t="s">
        <v>925</v>
      </c>
      <c r="G3584" s="4">
        <v>1383747</v>
      </c>
      <c r="H3584" s="4">
        <v>7684084</v>
      </c>
      <c r="I3584" s="4"/>
      <c r="J3584" s="4">
        <f>SUM(G3584:I3584)</f>
        <v>9067831</v>
      </c>
      <c r="K3584" t="s">
        <v>1660</v>
      </c>
      <c r="L3584" t="s">
        <v>1659</v>
      </c>
      <c r="M3584" t="s">
        <v>925</v>
      </c>
      <c r="N3584" t="s">
        <v>925</v>
      </c>
      <c r="O3584" t="s">
        <v>1132</v>
      </c>
      <c r="P3584">
        <f>IFERROR(VLOOKUP(F3584,Sheet1!$A$2:$B$54,2,FALSE),"")</f>
        <v>4901110</v>
      </c>
    </row>
    <row r="3585" spans="1:16" x14ac:dyDescent="0.2">
      <c r="A3585" s="1">
        <v>2022</v>
      </c>
      <c r="B3585" t="s">
        <v>427</v>
      </c>
      <c r="C3585" s="10" t="s">
        <v>1678</v>
      </c>
      <c r="D3585" s="10" t="s">
        <v>1679</v>
      </c>
      <c r="E3585" s="10" t="s">
        <v>1682</v>
      </c>
      <c r="F3585" t="s">
        <v>925</v>
      </c>
      <c r="G3585" s="4">
        <v>1751614</v>
      </c>
      <c r="H3585" s="4">
        <v>8327002</v>
      </c>
      <c r="I3585" s="4"/>
      <c r="J3585" s="4">
        <f>SUM(G3585:I3585)</f>
        <v>10078616</v>
      </c>
      <c r="K3585" t="s">
        <v>1660</v>
      </c>
      <c r="L3585" t="s">
        <v>1659</v>
      </c>
      <c r="M3585" t="s">
        <v>925</v>
      </c>
      <c r="N3585" t="s">
        <v>925</v>
      </c>
      <c r="O3585" t="s">
        <v>1132</v>
      </c>
      <c r="P3585">
        <f>IFERROR(VLOOKUP(F3585,Sheet1!$A$2:$B$54,2,FALSE),"")</f>
        <v>4901110</v>
      </c>
    </row>
    <row r="3586" spans="1:16" x14ac:dyDescent="0.2">
      <c r="A3586" s="1">
        <v>2023</v>
      </c>
      <c r="B3586" t="s">
        <v>427</v>
      </c>
      <c r="C3586" s="10" t="s">
        <v>1678</v>
      </c>
      <c r="D3586" s="10" t="s">
        <v>1679</v>
      </c>
      <c r="E3586" s="10" t="s">
        <v>1682</v>
      </c>
      <c r="F3586" t="s">
        <v>925</v>
      </c>
      <c r="G3586" s="4">
        <v>2130781</v>
      </c>
      <c r="H3586" s="4">
        <v>9091024</v>
      </c>
      <c r="I3586" s="4"/>
      <c r="J3586" s="4">
        <f>SUM(G3586:I3586)</f>
        <v>11221805</v>
      </c>
      <c r="K3586" t="s">
        <v>1660</v>
      </c>
      <c r="L3586" t="s">
        <v>1659</v>
      </c>
      <c r="M3586" t="s">
        <v>925</v>
      </c>
      <c r="N3586" t="s">
        <v>925</v>
      </c>
      <c r="O3586" t="s">
        <v>1132</v>
      </c>
      <c r="P3586">
        <f>IFERROR(VLOOKUP(F3586,Sheet1!$A$2:$B$54,2,FALSE),"")</f>
        <v>4901110</v>
      </c>
    </row>
    <row r="3587" spans="1:16" x14ac:dyDescent="0.2">
      <c r="A3587" s="1">
        <v>2015</v>
      </c>
      <c r="B3587" t="s">
        <v>432</v>
      </c>
      <c r="C3587" s="10" t="s">
        <v>1678</v>
      </c>
      <c r="D3587" s="10" t="s">
        <v>1679</v>
      </c>
      <c r="E3587" s="10" t="s">
        <v>1682</v>
      </c>
      <c r="F3587" t="s">
        <v>930</v>
      </c>
      <c r="G3587" s="4">
        <v>1016172</v>
      </c>
      <c r="H3587" s="4">
        <v>19958248</v>
      </c>
      <c r="I3587" s="4">
        <v>36596</v>
      </c>
      <c r="J3587" s="4">
        <f>SUM(G3587:I3587)</f>
        <v>21011016</v>
      </c>
      <c r="K3587" t="s">
        <v>1660</v>
      </c>
      <c r="L3587" t="s">
        <v>1660</v>
      </c>
      <c r="M3587" t="s">
        <v>1547</v>
      </c>
      <c r="N3587" t="s">
        <v>1547</v>
      </c>
      <c r="O3587" t="s">
        <v>1547</v>
      </c>
      <c r="P3587">
        <f>IFERROR(VLOOKUP(F3587,Sheet1!$A$2:$B$54,2,FALSE),"")</f>
        <v>4901140</v>
      </c>
    </row>
    <row r="3588" spans="1:16" x14ac:dyDescent="0.2">
      <c r="A3588" s="1">
        <v>2016</v>
      </c>
      <c r="B3588" t="s">
        <v>432</v>
      </c>
      <c r="C3588" s="10" t="s">
        <v>1678</v>
      </c>
      <c r="D3588" s="10" t="s">
        <v>1679</v>
      </c>
      <c r="E3588" s="10" t="s">
        <v>1682</v>
      </c>
      <c r="F3588" t="s">
        <v>930</v>
      </c>
      <c r="G3588" s="4">
        <v>1328877</v>
      </c>
      <c r="H3588" s="4">
        <v>20549563</v>
      </c>
      <c r="I3588" s="4">
        <v>38049</v>
      </c>
      <c r="J3588" s="4">
        <f>SUM(G3588:I3588)</f>
        <v>21916489</v>
      </c>
      <c r="K3588" t="s">
        <v>1660</v>
      </c>
      <c r="L3588" t="s">
        <v>1660</v>
      </c>
      <c r="M3588" t="s">
        <v>1547</v>
      </c>
      <c r="N3588" t="s">
        <v>1547</v>
      </c>
      <c r="O3588" t="s">
        <v>1547</v>
      </c>
      <c r="P3588">
        <f>IFERROR(VLOOKUP(F3588,Sheet1!$A$2:$B$54,2,FALSE),"")</f>
        <v>4901140</v>
      </c>
    </row>
    <row r="3589" spans="1:16" x14ac:dyDescent="0.2">
      <c r="A3589" s="1">
        <v>2015</v>
      </c>
      <c r="B3589" t="s">
        <v>436</v>
      </c>
      <c r="C3589" s="10" t="s">
        <v>1678</v>
      </c>
      <c r="D3589" s="10" t="s">
        <v>1679</v>
      </c>
      <c r="E3589" s="10" t="s">
        <v>1682</v>
      </c>
      <c r="F3589" t="s">
        <v>934</v>
      </c>
      <c r="G3589" s="4">
        <v>55319</v>
      </c>
      <c r="H3589" s="4"/>
      <c r="I3589" s="4"/>
      <c r="J3589" s="4">
        <f>SUM(G3589:I3589)</f>
        <v>55319</v>
      </c>
      <c r="K3589" t="s">
        <v>1659</v>
      </c>
      <c r="L3589" t="s">
        <v>1659</v>
      </c>
      <c r="M3589" t="s">
        <v>1552</v>
      </c>
      <c r="N3589" t="s">
        <v>1132</v>
      </c>
      <c r="O3589" t="s">
        <v>1132</v>
      </c>
      <c r="P3589" t="str">
        <f>IFERROR(VLOOKUP(F3589,Sheet1!$A$2:$B$54,2,FALSE),"")</f>
        <v/>
      </c>
    </row>
    <row r="3590" spans="1:16" x14ac:dyDescent="0.2">
      <c r="A3590" s="1">
        <v>2016</v>
      </c>
      <c r="B3590" t="s">
        <v>436</v>
      </c>
      <c r="C3590" s="10" t="s">
        <v>1678</v>
      </c>
      <c r="D3590" s="10" t="s">
        <v>1679</v>
      </c>
      <c r="E3590" s="10" t="s">
        <v>1682</v>
      </c>
      <c r="F3590" t="s">
        <v>934</v>
      </c>
      <c r="G3590" s="4">
        <v>64265</v>
      </c>
      <c r="H3590" s="4"/>
      <c r="I3590" s="4"/>
      <c r="J3590" s="4">
        <f>SUM(G3590:I3590)</f>
        <v>64265</v>
      </c>
      <c r="K3590" t="s">
        <v>1659</v>
      </c>
      <c r="L3590" t="s">
        <v>1659</v>
      </c>
      <c r="M3590" t="s">
        <v>1552</v>
      </c>
      <c r="N3590" t="s">
        <v>1132</v>
      </c>
      <c r="O3590" t="s">
        <v>1132</v>
      </c>
      <c r="P3590" t="str">
        <f>IFERROR(VLOOKUP(F3590,Sheet1!$A$2:$B$54,2,FALSE),"")</f>
        <v/>
      </c>
    </row>
    <row r="3591" spans="1:16" x14ac:dyDescent="0.2">
      <c r="A3591" s="1">
        <v>2017</v>
      </c>
      <c r="B3591" t="s">
        <v>436</v>
      </c>
      <c r="C3591" s="10" t="s">
        <v>1678</v>
      </c>
      <c r="D3591" s="10" t="s">
        <v>1679</v>
      </c>
      <c r="E3591" s="10" t="s">
        <v>1682</v>
      </c>
      <c r="F3591" t="s">
        <v>934</v>
      </c>
      <c r="G3591" s="4">
        <v>79472</v>
      </c>
      <c r="H3591" s="4"/>
      <c r="I3591" s="4"/>
      <c r="J3591" s="4">
        <f>SUM(G3591:I3591)</f>
        <v>79472</v>
      </c>
      <c r="K3591" t="s">
        <v>1659</v>
      </c>
      <c r="L3591" t="s">
        <v>1659</v>
      </c>
      <c r="M3591" t="s">
        <v>1552</v>
      </c>
      <c r="N3591" t="s">
        <v>1132</v>
      </c>
      <c r="O3591" t="s">
        <v>1132</v>
      </c>
      <c r="P3591" t="str">
        <f>IFERROR(VLOOKUP(F3591,Sheet1!$A$2:$B$54,2,FALSE),"")</f>
        <v/>
      </c>
    </row>
    <row r="3592" spans="1:16" x14ac:dyDescent="0.2">
      <c r="A3592" s="1">
        <v>2018</v>
      </c>
      <c r="B3592" t="s">
        <v>436</v>
      </c>
      <c r="C3592" s="10" t="s">
        <v>1678</v>
      </c>
      <c r="D3592" s="10" t="s">
        <v>1679</v>
      </c>
      <c r="E3592" s="10" t="s">
        <v>1682</v>
      </c>
      <c r="F3592" t="s">
        <v>934</v>
      </c>
      <c r="G3592" s="4">
        <v>101164</v>
      </c>
      <c r="H3592" s="4"/>
      <c r="I3592" s="4"/>
      <c r="J3592" s="4">
        <f>SUM(G3592:I3592)</f>
        <v>101164</v>
      </c>
      <c r="K3592" t="s">
        <v>1659</v>
      </c>
      <c r="L3592" t="s">
        <v>1659</v>
      </c>
      <c r="M3592" t="s">
        <v>1552</v>
      </c>
      <c r="N3592" t="s">
        <v>1132</v>
      </c>
      <c r="O3592" t="s">
        <v>1132</v>
      </c>
      <c r="P3592" t="str">
        <f>IFERROR(VLOOKUP(F3592,Sheet1!$A$2:$B$54,2,FALSE),"")</f>
        <v/>
      </c>
    </row>
    <row r="3593" spans="1:16" x14ac:dyDescent="0.2">
      <c r="A3593" s="1">
        <v>2019</v>
      </c>
      <c r="B3593" t="s">
        <v>436</v>
      </c>
      <c r="C3593" s="10" t="s">
        <v>1678</v>
      </c>
      <c r="D3593" s="10" t="s">
        <v>1679</v>
      </c>
      <c r="E3593" s="10" t="s">
        <v>1682</v>
      </c>
      <c r="F3593" t="s">
        <v>934</v>
      </c>
      <c r="G3593" s="4">
        <v>114053</v>
      </c>
      <c r="H3593" s="4"/>
      <c r="I3593" s="4"/>
      <c r="J3593" s="4">
        <f>SUM(G3593:I3593)</f>
        <v>114053</v>
      </c>
      <c r="K3593" t="s">
        <v>1659</v>
      </c>
      <c r="L3593" t="s">
        <v>1659</v>
      </c>
      <c r="M3593" t="s">
        <v>1552</v>
      </c>
      <c r="N3593" t="s">
        <v>1132</v>
      </c>
      <c r="O3593" t="s">
        <v>1132</v>
      </c>
      <c r="P3593" t="str">
        <f>IFERROR(VLOOKUP(F3593,Sheet1!$A$2:$B$54,2,FALSE),"")</f>
        <v/>
      </c>
    </row>
    <row r="3594" spans="1:16" x14ac:dyDescent="0.2">
      <c r="A3594" s="1">
        <v>2020</v>
      </c>
      <c r="B3594" t="s">
        <v>436</v>
      </c>
      <c r="C3594" s="10" t="s">
        <v>1678</v>
      </c>
      <c r="D3594" s="10" t="s">
        <v>1679</v>
      </c>
      <c r="E3594" s="10" t="s">
        <v>1682</v>
      </c>
      <c r="F3594" t="s">
        <v>934</v>
      </c>
      <c r="G3594" s="4">
        <v>145057</v>
      </c>
      <c r="H3594" s="4"/>
      <c r="I3594" s="4"/>
      <c r="J3594" s="4">
        <f>SUM(G3594:I3594)</f>
        <v>145057</v>
      </c>
      <c r="K3594" t="s">
        <v>1659</v>
      </c>
      <c r="L3594" t="s">
        <v>1659</v>
      </c>
      <c r="M3594" t="s">
        <v>1552</v>
      </c>
      <c r="N3594" t="s">
        <v>1132</v>
      </c>
      <c r="O3594" t="s">
        <v>1132</v>
      </c>
      <c r="P3594" t="str">
        <f>IFERROR(VLOOKUP(F3594,Sheet1!$A$2:$B$54,2,FALSE),"")</f>
        <v/>
      </c>
    </row>
    <row r="3595" spans="1:16" x14ac:dyDescent="0.2">
      <c r="A3595" s="1">
        <v>2021</v>
      </c>
      <c r="B3595" t="s">
        <v>436</v>
      </c>
      <c r="C3595" s="10" t="s">
        <v>1678</v>
      </c>
      <c r="D3595" s="10" t="s">
        <v>1679</v>
      </c>
      <c r="E3595" s="10" t="s">
        <v>1682</v>
      </c>
      <c r="F3595" t="s">
        <v>934</v>
      </c>
      <c r="G3595" s="4">
        <v>11573</v>
      </c>
      <c r="H3595" s="4"/>
      <c r="I3595" s="4"/>
      <c r="J3595" s="4">
        <f>SUM(G3595:I3595)</f>
        <v>11573</v>
      </c>
      <c r="K3595" t="s">
        <v>1659</v>
      </c>
      <c r="L3595" t="s">
        <v>1659</v>
      </c>
      <c r="M3595" t="s">
        <v>934</v>
      </c>
      <c r="N3595" t="s">
        <v>1132</v>
      </c>
      <c r="O3595" t="s">
        <v>1132</v>
      </c>
      <c r="P3595" t="str">
        <f>IFERROR(VLOOKUP(F3595,Sheet1!$A$2:$B$54,2,FALSE),"")</f>
        <v/>
      </c>
    </row>
    <row r="3596" spans="1:16" x14ac:dyDescent="0.2">
      <c r="A3596" s="1">
        <v>2022</v>
      </c>
      <c r="B3596" t="s">
        <v>436</v>
      </c>
      <c r="C3596" s="10" t="s">
        <v>1678</v>
      </c>
      <c r="D3596" s="10" t="s">
        <v>1679</v>
      </c>
      <c r="E3596" s="10" t="s">
        <v>1682</v>
      </c>
      <c r="F3596" t="s">
        <v>934</v>
      </c>
      <c r="G3596" s="4">
        <v>22481</v>
      </c>
      <c r="H3596" s="4"/>
      <c r="I3596" s="4"/>
      <c r="J3596" s="4">
        <f>SUM(G3596:I3596)</f>
        <v>22481</v>
      </c>
      <c r="K3596" t="s">
        <v>1659</v>
      </c>
      <c r="L3596" t="s">
        <v>1659</v>
      </c>
      <c r="M3596" t="s">
        <v>934</v>
      </c>
      <c r="N3596" t="s">
        <v>1132</v>
      </c>
      <c r="O3596" t="s">
        <v>1132</v>
      </c>
      <c r="P3596" t="str">
        <f>IFERROR(VLOOKUP(F3596,Sheet1!$A$2:$B$54,2,FALSE),"")</f>
        <v/>
      </c>
    </row>
    <row r="3597" spans="1:16" x14ac:dyDescent="0.2">
      <c r="A3597" s="1">
        <v>2023</v>
      </c>
      <c r="B3597" t="s">
        <v>436</v>
      </c>
      <c r="C3597" s="10" t="s">
        <v>1678</v>
      </c>
      <c r="D3597" s="10" t="s">
        <v>1679</v>
      </c>
      <c r="E3597" s="10" t="s">
        <v>1682</v>
      </c>
      <c r="F3597" t="s">
        <v>934</v>
      </c>
      <c r="G3597" s="4">
        <v>24246</v>
      </c>
      <c r="H3597" s="4"/>
      <c r="I3597" s="4"/>
      <c r="J3597" s="4">
        <f>SUM(G3597:I3597)</f>
        <v>24246</v>
      </c>
      <c r="K3597" t="s">
        <v>1659</v>
      </c>
      <c r="L3597" t="s">
        <v>1659</v>
      </c>
      <c r="M3597" t="s">
        <v>934</v>
      </c>
      <c r="N3597" t="s">
        <v>1132</v>
      </c>
      <c r="O3597" t="s">
        <v>1132</v>
      </c>
      <c r="P3597" t="str">
        <f>IFERROR(VLOOKUP(F3597,Sheet1!$A$2:$B$54,2,FALSE),"")</f>
        <v/>
      </c>
    </row>
    <row r="3598" spans="1:16" x14ac:dyDescent="0.2">
      <c r="A3598" s="1">
        <v>2015</v>
      </c>
      <c r="B3598" t="s">
        <v>437</v>
      </c>
      <c r="C3598" s="10" t="s">
        <v>1678</v>
      </c>
      <c r="D3598" s="10" t="s">
        <v>1679</v>
      </c>
      <c r="E3598" s="10" t="s">
        <v>1682</v>
      </c>
      <c r="F3598" t="s">
        <v>935</v>
      </c>
      <c r="G3598" s="4">
        <v>35223</v>
      </c>
      <c r="H3598" s="4"/>
      <c r="I3598" s="4"/>
      <c r="J3598" s="4">
        <f>SUM(G3598:I3598)</f>
        <v>35223</v>
      </c>
      <c r="K3598" t="s">
        <v>1659</v>
      </c>
      <c r="L3598" t="s">
        <v>1659</v>
      </c>
      <c r="M3598" t="s">
        <v>1553</v>
      </c>
      <c r="N3598" t="s">
        <v>1132</v>
      </c>
      <c r="O3598" t="s">
        <v>1132</v>
      </c>
      <c r="P3598" t="str">
        <f>IFERROR(VLOOKUP(F3598,Sheet1!$A$2:$B$54,2,FALSE),"")</f>
        <v/>
      </c>
    </row>
    <row r="3599" spans="1:16" x14ac:dyDescent="0.2">
      <c r="A3599" s="1">
        <v>2016</v>
      </c>
      <c r="B3599" t="s">
        <v>437</v>
      </c>
      <c r="C3599" s="10" t="s">
        <v>1678</v>
      </c>
      <c r="D3599" s="10" t="s">
        <v>1679</v>
      </c>
      <c r="E3599" s="10" t="s">
        <v>1682</v>
      </c>
      <c r="F3599" t="s">
        <v>935</v>
      </c>
      <c r="G3599" s="4">
        <v>51991</v>
      </c>
      <c r="H3599" s="4"/>
      <c r="I3599" s="4"/>
      <c r="J3599" s="4">
        <f>SUM(G3599:I3599)</f>
        <v>51991</v>
      </c>
      <c r="K3599" t="s">
        <v>1659</v>
      </c>
      <c r="L3599" t="s">
        <v>1659</v>
      </c>
      <c r="M3599" t="s">
        <v>1553</v>
      </c>
      <c r="N3599" t="s">
        <v>1132</v>
      </c>
      <c r="O3599" t="s">
        <v>1132</v>
      </c>
      <c r="P3599" t="str">
        <f>IFERROR(VLOOKUP(F3599,Sheet1!$A$2:$B$54,2,FALSE),"")</f>
        <v/>
      </c>
    </row>
    <row r="3600" spans="1:16" x14ac:dyDescent="0.2">
      <c r="A3600" s="1">
        <v>2017</v>
      </c>
      <c r="B3600" t="s">
        <v>437</v>
      </c>
      <c r="C3600" s="10" t="s">
        <v>1678</v>
      </c>
      <c r="D3600" s="10" t="s">
        <v>1679</v>
      </c>
      <c r="E3600" s="10" t="s">
        <v>1682</v>
      </c>
      <c r="F3600" t="s">
        <v>935</v>
      </c>
      <c r="G3600" s="4">
        <v>58478</v>
      </c>
      <c r="H3600" s="4"/>
      <c r="I3600" s="4"/>
      <c r="J3600" s="4">
        <f>SUM(G3600:I3600)</f>
        <v>58478</v>
      </c>
      <c r="K3600" t="s">
        <v>1659</v>
      </c>
      <c r="L3600" t="s">
        <v>1659</v>
      </c>
      <c r="M3600" t="s">
        <v>1554</v>
      </c>
      <c r="N3600" t="s">
        <v>1132</v>
      </c>
      <c r="O3600" t="s">
        <v>1132</v>
      </c>
      <c r="P3600" t="str">
        <f>IFERROR(VLOOKUP(F3600,Sheet1!$A$2:$B$54,2,FALSE),"")</f>
        <v/>
      </c>
    </row>
    <row r="3601" spans="1:16" x14ac:dyDescent="0.2">
      <c r="A3601" s="1">
        <v>2018</v>
      </c>
      <c r="B3601" t="s">
        <v>437</v>
      </c>
      <c r="C3601" s="10" t="s">
        <v>1678</v>
      </c>
      <c r="D3601" s="10" t="s">
        <v>1679</v>
      </c>
      <c r="E3601" s="10" t="s">
        <v>1682</v>
      </c>
      <c r="F3601" t="s">
        <v>935</v>
      </c>
      <c r="G3601" s="4">
        <v>85017</v>
      </c>
      <c r="H3601" s="4"/>
      <c r="I3601" s="4"/>
      <c r="J3601" s="4">
        <f>SUM(G3601:I3601)</f>
        <v>85017</v>
      </c>
      <c r="K3601" t="s">
        <v>1659</v>
      </c>
      <c r="L3601" t="s">
        <v>1659</v>
      </c>
      <c r="M3601" t="s">
        <v>1554</v>
      </c>
      <c r="N3601" t="s">
        <v>1132</v>
      </c>
      <c r="O3601" t="s">
        <v>1132</v>
      </c>
      <c r="P3601" t="str">
        <f>IFERROR(VLOOKUP(F3601,Sheet1!$A$2:$B$54,2,FALSE),"")</f>
        <v/>
      </c>
    </row>
    <row r="3602" spans="1:16" x14ac:dyDescent="0.2">
      <c r="A3602" s="1">
        <v>2019</v>
      </c>
      <c r="B3602" t="s">
        <v>437</v>
      </c>
      <c r="C3602" s="10" t="s">
        <v>1678</v>
      </c>
      <c r="D3602" s="10" t="s">
        <v>1679</v>
      </c>
      <c r="E3602" s="10" t="s">
        <v>1682</v>
      </c>
      <c r="F3602" t="s">
        <v>935</v>
      </c>
      <c r="G3602" s="4">
        <v>94555</v>
      </c>
      <c r="H3602" s="4"/>
      <c r="I3602" s="4"/>
      <c r="J3602" s="4">
        <f>SUM(G3602:I3602)</f>
        <v>94555</v>
      </c>
      <c r="K3602" t="s">
        <v>1659</v>
      </c>
      <c r="L3602" t="s">
        <v>1659</v>
      </c>
      <c r="M3602" t="s">
        <v>1554</v>
      </c>
      <c r="N3602" t="s">
        <v>1132</v>
      </c>
      <c r="O3602" t="s">
        <v>1132</v>
      </c>
      <c r="P3602" t="str">
        <f>IFERROR(VLOOKUP(F3602,Sheet1!$A$2:$B$54,2,FALSE),"")</f>
        <v/>
      </c>
    </row>
    <row r="3603" spans="1:16" x14ac:dyDescent="0.2">
      <c r="A3603" s="1">
        <v>2020</v>
      </c>
      <c r="B3603" t="s">
        <v>437</v>
      </c>
      <c r="C3603" s="10" t="s">
        <v>1678</v>
      </c>
      <c r="D3603" s="10" t="s">
        <v>1679</v>
      </c>
      <c r="E3603" s="10" t="s">
        <v>1682</v>
      </c>
      <c r="F3603" t="s">
        <v>935</v>
      </c>
      <c r="G3603" s="4">
        <v>116810</v>
      </c>
      <c r="H3603" s="4"/>
      <c r="I3603" s="4"/>
      <c r="J3603" s="4">
        <f>SUM(G3603:I3603)</f>
        <v>116810</v>
      </c>
      <c r="K3603" t="s">
        <v>1659</v>
      </c>
      <c r="L3603" t="s">
        <v>1659</v>
      </c>
      <c r="M3603" t="s">
        <v>1554</v>
      </c>
      <c r="N3603" t="s">
        <v>1132</v>
      </c>
      <c r="O3603" t="s">
        <v>1132</v>
      </c>
      <c r="P3603" t="str">
        <f>IFERROR(VLOOKUP(F3603,Sheet1!$A$2:$B$54,2,FALSE),"")</f>
        <v/>
      </c>
    </row>
    <row r="3604" spans="1:16" x14ac:dyDescent="0.2">
      <c r="A3604" s="1">
        <v>2021</v>
      </c>
      <c r="B3604" t="s">
        <v>437</v>
      </c>
      <c r="C3604" s="10" t="s">
        <v>1678</v>
      </c>
      <c r="D3604" s="10" t="s">
        <v>1679</v>
      </c>
      <c r="E3604" s="10" t="s">
        <v>1682</v>
      </c>
      <c r="F3604" t="s">
        <v>935</v>
      </c>
      <c r="G3604" s="4">
        <v>152506</v>
      </c>
      <c r="H3604" s="4"/>
      <c r="I3604" s="4"/>
      <c r="J3604" s="4">
        <f>SUM(G3604:I3604)</f>
        <v>152506</v>
      </c>
      <c r="K3604" t="s">
        <v>1659</v>
      </c>
      <c r="L3604" t="s">
        <v>1659</v>
      </c>
      <c r="M3604" t="s">
        <v>935</v>
      </c>
      <c r="N3604" t="s">
        <v>1132</v>
      </c>
      <c r="O3604" t="s">
        <v>1132</v>
      </c>
      <c r="P3604" t="str">
        <f>IFERROR(VLOOKUP(F3604,Sheet1!$A$2:$B$54,2,FALSE),"")</f>
        <v/>
      </c>
    </row>
    <row r="3605" spans="1:16" x14ac:dyDescent="0.2">
      <c r="A3605" s="1">
        <v>2022</v>
      </c>
      <c r="B3605" t="s">
        <v>437</v>
      </c>
      <c r="C3605" s="10" t="s">
        <v>1678</v>
      </c>
      <c r="D3605" s="10" t="s">
        <v>1679</v>
      </c>
      <c r="E3605" s="10" t="s">
        <v>1682</v>
      </c>
      <c r="F3605" t="s">
        <v>935</v>
      </c>
      <c r="G3605" s="4">
        <v>205950</v>
      </c>
      <c r="H3605" s="4"/>
      <c r="I3605" s="4"/>
      <c r="J3605" s="4">
        <f>SUM(G3605:I3605)</f>
        <v>205950</v>
      </c>
      <c r="K3605" t="s">
        <v>1659</v>
      </c>
      <c r="L3605" t="s">
        <v>1659</v>
      </c>
      <c r="M3605" t="s">
        <v>935</v>
      </c>
      <c r="N3605" t="s">
        <v>1132</v>
      </c>
      <c r="O3605" t="s">
        <v>1132</v>
      </c>
      <c r="P3605" t="str">
        <f>IFERROR(VLOOKUP(F3605,Sheet1!$A$2:$B$54,2,FALSE),"")</f>
        <v/>
      </c>
    </row>
    <row r="3606" spans="1:16" x14ac:dyDescent="0.2">
      <c r="A3606" s="1">
        <v>2023</v>
      </c>
      <c r="B3606" t="s">
        <v>437</v>
      </c>
      <c r="C3606" s="10" t="s">
        <v>1678</v>
      </c>
      <c r="D3606" s="10" t="s">
        <v>1679</v>
      </c>
      <c r="E3606" s="10" t="s">
        <v>1682</v>
      </c>
      <c r="F3606" t="s">
        <v>935</v>
      </c>
      <c r="G3606" s="4">
        <v>280906</v>
      </c>
      <c r="H3606" s="4"/>
      <c r="I3606" s="4"/>
      <c r="J3606" s="4">
        <f>SUM(G3606:I3606)</f>
        <v>280906</v>
      </c>
      <c r="K3606" t="s">
        <v>1659</v>
      </c>
      <c r="L3606" t="s">
        <v>1659</v>
      </c>
      <c r="M3606" t="s">
        <v>935</v>
      </c>
      <c r="N3606" t="s">
        <v>1132</v>
      </c>
      <c r="O3606" t="s">
        <v>1132</v>
      </c>
      <c r="P3606" t="str">
        <f>IFERROR(VLOOKUP(F3606,Sheet1!$A$2:$B$54,2,FALSE),"")</f>
        <v/>
      </c>
    </row>
    <row r="3607" spans="1:16" x14ac:dyDescent="0.2">
      <c r="A3607" s="1">
        <v>2018</v>
      </c>
      <c r="B3607" t="s">
        <v>438</v>
      </c>
      <c r="C3607" s="10" t="s">
        <v>1678</v>
      </c>
      <c r="D3607" s="10" t="s">
        <v>1679</v>
      </c>
      <c r="E3607" s="10" t="s">
        <v>1682</v>
      </c>
      <c r="F3607" t="s">
        <v>936</v>
      </c>
      <c r="G3607" s="4">
        <v>4652</v>
      </c>
      <c r="H3607" s="4"/>
      <c r="I3607" s="4"/>
      <c r="J3607" s="4">
        <f>SUM(G3607:I3607)</f>
        <v>4652</v>
      </c>
      <c r="K3607" t="s">
        <v>1659</v>
      </c>
      <c r="L3607" t="s">
        <v>1659</v>
      </c>
      <c r="M3607" t="s">
        <v>1555</v>
      </c>
      <c r="N3607" t="s">
        <v>1132</v>
      </c>
      <c r="O3607" t="s">
        <v>1132</v>
      </c>
      <c r="P3607" t="str">
        <f>IFERROR(VLOOKUP(F3607,Sheet1!$A$2:$B$54,2,FALSE),"")</f>
        <v/>
      </c>
    </row>
    <row r="3608" spans="1:16" x14ac:dyDescent="0.2">
      <c r="A3608" s="1">
        <v>2019</v>
      </c>
      <c r="B3608" t="s">
        <v>438</v>
      </c>
      <c r="C3608" s="10" t="s">
        <v>1678</v>
      </c>
      <c r="D3608" s="10" t="s">
        <v>1679</v>
      </c>
      <c r="E3608" s="10" t="s">
        <v>1682</v>
      </c>
      <c r="F3608" t="s">
        <v>936</v>
      </c>
      <c r="G3608" s="4">
        <v>7017</v>
      </c>
      <c r="H3608" s="4"/>
      <c r="I3608" s="4"/>
      <c r="J3608" s="4">
        <f>SUM(G3608:I3608)</f>
        <v>7017</v>
      </c>
      <c r="K3608" t="s">
        <v>1659</v>
      </c>
      <c r="L3608" t="s">
        <v>1659</v>
      </c>
      <c r="M3608" t="s">
        <v>1555</v>
      </c>
      <c r="N3608" t="s">
        <v>1132</v>
      </c>
      <c r="O3608" t="s">
        <v>1132</v>
      </c>
      <c r="P3608" t="str">
        <f>IFERROR(VLOOKUP(F3608,Sheet1!$A$2:$B$54,2,FALSE),"")</f>
        <v/>
      </c>
    </row>
    <row r="3609" spans="1:16" x14ac:dyDescent="0.2">
      <c r="A3609" s="1">
        <v>2020</v>
      </c>
      <c r="B3609" t="s">
        <v>438</v>
      </c>
      <c r="C3609" s="10" t="s">
        <v>1678</v>
      </c>
      <c r="D3609" s="10" t="s">
        <v>1679</v>
      </c>
      <c r="E3609" s="10" t="s">
        <v>1682</v>
      </c>
      <c r="F3609" t="s">
        <v>936</v>
      </c>
      <c r="G3609" s="4">
        <v>7441</v>
      </c>
      <c r="H3609" s="4"/>
      <c r="I3609" s="4"/>
      <c r="J3609" s="4">
        <f>SUM(G3609:I3609)</f>
        <v>7441</v>
      </c>
      <c r="K3609" t="s">
        <v>1659</v>
      </c>
      <c r="L3609" t="s">
        <v>1659</v>
      </c>
      <c r="M3609" t="s">
        <v>1555</v>
      </c>
      <c r="N3609" t="s">
        <v>1132</v>
      </c>
      <c r="O3609" t="s">
        <v>1132</v>
      </c>
      <c r="P3609" t="str">
        <f>IFERROR(VLOOKUP(F3609,Sheet1!$A$2:$B$54,2,FALSE),"")</f>
        <v/>
      </c>
    </row>
    <row r="3610" spans="1:16" x14ac:dyDescent="0.2">
      <c r="A3610" s="1">
        <v>2021</v>
      </c>
      <c r="B3610" t="s">
        <v>438</v>
      </c>
      <c r="C3610" s="10" t="s">
        <v>1678</v>
      </c>
      <c r="D3610" s="10" t="s">
        <v>1679</v>
      </c>
      <c r="E3610" s="10" t="s">
        <v>1682</v>
      </c>
      <c r="F3610" t="s">
        <v>936</v>
      </c>
      <c r="G3610" s="4">
        <v>10363</v>
      </c>
      <c r="H3610" s="4"/>
      <c r="I3610" s="4"/>
      <c r="J3610" s="4">
        <f>SUM(G3610:I3610)</f>
        <v>10363</v>
      </c>
      <c r="K3610" t="s">
        <v>1659</v>
      </c>
      <c r="L3610" t="s">
        <v>1659</v>
      </c>
      <c r="M3610" t="s">
        <v>936</v>
      </c>
      <c r="N3610" t="s">
        <v>1132</v>
      </c>
      <c r="O3610" t="s">
        <v>1132</v>
      </c>
      <c r="P3610" t="str">
        <f>IFERROR(VLOOKUP(F3610,Sheet1!$A$2:$B$54,2,FALSE),"")</f>
        <v/>
      </c>
    </row>
    <row r="3611" spans="1:16" x14ac:dyDescent="0.2">
      <c r="A3611" s="1">
        <v>2022</v>
      </c>
      <c r="B3611" t="s">
        <v>438</v>
      </c>
      <c r="C3611" s="10" t="s">
        <v>1678</v>
      </c>
      <c r="D3611" s="10" t="s">
        <v>1679</v>
      </c>
      <c r="E3611" s="10" t="s">
        <v>1682</v>
      </c>
      <c r="F3611" t="s">
        <v>936</v>
      </c>
      <c r="G3611" s="4">
        <v>15651</v>
      </c>
      <c r="H3611" s="4"/>
      <c r="I3611" s="4"/>
      <c r="J3611" s="4">
        <f>SUM(G3611:I3611)</f>
        <v>15651</v>
      </c>
      <c r="K3611" t="s">
        <v>1659</v>
      </c>
      <c r="L3611" t="s">
        <v>1659</v>
      </c>
      <c r="M3611" t="s">
        <v>936</v>
      </c>
      <c r="N3611" t="s">
        <v>1132</v>
      </c>
      <c r="O3611" t="s">
        <v>1132</v>
      </c>
      <c r="P3611" t="str">
        <f>IFERROR(VLOOKUP(F3611,Sheet1!$A$2:$B$54,2,FALSE),"")</f>
        <v/>
      </c>
    </row>
    <row r="3612" spans="1:16" x14ac:dyDescent="0.2">
      <c r="A3612" s="1">
        <v>2023</v>
      </c>
      <c r="B3612" t="s">
        <v>438</v>
      </c>
      <c r="C3612" s="10" t="s">
        <v>1678</v>
      </c>
      <c r="D3612" s="10" t="s">
        <v>1679</v>
      </c>
      <c r="E3612" s="10" t="s">
        <v>1682</v>
      </c>
      <c r="F3612" t="s">
        <v>936</v>
      </c>
      <c r="G3612" s="4">
        <v>18912</v>
      </c>
      <c r="H3612" s="4"/>
      <c r="I3612" s="4"/>
      <c r="J3612" s="4">
        <f>SUM(G3612:I3612)</f>
        <v>18912</v>
      </c>
      <c r="K3612" t="s">
        <v>1659</v>
      </c>
      <c r="L3612" t="s">
        <v>1659</v>
      </c>
      <c r="M3612" t="s">
        <v>936</v>
      </c>
      <c r="N3612" t="s">
        <v>1132</v>
      </c>
      <c r="O3612" t="s">
        <v>1132</v>
      </c>
      <c r="P3612" t="str">
        <f>IFERROR(VLOOKUP(F3612,Sheet1!$A$2:$B$54,2,FALSE),"")</f>
        <v/>
      </c>
    </row>
    <row r="3613" spans="1:16" x14ac:dyDescent="0.2">
      <c r="A3613" s="1">
        <v>2015</v>
      </c>
      <c r="B3613" t="s">
        <v>439</v>
      </c>
      <c r="C3613" s="10" t="s">
        <v>1678</v>
      </c>
      <c r="D3613" s="10" t="s">
        <v>1679</v>
      </c>
      <c r="E3613" s="10" t="s">
        <v>1682</v>
      </c>
      <c r="F3613" t="s">
        <v>937</v>
      </c>
      <c r="G3613" s="4">
        <v>420453</v>
      </c>
      <c r="H3613" s="4"/>
      <c r="I3613" s="4"/>
      <c r="J3613" s="4">
        <f>SUM(G3613:I3613)</f>
        <v>420453</v>
      </c>
      <c r="K3613" t="s">
        <v>1659</v>
      </c>
      <c r="L3613" t="s">
        <v>1659</v>
      </c>
      <c r="M3613" t="s">
        <v>1556</v>
      </c>
      <c r="N3613" t="s">
        <v>1132</v>
      </c>
      <c r="O3613" t="s">
        <v>1132</v>
      </c>
      <c r="P3613" t="str">
        <f>IFERROR(VLOOKUP(F3613,Sheet1!$A$2:$B$54,2,FALSE),"")</f>
        <v/>
      </c>
    </row>
    <row r="3614" spans="1:16" x14ac:dyDescent="0.2">
      <c r="A3614" s="1">
        <v>2016</v>
      </c>
      <c r="B3614" t="s">
        <v>439</v>
      </c>
      <c r="C3614" s="10" t="s">
        <v>1678</v>
      </c>
      <c r="D3614" s="10" t="s">
        <v>1679</v>
      </c>
      <c r="E3614" s="10" t="s">
        <v>1682</v>
      </c>
      <c r="F3614" t="s">
        <v>937</v>
      </c>
      <c r="G3614" s="4">
        <v>526550</v>
      </c>
      <c r="H3614" s="4"/>
      <c r="I3614" s="4"/>
      <c r="J3614" s="4">
        <f>SUM(G3614:I3614)</f>
        <v>526550</v>
      </c>
      <c r="K3614" t="s">
        <v>1659</v>
      </c>
      <c r="L3614" t="s">
        <v>1659</v>
      </c>
      <c r="M3614" t="s">
        <v>1556</v>
      </c>
      <c r="N3614" t="s">
        <v>1132</v>
      </c>
      <c r="O3614" t="s">
        <v>1132</v>
      </c>
      <c r="P3614" t="str">
        <f>IFERROR(VLOOKUP(F3614,Sheet1!$A$2:$B$54,2,FALSE),"")</f>
        <v/>
      </c>
    </row>
    <row r="3615" spans="1:16" x14ac:dyDescent="0.2">
      <c r="A3615" s="1">
        <v>2017</v>
      </c>
      <c r="B3615" t="s">
        <v>439</v>
      </c>
      <c r="C3615" s="10" t="s">
        <v>1678</v>
      </c>
      <c r="D3615" s="10" t="s">
        <v>1679</v>
      </c>
      <c r="E3615" s="10" t="s">
        <v>1682</v>
      </c>
      <c r="F3615" t="s">
        <v>937</v>
      </c>
      <c r="G3615" s="4">
        <v>660367</v>
      </c>
      <c r="H3615" s="4"/>
      <c r="I3615" s="4"/>
      <c r="J3615" s="4">
        <f>SUM(G3615:I3615)</f>
        <v>660367</v>
      </c>
      <c r="K3615" t="s">
        <v>1659</v>
      </c>
      <c r="L3615" t="s">
        <v>1659</v>
      </c>
      <c r="M3615" t="s">
        <v>1556</v>
      </c>
      <c r="N3615" t="s">
        <v>1132</v>
      </c>
      <c r="O3615" t="s">
        <v>1132</v>
      </c>
      <c r="P3615" t="str">
        <f>IFERROR(VLOOKUP(F3615,Sheet1!$A$2:$B$54,2,FALSE),"")</f>
        <v/>
      </c>
    </row>
    <row r="3616" spans="1:16" x14ac:dyDescent="0.2">
      <c r="A3616" s="1">
        <v>2018</v>
      </c>
      <c r="B3616" t="s">
        <v>439</v>
      </c>
      <c r="C3616" s="10" t="s">
        <v>1678</v>
      </c>
      <c r="D3616" s="10" t="s">
        <v>1679</v>
      </c>
      <c r="E3616" s="10" t="s">
        <v>1682</v>
      </c>
      <c r="F3616" t="s">
        <v>937</v>
      </c>
      <c r="G3616" s="4">
        <v>807240</v>
      </c>
      <c r="H3616" s="4"/>
      <c r="I3616" s="4"/>
      <c r="J3616" s="4">
        <f>SUM(G3616:I3616)</f>
        <v>807240</v>
      </c>
      <c r="K3616" t="s">
        <v>1659</v>
      </c>
      <c r="L3616" t="s">
        <v>1659</v>
      </c>
      <c r="M3616" t="s">
        <v>1556</v>
      </c>
      <c r="N3616" t="s">
        <v>1132</v>
      </c>
      <c r="O3616" t="s">
        <v>1132</v>
      </c>
      <c r="P3616" t="str">
        <f>IFERROR(VLOOKUP(F3616,Sheet1!$A$2:$B$54,2,FALSE),"")</f>
        <v/>
      </c>
    </row>
    <row r="3617" spans="1:16" x14ac:dyDescent="0.2">
      <c r="A3617" s="1">
        <v>2019</v>
      </c>
      <c r="B3617" t="s">
        <v>439</v>
      </c>
      <c r="C3617" s="10" t="s">
        <v>1678</v>
      </c>
      <c r="D3617" s="10" t="s">
        <v>1679</v>
      </c>
      <c r="E3617" s="10" t="s">
        <v>1682</v>
      </c>
      <c r="F3617" t="s">
        <v>937</v>
      </c>
      <c r="G3617" s="4">
        <v>961656</v>
      </c>
      <c r="H3617" s="4"/>
      <c r="I3617" s="4"/>
      <c r="J3617" s="4">
        <f>SUM(G3617:I3617)</f>
        <v>961656</v>
      </c>
      <c r="K3617" t="s">
        <v>1659</v>
      </c>
      <c r="L3617" t="s">
        <v>1659</v>
      </c>
      <c r="M3617" t="s">
        <v>1556</v>
      </c>
      <c r="N3617" t="s">
        <v>1132</v>
      </c>
      <c r="O3617" t="s">
        <v>1132</v>
      </c>
      <c r="P3617" t="str">
        <f>IFERROR(VLOOKUP(F3617,Sheet1!$A$2:$B$54,2,FALSE),"")</f>
        <v/>
      </c>
    </row>
    <row r="3618" spans="1:16" x14ac:dyDescent="0.2">
      <c r="A3618" s="1">
        <v>2020</v>
      </c>
      <c r="B3618" t="s">
        <v>439</v>
      </c>
      <c r="C3618" s="10" t="s">
        <v>1678</v>
      </c>
      <c r="D3618" s="10" t="s">
        <v>1679</v>
      </c>
      <c r="E3618" s="10" t="s">
        <v>1682</v>
      </c>
      <c r="F3618" t="s">
        <v>937</v>
      </c>
      <c r="G3618" s="4">
        <v>1025227</v>
      </c>
      <c r="H3618" s="4"/>
      <c r="I3618" s="4"/>
      <c r="J3618" s="4">
        <f>SUM(G3618:I3618)</f>
        <v>1025227</v>
      </c>
      <c r="K3618" t="s">
        <v>1659</v>
      </c>
      <c r="L3618" t="s">
        <v>1659</v>
      </c>
      <c r="M3618" t="s">
        <v>1556</v>
      </c>
      <c r="N3618" t="s">
        <v>1132</v>
      </c>
      <c r="O3618" t="s">
        <v>1132</v>
      </c>
      <c r="P3618" t="str">
        <f>IFERROR(VLOOKUP(F3618,Sheet1!$A$2:$B$54,2,FALSE),"")</f>
        <v/>
      </c>
    </row>
    <row r="3619" spans="1:16" x14ac:dyDescent="0.2">
      <c r="A3619" s="1">
        <v>2021</v>
      </c>
      <c r="B3619" t="s">
        <v>439</v>
      </c>
      <c r="C3619" s="10" t="s">
        <v>1678</v>
      </c>
      <c r="D3619" s="10" t="s">
        <v>1679</v>
      </c>
      <c r="E3619" s="10" t="s">
        <v>1682</v>
      </c>
      <c r="F3619" t="s">
        <v>937</v>
      </c>
      <c r="G3619" s="4">
        <v>1277879</v>
      </c>
      <c r="H3619" s="4"/>
      <c r="I3619" s="4"/>
      <c r="J3619" s="4">
        <f>SUM(G3619:I3619)</f>
        <v>1277879</v>
      </c>
      <c r="K3619" t="s">
        <v>1659</v>
      </c>
      <c r="L3619" t="s">
        <v>1659</v>
      </c>
      <c r="M3619" t="s">
        <v>937</v>
      </c>
      <c r="N3619" t="s">
        <v>1132</v>
      </c>
      <c r="O3619" t="s">
        <v>1132</v>
      </c>
      <c r="P3619" t="str">
        <f>IFERROR(VLOOKUP(F3619,Sheet1!$A$2:$B$54,2,FALSE),"")</f>
        <v/>
      </c>
    </row>
    <row r="3620" spans="1:16" x14ac:dyDescent="0.2">
      <c r="A3620" s="1">
        <v>2022</v>
      </c>
      <c r="B3620" t="s">
        <v>439</v>
      </c>
      <c r="C3620" s="10" t="s">
        <v>1678</v>
      </c>
      <c r="D3620" s="10" t="s">
        <v>1679</v>
      </c>
      <c r="E3620" s="10" t="s">
        <v>1682</v>
      </c>
      <c r="F3620" t="s">
        <v>937</v>
      </c>
      <c r="G3620" s="4">
        <v>1799667</v>
      </c>
      <c r="H3620" s="4"/>
      <c r="I3620" s="4"/>
      <c r="J3620" s="4">
        <f>SUM(G3620:I3620)</f>
        <v>1799667</v>
      </c>
      <c r="K3620" t="s">
        <v>1659</v>
      </c>
      <c r="L3620" t="s">
        <v>1659</v>
      </c>
      <c r="M3620" t="s">
        <v>937</v>
      </c>
      <c r="N3620" t="s">
        <v>1132</v>
      </c>
      <c r="O3620" t="s">
        <v>1132</v>
      </c>
      <c r="P3620" t="str">
        <f>IFERROR(VLOOKUP(F3620,Sheet1!$A$2:$B$54,2,FALSE),"")</f>
        <v/>
      </c>
    </row>
    <row r="3621" spans="1:16" x14ac:dyDescent="0.2">
      <c r="A3621" s="1">
        <v>2023</v>
      </c>
      <c r="B3621" t="s">
        <v>439</v>
      </c>
      <c r="C3621" s="10" t="s">
        <v>1678</v>
      </c>
      <c r="D3621" s="10" t="s">
        <v>1679</v>
      </c>
      <c r="E3621" s="10" t="s">
        <v>1682</v>
      </c>
      <c r="F3621" t="s">
        <v>937</v>
      </c>
      <c r="G3621" s="4">
        <v>2127484</v>
      </c>
      <c r="H3621" s="4"/>
      <c r="I3621" s="4"/>
      <c r="J3621" s="4">
        <f>SUM(G3621:I3621)</f>
        <v>2127484</v>
      </c>
      <c r="K3621" t="s">
        <v>1659</v>
      </c>
      <c r="L3621" t="s">
        <v>1659</v>
      </c>
      <c r="M3621" t="s">
        <v>937</v>
      </c>
      <c r="N3621" t="s">
        <v>1132</v>
      </c>
      <c r="O3621" t="s">
        <v>1132</v>
      </c>
      <c r="P3621" t="str">
        <f>IFERROR(VLOOKUP(F3621,Sheet1!$A$2:$B$54,2,FALSE),"")</f>
        <v/>
      </c>
    </row>
    <row r="3622" spans="1:16" x14ac:dyDescent="0.2">
      <c r="A3622" s="1">
        <v>2017</v>
      </c>
      <c r="B3622" t="s">
        <v>432</v>
      </c>
      <c r="C3622" s="10" t="s">
        <v>1678</v>
      </c>
      <c r="D3622" s="10" t="s">
        <v>1679</v>
      </c>
      <c r="E3622" s="10" t="s">
        <v>1682</v>
      </c>
      <c r="F3622" t="s">
        <v>930</v>
      </c>
      <c r="G3622" s="4">
        <v>1803235</v>
      </c>
      <c r="H3622" s="4">
        <v>21131669</v>
      </c>
      <c r="I3622" s="4">
        <v>32361</v>
      </c>
      <c r="J3622" s="4">
        <f>SUM(G3622:I3622)</f>
        <v>22967265</v>
      </c>
      <c r="K3622" t="s">
        <v>1660</v>
      </c>
      <c r="L3622" t="s">
        <v>1660</v>
      </c>
      <c r="M3622" t="s">
        <v>1547</v>
      </c>
      <c r="N3622" t="s">
        <v>1547</v>
      </c>
      <c r="O3622" t="s">
        <v>1547</v>
      </c>
      <c r="P3622">
        <f>IFERROR(VLOOKUP(F3622,Sheet1!$A$2:$B$54,2,FALSE),"")</f>
        <v>4901140</v>
      </c>
    </row>
    <row r="3623" spans="1:16" x14ac:dyDescent="0.2">
      <c r="A3623" s="1">
        <v>2018</v>
      </c>
      <c r="B3623" t="s">
        <v>432</v>
      </c>
      <c r="C3623" s="10" t="s">
        <v>1678</v>
      </c>
      <c r="D3623" s="10" t="s">
        <v>1679</v>
      </c>
      <c r="E3623" s="10" t="s">
        <v>1682</v>
      </c>
      <c r="F3623" t="s">
        <v>930</v>
      </c>
      <c r="G3623" s="4">
        <v>2344433</v>
      </c>
      <c r="H3623" s="4">
        <v>21968647</v>
      </c>
      <c r="I3623" s="4">
        <v>24389</v>
      </c>
      <c r="J3623" s="4">
        <f>SUM(G3623:I3623)</f>
        <v>24337469</v>
      </c>
      <c r="K3623" t="s">
        <v>1660</v>
      </c>
      <c r="L3623" t="s">
        <v>1660</v>
      </c>
      <c r="M3623" t="s">
        <v>1547</v>
      </c>
      <c r="N3623" t="s">
        <v>1547</v>
      </c>
      <c r="O3623" t="s">
        <v>1547</v>
      </c>
      <c r="P3623">
        <f>IFERROR(VLOOKUP(F3623,Sheet1!$A$2:$B$54,2,FALSE),"")</f>
        <v>4901140</v>
      </c>
    </row>
    <row r="3624" spans="1:16" x14ac:dyDescent="0.2">
      <c r="A3624" s="1">
        <v>2019</v>
      </c>
      <c r="B3624" t="s">
        <v>432</v>
      </c>
      <c r="C3624" s="10" t="s">
        <v>1678</v>
      </c>
      <c r="D3624" s="10" t="s">
        <v>1679</v>
      </c>
      <c r="E3624" s="10" t="s">
        <v>1682</v>
      </c>
      <c r="F3624" t="s">
        <v>930</v>
      </c>
      <c r="G3624" s="4">
        <v>2835081</v>
      </c>
      <c r="H3624" s="4">
        <v>22814742</v>
      </c>
      <c r="I3624" s="4">
        <v>25006</v>
      </c>
      <c r="J3624" s="4">
        <f>SUM(G3624:I3624)</f>
        <v>25674829</v>
      </c>
      <c r="K3624" t="s">
        <v>1660</v>
      </c>
      <c r="L3624" t="s">
        <v>1660</v>
      </c>
      <c r="M3624" t="s">
        <v>1547</v>
      </c>
      <c r="N3624" t="s">
        <v>1547</v>
      </c>
      <c r="O3624" t="s">
        <v>1547</v>
      </c>
      <c r="P3624">
        <f>IFERROR(VLOOKUP(F3624,Sheet1!$A$2:$B$54,2,FALSE),"")</f>
        <v>4901140</v>
      </c>
    </row>
    <row r="3625" spans="1:16" x14ac:dyDescent="0.2">
      <c r="A3625" s="1">
        <v>2020</v>
      </c>
      <c r="B3625" t="s">
        <v>432</v>
      </c>
      <c r="C3625" s="10" t="s">
        <v>1678</v>
      </c>
      <c r="D3625" s="10" t="s">
        <v>1679</v>
      </c>
      <c r="E3625" s="10" t="s">
        <v>1682</v>
      </c>
      <c r="F3625" t="s">
        <v>930</v>
      </c>
      <c r="G3625" s="4">
        <v>3467332</v>
      </c>
      <c r="H3625" s="4">
        <v>23880281</v>
      </c>
      <c r="I3625" s="4">
        <v>26013</v>
      </c>
      <c r="J3625" s="4">
        <f>SUM(G3625:I3625)</f>
        <v>27373626</v>
      </c>
      <c r="K3625" t="s">
        <v>1660</v>
      </c>
      <c r="L3625" t="s">
        <v>1660</v>
      </c>
      <c r="M3625" t="s">
        <v>1547</v>
      </c>
      <c r="N3625" t="s">
        <v>1547</v>
      </c>
      <c r="O3625" t="s">
        <v>1547</v>
      </c>
      <c r="P3625">
        <f>IFERROR(VLOOKUP(F3625,Sheet1!$A$2:$B$54,2,FALSE),"")</f>
        <v>4901140</v>
      </c>
    </row>
    <row r="3626" spans="1:16" x14ac:dyDescent="0.2">
      <c r="A3626" s="1">
        <v>2021</v>
      </c>
      <c r="B3626" t="s">
        <v>432</v>
      </c>
      <c r="C3626" s="10" t="s">
        <v>1678</v>
      </c>
      <c r="D3626" s="10" t="s">
        <v>1679</v>
      </c>
      <c r="E3626" s="10" t="s">
        <v>1682</v>
      </c>
      <c r="F3626" t="s">
        <v>930</v>
      </c>
      <c r="G3626" s="4">
        <v>4426736</v>
      </c>
      <c r="H3626" s="4">
        <v>25808436</v>
      </c>
      <c r="I3626" s="4">
        <v>27879</v>
      </c>
      <c r="J3626" s="4">
        <f>SUM(G3626:I3626)</f>
        <v>30263051</v>
      </c>
      <c r="K3626" t="s">
        <v>1660</v>
      </c>
      <c r="L3626" t="s">
        <v>1660</v>
      </c>
      <c r="M3626" t="s">
        <v>930</v>
      </c>
      <c r="N3626" t="s">
        <v>930</v>
      </c>
      <c r="O3626" t="s">
        <v>930</v>
      </c>
      <c r="P3626">
        <f>IFERROR(VLOOKUP(F3626,Sheet1!$A$2:$B$54,2,FALSE),"")</f>
        <v>4901140</v>
      </c>
    </row>
    <row r="3627" spans="1:16" x14ac:dyDescent="0.2">
      <c r="A3627" s="1">
        <v>2022</v>
      </c>
      <c r="B3627" t="s">
        <v>432</v>
      </c>
      <c r="C3627" s="10" t="s">
        <v>1678</v>
      </c>
      <c r="D3627" s="10" t="s">
        <v>1679</v>
      </c>
      <c r="E3627" s="10" t="s">
        <v>1682</v>
      </c>
      <c r="F3627" t="s">
        <v>930</v>
      </c>
      <c r="G3627" s="4">
        <v>5343134</v>
      </c>
      <c r="H3627" s="4">
        <v>27012329</v>
      </c>
      <c r="I3627" s="4">
        <v>29579</v>
      </c>
      <c r="J3627" s="4">
        <f>SUM(G3627:I3627)</f>
        <v>32385042</v>
      </c>
      <c r="K3627" t="s">
        <v>1660</v>
      </c>
      <c r="L3627" t="s">
        <v>1660</v>
      </c>
      <c r="M3627" t="s">
        <v>930</v>
      </c>
      <c r="N3627" t="s">
        <v>930</v>
      </c>
      <c r="O3627" t="s">
        <v>930</v>
      </c>
      <c r="P3627">
        <f>IFERROR(VLOOKUP(F3627,Sheet1!$A$2:$B$54,2,FALSE),"")</f>
        <v>4901140</v>
      </c>
    </row>
    <row r="3628" spans="1:16" x14ac:dyDescent="0.2">
      <c r="A3628" s="1">
        <v>2023</v>
      </c>
      <c r="B3628" t="s">
        <v>432</v>
      </c>
      <c r="C3628" s="10" t="s">
        <v>1678</v>
      </c>
      <c r="D3628" s="10" t="s">
        <v>1679</v>
      </c>
      <c r="E3628" s="10" t="s">
        <v>1682</v>
      </c>
      <c r="F3628" t="s">
        <v>930</v>
      </c>
      <c r="G3628" s="4">
        <v>6610714</v>
      </c>
      <c r="H3628" s="4">
        <v>29518936</v>
      </c>
      <c r="I3628" s="4">
        <v>32686</v>
      </c>
      <c r="J3628" s="4">
        <f>SUM(G3628:I3628)</f>
        <v>36162336</v>
      </c>
      <c r="K3628" t="s">
        <v>1660</v>
      </c>
      <c r="L3628" t="s">
        <v>1660</v>
      </c>
      <c r="M3628" t="s">
        <v>930</v>
      </c>
      <c r="N3628" t="s">
        <v>930</v>
      </c>
      <c r="O3628" t="s">
        <v>930</v>
      </c>
      <c r="P3628">
        <f>IFERROR(VLOOKUP(F3628,Sheet1!$A$2:$B$54,2,FALSE),"")</f>
        <v>4901140</v>
      </c>
    </row>
    <row r="3629" spans="1:16" x14ac:dyDescent="0.2">
      <c r="A3629" s="1">
        <v>2015</v>
      </c>
      <c r="B3629" t="s">
        <v>435</v>
      </c>
      <c r="C3629" s="10" t="s">
        <v>1678</v>
      </c>
      <c r="D3629" s="10" t="s">
        <v>1679</v>
      </c>
      <c r="E3629" s="10" t="s">
        <v>1682</v>
      </c>
      <c r="F3629" t="s">
        <v>933</v>
      </c>
      <c r="G3629" s="4">
        <v>29219</v>
      </c>
      <c r="H3629" s="4">
        <v>522581</v>
      </c>
      <c r="I3629" s="4"/>
      <c r="J3629" s="4">
        <f>SUM(G3629:I3629)</f>
        <v>551800</v>
      </c>
      <c r="K3629" t="s">
        <v>1660</v>
      </c>
      <c r="L3629" t="s">
        <v>1659</v>
      </c>
      <c r="M3629" t="s">
        <v>1551</v>
      </c>
      <c r="N3629" t="s">
        <v>1551</v>
      </c>
      <c r="O3629" t="s">
        <v>1132</v>
      </c>
      <c r="P3629">
        <f>IFERROR(VLOOKUP(F3629,Sheet1!$A$2:$B$54,2,FALSE),"")</f>
        <v>4901170</v>
      </c>
    </row>
    <row r="3630" spans="1:16" x14ac:dyDescent="0.2">
      <c r="A3630" s="1">
        <v>2016</v>
      </c>
      <c r="B3630" t="s">
        <v>435</v>
      </c>
      <c r="C3630" s="10" t="s">
        <v>1678</v>
      </c>
      <c r="D3630" s="10" t="s">
        <v>1679</v>
      </c>
      <c r="E3630" s="10" t="s">
        <v>1682</v>
      </c>
      <c r="F3630" t="s">
        <v>933</v>
      </c>
      <c r="G3630" s="4">
        <v>32619</v>
      </c>
      <c r="H3630" s="4">
        <v>486129</v>
      </c>
      <c r="I3630" s="4"/>
      <c r="J3630" s="4">
        <f>SUM(G3630:I3630)</f>
        <v>518748</v>
      </c>
      <c r="K3630" t="s">
        <v>1660</v>
      </c>
      <c r="L3630" t="s">
        <v>1659</v>
      </c>
      <c r="M3630" t="s">
        <v>1551</v>
      </c>
      <c r="N3630" t="s">
        <v>1551</v>
      </c>
      <c r="O3630" t="s">
        <v>1132</v>
      </c>
      <c r="P3630">
        <f>IFERROR(VLOOKUP(F3630,Sheet1!$A$2:$B$54,2,FALSE),"")</f>
        <v>4901170</v>
      </c>
    </row>
    <row r="3631" spans="1:16" x14ac:dyDescent="0.2">
      <c r="A3631" s="1">
        <v>2015</v>
      </c>
      <c r="B3631" t="s">
        <v>441</v>
      </c>
      <c r="C3631" s="10" t="s">
        <v>1678</v>
      </c>
      <c r="D3631" s="10" t="s">
        <v>1679</v>
      </c>
      <c r="E3631" s="10" t="s">
        <v>1682</v>
      </c>
      <c r="F3631" t="s">
        <v>939</v>
      </c>
      <c r="G3631" s="4">
        <v>186176</v>
      </c>
      <c r="H3631" s="4"/>
      <c r="I3631" s="4"/>
      <c r="J3631" s="4">
        <f>SUM(G3631:I3631)</f>
        <v>186176</v>
      </c>
      <c r="K3631" t="s">
        <v>1659</v>
      </c>
      <c r="L3631" t="s">
        <v>1659</v>
      </c>
      <c r="M3631" t="s">
        <v>1558</v>
      </c>
      <c r="N3631" t="s">
        <v>1132</v>
      </c>
      <c r="O3631" t="s">
        <v>1132</v>
      </c>
      <c r="P3631" t="str">
        <f>IFERROR(VLOOKUP(F3631,Sheet1!$A$2:$B$54,2,FALSE),"")</f>
        <v/>
      </c>
    </row>
    <row r="3632" spans="1:16" x14ac:dyDescent="0.2">
      <c r="A3632" s="1">
        <v>2016</v>
      </c>
      <c r="B3632" t="s">
        <v>441</v>
      </c>
      <c r="C3632" s="10" t="s">
        <v>1678</v>
      </c>
      <c r="D3632" s="10" t="s">
        <v>1679</v>
      </c>
      <c r="E3632" s="10" t="s">
        <v>1682</v>
      </c>
      <c r="F3632" t="s">
        <v>939</v>
      </c>
      <c r="G3632" s="4">
        <v>266390</v>
      </c>
      <c r="H3632" s="4"/>
      <c r="I3632" s="4"/>
      <c r="J3632" s="4">
        <f>SUM(G3632:I3632)</f>
        <v>266390</v>
      </c>
      <c r="K3632" t="s">
        <v>1659</v>
      </c>
      <c r="L3632" t="s">
        <v>1659</v>
      </c>
      <c r="M3632" t="s">
        <v>1558</v>
      </c>
      <c r="N3632" t="s">
        <v>1132</v>
      </c>
      <c r="O3632" t="s">
        <v>1132</v>
      </c>
      <c r="P3632" t="str">
        <f>IFERROR(VLOOKUP(F3632,Sheet1!$A$2:$B$54,2,FALSE),"")</f>
        <v/>
      </c>
    </row>
    <row r="3633" spans="1:16" x14ac:dyDescent="0.2">
      <c r="A3633" s="1">
        <v>2017</v>
      </c>
      <c r="B3633" t="s">
        <v>441</v>
      </c>
      <c r="C3633" s="10" t="s">
        <v>1678</v>
      </c>
      <c r="D3633" s="10" t="s">
        <v>1679</v>
      </c>
      <c r="E3633" s="10" t="s">
        <v>1682</v>
      </c>
      <c r="F3633" t="s">
        <v>939</v>
      </c>
      <c r="G3633" s="4">
        <v>288690</v>
      </c>
      <c r="H3633" s="4"/>
      <c r="I3633" s="4"/>
      <c r="J3633" s="4">
        <f>SUM(G3633:I3633)</f>
        <v>288690</v>
      </c>
      <c r="K3633" t="s">
        <v>1659</v>
      </c>
      <c r="L3633" t="s">
        <v>1659</v>
      </c>
      <c r="M3633" t="s">
        <v>1558</v>
      </c>
      <c r="N3633" t="s">
        <v>1132</v>
      </c>
      <c r="O3633" t="s">
        <v>1132</v>
      </c>
      <c r="P3633" t="str">
        <f>IFERROR(VLOOKUP(F3633,Sheet1!$A$2:$B$54,2,FALSE),"")</f>
        <v/>
      </c>
    </row>
    <row r="3634" spans="1:16" x14ac:dyDescent="0.2">
      <c r="A3634" s="1">
        <v>2018</v>
      </c>
      <c r="B3634" t="s">
        <v>441</v>
      </c>
      <c r="C3634" s="10" t="s">
        <v>1678</v>
      </c>
      <c r="D3634" s="10" t="s">
        <v>1679</v>
      </c>
      <c r="E3634" s="10" t="s">
        <v>1682</v>
      </c>
      <c r="F3634" t="s">
        <v>939</v>
      </c>
      <c r="G3634" s="4">
        <v>348842</v>
      </c>
      <c r="H3634" s="4"/>
      <c r="I3634" s="4"/>
      <c r="J3634" s="4">
        <f>SUM(G3634:I3634)</f>
        <v>348842</v>
      </c>
      <c r="K3634" t="s">
        <v>1659</v>
      </c>
      <c r="L3634" t="s">
        <v>1659</v>
      </c>
      <c r="M3634" t="s">
        <v>1558</v>
      </c>
      <c r="N3634" t="s">
        <v>1132</v>
      </c>
      <c r="O3634" t="s">
        <v>1132</v>
      </c>
      <c r="P3634" t="str">
        <f>IFERROR(VLOOKUP(F3634,Sheet1!$A$2:$B$54,2,FALSE),"")</f>
        <v/>
      </c>
    </row>
    <row r="3635" spans="1:16" x14ac:dyDescent="0.2">
      <c r="A3635" s="1">
        <v>2019</v>
      </c>
      <c r="B3635" t="s">
        <v>441</v>
      </c>
      <c r="C3635" s="10" t="s">
        <v>1678</v>
      </c>
      <c r="D3635" s="10" t="s">
        <v>1679</v>
      </c>
      <c r="E3635" s="10" t="s">
        <v>1682</v>
      </c>
      <c r="F3635" t="s">
        <v>939</v>
      </c>
      <c r="G3635" s="4">
        <v>465858</v>
      </c>
      <c r="H3635" s="4"/>
      <c r="I3635" s="4"/>
      <c r="J3635" s="4">
        <f>SUM(G3635:I3635)</f>
        <v>465858</v>
      </c>
      <c r="K3635" t="s">
        <v>1659</v>
      </c>
      <c r="L3635" t="s">
        <v>1659</v>
      </c>
      <c r="M3635" t="s">
        <v>1558</v>
      </c>
      <c r="N3635" t="s">
        <v>1132</v>
      </c>
      <c r="O3635" t="s">
        <v>1132</v>
      </c>
      <c r="P3635" t="str">
        <f>IFERROR(VLOOKUP(F3635,Sheet1!$A$2:$B$54,2,FALSE),"")</f>
        <v/>
      </c>
    </row>
    <row r="3636" spans="1:16" x14ac:dyDescent="0.2">
      <c r="A3636" s="1">
        <v>2020</v>
      </c>
      <c r="B3636" t="s">
        <v>441</v>
      </c>
      <c r="C3636" s="10" t="s">
        <v>1678</v>
      </c>
      <c r="D3636" s="10" t="s">
        <v>1679</v>
      </c>
      <c r="E3636" s="10" t="s">
        <v>1682</v>
      </c>
      <c r="F3636" t="s">
        <v>939</v>
      </c>
      <c r="G3636" s="4">
        <v>530554</v>
      </c>
      <c r="H3636" s="4"/>
      <c r="I3636" s="4"/>
      <c r="J3636" s="4">
        <f>SUM(G3636:I3636)</f>
        <v>530554</v>
      </c>
      <c r="K3636" t="s">
        <v>1659</v>
      </c>
      <c r="L3636" t="s">
        <v>1659</v>
      </c>
      <c r="M3636" t="s">
        <v>1558</v>
      </c>
      <c r="N3636" t="s">
        <v>1132</v>
      </c>
      <c r="O3636" t="s">
        <v>1132</v>
      </c>
      <c r="P3636" t="str">
        <f>IFERROR(VLOOKUP(F3636,Sheet1!$A$2:$B$54,2,FALSE),"")</f>
        <v/>
      </c>
    </row>
    <row r="3637" spans="1:16" x14ac:dyDescent="0.2">
      <c r="A3637" s="1">
        <v>2021</v>
      </c>
      <c r="B3637" t="s">
        <v>441</v>
      </c>
      <c r="C3637" s="10" t="s">
        <v>1678</v>
      </c>
      <c r="D3637" s="10" t="s">
        <v>1679</v>
      </c>
      <c r="E3637" s="10" t="s">
        <v>1682</v>
      </c>
      <c r="F3637" t="s">
        <v>939</v>
      </c>
      <c r="G3637" s="4">
        <v>588103</v>
      </c>
      <c r="H3637" s="4"/>
      <c r="I3637" s="4"/>
      <c r="J3637" s="4">
        <f>SUM(G3637:I3637)</f>
        <v>588103</v>
      </c>
      <c r="K3637" t="s">
        <v>1659</v>
      </c>
      <c r="L3637" t="s">
        <v>1659</v>
      </c>
      <c r="M3637" t="s">
        <v>939</v>
      </c>
      <c r="N3637" t="s">
        <v>1132</v>
      </c>
      <c r="O3637" t="s">
        <v>1132</v>
      </c>
      <c r="P3637" t="str">
        <f>IFERROR(VLOOKUP(F3637,Sheet1!$A$2:$B$54,2,FALSE),"")</f>
        <v/>
      </c>
    </row>
    <row r="3638" spans="1:16" x14ac:dyDescent="0.2">
      <c r="A3638" s="1">
        <v>2022</v>
      </c>
      <c r="B3638" t="s">
        <v>441</v>
      </c>
      <c r="C3638" s="10" t="s">
        <v>1678</v>
      </c>
      <c r="D3638" s="10" t="s">
        <v>1679</v>
      </c>
      <c r="E3638" s="10" t="s">
        <v>1682</v>
      </c>
      <c r="F3638" t="s">
        <v>939</v>
      </c>
      <c r="G3638" s="4">
        <v>657704</v>
      </c>
      <c r="H3638" s="4"/>
      <c r="I3638" s="4"/>
      <c r="J3638" s="4">
        <f>SUM(G3638:I3638)</f>
        <v>657704</v>
      </c>
      <c r="K3638" t="s">
        <v>1659</v>
      </c>
      <c r="L3638" t="s">
        <v>1659</v>
      </c>
      <c r="M3638" t="s">
        <v>939</v>
      </c>
      <c r="N3638" t="s">
        <v>1132</v>
      </c>
      <c r="O3638" t="s">
        <v>1132</v>
      </c>
      <c r="P3638" t="str">
        <f>IFERROR(VLOOKUP(F3638,Sheet1!$A$2:$B$54,2,FALSE),"")</f>
        <v/>
      </c>
    </row>
    <row r="3639" spans="1:16" x14ac:dyDescent="0.2">
      <c r="A3639" s="1">
        <v>2023</v>
      </c>
      <c r="B3639" t="s">
        <v>441</v>
      </c>
      <c r="C3639" s="10" t="s">
        <v>1678</v>
      </c>
      <c r="D3639" s="10" t="s">
        <v>1679</v>
      </c>
      <c r="E3639" s="10" t="s">
        <v>1682</v>
      </c>
      <c r="F3639" t="s">
        <v>939</v>
      </c>
      <c r="G3639" s="4">
        <v>748740</v>
      </c>
      <c r="H3639" s="4"/>
      <c r="I3639" s="4"/>
      <c r="J3639" s="4">
        <f>SUM(G3639:I3639)</f>
        <v>748740</v>
      </c>
      <c r="K3639" t="s">
        <v>1659</v>
      </c>
      <c r="L3639" t="s">
        <v>1659</v>
      </c>
      <c r="M3639" t="s">
        <v>939</v>
      </c>
      <c r="N3639" t="s">
        <v>1132</v>
      </c>
      <c r="O3639" t="s">
        <v>1132</v>
      </c>
      <c r="P3639" t="str">
        <f>IFERROR(VLOOKUP(F3639,Sheet1!$A$2:$B$54,2,FALSE),"")</f>
        <v/>
      </c>
    </row>
    <row r="3640" spans="1:16" x14ac:dyDescent="0.2">
      <c r="A3640" s="1">
        <v>2015</v>
      </c>
      <c r="B3640" t="s">
        <v>442</v>
      </c>
      <c r="C3640" s="10" t="s">
        <v>1678</v>
      </c>
      <c r="D3640" s="10" t="s">
        <v>1679</v>
      </c>
      <c r="E3640" s="10" t="s">
        <v>1682</v>
      </c>
      <c r="F3640" t="s">
        <v>940</v>
      </c>
      <c r="G3640" s="4">
        <v>246363</v>
      </c>
      <c r="H3640" s="4">
        <v>3617472</v>
      </c>
      <c r="I3640" s="4">
        <v>79949</v>
      </c>
      <c r="J3640" s="4">
        <f>SUM(G3640:I3640)</f>
        <v>3943784</v>
      </c>
      <c r="K3640" t="s">
        <v>1660</v>
      </c>
      <c r="L3640" t="s">
        <v>1660</v>
      </c>
      <c r="M3640" t="s">
        <v>1559</v>
      </c>
      <c r="N3640" t="s">
        <v>1559</v>
      </c>
      <c r="O3640" t="s">
        <v>1559</v>
      </c>
      <c r="P3640" t="str">
        <f>IFERROR(VLOOKUP(F3640,Sheet1!$A$2:$B$54,2,FALSE),"")</f>
        <v/>
      </c>
    </row>
    <row r="3641" spans="1:16" x14ac:dyDescent="0.2">
      <c r="A3641" s="1">
        <v>2016</v>
      </c>
      <c r="B3641" t="s">
        <v>442</v>
      </c>
      <c r="C3641" s="10" t="s">
        <v>1678</v>
      </c>
      <c r="D3641" s="10" t="s">
        <v>1679</v>
      </c>
      <c r="E3641" s="10" t="s">
        <v>1682</v>
      </c>
      <c r="F3641" t="s">
        <v>940</v>
      </c>
      <c r="G3641" s="4">
        <v>257107</v>
      </c>
      <c r="H3641" s="4">
        <v>3556734</v>
      </c>
      <c r="I3641" s="4">
        <v>85476</v>
      </c>
      <c r="J3641" s="4">
        <f>SUM(G3641:I3641)</f>
        <v>3899317</v>
      </c>
      <c r="K3641" t="s">
        <v>1660</v>
      </c>
      <c r="L3641" t="s">
        <v>1660</v>
      </c>
      <c r="M3641" t="s">
        <v>1559</v>
      </c>
      <c r="N3641" t="s">
        <v>1559</v>
      </c>
      <c r="O3641" t="s">
        <v>1559</v>
      </c>
      <c r="P3641" t="str">
        <f>IFERROR(VLOOKUP(F3641,Sheet1!$A$2:$B$54,2,FALSE),"")</f>
        <v/>
      </c>
    </row>
    <row r="3642" spans="1:16" x14ac:dyDescent="0.2">
      <c r="A3642" s="1">
        <v>2017</v>
      </c>
      <c r="B3642" t="s">
        <v>442</v>
      </c>
      <c r="C3642" s="10" t="s">
        <v>1678</v>
      </c>
      <c r="D3642" s="10" t="s">
        <v>1679</v>
      </c>
      <c r="E3642" s="10" t="s">
        <v>1682</v>
      </c>
      <c r="F3642" t="s">
        <v>940</v>
      </c>
      <c r="G3642" s="4">
        <v>259670</v>
      </c>
      <c r="H3642" s="4">
        <v>3544939</v>
      </c>
      <c r="I3642" s="4">
        <v>85323</v>
      </c>
      <c r="J3642" s="4">
        <f>SUM(G3642:I3642)</f>
        <v>3889932</v>
      </c>
      <c r="K3642" t="s">
        <v>1660</v>
      </c>
      <c r="L3642" t="s">
        <v>1660</v>
      </c>
      <c r="M3642" t="s">
        <v>1559</v>
      </c>
      <c r="N3642" t="s">
        <v>1559</v>
      </c>
      <c r="O3642" t="s">
        <v>1559</v>
      </c>
      <c r="P3642" t="str">
        <f>IFERROR(VLOOKUP(F3642,Sheet1!$A$2:$B$54,2,FALSE),"")</f>
        <v/>
      </c>
    </row>
    <row r="3643" spans="1:16" x14ac:dyDescent="0.2">
      <c r="A3643" s="1">
        <v>2018</v>
      </c>
      <c r="B3643" t="s">
        <v>442</v>
      </c>
      <c r="C3643" s="10" t="s">
        <v>1678</v>
      </c>
      <c r="D3643" s="10" t="s">
        <v>1679</v>
      </c>
      <c r="E3643" s="10" t="s">
        <v>1682</v>
      </c>
      <c r="F3643" t="s">
        <v>940</v>
      </c>
      <c r="G3643" s="4">
        <v>276943</v>
      </c>
      <c r="H3643" s="4">
        <v>3518797</v>
      </c>
      <c r="I3643" s="4">
        <v>72211</v>
      </c>
      <c r="J3643" s="4">
        <f>SUM(G3643:I3643)</f>
        <v>3867951</v>
      </c>
      <c r="K3643" t="s">
        <v>1660</v>
      </c>
      <c r="L3643" t="s">
        <v>1660</v>
      </c>
      <c r="M3643" t="s">
        <v>1559</v>
      </c>
      <c r="N3643" t="s">
        <v>1559</v>
      </c>
      <c r="O3643" t="s">
        <v>1559</v>
      </c>
      <c r="P3643" t="str">
        <f>IFERROR(VLOOKUP(F3643,Sheet1!$A$2:$B$54,2,FALSE),"")</f>
        <v/>
      </c>
    </row>
    <row r="3644" spans="1:16" x14ac:dyDescent="0.2">
      <c r="A3644" s="1">
        <v>2019</v>
      </c>
      <c r="B3644" t="s">
        <v>442</v>
      </c>
      <c r="C3644" s="10" t="s">
        <v>1678</v>
      </c>
      <c r="D3644" s="10" t="s">
        <v>1679</v>
      </c>
      <c r="E3644" s="10" t="s">
        <v>1682</v>
      </c>
      <c r="F3644" t="s">
        <v>940</v>
      </c>
      <c r="G3644" s="4">
        <v>288787</v>
      </c>
      <c r="H3644" s="4"/>
      <c r="I3644" s="4"/>
      <c r="J3644" s="4">
        <f>SUM(G3644:I3644)</f>
        <v>288787</v>
      </c>
      <c r="K3644" t="s">
        <v>1659</v>
      </c>
      <c r="L3644" t="s">
        <v>1659</v>
      </c>
      <c r="M3644" t="s">
        <v>1559</v>
      </c>
      <c r="N3644" t="s">
        <v>1132</v>
      </c>
      <c r="O3644" t="s">
        <v>1132</v>
      </c>
      <c r="P3644" t="str">
        <f>IFERROR(VLOOKUP(F3644,Sheet1!$A$2:$B$54,2,FALSE),"")</f>
        <v/>
      </c>
    </row>
    <row r="3645" spans="1:16" x14ac:dyDescent="0.2">
      <c r="A3645" s="1">
        <v>2020</v>
      </c>
      <c r="B3645" t="s">
        <v>442</v>
      </c>
      <c r="C3645" s="10" t="s">
        <v>1678</v>
      </c>
      <c r="D3645" s="10" t="s">
        <v>1679</v>
      </c>
      <c r="E3645" s="10" t="s">
        <v>1682</v>
      </c>
      <c r="F3645" t="s">
        <v>940</v>
      </c>
      <c r="G3645" s="4">
        <v>306374</v>
      </c>
      <c r="H3645" s="4"/>
      <c r="I3645" s="4"/>
      <c r="J3645" s="4">
        <f>SUM(G3645:I3645)</f>
        <v>306374</v>
      </c>
      <c r="K3645" t="s">
        <v>1659</v>
      </c>
      <c r="L3645" t="s">
        <v>1659</v>
      </c>
      <c r="M3645" t="s">
        <v>1559</v>
      </c>
      <c r="N3645" t="s">
        <v>1132</v>
      </c>
      <c r="O3645" t="s">
        <v>1132</v>
      </c>
      <c r="P3645" t="str">
        <f>IFERROR(VLOOKUP(F3645,Sheet1!$A$2:$B$54,2,FALSE),"")</f>
        <v/>
      </c>
    </row>
    <row r="3646" spans="1:16" x14ac:dyDescent="0.2">
      <c r="A3646" s="1">
        <v>2021</v>
      </c>
      <c r="B3646" t="s">
        <v>442</v>
      </c>
      <c r="C3646" s="10" t="s">
        <v>1678</v>
      </c>
      <c r="D3646" s="10" t="s">
        <v>1679</v>
      </c>
      <c r="E3646" s="10" t="s">
        <v>1682</v>
      </c>
      <c r="F3646" t="s">
        <v>940</v>
      </c>
      <c r="G3646" s="4">
        <v>350564</v>
      </c>
      <c r="H3646" s="4"/>
      <c r="I3646" s="4"/>
      <c r="J3646" s="4">
        <f>SUM(G3646:I3646)</f>
        <v>350564</v>
      </c>
      <c r="K3646" t="s">
        <v>1659</v>
      </c>
      <c r="L3646" t="s">
        <v>1659</v>
      </c>
      <c r="M3646" t="s">
        <v>940</v>
      </c>
      <c r="N3646" t="s">
        <v>1132</v>
      </c>
      <c r="O3646" t="s">
        <v>1132</v>
      </c>
      <c r="P3646" t="str">
        <f>IFERROR(VLOOKUP(F3646,Sheet1!$A$2:$B$54,2,FALSE),"")</f>
        <v/>
      </c>
    </row>
    <row r="3647" spans="1:16" x14ac:dyDescent="0.2">
      <c r="A3647" s="1">
        <v>2022</v>
      </c>
      <c r="B3647" t="s">
        <v>442</v>
      </c>
      <c r="C3647" s="10" t="s">
        <v>1678</v>
      </c>
      <c r="D3647" s="10" t="s">
        <v>1679</v>
      </c>
      <c r="E3647" s="10" t="s">
        <v>1682</v>
      </c>
      <c r="F3647" t="s">
        <v>940</v>
      </c>
      <c r="G3647" s="4">
        <v>419870</v>
      </c>
      <c r="H3647" s="4"/>
      <c r="I3647" s="4"/>
      <c r="J3647" s="4">
        <f>SUM(G3647:I3647)</f>
        <v>419870</v>
      </c>
      <c r="K3647" t="s">
        <v>1659</v>
      </c>
      <c r="L3647" t="s">
        <v>1659</v>
      </c>
      <c r="M3647" t="s">
        <v>940</v>
      </c>
      <c r="N3647" t="s">
        <v>1132</v>
      </c>
      <c r="O3647" t="s">
        <v>1132</v>
      </c>
      <c r="P3647" t="str">
        <f>IFERROR(VLOOKUP(F3647,Sheet1!$A$2:$B$54,2,FALSE),"")</f>
        <v/>
      </c>
    </row>
    <row r="3648" spans="1:16" x14ac:dyDescent="0.2">
      <c r="A3648" s="1">
        <v>2023</v>
      </c>
      <c r="B3648" t="s">
        <v>442</v>
      </c>
      <c r="C3648" s="10" t="s">
        <v>1678</v>
      </c>
      <c r="D3648" s="10" t="s">
        <v>1679</v>
      </c>
      <c r="E3648" s="10" t="s">
        <v>1682</v>
      </c>
      <c r="F3648" t="s">
        <v>940</v>
      </c>
      <c r="G3648" s="4">
        <v>483506</v>
      </c>
      <c r="H3648" s="4"/>
      <c r="I3648" s="4"/>
      <c r="J3648" s="4">
        <f>SUM(G3648:I3648)</f>
        <v>483506</v>
      </c>
      <c r="K3648" t="s">
        <v>1659</v>
      </c>
      <c r="L3648" t="s">
        <v>1659</v>
      </c>
      <c r="M3648" t="s">
        <v>940</v>
      </c>
      <c r="N3648" t="s">
        <v>1132</v>
      </c>
      <c r="O3648" t="s">
        <v>1132</v>
      </c>
      <c r="P3648" t="str">
        <f>IFERROR(VLOOKUP(F3648,Sheet1!$A$2:$B$54,2,FALSE),"")</f>
        <v/>
      </c>
    </row>
    <row r="3649" spans="1:16" x14ac:dyDescent="0.2">
      <c r="A3649" s="1">
        <v>2015</v>
      </c>
      <c r="B3649" t="s">
        <v>443</v>
      </c>
      <c r="C3649" s="10" t="s">
        <v>1678</v>
      </c>
      <c r="D3649" s="10" t="s">
        <v>1679</v>
      </c>
      <c r="E3649" s="10" t="s">
        <v>1682</v>
      </c>
      <c r="F3649" t="s">
        <v>941</v>
      </c>
      <c r="G3649" s="4">
        <v>6085</v>
      </c>
      <c r="H3649" s="4"/>
      <c r="I3649" s="4"/>
      <c r="J3649" s="4">
        <f>SUM(G3649:I3649)</f>
        <v>6085</v>
      </c>
      <c r="K3649" t="s">
        <v>1659</v>
      </c>
      <c r="L3649" t="s">
        <v>1659</v>
      </c>
      <c r="M3649" t="s">
        <v>1560</v>
      </c>
      <c r="N3649" t="s">
        <v>1132</v>
      </c>
      <c r="O3649" t="s">
        <v>1132</v>
      </c>
      <c r="P3649" t="str">
        <f>IFERROR(VLOOKUP(F3649,Sheet1!$A$2:$B$54,2,FALSE),"")</f>
        <v/>
      </c>
    </row>
    <row r="3650" spans="1:16" x14ac:dyDescent="0.2">
      <c r="A3650" s="1">
        <v>2016</v>
      </c>
      <c r="B3650" t="s">
        <v>443</v>
      </c>
      <c r="C3650" s="10" t="s">
        <v>1678</v>
      </c>
      <c r="D3650" s="10" t="s">
        <v>1679</v>
      </c>
      <c r="E3650" s="10" t="s">
        <v>1682</v>
      </c>
      <c r="F3650" t="s">
        <v>941</v>
      </c>
      <c r="G3650" s="4">
        <v>6202</v>
      </c>
      <c r="H3650" s="4"/>
      <c r="I3650" s="4"/>
      <c r="J3650" s="4">
        <f>SUM(G3650:I3650)</f>
        <v>6202</v>
      </c>
      <c r="K3650" t="s">
        <v>1659</v>
      </c>
      <c r="L3650" t="s">
        <v>1659</v>
      </c>
      <c r="M3650" t="s">
        <v>1560</v>
      </c>
      <c r="N3650" t="s">
        <v>1132</v>
      </c>
      <c r="O3650" t="s">
        <v>1132</v>
      </c>
      <c r="P3650" t="str">
        <f>IFERROR(VLOOKUP(F3650,Sheet1!$A$2:$B$54,2,FALSE),"")</f>
        <v/>
      </c>
    </row>
    <row r="3651" spans="1:16" x14ac:dyDescent="0.2">
      <c r="A3651" s="1">
        <v>2017</v>
      </c>
      <c r="B3651" t="s">
        <v>443</v>
      </c>
      <c r="C3651" s="10" t="s">
        <v>1678</v>
      </c>
      <c r="D3651" s="10" t="s">
        <v>1679</v>
      </c>
      <c r="E3651" s="10" t="s">
        <v>1682</v>
      </c>
      <c r="F3651" t="s">
        <v>941</v>
      </c>
      <c r="G3651" s="4">
        <v>6286</v>
      </c>
      <c r="H3651" s="4"/>
      <c r="I3651" s="4"/>
      <c r="J3651" s="4">
        <f>SUM(G3651:I3651)</f>
        <v>6286</v>
      </c>
      <c r="K3651" t="s">
        <v>1659</v>
      </c>
      <c r="L3651" t="s">
        <v>1659</v>
      </c>
      <c r="M3651" t="s">
        <v>1560</v>
      </c>
      <c r="N3651" t="s">
        <v>1132</v>
      </c>
      <c r="O3651" t="s">
        <v>1132</v>
      </c>
      <c r="P3651" t="str">
        <f>IFERROR(VLOOKUP(F3651,Sheet1!$A$2:$B$54,2,FALSE),"")</f>
        <v/>
      </c>
    </row>
    <row r="3652" spans="1:16" x14ac:dyDescent="0.2">
      <c r="A3652" s="1">
        <v>2018</v>
      </c>
      <c r="B3652" t="s">
        <v>443</v>
      </c>
      <c r="C3652" s="10" t="s">
        <v>1678</v>
      </c>
      <c r="D3652" s="10" t="s">
        <v>1679</v>
      </c>
      <c r="E3652" s="10" t="s">
        <v>1682</v>
      </c>
      <c r="F3652" t="s">
        <v>941</v>
      </c>
      <c r="G3652" s="4">
        <v>6729</v>
      </c>
      <c r="H3652" s="4"/>
      <c r="I3652" s="4"/>
      <c r="J3652" s="4">
        <f>SUM(G3652:I3652)</f>
        <v>6729</v>
      </c>
      <c r="K3652" t="s">
        <v>1659</v>
      </c>
      <c r="L3652" t="s">
        <v>1659</v>
      </c>
      <c r="M3652" t="s">
        <v>1560</v>
      </c>
      <c r="N3652" t="s">
        <v>1132</v>
      </c>
      <c r="O3652" t="s">
        <v>1132</v>
      </c>
      <c r="P3652" t="str">
        <f>IFERROR(VLOOKUP(F3652,Sheet1!$A$2:$B$54,2,FALSE),"")</f>
        <v/>
      </c>
    </row>
    <row r="3653" spans="1:16" x14ac:dyDescent="0.2">
      <c r="A3653" s="1">
        <v>2019</v>
      </c>
      <c r="B3653" t="s">
        <v>443</v>
      </c>
      <c r="C3653" s="10" t="s">
        <v>1678</v>
      </c>
      <c r="D3653" s="10" t="s">
        <v>1679</v>
      </c>
      <c r="E3653" s="10" t="s">
        <v>1682</v>
      </c>
      <c r="F3653" t="s">
        <v>941</v>
      </c>
      <c r="G3653" s="4">
        <v>7206</v>
      </c>
      <c r="H3653" s="4"/>
      <c r="I3653" s="4"/>
      <c r="J3653" s="4">
        <f>SUM(G3653:I3653)</f>
        <v>7206</v>
      </c>
      <c r="K3653" t="s">
        <v>1659</v>
      </c>
      <c r="L3653" t="s">
        <v>1659</v>
      </c>
      <c r="M3653" t="s">
        <v>1560</v>
      </c>
      <c r="N3653" t="s">
        <v>1132</v>
      </c>
      <c r="O3653" t="s">
        <v>1132</v>
      </c>
      <c r="P3653" t="str">
        <f>IFERROR(VLOOKUP(F3653,Sheet1!$A$2:$B$54,2,FALSE),"")</f>
        <v/>
      </c>
    </row>
    <row r="3654" spans="1:16" x14ac:dyDescent="0.2">
      <c r="A3654" s="1">
        <v>2020</v>
      </c>
      <c r="B3654" t="s">
        <v>443</v>
      </c>
      <c r="C3654" s="10" t="s">
        <v>1678</v>
      </c>
      <c r="D3654" s="10" t="s">
        <v>1679</v>
      </c>
      <c r="E3654" s="10" t="s">
        <v>1682</v>
      </c>
      <c r="F3654" t="s">
        <v>941</v>
      </c>
      <c r="G3654" s="4">
        <v>7323</v>
      </c>
      <c r="H3654" s="4"/>
      <c r="I3654" s="4"/>
      <c r="J3654" s="4">
        <f>SUM(G3654:I3654)</f>
        <v>7323</v>
      </c>
      <c r="K3654" t="s">
        <v>1659</v>
      </c>
      <c r="L3654" t="s">
        <v>1659</v>
      </c>
      <c r="M3654" t="s">
        <v>1560</v>
      </c>
      <c r="N3654" t="s">
        <v>1132</v>
      </c>
      <c r="O3654" t="s">
        <v>1132</v>
      </c>
      <c r="P3654" t="str">
        <f>IFERROR(VLOOKUP(F3654,Sheet1!$A$2:$B$54,2,FALSE),"")</f>
        <v/>
      </c>
    </row>
    <row r="3655" spans="1:16" x14ac:dyDescent="0.2">
      <c r="A3655" s="1">
        <v>2021</v>
      </c>
      <c r="B3655" t="s">
        <v>443</v>
      </c>
      <c r="C3655" s="10" t="s">
        <v>1678</v>
      </c>
      <c r="D3655" s="10" t="s">
        <v>1679</v>
      </c>
      <c r="E3655" s="10" t="s">
        <v>1682</v>
      </c>
      <c r="F3655" t="s">
        <v>941</v>
      </c>
      <c r="G3655" s="4">
        <v>8716</v>
      </c>
      <c r="H3655" s="4"/>
      <c r="I3655" s="4"/>
      <c r="J3655" s="4">
        <f>SUM(G3655:I3655)</f>
        <v>8716</v>
      </c>
      <c r="K3655" t="s">
        <v>1659</v>
      </c>
      <c r="L3655" t="s">
        <v>1659</v>
      </c>
      <c r="M3655" t="s">
        <v>941</v>
      </c>
      <c r="N3655" t="s">
        <v>1132</v>
      </c>
      <c r="O3655" t="s">
        <v>1132</v>
      </c>
      <c r="P3655" t="str">
        <f>IFERROR(VLOOKUP(F3655,Sheet1!$A$2:$B$54,2,FALSE),"")</f>
        <v/>
      </c>
    </row>
    <row r="3656" spans="1:16" x14ac:dyDescent="0.2">
      <c r="A3656" s="1">
        <v>2022</v>
      </c>
      <c r="B3656" t="s">
        <v>443</v>
      </c>
      <c r="C3656" s="10" t="s">
        <v>1678</v>
      </c>
      <c r="D3656" s="10" t="s">
        <v>1679</v>
      </c>
      <c r="E3656" s="10" t="s">
        <v>1682</v>
      </c>
      <c r="F3656" t="s">
        <v>941</v>
      </c>
      <c r="G3656" s="4">
        <v>10385</v>
      </c>
      <c r="H3656" s="4"/>
      <c r="I3656" s="4"/>
      <c r="J3656" s="4">
        <f>SUM(G3656:I3656)</f>
        <v>10385</v>
      </c>
      <c r="K3656" t="s">
        <v>1659</v>
      </c>
      <c r="L3656" t="s">
        <v>1659</v>
      </c>
      <c r="M3656" t="s">
        <v>941</v>
      </c>
      <c r="N3656" t="s">
        <v>1132</v>
      </c>
      <c r="O3656" t="s">
        <v>1132</v>
      </c>
      <c r="P3656" t="str">
        <f>IFERROR(VLOOKUP(F3656,Sheet1!$A$2:$B$54,2,FALSE),"")</f>
        <v/>
      </c>
    </row>
    <row r="3657" spans="1:16" x14ac:dyDescent="0.2">
      <c r="A3657" s="1">
        <v>2023</v>
      </c>
      <c r="B3657" t="s">
        <v>443</v>
      </c>
      <c r="C3657" s="10" t="s">
        <v>1678</v>
      </c>
      <c r="D3657" s="10" t="s">
        <v>1679</v>
      </c>
      <c r="E3657" s="10" t="s">
        <v>1682</v>
      </c>
      <c r="F3657" t="s">
        <v>941</v>
      </c>
      <c r="G3657" s="4">
        <v>12156</v>
      </c>
      <c r="H3657" s="4"/>
      <c r="I3657" s="4"/>
      <c r="J3657" s="4">
        <f>SUM(G3657:I3657)</f>
        <v>12156</v>
      </c>
      <c r="K3657" t="s">
        <v>1659</v>
      </c>
      <c r="L3657" t="s">
        <v>1659</v>
      </c>
      <c r="M3657" t="s">
        <v>941</v>
      </c>
      <c r="N3657" t="s">
        <v>1132</v>
      </c>
      <c r="O3657" t="s">
        <v>1132</v>
      </c>
      <c r="P3657" t="str">
        <f>IFERROR(VLOOKUP(F3657,Sheet1!$A$2:$B$54,2,FALSE),"")</f>
        <v/>
      </c>
    </row>
    <row r="3658" spans="1:16" x14ac:dyDescent="0.2">
      <c r="A3658" s="1">
        <v>2016</v>
      </c>
      <c r="B3658" t="s">
        <v>444</v>
      </c>
      <c r="C3658" s="10" t="s">
        <v>1678</v>
      </c>
      <c r="D3658" s="10" t="s">
        <v>1679</v>
      </c>
      <c r="E3658" s="10" t="s">
        <v>1682</v>
      </c>
      <c r="F3658" t="s">
        <v>942</v>
      </c>
      <c r="G3658" s="4">
        <v>1634</v>
      </c>
      <c r="H3658" s="4"/>
      <c r="I3658" s="4"/>
      <c r="J3658" s="4">
        <f>SUM(G3658:I3658)</f>
        <v>1634</v>
      </c>
      <c r="K3658" t="s">
        <v>1659</v>
      </c>
      <c r="L3658" t="s">
        <v>1659</v>
      </c>
      <c r="M3658" t="s">
        <v>1561</v>
      </c>
      <c r="N3658" t="s">
        <v>1132</v>
      </c>
      <c r="O3658" t="s">
        <v>1132</v>
      </c>
      <c r="P3658" t="str">
        <f>IFERROR(VLOOKUP(F3658,Sheet1!$A$2:$B$54,2,FALSE),"")</f>
        <v/>
      </c>
    </row>
    <row r="3659" spans="1:16" x14ac:dyDescent="0.2">
      <c r="A3659" s="1">
        <v>2017</v>
      </c>
      <c r="B3659" t="s">
        <v>444</v>
      </c>
      <c r="C3659" s="10" t="s">
        <v>1678</v>
      </c>
      <c r="D3659" s="10" t="s">
        <v>1679</v>
      </c>
      <c r="E3659" s="10" t="s">
        <v>1682</v>
      </c>
      <c r="F3659" t="s">
        <v>942</v>
      </c>
      <c r="G3659" s="4">
        <v>6608</v>
      </c>
      <c r="H3659" s="4"/>
      <c r="I3659" s="4"/>
      <c r="J3659" s="4">
        <f>SUM(G3659:I3659)</f>
        <v>6608</v>
      </c>
      <c r="K3659" t="s">
        <v>1659</v>
      </c>
      <c r="L3659" t="s">
        <v>1659</v>
      </c>
      <c r="M3659" t="s">
        <v>1561</v>
      </c>
      <c r="N3659" t="s">
        <v>1132</v>
      </c>
      <c r="O3659" t="s">
        <v>1132</v>
      </c>
      <c r="P3659" t="str">
        <f>IFERROR(VLOOKUP(F3659,Sheet1!$A$2:$B$54,2,FALSE),"")</f>
        <v/>
      </c>
    </row>
    <row r="3660" spans="1:16" x14ac:dyDescent="0.2">
      <c r="A3660" s="1">
        <v>2018</v>
      </c>
      <c r="B3660" t="s">
        <v>444</v>
      </c>
      <c r="C3660" s="10" t="s">
        <v>1678</v>
      </c>
      <c r="D3660" s="10" t="s">
        <v>1679</v>
      </c>
      <c r="E3660" s="10" t="s">
        <v>1682</v>
      </c>
      <c r="F3660" t="s">
        <v>942</v>
      </c>
      <c r="G3660" s="4">
        <v>7282</v>
      </c>
      <c r="H3660" s="4"/>
      <c r="I3660" s="4"/>
      <c r="J3660" s="4">
        <f>SUM(G3660:I3660)</f>
        <v>7282</v>
      </c>
      <c r="K3660" t="s">
        <v>1659</v>
      </c>
      <c r="L3660" t="s">
        <v>1659</v>
      </c>
      <c r="M3660" t="s">
        <v>1561</v>
      </c>
      <c r="N3660" t="s">
        <v>1132</v>
      </c>
      <c r="O3660" t="s">
        <v>1132</v>
      </c>
      <c r="P3660" t="str">
        <f>IFERROR(VLOOKUP(F3660,Sheet1!$A$2:$B$54,2,FALSE),"")</f>
        <v/>
      </c>
    </row>
    <row r="3661" spans="1:16" x14ac:dyDescent="0.2">
      <c r="A3661" s="1">
        <v>2019</v>
      </c>
      <c r="B3661" t="s">
        <v>444</v>
      </c>
      <c r="C3661" s="10" t="s">
        <v>1678</v>
      </c>
      <c r="D3661" s="10" t="s">
        <v>1679</v>
      </c>
      <c r="E3661" s="10" t="s">
        <v>1682</v>
      </c>
      <c r="F3661" t="s">
        <v>942</v>
      </c>
      <c r="G3661" s="4">
        <v>7829</v>
      </c>
      <c r="H3661" s="4"/>
      <c r="I3661" s="4"/>
      <c r="J3661" s="4">
        <f>SUM(G3661:I3661)</f>
        <v>7829</v>
      </c>
      <c r="K3661" t="s">
        <v>1659</v>
      </c>
      <c r="L3661" t="s">
        <v>1659</v>
      </c>
      <c r="M3661" t="s">
        <v>1561</v>
      </c>
      <c r="N3661" t="s">
        <v>1132</v>
      </c>
      <c r="O3661" t="s">
        <v>1132</v>
      </c>
      <c r="P3661" t="str">
        <f>IFERROR(VLOOKUP(F3661,Sheet1!$A$2:$B$54,2,FALSE),"")</f>
        <v/>
      </c>
    </row>
    <row r="3662" spans="1:16" x14ac:dyDescent="0.2">
      <c r="A3662" s="1">
        <v>2020</v>
      </c>
      <c r="B3662" t="s">
        <v>444</v>
      </c>
      <c r="C3662" s="10" t="s">
        <v>1678</v>
      </c>
      <c r="D3662" s="10" t="s">
        <v>1679</v>
      </c>
      <c r="E3662" s="10" t="s">
        <v>1682</v>
      </c>
      <c r="F3662" t="s">
        <v>942</v>
      </c>
      <c r="G3662" s="4">
        <v>11643</v>
      </c>
      <c r="H3662" s="4"/>
      <c r="I3662" s="4"/>
      <c r="J3662" s="4">
        <f>SUM(G3662:I3662)</f>
        <v>11643</v>
      </c>
      <c r="K3662" t="s">
        <v>1659</v>
      </c>
      <c r="L3662" t="s">
        <v>1659</v>
      </c>
      <c r="M3662" t="s">
        <v>1561</v>
      </c>
      <c r="N3662" t="s">
        <v>1132</v>
      </c>
      <c r="O3662" t="s">
        <v>1132</v>
      </c>
      <c r="P3662" t="str">
        <f>IFERROR(VLOOKUP(F3662,Sheet1!$A$2:$B$54,2,FALSE),"")</f>
        <v/>
      </c>
    </row>
    <row r="3663" spans="1:16" x14ac:dyDescent="0.2">
      <c r="A3663" s="1">
        <v>2021</v>
      </c>
      <c r="B3663" t="s">
        <v>444</v>
      </c>
      <c r="C3663" s="10" t="s">
        <v>1678</v>
      </c>
      <c r="D3663" s="10" t="s">
        <v>1679</v>
      </c>
      <c r="E3663" s="10" t="s">
        <v>1682</v>
      </c>
      <c r="F3663" t="s">
        <v>942</v>
      </c>
      <c r="G3663" s="4">
        <v>19788</v>
      </c>
      <c r="H3663" s="4"/>
      <c r="I3663" s="4"/>
      <c r="J3663" s="4">
        <f>SUM(G3663:I3663)</f>
        <v>19788</v>
      </c>
      <c r="K3663" t="s">
        <v>1659</v>
      </c>
      <c r="L3663" t="s">
        <v>1659</v>
      </c>
      <c r="M3663" t="s">
        <v>942</v>
      </c>
      <c r="N3663" t="s">
        <v>1132</v>
      </c>
      <c r="O3663" t="s">
        <v>1132</v>
      </c>
      <c r="P3663" t="str">
        <f>IFERROR(VLOOKUP(F3663,Sheet1!$A$2:$B$54,2,FALSE),"")</f>
        <v/>
      </c>
    </row>
    <row r="3664" spans="1:16" x14ac:dyDescent="0.2">
      <c r="A3664" s="1">
        <v>2022</v>
      </c>
      <c r="B3664" t="s">
        <v>444</v>
      </c>
      <c r="C3664" s="10" t="s">
        <v>1678</v>
      </c>
      <c r="D3664" s="10" t="s">
        <v>1679</v>
      </c>
      <c r="E3664" s="10" t="s">
        <v>1682</v>
      </c>
      <c r="F3664" t="s">
        <v>942</v>
      </c>
      <c r="G3664" s="4">
        <v>15576</v>
      </c>
      <c r="H3664" s="4"/>
      <c r="I3664" s="4"/>
      <c r="J3664" s="4">
        <f>SUM(G3664:I3664)</f>
        <v>15576</v>
      </c>
      <c r="K3664" t="s">
        <v>1659</v>
      </c>
      <c r="L3664" t="s">
        <v>1659</v>
      </c>
      <c r="M3664" t="s">
        <v>942</v>
      </c>
      <c r="N3664" t="s">
        <v>1132</v>
      </c>
      <c r="O3664" t="s">
        <v>1132</v>
      </c>
      <c r="P3664" t="str">
        <f>IFERROR(VLOOKUP(F3664,Sheet1!$A$2:$B$54,2,FALSE),"")</f>
        <v/>
      </c>
    </row>
    <row r="3665" spans="1:16" x14ac:dyDescent="0.2">
      <c r="A3665" s="1">
        <v>2023</v>
      </c>
      <c r="B3665" t="s">
        <v>444</v>
      </c>
      <c r="C3665" s="10" t="s">
        <v>1678</v>
      </c>
      <c r="D3665" s="10" t="s">
        <v>1679</v>
      </c>
      <c r="E3665" s="10" t="s">
        <v>1682</v>
      </c>
      <c r="F3665" t="s">
        <v>942</v>
      </c>
      <c r="G3665" s="4">
        <v>17673</v>
      </c>
      <c r="H3665" s="4"/>
      <c r="I3665" s="4"/>
      <c r="J3665" s="4">
        <f>SUM(G3665:I3665)</f>
        <v>17673</v>
      </c>
      <c r="K3665" t="s">
        <v>1659</v>
      </c>
      <c r="L3665" t="s">
        <v>1659</v>
      </c>
      <c r="M3665" t="s">
        <v>942</v>
      </c>
      <c r="N3665" t="s">
        <v>1132</v>
      </c>
      <c r="O3665" t="s">
        <v>1132</v>
      </c>
      <c r="P3665" t="str">
        <f>IFERROR(VLOOKUP(F3665,Sheet1!$A$2:$B$54,2,FALSE),"")</f>
        <v/>
      </c>
    </row>
    <row r="3666" spans="1:16" x14ac:dyDescent="0.2">
      <c r="A3666" s="1">
        <v>2015</v>
      </c>
      <c r="B3666" t="s">
        <v>445</v>
      </c>
      <c r="C3666" s="10" t="s">
        <v>1678</v>
      </c>
      <c r="D3666" s="10" t="s">
        <v>1679</v>
      </c>
      <c r="E3666" s="10" t="s">
        <v>1682</v>
      </c>
      <c r="F3666" t="s">
        <v>943</v>
      </c>
      <c r="G3666" s="4">
        <v>18700</v>
      </c>
      <c r="H3666" s="4"/>
      <c r="I3666" s="4"/>
      <c r="J3666" s="4">
        <f>SUM(G3666:I3666)</f>
        <v>18700</v>
      </c>
      <c r="K3666" t="s">
        <v>1659</v>
      </c>
      <c r="L3666" t="s">
        <v>1659</v>
      </c>
      <c r="M3666" t="s">
        <v>1562</v>
      </c>
      <c r="N3666" t="s">
        <v>1132</v>
      </c>
      <c r="O3666" t="s">
        <v>1132</v>
      </c>
      <c r="P3666" t="str">
        <f>IFERROR(VLOOKUP(F3666,Sheet1!$A$2:$B$54,2,FALSE),"")</f>
        <v/>
      </c>
    </row>
    <row r="3667" spans="1:16" x14ac:dyDescent="0.2">
      <c r="A3667" s="1">
        <v>2016</v>
      </c>
      <c r="B3667" t="s">
        <v>445</v>
      </c>
      <c r="C3667" s="10" t="s">
        <v>1678</v>
      </c>
      <c r="D3667" s="10" t="s">
        <v>1679</v>
      </c>
      <c r="E3667" s="10" t="s">
        <v>1682</v>
      </c>
      <c r="F3667" t="s">
        <v>943</v>
      </c>
      <c r="G3667" s="4">
        <v>20156</v>
      </c>
      <c r="H3667" s="4"/>
      <c r="I3667" s="4"/>
      <c r="J3667" s="4">
        <f>SUM(G3667:I3667)</f>
        <v>20156</v>
      </c>
      <c r="K3667" t="s">
        <v>1659</v>
      </c>
      <c r="L3667" t="s">
        <v>1659</v>
      </c>
      <c r="M3667" t="s">
        <v>1562</v>
      </c>
      <c r="N3667" t="s">
        <v>1132</v>
      </c>
      <c r="O3667" t="s">
        <v>1132</v>
      </c>
      <c r="P3667" t="str">
        <f>IFERROR(VLOOKUP(F3667,Sheet1!$A$2:$B$54,2,FALSE),"")</f>
        <v/>
      </c>
    </row>
    <row r="3668" spans="1:16" x14ac:dyDescent="0.2">
      <c r="A3668" s="1">
        <v>2017</v>
      </c>
      <c r="B3668" t="s">
        <v>445</v>
      </c>
      <c r="C3668" s="10" t="s">
        <v>1678</v>
      </c>
      <c r="D3668" s="10" t="s">
        <v>1679</v>
      </c>
      <c r="E3668" s="10" t="s">
        <v>1682</v>
      </c>
      <c r="F3668" t="s">
        <v>943</v>
      </c>
      <c r="G3668" s="4">
        <v>23236</v>
      </c>
      <c r="H3668" s="4"/>
      <c r="I3668" s="4"/>
      <c r="J3668" s="4">
        <f>SUM(G3668:I3668)</f>
        <v>23236</v>
      </c>
      <c r="K3668" t="s">
        <v>1659</v>
      </c>
      <c r="L3668" t="s">
        <v>1659</v>
      </c>
      <c r="M3668" t="s">
        <v>1562</v>
      </c>
      <c r="N3668" t="s">
        <v>1132</v>
      </c>
      <c r="O3668" t="s">
        <v>1132</v>
      </c>
      <c r="P3668" t="str">
        <f>IFERROR(VLOOKUP(F3668,Sheet1!$A$2:$B$54,2,FALSE),"")</f>
        <v/>
      </c>
    </row>
    <row r="3669" spans="1:16" x14ac:dyDescent="0.2">
      <c r="A3669" s="1">
        <v>2018</v>
      </c>
      <c r="B3669" t="s">
        <v>445</v>
      </c>
      <c r="C3669" s="10" t="s">
        <v>1678</v>
      </c>
      <c r="D3669" s="10" t="s">
        <v>1679</v>
      </c>
      <c r="E3669" s="10" t="s">
        <v>1682</v>
      </c>
      <c r="F3669" t="s">
        <v>943</v>
      </c>
      <c r="G3669" s="4">
        <v>25123</v>
      </c>
      <c r="H3669" s="4"/>
      <c r="I3669" s="4"/>
      <c r="J3669" s="4">
        <f>SUM(G3669:I3669)</f>
        <v>25123</v>
      </c>
      <c r="K3669" t="s">
        <v>1659</v>
      </c>
      <c r="L3669" t="s">
        <v>1659</v>
      </c>
      <c r="M3669" t="s">
        <v>1562</v>
      </c>
      <c r="N3669" t="s">
        <v>1132</v>
      </c>
      <c r="O3669" t="s">
        <v>1132</v>
      </c>
      <c r="P3669" t="str">
        <f>IFERROR(VLOOKUP(F3669,Sheet1!$A$2:$B$54,2,FALSE),"")</f>
        <v/>
      </c>
    </row>
    <row r="3670" spans="1:16" x14ac:dyDescent="0.2">
      <c r="A3670" s="1">
        <v>2019</v>
      </c>
      <c r="B3670" t="s">
        <v>445</v>
      </c>
      <c r="C3670" s="10" t="s">
        <v>1678</v>
      </c>
      <c r="D3670" s="10" t="s">
        <v>1679</v>
      </c>
      <c r="E3670" s="10" t="s">
        <v>1682</v>
      </c>
      <c r="F3670" t="s">
        <v>943</v>
      </c>
      <c r="G3670" s="4">
        <v>28047</v>
      </c>
      <c r="H3670" s="4"/>
      <c r="I3670" s="4"/>
      <c r="J3670" s="4">
        <f>SUM(G3670:I3670)</f>
        <v>28047</v>
      </c>
      <c r="K3670" t="s">
        <v>1659</v>
      </c>
      <c r="L3670" t="s">
        <v>1659</v>
      </c>
      <c r="M3670" t="s">
        <v>1562</v>
      </c>
      <c r="N3670" t="s">
        <v>1132</v>
      </c>
      <c r="O3670" t="s">
        <v>1132</v>
      </c>
      <c r="P3670" t="str">
        <f>IFERROR(VLOOKUP(F3670,Sheet1!$A$2:$B$54,2,FALSE),"")</f>
        <v/>
      </c>
    </row>
    <row r="3671" spans="1:16" x14ac:dyDescent="0.2">
      <c r="A3671" s="1">
        <v>2020</v>
      </c>
      <c r="B3671" t="s">
        <v>445</v>
      </c>
      <c r="C3671" s="10" t="s">
        <v>1678</v>
      </c>
      <c r="D3671" s="10" t="s">
        <v>1679</v>
      </c>
      <c r="E3671" s="10" t="s">
        <v>1682</v>
      </c>
      <c r="F3671" t="s">
        <v>943</v>
      </c>
      <c r="G3671" s="4">
        <v>34544</v>
      </c>
      <c r="H3671" s="4"/>
      <c r="I3671" s="4"/>
      <c r="J3671" s="4">
        <f>SUM(G3671:I3671)</f>
        <v>34544</v>
      </c>
      <c r="K3671" t="s">
        <v>1659</v>
      </c>
      <c r="L3671" t="s">
        <v>1659</v>
      </c>
      <c r="M3671" t="s">
        <v>1562</v>
      </c>
      <c r="N3671" t="s">
        <v>1132</v>
      </c>
      <c r="O3671" t="s">
        <v>1132</v>
      </c>
      <c r="P3671" t="str">
        <f>IFERROR(VLOOKUP(F3671,Sheet1!$A$2:$B$54,2,FALSE),"")</f>
        <v/>
      </c>
    </row>
    <row r="3672" spans="1:16" x14ac:dyDescent="0.2">
      <c r="A3672" s="1">
        <v>2021</v>
      </c>
      <c r="B3672" t="s">
        <v>445</v>
      </c>
      <c r="C3672" s="10" t="s">
        <v>1678</v>
      </c>
      <c r="D3672" s="10" t="s">
        <v>1679</v>
      </c>
      <c r="E3672" s="10" t="s">
        <v>1682</v>
      </c>
      <c r="F3672" t="s">
        <v>943</v>
      </c>
      <c r="G3672" s="4">
        <v>42656</v>
      </c>
      <c r="H3672" s="4"/>
      <c r="I3672" s="4"/>
      <c r="J3672" s="4">
        <f>SUM(G3672:I3672)</f>
        <v>42656</v>
      </c>
      <c r="K3672" t="s">
        <v>1659</v>
      </c>
      <c r="L3672" t="s">
        <v>1659</v>
      </c>
      <c r="M3672" t="s">
        <v>943</v>
      </c>
      <c r="N3672" t="s">
        <v>1132</v>
      </c>
      <c r="O3672" t="s">
        <v>1132</v>
      </c>
      <c r="P3672" t="str">
        <f>IFERROR(VLOOKUP(F3672,Sheet1!$A$2:$B$54,2,FALSE),"")</f>
        <v/>
      </c>
    </row>
    <row r="3673" spans="1:16" x14ac:dyDescent="0.2">
      <c r="A3673" s="1">
        <v>2022</v>
      </c>
      <c r="B3673" t="s">
        <v>445</v>
      </c>
      <c r="C3673" s="10" t="s">
        <v>1678</v>
      </c>
      <c r="D3673" s="10" t="s">
        <v>1679</v>
      </c>
      <c r="E3673" s="10" t="s">
        <v>1682</v>
      </c>
      <c r="F3673" t="s">
        <v>943</v>
      </c>
      <c r="G3673" s="4">
        <v>47208</v>
      </c>
      <c r="H3673" s="4"/>
      <c r="I3673" s="4"/>
      <c r="J3673" s="4">
        <f>SUM(G3673:I3673)</f>
        <v>47208</v>
      </c>
      <c r="K3673" t="s">
        <v>1659</v>
      </c>
      <c r="L3673" t="s">
        <v>1659</v>
      </c>
      <c r="M3673" t="s">
        <v>943</v>
      </c>
      <c r="N3673" t="s">
        <v>1132</v>
      </c>
      <c r="O3673" t="s">
        <v>1132</v>
      </c>
      <c r="P3673" t="str">
        <f>IFERROR(VLOOKUP(F3673,Sheet1!$A$2:$B$54,2,FALSE),"")</f>
        <v/>
      </c>
    </row>
    <row r="3674" spans="1:16" x14ac:dyDescent="0.2">
      <c r="A3674" s="1">
        <v>2023</v>
      </c>
      <c r="B3674" t="s">
        <v>445</v>
      </c>
      <c r="C3674" s="10" t="s">
        <v>1678</v>
      </c>
      <c r="D3674" s="10" t="s">
        <v>1679</v>
      </c>
      <c r="E3674" s="10" t="s">
        <v>1682</v>
      </c>
      <c r="F3674" t="s">
        <v>943</v>
      </c>
      <c r="G3674" s="4">
        <v>62417</v>
      </c>
      <c r="H3674" s="4"/>
      <c r="I3674" s="4"/>
      <c r="J3674" s="4">
        <f>SUM(G3674:I3674)</f>
        <v>62417</v>
      </c>
      <c r="K3674" t="s">
        <v>1659</v>
      </c>
      <c r="L3674" t="s">
        <v>1659</v>
      </c>
      <c r="M3674" t="s">
        <v>943</v>
      </c>
      <c r="N3674" t="s">
        <v>1132</v>
      </c>
      <c r="O3674" t="s">
        <v>1132</v>
      </c>
      <c r="P3674" t="str">
        <f>IFERROR(VLOOKUP(F3674,Sheet1!$A$2:$B$54,2,FALSE),"")</f>
        <v/>
      </c>
    </row>
    <row r="3675" spans="1:16" x14ac:dyDescent="0.2">
      <c r="A3675" s="1">
        <v>2015</v>
      </c>
      <c r="B3675" t="s">
        <v>446</v>
      </c>
      <c r="C3675" s="10" t="s">
        <v>1678</v>
      </c>
      <c r="D3675" s="10" t="s">
        <v>1679</v>
      </c>
      <c r="E3675" s="10" t="s">
        <v>1682</v>
      </c>
      <c r="F3675" t="s">
        <v>944</v>
      </c>
      <c r="G3675" s="4">
        <v>2781</v>
      </c>
      <c r="H3675" s="4"/>
      <c r="I3675" s="4"/>
      <c r="J3675" s="4">
        <f>SUM(G3675:I3675)</f>
        <v>2781</v>
      </c>
      <c r="K3675" t="s">
        <v>1659</v>
      </c>
      <c r="L3675" t="s">
        <v>1659</v>
      </c>
      <c r="M3675" t="s">
        <v>1563</v>
      </c>
      <c r="N3675" t="s">
        <v>1132</v>
      </c>
      <c r="O3675" t="s">
        <v>1132</v>
      </c>
      <c r="P3675" t="str">
        <f>IFERROR(VLOOKUP(F3675,Sheet1!$A$2:$B$54,2,FALSE),"")</f>
        <v/>
      </c>
    </row>
    <row r="3676" spans="1:16" x14ac:dyDescent="0.2">
      <c r="A3676" s="1">
        <v>2016</v>
      </c>
      <c r="B3676" t="s">
        <v>446</v>
      </c>
      <c r="C3676" s="10" t="s">
        <v>1678</v>
      </c>
      <c r="D3676" s="10" t="s">
        <v>1679</v>
      </c>
      <c r="E3676" s="10" t="s">
        <v>1682</v>
      </c>
      <c r="F3676" t="s">
        <v>944</v>
      </c>
      <c r="G3676" s="4">
        <v>2833</v>
      </c>
      <c r="H3676" s="4"/>
      <c r="I3676" s="4"/>
      <c r="J3676" s="4">
        <f>SUM(G3676:I3676)</f>
        <v>2833</v>
      </c>
      <c r="K3676" t="s">
        <v>1659</v>
      </c>
      <c r="L3676" t="s">
        <v>1659</v>
      </c>
      <c r="M3676" t="s">
        <v>1564</v>
      </c>
      <c r="N3676" t="s">
        <v>1132</v>
      </c>
      <c r="O3676" t="s">
        <v>1132</v>
      </c>
      <c r="P3676" t="str">
        <f>IFERROR(VLOOKUP(F3676,Sheet1!$A$2:$B$54,2,FALSE),"")</f>
        <v/>
      </c>
    </row>
    <row r="3677" spans="1:16" x14ac:dyDescent="0.2">
      <c r="A3677" s="1">
        <v>2017</v>
      </c>
      <c r="B3677" t="s">
        <v>446</v>
      </c>
      <c r="C3677" s="10" t="s">
        <v>1678</v>
      </c>
      <c r="D3677" s="10" t="s">
        <v>1679</v>
      </c>
      <c r="E3677" s="10" t="s">
        <v>1682</v>
      </c>
      <c r="F3677" t="s">
        <v>944</v>
      </c>
      <c r="G3677" s="4">
        <v>3952</v>
      </c>
      <c r="H3677" s="4"/>
      <c r="I3677" s="4"/>
      <c r="J3677" s="4">
        <f>SUM(G3677:I3677)</f>
        <v>3952</v>
      </c>
      <c r="K3677" t="s">
        <v>1659</v>
      </c>
      <c r="L3677" t="s">
        <v>1659</v>
      </c>
      <c r="M3677" t="s">
        <v>1565</v>
      </c>
      <c r="N3677" t="s">
        <v>1132</v>
      </c>
      <c r="O3677" t="s">
        <v>1132</v>
      </c>
      <c r="P3677" t="str">
        <f>IFERROR(VLOOKUP(F3677,Sheet1!$A$2:$B$54,2,FALSE),"")</f>
        <v/>
      </c>
    </row>
    <row r="3678" spans="1:16" x14ac:dyDescent="0.2">
      <c r="A3678" s="1">
        <v>2018</v>
      </c>
      <c r="B3678" t="s">
        <v>446</v>
      </c>
      <c r="C3678" s="10" t="s">
        <v>1678</v>
      </c>
      <c r="D3678" s="10" t="s">
        <v>1679</v>
      </c>
      <c r="E3678" s="10" t="s">
        <v>1682</v>
      </c>
      <c r="F3678" t="s">
        <v>944</v>
      </c>
      <c r="G3678" s="4">
        <v>12843</v>
      </c>
      <c r="H3678" s="4"/>
      <c r="I3678" s="4"/>
      <c r="J3678" s="4">
        <f>SUM(G3678:I3678)</f>
        <v>12843</v>
      </c>
      <c r="K3678" t="s">
        <v>1659</v>
      </c>
      <c r="L3678" t="s">
        <v>1659</v>
      </c>
      <c r="M3678" t="s">
        <v>1565</v>
      </c>
      <c r="N3678" t="s">
        <v>1132</v>
      </c>
      <c r="O3678" t="s">
        <v>1132</v>
      </c>
      <c r="P3678" t="str">
        <f>IFERROR(VLOOKUP(F3678,Sheet1!$A$2:$B$54,2,FALSE),"")</f>
        <v/>
      </c>
    </row>
    <row r="3679" spans="1:16" x14ac:dyDescent="0.2">
      <c r="A3679" s="1">
        <v>2019</v>
      </c>
      <c r="B3679" t="s">
        <v>446</v>
      </c>
      <c r="C3679" s="10" t="s">
        <v>1678</v>
      </c>
      <c r="D3679" s="10" t="s">
        <v>1679</v>
      </c>
      <c r="E3679" s="10" t="s">
        <v>1682</v>
      </c>
      <c r="F3679" t="s">
        <v>944</v>
      </c>
      <c r="G3679" s="4">
        <v>15568</v>
      </c>
      <c r="H3679" s="4"/>
      <c r="I3679" s="4"/>
      <c r="J3679" s="4">
        <f>SUM(G3679:I3679)</f>
        <v>15568</v>
      </c>
      <c r="K3679" t="s">
        <v>1659</v>
      </c>
      <c r="L3679" t="s">
        <v>1659</v>
      </c>
      <c r="M3679" t="s">
        <v>1565</v>
      </c>
      <c r="N3679" t="s">
        <v>1132</v>
      </c>
      <c r="O3679" t="s">
        <v>1132</v>
      </c>
      <c r="P3679" t="str">
        <f>IFERROR(VLOOKUP(F3679,Sheet1!$A$2:$B$54,2,FALSE),"")</f>
        <v/>
      </c>
    </row>
    <row r="3680" spans="1:16" x14ac:dyDescent="0.2">
      <c r="A3680" s="1">
        <v>2020</v>
      </c>
      <c r="B3680" t="s">
        <v>446</v>
      </c>
      <c r="C3680" s="10" t="s">
        <v>1678</v>
      </c>
      <c r="D3680" s="10" t="s">
        <v>1679</v>
      </c>
      <c r="E3680" s="10" t="s">
        <v>1682</v>
      </c>
      <c r="F3680" t="s">
        <v>944</v>
      </c>
      <c r="G3680" s="4">
        <v>16565</v>
      </c>
      <c r="H3680" s="4"/>
      <c r="I3680" s="4"/>
      <c r="J3680" s="4">
        <f>SUM(G3680:I3680)</f>
        <v>16565</v>
      </c>
      <c r="K3680" t="s">
        <v>1659</v>
      </c>
      <c r="L3680" t="s">
        <v>1659</v>
      </c>
      <c r="M3680" t="s">
        <v>1565</v>
      </c>
      <c r="N3680" t="s">
        <v>1132</v>
      </c>
      <c r="O3680" t="s">
        <v>1132</v>
      </c>
      <c r="P3680" t="str">
        <f>IFERROR(VLOOKUP(F3680,Sheet1!$A$2:$B$54,2,FALSE),"")</f>
        <v/>
      </c>
    </row>
    <row r="3681" spans="1:16" x14ac:dyDescent="0.2">
      <c r="A3681" s="1">
        <v>2021</v>
      </c>
      <c r="B3681" t="s">
        <v>446</v>
      </c>
      <c r="C3681" s="10" t="s">
        <v>1678</v>
      </c>
      <c r="D3681" s="10" t="s">
        <v>1679</v>
      </c>
      <c r="E3681" s="10" t="s">
        <v>1682</v>
      </c>
      <c r="F3681" t="s">
        <v>944</v>
      </c>
      <c r="G3681" s="4">
        <v>19741</v>
      </c>
      <c r="H3681" s="4"/>
      <c r="I3681" s="4"/>
      <c r="J3681" s="4">
        <f>SUM(G3681:I3681)</f>
        <v>19741</v>
      </c>
      <c r="K3681" t="s">
        <v>1659</v>
      </c>
      <c r="L3681" t="s">
        <v>1659</v>
      </c>
      <c r="M3681" t="s">
        <v>944</v>
      </c>
      <c r="N3681" t="s">
        <v>1132</v>
      </c>
      <c r="O3681" t="s">
        <v>1132</v>
      </c>
      <c r="P3681" t="str">
        <f>IFERROR(VLOOKUP(F3681,Sheet1!$A$2:$B$54,2,FALSE),"")</f>
        <v/>
      </c>
    </row>
    <row r="3682" spans="1:16" x14ac:dyDescent="0.2">
      <c r="A3682" s="1">
        <v>2022</v>
      </c>
      <c r="B3682" t="s">
        <v>446</v>
      </c>
      <c r="C3682" s="10" t="s">
        <v>1678</v>
      </c>
      <c r="D3682" s="10" t="s">
        <v>1679</v>
      </c>
      <c r="E3682" s="10" t="s">
        <v>1682</v>
      </c>
      <c r="F3682" t="s">
        <v>944</v>
      </c>
      <c r="G3682" s="4">
        <v>18781</v>
      </c>
      <c r="H3682" s="4"/>
      <c r="I3682" s="4"/>
      <c r="J3682" s="4">
        <f>SUM(G3682:I3682)</f>
        <v>18781</v>
      </c>
      <c r="K3682" t="s">
        <v>1659</v>
      </c>
      <c r="L3682" t="s">
        <v>1659</v>
      </c>
      <c r="M3682" t="s">
        <v>944</v>
      </c>
      <c r="N3682" t="s">
        <v>1132</v>
      </c>
      <c r="O3682" t="s">
        <v>1132</v>
      </c>
      <c r="P3682" t="str">
        <f>IFERROR(VLOOKUP(F3682,Sheet1!$A$2:$B$54,2,FALSE),"")</f>
        <v/>
      </c>
    </row>
    <row r="3683" spans="1:16" x14ac:dyDescent="0.2">
      <c r="A3683" s="1">
        <v>2023</v>
      </c>
      <c r="B3683" t="s">
        <v>446</v>
      </c>
      <c r="C3683" s="10" t="s">
        <v>1678</v>
      </c>
      <c r="D3683" s="10" t="s">
        <v>1679</v>
      </c>
      <c r="E3683" s="10" t="s">
        <v>1682</v>
      </c>
      <c r="F3683" t="s">
        <v>944</v>
      </c>
      <c r="G3683" s="4">
        <v>18418</v>
      </c>
      <c r="H3683" s="4"/>
      <c r="I3683" s="4"/>
      <c r="J3683" s="4">
        <f>SUM(G3683:I3683)</f>
        <v>18418</v>
      </c>
      <c r="K3683" t="s">
        <v>1659</v>
      </c>
      <c r="L3683" t="s">
        <v>1659</v>
      </c>
      <c r="M3683" t="s">
        <v>944</v>
      </c>
      <c r="N3683" t="s">
        <v>1132</v>
      </c>
      <c r="O3683" t="s">
        <v>1132</v>
      </c>
      <c r="P3683" t="str">
        <f>IFERROR(VLOOKUP(F3683,Sheet1!$A$2:$B$54,2,FALSE),"")</f>
        <v/>
      </c>
    </row>
    <row r="3684" spans="1:16" x14ac:dyDescent="0.2">
      <c r="A3684" s="1">
        <v>2015</v>
      </c>
      <c r="B3684" t="s">
        <v>447</v>
      </c>
      <c r="C3684" s="10" t="s">
        <v>1678</v>
      </c>
      <c r="D3684" s="10" t="s">
        <v>1679</v>
      </c>
      <c r="E3684" s="10" t="s">
        <v>1682</v>
      </c>
      <c r="F3684" t="s">
        <v>945</v>
      </c>
      <c r="G3684" s="4">
        <v>14939</v>
      </c>
      <c r="H3684" s="4"/>
      <c r="I3684" s="4"/>
      <c r="J3684" s="4">
        <f>SUM(G3684:I3684)</f>
        <v>14939</v>
      </c>
      <c r="K3684" t="s">
        <v>1659</v>
      </c>
      <c r="L3684" t="s">
        <v>1659</v>
      </c>
      <c r="M3684" t="s">
        <v>1566</v>
      </c>
      <c r="N3684" t="s">
        <v>1132</v>
      </c>
      <c r="O3684" t="s">
        <v>1132</v>
      </c>
      <c r="P3684" t="str">
        <f>IFERROR(VLOOKUP(F3684,Sheet1!$A$2:$B$54,2,FALSE),"")</f>
        <v/>
      </c>
    </row>
    <row r="3685" spans="1:16" x14ac:dyDescent="0.2">
      <c r="A3685" s="1">
        <v>2016</v>
      </c>
      <c r="B3685" t="s">
        <v>447</v>
      </c>
      <c r="C3685" s="10" t="s">
        <v>1678</v>
      </c>
      <c r="D3685" s="10" t="s">
        <v>1679</v>
      </c>
      <c r="E3685" s="10" t="s">
        <v>1682</v>
      </c>
      <c r="F3685" t="s">
        <v>945</v>
      </c>
      <c r="G3685" s="4">
        <v>20840</v>
      </c>
      <c r="H3685" s="4"/>
      <c r="I3685" s="4"/>
      <c r="J3685" s="4">
        <f>SUM(G3685:I3685)</f>
        <v>20840</v>
      </c>
      <c r="K3685" t="s">
        <v>1659</v>
      </c>
      <c r="L3685" t="s">
        <v>1659</v>
      </c>
      <c r="M3685" t="s">
        <v>1566</v>
      </c>
      <c r="N3685" t="s">
        <v>1132</v>
      </c>
      <c r="O3685" t="s">
        <v>1132</v>
      </c>
      <c r="P3685" t="str">
        <f>IFERROR(VLOOKUP(F3685,Sheet1!$A$2:$B$54,2,FALSE),"")</f>
        <v/>
      </c>
    </row>
    <row r="3686" spans="1:16" x14ac:dyDescent="0.2">
      <c r="A3686" s="1">
        <v>2017</v>
      </c>
      <c r="B3686" t="s">
        <v>447</v>
      </c>
      <c r="C3686" s="10" t="s">
        <v>1678</v>
      </c>
      <c r="D3686" s="10" t="s">
        <v>1679</v>
      </c>
      <c r="E3686" s="10" t="s">
        <v>1682</v>
      </c>
      <c r="F3686" t="s">
        <v>945</v>
      </c>
      <c r="G3686" s="4">
        <v>29557</v>
      </c>
      <c r="H3686" s="4"/>
      <c r="I3686" s="4"/>
      <c r="J3686" s="4">
        <f>SUM(G3686:I3686)</f>
        <v>29557</v>
      </c>
      <c r="K3686" t="s">
        <v>1659</v>
      </c>
      <c r="L3686" t="s">
        <v>1659</v>
      </c>
      <c r="M3686" t="s">
        <v>1566</v>
      </c>
      <c r="N3686" t="s">
        <v>1132</v>
      </c>
      <c r="O3686" t="s">
        <v>1132</v>
      </c>
      <c r="P3686" t="str">
        <f>IFERROR(VLOOKUP(F3686,Sheet1!$A$2:$B$54,2,FALSE),"")</f>
        <v/>
      </c>
    </row>
    <row r="3687" spans="1:16" x14ac:dyDescent="0.2">
      <c r="A3687" s="1">
        <v>2018</v>
      </c>
      <c r="B3687" t="s">
        <v>447</v>
      </c>
      <c r="C3687" s="10" t="s">
        <v>1678</v>
      </c>
      <c r="D3687" s="10" t="s">
        <v>1679</v>
      </c>
      <c r="E3687" s="10" t="s">
        <v>1682</v>
      </c>
      <c r="F3687" t="s">
        <v>945</v>
      </c>
      <c r="G3687" s="4">
        <v>33685</v>
      </c>
      <c r="H3687" s="4"/>
      <c r="I3687" s="4"/>
      <c r="J3687" s="4">
        <f>SUM(G3687:I3687)</f>
        <v>33685</v>
      </c>
      <c r="K3687" t="s">
        <v>1659</v>
      </c>
      <c r="L3687" t="s">
        <v>1659</v>
      </c>
      <c r="M3687" t="s">
        <v>1566</v>
      </c>
      <c r="N3687" t="s">
        <v>1132</v>
      </c>
      <c r="O3687" t="s">
        <v>1132</v>
      </c>
      <c r="P3687" t="str">
        <f>IFERROR(VLOOKUP(F3687,Sheet1!$A$2:$B$54,2,FALSE),"")</f>
        <v/>
      </c>
    </row>
    <row r="3688" spans="1:16" x14ac:dyDescent="0.2">
      <c r="A3688" s="1">
        <v>2019</v>
      </c>
      <c r="B3688" t="s">
        <v>447</v>
      </c>
      <c r="C3688" s="10" t="s">
        <v>1678</v>
      </c>
      <c r="D3688" s="10" t="s">
        <v>1679</v>
      </c>
      <c r="E3688" s="10" t="s">
        <v>1682</v>
      </c>
      <c r="F3688" t="s">
        <v>945</v>
      </c>
      <c r="G3688" s="4">
        <v>38744</v>
      </c>
      <c r="H3688" s="4"/>
      <c r="I3688" s="4"/>
      <c r="J3688" s="4">
        <f>SUM(G3688:I3688)</f>
        <v>38744</v>
      </c>
      <c r="K3688" t="s">
        <v>1659</v>
      </c>
      <c r="L3688" t="s">
        <v>1659</v>
      </c>
      <c r="M3688" t="s">
        <v>1566</v>
      </c>
      <c r="N3688" t="s">
        <v>1132</v>
      </c>
      <c r="O3688" t="s">
        <v>1132</v>
      </c>
      <c r="P3688" t="str">
        <f>IFERROR(VLOOKUP(F3688,Sheet1!$A$2:$B$54,2,FALSE),"")</f>
        <v/>
      </c>
    </row>
    <row r="3689" spans="1:16" x14ac:dyDescent="0.2">
      <c r="A3689" s="1">
        <v>2020</v>
      </c>
      <c r="B3689" t="s">
        <v>447</v>
      </c>
      <c r="C3689" s="10" t="s">
        <v>1678</v>
      </c>
      <c r="D3689" s="10" t="s">
        <v>1679</v>
      </c>
      <c r="E3689" s="10" t="s">
        <v>1682</v>
      </c>
      <c r="F3689" t="s">
        <v>945</v>
      </c>
      <c r="G3689" s="4">
        <v>40289</v>
      </c>
      <c r="H3689" s="4"/>
      <c r="I3689" s="4"/>
      <c r="J3689" s="4">
        <f>SUM(G3689:I3689)</f>
        <v>40289</v>
      </c>
      <c r="K3689" t="s">
        <v>1659</v>
      </c>
      <c r="L3689" t="s">
        <v>1659</v>
      </c>
      <c r="M3689" t="s">
        <v>1566</v>
      </c>
      <c r="N3689" t="s">
        <v>1132</v>
      </c>
      <c r="O3689" t="s">
        <v>1132</v>
      </c>
      <c r="P3689" t="str">
        <f>IFERROR(VLOOKUP(F3689,Sheet1!$A$2:$B$54,2,FALSE),"")</f>
        <v/>
      </c>
    </row>
    <row r="3690" spans="1:16" x14ac:dyDescent="0.2">
      <c r="A3690" s="1">
        <v>2021</v>
      </c>
      <c r="B3690" t="s">
        <v>447</v>
      </c>
      <c r="C3690" s="10" t="s">
        <v>1678</v>
      </c>
      <c r="D3690" s="10" t="s">
        <v>1679</v>
      </c>
      <c r="E3690" s="10" t="s">
        <v>1682</v>
      </c>
      <c r="F3690" t="s">
        <v>945</v>
      </c>
      <c r="G3690" s="4">
        <v>50081</v>
      </c>
      <c r="H3690" s="4"/>
      <c r="I3690" s="4"/>
      <c r="J3690" s="4">
        <f>SUM(G3690:I3690)</f>
        <v>50081</v>
      </c>
      <c r="K3690" t="s">
        <v>1659</v>
      </c>
      <c r="L3690" t="s">
        <v>1659</v>
      </c>
      <c r="M3690" t="s">
        <v>945</v>
      </c>
      <c r="N3690" t="s">
        <v>1132</v>
      </c>
      <c r="O3690" t="s">
        <v>1132</v>
      </c>
      <c r="P3690" t="str">
        <f>IFERROR(VLOOKUP(F3690,Sheet1!$A$2:$B$54,2,FALSE),"")</f>
        <v/>
      </c>
    </row>
    <row r="3691" spans="1:16" x14ac:dyDescent="0.2">
      <c r="A3691" s="1">
        <v>2022</v>
      </c>
      <c r="B3691" t="s">
        <v>447</v>
      </c>
      <c r="C3691" s="10" t="s">
        <v>1678</v>
      </c>
      <c r="D3691" s="10" t="s">
        <v>1679</v>
      </c>
      <c r="E3691" s="10" t="s">
        <v>1682</v>
      </c>
      <c r="F3691" t="s">
        <v>945</v>
      </c>
      <c r="G3691" s="4">
        <v>59584</v>
      </c>
      <c r="H3691" s="4"/>
      <c r="I3691" s="4"/>
      <c r="J3691" s="4">
        <f>SUM(G3691:I3691)</f>
        <v>59584</v>
      </c>
      <c r="K3691" t="s">
        <v>1659</v>
      </c>
      <c r="L3691" t="s">
        <v>1659</v>
      </c>
      <c r="M3691" t="s">
        <v>945</v>
      </c>
      <c r="N3691" t="s">
        <v>1132</v>
      </c>
      <c r="O3691" t="s">
        <v>1132</v>
      </c>
      <c r="P3691" t="str">
        <f>IFERROR(VLOOKUP(F3691,Sheet1!$A$2:$B$54,2,FALSE),"")</f>
        <v/>
      </c>
    </row>
    <row r="3692" spans="1:16" x14ac:dyDescent="0.2">
      <c r="A3692" s="1">
        <v>2023</v>
      </c>
      <c r="B3692" t="s">
        <v>447</v>
      </c>
      <c r="C3692" s="10" t="s">
        <v>1678</v>
      </c>
      <c r="D3692" s="10" t="s">
        <v>1679</v>
      </c>
      <c r="E3692" s="10" t="s">
        <v>1682</v>
      </c>
      <c r="F3692" t="s">
        <v>945</v>
      </c>
      <c r="G3692" s="4">
        <v>69356</v>
      </c>
      <c r="H3692" s="4"/>
      <c r="I3692" s="4"/>
      <c r="J3692" s="4">
        <f>SUM(G3692:I3692)</f>
        <v>69356</v>
      </c>
      <c r="K3692" t="s">
        <v>1659</v>
      </c>
      <c r="L3692" t="s">
        <v>1659</v>
      </c>
      <c r="M3692" t="s">
        <v>945</v>
      </c>
      <c r="N3692" t="s">
        <v>1132</v>
      </c>
      <c r="O3692" t="s">
        <v>1132</v>
      </c>
      <c r="P3692" t="str">
        <f>IFERROR(VLOOKUP(F3692,Sheet1!$A$2:$B$54,2,FALSE),"")</f>
        <v/>
      </c>
    </row>
    <row r="3693" spans="1:16" x14ac:dyDescent="0.2">
      <c r="A3693" s="1">
        <v>2015</v>
      </c>
      <c r="B3693" t="s">
        <v>448</v>
      </c>
      <c r="C3693" s="10" t="s">
        <v>1678</v>
      </c>
      <c r="D3693" s="10" t="s">
        <v>1679</v>
      </c>
      <c r="E3693" s="10" t="s">
        <v>1682</v>
      </c>
      <c r="F3693" t="s">
        <v>946</v>
      </c>
      <c r="G3693" s="4">
        <v>218927</v>
      </c>
      <c r="H3693" s="4">
        <v>0</v>
      </c>
      <c r="I3693" s="4"/>
      <c r="J3693" s="4">
        <f>SUM(G3693:I3693)</f>
        <v>218927</v>
      </c>
      <c r="K3693" t="s">
        <v>1660</v>
      </c>
      <c r="L3693" t="s">
        <v>1659</v>
      </c>
      <c r="M3693" t="s">
        <v>1567</v>
      </c>
      <c r="N3693" t="s">
        <v>1567</v>
      </c>
      <c r="O3693" t="s">
        <v>1132</v>
      </c>
      <c r="P3693" t="str">
        <f>IFERROR(VLOOKUP(F3693,Sheet1!$A$2:$B$54,2,FALSE),"")</f>
        <v/>
      </c>
    </row>
    <row r="3694" spans="1:16" x14ac:dyDescent="0.2">
      <c r="A3694" s="1">
        <v>2016</v>
      </c>
      <c r="B3694" t="s">
        <v>448</v>
      </c>
      <c r="C3694" s="10" t="s">
        <v>1678</v>
      </c>
      <c r="D3694" s="10" t="s">
        <v>1679</v>
      </c>
      <c r="E3694" s="10" t="s">
        <v>1682</v>
      </c>
      <c r="F3694" t="s">
        <v>946</v>
      </c>
      <c r="G3694" s="4">
        <v>299908</v>
      </c>
      <c r="H3694" s="4"/>
      <c r="I3694" s="4"/>
      <c r="J3694" s="4">
        <f>SUM(G3694:I3694)</f>
        <v>299908</v>
      </c>
      <c r="K3694" t="s">
        <v>1659</v>
      </c>
      <c r="L3694" t="s">
        <v>1659</v>
      </c>
      <c r="M3694" t="s">
        <v>1567</v>
      </c>
      <c r="N3694" t="s">
        <v>1132</v>
      </c>
      <c r="O3694" t="s">
        <v>1132</v>
      </c>
      <c r="P3694" t="str">
        <f>IFERROR(VLOOKUP(F3694,Sheet1!$A$2:$B$54,2,FALSE),"")</f>
        <v/>
      </c>
    </row>
    <row r="3695" spans="1:16" x14ac:dyDescent="0.2">
      <c r="A3695" s="1">
        <v>2017</v>
      </c>
      <c r="B3695" t="s">
        <v>448</v>
      </c>
      <c r="C3695" s="10" t="s">
        <v>1678</v>
      </c>
      <c r="D3695" s="10" t="s">
        <v>1679</v>
      </c>
      <c r="E3695" s="10" t="s">
        <v>1682</v>
      </c>
      <c r="F3695" t="s">
        <v>946</v>
      </c>
      <c r="G3695" s="4">
        <v>323900</v>
      </c>
      <c r="H3695" s="4"/>
      <c r="I3695" s="4"/>
      <c r="J3695" s="4">
        <f>SUM(G3695:I3695)</f>
        <v>323900</v>
      </c>
      <c r="K3695" t="s">
        <v>1659</v>
      </c>
      <c r="L3695" t="s">
        <v>1659</v>
      </c>
      <c r="M3695" t="s">
        <v>1567</v>
      </c>
      <c r="N3695" t="s">
        <v>1132</v>
      </c>
      <c r="O3695" t="s">
        <v>1132</v>
      </c>
      <c r="P3695" t="str">
        <f>IFERROR(VLOOKUP(F3695,Sheet1!$A$2:$B$54,2,FALSE),"")</f>
        <v/>
      </c>
    </row>
    <row r="3696" spans="1:16" x14ac:dyDescent="0.2">
      <c r="A3696" s="1">
        <v>2018</v>
      </c>
      <c r="B3696" t="s">
        <v>448</v>
      </c>
      <c r="C3696" s="10" t="s">
        <v>1678</v>
      </c>
      <c r="D3696" s="10" t="s">
        <v>1679</v>
      </c>
      <c r="E3696" s="10" t="s">
        <v>1682</v>
      </c>
      <c r="F3696" t="s">
        <v>946</v>
      </c>
      <c r="G3696" s="4">
        <v>387270</v>
      </c>
      <c r="H3696" s="4"/>
      <c r="I3696" s="4"/>
      <c r="J3696" s="4">
        <f>SUM(G3696:I3696)</f>
        <v>387270</v>
      </c>
      <c r="K3696" t="s">
        <v>1659</v>
      </c>
      <c r="L3696" t="s">
        <v>1659</v>
      </c>
      <c r="M3696" t="s">
        <v>1567</v>
      </c>
      <c r="N3696" t="s">
        <v>1132</v>
      </c>
      <c r="O3696" t="s">
        <v>1132</v>
      </c>
      <c r="P3696" t="str">
        <f>IFERROR(VLOOKUP(F3696,Sheet1!$A$2:$B$54,2,FALSE),"")</f>
        <v/>
      </c>
    </row>
    <row r="3697" spans="1:16" x14ac:dyDescent="0.2">
      <c r="A3697" s="1">
        <v>2019</v>
      </c>
      <c r="B3697" t="s">
        <v>448</v>
      </c>
      <c r="C3697" s="10" t="s">
        <v>1678</v>
      </c>
      <c r="D3697" s="10" t="s">
        <v>1679</v>
      </c>
      <c r="E3697" s="10" t="s">
        <v>1682</v>
      </c>
      <c r="F3697" t="s">
        <v>946</v>
      </c>
      <c r="G3697" s="4">
        <v>491032</v>
      </c>
      <c r="H3697" s="4"/>
      <c r="I3697" s="4"/>
      <c r="J3697" s="4">
        <f>SUM(G3697:I3697)</f>
        <v>491032</v>
      </c>
      <c r="K3697" t="s">
        <v>1659</v>
      </c>
      <c r="L3697" t="s">
        <v>1659</v>
      </c>
      <c r="M3697" t="s">
        <v>1567</v>
      </c>
      <c r="N3697" t="s">
        <v>1132</v>
      </c>
      <c r="O3697" t="s">
        <v>1132</v>
      </c>
      <c r="P3697" t="str">
        <f>IFERROR(VLOOKUP(F3697,Sheet1!$A$2:$B$54,2,FALSE),"")</f>
        <v/>
      </c>
    </row>
    <row r="3698" spans="1:16" x14ac:dyDescent="0.2">
      <c r="A3698" s="1">
        <v>2020</v>
      </c>
      <c r="B3698" t="s">
        <v>448</v>
      </c>
      <c r="C3698" s="10" t="s">
        <v>1678</v>
      </c>
      <c r="D3698" s="10" t="s">
        <v>1679</v>
      </c>
      <c r="E3698" s="10" t="s">
        <v>1682</v>
      </c>
      <c r="F3698" t="s">
        <v>946</v>
      </c>
      <c r="G3698" s="4">
        <v>556248</v>
      </c>
      <c r="H3698" s="4"/>
      <c r="I3698" s="4"/>
      <c r="J3698" s="4">
        <f>SUM(G3698:I3698)</f>
        <v>556248</v>
      </c>
      <c r="K3698" t="s">
        <v>1659</v>
      </c>
      <c r="L3698" t="s">
        <v>1659</v>
      </c>
      <c r="M3698" t="s">
        <v>1567</v>
      </c>
      <c r="N3698" t="s">
        <v>1132</v>
      </c>
      <c r="O3698" t="s">
        <v>1132</v>
      </c>
      <c r="P3698" t="str">
        <f>IFERROR(VLOOKUP(F3698,Sheet1!$A$2:$B$54,2,FALSE),"")</f>
        <v/>
      </c>
    </row>
    <row r="3699" spans="1:16" x14ac:dyDescent="0.2">
      <c r="A3699" s="1">
        <v>2021</v>
      </c>
      <c r="B3699" t="s">
        <v>448</v>
      </c>
      <c r="C3699" s="10" t="s">
        <v>1678</v>
      </c>
      <c r="D3699" s="10" t="s">
        <v>1679</v>
      </c>
      <c r="E3699" s="10" t="s">
        <v>1682</v>
      </c>
      <c r="F3699" t="s">
        <v>946</v>
      </c>
      <c r="G3699" s="4">
        <v>643386</v>
      </c>
      <c r="H3699" s="4"/>
      <c r="I3699" s="4"/>
      <c r="J3699" s="4">
        <f>SUM(G3699:I3699)</f>
        <v>643386</v>
      </c>
      <c r="K3699" t="s">
        <v>1659</v>
      </c>
      <c r="L3699" t="s">
        <v>1659</v>
      </c>
      <c r="M3699" t="s">
        <v>946</v>
      </c>
      <c r="N3699" t="s">
        <v>1132</v>
      </c>
      <c r="O3699" t="s">
        <v>1132</v>
      </c>
      <c r="P3699" t="str">
        <f>IFERROR(VLOOKUP(F3699,Sheet1!$A$2:$B$54,2,FALSE),"")</f>
        <v/>
      </c>
    </row>
    <row r="3700" spans="1:16" x14ac:dyDescent="0.2">
      <c r="A3700" s="1">
        <v>2022</v>
      </c>
      <c r="B3700" t="s">
        <v>448</v>
      </c>
      <c r="C3700" s="10" t="s">
        <v>1678</v>
      </c>
      <c r="D3700" s="10" t="s">
        <v>1679</v>
      </c>
      <c r="E3700" s="10" t="s">
        <v>1682</v>
      </c>
      <c r="F3700" t="s">
        <v>946</v>
      </c>
      <c r="G3700" s="4">
        <v>799506</v>
      </c>
      <c r="H3700" s="4"/>
      <c r="I3700" s="4"/>
      <c r="J3700" s="4">
        <f>SUM(G3700:I3700)</f>
        <v>799506</v>
      </c>
      <c r="K3700" t="s">
        <v>1659</v>
      </c>
      <c r="L3700" t="s">
        <v>1659</v>
      </c>
      <c r="M3700" t="s">
        <v>946</v>
      </c>
      <c r="N3700" t="s">
        <v>1132</v>
      </c>
      <c r="O3700" t="s">
        <v>1132</v>
      </c>
      <c r="P3700" t="str">
        <f>IFERROR(VLOOKUP(F3700,Sheet1!$A$2:$B$54,2,FALSE),"")</f>
        <v/>
      </c>
    </row>
    <row r="3701" spans="1:16" x14ac:dyDescent="0.2">
      <c r="A3701" s="1">
        <v>2023</v>
      </c>
      <c r="B3701" t="s">
        <v>448</v>
      </c>
      <c r="C3701" s="10" t="s">
        <v>1678</v>
      </c>
      <c r="D3701" s="10" t="s">
        <v>1679</v>
      </c>
      <c r="E3701" s="10" t="s">
        <v>1682</v>
      </c>
      <c r="F3701" t="s">
        <v>946</v>
      </c>
      <c r="G3701" s="4">
        <v>933653</v>
      </c>
      <c r="H3701" s="4"/>
      <c r="I3701" s="4"/>
      <c r="J3701" s="4">
        <f>SUM(G3701:I3701)</f>
        <v>933653</v>
      </c>
      <c r="K3701" t="s">
        <v>1659</v>
      </c>
      <c r="L3701" t="s">
        <v>1659</v>
      </c>
      <c r="M3701" t="s">
        <v>946</v>
      </c>
      <c r="N3701" t="s">
        <v>1132</v>
      </c>
      <c r="O3701" t="s">
        <v>1132</v>
      </c>
      <c r="P3701" t="str">
        <f>IFERROR(VLOOKUP(F3701,Sheet1!$A$2:$B$54,2,FALSE),"")</f>
        <v/>
      </c>
    </row>
    <row r="3702" spans="1:16" x14ac:dyDescent="0.2">
      <c r="A3702" s="1">
        <v>2015</v>
      </c>
      <c r="B3702" t="s">
        <v>449</v>
      </c>
      <c r="C3702" s="10" t="s">
        <v>1678</v>
      </c>
      <c r="D3702" s="10" t="s">
        <v>1679</v>
      </c>
      <c r="E3702" s="10" t="s">
        <v>1682</v>
      </c>
      <c r="F3702" t="s">
        <v>947</v>
      </c>
      <c r="G3702" s="4">
        <v>5257</v>
      </c>
      <c r="H3702" s="4"/>
      <c r="I3702" s="4"/>
      <c r="J3702" s="4">
        <f>SUM(G3702:I3702)</f>
        <v>5257</v>
      </c>
      <c r="K3702" t="s">
        <v>1659</v>
      </c>
      <c r="L3702" t="s">
        <v>1659</v>
      </c>
      <c r="M3702" t="s">
        <v>1568</v>
      </c>
      <c r="N3702" t="s">
        <v>1132</v>
      </c>
      <c r="O3702" t="s">
        <v>1132</v>
      </c>
      <c r="P3702" t="str">
        <f>IFERROR(VLOOKUP(F3702,Sheet1!$A$2:$B$54,2,FALSE),"")</f>
        <v/>
      </c>
    </row>
    <row r="3703" spans="1:16" x14ac:dyDescent="0.2">
      <c r="A3703" s="1">
        <v>2016</v>
      </c>
      <c r="B3703" t="s">
        <v>449</v>
      </c>
      <c r="C3703" s="10" t="s">
        <v>1678</v>
      </c>
      <c r="D3703" s="10" t="s">
        <v>1679</v>
      </c>
      <c r="E3703" s="10" t="s">
        <v>1682</v>
      </c>
      <c r="F3703" t="s">
        <v>947</v>
      </c>
      <c r="G3703" s="4">
        <v>4181</v>
      </c>
      <c r="H3703" s="4"/>
      <c r="I3703" s="4"/>
      <c r="J3703" s="4">
        <f>SUM(G3703:I3703)</f>
        <v>4181</v>
      </c>
      <c r="K3703" t="s">
        <v>1659</v>
      </c>
      <c r="L3703" t="s">
        <v>1659</v>
      </c>
      <c r="M3703" t="s">
        <v>1568</v>
      </c>
      <c r="N3703" t="s">
        <v>1132</v>
      </c>
      <c r="O3703" t="s">
        <v>1132</v>
      </c>
      <c r="P3703" t="str">
        <f>IFERROR(VLOOKUP(F3703,Sheet1!$A$2:$B$54,2,FALSE),"")</f>
        <v/>
      </c>
    </row>
    <row r="3704" spans="1:16" x14ac:dyDescent="0.2">
      <c r="A3704" s="1">
        <v>2017</v>
      </c>
      <c r="B3704" t="s">
        <v>449</v>
      </c>
      <c r="C3704" s="10" t="s">
        <v>1678</v>
      </c>
      <c r="D3704" s="10" t="s">
        <v>1679</v>
      </c>
      <c r="E3704" s="10" t="s">
        <v>1682</v>
      </c>
      <c r="F3704" t="s">
        <v>947</v>
      </c>
      <c r="G3704" s="4">
        <v>4419</v>
      </c>
      <c r="H3704" s="4"/>
      <c r="I3704" s="4"/>
      <c r="J3704" s="4">
        <f>SUM(G3704:I3704)</f>
        <v>4419</v>
      </c>
      <c r="K3704" t="s">
        <v>1659</v>
      </c>
      <c r="L3704" t="s">
        <v>1659</v>
      </c>
      <c r="M3704" t="s">
        <v>1569</v>
      </c>
      <c r="N3704" t="s">
        <v>1132</v>
      </c>
      <c r="O3704" t="s">
        <v>1132</v>
      </c>
      <c r="P3704" t="str">
        <f>IFERROR(VLOOKUP(F3704,Sheet1!$A$2:$B$54,2,FALSE),"")</f>
        <v/>
      </c>
    </row>
    <row r="3705" spans="1:16" x14ac:dyDescent="0.2">
      <c r="A3705" s="1">
        <v>2018</v>
      </c>
      <c r="B3705" t="s">
        <v>449</v>
      </c>
      <c r="C3705" s="10" t="s">
        <v>1678</v>
      </c>
      <c r="D3705" s="10" t="s">
        <v>1679</v>
      </c>
      <c r="E3705" s="10" t="s">
        <v>1682</v>
      </c>
      <c r="F3705" t="s">
        <v>947</v>
      </c>
      <c r="G3705" s="4">
        <v>5310</v>
      </c>
      <c r="H3705" s="4"/>
      <c r="I3705" s="4"/>
      <c r="J3705" s="4">
        <f>SUM(G3705:I3705)</f>
        <v>5310</v>
      </c>
      <c r="K3705" t="s">
        <v>1659</v>
      </c>
      <c r="L3705" t="s">
        <v>1659</v>
      </c>
      <c r="M3705" t="s">
        <v>1569</v>
      </c>
      <c r="N3705" t="s">
        <v>1132</v>
      </c>
      <c r="O3705" t="s">
        <v>1132</v>
      </c>
      <c r="P3705" t="str">
        <f>IFERROR(VLOOKUP(F3705,Sheet1!$A$2:$B$54,2,FALSE),"")</f>
        <v/>
      </c>
    </row>
    <row r="3706" spans="1:16" x14ac:dyDescent="0.2">
      <c r="A3706" s="1">
        <v>2019</v>
      </c>
      <c r="B3706" t="s">
        <v>449</v>
      </c>
      <c r="C3706" s="10" t="s">
        <v>1678</v>
      </c>
      <c r="D3706" s="10" t="s">
        <v>1679</v>
      </c>
      <c r="E3706" s="10" t="s">
        <v>1682</v>
      </c>
      <c r="F3706" t="s">
        <v>947</v>
      </c>
      <c r="G3706" s="4">
        <v>12041</v>
      </c>
      <c r="H3706" s="4"/>
      <c r="I3706" s="4"/>
      <c r="J3706" s="4">
        <f>SUM(G3706:I3706)</f>
        <v>12041</v>
      </c>
      <c r="K3706" t="s">
        <v>1659</v>
      </c>
      <c r="L3706" t="s">
        <v>1659</v>
      </c>
      <c r="M3706" t="s">
        <v>1570</v>
      </c>
      <c r="N3706" t="s">
        <v>1132</v>
      </c>
      <c r="O3706" t="s">
        <v>1132</v>
      </c>
      <c r="P3706" t="str">
        <f>IFERROR(VLOOKUP(F3706,Sheet1!$A$2:$B$54,2,FALSE),"")</f>
        <v/>
      </c>
    </row>
    <row r="3707" spans="1:16" x14ac:dyDescent="0.2">
      <c r="A3707" s="1">
        <v>2020</v>
      </c>
      <c r="B3707" t="s">
        <v>449</v>
      </c>
      <c r="C3707" s="10" t="s">
        <v>1678</v>
      </c>
      <c r="D3707" s="10" t="s">
        <v>1679</v>
      </c>
      <c r="E3707" s="10" t="s">
        <v>1682</v>
      </c>
      <c r="F3707" t="s">
        <v>947</v>
      </c>
      <c r="G3707" s="4">
        <v>14087</v>
      </c>
      <c r="H3707" s="4">
        <v>0</v>
      </c>
      <c r="I3707" s="4"/>
      <c r="J3707" s="4">
        <f>SUM(G3707:I3707)</f>
        <v>14087</v>
      </c>
      <c r="K3707" t="s">
        <v>1660</v>
      </c>
      <c r="L3707" t="s">
        <v>1659</v>
      </c>
      <c r="M3707" t="s">
        <v>1569</v>
      </c>
      <c r="N3707" t="s">
        <v>1569</v>
      </c>
      <c r="O3707" t="s">
        <v>1132</v>
      </c>
      <c r="P3707" t="str">
        <f>IFERROR(VLOOKUP(F3707,Sheet1!$A$2:$B$54,2,FALSE),"")</f>
        <v/>
      </c>
    </row>
    <row r="3708" spans="1:16" x14ac:dyDescent="0.2">
      <c r="A3708" s="1">
        <v>2021</v>
      </c>
      <c r="B3708" t="s">
        <v>449</v>
      </c>
      <c r="C3708" s="10" t="s">
        <v>1678</v>
      </c>
      <c r="D3708" s="10" t="s">
        <v>1679</v>
      </c>
      <c r="E3708" s="10" t="s">
        <v>1682</v>
      </c>
      <c r="F3708" t="s">
        <v>947</v>
      </c>
      <c r="G3708" s="4">
        <v>15072</v>
      </c>
      <c r="H3708" s="4"/>
      <c r="I3708" s="4"/>
      <c r="J3708" s="4">
        <f>SUM(G3708:I3708)</f>
        <v>15072</v>
      </c>
      <c r="K3708" t="s">
        <v>1659</v>
      </c>
      <c r="L3708" t="s">
        <v>1659</v>
      </c>
      <c r="M3708" t="s">
        <v>947</v>
      </c>
      <c r="N3708" t="s">
        <v>1132</v>
      </c>
      <c r="O3708" t="s">
        <v>1132</v>
      </c>
      <c r="P3708" t="str">
        <f>IFERROR(VLOOKUP(F3708,Sheet1!$A$2:$B$54,2,FALSE),"")</f>
        <v/>
      </c>
    </row>
    <row r="3709" spans="1:16" x14ac:dyDescent="0.2">
      <c r="A3709" s="1">
        <v>2022</v>
      </c>
      <c r="B3709" t="s">
        <v>449</v>
      </c>
      <c r="C3709" s="10" t="s">
        <v>1678</v>
      </c>
      <c r="D3709" s="10" t="s">
        <v>1679</v>
      </c>
      <c r="E3709" s="10" t="s">
        <v>1682</v>
      </c>
      <c r="F3709" t="s">
        <v>947</v>
      </c>
      <c r="G3709" s="4">
        <v>16763</v>
      </c>
      <c r="H3709" s="4">
        <v>0</v>
      </c>
      <c r="I3709" s="4"/>
      <c r="J3709" s="4">
        <f>SUM(G3709:I3709)</f>
        <v>16763</v>
      </c>
      <c r="K3709" t="s">
        <v>1660</v>
      </c>
      <c r="L3709" t="s">
        <v>1659</v>
      </c>
      <c r="M3709" t="s">
        <v>947</v>
      </c>
      <c r="N3709" t="s">
        <v>947</v>
      </c>
      <c r="O3709" t="s">
        <v>1132</v>
      </c>
      <c r="P3709" t="str">
        <f>IFERROR(VLOOKUP(F3709,Sheet1!$A$2:$B$54,2,FALSE),"")</f>
        <v/>
      </c>
    </row>
    <row r="3710" spans="1:16" x14ac:dyDescent="0.2">
      <c r="A3710" s="1">
        <v>2023</v>
      </c>
      <c r="B3710" t="s">
        <v>449</v>
      </c>
      <c r="C3710" s="10" t="s">
        <v>1678</v>
      </c>
      <c r="D3710" s="10" t="s">
        <v>1679</v>
      </c>
      <c r="E3710" s="10" t="s">
        <v>1682</v>
      </c>
      <c r="F3710" t="s">
        <v>947</v>
      </c>
      <c r="G3710" s="4">
        <v>19341</v>
      </c>
      <c r="H3710" s="4"/>
      <c r="I3710" s="4"/>
      <c r="J3710" s="4">
        <f>SUM(G3710:I3710)</f>
        <v>19341</v>
      </c>
      <c r="K3710" t="s">
        <v>1659</v>
      </c>
      <c r="L3710" t="s">
        <v>1659</v>
      </c>
      <c r="M3710" t="s">
        <v>947</v>
      </c>
      <c r="N3710" t="s">
        <v>1132</v>
      </c>
      <c r="O3710" t="s">
        <v>1132</v>
      </c>
      <c r="P3710" t="str">
        <f>IFERROR(VLOOKUP(F3710,Sheet1!$A$2:$B$54,2,FALSE),"")</f>
        <v/>
      </c>
    </row>
    <row r="3711" spans="1:16" x14ac:dyDescent="0.2">
      <c r="A3711" s="1">
        <v>2016</v>
      </c>
      <c r="B3711" t="s">
        <v>450</v>
      </c>
      <c r="C3711" s="10" t="s">
        <v>1678</v>
      </c>
      <c r="D3711" s="10" t="s">
        <v>1679</v>
      </c>
      <c r="E3711" s="10" t="s">
        <v>1682</v>
      </c>
      <c r="F3711" t="s">
        <v>948</v>
      </c>
      <c r="G3711" s="4">
        <v>1622</v>
      </c>
      <c r="H3711" s="4"/>
      <c r="I3711" s="4"/>
      <c r="J3711" s="4">
        <f>SUM(G3711:I3711)</f>
        <v>1622</v>
      </c>
      <c r="K3711" t="s">
        <v>1659</v>
      </c>
      <c r="L3711" t="s">
        <v>1659</v>
      </c>
      <c r="M3711" t="s">
        <v>1571</v>
      </c>
      <c r="N3711" t="s">
        <v>1132</v>
      </c>
      <c r="O3711" t="s">
        <v>1132</v>
      </c>
      <c r="P3711" t="str">
        <f>IFERROR(VLOOKUP(F3711,Sheet1!$A$2:$B$54,2,FALSE),"")</f>
        <v/>
      </c>
    </row>
    <row r="3712" spans="1:16" x14ac:dyDescent="0.2">
      <c r="A3712" s="1">
        <v>2017</v>
      </c>
      <c r="B3712" t="s">
        <v>450</v>
      </c>
      <c r="C3712" s="10" t="s">
        <v>1678</v>
      </c>
      <c r="D3712" s="10" t="s">
        <v>1679</v>
      </c>
      <c r="E3712" s="10" t="s">
        <v>1682</v>
      </c>
      <c r="F3712" t="s">
        <v>948</v>
      </c>
      <c r="G3712" s="4">
        <v>3910</v>
      </c>
      <c r="H3712" s="4"/>
      <c r="I3712" s="4"/>
      <c r="J3712" s="4">
        <f>SUM(G3712:I3712)</f>
        <v>3910</v>
      </c>
      <c r="K3712" t="s">
        <v>1659</v>
      </c>
      <c r="L3712" t="s">
        <v>1659</v>
      </c>
      <c r="M3712" t="s">
        <v>1571</v>
      </c>
      <c r="N3712" t="s">
        <v>1132</v>
      </c>
      <c r="O3712" t="s">
        <v>1132</v>
      </c>
      <c r="P3712" t="str">
        <f>IFERROR(VLOOKUP(F3712,Sheet1!$A$2:$B$54,2,FALSE),"")</f>
        <v/>
      </c>
    </row>
    <row r="3713" spans="1:16" x14ac:dyDescent="0.2">
      <c r="A3713" s="1">
        <v>2018</v>
      </c>
      <c r="B3713" t="s">
        <v>450</v>
      </c>
      <c r="C3713" s="10" t="s">
        <v>1678</v>
      </c>
      <c r="D3713" s="10" t="s">
        <v>1679</v>
      </c>
      <c r="E3713" s="10" t="s">
        <v>1682</v>
      </c>
      <c r="F3713" t="s">
        <v>948</v>
      </c>
      <c r="G3713" s="4">
        <v>4211</v>
      </c>
      <c r="H3713" s="4"/>
      <c r="I3713" s="4"/>
      <c r="J3713" s="4">
        <f>SUM(G3713:I3713)</f>
        <v>4211</v>
      </c>
      <c r="K3713" t="s">
        <v>1659</v>
      </c>
      <c r="L3713" t="s">
        <v>1659</v>
      </c>
      <c r="M3713" t="s">
        <v>1571</v>
      </c>
      <c r="N3713" t="s">
        <v>1132</v>
      </c>
      <c r="O3713" t="s">
        <v>1132</v>
      </c>
      <c r="P3713" t="str">
        <f>IFERROR(VLOOKUP(F3713,Sheet1!$A$2:$B$54,2,FALSE),"")</f>
        <v/>
      </c>
    </row>
    <row r="3714" spans="1:16" x14ac:dyDescent="0.2">
      <c r="A3714" s="1">
        <v>2019</v>
      </c>
      <c r="B3714" t="s">
        <v>450</v>
      </c>
      <c r="C3714" s="10" t="s">
        <v>1678</v>
      </c>
      <c r="D3714" s="10" t="s">
        <v>1679</v>
      </c>
      <c r="E3714" s="10" t="s">
        <v>1682</v>
      </c>
      <c r="F3714" t="s">
        <v>948</v>
      </c>
      <c r="G3714" s="4">
        <v>3697</v>
      </c>
      <c r="H3714" s="4"/>
      <c r="I3714" s="4"/>
      <c r="J3714" s="4">
        <f>SUM(G3714:I3714)</f>
        <v>3697</v>
      </c>
      <c r="K3714" t="s">
        <v>1659</v>
      </c>
      <c r="L3714" t="s">
        <v>1659</v>
      </c>
      <c r="M3714" t="s">
        <v>1571</v>
      </c>
      <c r="N3714" t="s">
        <v>1132</v>
      </c>
      <c r="O3714" t="s">
        <v>1132</v>
      </c>
      <c r="P3714" t="str">
        <f>IFERROR(VLOOKUP(F3714,Sheet1!$A$2:$B$54,2,FALSE),"")</f>
        <v/>
      </c>
    </row>
    <row r="3715" spans="1:16" x14ac:dyDescent="0.2">
      <c r="A3715" s="1">
        <v>2020</v>
      </c>
      <c r="B3715" t="s">
        <v>450</v>
      </c>
      <c r="C3715" s="10" t="s">
        <v>1678</v>
      </c>
      <c r="D3715" s="10" t="s">
        <v>1679</v>
      </c>
      <c r="E3715" s="10" t="s">
        <v>1682</v>
      </c>
      <c r="F3715" t="s">
        <v>948</v>
      </c>
      <c r="G3715" s="4">
        <v>4423</v>
      </c>
      <c r="H3715" s="4"/>
      <c r="I3715" s="4"/>
      <c r="J3715" s="4">
        <f>SUM(G3715:I3715)</f>
        <v>4423</v>
      </c>
      <c r="K3715" t="s">
        <v>1659</v>
      </c>
      <c r="L3715" t="s">
        <v>1659</v>
      </c>
      <c r="M3715" t="s">
        <v>1571</v>
      </c>
      <c r="N3715" t="s">
        <v>1132</v>
      </c>
      <c r="O3715" t="s">
        <v>1132</v>
      </c>
      <c r="P3715" t="str">
        <f>IFERROR(VLOOKUP(F3715,Sheet1!$A$2:$B$54,2,FALSE),"")</f>
        <v/>
      </c>
    </row>
    <row r="3716" spans="1:16" x14ac:dyDescent="0.2">
      <c r="A3716" s="1">
        <v>2021</v>
      </c>
      <c r="B3716" t="s">
        <v>450</v>
      </c>
      <c r="C3716" s="10" t="s">
        <v>1678</v>
      </c>
      <c r="D3716" s="10" t="s">
        <v>1679</v>
      </c>
      <c r="E3716" s="10" t="s">
        <v>1682</v>
      </c>
      <c r="F3716" t="s">
        <v>948</v>
      </c>
      <c r="G3716" s="4">
        <v>5664</v>
      </c>
      <c r="H3716" s="4"/>
      <c r="I3716" s="4"/>
      <c r="J3716" s="4">
        <f>SUM(G3716:I3716)</f>
        <v>5664</v>
      </c>
      <c r="K3716" t="s">
        <v>1659</v>
      </c>
      <c r="L3716" t="s">
        <v>1659</v>
      </c>
      <c r="M3716" t="s">
        <v>948</v>
      </c>
      <c r="N3716" t="s">
        <v>1132</v>
      </c>
      <c r="O3716" t="s">
        <v>1132</v>
      </c>
      <c r="P3716" t="str">
        <f>IFERROR(VLOOKUP(F3716,Sheet1!$A$2:$B$54,2,FALSE),"")</f>
        <v/>
      </c>
    </row>
    <row r="3717" spans="1:16" x14ac:dyDescent="0.2">
      <c r="A3717" s="1">
        <v>2022</v>
      </c>
      <c r="B3717" t="s">
        <v>450</v>
      </c>
      <c r="C3717" s="10" t="s">
        <v>1678</v>
      </c>
      <c r="D3717" s="10" t="s">
        <v>1679</v>
      </c>
      <c r="E3717" s="10" t="s">
        <v>1682</v>
      </c>
      <c r="F3717" t="s">
        <v>948</v>
      </c>
      <c r="G3717" s="4">
        <v>13860</v>
      </c>
      <c r="H3717" s="4"/>
      <c r="I3717" s="4"/>
      <c r="J3717" s="4">
        <f>SUM(G3717:I3717)</f>
        <v>13860</v>
      </c>
      <c r="K3717" t="s">
        <v>1659</v>
      </c>
      <c r="L3717" t="s">
        <v>1659</v>
      </c>
      <c r="M3717" t="s">
        <v>948</v>
      </c>
      <c r="N3717" t="s">
        <v>1132</v>
      </c>
      <c r="O3717" t="s">
        <v>1132</v>
      </c>
      <c r="P3717" t="str">
        <f>IFERROR(VLOOKUP(F3717,Sheet1!$A$2:$B$54,2,FALSE),"")</f>
        <v/>
      </c>
    </row>
    <row r="3718" spans="1:16" x14ac:dyDescent="0.2">
      <c r="A3718" s="1">
        <v>2023</v>
      </c>
      <c r="B3718" t="s">
        <v>450</v>
      </c>
      <c r="C3718" s="10" t="s">
        <v>1678</v>
      </c>
      <c r="D3718" s="10" t="s">
        <v>1679</v>
      </c>
      <c r="E3718" s="10" t="s">
        <v>1682</v>
      </c>
      <c r="F3718" t="s">
        <v>948</v>
      </c>
      <c r="G3718" s="4">
        <v>19821</v>
      </c>
      <c r="H3718" s="4"/>
      <c r="I3718" s="4"/>
      <c r="J3718" s="4">
        <f>SUM(G3718:I3718)</f>
        <v>19821</v>
      </c>
      <c r="K3718" t="s">
        <v>1659</v>
      </c>
      <c r="L3718" t="s">
        <v>1659</v>
      </c>
      <c r="M3718" t="s">
        <v>948</v>
      </c>
      <c r="N3718" t="s">
        <v>1132</v>
      </c>
      <c r="O3718" t="s">
        <v>1132</v>
      </c>
      <c r="P3718" t="str">
        <f>IFERROR(VLOOKUP(F3718,Sheet1!$A$2:$B$54,2,FALSE),"")</f>
        <v/>
      </c>
    </row>
    <row r="3719" spans="1:16" x14ac:dyDescent="0.2">
      <c r="A3719" s="1">
        <v>2015</v>
      </c>
      <c r="B3719" t="s">
        <v>451</v>
      </c>
      <c r="C3719" s="10" t="s">
        <v>1678</v>
      </c>
      <c r="D3719" s="10" t="s">
        <v>1679</v>
      </c>
      <c r="E3719" s="10" t="s">
        <v>1682</v>
      </c>
      <c r="F3719" t="s">
        <v>949</v>
      </c>
      <c r="G3719" s="4">
        <v>6451</v>
      </c>
      <c r="H3719" s="4"/>
      <c r="I3719" s="4"/>
      <c r="J3719" s="4">
        <f>SUM(G3719:I3719)</f>
        <v>6451</v>
      </c>
      <c r="K3719" t="s">
        <v>1659</v>
      </c>
      <c r="L3719" t="s">
        <v>1659</v>
      </c>
      <c r="M3719" t="s">
        <v>1572</v>
      </c>
      <c r="N3719" t="s">
        <v>1132</v>
      </c>
      <c r="O3719" t="s">
        <v>1132</v>
      </c>
      <c r="P3719" t="str">
        <f>IFERROR(VLOOKUP(F3719,Sheet1!$A$2:$B$54,2,FALSE),"")</f>
        <v/>
      </c>
    </row>
    <row r="3720" spans="1:16" x14ac:dyDescent="0.2">
      <c r="A3720" s="1">
        <v>2016</v>
      </c>
      <c r="B3720" t="s">
        <v>451</v>
      </c>
      <c r="C3720" s="10" t="s">
        <v>1678</v>
      </c>
      <c r="D3720" s="10" t="s">
        <v>1679</v>
      </c>
      <c r="E3720" s="10" t="s">
        <v>1682</v>
      </c>
      <c r="F3720" t="s">
        <v>949</v>
      </c>
      <c r="G3720" s="4">
        <v>8563</v>
      </c>
      <c r="H3720" s="4"/>
      <c r="I3720" s="4"/>
      <c r="J3720" s="4">
        <f>SUM(G3720:I3720)</f>
        <v>8563</v>
      </c>
      <c r="K3720" t="s">
        <v>1659</v>
      </c>
      <c r="L3720" t="s">
        <v>1659</v>
      </c>
      <c r="M3720" t="s">
        <v>1572</v>
      </c>
      <c r="N3720" t="s">
        <v>1132</v>
      </c>
      <c r="O3720" t="s">
        <v>1132</v>
      </c>
      <c r="P3720" t="str">
        <f>IFERROR(VLOOKUP(F3720,Sheet1!$A$2:$B$54,2,FALSE),"")</f>
        <v/>
      </c>
    </row>
    <row r="3721" spans="1:16" x14ac:dyDescent="0.2">
      <c r="A3721" s="1">
        <v>2017</v>
      </c>
      <c r="B3721" t="s">
        <v>451</v>
      </c>
      <c r="C3721" s="10" t="s">
        <v>1678</v>
      </c>
      <c r="D3721" s="10" t="s">
        <v>1679</v>
      </c>
      <c r="E3721" s="10" t="s">
        <v>1682</v>
      </c>
      <c r="F3721" t="s">
        <v>949</v>
      </c>
      <c r="G3721" s="4">
        <v>10184</v>
      </c>
      <c r="H3721" s="4"/>
      <c r="I3721" s="4"/>
      <c r="J3721" s="4">
        <f>SUM(G3721:I3721)</f>
        <v>10184</v>
      </c>
      <c r="K3721" t="s">
        <v>1659</v>
      </c>
      <c r="L3721" t="s">
        <v>1659</v>
      </c>
      <c r="M3721" t="s">
        <v>1572</v>
      </c>
      <c r="N3721" t="s">
        <v>1132</v>
      </c>
      <c r="O3721" t="s">
        <v>1132</v>
      </c>
      <c r="P3721" t="str">
        <f>IFERROR(VLOOKUP(F3721,Sheet1!$A$2:$B$54,2,FALSE),"")</f>
        <v/>
      </c>
    </row>
    <row r="3722" spans="1:16" x14ac:dyDescent="0.2">
      <c r="A3722" s="1">
        <v>2018</v>
      </c>
      <c r="B3722" t="s">
        <v>451</v>
      </c>
      <c r="C3722" s="10" t="s">
        <v>1678</v>
      </c>
      <c r="D3722" s="10" t="s">
        <v>1679</v>
      </c>
      <c r="E3722" s="10" t="s">
        <v>1682</v>
      </c>
      <c r="F3722" t="s">
        <v>949</v>
      </c>
      <c r="G3722" s="4">
        <v>10158</v>
      </c>
      <c r="H3722" s="4"/>
      <c r="I3722" s="4"/>
      <c r="J3722" s="4">
        <f>SUM(G3722:I3722)</f>
        <v>10158</v>
      </c>
      <c r="K3722" t="s">
        <v>1659</v>
      </c>
      <c r="L3722" t="s">
        <v>1659</v>
      </c>
      <c r="M3722" t="s">
        <v>1572</v>
      </c>
      <c r="N3722" t="s">
        <v>1132</v>
      </c>
      <c r="O3722" t="s">
        <v>1132</v>
      </c>
      <c r="P3722" t="str">
        <f>IFERROR(VLOOKUP(F3722,Sheet1!$A$2:$B$54,2,FALSE),"")</f>
        <v/>
      </c>
    </row>
    <row r="3723" spans="1:16" x14ac:dyDescent="0.2">
      <c r="A3723" s="1">
        <v>2019</v>
      </c>
      <c r="B3723" t="s">
        <v>451</v>
      </c>
      <c r="C3723" s="10" t="s">
        <v>1678</v>
      </c>
      <c r="D3723" s="10" t="s">
        <v>1679</v>
      </c>
      <c r="E3723" s="10" t="s">
        <v>1682</v>
      </c>
      <c r="F3723" t="s">
        <v>949</v>
      </c>
      <c r="G3723" s="4">
        <v>10158</v>
      </c>
      <c r="H3723" s="4"/>
      <c r="I3723" s="4"/>
      <c r="J3723" s="4">
        <f>SUM(G3723:I3723)</f>
        <v>10158</v>
      </c>
      <c r="K3723" t="s">
        <v>1659</v>
      </c>
      <c r="L3723" t="s">
        <v>1659</v>
      </c>
      <c r="M3723" t="s">
        <v>1572</v>
      </c>
      <c r="N3723" t="s">
        <v>1132</v>
      </c>
      <c r="O3723" t="s">
        <v>1132</v>
      </c>
      <c r="P3723" t="str">
        <f>IFERROR(VLOOKUP(F3723,Sheet1!$A$2:$B$54,2,FALSE),"")</f>
        <v/>
      </c>
    </row>
    <row r="3724" spans="1:16" x14ac:dyDescent="0.2">
      <c r="A3724" s="1">
        <v>2020</v>
      </c>
      <c r="B3724" t="s">
        <v>451</v>
      </c>
      <c r="C3724" s="10" t="s">
        <v>1678</v>
      </c>
      <c r="D3724" s="10" t="s">
        <v>1679</v>
      </c>
      <c r="E3724" s="10" t="s">
        <v>1682</v>
      </c>
      <c r="F3724" t="s">
        <v>949</v>
      </c>
      <c r="G3724" s="4">
        <v>14274</v>
      </c>
      <c r="H3724" s="4"/>
      <c r="I3724" s="4"/>
      <c r="J3724" s="4">
        <f>SUM(G3724:I3724)</f>
        <v>14274</v>
      </c>
      <c r="K3724" t="s">
        <v>1659</v>
      </c>
      <c r="L3724" t="s">
        <v>1659</v>
      </c>
      <c r="M3724" t="s">
        <v>1572</v>
      </c>
      <c r="N3724" t="s">
        <v>1132</v>
      </c>
      <c r="O3724" t="s">
        <v>1132</v>
      </c>
      <c r="P3724" t="str">
        <f>IFERROR(VLOOKUP(F3724,Sheet1!$A$2:$B$54,2,FALSE),"")</f>
        <v/>
      </c>
    </row>
    <row r="3725" spans="1:16" x14ac:dyDescent="0.2">
      <c r="A3725" s="1">
        <v>2021</v>
      </c>
      <c r="B3725" t="s">
        <v>451</v>
      </c>
      <c r="C3725" s="10" t="s">
        <v>1678</v>
      </c>
      <c r="D3725" s="10" t="s">
        <v>1679</v>
      </c>
      <c r="E3725" s="10" t="s">
        <v>1682</v>
      </c>
      <c r="F3725" t="s">
        <v>949</v>
      </c>
      <c r="G3725" s="4">
        <v>26510</v>
      </c>
      <c r="H3725" s="4"/>
      <c r="I3725" s="4"/>
      <c r="J3725" s="4">
        <f>SUM(G3725:I3725)</f>
        <v>26510</v>
      </c>
      <c r="K3725" t="s">
        <v>1659</v>
      </c>
      <c r="L3725" t="s">
        <v>1659</v>
      </c>
      <c r="M3725" t="s">
        <v>949</v>
      </c>
      <c r="N3725" t="s">
        <v>1132</v>
      </c>
      <c r="O3725" t="s">
        <v>1132</v>
      </c>
      <c r="P3725" t="str">
        <f>IFERROR(VLOOKUP(F3725,Sheet1!$A$2:$B$54,2,FALSE),"")</f>
        <v/>
      </c>
    </row>
    <row r="3726" spans="1:16" x14ac:dyDescent="0.2">
      <c r="A3726" s="1">
        <v>2022</v>
      </c>
      <c r="B3726" t="s">
        <v>451</v>
      </c>
      <c r="C3726" s="10" t="s">
        <v>1678</v>
      </c>
      <c r="D3726" s="10" t="s">
        <v>1679</v>
      </c>
      <c r="E3726" s="10" t="s">
        <v>1682</v>
      </c>
      <c r="F3726" t="s">
        <v>949</v>
      </c>
      <c r="G3726" s="4">
        <v>34277</v>
      </c>
      <c r="H3726" s="4"/>
      <c r="I3726" s="4"/>
      <c r="J3726" s="4">
        <f>SUM(G3726:I3726)</f>
        <v>34277</v>
      </c>
      <c r="K3726" t="s">
        <v>1659</v>
      </c>
      <c r="L3726" t="s">
        <v>1659</v>
      </c>
      <c r="M3726" t="s">
        <v>949</v>
      </c>
      <c r="N3726" t="s">
        <v>1132</v>
      </c>
      <c r="O3726" t="s">
        <v>1132</v>
      </c>
      <c r="P3726" t="str">
        <f>IFERROR(VLOOKUP(F3726,Sheet1!$A$2:$B$54,2,FALSE),"")</f>
        <v/>
      </c>
    </row>
    <row r="3727" spans="1:16" x14ac:dyDescent="0.2">
      <c r="A3727" s="1">
        <v>2023</v>
      </c>
      <c r="B3727" t="s">
        <v>451</v>
      </c>
      <c r="C3727" s="10" t="s">
        <v>1678</v>
      </c>
      <c r="D3727" s="10" t="s">
        <v>1679</v>
      </c>
      <c r="E3727" s="10" t="s">
        <v>1682</v>
      </c>
      <c r="F3727" t="s">
        <v>949</v>
      </c>
      <c r="G3727" s="4">
        <v>33568</v>
      </c>
      <c r="H3727" s="4"/>
      <c r="I3727" s="4"/>
      <c r="J3727" s="4">
        <f>SUM(G3727:I3727)</f>
        <v>33568</v>
      </c>
      <c r="K3727" t="s">
        <v>1659</v>
      </c>
      <c r="L3727" t="s">
        <v>1659</v>
      </c>
      <c r="M3727" t="s">
        <v>949</v>
      </c>
      <c r="N3727" t="s">
        <v>1132</v>
      </c>
      <c r="O3727" t="s">
        <v>1132</v>
      </c>
      <c r="P3727" t="str">
        <f>IFERROR(VLOOKUP(F3727,Sheet1!$A$2:$B$54,2,FALSE),"")</f>
        <v/>
      </c>
    </row>
    <row r="3728" spans="1:16" x14ac:dyDescent="0.2">
      <c r="A3728" s="1">
        <v>2015</v>
      </c>
      <c r="B3728" t="s">
        <v>452</v>
      </c>
      <c r="C3728" s="10" t="s">
        <v>1678</v>
      </c>
      <c r="D3728" s="10" t="s">
        <v>1679</v>
      </c>
      <c r="E3728" s="10" t="s">
        <v>1682</v>
      </c>
      <c r="F3728" t="s">
        <v>950</v>
      </c>
      <c r="G3728" s="4">
        <v>302760</v>
      </c>
      <c r="H3728" s="4">
        <v>5843567</v>
      </c>
      <c r="I3728" s="4">
        <v>99260</v>
      </c>
      <c r="J3728" s="4">
        <f>SUM(G3728:I3728)</f>
        <v>6245587</v>
      </c>
      <c r="K3728" t="s">
        <v>1660</v>
      </c>
      <c r="L3728" t="s">
        <v>1660</v>
      </c>
      <c r="M3728" t="s">
        <v>1573</v>
      </c>
      <c r="N3728" t="s">
        <v>1573</v>
      </c>
      <c r="O3728" t="s">
        <v>1573</v>
      </c>
      <c r="P3728" t="str">
        <f>IFERROR(VLOOKUP(F3728,Sheet1!$A$2:$B$54,2,FALSE),"")</f>
        <v/>
      </c>
    </row>
    <row r="3729" spans="1:16" x14ac:dyDescent="0.2">
      <c r="A3729" s="1">
        <v>2016</v>
      </c>
      <c r="B3729" t="s">
        <v>452</v>
      </c>
      <c r="C3729" s="10" t="s">
        <v>1678</v>
      </c>
      <c r="D3729" s="10" t="s">
        <v>1679</v>
      </c>
      <c r="E3729" s="10" t="s">
        <v>1682</v>
      </c>
      <c r="F3729" t="s">
        <v>950</v>
      </c>
      <c r="G3729" s="4">
        <v>480842</v>
      </c>
      <c r="H3729" s="4">
        <v>6113853</v>
      </c>
      <c r="I3729" s="4">
        <v>96554</v>
      </c>
      <c r="J3729" s="4">
        <f>SUM(G3729:I3729)</f>
        <v>6691249</v>
      </c>
      <c r="K3729" t="s">
        <v>1660</v>
      </c>
      <c r="L3729" t="s">
        <v>1660</v>
      </c>
      <c r="M3729" t="s">
        <v>1573</v>
      </c>
      <c r="N3729" t="s">
        <v>1573</v>
      </c>
      <c r="O3729" t="s">
        <v>1573</v>
      </c>
      <c r="P3729" t="str">
        <f>IFERROR(VLOOKUP(F3729,Sheet1!$A$2:$B$54,2,FALSE),"")</f>
        <v/>
      </c>
    </row>
    <row r="3730" spans="1:16" x14ac:dyDescent="0.2">
      <c r="A3730" s="1">
        <v>2017</v>
      </c>
      <c r="B3730" t="s">
        <v>452</v>
      </c>
      <c r="C3730" s="10" t="s">
        <v>1678</v>
      </c>
      <c r="D3730" s="10" t="s">
        <v>1679</v>
      </c>
      <c r="E3730" s="10" t="s">
        <v>1682</v>
      </c>
      <c r="F3730" t="s">
        <v>950</v>
      </c>
      <c r="G3730" s="4">
        <v>609810</v>
      </c>
      <c r="H3730" s="4">
        <v>6415956</v>
      </c>
      <c r="I3730" s="4">
        <v>100230</v>
      </c>
      <c r="J3730" s="4">
        <f>SUM(G3730:I3730)</f>
        <v>7125996</v>
      </c>
      <c r="K3730" t="s">
        <v>1660</v>
      </c>
      <c r="L3730" t="s">
        <v>1660</v>
      </c>
      <c r="M3730" t="s">
        <v>1573</v>
      </c>
      <c r="N3730" t="s">
        <v>1573</v>
      </c>
      <c r="O3730" t="s">
        <v>1573</v>
      </c>
      <c r="P3730" t="str">
        <f>IFERROR(VLOOKUP(F3730,Sheet1!$A$2:$B$54,2,FALSE),"")</f>
        <v/>
      </c>
    </row>
    <row r="3731" spans="1:16" x14ac:dyDescent="0.2">
      <c r="A3731" s="1">
        <v>2018</v>
      </c>
      <c r="B3731" t="s">
        <v>452</v>
      </c>
      <c r="C3731" s="10" t="s">
        <v>1678</v>
      </c>
      <c r="D3731" s="10" t="s">
        <v>1679</v>
      </c>
      <c r="E3731" s="10" t="s">
        <v>1682</v>
      </c>
      <c r="F3731" t="s">
        <v>950</v>
      </c>
      <c r="G3731" s="4">
        <v>770149</v>
      </c>
      <c r="H3731" s="4">
        <v>6523748</v>
      </c>
      <c r="I3731" s="4">
        <v>92886</v>
      </c>
      <c r="J3731" s="4">
        <f>SUM(G3731:I3731)</f>
        <v>7386783</v>
      </c>
      <c r="K3731" t="s">
        <v>1660</v>
      </c>
      <c r="L3731" t="s">
        <v>1660</v>
      </c>
      <c r="M3731" t="s">
        <v>1573</v>
      </c>
      <c r="N3731" t="s">
        <v>1573</v>
      </c>
      <c r="O3731" t="s">
        <v>1573</v>
      </c>
      <c r="P3731" t="str">
        <f>IFERROR(VLOOKUP(F3731,Sheet1!$A$2:$B$54,2,FALSE),"")</f>
        <v/>
      </c>
    </row>
    <row r="3732" spans="1:16" x14ac:dyDescent="0.2">
      <c r="A3732" s="1">
        <v>2019</v>
      </c>
      <c r="B3732" t="s">
        <v>452</v>
      </c>
      <c r="C3732" s="10" t="s">
        <v>1678</v>
      </c>
      <c r="D3732" s="10" t="s">
        <v>1679</v>
      </c>
      <c r="E3732" s="10" t="s">
        <v>1682</v>
      </c>
      <c r="F3732" t="s">
        <v>950</v>
      </c>
      <c r="G3732" s="4">
        <v>743288</v>
      </c>
      <c r="H3732" s="4">
        <v>6381714</v>
      </c>
      <c r="I3732" s="4">
        <v>94414</v>
      </c>
      <c r="J3732" s="4">
        <f>SUM(G3732:I3732)</f>
        <v>7219416</v>
      </c>
      <c r="K3732" t="s">
        <v>1660</v>
      </c>
      <c r="L3732" t="s">
        <v>1660</v>
      </c>
      <c r="M3732" t="s">
        <v>1574</v>
      </c>
      <c r="N3732" t="s">
        <v>1574</v>
      </c>
      <c r="O3732" t="s">
        <v>1574</v>
      </c>
      <c r="P3732" t="str">
        <f>IFERROR(VLOOKUP(F3732,Sheet1!$A$2:$B$54,2,FALSE),"")</f>
        <v/>
      </c>
    </row>
    <row r="3733" spans="1:16" x14ac:dyDescent="0.2">
      <c r="A3733" s="1">
        <v>2020</v>
      </c>
      <c r="B3733" t="s">
        <v>452</v>
      </c>
      <c r="C3733" s="10" t="s">
        <v>1678</v>
      </c>
      <c r="D3733" s="10" t="s">
        <v>1679</v>
      </c>
      <c r="E3733" s="10" t="s">
        <v>1682</v>
      </c>
      <c r="F3733" t="s">
        <v>950</v>
      </c>
      <c r="G3733" s="4">
        <v>732955</v>
      </c>
      <c r="H3733" s="4">
        <v>5857092</v>
      </c>
      <c r="I3733" s="4">
        <v>91676</v>
      </c>
      <c r="J3733" s="4">
        <f>SUM(G3733:I3733)</f>
        <v>6681723</v>
      </c>
      <c r="K3733" t="s">
        <v>1660</v>
      </c>
      <c r="L3733" t="s">
        <v>1660</v>
      </c>
      <c r="M3733" t="s">
        <v>1574</v>
      </c>
      <c r="N3733" t="s">
        <v>1574</v>
      </c>
      <c r="O3733" t="s">
        <v>1574</v>
      </c>
      <c r="P3733" t="str">
        <f>IFERROR(VLOOKUP(F3733,Sheet1!$A$2:$B$54,2,FALSE),"")</f>
        <v/>
      </c>
    </row>
    <row r="3734" spans="1:16" x14ac:dyDescent="0.2">
      <c r="A3734" s="1">
        <v>2021</v>
      </c>
      <c r="B3734" t="s">
        <v>452</v>
      </c>
      <c r="C3734" s="10" t="s">
        <v>1678</v>
      </c>
      <c r="D3734" s="10" t="s">
        <v>1679</v>
      </c>
      <c r="E3734" s="10" t="s">
        <v>1682</v>
      </c>
      <c r="F3734" t="s">
        <v>950</v>
      </c>
      <c r="G3734" s="4">
        <v>818760</v>
      </c>
      <c r="H3734" s="4">
        <v>6050110</v>
      </c>
      <c r="I3734" s="4">
        <v>85164</v>
      </c>
      <c r="J3734" s="4">
        <f>SUM(G3734:I3734)</f>
        <v>6954034</v>
      </c>
      <c r="K3734" t="s">
        <v>1660</v>
      </c>
      <c r="L3734" t="s">
        <v>1660</v>
      </c>
      <c r="M3734" t="s">
        <v>1575</v>
      </c>
      <c r="N3734" t="s">
        <v>1575</v>
      </c>
      <c r="O3734" t="s">
        <v>1575</v>
      </c>
      <c r="P3734" t="str">
        <f>IFERROR(VLOOKUP(F3734,Sheet1!$A$2:$B$54,2,FALSE),"")</f>
        <v/>
      </c>
    </row>
    <row r="3735" spans="1:16" x14ac:dyDescent="0.2">
      <c r="A3735" s="1">
        <v>2022</v>
      </c>
      <c r="B3735" t="s">
        <v>452</v>
      </c>
      <c r="C3735" s="10" t="s">
        <v>1678</v>
      </c>
      <c r="D3735" s="10" t="s">
        <v>1679</v>
      </c>
      <c r="E3735" s="10" t="s">
        <v>1682</v>
      </c>
      <c r="F3735" t="s">
        <v>950</v>
      </c>
      <c r="G3735" s="4">
        <v>847087</v>
      </c>
      <c r="H3735" s="4">
        <v>5924654</v>
      </c>
      <c r="I3735" s="4">
        <v>63140</v>
      </c>
      <c r="J3735" s="4">
        <f>SUM(G3735:I3735)</f>
        <v>6834881</v>
      </c>
      <c r="K3735" t="s">
        <v>1660</v>
      </c>
      <c r="L3735" t="s">
        <v>1660</v>
      </c>
      <c r="M3735" t="s">
        <v>950</v>
      </c>
      <c r="N3735" t="s">
        <v>950</v>
      </c>
      <c r="O3735" t="s">
        <v>950</v>
      </c>
      <c r="P3735" t="str">
        <f>IFERROR(VLOOKUP(F3735,Sheet1!$A$2:$B$54,2,FALSE),"")</f>
        <v/>
      </c>
    </row>
    <row r="3736" spans="1:16" x14ac:dyDescent="0.2">
      <c r="A3736" s="1">
        <v>2023</v>
      </c>
      <c r="B3736" t="s">
        <v>452</v>
      </c>
      <c r="C3736" s="10" t="s">
        <v>1678</v>
      </c>
      <c r="D3736" s="10" t="s">
        <v>1679</v>
      </c>
      <c r="E3736" s="10" t="s">
        <v>1682</v>
      </c>
      <c r="F3736" t="s">
        <v>950</v>
      </c>
      <c r="G3736" s="4">
        <v>903743</v>
      </c>
      <c r="H3736" s="4">
        <v>5646083</v>
      </c>
      <c r="I3736" s="4">
        <v>0</v>
      </c>
      <c r="J3736" s="4">
        <f>SUM(G3736:I3736)</f>
        <v>6549826</v>
      </c>
      <c r="K3736" t="s">
        <v>1660</v>
      </c>
      <c r="L3736" t="s">
        <v>1660</v>
      </c>
      <c r="M3736" t="s">
        <v>950</v>
      </c>
      <c r="N3736" t="s">
        <v>950</v>
      </c>
      <c r="O3736" t="s">
        <v>950</v>
      </c>
      <c r="P3736" t="str">
        <f>IFERROR(VLOOKUP(F3736,Sheet1!$A$2:$B$54,2,FALSE),"")</f>
        <v/>
      </c>
    </row>
    <row r="3737" spans="1:16" x14ac:dyDescent="0.2">
      <c r="A3737" s="1">
        <v>2016</v>
      </c>
      <c r="B3737" t="s">
        <v>453</v>
      </c>
      <c r="C3737" s="10" t="s">
        <v>1678</v>
      </c>
      <c r="D3737" s="10" t="s">
        <v>1679</v>
      </c>
      <c r="E3737" s="10" t="s">
        <v>1682</v>
      </c>
      <c r="F3737" t="s">
        <v>951</v>
      </c>
      <c r="G3737" s="4">
        <v>0</v>
      </c>
      <c r="H3737" s="4"/>
      <c r="I3737" s="4"/>
      <c r="J3737" s="4">
        <f>SUM(G3737:I3737)</f>
        <v>0</v>
      </c>
      <c r="K3737" t="s">
        <v>1659</v>
      </c>
      <c r="L3737" t="s">
        <v>1659</v>
      </c>
      <c r="M3737" t="s">
        <v>951</v>
      </c>
      <c r="N3737" t="s">
        <v>1132</v>
      </c>
      <c r="O3737" t="s">
        <v>1132</v>
      </c>
      <c r="P3737" t="str">
        <f>IFERROR(VLOOKUP(F3737,Sheet1!$A$2:$B$54,2,FALSE),"")</f>
        <v/>
      </c>
    </row>
    <row r="3738" spans="1:16" x14ac:dyDescent="0.2">
      <c r="A3738" s="1">
        <v>2017</v>
      </c>
      <c r="B3738" t="s">
        <v>453</v>
      </c>
      <c r="C3738" s="10" t="s">
        <v>1678</v>
      </c>
      <c r="D3738" s="10" t="s">
        <v>1679</v>
      </c>
      <c r="E3738" s="10" t="s">
        <v>1682</v>
      </c>
      <c r="F3738" t="s">
        <v>951</v>
      </c>
      <c r="G3738" s="4">
        <v>0</v>
      </c>
      <c r="H3738" s="4"/>
      <c r="I3738" s="4"/>
      <c r="J3738" s="4">
        <f>SUM(G3738:I3738)</f>
        <v>0</v>
      </c>
      <c r="K3738" t="s">
        <v>1659</v>
      </c>
      <c r="L3738" t="s">
        <v>1659</v>
      </c>
      <c r="M3738" t="s">
        <v>1576</v>
      </c>
      <c r="N3738" t="s">
        <v>1132</v>
      </c>
      <c r="O3738" t="s">
        <v>1132</v>
      </c>
      <c r="P3738" t="str">
        <f>IFERROR(VLOOKUP(F3738,Sheet1!$A$2:$B$54,2,FALSE),"")</f>
        <v/>
      </c>
    </row>
    <row r="3739" spans="1:16" x14ac:dyDescent="0.2">
      <c r="A3739" s="1">
        <v>2018</v>
      </c>
      <c r="B3739" t="s">
        <v>453</v>
      </c>
      <c r="C3739" s="10" t="s">
        <v>1678</v>
      </c>
      <c r="D3739" s="10" t="s">
        <v>1679</v>
      </c>
      <c r="E3739" s="10" t="s">
        <v>1682</v>
      </c>
      <c r="F3739" t="s">
        <v>951</v>
      </c>
      <c r="G3739" s="4">
        <v>0</v>
      </c>
      <c r="H3739" s="4"/>
      <c r="I3739" s="4"/>
      <c r="J3739" s="4">
        <f>SUM(G3739:I3739)</f>
        <v>0</v>
      </c>
      <c r="K3739" t="s">
        <v>1659</v>
      </c>
      <c r="L3739" t="s">
        <v>1659</v>
      </c>
      <c r="M3739" t="s">
        <v>951</v>
      </c>
      <c r="N3739" t="s">
        <v>1132</v>
      </c>
      <c r="O3739" t="s">
        <v>1132</v>
      </c>
      <c r="P3739" t="str">
        <f>IFERROR(VLOOKUP(F3739,Sheet1!$A$2:$B$54,2,FALSE),"")</f>
        <v/>
      </c>
    </row>
    <row r="3740" spans="1:16" x14ac:dyDescent="0.2">
      <c r="A3740" s="1">
        <v>2019</v>
      </c>
      <c r="B3740" t="s">
        <v>453</v>
      </c>
      <c r="C3740" s="10" t="s">
        <v>1678</v>
      </c>
      <c r="D3740" s="10" t="s">
        <v>1679</v>
      </c>
      <c r="E3740" s="10" t="s">
        <v>1682</v>
      </c>
      <c r="F3740" t="s">
        <v>951</v>
      </c>
      <c r="G3740" s="4">
        <v>0</v>
      </c>
      <c r="H3740" s="4"/>
      <c r="I3740" s="4"/>
      <c r="J3740" s="4">
        <f>SUM(G3740:I3740)</f>
        <v>0</v>
      </c>
      <c r="K3740" t="s">
        <v>1659</v>
      </c>
      <c r="L3740" t="s">
        <v>1659</v>
      </c>
      <c r="M3740" t="s">
        <v>951</v>
      </c>
      <c r="N3740" t="s">
        <v>1132</v>
      </c>
      <c r="O3740" t="s">
        <v>1132</v>
      </c>
      <c r="P3740" t="str">
        <f>IFERROR(VLOOKUP(F3740,Sheet1!$A$2:$B$54,2,FALSE),"")</f>
        <v/>
      </c>
    </row>
    <row r="3741" spans="1:16" x14ac:dyDescent="0.2">
      <c r="A3741" s="1">
        <v>2018</v>
      </c>
      <c r="B3741" t="s">
        <v>454</v>
      </c>
      <c r="C3741" s="10" t="s">
        <v>1678</v>
      </c>
      <c r="D3741" s="10" t="s">
        <v>1679</v>
      </c>
      <c r="E3741" s="10" t="s">
        <v>1682</v>
      </c>
      <c r="F3741" t="s">
        <v>952</v>
      </c>
      <c r="G3741" s="4">
        <v>1917</v>
      </c>
      <c r="H3741" s="4"/>
      <c r="I3741" s="4"/>
      <c r="J3741" s="4">
        <f>SUM(G3741:I3741)</f>
        <v>1917</v>
      </c>
      <c r="K3741" t="s">
        <v>1659</v>
      </c>
      <c r="L3741" t="s">
        <v>1659</v>
      </c>
      <c r="M3741" t="s">
        <v>1577</v>
      </c>
      <c r="N3741" t="s">
        <v>1132</v>
      </c>
      <c r="O3741" t="s">
        <v>1132</v>
      </c>
      <c r="P3741" t="str">
        <f>IFERROR(VLOOKUP(F3741,Sheet1!$A$2:$B$54,2,FALSE),"")</f>
        <v/>
      </c>
    </row>
    <row r="3742" spans="1:16" x14ac:dyDescent="0.2">
      <c r="A3742" s="1">
        <v>2019</v>
      </c>
      <c r="B3742" t="s">
        <v>454</v>
      </c>
      <c r="C3742" s="10" t="s">
        <v>1678</v>
      </c>
      <c r="D3742" s="10" t="s">
        <v>1679</v>
      </c>
      <c r="E3742" s="10" t="s">
        <v>1682</v>
      </c>
      <c r="F3742" t="s">
        <v>952</v>
      </c>
      <c r="G3742" s="4">
        <v>200</v>
      </c>
      <c r="H3742" s="4"/>
      <c r="I3742" s="4"/>
      <c r="J3742" s="4">
        <f>SUM(G3742:I3742)</f>
        <v>200</v>
      </c>
      <c r="K3742" t="s">
        <v>1659</v>
      </c>
      <c r="L3742" t="s">
        <v>1659</v>
      </c>
      <c r="M3742" t="s">
        <v>1578</v>
      </c>
      <c r="N3742" t="s">
        <v>1132</v>
      </c>
      <c r="O3742" t="s">
        <v>1132</v>
      </c>
      <c r="P3742" t="str">
        <f>IFERROR(VLOOKUP(F3742,Sheet1!$A$2:$B$54,2,FALSE),"")</f>
        <v/>
      </c>
    </row>
    <row r="3743" spans="1:16" x14ac:dyDescent="0.2">
      <c r="A3743" s="1">
        <v>2020</v>
      </c>
      <c r="B3743" t="s">
        <v>454</v>
      </c>
      <c r="C3743" s="10" t="s">
        <v>1678</v>
      </c>
      <c r="D3743" s="10" t="s">
        <v>1679</v>
      </c>
      <c r="E3743" s="10" t="s">
        <v>1682</v>
      </c>
      <c r="F3743" t="s">
        <v>952</v>
      </c>
      <c r="G3743" s="4">
        <v>0</v>
      </c>
      <c r="H3743" s="4"/>
      <c r="I3743" s="4"/>
      <c r="J3743" s="4">
        <f>SUM(G3743:I3743)</f>
        <v>0</v>
      </c>
      <c r="K3743" t="s">
        <v>1659</v>
      </c>
      <c r="L3743" t="s">
        <v>1659</v>
      </c>
      <c r="M3743" t="s">
        <v>1578</v>
      </c>
      <c r="N3743" t="s">
        <v>1132</v>
      </c>
      <c r="O3743" t="s">
        <v>1132</v>
      </c>
      <c r="P3743" t="str">
        <f>IFERROR(VLOOKUP(F3743,Sheet1!$A$2:$B$54,2,FALSE),"")</f>
        <v/>
      </c>
    </row>
    <row r="3744" spans="1:16" x14ac:dyDescent="0.2">
      <c r="A3744" s="1">
        <v>2021</v>
      </c>
      <c r="B3744" t="s">
        <v>454</v>
      </c>
      <c r="C3744" s="10" t="s">
        <v>1678</v>
      </c>
      <c r="D3744" s="10" t="s">
        <v>1679</v>
      </c>
      <c r="E3744" s="10" t="s">
        <v>1682</v>
      </c>
      <c r="F3744" t="s">
        <v>952</v>
      </c>
      <c r="G3744" s="4">
        <v>0</v>
      </c>
      <c r="H3744" s="4"/>
      <c r="I3744" s="4"/>
      <c r="J3744" s="4">
        <f>SUM(G3744:I3744)</f>
        <v>0</v>
      </c>
      <c r="K3744" t="s">
        <v>1659</v>
      </c>
      <c r="L3744" t="s">
        <v>1659</v>
      </c>
      <c r="M3744" t="s">
        <v>1579</v>
      </c>
      <c r="N3744" t="s">
        <v>1132</v>
      </c>
      <c r="O3744" t="s">
        <v>1132</v>
      </c>
      <c r="P3744" t="str">
        <f>IFERROR(VLOOKUP(F3744,Sheet1!$A$2:$B$54,2,FALSE),"")</f>
        <v/>
      </c>
    </row>
    <row r="3745" spans="1:16" x14ac:dyDescent="0.2">
      <c r="A3745" s="1">
        <v>2022</v>
      </c>
      <c r="B3745" t="s">
        <v>454</v>
      </c>
      <c r="C3745" s="10" t="s">
        <v>1678</v>
      </c>
      <c r="D3745" s="10" t="s">
        <v>1679</v>
      </c>
      <c r="E3745" s="10" t="s">
        <v>1682</v>
      </c>
      <c r="F3745" t="s">
        <v>952</v>
      </c>
      <c r="G3745" s="4">
        <v>0</v>
      </c>
      <c r="H3745" s="4"/>
      <c r="I3745" s="4"/>
      <c r="J3745" s="4">
        <f>SUM(G3745:I3745)</f>
        <v>0</v>
      </c>
      <c r="K3745" t="s">
        <v>1659</v>
      </c>
      <c r="L3745" t="s">
        <v>1659</v>
      </c>
      <c r="M3745" t="s">
        <v>952</v>
      </c>
      <c r="N3745" t="s">
        <v>1132</v>
      </c>
      <c r="O3745" t="s">
        <v>1132</v>
      </c>
      <c r="P3745" t="str">
        <f>IFERROR(VLOOKUP(F3745,Sheet1!$A$2:$B$54,2,FALSE),"")</f>
        <v/>
      </c>
    </row>
    <row r="3746" spans="1:16" x14ac:dyDescent="0.2">
      <c r="A3746" s="1">
        <v>2023</v>
      </c>
      <c r="B3746" t="s">
        <v>454</v>
      </c>
      <c r="C3746" s="10" t="s">
        <v>1678</v>
      </c>
      <c r="D3746" s="10" t="s">
        <v>1679</v>
      </c>
      <c r="E3746" s="10" t="s">
        <v>1682</v>
      </c>
      <c r="F3746" t="s">
        <v>952</v>
      </c>
      <c r="G3746" s="4">
        <v>0</v>
      </c>
      <c r="H3746" s="4"/>
      <c r="I3746" s="4"/>
      <c r="J3746" s="4">
        <f>SUM(G3746:I3746)</f>
        <v>0</v>
      </c>
      <c r="K3746" t="s">
        <v>1659</v>
      </c>
      <c r="L3746" t="s">
        <v>1659</v>
      </c>
      <c r="M3746" t="s">
        <v>952</v>
      </c>
      <c r="N3746" t="s">
        <v>1132</v>
      </c>
      <c r="O3746" t="s">
        <v>1132</v>
      </c>
      <c r="P3746" t="str">
        <f>IFERROR(VLOOKUP(F3746,Sheet1!$A$2:$B$54,2,FALSE),"")</f>
        <v/>
      </c>
    </row>
    <row r="3747" spans="1:16" x14ac:dyDescent="0.2">
      <c r="A3747" s="1">
        <v>2015</v>
      </c>
      <c r="B3747" t="s">
        <v>455</v>
      </c>
      <c r="C3747" s="10" t="s">
        <v>1678</v>
      </c>
      <c r="D3747" s="10" t="s">
        <v>1679</v>
      </c>
      <c r="E3747" s="10" t="s">
        <v>1682</v>
      </c>
      <c r="F3747" t="s">
        <v>953</v>
      </c>
      <c r="G3747" s="4">
        <v>0</v>
      </c>
      <c r="H3747" s="4"/>
      <c r="I3747" s="4"/>
      <c r="J3747" s="4">
        <f>SUM(G3747:I3747)</f>
        <v>0</v>
      </c>
      <c r="K3747" t="s">
        <v>1659</v>
      </c>
      <c r="L3747" t="s">
        <v>1659</v>
      </c>
      <c r="M3747" t="s">
        <v>1580</v>
      </c>
      <c r="N3747" t="s">
        <v>1132</v>
      </c>
      <c r="O3747" t="s">
        <v>1132</v>
      </c>
      <c r="P3747" t="str">
        <f>IFERROR(VLOOKUP(F3747,Sheet1!$A$2:$B$54,2,FALSE),"")</f>
        <v/>
      </c>
    </row>
    <row r="3748" spans="1:16" x14ac:dyDescent="0.2">
      <c r="A3748" s="1">
        <v>2016</v>
      </c>
      <c r="B3748" t="s">
        <v>455</v>
      </c>
      <c r="C3748" s="10" t="s">
        <v>1678</v>
      </c>
      <c r="D3748" s="10" t="s">
        <v>1679</v>
      </c>
      <c r="E3748" s="10" t="s">
        <v>1682</v>
      </c>
      <c r="F3748" t="s">
        <v>953</v>
      </c>
      <c r="G3748" s="4">
        <v>0</v>
      </c>
      <c r="H3748" s="4"/>
      <c r="I3748" s="4"/>
      <c r="J3748" s="4">
        <f>SUM(G3748:I3748)</f>
        <v>0</v>
      </c>
      <c r="K3748" t="s">
        <v>1659</v>
      </c>
      <c r="L3748" t="s">
        <v>1659</v>
      </c>
      <c r="M3748" t="s">
        <v>1580</v>
      </c>
      <c r="N3748" t="s">
        <v>1132</v>
      </c>
      <c r="O3748" t="s">
        <v>1132</v>
      </c>
      <c r="P3748" t="str">
        <f>IFERROR(VLOOKUP(F3748,Sheet1!$A$2:$B$54,2,FALSE),"")</f>
        <v/>
      </c>
    </row>
    <row r="3749" spans="1:16" x14ac:dyDescent="0.2">
      <c r="A3749" s="1">
        <v>2017</v>
      </c>
      <c r="B3749" t="s">
        <v>455</v>
      </c>
      <c r="C3749" s="10" t="s">
        <v>1678</v>
      </c>
      <c r="D3749" s="10" t="s">
        <v>1679</v>
      </c>
      <c r="E3749" s="10" t="s">
        <v>1682</v>
      </c>
      <c r="F3749" t="s">
        <v>953</v>
      </c>
      <c r="G3749" s="4">
        <v>0</v>
      </c>
      <c r="H3749" s="4"/>
      <c r="I3749" s="4"/>
      <c r="J3749" s="4">
        <f>SUM(G3749:I3749)</f>
        <v>0</v>
      </c>
      <c r="K3749" t="s">
        <v>1659</v>
      </c>
      <c r="L3749" t="s">
        <v>1659</v>
      </c>
      <c r="M3749" t="s">
        <v>1580</v>
      </c>
      <c r="N3749" t="s">
        <v>1132</v>
      </c>
      <c r="O3749" t="s">
        <v>1132</v>
      </c>
      <c r="P3749" t="str">
        <f>IFERROR(VLOOKUP(F3749,Sheet1!$A$2:$B$54,2,FALSE),"")</f>
        <v/>
      </c>
    </row>
    <row r="3750" spans="1:16" x14ac:dyDescent="0.2">
      <c r="A3750" s="1">
        <v>2018</v>
      </c>
      <c r="B3750" t="s">
        <v>455</v>
      </c>
      <c r="C3750" s="10" t="s">
        <v>1678</v>
      </c>
      <c r="D3750" s="10" t="s">
        <v>1679</v>
      </c>
      <c r="E3750" s="10" t="s">
        <v>1682</v>
      </c>
      <c r="F3750" t="s">
        <v>953</v>
      </c>
      <c r="G3750" s="4">
        <v>0</v>
      </c>
      <c r="H3750" s="4"/>
      <c r="I3750" s="4"/>
      <c r="J3750" s="4">
        <f>SUM(G3750:I3750)</f>
        <v>0</v>
      </c>
      <c r="K3750" t="s">
        <v>1659</v>
      </c>
      <c r="L3750" t="s">
        <v>1659</v>
      </c>
      <c r="M3750" t="s">
        <v>1580</v>
      </c>
      <c r="N3750" t="s">
        <v>1132</v>
      </c>
      <c r="O3750" t="s">
        <v>1132</v>
      </c>
      <c r="P3750" t="str">
        <f>IFERROR(VLOOKUP(F3750,Sheet1!$A$2:$B$54,2,FALSE),"")</f>
        <v/>
      </c>
    </row>
    <row r="3751" spans="1:16" x14ac:dyDescent="0.2">
      <c r="A3751" s="1">
        <v>2019</v>
      </c>
      <c r="B3751" t="s">
        <v>455</v>
      </c>
      <c r="C3751" s="10" t="s">
        <v>1678</v>
      </c>
      <c r="D3751" s="10" t="s">
        <v>1679</v>
      </c>
      <c r="E3751" s="10" t="s">
        <v>1682</v>
      </c>
      <c r="F3751" t="s">
        <v>953</v>
      </c>
      <c r="G3751" s="4">
        <v>0</v>
      </c>
      <c r="H3751" s="4"/>
      <c r="I3751" s="4"/>
      <c r="J3751" s="4">
        <f>SUM(G3751:I3751)</f>
        <v>0</v>
      </c>
      <c r="K3751" t="s">
        <v>1659</v>
      </c>
      <c r="L3751" t="s">
        <v>1659</v>
      </c>
      <c r="M3751" t="s">
        <v>1580</v>
      </c>
      <c r="N3751" t="s">
        <v>1132</v>
      </c>
      <c r="O3751" t="s">
        <v>1132</v>
      </c>
      <c r="P3751" t="str">
        <f>IFERROR(VLOOKUP(F3751,Sheet1!$A$2:$B$54,2,FALSE),"")</f>
        <v/>
      </c>
    </row>
    <row r="3752" spans="1:16" x14ac:dyDescent="0.2">
      <c r="A3752" s="1">
        <v>2020</v>
      </c>
      <c r="B3752" t="s">
        <v>455</v>
      </c>
      <c r="C3752" s="10" t="s">
        <v>1678</v>
      </c>
      <c r="D3752" s="10" t="s">
        <v>1679</v>
      </c>
      <c r="E3752" s="10" t="s">
        <v>1682</v>
      </c>
      <c r="F3752" t="s">
        <v>953</v>
      </c>
      <c r="G3752" s="4">
        <v>0</v>
      </c>
      <c r="H3752" s="4"/>
      <c r="I3752" s="4"/>
      <c r="J3752" s="4">
        <f>SUM(G3752:I3752)</f>
        <v>0</v>
      </c>
      <c r="K3752" t="s">
        <v>1659</v>
      </c>
      <c r="L3752" t="s">
        <v>1659</v>
      </c>
      <c r="M3752" t="s">
        <v>1581</v>
      </c>
      <c r="N3752" t="s">
        <v>1132</v>
      </c>
      <c r="O3752" t="s">
        <v>1132</v>
      </c>
      <c r="P3752" t="str">
        <f>IFERROR(VLOOKUP(F3752,Sheet1!$A$2:$B$54,2,FALSE),"")</f>
        <v/>
      </c>
    </row>
    <row r="3753" spans="1:16" x14ac:dyDescent="0.2">
      <c r="A3753" s="1">
        <v>2021</v>
      </c>
      <c r="B3753" t="s">
        <v>455</v>
      </c>
      <c r="C3753" s="10" t="s">
        <v>1678</v>
      </c>
      <c r="D3753" s="10" t="s">
        <v>1679</v>
      </c>
      <c r="E3753" s="10" t="s">
        <v>1682</v>
      </c>
      <c r="F3753" t="s">
        <v>953</v>
      </c>
      <c r="G3753" s="4">
        <v>0</v>
      </c>
      <c r="H3753" s="4">
        <v>0</v>
      </c>
      <c r="I3753" s="4"/>
      <c r="J3753" s="4">
        <f>SUM(G3753:I3753)</f>
        <v>0</v>
      </c>
      <c r="K3753" t="s">
        <v>1660</v>
      </c>
      <c r="L3753" t="s">
        <v>1659</v>
      </c>
      <c r="M3753" t="s">
        <v>1582</v>
      </c>
      <c r="N3753" t="s">
        <v>1582</v>
      </c>
      <c r="O3753" t="s">
        <v>1132</v>
      </c>
      <c r="P3753" t="str">
        <f>IFERROR(VLOOKUP(F3753,Sheet1!$A$2:$B$54,2,FALSE),"")</f>
        <v/>
      </c>
    </row>
    <row r="3754" spans="1:16" x14ac:dyDescent="0.2">
      <c r="A3754" s="1">
        <v>2022</v>
      </c>
      <c r="B3754" t="s">
        <v>455</v>
      </c>
      <c r="C3754" s="10" t="s">
        <v>1678</v>
      </c>
      <c r="D3754" s="10" t="s">
        <v>1679</v>
      </c>
      <c r="E3754" s="10" t="s">
        <v>1682</v>
      </c>
      <c r="F3754" t="s">
        <v>953</v>
      </c>
      <c r="G3754" s="4">
        <v>0</v>
      </c>
      <c r="H3754" s="4"/>
      <c r="I3754" s="4"/>
      <c r="J3754" s="4">
        <f>SUM(G3754:I3754)</f>
        <v>0</v>
      </c>
      <c r="K3754" t="s">
        <v>1659</v>
      </c>
      <c r="L3754" t="s">
        <v>1659</v>
      </c>
      <c r="M3754" t="s">
        <v>953</v>
      </c>
      <c r="N3754" t="s">
        <v>1132</v>
      </c>
      <c r="O3754" t="s">
        <v>1132</v>
      </c>
      <c r="P3754" t="str">
        <f>IFERROR(VLOOKUP(F3754,Sheet1!$A$2:$B$54,2,FALSE),"")</f>
        <v/>
      </c>
    </row>
    <row r="3755" spans="1:16" x14ac:dyDescent="0.2">
      <c r="A3755" s="1">
        <v>2023</v>
      </c>
      <c r="B3755" t="s">
        <v>455</v>
      </c>
      <c r="C3755" s="10" t="s">
        <v>1678</v>
      </c>
      <c r="D3755" s="10" t="s">
        <v>1679</v>
      </c>
      <c r="E3755" s="10" t="s">
        <v>1682</v>
      </c>
      <c r="F3755" t="s">
        <v>953</v>
      </c>
      <c r="G3755" s="4">
        <v>0</v>
      </c>
      <c r="H3755" s="4"/>
      <c r="I3755" s="4"/>
      <c r="J3755" s="4">
        <f>SUM(G3755:I3755)</f>
        <v>0</v>
      </c>
      <c r="K3755" t="s">
        <v>1659</v>
      </c>
      <c r="L3755" t="s">
        <v>1659</v>
      </c>
      <c r="M3755" t="s">
        <v>953</v>
      </c>
      <c r="N3755" t="s">
        <v>1132</v>
      </c>
      <c r="O3755" t="s">
        <v>1132</v>
      </c>
      <c r="P3755" t="str">
        <f>IFERROR(VLOOKUP(F3755,Sheet1!$A$2:$B$54,2,FALSE),"")</f>
        <v/>
      </c>
    </row>
    <row r="3756" spans="1:16" x14ac:dyDescent="0.2">
      <c r="A3756" s="1">
        <v>2016</v>
      </c>
      <c r="B3756" t="s">
        <v>456</v>
      </c>
      <c r="C3756" s="10" t="s">
        <v>1678</v>
      </c>
      <c r="D3756" s="10" t="s">
        <v>1679</v>
      </c>
      <c r="E3756" s="10" t="s">
        <v>1682</v>
      </c>
      <c r="F3756" t="s">
        <v>954</v>
      </c>
      <c r="G3756" s="4">
        <v>1854</v>
      </c>
      <c r="H3756" s="4"/>
      <c r="I3756" s="4"/>
      <c r="J3756" s="4">
        <f>SUM(G3756:I3756)</f>
        <v>1854</v>
      </c>
      <c r="K3756" t="s">
        <v>1659</v>
      </c>
      <c r="L3756" t="s">
        <v>1659</v>
      </c>
      <c r="M3756" t="s">
        <v>1583</v>
      </c>
      <c r="N3756" t="s">
        <v>1132</v>
      </c>
      <c r="O3756" t="s">
        <v>1132</v>
      </c>
      <c r="P3756" t="str">
        <f>IFERROR(VLOOKUP(F3756,Sheet1!$A$2:$B$54,2,FALSE),"")</f>
        <v/>
      </c>
    </row>
    <row r="3757" spans="1:16" x14ac:dyDescent="0.2">
      <c r="A3757" s="1">
        <v>2017</v>
      </c>
      <c r="B3757" t="s">
        <v>456</v>
      </c>
      <c r="C3757" s="10" t="s">
        <v>1678</v>
      </c>
      <c r="D3757" s="10" t="s">
        <v>1679</v>
      </c>
      <c r="E3757" s="10" t="s">
        <v>1682</v>
      </c>
      <c r="F3757" t="s">
        <v>954</v>
      </c>
      <c r="G3757" s="4">
        <v>1147</v>
      </c>
      <c r="H3757" s="4"/>
      <c r="I3757" s="4"/>
      <c r="J3757" s="4">
        <f>SUM(G3757:I3757)</f>
        <v>1147</v>
      </c>
      <c r="K3757" t="s">
        <v>1659</v>
      </c>
      <c r="L3757" t="s">
        <v>1659</v>
      </c>
      <c r="M3757" t="s">
        <v>1583</v>
      </c>
      <c r="N3757" t="s">
        <v>1132</v>
      </c>
      <c r="O3757" t="s">
        <v>1132</v>
      </c>
      <c r="P3757" t="str">
        <f>IFERROR(VLOOKUP(F3757,Sheet1!$A$2:$B$54,2,FALSE),"")</f>
        <v/>
      </c>
    </row>
    <row r="3758" spans="1:16" x14ac:dyDescent="0.2">
      <c r="A3758" s="1">
        <v>2018</v>
      </c>
      <c r="B3758" t="s">
        <v>456</v>
      </c>
      <c r="C3758" s="10" t="s">
        <v>1678</v>
      </c>
      <c r="D3758" s="10" t="s">
        <v>1679</v>
      </c>
      <c r="E3758" s="10" t="s">
        <v>1682</v>
      </c>
      <c r="F3758" t="s">
        <v>954</v>
      </c>
      <c r="G3758" s="4">
        <v>0</v>
      </c>
      <c r="H3758" s="4"/>
      <c r="I3758" s="4"/>
      <c r="J3758" s="4">
        <f>SUM(G3758:I3758)</f>
        <v>0</v>
      </c>
      <c r="K3758" t="s">
        <v>1659</v>
      </c>
      <c r="L3758" t="s">
        <v>1659</v>
      </c>
      <c r="M3758" t="s">
        <v>1583</v>
      </c>
      <c r="N3758" t="s">
        <v>1132</v>
      </c>
      <c r="O3758" t="s">
        <v>1132</v>
      </c>
      <c r="P3758" t="str">
        <f>IFERROR(VLOOKUP(F3758,Sheet1!$A$2:$B$54,2,FALSE),"")</f>
        <v/>
      </c>
    </row>
    <row r="3759" spans="1:16" x14ac:dyDescent="0.2">
      <c r="A3759" s="1">
        <v>2019</v>
      </c>
      <c r="B3759" t="s">
        <v>456</v>
      </c>
      <c r="C3759" s="10" t="s">
        <v>1678</v>
      </c>
      <c r="D3759" s="10" t="s">
        <v>1679</v>
      </c>
      <c r="E3759" s="10" t="s">
        <v>1682</v>
      </c>
      <c r="F3759" t="s">
        <v>954</v>
      </c>
      <c r="G3759" s="4">
        <v>0</v>
      </c>
      <c r="H3759" s="4"/>
      <c r="I3759" s="4"/>
      <c r="J3759" s="4">
        <f>SUM(G3759:I3759)</f>
        <v>0</v>
      </c>
      <c r="K3759" t="s">
        <v>1659</v>
      </c>
      <c r="L3759" t="s">
        <v>1659</v>
      </c>
      <c r="M3759" t="s">
        <v>1583</v>
      </c>
      <c r="N3759" t="s">
        <v>1132</v>
      </c>
      <c r="O3759" t="s">
        <v>1132</v>
      </c>
      <c r="P3759" t="str">
        <f>IFERROR(VLOOKUP(F3759,Sheet1!$A$2:$B$54,2,FALSE),"")</f>
        <v/>
      </c>
    </row>
    <row r="3760" spans="1:16" x14ac:dyDescent="0.2">
      <c r="A3760" s="1">
        <v>2020</v>
      </c>
      <c r="B3760" t="s">
        <v>456</v>
      </c>
      <c r="C3760" s="10" t="s">
        <v>1678</v>
      </c>
      <c r="D3760" s="10" t="s">
        <v>1679</v>
      </c>
      <c r="E3760" s="10" t="s">
        <v>1682</v>
      </c>
      <c r="F3760" t="s">
        <v>954</v>
      </c>
      <c r="G3760" s="4">
        <v>0</v>
      </c>
      <c r="H3760" s="4"/>
      <c r="I3760" s="4"/>
      <c r="J3760" s="4">
        <f>SUM(G3760:I3760)</f>
        <v>0</v>
      </c>
      <c r="K3760" t="s">
        <v>1659</v>
      </c>
      <c r="L3760" t="s">
        <v>1659</v>
      </c>
      <c r="M3760" t="s">
        <v>1583</v>
      </c>
      <c r="N3760" t="s">
        <v>1132</v>
      </c>
      <c r="O3760" t="s">
        <v>1132</v>
      </c>
      <c r="P3760" t="str">
        <f>IFERROR(VLOOKUP(F3760,Sheet1!$A$2:$B$54,2,FALSE),"")</f>
        <v/>
      </c>
    </row>
    <row r="3761" spans="1:16" x14ac:dyDescent="0.2">
      <c r="A3761" s="1">
        <v>2021</v>
      </c>
      <c r="B3761" t="s">
        <v>456</v>
      </c>
      <c r="C3761" s="10" t="s">
        <v>1678</v>
      </c>
      <c r="D3761" s="10" t="s">
        <v>1679</v>
      </c>
      <c r="E3761" s="10" t="s">
        <v>1682</v>
      </c>
      <c r="F3761" t="s">
        <v>954</v>
      </c>
      <c r="G3761" s="4">
        <v>0</v>
      </c>
      <c r="H3761" s="4"/>
      <c r="I3761" s="4"/>
      <c r="J3761" s="4">
        <f>SUM(G3761:I3761)</f>
        <v>0</v>
      </c>
      <c r="K3761" t="s">
        <v>1659</v>
      </c>
      <c r="L3761" t="s">
        <v>1659</v>
      </c>
      <c r="M3761" t="s">
        <v>954</v>
      </c>
      <c r="N3761" t="s">
        <v>1132</v>
      </c>
      <c r="O3761" t="s">
        <v>1132</v>
      </c>
      <c r="P3761" t="str">
        <f>IFERROR(VLOOKUP(F3761,Sheet1!$A$2:$B$54,2,FALSE),"")</f>
        <v/>
      </c>
    </row>
    <row r="3762" spans="1:16" x14ac:dyDescent="0.2">
      <c r="A3762" s="1">
        <v>2022</v>
      </c>
      <c r="B3762" t="s">
        <v>456</v>
      </c>
      <c r="C3762" s="10" t="s">
        <v>1678</v>
      </c>
      <c r="D3762" s="10" t="s">
        <v>1679</v>
      </c>
      <c r="E3762" s="10" t="s">
        <v>1682</v>
      </c>
      <c r="F3762" t="s">
        <v>954</v>
      </c>
      <c r="G3762" s="4">
        <v>0</v>
      </c>
      <c r="H3762" s="4"/>
      <c r="I3762" s="4"/>
      <c r="J3762" s="4">
        <f>SUM(G3762:I3762)</f>
        <v>0</v>
      </c>
      <c r="K3762" t="s">
        <v>1659</v>
      </c>
      <c r="L3762" t="s">
        <v>1659</v>
      </c>
      <c r="M3762" t="s">
        <v>954</v>
      </c>
      <c r="N3762" t="s">
        <v>1132</v>
      </c>
      <c r="O3762" t="s">
        <v>1132</v>
      </c>
      <c r="P3762" t="str">
        <f>IFERROR(VLOOKUP(F3762,Sheet1!$A$2:$B$54,2,FALSE),"")</f>
        <v/>
      </c>
    </row>
    <row r="3763" spans="1:16" x14ac:dyDescent="0.2">
      <c r="A3763" s="1">
        <v>2023</v>
      </c>
      <c r="B3763" t="s">
        <v>456</v>
      </c>
      <c r="C3763" s="10" t="s">
        <v>1678</v>
      </c>
      <c r="D3763" s="10" t="s">
        <v>1679</v>
      </c>
      <c r="E3763" s="10" t="s">
        <v>1682</v>
      </c>
      <c r="F3763" t="s">
        <v>954</v>
      </c>
      <c r="G3763" s="4">
        <v>0</v>
      </c>
      <c r="H3763" s="4"/>
      <c r="I3763" s="4"/>
      <c r="J3763" s="4">
        <f>SUM(G3763:I3763)</f>
        <v>0</v>
      </c>
      <c r="K3763" t="s">
        <v>1659</v>
      </c>
      <c r="L3763" t="s">
        <v>1659</v>
      </c>
      <c r="M3763" t="s">
        <v>954</v>
      </c>
      <c r="N3763" t="s">
        <v>1132</v>
      </c>
      <c r="O3763" t="s">
        <v>1132</v>
      </c>
      <c r="P3763" t="str">
        <f>IFERROR(VLOOKUP(F3763,Sheet1!$A$2:$B$54,2,FALSE),"")</f>
        <v/>
      </c>
    </row>
    <row r="3764" spans="1:16" x14ac:dyDescent="0.2">
      <c r="A3764" s="1">
        <v>2015</v>
      </c>
      <c r="B3764" t="s">
        <v>457</v>
      </c>
      <c r="C3764" s="10" t="s">
        <v>1678</v>
      </c>
      <c r="D3764" s="10" t="s">
        <v>1679</v>
      </c>
      <c r="E3764" s="10" t="s">
        <v>1682</v>
      </c>
      <c r="F3764" t="s">
        <v>955</v>
      </c>
      <c r="G3764" s="4">
        <v>4415</v>
      </c>
      <c r="H3764" s="4"/>
      <c r="I3764" s="4"/>
      <c r="J3764" s="4">
        <f>SUM(G3764:I3764)</f>
        <v>4415</v>
      </c>
      <c r="K3764" t="s">
        <v>1659</v>
      </c>
      <c r="L3764" t="s">
        <v>1659</v>
      </c>
      <c r="M3764" t="s">
        <v>1584</v>
      </c>
      <c r="N3764" t="s">
        <v>1132</v>
      </c>
      <c r="O3764" t="s">
        <v>1132</v>
      </c>
      <c r="P3764" t="str">
        <f>IFERROR(VLOOKUP(F3764,Sheet1!$A$2:$B$54,2,FALSE),"")</f>
        <v/>
      </c>
    </row>
    <row r="3765" spans="1:16" x14ac:dyDescent="0.2">
      <c r="A3765" s="1">
        <v>2016</v>
      </c>
      <c r="B3765" t="s">
        <v>457</v>
      </c>
      <c r="C3765" s="10" t="s">
        <v>1678</v>
      </c>
      <c r="D3765" s="10" t="s">
        <v>1679</v>
      </c>
      <c r="E3765" s="10" t="s">
        <v>1682</v>
      </c>
      <c r="F3765" t="s">
        <v>955</v>
      </c>
      <c r="G3765" s="4">
        <v>5370</v>
      </c>
      <c r="H3765" s="4"/>
      <c r="I3765" s="4"/>
      <c r="J3765" s="4">
        <f>SUM(G3765:I3765)</f>
        <v>5370</v>
      </c>
      <c r="K3765" t="s">
        <v>1659</v>
      </c>
      <c r="L3765" t="s">
        <v>1659</v>
      </c>
      <c r="M3765" t="s">
        <v>1585</v>
      </c>
      <c r="N3765" t="s">
        <v>1132</v>
      </c>
      <c r="O3765" t="s">
        <v>1132</v>
      </c>
      <c r="P3765" t="str">
        <f>IFERROR(VLOOKUP(F3765,Sheet1!$A$2:$B$54,2,FALSE),"")</f>
        <v/>
      </c>
    </row>
    <row r="3766" spans="1:16" x14ac:dyDescent="0.2">
      <c r="A3766" s="1">
        <v>2017</v>
      </c>
      <c r="B3766" t="s">
        <v>457</v>
      </c>
      <c r="C3766" s="10" t="s">
        <v>1678</v>
      </c>
      <c r="D3766" s="10" t="s">
        <v>1679</v>
      </c>
      <c r="E3766" s="10" t="s">
        <v>1682</v>
      </c>
      <c r="F3766" t="s">
        <v>955</v>
      </c>
      <c r="G3766" s="4">
        <v>6024</v>
      </c>
      <c r="H3766" s="4"/>
      <c r="I3766" s="4"/>
      <c r="J3766" s="4">
        <f>SUM(G3766:I3766)</f>
        <v>6024</v>
      </c>
      <c r="K3766" t="s">
        <v>1659</v>
      </c>
      <c r="L3766" t="s">
        <v>1659</v>
      </c>
      <c r="M3766" t="s">
        <v>1586</v>
      </c>
      <c r="N3766" t="s">
        <v>1132</v>
      </c>
      <c r="O3766" t="s">
        <v>1132</v>
      </c>
      <c r="P3766" t="str">
        <f>IFERROR(VLOOKUP(F3766,Sheet1!$A$2:$B$54,2,FALSE),"")</f>
        <v/>
      </c>
    </row>
    <row r="3767" spans="1:16" x14ac:dyDescent="0.2">
      <c r="A3767" s="1">
        <v>2018</v>
      </c>
      <c r="B3767" t="s">
        <v>457</v>
      </c>
      <c r="C3767" s="10" t="s">
        <v>1678</v>
      </c>
      <c r="D3767" s="10" t="s">
        <v>1679</v>
      </c>
      <c r="E3767" s="10" t="s">
        <v>1682</v>
      </c>
      <c r="F3767" t="s">
        <v>955</v>
      </c>
      <c r="G3767" s="4">
        <v>5976</v>
      </c>
      <c r="H3767" s="4"/>
      <c r="I3767" s="4"/>
      <c r="J3767" s="4">
        <f>SUM(G3767:I3767)</f>
        <v>5976</v>
      </c>
      <c r="K3767" t="s">
        <v>1659</v>
      </c>
      <c r="L3767" t="s">
        <v>1659</v>
      </c>
      <c r="M3767" t="s">
        <v>1586</v>
      </c>
      <c r="N3767" t="s">
        <v>1132</v>
      </c>
      <c r="O3767" t="s">
        <v>1132</v>
      </c>
      <c r="P3767" t="str">
        <f>IFERROR(VLOOKUP(F3767,Sheet1!$A$2:$B$54,2,FALSE),"")</f>
        <v/>
      </c>
    </row>
    <row r="3768" spans="1:16" x14ac:dyDescent="0.2">
      <c r="A3768" s="1">
        <v>2019</v>
      </c>
      <c r="B3768" t="s">
        <v>457</v>
      </c>
      <c r="C3768" s="10" t="s">
        <v>1678</v>
      </c>
      <c r="D3768" s="10" t="s">
        <v>1679</v>
      </c>
      <c r="E3768" s="10" t="s">
        <v>1682</v>
      </c>
      <c r="F3768" t="s">
        <v>955</v>
      </c>
      <c r="G3768" s="4">
        <v>200</v>
      </c>
      <c r="H3768" s="4"/>
      <c r="I3768" s="4"/>
      <c r="J3768" s="4">
        <f>SUM(G3768:I3768)</f>
        <v>200</v>
      </c>
      <c r="K3768" t="s">
        <v>1659</v>
      </c>
      <c r="L3768" t="s">
        <v>1659</v>
      </c>
      <c r="M3768" t="s">
        <v>1587</v>
      </c>
      <c r="N3768" t="s">
        <v>1132</v>
      </c>
      <c r="O3768" t="s">
        <v>1132</v>
      </c>
      <c r="P3768" t="str">
        <f>IFERROR(VLOOKUP(F3768,Sheet1!$A$2:$B$54,2,FALSE),"")</f>
        <v/>
      </c>
    </row>
    <row r="3769" spans="1:16" x14ac:dyDescent="0.2">
      <c r="A3769" s="1">
        <v>2020</v>
      </c>
      <c r="B3769" t="s">
        <v>457</v>
      </c>
      <c r="C3769" s="10" t="s">
        <v>1678</v>
      </c>
      <c r="D3769" s="10" t="s">
        <v>1679</v>
      </c>
      <c r="E3769" s="10" t="s">
        <v>1682</v>
      </c>
      <c r="F3769" t="s">
        <v>955</v>
      </c>
      <c r="G3769" s="4">
        <v>0</v>
      </c>
      <c r="H3769" s="4"/>
      <c r="I3769" s="4"/>
      <c r="J3769" s="4">
        <f>SUM(G3769:I3769)</f>
        <v>0</v>
      </c>
      <c r="K3769" t="s">
        <v>1659</v>
      </c>
      <c r="L3769" t="s">
        <v>1659</v>
      </c>
      <c r="M3769" t="s">
        <v>1586</v>
      </c>
      <c r="N3769" t="s">
        <v>1132</v>
      </c>
      <c r="O3769" t="s">
        <v>1132</v>
      </c>
      <c r="P3769" t="str">
        <f>IFERROR(VLOOKUP(F3769,Sheet1!$A$2:$B$54,2,FALSE),"")</f>
        <v/>
      </c>
    </row>
    <row r="3770" spans="1:16" x14ac:dyDescent="0.2">
      <c r="A3770" s="1">
        <v>2021</v>
      </c>
      <c r="B3770" t="s">
        <v>457</v>
      </c>
      <c r="C3770" s="10" t="s">
        <v>1678</v>
      </c>
      <c r="D3770" s="10" t="s">
        <v>1679</v>
      </c>
      <c r="E3770" s="10" t="s">
        <v>1682</v>
      </c>
      <c r="F3770" t="s">
        <v>955</v>
      </c>
      <c r="G3770" s="4">
        <v>0</v>
      </c>
      <c r="H3770" s="4">
        <v>0</v>
      </c>
      <c r="I3770" s="4"/>
      <c r="J3770" s="4">
        <f>SUM(G3770:I3770)</f>
        <v>0</v>
      </c>
      <c r="K3770" t="s">
        <v>1660</v>
      </c>
      <c r="L3770" t="s">
        <v>1659</v>
      </c>
      <c r="M3770" t="s">
        <v>1588</v>
      </c>
      <c r="N3770" t="s">
        <v>1588</v>
      </c>
      <c r="O3770" t="s">
        <v>1132</v>
      </c>
      <c r="P3770" t="str">
        <f>IFERROR(VLOOKUP(F3770,Sheet1!$A$2:$B$54,2,FALSE),"")</f>
        <v/>
      </c>
    </row>
    <row r="3771" spans="1:16" x14ac:dyDescent="0.2">
      <c r="A3771" s="1">
        <v>2022</v>
      </c>
      <c r="B3771" t="s">
        <v>457</v>
      </c>
      <c r="C3771" s="10" t="s">
        <v>1678</v>
      </c>
      <c r="D3771" s="10" t="s">
        <v>1679</v>
      </c>
      <c r="E3771" s="10" t="s">
        <v>1682</v>
      </c>
      <c r="F3771" t="s">
        <v>955</v>
      </c>
      <c r="G3771" s="4">
        <v>0</v>
      </c>
      <c r="H3771" s="4"/>
      <c r="I3771" s="4"/>
      <c r="J3771" s="4">
        <f>SUM(G3771:I3771)</f>
        <v>0</v>
      </c>
      <c r="K3771" t="s">
        <v>1659</v>
      </c>
      <c r="L3771" t="s">
        <v>1659</v>
      </c>
      <c r="M3771" t="s">
        <v>955</v>
      </c>
      <c r="N3771" t="s">
        <v>1132</v>
      </c>
      <c r="O3771" t="s">
        <v>1132</v>
      </c>
      <c r="P3771" t="str">
        <f>IFERROR(VLOOKUP(F3771,Sheet1!$A$2:$B$54,2,FALSE),"")</f>
        <v/>
      </c>
    </row>
    <row r="3772" spans="1:16" x14ac:dyDescent="0.2">
      <c r="A3772" s="1">
        <v>2023</v>
      </c>
      <c r="B3772" t="s">
        <v>457</v>
      </c>
      <c r="C3772" s="10" t="s">
        <v>1678</v>
      </c>
      <c r="D3772" s="10" t="s">
        <v>1679</v>
      </c>
      <c r="E3772" s="10" t="s">
        <v>1682</v>
      </c>
      <c r="F3772" t="s">
        <v>955</v>
      </c>
      <c r="G3772" s="4">
        <v>0</v>
      </c>
      <c r="H3772" s="4"/>
      <c r="I3772" s="4"/>
      <c r="J3772" s="4">
        <f>SUM(G3772:I3772)</f>
        <v>0</v>
      </c>
      <c r="K3772" t="s">
        <v>1659</v>
      </c>
      <c r="L3772" t="s">
        <v>1659</v>
      </c>
      <c r="M3772" t="s">
        <v>955</v>
      </c>
      <c r="N3772" t="s">
        <v>1132</v>
      </c>
      <c r="O3772" t="s">
        <v>1132</v>
      </c>
      <c r="P3772" t="str">
        <f>IFERROR(VLOOKUP(F3772,Sheet1!$A$2:$B$54,2,FALSE),"")</f>
        <v/>
      </c>
    </row>
    <row r="3773" spans="1:16" x14ac:dyDescent="0.2">
      <c r="A3773" s="1">
        <v>2015</v>
      </c>
      <c r="B3773" t="s">
        <v>458</v>
      </c>
      <c r="C3773" s="10" t="s">
        <v>1678</v>
      </c>
      <c r="D3773" s="10" t="s">
        <v>1679</v>
      </c>
      <c r="E3773" s="10" t="s">
        <v>1682</v>
      </c>
      <c r="F3773" t="s">
        <v>956</v>
      </c>
      <c r="G3773" s="4">
        <v>86038</v>
      </c>
      <c r="H3773" s="4"/>
      <c r="I3773" s="4"/>
      <c r="J3773" s="4">
        <f>SUM(G3773:I3773)</f>
        <v>86038</v>
      </c>
      <c r="K3773" t="s">
        <v>1659</v>
      </c>
      <c r="L3773" t="s">
        <v>1659</v>
      </c>
      <c r="M3773" t="s">
        <v>1589</v>
      </c>
      <c r="N3773" t="s">
        <v>1132</v>
      </c>
      <c r="O3773" t="s">
        <v>1132</v>
      </c>
      <c r="P3773" t="str">
        <f>IFERROR(VLOOKUP(F3773,Sheet1!$A$2:$B$54,2,FALSE),"")</f>
        <v/>
      </c>
    </row>
    <row r="3774" spans="1:16" x14ac:dyDescent="0.2">
      <c r="A3774" s="1">
        <v>2016</v>
      </c>
      <c r="B3774" t="s">
        <v>458</v>
      </c>
      <c r="C3774" s="10" t="s">
        <v>1678</v>
      </c>
      <c r="D3774" s="10" t="s">
        <v>1679</v>
      </c>
      <c r="E3774" s="10" t="s">
        <v>1682</v>
      </c>
      <c r="F3774" t="s">
        <v>956</v>
      </c>
      <c r="G3774" s="4">
        <v>102551</v>
      </c>
      <c r="H3774" s="4"/>
      <c r="I3774" s="4"/>
      <c r="J3774" s="4">
        <f>SUM(G3774:I3774)</f>
        <v>102551</v>
      </c>
      <c r="K3774" t="s">
        <v>1659</v>
      </c>
      <c r="L3774" t="s">
        <v>1659</v>
      </c>
      <c r="M3774" t="s">
        <v>1590</v>
      </c>
      <c r="N3774" t="s">
        <v>1132</v>
      </c>
      <c r="O3774" t="s">
        <v>1132</v>
      </c>
      <c r="P3774" t="str">
        <f>IFERROR(VLOOKUP(F3774,Sheet1!$A$2:$B$54,2,FALSE),"")</f>
        <v/>
      </c>
    </row>
    <row r="3775" spans="1:16" x14ac:dyDescent="0.2">
      <c r="A3775" s="1">
        <v>2017</v>
      </c>
      <c r="B3775" t="s">
        <v>458</v>
      </c>
      <c r="C3775" s="10" t="s">
        <v>1678</v>
      </c>
      <c r="D3775" s="10" t="s">
        <v>1679</v>
      </c>
      <c r="E3775" s="10" t="s">
        <v>1682</v>
      </c>
      <c r="F3775" t="s">
        <v>956</v>
      </c>
      <c r="G3775" s="4">
        <v>136134</v>
      </c>
      <c r="H3775" s="4"/>
      <c r="I3775" s="4"/>
      <c r="J3775" s="4">
        <f>SUM(G3775:I3775)</f>
        <v>136134</v>
      </c>
      <c r="K3775" t="s">
        <v>1659</v>
      </c>
      <c r="L3775" t="s">
        <v>1659</v>
      </c>
      <c r="M3775" t="s">
        <v>956</v>
      </c>
      <c r="N3775" t="s">
        <v>1132</v>
      </c>
      <c r="O3775" t="s">
        <v>1132</v>
      </c>
      <c r="P3775" t="str">
        <f>IFERROR(VLOOKUP(F3775,Sheet1!$A$2:$B$54,2,FALSE),"")</f>
        <v/>
      </c>
    </row>
    <row r="3776" spans="1:16" x14ac:dyDescent="0.2">
      <c r="A3776" s="1">
        <v>2018</v>
      </c>
      <c r="B3776" t="s">
        <v>458</v>
      </c>
      <c r="C3776" s="10" t="s">
        <v>1678</v>
      </c>
      <c r="D3776" s="10" t="s">
        <v>1679</v>
      </c>
      <c r="E3776" s="10" t="s">
        <v>1682</v>
      </c>
      <c r="F3776" t="s">
        <v>956</v>
      </c>
      <c r="G3776" s="4">
        <v>181809</v>
      </c>
      <c r="H3776" s="4"/>
      <c r="I3776" s="4"/>
      <c r="J3776" s="4">
        <f>SUM(G3776:I3776)</f>
        <v>181809</v>
      </c>
      <c r="K3776" t="s">
        <v>1659</v>
      </c>
      <c r="L3776" t="s">
        <v>1659</v>
      </c>
      <c r="M3776" t="s">
        <v>956</v>
      </c>
      <c r="N3776" t="s">
        <v>1132</v>
      </c>
      <c r="O3776" t="s">
        <v>1132</v>
      </c>
      <c r="P3776" t="str">
        <f>IFERROR(VLOOKUP(F3776,Sheet1!$A$2:$B$54,2,FALSE),"")</f>
        <v/>
      </c>
    </row>
    <row r="3777" spans="1:16" x14ac:dyDescent="0.2">
      <c r="A3777" s="1">
        <v>2017</v>
      </c>
      <c r="B3777" t="s">
        <v>435</v>
      </c>
      <c r="C3777" s="10" t="s">
        <v>1678</v>
      </c>
      <c r="D3777" s="10" t="s">
        <v>1679</v>
      </c>
      <c r="E3777" s="10" t="s">
        <v>1682</v>
      </c>
      <c r="F3777" t="s">
        <v>933</v>
      </c>
      <c r="G3777" s="4">
        <v>36448</v>
      </c>
      <c r="H3777" s="4">
        <v>470379</v>
      </c>
      <c r="I3777" s="4"/>
      <c r="J3777" s="4">
        <f>SUM(G3777:I3777)</f>
        <v>506827</v>
      </c>
      <c r="K3777" t="s">
        <v>1660</v>
      </c>
      <c r="L3777" t="s">
        <v>1659</v>
      </c>
      <c r="M3777" t="s">
        <v>1551</v>
      </c>
      <c r="N3777" t="s">
        <v>1551</v>
      </c>
      <c r="O3777" t="s">
        <v>1132</v>
      </c>
      <c r="P3777">
        <f>IFERROR(VLOOKUP(F3777,Sheet1!$A$2:$B$54,2,FALSE),"")</f>
        <v>4901170</v>
      </c>
    </row>
    <row r="3778" spans="1:16" x14ac:dyDescent="0.2">
      <c r="A3778" s="1">
        <v>2018</v>
      </c>
      <c r="B3778" t="s">
        <v>435</v>
      </c>
      <c r="C3778" s="10" t="s">
        <v>1678</v>
      </c>
      <c r="D3778" s="10" t="s">
        <v>1679</v>
      </c>
      <c r="E3778" s="10" t="s">
        <v>1682</v>
      </c>
      <c r="F3778" t="s">
        <v>933</v>
      </c>
      <c r="G3778" s="4">
        <v>38502</v>
      </c>
      <c r="H3778" s="4">
        <v>496843</v>
      </c>
      <c r="I3778" s="4"/>
      <c r="J3778" s="4">
        <f>SUM(G3778:I3778)</f>
        <v>535345</v>
      </c>
      <c r="K3778" t="s">
        <v>1660</v>
      </c>
      <c r="L3778" t="s">
        <v>1659</v>
      </c>
      <c r="M3778" t="s">
        <v>1551</v>
      </c>
      <c r="N3778" t="s">
        <v>1551</v>
      </c>
      <c r="O3778" t="s">
        <v>1132</v>
      </c>
      <c r="P3778">
        <f>IFERROR(VLOOKUP(F3778,Sheet1!$A$2:$B$54,2,FALSE),"")</f>
        <v>4901170</v>
      </c>
    </row>
    <row r="3779" spans="1:16" x14ac:dyDescent="0.2">
      <c r="A3779" s="1">
        <v>2019</v>
      </c>
      <c r="B3779" t="s">
        <v>435</v>
      </c>
      <c r="C3779" s="10" t="s">
        <v>1678</v>
      </c>
      <c r="D3779" s="10" t="s">
        <v>1679</v>
      </c>
      <c r="E3779" s="10" t="s">
        <v>1682</v>
      </c>
      <c r="F3779" t="s">
        <v>933</v>
      </c>
      <c r="G3779" s="4">
        <v>49795</v>
      </c>
      <c r="H3779" s="4">
        <v>534666</v>
      </c>
      <c r="I3779" s="4"/>
      <c r="J3779" s="4">
        <f>SUM(G3779:I3779)</f>
        <v>584461</v>
      </c>
      <c r="K3779" t="s">
        <v>1660</v>
      </c>
      <c r="L3779" t="s">
        <v>1659</v>
      </c>
      <c r="M3779" t="s">
        <v>1551</v>
      </c>
      <c r="N3779" t="s">
        <v>1551</v>
      </c>
      <c r="O3779" t="s">
        <v>1132</v>
      </c>
      <c r="P3779">
        <f>IFERROR(VLOOKUP(F3779,Sheet1!$A$2:$B$54,2,FALSE),"")</f>
        <v>4901170</v>
      </c>
    </row>
    <row r="3780" spans="1:16" x14ac:dyDescent="0.2">
      <c r="A3780" s="1">
        <v>2020</v>
      </c>
      <c r="B3780" t="s">
        <v>435</v>
      </c>
      <c r="C3780" s="10" t="s">
        <v>1678</v>
      </c>
      <c r="D3780" s="10" t="s">
        <v>1679</v>
      </c>
      <c r="E3780" s="10" t="s">
        <v>1682</v>
      </c>
      <c r="F3780" t="s">
        <v>933</v>
      </c>
      <c r="G3780" s="4">
        <v>64669</v>
      </c>
      <c r="H3780" s="4">
        <v>552217</v>
      </c>
      <c r="I3780" s="4"/>
      <c r="J3780" s="4">
        <f>SUM(G3780:I3780)</f>
        <v>616886</v>
      </c>
      <c r="K3780" t="s">
        <v>1660</v>
      </c>
      <c r="L3780" t="s">
        <v>1659</v>
      </c>
      <c r="M3780" t="s">
        <v>1551</v>
      </c>
      <c r="N3780" t="s">
        <v>1551</v>
      </c>
      <c r="O3780" t="s">
        <v>1132</v>
      </c>
      <c r="P3780">
        <f>IFERROR(VLOOKUP(F3780,Sheet1!$A$2:$B$54,2,FALSE),"")</f>
        <v>4901170</v>
      </c>
    </row>
    <row r="3781" spans="1:16" x14ac:dyDescent="0.2">
      <c r="A3781" s="1">
        <v>2021</v>
      </c>
      <c r="B3781" t="s">
        <v>435</v>
      </c>
      <c r="C3781" s="10" t="s">
        <v>1678</v>
      </c>
      <c r="D3781" s="10" t="s">
        <v>1679</v>
      </c>
      <c r="E3781" s="10" t="s">
        <v>1682</v>
      </c>
      <c r="F3781" t="s">
        <v>933</v>
      </c>
      <c r="G3781" s="4">
        <v>74452</v>
      </c>
      <c r="H3781" s="4">
        <v>521665</v>
      </c>
      <c r="I3781" s="4"/>
      <c r="J3781" s="4">
        <f>SUM(G3781:I3781)</f>
        <v>596117</v>
      </c>
      <c r="K3781" t="s">
        <v>1660</v>
      </c>
      <c r="L3781" t="s">
        <v>1659</v>
      </c>
      <c r="M3781" t="s">
        <v>933</v>
      </c>
      <c r="N3781" t="s">
        <v>933</v>
      </c>
      <c r="O3781" t="s">
        <v>1132</v>
      </c>
      <c r="P3781">
        <f>IFERROR(VLOOKUP(F3781,Sheet1!$A$2:$B$54,2,FALSE),"")</f>
        <v>4901170</v>
      </c>
    </row>
    <row r="3782" spans="1:16" x14ac:dyDescent="0.2">
      <c r="A3782" s="1">
        <v>2022</v>
      </c>
      <c r="B3782" t="s">
        <v>435</v>
      </c>
      <c r="C3782" s="10" t="s">
        <v>1678</v>
      </c>
      <c r="D3782" s="10" t="s">
        <v>1679</v>
      </c>
      <c r="E3782" s="10" t="s">
        <v>1682</v>
      </c>
      <c r="F3782" t="s">
        <v>933</v>
      </c>
      <c r="G3782" s="4">
        <v>103698</v>
      </c>
      <c r="H3782" s="4">
        <v>496505</v>
      </c>
      <c r="I3782" s="4"/>
      <c r="J3782" s="4">
        <f>SUM(G3782:I3782)</f>
        <v>600203</v>
      </c>
      <c r="K3782" t="s">
        <v>1660</v>
      </c>
      <c r="L3782" t="s">
        <v>1659</v>
      </c>
      <c r="M3782" t="s">
        <v>933</v>
      </c>
      <c r="N3782" t="s">
        <v>933</v>
      </c>
      <c r="O3782" t="s">
        <v>1132</v>
      </c>
      <c r="P3782">
        <f>IFERROR(VLOOKUP(F3782,Sheet1!$A$2:$B$54,2,FALSE),"")</f>
        <v>4901170</v>
      </c>
    </row>
    <row r="3783" spans="1:16" x14ac:dyDescent="0.2">
      <c r="A3783" s="1">
        <v>2023</v>
      </c>
      <c r="B3783" t="s">
        <v>435</v>
      </c>
      <c r="C3783" s="10" t="s">
        <v>1678</v>
      </c>
      <c r="D3783" s="10" t="s">
        <v>1679</v>
      </c>
      <c r="E3783" s="10" t="s">
        <v>1682</v>
      </c>
      <c r="F3783" t="s">
        <v>933</v>
      </c>
      <c r="G3783" s="4">
        <v>137286</v>
      </c>
      <c r="H3783" s="4">
        <v>534055</v>
      </c>
      <c r="I3783" s="4"/>
      <c r="J3783" s="4">
        <f>SUM(G3783:I3783)</f>
        <v>671341</v>
      </c>
      <c r="K3783" t="s">
        <v>1660</v>
      </c>
      <c r="L3783" t="s">
        <v>1659</v>
      </c>
      <c r="M3783" t="s">
        <v>933</v>
      </c>
      <c r="N3783" t="s">
        <v>933</v>
      </c>
      <c r="O3783" t="s">
        <v>1132</v>
      </c>
      <c r="P3783">
        <f>IFERROR(VLOOKUP(F3783,Sheet1!$A$2:$B$54,2,FALSE),"")</f>
        <v>4901170</v>
      </c>
    </row>
    <row r="3784" spans="1:16" x14ac:dyDescent="0.2">
      <c r="A3784" s="1">
        <v>2015</v>
      </c>
      <c r="B3784" t="s">
        <v>440</v>
      </c>
      <c r="C3784" s="10" t="s">
        <v>1678</v>
      </c>
      <c r="D3784" s="10" t="s">
        <v>1679</v>
      </c>
      <c r="E3784" s="10" t="s">
        <v>1682</v>
      </c>
      <c r="F3784" t="s">
        <v>938</v>
      </c>
      <c r="G3784" s="4">
        <v>947778</v>
      </c>
      <c r="H3784" s="4">
        <v>23979392</v>
      </c>
      <c r="I3784" s="4">
        <v>6570</v>
      </c>
      <c r="J3784" s="4">
        <f>SUM(G3784:I3784)</f>
        <v>24933740</v>
      </c>
      <c r="K3784" t="s">
        <v>1660</v>
      </c>
      <c r="L3784" t="s">
        <v>1660</v>
      </c>
      <c r="M3784" t="s">
        <v>1557</v>
      </c>
      <c r="N3784" t="s">
        <v>1557</v>
      </c>
      <c r="O3784" t="s">
        <v>1557</v>
      </c>
      <c r="P3784">
        <f>IFERROR(VLOOKUP(F3784,Sheet1!$A$2:$B$54,2,FALSE),"")</f>
        <v>4901200</v>
      </c>
    </row>
    <row r="3785" spans="1:16" x14ac:dyDescent="0.2">
      <c r="A3785" s="1">
        <v>2016</v>
      </c>
      <c r="B3785" t="s">
        <v>440</v>
      </c>
      <c r="C3785" s="10" t="s">
        <v>1678</v>
      </c>
      <c r="D3785" s="10" t="s">
        <v>1679</v>
      </c>
      <c r="E3785" s="10" t="s">
        <v>1682</v>
      </c>
      <c r="F3785" t="s">
        <v>938</v>
      </c>
      <c r="G3785" s="4">
        <v>1199044</v>
      </c>
      <c r="H3785" s="4">
        <v>24295325</v>
      </c>
      <c r="I3785" s="4">
        <v>2242</v>
      </c>
      <c r="J3785" s="4">
        <f>SUM(G3785:I3785)</f>
        <v>25496611</v>
      </c>
      <c r="K3785" t="s">
        <v>1660</v>
      </c>
      <c r="L3785" t="s">
        <v>1660</v>
      </c>
      <c r="M3785" t="s">
        <v>1557</v>
      </c>
      <c r="N3785" t="s">
        <v>1557</v>
      </c>
      <c r="O3785" t="s">
        <v>1557</v>
      </c>
      <c r="P3785">
        <f>IFERROR(VLOOKUP(F3785,Sheet1!$A$2:$B$54,2,FALSE),"")</f>
        <v>4901200</v>
      </c>
    </row>
    <row r="3786" spans="1:16" x14ac:dyDescent="0.2">
      <c r="A3786" s="1">
        <v>2016</v>
      </c>
      <c r="B3786" t="s">
        <v>460</v>
      </c>
      <c r="C3786" s="10" t="s">
        <v>1678</v>
      </c>
      <c r="D3786" s="10" t="s">
        <v>1679</v>
      </c>
      <c r="E3786" s="10" t="s">
        <v>1682</v>
      </c>
      <c r="F3786" t="s">
        <v>958</v>
      </c>
      <c r="G3786" s="4">
        <v>1181</v>
      </c>
      <c r="H3786" s="4"/>
      <c r="I3786" s="4"/>
      <c r="J3786" s="4">
        <f>SUM(G3786:I3786)</f>
        <v>1181</v>
      </c>
      <c r="K3786" t="s">
        <v>1659</v>
      </c>
      <c r="L3786" t="s">
        <v>1659</v>
      </c>
      <c r="M3786" t="s">
        <v>1594</v>
      </c>
      <c r="N3786" t="s">
        <v>1132</v>
      </c>
      <c r="O3786" t="s">
        <v>1132</v>
      </c>
      <c r="P3786" t="str">
        <f>IFERROR(VLOOKUP(F3786,Sheet1!$A$2:$B$54,2,FALSE),"")</f>
        <v/>
      </c>
    </row>
    <row r="3787" spans="1:16" x14ac:dyDescent="0.2">
      <c r="A3787" s="1">
        <v>2017</v>
      </c>
      <c r="B3787" t="s">
        <v>460</v>
      </c>
      <c r="C3787" s="10" t="s">
        <v>1678</v>
      </c>
      <c r="D3787" s="10" t="s">
        <v>1679</v>
      </c>
      <c r="E3787" s="10" t="s">
        <v>1682</v>
      </c>
      <c r="F3787" t="s">
        <v>958</v>
      </c>
      <c r="G3787" s="4">
        <v>1877</v>
      </c>
      <c r="H3787" s="4"/>
      <c r="I3787" s="4"/>
      <c r="J3787" s="4">
        <f>SUM(G3787:I3787)</f>
        <v>1877</v>
      </c>
      <c r="K3787" t="s">
        <v>1659</v>
      </c>
      <c r="L3787" t="s">
        <v>1659</v>
      </c>
      <c r="M3787" t="s">
        <v>1594</v>
      </c>
      <c r="N3787" t="s">
        <v>1132</v>
      </c>
      <c r="O3787" t="s">
        <v>1132</v>
      </c>
      <c r="P3787" t="str">
        <f>IFERROR(VLOOKUP(F3787,Sheet1!$A$2:$B$54,2,FALSE),"")</f>
        <v/>
      </c>
    </row>
    <row r="3788" spans="1:16" x14ac:dyDescent="0.2">
      <c r="A3788" s="1">
        <v>2018</v>
      </c>
      <c r="B3788" t="s">
        <v>460</v>
      </c>
      <c r="C3788" s="10" t="s">
        <v>1678</v>
      </c>
      <c r="D3788" s="10" t="s">
        <v>1679</v>
      </c>
      <c r="E3788" s="10" t="s">
        <v>1682</v>
      </c>
      <c r="F3788" t="s">
        <v>958</v>
      </c>
      <c r="G3788" s="4">
        <v>1914</v>
      </c>
      <c r="H3788" s="4"/>
      <c r="I3788" s="4"/>
      <c r="J3788" s="4">
        <f>SUM(G3788:I3788)</f>
        <v>1914</v>
      </c>
      <c r="K3788" t="s">
        <v>1659</v>
      </c>
      <c r="L3788" t="s">
        <v>1659</v>
      </c>
      <c r="M3788" t="s">
        <v>1594</v>
      </c>
      <c r="N3788" t="s">
        <v>1132</v>
      </c>
      <c r="O3788" t="s">
        <v>1132</v>
      </c>
      <c r="P3788" t="str">
        <f>IFERROR(VLOOKUP(F3788,Sheet1!$A$2:$B$54,2,FALSE),"")</f>
        <v/>
      </c>
    </row>
    <row r="3789" spans="1:16" x14ac:dyDescent="0.2">
      <c r="A3789" s="1">
        <v>2019</v>
      </c>
      <c r="B3789" t="s">
        <v>460</v>
      </c>
      <c r="C3789" s="10" t="s">
        <v>1678</v>
      </c>
      <c r="D3789" s="10" t="s">
        <v>1679</v>
      </c>
      <c r="E3789" s="10" t="s">
        <v>1682</v>
      </c>
      <c r="F3789" t="s">
        <v>958</v>
      </c>
      <c r="G3789" s="4">
        <v>0</v>
      </c>
      <c r="H3789" s="4"/>
      <c r="I3789" s="4"/>
      <c r="J3789" s="4">
        <f>SUM(G3789:I3789)</f>
        <v>0</v>
      </c>
      <c r="K3789" t="s">
        <v>1659</v>
      </c>
      <c r="L3789" t="s">
        <v>1659</v>
      </c>
      <c r="M3789" t="s">
        <v>1594</v>
      </c>
      <c r="N3789" t="s">
        <v>1132</v>
      </c>
      <c r="O3789" t="s">
        <v>1132</v>
      </c>
      <c r="P3789" t="str">
        <f>IFERROR(VLOOKUP(F3789,Sheet1!$A$2:$B$54,2,FALSE),"")</f>
        <v/>
      </c>
    </row>
    <row r="3790" spans="1:16" x14ac:dyDescent="0.2">
      <c r="A3790" s="1">
        <v>2020</v>
      </c>
      <c r="B3790" t="s">
        <v>460</v>
      </c>
      <c r="C3790" s="10" t="s">
        <v>1678</v>
      </c>
      <c r="D3790" s="10" t="s">
        <v>1679</v>
      </c>
      <c r="E3790" s="10" t="s">
        <v>1682</v>
      </c>
      <c r="F3790" t="s">
        <v>958</v>
      </c>
      <c r="G3790" s="4">
        <v>0</v>
      </c>
      <c r="H3790" s="4"/>
      <c r="I3790" s="4"/>
      <c r="J3790" s="4">
        <f>SUM(G3790:I3790)</f>
        <v>0</v>
      </c>
      <c r="K3790" t="s">
        <v>1659</v>
      </c>
      <c r="L3790" t="s">
        <v>1659</v>
      </c>
      <c r="M3790" t="s">
        <v>1594</v>
      </c>
      <c r="N3790" t="s">
        <v>1132</v>
      </c>
      <c r="O3790" t="s">
        <v>1132</v>
      </c>
      <c r="P3790" t="str">
        <f>IFERROR(VLOOKUP(F3790,Sheet1!$A$2:$B$54,2,FALSE),"")</f>
        <v/>
      </c>
    </row>
    <row r="3791" spans="1:16" x14ac:dyDescent="0.2">
      <c r="A3791" s="1">
        <v>2021</v>
      </c>
      <c r="B3791" t="s">
        <v>460</v>
      </c>
      <c r="C3791" s="10" t="s">
        <v>1678</v>
      </c>
      <c r="D3791" s="10" t="s">
        <v>1679</v>
      </c>
      <c r="E3791" s="10" t="s">
        <v>1682</v>
      </c>
      <c r="F3791" t="s">
        <v>958</v>
      </c>
      <c r="G3791" s="4">
        <v>0</v>
      </c>
      <c r="H3791" s="4"/>
      <c r="I3791" s="4"/>
      <c r="J3791" s="4">
        <f>SUM(G3791:I3791)</f>
        <v>0</v>
      </c>
      <c r="K3791" t="s">
        <v>1659</v>
      </c>
      <c r="L3791" t="s">
        <v>1659</v>
      </c>
      <c r="M3791" t="s">
        <v>958</v>
      </c>
      <c r="N3791" t="s">
        <v>1132</v>
      </c>
      <c r="O3791" t="s">
        <v>1132</v>
      </c>
      <c r="P3791" t="str">
        <f>IFERROR(VLOOKUP(F3791,Sheet1!$A$2:$B$54,2,FALSE),"")</f>
        <v/>
      </c>
    </row>
    <row r="3792" spans="1:16" x14ac:dyDescent="0.2">
      <c r="A3792" s="1">
        <v>2022</v>
      </c>
      <c r="B3792" t="s">
        <v>460</v>
      </c>
      <c r="C3792" s="10" t="s">
        <v>1678</v>
      </c>
      <c r="D3792" s="10" t="s">
        <v>1679</v>
      </c>
      <c r="E3792" s="10" t="s">
        <v>1682</v>
      </c>
      <c r="F3792" t="s">
        <v>958</v>
      </c>
      <c r="G3792" s="4">
        <v>0</v>
      </c>
      <c r="H3792" s="4"/>
      <c r="I3792" s="4"/>
      <c r="J3792" s="4">
        <f>SUM(G3792:I3792)</f>
        <v>0</v>
      </c>
      <c r="K3792" t="s">
        <v>1659</v>
      </c>
      <c r="L3792" t="s">
        <v>1659</v>
      </c>
      <c r="M3792" t="s">
        <v>958</v>
      </c>
      <c r="N3792" t="s">
        <v>1132</v>
      </c>
      <c r="O3792" t="s">
        <v>1132</v>
      </c>
      <c r="P3792" t="str">
        <f>IFERROR(VLOOKUP(F3792,Sheet1!$A$2:$B$54,2,FALSE),"")</f>
        <v/>
      </c>
    </row>
    <row r="3793" spans="1:16" x14ac:dyDescent="0.2">
      <c r="A3793" s="1">
        <v>2023</v>
      </c>
      <c r="B3793" t="s">
        <v>460</v>
      </c>
      <c r="C3793" s="10" t="s">
        <v>1678</v>
      </c>
      <c r="D3793" s="10" t="s">
        <v>1679</v>
      </c>
      <c r="E3793" s="10" t="s">
        <v>1682</v>
      </c>
      <c r="F3793" t="s">
        <v>958</v>
      </c>
      <c r="G3793" s="4">
        <v>0</v>
      </c>
      <c r="H3793" s="4"/>
      <c r="I3793" s="4"/>
      <c r="J3793" s="4">
        <f>SUM(G3793:I3793)</f>
        <v>0</v>
      </c>
      <c r="K3793" t="s">
        <v>1659</v>
      </c>
      <c r="L3793" t="s">
        <v>1659</v>
      </c>
      <c r="M3793" t="s">
        <v>958</v>
      </c>
      <c r="N3793" t="s">
        <v>1132</v>
      </c>
      <c r="O3793" t="s">
        <v>1132</v>
      </c>
      <c r="P3793" t="str">
        <f>IFERROR(VLOOKUP(F3793,Sheet1!$A$2:$B$54,2,FALSE),"")</f>
        <v/>
      </c>
    </row>
    <row r="3794" spans="1:16" x14ac:dyDescent="0.2">
      <c r="A3794" s="1">
        <v>2017</v>
      </c>
      <c r="B3794" t="s">
        <v>461</v>
      </c>
      <c r="C3794" s="10" t="s">
        <v>1678</v>
      </c>
      <c r="D3794" s="10" t="s">
        <v>1679</v>
      </c>
      <c r="E3794" s="10" t="s">
        <v>1682</v>
      </c>
      <c r="F3794" t="s">
        <v>959</v>
      </c>
      <c r="G3794" s="4">
        <v>3389</v>
      </c>
      <c r="H3794" s="4"/>
      <c r="I3794" s="4"/>
      <c r="J3794" s="4">
        <f>SUM(G3794:I3794)</f>
        <v>3389</v>
      </c>
      <c r="K3794" t="s">
        <v>1659</v>
      </c>
      <c r="L3794" t="s">
        <v>1659</v>
      </c>
      <c r="M3794" t="s">
        <v>1595</v>
      </c>
      <c r="N3794" t="s">
        <v>1132</v>
      </c>
      <c r="O3794" t="s">
        <v>1132</v>
      </c>
      <c r="P3794" t="str">
        <f>IFERROR(VLOOKUP(F3794,Sheet1!$A$2:$B$54,2,FALSE),"")</f>
        <v/>
      </c>
    </row>
    <row r="3795" spans="1:16" x14ac:dyDescent="0.2">
      <c r="A3795" s="1">
        <v>2018</v>
      </c>
      <c r="B3795" t="s">
        <v>461</v>
      </c>
      <c r="C3795" s="10" t="s">
        <v>1678</v>
      </c>
      <c r="D3795" s="10" t="s">
        <v>1679</v>
      </c>
      <c r="E3795" s="10" t="s">
        <v>1682</v>
      </c>
      <c r="F3795" t="s">
        <v>959</v>
      </c>
      <c r="G3795" s="4">
        <v>1778</v>
      </c>
      <c r="H3795" s="4"/>
      <c r="I3795" s="4"/>
      <c r="J3795" s="4">
        <f>SUM(G3795:I3795)</f>
        <v>1778</v>
      </c>
      <c r="K3795" t="s">
        <v>1659</v>
      </c>
      <c r="L3795" t="s">
        <v>1659</v>
      </c>
      <c r="M3795" t="s">
        <v>1595</v>
      </c>
      <c r="N3795" t="s">
        <v>1132</v>
      </c>
      <c r="O3795" t="s">
        <v>1132</v>
      </c>
      <c r="P3795" t="str">
        <f>IFERROR(VLOOKUP(F3795,Sheet1!$A$2:$B$54,2,FALSE),"")</f>
        <v/>
      </c>
    </row>
    <row r="3796" spans="1:16" x14ac:dyDescent="0.2">
      <c r="A3796" s="1">
        <v>2019</v>
      </c>
      <c r="B3796" t="s">
        <v>461</v>
      </c>
      <c r="C3796" s="10" t="s">
        <v>1678</v>
      </c>
      <c r="D3796" s="10" t="s">
        <v>1679</v>
      </c>
      <c r="E3796" s="10" t="s">
        <v>1682</v>
      </c>
      <c r="F3796" t="s">
        <v>959</v>
      </c>
      <c r="G3796" s="4">
        <v>2662</v>
      </c>
      <c r="H3796" s="4"/>
      <c r="I3796" s="4"/>
      <c r="J3796" s="4">
        <f>SUM(G3796:I3796)</f>
        <v>2662</v>
      </c>
      <c r="K3796" t="s">
        <v>1659</v>
      </c>
      <c r="L3796" t="s">
        <v>1659</v>
      </c>
      <c r="M3796" t="s">
        <v>1595</v>
      </c>
      <c r="N3796" t="s">
        <v>1132</v>
      </c>
      <c r="O3796" t="s">
        <v>1132</v>
      </c>
      <c r="P3796" t="str">
        <f>IFERROR(VLOOKUP(F3796,Sheet1!$A$2:$B$54,2,FALSE),"")</f>
        <v/>
      </c>
    </row>
    <row r="3797" spans="1:16" x14ac:dyDescent="0.2">
      <c r="A3797" s="1">
        <v>2020</v>
      </c>
      <c r="B3797" t="s">
        <v>461</v>
      </c>
      <c r="C3797" s="10" t="s">
        <v>1678</v>
      </c>
      <c r="D3797" s="10" t="s">
        <v>1679</v>
      </c>
      <c r="E3797" s="10" t="s">
        <v>1682</v>
      </c>
      <c r="F3797" t="s">
        <v>959</v>
      </c>
      <c r="G3797" s="4">
        <v>2851</v>
      </c>
      <c r="H3797" s="4"/>
      <c r="I3797" s="4"/>
      <c r="J3797" s="4">
        <f>SUM(G3797:I3797)</f>
        <v>2851</v>
      </c>
      <c r="K3797" t="s">
        <v>1659</v>
      </c>
      <c r="L3797" t="s">
        <v>1659</v>
      </c>
      <c r="M3797" t="s">
        <v>1595</v>
      </c>
      <c r="N3797" t="s">
        <v>1132</v>
      </c>
      <c r="O3797" t="s">
        <v>1132</v>
      </c>
      <c r="P3797" t="str">
        <f>IFERROR(VLOOKUP(F3797,Sheet1!$A$2:$B$54,2,FALSE),"")</f>
        <v/>
      </c>
    </row>
    <row r="3798" spans="1:16" x14ac:dyDescent="0.2">
      <c r="A3798" s="1">
        <v>2021</v>
      </c>
      <c r="B3798" t="s">
        <v>461</v>
      </c>
      <c r="C3798" s="10" t="s">
        <v>1678</v>
      </c>
      <c r="D3798" s="10" t="s">
        <v>1679</v>
      </c>
      <c r="E3798" s="10" t="s">
        <v>1682</v>
      </c>
      <c r="F3798" t="s">
        <v>959</v>
      </c>
      <c r="G3798" s="4">
        <v>1429</v>
      </c>
      <c r="H3798" s="4"/>
      <c r="I3798" s="4"/>
      <c r="J3798" s="4">
        <f>SUM(G3798:I3798)</f>
        <v>1429</v>
      </c>
      <c r="K3798" t="s">
        <v>1659</v>
      </c>
      <c r="L3798" t="s">
        <v>1659</v>
      </c>
      <c r="M3798" t="s">
        <v>1596</v>
      </c>
      <c r="N3798" t="s">
        <v>1132</v>
      </c>
      <c r="O3798" t="s">
        <v>1132</v>
      </c>
      <c r="P3798" t="str">
        <f>IFERROR(VLOOKUP(F3798,Sheet1!$A$2:$B$54,2,FALSE),"")</f>
        <v/>
      </c>
    </row>
    <row r="3799" spans="1:16" x14ac:dyDescent="0.2">
      <c r="A3799" s="1">
        <v>2022</v>
      </c>
      <c r="B3799" t="s">
        <v>461</v>
      </c>
      <c r="C3799" s="10" t="s">
        <v>1678</v>
      </c>
      <c r="D3799" s="10" t="s">
        <v>1679</v>
      </c>
      <c r="E3799" s="10" t="s">
        <v>1682</v>
      </c>
      <c r="F3799" t="s">
        <v>959</v>
      </c>
      <c r="G3799" s="4">
        <v>0</v>
      </c>
      <c r="H3799" s="4"/>
      <c r="I3799" s="4"/>
      <c r="J3799" s="4">
        <f>SUM(G3799:I3799)</f>
        <v>0</v>
      </c>
      <c r="K3799" t="s">
        <v>1659</v>
      </c>
      <c r="L3799" t="s">
        <v>1659</v>
      </c>
      <c r="M3799" t="s">
        <v>959</v>
      </c>
      <c r="N3799" t="s">
        <v>1132</v>
      </c>
      <c r="O3799" t="s">
        <v>1132</v>
      </c>
      <c r="P3799" t="str">
        <f>IFERROR(VLOOKUP(F3799,Sheet1!$A$2:$B$54,2,FALSE),"")</f>
        <v/>
      </c>
    </row>
    <row r="3800" spans="1:16" x14ac:dyDescent="0.2">
      <c r="A3800" s="1">
        <v>2023</v>
      </c>
      <c r="B3800" t="s">
        <v>461</v>
      </c>
      <c r="C3800" s="10" t="s">
        <v>1678</v>
      </c>
      <c r="D3800" s="10" t="s">
        <v>1679</v>
      </c>
      <c r="E3800" s="10" t="s">
        <v>1682</v>
      </c>
      <c r="F3800" t="s">
        <v>959</v>
      </c>
      <c r="G3800" s="4">
        <v>0</v>
      </c>
      <c r="H3800" s="4"/>
      <c r="I3800" s="4"/>
      <c r="J3800" s="4">
        <f>SUM(G3800:I3800)</f>
        <v>0</v>
      </c>
      <c r="K3800" t="s">
        <v>1659</v>
      </c>
      <c r="L3800" t="s">
        <v>1659</v>
      </c>
      <c r="M3800" t="s">
        <v>959</v>
      </c>
      <c r="N3800" t="s">
        <v>1132</v>
      </c>
      <c r="O3800" t="s">
        <v>1132</v>
      </c>
      <c r="P3800" t="str">
        <f>IFERROR(VLOOKUP(F3800,Sheet1!$A$2:$B$54,2,FALSE),"")</f>
        <v/>
      </c>
    </row>
    <row r="3801" spans="1:16" x14ac:dyDescent="0.2">
      <c r="A3801" s="1">
        <v>2019</v>
      </c>
      <c r="B3801" t="s">
        <v>462</v>
      </c>
      <c r="C3801" s="10" t="s">
        <v>1678</v>
      </c>
      <c r="D3801" s="10" t="s">
        <v>1679</v>
      </c>
      <c r="E3801" s="10" t="s">
        <v>1682</v>
      </c>
      <c r="F3801" t="s">
        <v>960</v>
      </c>
      <c r="G3801" s="4">
        <v>1144</v>
      </c>
      <c r="H3801" s="4"/>
      <c r="I3801" s="4"/>
      <c r="J3801" s="4">
        <f>SUM(G3801:I3801)</f>
        <v>1144</v>
      </c>
      <c r="K3801" t="s">
        <v>1659</v>
      </c>
      <c r="L3801" t="s">
        <v>1659</v>
      </c>
      <c r="M3801" t="s">
        <v>1597</v>
      </c>
      <c r="N3801" t="s">
        <v>1132</v>
      </c>
      <c r="O3801" t="s">
        <v>1132</v>
      </c>
      <c r="P3801" t="str">
        <f>IFERROR(VLOOKUP(F3801,Sheet1!$A$2:$B$54,2,FALSE),"")</f>
        <v/>
      </c>
    </row>
    <row r="3802" spans="1:16" x14ac:dyDescent="0.2">
      <c r="A3802" s="1">
        <v>2020</v>
      </c>
      <c r="B3802" t="s">
        <v>462</v>
      </c>
      <c r="C3802" s="10" t="s">
        <v>1678</v>
      </c>
      <c r="D3802" s="10" t="s">
        <v>1679</v>
      </c>
      <c r="E3802" s="10" t="s">
        <v>1682</v>
      </c>
      <c r="F3802" t="s">
        <v>960</v>
      </c>
      <c r="G3802" s="4">
        <v>0</v>
      </c>
      <c r="H3802" s="4"/>
      <c r="I3802" s="4"/>
      <c r="J3802" s="4">
        <f>SUM(G3802:I3802)</f>
        <v>0</v>
      </c>
      <c r="K3802" t="s">
        <v>1659</v>
      </c>
      <c r="L3802" t="s">
        <v>1659</v>
      </c>
      <c r="M3802" t="s">
        <v>1598</v>
      </c>
      <c r="N3802" t="s">
        <v>1132</v>
      </c>
      <c r="O3802" t="s">
        <v>1132</v>
      </c>
      <c r="P3802" t="str">
        <f>IFERROR(VLOOKUP(F3802,Sheet1!$A$2:$B$54,2,FALSE),"")</f>
        <v/>
      </c>
    </row>
    <row r="3803" spans="1:16" x14ac:dyDescent="0.2">
      <c r="A3803" s="1">
        <v>2021</v>
      </c>
      <c r="B3803" t="s">
        <v>462</v>
      </c>
      <c r="C3803" s="10" t="s">
        <v>1678</v>
      </c>
      <c r="D3803" s="10" t="s">
        <v>1679</v>
      </c>
      <c r="E3803" s="10" t="s">
        <v>1682</v>
      </c>
      <c r="F3803" t="s">
        <v>960</v>
      </c>
      <c r="G3803" s="4">
        <v>0</v>
      </c>
      <c r="H3803" s="4"/>
      <c r="I3803" s="4"/>
      <c r="J3803" s="4">
        <f>SUM(G3803:I3803)</f>
        <v>0</v>
      </c>
      <c r="K3803" t="s">
        <v>1659</v>
      </c>
      <c r="L3803" t="s">
        <v>1659</v>
      </c>
      <c r="M3803" t="s">
        <v>1599</v>
      </c>
      <c r="N3803" t="s">
        <v>1132</v>
      </c>
      <c r="O3803" t="s">
        <v>1132</v>
      </c>
      <c r="P3803" t="str">
        <f>IFERROR(VLOOKUP(F3803,Sheet1!$A$2:$B$54,2,FALSE),"")</f>
        <v/>
      </c>
    </row>
    <row r="3804" spans="1:16" x14ac:dyDescent="0.2">
      <c r="A3804" s="1">
        <v>2022</v>
      </c>
      <c r="B3804" t="s">
        <v>462</v>
      </c>
      <c r="C3804" s="10" t="s">
        <v>1678</v>
      </c>
      <c r="D3804" s="10" t="s">
        <v>1679</v>
      </c>
      <c r="E3804" s="10" t="s">
        <v>1682</v>
      </c>
      <c r="F3804" t="s">
        <v>960</v>
      </c>
      <c r="G3804" s="4">
        <v>7075</v>
      </c>
      <c r="H3804" s="4"/>
      <c r="I3804" s="4"/>
      <c r="J3804" s="4">
        <f>SUM(G3804:I3804)</f>
        <v>7075</v>
      </c>
      <c r="K3804" t="s">
        <v>1659</v>
      </c>
      <c r="L3804" t="s">
        <v>1659</v>
      </c>
      <c r="M3804" t="s">
        <v>1599</v>
      </c>
      <c r="N3804" t="s">
        <v>1132</v>
      </c>
      <c r="O3804" t="s">
        <v>1132</v>
      </c>
      <c r="P3804" t="str">
        <f>IFERROR(VLOOKUP(F3804,Sheet1!$A$2:$B$54,2,FALSE),"")</f>
        <v/>
      </c>
    </row>
    <row r="3805" spans="1:16" x14ac:dyDescent="0.2">
      <c r="A3805" s="1">
        <v>2023</v>
      </c>
      <c r="B3805" t="s">
        <v>462</v>
      </c>
      <c r="C3805" s="10" t="s">
        <v>1678</v>
      </c>
      <c r="D3805" s="10" t="s">
        <v>1679</v>
      </c>
      <c r="E3805" s="10" t="s">
        <v>1682</v>
      </c>
      <c r="F3805" t="s">
        <v>960</v>
      </c>
      <c r="G3805" s="4">
        <v>0</v>
      </c>
      <c r="H3805" s="4"/>
      <c r="I3805" s="4"/>
      <c r="J3805" s="4">
        <f>SUM(G3805:I3805)</f>
        <v>0</v>
      </c>
      <c r="K3805" t="s">
        <v>1659</v>
      </c>
      <c r="L3805" t="s">
        <v>1659</v>
      </c>
      <c r="M3805" t="s">
        <v>960</v>
      </c>
      <c r="N3805" t="s">
        <v>1132</v>
      </c>
      <c r="O3805" t="s">
        <v>1132</v>
      </c>
      <c r="P3805" t="str">
        <f>IFERROR(VLOOKUP(F3805,Sheet1!$A$2:$B$54,2,FALSE),"")</f>
        <v/>
      </c>
    </row>
    <row r="3806" spans="1:16" x14ac:dyDescent="0.2">
      <c r="A3806" s="1">
        <v>2015</v>
      </c>
      <c r="B3806" t="s">
        <v>463</v>
      </c>
      <c r="C3806" s="10" t="s">
        <v>1678</v>
      </c>
      <c r="D3806" s="10" t="s">
        <v>1679</v>
      </c>
      <c r="E3806" s="10" t="s">
        <v>1682</v>
      </c>
      <c r="F3806" t="s">
        <v>961</v>
      </c>
      <c r="G3806" s="4">
        <v>26217</v>
      </c>
      <c r="H3806" s="4"/>
      <c r="I3806" s="4"/>
      <c r="J3806" s="4">
        <f>SUM(G3806:I3806)</f>
        <v>26217</v>
      </c>
      <c r="K3806" t="s">
        <v>1659</v>
      </c>
      <c r="L3806" t="s">
        <v>1659</v>
      </c>
      <c r="M3806" t="s">
        <v>961</v>
      </c>
      <c r="N3806" t="s">
        <v>1132</v>
      </c>
      <c r="O3806" t="s">
        <v>1132</v>
      </c>
      <c r="P3806" t="str">
        <f>IFERROR(VLOOKUP(F3806,Sheet1!$A$2:$B$54,2,FALSE),"")</f>
        <v/>
      </c>
    </row>
    <row r="3807" spans="1:16" x14ac:dyDescent="0.2">
      <c r="A3807" s="1">
        <v>2016</v>
      </c>
      <c r="B3807" t="s">
        <v>463</v>
      </c>
      <c r="C3807" s="10" t="s">
        <v>1678</v>
      </c>
      <c r="D3807" s="10" t="s">
        <v>1679</v>
      </c>
      <c r="E3807" s="10" t="s">
        <v>1682</v>
      </c>
      <c r="F3807" t="s">
        <v>961</v>
      </c>
      <c r="G3807" s="4">
        <v>24273</v>
      </c>
      <c r="H3807" s="4"/>
      <c r="I3807" s="4"/>
      <c r="J3807" s="4">
        <f>SUM(G3807:I3807)</f>
        <v>24273</v>
      </c>
      <c r="K3807" t="s">
        <v>1659</v>
      </c>
      <c r="L3807" t="s">
        <v>1659</v>
      </c>
      <c r="M3807" t="s">
        <v>961</v>
      </c>
      <c r="N3807" t="s">
        <v>1132</v>
      </c>
      <c r="O3807" t="s">
        <v>1132</v>
      </c>
      <c r="P3807" t="str">
        <f>IFERROR(VLOOKUP(F3807,Sheet1!$A$2:$B$54,2,FALSE),"")</f>
        <v/>
      </c>
    </row>
    <row r="3808" spans="1:16" x14ac:dyDescent="0.2">
      <c r="A3808" s="1">
        <v>2015</v>
      </c>
      <c r="B3808" t="s">
        <v>464</v>
      </c>
      <c r="C3808" s="10" t="s">
        <v>1678</v>
      </c>
      <c r="D3808" s="10" t="s">
        <v>1679</v>
      </c>
      <c r="E3808" s="10" t="s">
        <v>1682</v>
      </c>
      <c r="F3808" t="s">
        <v>962</v>
      </c>
      <c r="G3808" s="4">
        <v>4324</v>
      </c>
      <c r="H3808" s="4"/>
      <c r="I3808" s="4"/>
      <c r="J3808" s="4">
        <f>SUM(G3808:I3808)</f>
        <v>4324</v>
      </c>
      <c r="K3808" t="s">
        <v>1659</v>
      </c>
      <c r="L3808" t="s">
        <v>1659</v>
      </c>
      <c r="M3808" t="s">
        <v>962</v>
      </c>
      <c r="N3808" t="s">
        <v>1132</v>
      </c>
      <c r="O3808" t="s">
        <v>1132</v>
      </c>
      <c r="P3808" t="str">
        <f>IFERROR(VLOOKUP(F3808,Sheet1!$A$2:$B$54,2,FALSE),"")</f>
        <v/>
      </c>
    </row>
    <row r="3809" spans="1:16" x14ac:dyDescent="0.2">
      <c r="A3809" s="1">
        <v>2019</v>
      </c>
      <c r="B3809" t="s">
        <v>465</v>
      </c>
      <c r="C3809" s="10" t="s">
        <v>1678</v>
      </c>
      <c r="D3809" s="10" t="s">
        <v>1679</v>
      </c>
      <c r="E3809" s="10" t="s">
        <v>1682</v>
      </c>
      <c r="F3809" t="s">
        <v>963</v>
      </c>
      <c r="G3809" s="4">
        <v>2799</v>
      </c>
      <c r="H3809" s="4"/>
      <c r="I3809" s="4"/>
      <c r="J3809" s="4">
        <f>SUM(G3809:I3809)</f>
        <v>2799</v>
      </c>
      <c r="K3809" t="s">
        <v>1659</v>
      </c>
      <c r="L3809" t="s">
        <v>1659</v>
      </c>
      <c r="M3809" t="s">
        <v>1600</v>
      </c>
      <c r="N3809" t="s">
        <v>1132</v>
      </c>
      <c r="O3809" t="s">
        <v>1132</v>
      </c>
      <c r="P3809" t="str">
        <f>IFERROR(VLOOKUP(F3809,Sheet1!$A$2:$B$54,2,FALSE),"")</f>
        <v/>
      </c>
    </row>
    <row r="3810" spans="1:16" x14ac:dyDescent="0.2">
      <c r="A3810" s="1">
        <v>2020</v>
      </c>
      <c r="B3810" t="s">
        <v>465</v>
      </c>
      <c r="C3810" s="10" t="s">
        <v>1678</v>
      </c>
      <c r="D3810" s="10" t="s">
        <v>1679</v>
      </c>
      <c r="E3810" s="10" t="s">
        <v>1682</v>
      </c>
      <c r="F3810" t="s">
        <v>963</v>
      </c>
      <c r="G3810" s="4">
        <v>122</v>
      </c>
      <c r="H3810" s="4"/>
      <c r="I3810" s="4"/>
      <c r="J3810" s="4">
        <f>SUM(G3810:I3810)</f>
        <v>122</v>
      </c>
      <c r="K3810" t="s">
        <v>1659</v>
      </c>
      <c r="L3810" t="s">
        <v>1659</v>
      </c>
      <c r="M3810" t="s">
        <v>1600</v>
      </c>
      <c r="N3810" t="s">
        <v>1132</v>
      </c>
      <c r="O3810" t="s">
        <v>1132</v>
      </c>
      <c r="P3810" t="str">
        <f>IFERROR(VLOOKUP(F3810,Sheet1!$A$2:$B$54,2,FALSE),"")</f>
        <v/>
      </c>
    </row>
    <row r="3811" spans="1:16" x14ac:dyDescent="0.2">
      <c r="A3811" s="1">
        <v>2021</v>
      </c>
      <c r="B3811" t="s">
        <v>465</v>
      </c>
      <c r="C3811" s="10" t="s">
        <v>1678</v>
      </c>
      <c r="D3811" s="10" t="s">
        <v>1679</v>
      </c>
      <c r="E3811" s="10" t="s">
        <v>1682</v>
      </c>
      <c r="F3811" t="s">
        <v>963</v>
      </c>
      <c r="G3811" s="4">
        <v>0</v>
      </c>
      <c r="H3811" s="4"/>
      <c r="I3811" s="4"/>
      <c r="J3811" s="4">
        <f>SUM(G3811:I3811)</f>
        <v>0</v>
      </c>
      <c r="K3811" t="s">
        <v>1659</v>
      </c>
      <c r="L3811" t="s">
        <v>1659</v>
      </c>
      <c r="M3811" t="s">
        <v>963</v>
      </c>
      <c r="N3811" t="s">
        <v>1132</v>
      </c>
      <c r="O3811" t="s">
        <v>1132</v>
      </c>
      <c r="P3811" t="str">
        <f>IFERROR(VLOOKUP(F3811,Sheet1!$A$2:$B$54,2,FALSE),"")</f>
        <v/>
      </c>
    </row>
    <row r="3812" spans="1:16" x14ac:dyDescent="0.2">
      <c r="A3812" s="1">
        <v>2022</v>
      </c>
      <c r="B3812" t="s">
        <v>465</v>
      </c>
      <c r="C3812" s="10" t="s">
        <v>1678</v>
      </c>
      <c r="D3812" s="10" t="s">
        <v>1679</v>
      </c>
      <c r="E3812" s="10" t="s">
        <v>1682</v>
      </c>
      <c r="F3812" t="s">
        <v>963</v>
      </c>
      <c r="G3812" s="4">
        <v>0</v>
      </c>
      <c r="H3812" s="4"/>
      <c r="I3812" s="4"/>
      <c r="J3812" s="4">
        <f>SUM(G3812:I3812)</f>
        <v>0</v>
      </c>
      <c r="K3812" t="s">
        <v>1659</v>
      </c>
      <c r="L3812" t="s">
        <v>1659</v>
      </c>
      <c r="M3812" t="s">
        <v>1601</v>
      </c>
      <c r="N3812" t="s">
        <v>1132</v>
      </c>
      <c r="O3812" t="s">
        <v>1132</v>
      </c>
      <c r="P3812" t="str">
        <f>IFERROR(VLOOKUP(F3812,Sheet1!$A$2:$B$54,2,FALSE),"")</f>
        <v/>
      </c>
    </row>
    <row r="3813" spans="1:16" x14ac:dyDescent="0.2">
      <c r="A3813" s="1">
        <v>2023</v>
      </c>
      <c r="B3813" t="s">
        <v>465</v>
      </c>
      <c r="C3813" s="10" t="s">
        <v>1678</v>
      </c>
      <c r="D3813" s="10" t="s">
        <v>1679</v>
      </c>
      <c r="E3813" s="10" t="s">
        <v>1682</v>
      </c>
      <c r="F3813" t="s">
        <v>963</v>
      </c>
      <c r="G3813" s="4">
        <v>0</v>
      </c>
      <c r="H3813" s="4"/>
      <c r="I3813" s="4"/>
      <c r="J3813" s="4">
        <f>SUM(G3813:I3813)</f>
        <v>0</v>
      </c>
      <c r="K3813" t="s">
        <v>1659</v>
      </c>
      <c r="L3813" t="s">
        <v>1659</v>
      </c>
      <c r="M3813" t="s">
        <v>963</v>
      </c>
      <c r="N3813" t="s">
        <v>1132</v>
      </c>
      <c r="O3813" t="s">
        <v>1132</v>
      </c>
      <c r="P3813" t="str">
        <f>IFERROR(VLOOKUP(F3813,Sheet1!$A$2:$B$54,2,FALSE),"")</f>
        <v/>
      </c>
    </row>
    <row r="3814" spans="1:16" x14ac:dyDescent="0.2">
      <c r="A3814" s="1">
        <v>2015</v>
      </c>
      <c r="B3814" t="s">
        <v>466</v>
      </c>
      <c r="C3814" s="10" t="s">
        <v>1678</v>
      </c>
      <c r="D3814" s="10" t="s">
        <v>1679</v>
      </c>
      <c r="E3814" s="10" t="s">
        <v>1682</v>
      </c>
      <c r="F3814" t="s">
        <v>964</v>
      </c>
      <c r="G3814" s="4">
        <v>5855</v>
      </c>
      <c r="H3814" s="4">
        <v>16670</v>
      </c>
      <c r="I3814" s="4"/>
      <c r="J3814" s="4">
        <f>SUM(G3814:I3814)</f>
        <v>22525</v>
      </c>
      <c r="K3814" t="s">
        <v>1660</v>
      </c>
      <c r="L3814" t="s">
        <v>1659</v>
      </c>
      <c r="M3814" t="s">
        <v>1602</v>
      </c>
      <c r="N3814" t="s">
        <v>1602</v>
      </c>
      <c r="O3814" t="s">
        <v>1132</v>
      </c>
      <c r="P3814" t="str">
        <f>IFERROR(VLOOKUP(F3814,Sheet1!$A$2:$B$54,2,FALSE),"")</f>
        <v/>
      </c>
    </row>
    <row r="3815" spans="1:16" x14ac:dyDescent="0.2">
      <c r="A3815" s="1">
        <v>2016</v>
      </c>
      <c r="B3815" t="s">
        <v>466</v>
      </c>
      <c r="C3815" s="10" t="s">
        <v>1678</v>
      </c>
      <c r="D3815" s="10" t="s">
        <v>1679</v>
      </c>
      <c r="E3815" s="10" t="s">
        <v>1682</v>
      </c>
      <c r="F3815" t="s">
        <v>964</v>
      </c>
      <c r="G3815" s="4">
        <v>2632</v>
      </c>
      <c r="H3815" s="4">
        <v>20316</v>
      </c>
      <c r="I3815" s="4"/>
      <c r="J3815" s="4">
        <f>SUM(G3815:I3815)</f>
        <v>22948</v>
      </c>
      <c r="K3815" t="s">
        <v>1660</v>
      </c>
      <c r="L3815" t="s">
        <v>1659</v>
      </c>
      <c r="M3815" t="s">
        <v>1602</v>
      </c>
      <c r="N3815" t="s">
        <v>1602</v>
      </c>
      <c r="O3815" t="s">
        <v>1132</v>
      </c>
      <c r="P3815" t="str">
        <f>IFERROR(VLOOKUP(F3815,Sheet1!$A$2:$B$54,2,FALSE),"")</f>
        <v/>
      </c>
    </row>
    <row r="3816" spans="1:16" x14ac:dyDescent="0.2">
      <c r="A3816" s="1">
        <v>2017</v>
      </c>
      <c r="B3816" t="s">
        <v>466</v>
      </c>
      <c r="C3816" s="10" t="s">
        <v>1678</v>
      </c>
      <c r="D3816" s="10" t="s">
        <v>1679</v>
      </c>
      <c r="E3816" s="10" t="s">
        <v>1682</v>
      </c>
      <c r="F3816" t="s">
        <v>964</v>
      </c>
      <c r="G3816" s="4">
        <v>0</v>
      </c>
      <c r="H3816" s="4">
        <v>25113</v>
      </c>
      <c r="I3816" s="4"/>
      <c r="J3816" s="4">
        <f>SUM(G3816:I3816)</f>
        <v>25113</v>
      </c>
      <c r="K3816" t="s">
        <v>1660</v>
      </c>
      <c r="L3816" t="s">
        <v>1659</v>
      </c>
      <c r="M3816" t="s">
        <v>1602</v>
      </c>
      <c r="N3816" t="s">
        <v>1647</v>
      </c>
      <c r="O3816" t="s">
        <v>1132</v>
      </c>
      <c r="P3816" t="str">
        <f>IFERROR(VLOOKUP(F3816,Sheet1!$A$2:$B$54,2,FALSE),"")</f>
        <v/>
      </c>
    </row>
    <row r="3817" spans="1:16" x14ac:dyDescent="0.2">
      <c r="A3817" s="1">
        <v>2018</v>
      </c>
      <c r="B3817" t="s">
        <v>466</v>
      </c>
      <c r="C3817" s="10" t="s">
        <v>1678</v>
      </c>
      <c r="D3817" s="10" t="s">
        <v>1679</v>
      </c>
      <c r="E3817" s="10" t="s">
        <v>1682</v>
      </c>
      <c r="F3817" t="s">
        <v>964</v>
      </c>
      <c r="G3817" s="4">
        <v>0</v>
      </c>
      <c r="H3817" s="4">
        <v>26661</v>
      </c>
      <c r="I3817" s="4"/>
      <c r="J3817" s="4">
        <f>SUM(G3817:I3817)</f>
        <v>26661</v>
      </c>
      <c r="K3817" t="s">
        <v>1660</v>
      </c>
      <c r="L3817" t="s">
        <v>1659</v>
      </c>
      <c r="M3817" t="s">
        <v>1602</v>
      </c>
      <c r="N3817" t="s">
        <v>1647</v>
      </c>
      <c r="O3817" t="s">
        <v>1132</v>
      </c>
      <c r="P3817" t="str">
        <f>IFERROR(VLOOKUP(F3817,Sheet1!$A$2:$B$54,2,FALSE),"")</f>
        <v/>
      </c>
    </row>
    <row r="3818" spans="1:16" x14ac:dyDescent="0.2">
      <c r="A3818" s="1">
        <v>2019</v>
      </c>
      <c r="B3818" t="s">
        <v>466</v>
      </c>
      <c r="C3818" s="10" t="s">
        <v>1678</v>
      </c>
      <c r="D3818" s="10" t="s">
        <v>1679</v>
      </c>
      <c r="E3818" s="10" t="s">
        <v>1682</v>
      </c>
      <c r="F3818" t="s">
        <v>964</v>
      </c>
      <c r="G3818" s="4">
        <v>0</v>
      </c>
      <c r="H3818" s="4">
        <v>19413</v>
      </c>
      <c r="I3818" s="4"/>
      <c r="J3818" s="4">
        <f>SUM(G3818:I3818)</f>
        <v>19413</v>
      </c>
      <c r="K3818" t="s">
        <v>1660</v>
      </c>
      <c r="L3818" t="s">
        <v>1659</v>
      </c>
      <c r="M3818" t="s">
        <v>1603</v>
      </c>
      <c r="N3818" t="s">
        <v>1602</v>
      </c>
      <c r="O3818" t="s">
        <v>1132</v>
      </c>
      <c r="P3818" t="str">
        <f>IFERROR(VLOOKUP(F3818,Sheet1!$A$2:$B$54,2,FALSE),"")</f>
        <v/>
      </c>
    </row>
    <row r="3819" spans="1:16" x14ac:dyDescent="0.2">
      <c r="A3819" s="1">
        <v>2020</v>
      </c>
      <c r="B3819" t="s">
        <v>466</v>
      </c>
      <c r="C3819" s="10" t="s">
        <v>1678</v>
      </c>
      <c r="D3819" s="10" t="s">
        <v>1679</v>
      </c>
      <c r="E3819" s="10" t="s">
        <v>1682</v>
      </c>
      <c r="F3819" t="s">
        <v>964</v>
      </c>
      <c r="G3819" s="4">
        <v>0</v>
      </c>
      <c r="H3819" s="4">
        <v>0</v>
      </c>
      <c r="I3819" s="4"/>
      <c r="J3819" s="4">
        <f>SUM(G3819:I3819)</f>
        <v>0</v>
      </c>
      <c r="K3819" t="s">
        <v>1660</v>
      </c>
      <c r="L3819" t="s">
        <v>1659</v>
      </c>
      <c r="M3819" t="s">
        <v>1602</v>
      </c>
      <c r="N3819" t="s">
        <v>1602</v>
      </c>
      <c r="O3819" t="s">
        <v>1132</v>
      </c>
      <c r="P3819" t="str">
        <f>IFERROR(VLOOKUP(F3819,Sheet1!$A$2:$B$54,2,FALSE),"")</f>
        <v/>
      </c>
    </row>
    <row r="3820" spans="1:16" x14ac:dyDescent="0.2">
      <c r="A3820" s="1">
        <v>2021</v>
      </c>
      <c r="B3820" t="s">
        <v>466</v>
      </c>
      <c r="C3820" s="10" t="s">
        <v>1678</v>
      </c>
      <c r="D3820" s="10" t="s">
        <v>1679</v>
      </c>
      <c r="E3820" s="10" t="s">
        <v>1682</v>
      </c>
      <c r="F3820" t="s">
        <v>964</v>
      </c>
      <c r="G3820" s="4">
        <v>0</v>
      </c>
      <c r="H3820" s="4"/>
      <c r="I3820" s="4"/>
      <c r="J3820" s="4">
        <f>SUM(G3820:I3820)</f>
        <v>0</v>
      </c>
      <c r="K3820" t="s">
        <v>1659</v>
      </c>
      <c r="L3820" t="s">
        <v>1659</v>
      </c>
      <c r="M3820" t="s">
        <v>964</v>
      </c>
      <c r="N3820" t="s">
        <v>1132</v>
      </c>
      <c r="O3820" t="s">
        <v>1132</v>
      </c>
      <c r="P3820" t="str">
        <f>IFERROR(VLOOKUP(F3820,Sheet1!$A$2:$B$54,2,FALSE),"")</f>
        <v/>
      </c>
    </row>
    <row r="3821" spans="1:16" x14ac:dyDescent="0.2">
      <c r="A3821" s="1">
        <v>2022</v>
      </c>
      <c r="B3821" t="s">
        <v>466</v>
      </c>
      <c r="C3821" s="10" t="s">
        <v>1678</v>
      </c>
      <c r="D3821" s="10" t="s">
        <v>1679</v>
      </c>
      <c r="E3821" s="10" t="s">
        <v>1682</v>
      </c>
      <c r="F3821" t="s">
        <v>964</v>
      </c>
      <c r="G3821" s="4">
        <v>0</v>
      </c>
      <c r="H3821" s="4">
        <v>0</v>
      </c>
      <c r="I3821" s="4"/>
      <c r="J3821" s="4">
        <f>SUM(G3821:I3821)</f>
        <v>0</v>
      </c>
      <c r="K3821" t="s">
        <v>1660</v>
      </c>
      <c r="L3821" t="s">
        <v>1659</v>
      </c>
      <c r="M3821" t="s">
        <v>1604</v>
      </c>
      <c r="N3821" t="s">
        <v>964</v>
      </c>
      <c r="O3821" t="s">
        <v>1132</v>
      </c>
      <c r="P3821" t="str">
        <f>IFERROR(VLOOKUP(F3821,Sheet1!$A$2:$B$54,2,FALSE),"")</f>
        <v/>
      </c>
    </row>
    <row r="3822" spans="1:16" x14ac:dyDescent="0.2">
      <c r="A3822" s="1">
        <v>2023</v>
      </c>
      <c r="B3822" t="s">
        <v>466</v>
      </c>
      <c r="C3822" s="10" t="s">
        <v>1678</v>
      </c>
      <c r="D3822" s="10" t="s">
        <v>1679</v>
      </c>
      <c r="E3822" s="10" t="s">
        <v>1682</v>
      </c>
      <c r="F3822" t="s">
        <v>964</v>
      </c>
      <c r="G3822" s="4">
        <v>0</v>
      </c>
      <c r="H3822" s="4">
        <v>0</v>
      </c>
      <c r="I3822" s="4"/>
      <c r="J3822" s="4">
        <f>SUM(G3822:I3822)</f>
        <v>0</v>
      </c>
      <c r="K3822" t="s">
        <v>1660</v>
      </c>
      <c r="L3822" t="s">
        <v>1659</v>
      </c>
      <c r="M3822" t="s">
        <v>964</v>
      </c>
      <c r="N3822" t="s">
        <v>964</v>
      </c>
      <c r="O3822" t="s">
        <v>1132</v>
      </c>
      <c r="P3822" t="str">
        <f>IFERROR(VLOOKUP(F3822,Sheet1!$A$2:$B$54,2,FALSE),"")</f>
        <v/>
      </c>
    </row>
    <row r="3823" spans="1:16" x14ac:dyDescent="0.2">
      <c r="A3823" s="1">
        <v>2015</v>
      </c>
      <c r="B3823" t="s">
        <v>467</v>
      </c>
      <c r="C3823" s="10" t="s">
        <v>1678</v>
      </c>
      <c r="D3823" s="10" t="s">
        <v>1679</v>
      </c>
      <c r="E3823" s="10" t="s">
        <v>1682</v>
      </c>
      <c r="F3823" t="s">
        <v>965</v>
      </c>
      <c r="G3823" s="4">
        <v>1624</v>
      </c>
      <c r="H3823" s="4"/>
      <c r="I3823" s="4"/>
      <c r="J3823" s="4">
        <f>SUM(G3823:I3823)</f>
        <v>1624</v>
      </c>
      <c r="K3823" t="s">
        <v>1659</v>
      </c>
      <c r="L3823" t="s">
        <v>1659</v>
      </c>
      <c r="M3823" t="s">
        <v>1605</v>
      </c>
      <c r="N3823" t="s">
        <v>1132</v>
      </c>
      <c r="O3823" t="s">
        <v>1132</v>
      </c>
      <c r="P3823" t="str">
        <f>IFERROR(VLOOKUP(F3823,Sheet1!$A$2:$B$54,2,FALSE),"")</f>
        <v/>
      </c>
    </row>
    <row r="3824" spans="1:16" x14ac:dyDescent="0.2">
      <c r="A3824" s="1">
        <v>2016</v>
      </c>
      <c r="B3824" t="s">
        <v>467</v>
      </c>
      <c r="C3824" s="10" t="s">
        <v>1678</v>
      </c>
      <c r="D3824" s="10" t="s">
        <v>1679</v>
      </c>
      <c r="E3824" s="10" t="s">
        <v>1682</v>
      </c>
      <c r="F3824" t="s">
        <v>965</v>
      </c>
      <c r="G3824" s="4">
        <v>645</v>
      </c>
      <c r="H3824" s="4"/>
      <c r="I3824" s="4"/>
      <c r="J3824" s="4">
        <f>SUM(G3824:I3824)</f>
        <v>645</v>
      </c>
      <c r="K3824" t="s">
        <v>1659</v>
      </c>
      <c r="L3824" t="s">
        <v>1659</v>
      </c>
      <c r="M3824" t="s">
        <v>1605</v>
      </c>
      <c r="N3824" t="s">
        <v>1132</v>
      </c>
      <c r="O3824" t="s">
        <v>1132</v>
      </c>
      <c r="P3824" t="str">
        <f>IFERROR(VLOOKUP(F3824,Sheet1!$A$2:$B$54,2,FALSE),"")</f>
        <v/>
      </c>
    </row>
    <row r="3825" spans="1:16" x14ac:dyDescent="0.2">
      <c r="A3825" s="1">
        <v>2017</v>
      </c>
      <c r="B3825" t="s">
        <v>467</v>
      </c>
      <c r="C3825" s="10" t="s">
        <v>1678</v>
      </c>
      <c r="D3825" s="10" t="s">
        <v>1679</v>
      </c>
      <c r="E3825" s="10" t="s">
        <v>1682</v>
      </c>
      <c r="F3825" t="s">
        <v>965</v>
      </c>
      <c r="G3825" s="4">
        <v>0</v>
      </c>
      <c r="H3825" s="4"/>
      <c r="I3825" s="4"/>
      <c r="J3825" s="4">
        <f>SUM(G3825:I3825)</f>
        <v>0</v>
      </c>
      <c r="K3825" t="s">
        <v>1659</v>
      </c>
      <c r="L3825" t="s">
        <v>1659</v>
      </c>
      <c r="M3825" t="s">
        <v>1606</v>
      </c>
      <c r="N3825" t="s">
        <v>1132</v>
      </c>
      <c r="O3825" t="s">
        <v>1132</v>
      </c>
      <c r="P3825" t="str">
        <f>IFERROR(VLOOKUP(F3825,Sheet1!$A$2:$B$54,2,FALSE),"")</f>
        <v/>
      </c>
    </row>
    <row r="3826" spans="1:16" x14ac:dyDescent="0.2">
      <c r="A3826" s="1">
        <v>2018</v>
      </c>
      <c r="B3826" t="s">
        <v>467</v>
      </c>
      <c r="C3826" s="10" t="s">
        <v>1678</v>
      </c>
      <c r="D3826" s="10" t="s">
        <v>1679</v>
      </c>
      <c r="E3826" s="10" t="s">
        <v>1682</v>
      </c>
      <c r="F3826" t="s">
        <v>965</v>
      </c>
      <c r="G3826" s="4">
        <v>0</v>
      </c>
      <c r="H3826" s="4"/>
      <c r="I3826" s="4"/>
      <c r="J3826" s="4">
        <f>SUM(G3826:I3826)</f>
        <v>0</v>
      </c>
      <c r="K3826" t="s">
        <v>1659</v>
      </c>
      <c r="L3826" t="s">
        <v>1659</v>
      </c>
      <c r="M3826" t="s">
        <v>1606</v>
      </c>
      <c r="N3826" t="s">
        <v>1132</v>
      </c>
      <c r="O3826" t="s">
        <v>1132</v>
      </c>
      <c r="P3826" t="str">
        <f>IFERROR(VLOOKUP(F3826,Sheet1!$A$2:$B$54,2,FALSE),"")</f>
        <v/>
      </c>
    </row>
    <row r="3827" spans="1:16" x14ac:dyDescent="0.2">
      <c r="A3827" s="1">
        <v>2020</v>
      </c>
      <c r="B3827" t="s">
        <v>467</v>
      </c>
      <c r="C3827" s="10" t="s">
        <v>1678</v>
      </c>
      <c r="D3827" s="10" t="s">
        <v>1679</v>
      </c>
      <c r="E3827" s="10" t="s">
        <v>1682</v>
      </c>
      <c r="F3827" t="s">
        <v>965</v>
      </c>
      <c r="G3827" s="4">
        <v>0</v>
      </c>
      <c r="H3827" s="4"/>
      <c r="I3827" s="4"/>
      <c r="J3827" s="4">
        <f>SUM(G3827:I3827)</f>
        <v>0</v>
      </c>
      <c r="K3827" t="s">
        <v>1659</v>
      </c>
      <c r="L3827" t="s">
        <v>1659</v>
      </c>
      <c r="M3827" t="s">
        <v>1607</v>
      </c>
      <c r="N3827" t="s">
        <v>1132</v>
      </c>
      <c r="O3827" t="s">
        <v>1132</v>
      </c>
      <c r="P3827" t="str">
        <f>IFERROR(VLOOKUP(F3827,Sheet1!$A$2:$B$54,2,FALSE),"")</f>
        <v/>
      </c>
    </row>
    <row r="3828" spans="1:16" x14ac:dyDescent="0.2">
      <c r="A3828" s="1">
        <v>2021</v>
      </c>
      <c r="B3828" t="s">
        <v>467</v>
      </c>
      <c r="C3828" s="10" t="s">
        <v>1678</v>
      </c>
      <c r="D3828" s="10" t="s">
        <v>1679</v>
      </c>
      <c r="E3828" s="10" t="s">
        <v>1682</v>
      </c>
      <c r="F3828" t="s">
        <v>965</v>
      </c>
      <c r="G3828" s="4">
        <v>0</v>
      </c>
      <c r="H3828" s="4"/>
      <c r="I3828" s="4"/>
      <c r="J3828" s="4">
        <f>SUM(G3828:I3828)</f>
        <v>0</v>
      </c>
      <c r="K3828" t="s">
        <v>1659</v>
      </c>
      <c r="L3828" t="s">
        <v>1659</v>
      </c>
      <c r="M3828" t="s">
        <v>1608</v>
      </c>
      <c r="N3828" t="s">
        <v>1132</v>
      </c>
      <c r="O3828" t="s">
        <v>1132</v>
      </c>
      <c r="P3828" t="str">
        <f>IFERROR(VLOOKUP(F3828,Sheet1!$A$2:$B$54,2,FALSE),"")</f>
        <v/>
      </c>
    </row>
    <row r="3829" spans="1:16" x14ac:dyDescent="0.2">
      <c r="A3829" s="1">
        <v>2022</v>
      </c>
      <c r="B3829" t="s">
        <v>467</v>
      </c>
      <c r="C3829" s="10" t="s">
        <v>1678</v>
      </c>
      <c r="D3829" s="10" t="s">
        <v>1679</v>
      </c>
      <c r="E3829" s="10" t="s">
        <v>1682</v>
      </c>
      <c r="F3829" t="s">
        <v>965</v>
      </c>
      <c r="G3829" s="4">
        <v>0</v>
      </c>
      <c r="H3829" s="4"/>
      <c r="I3829" s="4"/>
      <c r="J3829" s="4">
        <f>SUM(G3829:I3829)</f>
        <v>0</v>
      </c>
      <c r="K3829" t="s">
        <v>1659</v>
      </c>
      <c r="L3829" t="s">
        <v>1659</v>
      </c>
      <c r="M3829" t="s">
        <v>965</v>
      </c>
      <c r="N3829" t="s">
        <v>1132</v>
      </c>
      <c r="O3829" t="s">
        <v>1132</v>
      </c>
      <c r="P3829" t="str">
        <f>IFERROR(VLOOKUP(F3829,Sheet1!$A$2:$B$54,2,FALSE),"")</f>
        <v/>
      </c>
    </row>
    <row r="3830" spans="1:16" x14ac:dyDescent="0.2">
      <c r="A3830" s="1">
        <v>2023</v>
      </c>
      <c r="B3830" t="s">
        <v>467</v>
      </c>
      <c r="C3830" s="10" t="s">
        <v>1678</v>
      </c>
      <c r="D3830" s="10" t="s">
        <v>1679</v>
      </c>
      <c r="E3830" s="10" t="s">
        <v>1682</v>
      </c>
      <c r="F3830" t="s">
        <v>965</v>
      </c>
      <c r="G3830" s="4">
        <v>0</v>
      </c>
      <c r="H3830" s="4"/>
      <c r="I3830" s="4"/>
      <c r="J3830" s="4">
        <f>SUM(G3830:I3830)</f>
        <v>0</v>
      </c>
      <c r="K3830" t="s">
        <v>1659</v>
      </c>
      <c r="L3830" t="s">
        <v>1659</v>
      </c>
      <c r="M3830" t="s">
        <v>965</v>
      </c>
      <c r="N3830" t="s">
        <v>1132</v>
      </c>
      <c r="O3830" t="s">
        <v>1132</v>
      </c>
      <c r="P3830" t="str">
        <f>IFERROR(VLOOKUP(F3830,Sheet1!$A$2:$B$54,2,FALSE),"")</f>
        <v/>
      </c>
    </row>
    <row r="3831" spans="1:16" x14ac:dyDescent="0.2">
      <c r="A3831" s="1">
        <v>2015</v>
      </c>
      <c r="B3831" t="s">
        <v>468</v>
      </c>
      <c r="C3831" s="10" t="s">
        <v>1678</v>
      </c>
      <c r="D3831" s="10" t="s">
        <v>1679</v>
      </c>
      <c r="E3831" s="10" t="s">
        <v>1682</v>
      </c>
      <c r="F3831" t="s">
        <v>966</v>
      </c>
      <c r="G3831" s="4">
        <v>7298</v>
      </c>
      <c r="H3831" s="4"/>
      <c r="I3831" s="4"/>
      <c r="J3831" s="4">
        <f>SUM(G3831:I3831)</f>
        <v>7298</v>
      </c>
      <c r="K3831" t="s">
        <v>1659</v>
      </c>
      <c r="L3831" t="s">
        <v>1659</v>
      </c>
      <c r="M3831" t="s">
        <v>966</v>
      </c>
      <c r="N3831" t="s">
        <v>1132</v>
      </c>
      <c r="O3831" t="s">
        <v>1132</v>
      </c>
      <c r="P3831" t="str">
        <f>IFERROR(VLOOKUP(F3831,Sheet1!$A$2:$B$54,2,FALSE),"")</f>
        <v/>
      </c>
    </row>
    <row r="3832" spans="1:16" x14ac:dyDescent="0.2">
      <c r="A3832" s="1">
        <v>2022</v>
      </c>
      <c r="B3832" t="s">
        <v>469</v>
      </c>
      <c r="C3832" s="10" t="s">
        <v>1678</v>
      </c>
      <c r="D3832" s="10" t="s">
        <v>1679</v>
      </c>
      <c r="E3832" s="10" t="s">
        <v>1682</v>
      </c>
      <c r="F3832" t="s">
        <v>967</v>
      </c>
      <c r="G3832" s="4">
        <v>142</v>
      </c>
      <c r="H3832" s="4"/>
      <c r="I3832" s="4"/>
      <c r="J3832" s="4">
        <f>SUM(G3832:I3832)</f>
        <v>142</v>
      </c>
      <c r="K3832" t="s">
        <v>1659</v>
      </c>
      <c r="L3832" t="s">
        <v>1659</v>
      </c>
      <c r="M3832" t="s">
        <v>1609</v>
      </c>
      <c r="N3832" t="s">
        <v>1132</v>
      </c>
      <c r="O3832" t="s">
        <v>1132</v>
      </c>
      <c r="P3832" t="str">
        <f>IFERROR(VLOOKUP(F3832,Sheet1!$A$2:$B$54,2,FALSE),"")</f>
        <v/>
      </c>
    </row>
    <row r="3833" spans="1:16" x14ac:dyDescent="0.2">
      <c r="A3833" s="1">
        <v>2023</v>
      </c>
      <c r="B3833" t="s">
        <v>469</v>
      </c>
      <c r="C3833" s="10" t="s">
        <v>1678</v>
      </c>
      <c r="D3833" s="10" t="s">
        <v>1679</v>
      </c>
      <c r="E3833" s="10" t="s">
        <v>1682</v>
      </c>
      <c r="F3833" t="s">
        <v>967</v>
      </c>
      <c r="G3833" s="4">
        <v>0</v>
      </c>
      <c r="H3833" s="4"/>
      <c r="I3833" s="4"/>
      <c r="J3833" s="4">
        <f>SUM(G3833:I3833)</f>
        <v>0</v>
      </c>
      <c r="K3833" t="s">
        <v>1659</v>
      </c>
      <c r="L3833" t="s">
        <v>1659</v>
      </c>
      <c r="M3833" t="s">
        <v>967</v>
      </c>
      <c r="N3833" t="s">
        <v>1132</v>
      </c>
      <c r="O3833" t="s">
        <v>1132</v>
      </c>
      <c r="P3833" t="str">
        <f>IFERROR(VLOOKUP(F3833,Sheet1!$A$2:$B$54,2,FALSE),"")</f>
        <v/>
      </c>
    </row>
    <row r="3834" spans="1:16" x14ac:dyDescent="0.2">
      <c r="A3834" s="1">
        <v>2017</v>
      </c>
      <c r="B3834" t="s">
        <v>440</v>
      </c>
      <c r="C3834" s="10" t="s">
        <v>1678</v>
      </c>
      <c r="D3834" s="10" t="s">
        <v>1679</v>
      </c>
      <c r="E3834" s="10" t="s">
        <v>1682</v>
      </c>
      <c r="F3834" t="s">
        <v>938</v>
      </c>
      <c r="G3834" s="4">
        <v>1552107</v>
      </c>
      <c r="H3834" s="4">
        <v>24903327</v>
      </c>
      <c r="I3834" s="4">
        <v>0</v>
      </c>
      <c r="J3834" s="4">
        <f>SUM(G3834:I3834)</f>
        <v>26455434</v>
      </c>
      <c r="K3834" t="s">
        <v>1660</v>
      </c>
      <c r="L3834" t="s">
        <v>1660</v>
      </c>
      <c r="M3834" t="s">
        <v>1557</v>
      </c>
      <c r="N3834" t="s">
        <v>1557</v>
      </c>
      <c r="O3834" t="s">
        <v>1557</v>
      </c>
      <c r="P3834">
        <f>IFERROR(VLOOKUP(F3834,Sheet1!$A$2:$B$54,2,FALSE),"")</f>
        <v>4901200</v>
      </c>
    </row>
    <row r="3835" spans="1:16" x14ac:dyDescent="0.2">
      <c r="A3835" s="1">
        <v>2018</v>
      </c>
      <c r="B3835" t="s">
        <v>440</v>
      </c>
      <c r="C3835" s="10" t="s">
        <v>1678</v>
      </c>
      <c r="D3835" s="10" t="s">
        <v>1679</v>
      </c>
      <c r="E3835" s="10" t="s">
        <v>1682</v>
      </c>
      <c r="F3835" t="s">
        <v>938</v>
      </c>
      <c r="G3835" s="4">
        <v>1995793</v>
      </c>
      <c r="H3835" s="4">
        <v>25732960</v>
      </c>
      <c r="I3835" s="4">
        <v>0</v>
      </c>
      <c r="J3835" s="4">
        <f>SUM(G3835:I3835)</f>
        <v>27728753</v>
      </c>
      <c r="K3835" t="s">
        <v>1660</v>
      </c>
      <c r="L3835" t="s">
        <v>1660</v>
      </c>
      <c r="M3835" t="s">
        <v>1557</v>
      </c>
      <c r="N3835" t="s">
        <v>1557</v>
      </c>
      <c r="O3835" t="s">
        <v>1557</v>
      </c>
      <c r="P3835">
        <f>IFERROR(VLOOKUP(F3835,Sheet1!$A$2:$B$54,2,FALSE),"")</f>
        <v>4901200</v>
      </c>
    </row>
    <row r="3836" spans="1:16" x14ac:dyDescent="0.2">
      <c r="A3836" s="1">
        <v>2019</v>
      </c>
      <c r="B3836" t="s">
        <v>440</v>
      </c>
      <c r="C3836" s="10" t="s">
        <v>1678</v>
      </c>
      <c r="D3836" s="10" t="s">
        <v>1679</v>
      </c>
      <c r="E3836" s="10" t="s">
        <v>1682</v>
      </c>
      <c r="F3836" t="s">
        <v>938</v>
      </c>
      <c r="G3836" s="4">
        <v>2589860</v>
      </c>
      <c r="H3836" s="4">
        <v>26649311</v>
      </c>
      <c r="I3836" s="4">
        <v>0</v>
      </c>
      <c r="J3836" s="4">
        <f>SUM(G3836:I3836)</f>
        <v>29239171</v>
      </c>
      <c r="K3836" t="s">
        <v>1660</v>
      </c>
      <c r="L3836" t="s">
        <v>1660</v>
      </c>
      <c r="M3836" t="s">
        <v>1557</v>
      </c>
      <c r="N3836" t="s">
        <v>1557</v>
      </c>
      <c r="O3836" t="s">
        <v>1557</v>
      </c>
      <c r="P3836">
        <f>IFERROR(VLOOKUP(F3836,Sheet1!$A$2:$B$54,2,FALSE),"")</f>
        <v>4901200</v>
      </c>
    </row>
    <row r="3837" spans="1:16" x14ac:dyDescent="0.2">
      <c r="A3837" s="1">
        <v>2020</v>
      </c>
      <c r="B3837" t="s">
        <v>440</v>
      </c>
      <c r="C3837" s="10" t="s">
        <v>1678</v>
      </c>
      <c r="D3837" s="10" t="s">
        <v>1679</v>
      </c>
      <c r="E3837" s="10" t="s">
        <v>1682</v>
      </c>
      <c r="F3837" t="s">
        <v>938</v>
      </c>
      <c r="G3837" s="4">
        <v>3257162</v>
      </c>
      <c r="H3837" s="4">
        <v>27918313</v>
      </c>
      <c r="I3837" s="4">
        <v>0</v>
      </c>
      <c r="J3837" s="4">
        <f>SUM(G3837:I3837)</f>
        <v>31175475</v>
      </c>
      <c r="K3837" t="s">
        <v>1660</v>
      </c>
      <c r="L3837" t="s">
        <v>1660</v>
      </c>
      <c r="M3837" t="s">
        <v>1557</v>
      </c>
      <c r="N3837" t="s">
        <v>1557</v>
      </c>
      <c r="O3837" t="s">
        <v>1557</v>
      </c>
      <c r="P3837">
        <f>IFERROR(VLOOKUP(F3837,Sheet1!$A$2:$B$54,2,FALSE),"")</f>
        <v>4901200</v>
      </c>
    </row>
    <row r="3838" spans="1:16" x14ac:dyDescent="0.2">
      <c r="A3838" s="1">
        <v>2021</v>
      </c>
      <c r="B3838" t="s">
        <v>440</v>
      </c>
      <c r="C3838" s="10" t="s">
        <v>1678</v>
      </c>
      <c r="D3838" s="10" t="s">
        <v>1679</v>
      </c>
      <c r="E3838" s="10" t="s">
        <v>1682</v>
      </c>
      <c r="F3838" t="s">
        <v>938</v>
      </c>
      <c r="G3838" s="4">
        <v>3954276</v>
      </c>
      <c r="H3838" s="4">
        <v>29373368</v>
      </c>
      <c r="I3838" s="4">
        <v>0</v>
      </c>
      <c r="J3838" s="4">
        <f>SUM(G3838:I3838)</f>
        <v>33327644</v>
      </c>
      <c r="K3838" t="s">
        <v>1660</v>
      </c>
      <c r="L3838" t="s">
        <v>1660</v>
      </c>
      <c r="M3838" t="s">
        <v>938</v>
      </c>
      <c r="N3838" t="s">
        <v>938</v>
      </c>
      <c r="O3838" t="s">
        <v>938</v>
      </c>
      <c r="P3838">
        <f>IFERROR(VLOOKUP(F3838,Sheet1!$A$2:$B$54,2,FALSE),"")</f>
        <v>4901200</v>
      </c>
    </row>
    <row r="3839" spans="1:16" x14ac:dyDescent="0.2">
      <c r="A3839" s="1">
        <v>2022</v>
      </c>
      <c r="B3839" t="s">
        <v>440</v>
      </c>
      <c r="C3839" s="10" t="s">
        <v>1678</v>
      </c>
      <c r="D3839" s="10" t="s">
        <v>1679</v>
      </c>
      <c r="E3839" s="10" t="s">
        <v>1682</v>
      </c>
      <c r="F3839" t="s">
        <v>938</v>
      </c>
      <c r="G3839" s="4">
        <v>4904906</v>
      </c>
      <c r="H3839" s="4">
        <v>30710827</v>
      </c>
      <c r="I3839" s="4">
        <v>0</v>
      </c>
      <c r="J3839" s="4">
        <f>SUM(G3839:I3839)</f>
        <v>35615733</v>
      </c>
      <c r="K3839" t="s">
        <v>1660</v>
      </c>
      <c r="L3839" t="s">
        <v>1660</v>
      </c>
      <c r="M3839" t="s">
        <v>938</v>
      </c>
      <c r="N3839" t="s">
        <v>938</v>
      </c>
      <c r="O3839" t="s">
        <v>1654</v>
      </c>
      <c r="P3839">
        <f>IFERROR(VLOOKUP(F3839,Sheet1!$A$2:$B$54,2,FALSE),"")</f>
        <v>4901200</v>
      </c>
    </row>
    <row r="3840" spans="1:16" x14ac:dyDescent="0.2">
      <c r="A3840" s="1">
        <v>2015</v>
      </c>
      <c r="B3840" t="s">
        <v>471</v>
      </c>
      <c r="C3840" s="10" t="s">
        <v>1678</v>
      </c>
      <c r="D3840" s="10" t="s">
        <v>1679</v>
      </c>
      <c r="E3840" s="10" t="s">
        <v>1682</v>
      </c>
      <c r="F3840" t="s">
        <v>969</v>
      </c>
      <c r="G3840" s="4">
        <v>30644</v>
      </c>
      <c r="H3840" s="4"/>
      <c r="I3840" s="4"/>
      <c r="J3840" s="4">
        <f>SUM(G3840:I3840)</f>
        <v>30644</v>
      </c>
      <c r="K3840" t="s">
        <v>1659</v>
      </c>
      <c r="L3840" t="s">
        <v>1659</v>
      </c>
      <c r="M3840" t="s">
        <v>969</v>
      </c>
      <c r="N3840" t="s">
        <v>1132</v>
      </c>
      <c r="O3840" t="s">
        <v>1132</v>
      </c>
      <c r="P3840" t="str">
        <f>IFERROR(VLOOKUP(F3840,Sheet1!$A$2:$B$54,2,FALSE),"")</f>
        <v/>
      </c>
    </row>
    <row r="3841" spans="1:16" x14ac:dyDescent="0.2">
      <c r="A3841" s="1">
        <v>2016</v>
      </c>
      <c r="B3841" t="s">
        <v>471</v>
      </c>
      <c r="C3841" s="10" t="s">
        <v>1678</v>
      </c>
      <c r="D3841" s="10" t="s">
        <v>1679</v>
      </c>
      <c r="E3841" s="10" t="s">
        <v>1682</v>
      </c>
      <c r="F3841" t="s">
        <v>969</v>
      </c>
      <c r="G3841" s="4">
        <v>40455</v>
      </c>
      <c r="H3841" s="4"/>
      <c r="I3841" s="4"/>
      <c r="J3841" s="4">
        <f>SUM(G3841:I3841)</f>
        <v>40455</v>
      </c>
      <c r="K3841" t="s">
        <v>1659</v>
      </c>
      <c r="L3841" t="s">
        <v>1659</v>
      </c>
      <c r="M3841" t="s">
        <v>969</v>
      </c>
      <c r="N3841" t="s">
        <v>1132</v>
      </c>
      <c r="O3841" t="s">
        <v>1132</v>
      </c>
      <c r="P3841" t="str">
        <f>IFERROR(VLOOKUP(F3841,Sheet1!$A$2:$B$54,2,FALSE),"")</f>
        <v/>
      </c>
    </row>
    <row r="3842" spans="1:16" x14ac:dyDescent="0.2">
      <c r="A3842" s="1">
        <v>2015</v>
      </c>
      <c r="B3842" t="s">
        <v>472</v>
      </c>
      <c r="C3842" s="10" t="s">
        <v>1678</v>
      </c>
      <c r="D3842" s="10" t="s">
        <v>1679</v>
      </c>
      <c r="E3842" s="10" t="s">
        <v>1682</v>
      </c>
      <c r="F3842" t="s">
        <v>970</v>
      </c>
      <c r="G3842" s="4">
        <v>4321</v>
      </c>
      <c r="H3842" s="4"/>
      <c r="I3842" s="4"/>
      <c r="J3842" s="4">
        <f>SUM(G3842:I3842)</f>
        <v>4321</v>
      </c>
      <c r="K3842" t="s">
        <v>1659</v>
      </c>
      <c r="L3842" t="s">
        <v>1659</v>
      </c>
      <c r="M3842" t="s">
        <v>1610</v>
      </c>
      <c r="N3842" t="s">
        <v>1132</v>
      </c>
      <c r="O3842" t="s">
        <v>1132</v>
      </c>
      <c r="P3842" t="str">
        <f>IFERROR(VLOOKUP(F3842,Sheet1!$A$2:$B$54,2,FALSE),"")</f>
        <v/>
      </c>
    </row>
    <row r="3843" spans="1:16" x14ac:dyDescent="0.2">
      <c r="A3843" s="1">
        <v>2016</v>
      </c>
      <c r="B3843" t="s">
        <v>472</v>
      </c>
      <c r="C3843" s="10" t="s">
        <v>1678</v>
      </c>
      <c r="D3843" s="10" t="s">
        <v>1679</v>
      </c>
      <c r="E3843" s="10" t="s">
        <v>1682</v>
      </c>
      <c r="F3843" t="s">
        <v>970</v>
      </c>
      <c r="G3843" s="4">
        <v>4730</v>
      </c>
      <c r="H3843" s="4"/>
      <c r="I3843" s="4"/>
      <c r="J3843" s="4">
        <f>SUM(G3843:I3843)</f>
        <v>4730</v>
      </c>
      <c r="K3843" t="s">
        <v>1659</v>
      </c>
      <c r="L3843" t="s">
        <v>1659</v>
      </c>
      <c r="M3843" t="s">
        <v>1610</v>
      </c>
      <c r="N3843" t="s">
        <v>1132</v>
      </c>
      <c r="O3843" t="s">
        <v>1132</v>
      </c>
      <c r="P3843" t="str">
        <f>IFERROR(VLOOKUP(F3843,Sheet1!$A$2:$B$54,2,FALSE),"")</f>
        <v/>
      </c>
    </row>
    <row r="3844" spans="1:16" x14ac:dyDescent="0.2">
      <c r="A3844" s="1">
        <v>2017</v>
      </c>
      <c r="B3844" t="s">
        <v>472</v>
      </c>
      <c r="C3844" s="10" t="s">
        <v>1678</v>
      </c>
      <c r="D3844" s="10" t="s">
        <v>1679</v>
      </c>
      <c r="E3844" s="10" t="s">
        <v>1682</v>
      </c>
      <c r="F3844" t="s">
        <v>970</v>
      </c>
      <c r="G3844" s="4">
        <v>3770</v>
      </c>
      <c r="H3844" s="4"/>
      <c r="I3844" s="4"/>
      <c r="J3844" s="4">
        <f>SUM(G3844:I3844)</f>
        <v>3770</v>
      </c>
      <c r="K3844" t="s">
        <v>1659</v>
      </c>
      <c r="L3844" t="s">
        <v>1659</v>
      </c>
      <c r="M3844" t="s">
        <v>1610</v>
      </c>
      <c r="N3844" t="s">
        <v>1132</v>
      </c>
      <c r="O3844" t="s">
        <v>1132</v>
      </c>
      <c r="P3844" t="str">
        <f>IFERROR(VLOOKUP(F3844,Sheet1!$A$2:$B$54,2,FALSE),"")</f>
        <v/>
      </c>
    </row>
    <row r="3845" spans="1:16" x14ac:dyDescent="0.2">
      <c r="A3845" s="1">
        <v>2018</v>
      </c>
      <c r="B3845" t="s">
        <v>472</v>
      </c>
      <c r="C3845" s="10" t="s">
        <v>1678</v>
      </c>
      <c r="D3845" s="10" t="s">
        <v>1679</v>
      </c>
      <c r="E3845" s="10" t="s">
        <v>1682</v>
      </c>
      <c r="F3845" t="s">
        <v>970</v>
      </c>
      <c r="G3845" s="4">
        <v>4355</v>
      </c>
      <c r="H3845" s="4"/>
      <c r="I3845" s="4"/>
      <c r="J3845" s="4">
        <f>SUM(G3845:I3845)</f>
        <v>4355</v>
      </c>
      <c r="K3845" t="s">
        <v>1659</v>
      </c>
      <c r="L3845" t="s">
        <v>1659</v>
      </c>
      <c r="M3845" t="s">
        <v>1610</v>
      </c>
      <c r="N3845" t="s">
        <v>1132</v>
      </c>
      <c r="O3845" t="s">
        <v>1132</v>
      </c>
      <c r="P3845" t="str">
        <f>IFERROR(VLOOKUP(F3845,Sheet1!$A$2:$B$54,2,FALSE),"")</f>
        <v/>
      </c>
    </row>
    <row r="3846" spans="1:16" x14ac:dyDescent="0.2">
      <c r="A3846" s="1">
        <v>2019</v>
      </c>
      <c r="B3846" t="s">
        <v>472</v>
      </c>
      <c r="C3846" s="10" t="s">
        <v>1678</v>
      </c>
      <c r="D3846" s="10" t="s">
        <v>1679</v>
      </c>
      <c r="E3846" s="10" t="s">
        <v>1682</v>
      </c>
      <c r="F3846" t="s">
        <v>970</v>
      </c>
      <c r="G3846" s="4">
        <v>3347</v>
      </c>
      <c r="H3846" s="4"/>
      <c r="I3846" s="4"/>
      <c r="J3846" s="4">
        <f>SUM(G3846:I3846)</f>
        <v>3347</v>
      </c>
      <c r="K3846" t="s">
        <v>1659</v>
      </c>
      <c r="L3846" t="s">
        <v>1659</v>
      </c>
      <c r="M3846" t="s">
        <v>1610</v>
      </c>
      <c r="N3846" t="s">
        <v>1132</v>
      </c>
      <c r="O3846" t="s">
        <v>1132</v>
      </c>
      <c r="P3846" t="str">
        <f>IFERROR(VLOOKUP(F3846,Sheet1!$A$2:$B$54,2,FALSE),"")</f>
        <v/>
      </c>
    </row>
    <row r="3847" spans="1:16" x14ac:dyDescent="0.2">
      <c r="A3847" s="1">
        <v>2020</v>
      </c>
      <c r="B3847" t="s">
        <v>472</v>
      </c>
      <c r="C3847" s="10" t="s">
        <v>1678</v>
      </c>
      <c r="D3847" s="10" t="s">
        <v>1679</v>
      </c>
      <c r="E3847" s="10" t="s">
        <v>1682</v>
      </c>
      <c r="F3847" t="s">
        <v>970</v>
      </c>
      <c r="G3847" s="4">
        <v>2680</v>
      </c>
      <c r="H3847" s="4"/>
      <c r="I3847" s="4"/>
      <c r="J3847" s="4">
        <f>SUM(G3847:I3847)</f>
        <v>2680</v>
      </c>
      <c r="K3847" t="s">
        <v>1659</v>
      </c>
      <c r="L3847" t="s">
        <v>1659</v>
      </c>
      <c r="M3847" t="s">
        <v>1610</v>
      </c>
      <c r="N3847" t="s">
        <v>1132</v>
      </c>
      <c r="O3847" t="s">
        <v>1132</v>
      </c>
      <c r="P3847" t="str">
        <f>IFERROR(VLOOKUP(F3847,Sheet1!$A$2:$B$54,2,FALSE),"")</f>
        <v/>
      </c>
    </row>
    <row r="3848" spans="1:16" x14ac:dyDescent="0.2">
      <c r="A3848" s="1">
        <v>2021</v>
      </c>
      <c r="B3848" t="s">
        <v>472</v>
      </c>
      <c r="C3848" s="10" t="s">
        <v>1678</v>
      </c>
      <c r="D3848" s="10" t="s">
        <v>1679</v>
      </c>
      <c r="E3848" s="10" t="s">
        <v>1682</v>
      </c>
      <c r="F3848" t="s">
        <v>970</v>
      </c>
      <c r="G3848" s="4">
        <v>2641</v>
      </c>
      <c r="H3848" s="4"/>
      <c r="I3848" s="4"/>
      <c r="J3848" s="4">
        <f>SUM(G3848:I3848)</f>
        <v>2641</v>
      </c>
      <c r="K3848" t="s">
        <v>1659</v>
      </c>
      <c r="L3848" t="s">
        <v>1659</v>
      </c>
      <c r="M3848" t="s">
        <v>970</v>
      </c>
      <c r="N3848" t="s">
        <v>1132</v>
      </c>
      <c r="O3848" t="s">
        <v>1132</v>
      </c>
      <c r="P3848" t="str">
        <f>IFERROR(VLOOKUP(F3848,Sheet1!$A$2:$B$54,2,FALSE),"")</f>
        <v/>
      </c>
    </row>
    <row r="3849" spans="1:16" x14ac:dyDescent="0.2">
      <c r="A3849" s="1">
        <v>2022</v>
      </c>
      <c r="B3849" t="s">
        <v>472</v>
      </c>
      <c r="C3849" s="10" t="s">
        <v>1678</v>
      </c>
      <c r="D3849" s="10" t="s">
        <v>1679</v>
      </c>
      <c r="E3849" s="10" t="s">
        <v>1682</v>
      </c>
      <c r="F3849" t="s">
        <v>970</v>
      </c>
      <c r="G3849" s="4">
        <v>2200</v>
      </c>
      <c r="H3849" s="4"/>
      <c r="I3849" s="4"/>
      <c r="J3849" s="4">
        <f>SUM(G3849:I3849)</f>
        <v>2200</v>
      </c>
      <c r="K3849" t="s">
        <v>1659</v>
      </c>
      <c r="L3849" t="s">
        <v>1659</v>
      </c>
      <c r="M3849" t="s">
        <v>970</v>
      </c>
      <c r="N3849" t="s">
        <v>1132</v>
      </c>
      <c r="O3849" t="s">
        <v>1132</v>
      </c>
      <c r="P3849" t="str">
        <f>IFERROR(VLOOKUP(F3849,Sheet1!$A$2:$B$54,2,FALSE),"")</f>
        <v/>
      </c>
    </row>
    <row r="3850" spans="1:16" x14ac:dyDescent="0.2">
      <c r="A3850" s="1">
        <v>2023</v>
      </c>
      <c r="B3850" t="s">
        <v>472</v>
      </c>
      <c r="C3850" s="10" t="s">
        <v>1678</v>
      </c>
      <c r="D3850" s="10" t="s">
        <v>1679</v>
      </c>
      <c r="E3850" s="10" t="s">
        <v>1682</v>
      </c>
      <c r="F3850" t="s">
        <v>970</v>
      </c>
      <c r="G3850" s="4">
        <v>0</v>
      </c>
      <c r="H3850" s="4"/>
      <c r="I3850" s="4"/>
      <c r="J3850" s="4">
        <f>SUM(G3850:I3850)</f>
        <v>0</v>
      </c>
      <c r="K3850" t="s">
        <v>1659</v>
      </c>
      <c r="L3850" t="s">
        <v>1659</v>
      </c>
      <c r="M3850" t="s">
        <v>970</v>
      </c>
      <c r="N3850" t="s">
        <v>1132</v>
      </c>
      <c r="O3850" t="s">
        <v>1132</v>
      </c>
      <c r="P3850" t="str">
        <f>IFERROR(VLOOKUP(F3850,Sheet1!$A$2:$B$54,2,FALSE),"")</f>
        <v/>
      </c>
    </row>
    <row r="3851" spans="1:16" x14ac:dyDescent="0.2">
      <c r="A3851" s="1">
        <v>2017</v>
      </c>
      <c r="B3851" t="s">
        <v>473</v>
      </c>
      <c r="C3851" s="10" t="s">
        <v>1678</v>
      </c>
      <c r="D3851" s="10" t="s">
        <v>1679</v>
      </c>
      <c r="E3851" s="10" t="s">
        <v>1682</v>
      </c>
      <c r="F3851" t="s">
        <v>971</v>
      </c>
      <c r="G3851" s="4">
        <v>0</v>
      </c>
      <c r="H3851" s="4"/>
      <c r="I3851" s="4"/>
      <c r="J3851" s="4">
        <f>SUM(G3851:I3851)</f>
        <v>0</v>
      </c>
      <c r="K3851" t="s">
        <v>1659</v>
      </c>
      <c r="L3851" t="s">
        <v>1659</v>
      </c>
      <c r="M3851" t="s">
        <v>971</v>
      </c>
      <c r="N3851" t="s">
        <v>1132</v>
      </c>
      <c r="O3851" t="s">
        <v>1132</v>
      </c>
      <c r="P3851" t="str">
        <f>IFERROR(VLOOKUP(F3851,Sheet1!$A$2:$B$54,2,FALSE),"")</f>
        <v/>
      </c>
    </row>
    <row r="3852" spans="1:16" x14ac:dyDescent="0.2">
      <c r="A3852" s="1">
        <v>2018</v>
      </c>
      <c r="B3852" t="s">
        <v>474</v>
      </c>
      <c r="C3852" s="10" t="s">
        <v>1678</v>
      </c>
      <c r="D3852" s="10" t="s">
        <v>1679</v>
      </c>
      <c r="E3852" s="10" t="s">
        <v>1682</v>
      </c>
      <c r="F3852" t="s">
        <v>972</v>
      </c>
      <c r="G3852" s="4">
        <v>394</v>
      </c>
      <c r="H3852" s="4">
        <v>439</v>
      </c>
      <c r="I3852" s="4"/>
      <c r="J3852" s="4">
        <f>SUM(G3852:I3852)</f>
        <v>833</v>
      </c>
      <c r="K3852" t="s">
        <v>1660</v>
      </c>
      <c r="L3852" t="s">
        <v>1659</v>
      </c>
      <c r="M3852" t="s">
        <v>1611</v>
      </c>
      <c r="N3852" t="s">
        <v>1611</v>
      </c>
      <c r="O3852" t="s">
        <v>1132</v>
      </c>
      <c r="P3852" t="str">
        <f>IFERROR(VLOOKUP(F3852,Sheet1!$A$2:$B$54,2,FALSE),"")</f>
        <v/>
      </c>
    </row>
    <row r="3853" spans="1:16" x14ac:dyDescent="0.2">
      <c r="A3853" s="1">
        <v>2019</v>
      </c>
      <c r="B3853" t="s">
        <v>474</v>
      </c>
      <c r="C3853" s="10" t="s">
        <v>1678</v>
      </c>
      <c r="D3853" s="10" t="s">
        <v>1679</v>
      </c>
      <c r="E3853" s="10" t="s">
        <v>1682</v>
      </c>
      <c r="F3853" t="s">
        <v>972</v>
      </c>
      <c r="G3853" s="4"/>
      <c r="H3853" s="4">
        <v>0</v>
      </c>
      <c r="I3853" s="4"/>
      <c r="J3853" s="4">
        <f>SUM(G3853:I3853)</f>
        <v>0</v>
      </c>
      <c r="K3853" t="s">
        <v>1661</v>
      </c>
      <c r="L3853" t="s">
        <v>1659</v>
      </c>
      <c r="M3853" t="s">
        <v>1132</v>
      </c>
      <c r="N3853" t="s">
        <v>1611</v>
      </c>
      <c r="O3853" t="s">
        <v>1132</v>
      </c>
      <c r="P3853" t="str">
        <f>IFERROR(VLOOKUP(F3853,Sheet1!$A$2:$B$54,2,FALSE),"")</f>
        <v/>
      </c>
    </row>
    <row r="3854" spans="1:16" x14ac:dyDescent="0.2">
      <c r="A3854" s="1">
        <v>2020</v>
      </c>
      <c r="B3854" t="s">
        <v>474</v>
      </c>
      <c r="C3854" s="10" t="s">
        <v>1678</v>
      </c>
      <c r="D3854" s="10" t="s">
        <v>1679</v>
      </c>
      <c r="E3854" s="10" t="s">
        <v>1682</v>
      </c>
      <c r="F3854" t="s">
        <v>972</v>
      </c>
      <c r="G3854" s="4">
        <v>0</v>
      </c>
      <c r="H3854" s="4">
        <v>0</v>
      </c>
      <c r="I3854" s="4"/>
      <c r="J3854" s="4">
        <f>SUM(G3854:I3854)</f>
        <v>0</v>
      </c>
      <c r="K3854" t="s">
        <v>1660</v>
      </c>
      <c r="L3854" t="s">
        <v>1659</v>
      </c>
      <c r="M3854" t="s">
        <v>1611</v>
      </c>
      <c r="N3854" t="s">
        <v>1611</v>
      </c>
      <c r="O3854" t="s">
        <v>1132</v>
      </c>
      <c r="P3854" t="str">
        <f>IFERROR(VLOOKUP(F3854,Sheet1!$A$2:$B$54,2,FALSE),"")</f>
        <v/>
      </c>
    </row>
    <row r="3855" spans="1:16" x14ac:dyDescent="0.2">
      <c r="A3855" s="1">
        <v>2021</v>
      </c>
      <c r="B3855" t="s">
        <v>474</v>
      </c>
      <c r="C3855" s="10" t="s">
        <v>1678</v>
      </c>
      <c r="D3855" s="10" t="s">
        <v>1679</v>
      </c>
      <c r="E3855" s="10" t="s">
        <v>1682</v>
      </c>
      <c r="F3855" t="s">
        <v>972</v>
      </c>
      <c r="G3855" s="4">
        <v>0</v>
      </c>
      <c r="H3855" s="4"/>
      <c r="I3855" s="4"/>
      <c r="J3855" s="4">
        <f>SUM(G3855:I3855)</f>
        <v>0</v>
      </c>
      <c r="K3855" t="s">
        <v>1659</v>
      </c>
      <c r="L3855" t="s">
        <v>1659</v>
      </c>
      <c r="M3855" t="s">
        <v>1612</v>
      </c>
      <c r="N3855" t="s">
        <v>1132</v>
      </c>
      <c r="O3855" t="s">
        <v>1132</v>
      </c>
      <c r="P3855" t="str">
        <f>IFERROR(VLOOKUP(F3855,Sheet1!$A$2:$B$54,2,FALSE),"")</f>
        <v/>
      </c>
    </row>
    <row r="3856" spans="1:16" x14ac:dyDescent="0.2">
      <c r="A3856" s="1">
        <v>2022</v>
      </c>
      <c r="B3856" t="s">
        <v>474</v>
      </c>
      <c r="C3856" s="10" t="s">
        <v>1678</v>
      </c>
      <c r="D3856" s="10" t="s">
        <v>1679</v>
      </c>
      <c r="E3856" s="10" t="s">
        <v>1682</v>
      </c>
      <c r="F3856" t="s">
        <v>972</v>
      </c>
      <c r="G3856" s="4">
        <v>0</v>
      </c>
      <c r="H3856" s="4">
        <v>0</v>
      </c>
      <c r="I3856" s="4"/>
      <c r="J3856" s="4">
        <f>SUM(G3856:I3856)</f>
        <v>0</v>
      </c>
      <c r="K3856" t="s">
        <v>1660</v>
      </c>
      <c r="L3856" t="s">
        <v>1659</v>
      </c>
      <c r="M3856" t="s">
        <v>972</v>
      </c>
      <c r="N3856" t="s">
        <v>1612</v>
      </c>
      <c r="O3856" t="s">
        <v>1132</v>
      </c>
      <c r="P3856" t="str">
        <f>IFERROR(VLOOKUP(F3856,Sheet1!$A$2:$B$54,2,FALSE),"")</f>
        <v/>
      </c>
    </row>
    <row r="3857" spans="1:16" x14ac:dyDescent="0.2">
      <c r="A3857" s="1">
        <v>2023</v>
      </c>
      <c r="B3857" t="s">
        <v>474</v>
      </c>
      <c r="C3857" s="10" t="s">
        <v>1678</v>
      </c>
      <c r="D3857" s="10" t="s">
        <v>1679</v>
      </c>
      <c r="E3857" s="10" t="s">
        <v>1682</v>
      </c>
      <c r="F3857" t="s">
        <v>972</v>
      </c>
      <c r="G3857" s="4">
        <v>0</v>
      </c>
      <c r="H3857" s="4"/>
      <c r="I3857" s="4"/>
      <c r="J3857" s="4">
        <f>SUM(G3857:I3857)</f>
        <v>0</v>
      </c>
      <c r="K3857" t="s">
        <v>1659</v>
      </c>
      <c r="L3857" t="s">
        <v>1659</v>
      </c>
      <c r="M3857" t="s">
        <v>972</v>
      </c>
      <c r="N3857" t="s">
        <v>1132</v>
      </c>
      <c r="O3857" t="s">
        <v>1132</v>
      </c>
      <c r="P3857" t="str">
        <f>IFERROR(VLOOKUP(F3857,Sheet1!$A$2:$B$54,2,FALSE),"")</f>
        <v/>
      </c>
    </row>
    <row r="3858" spans="1:16" x14ac:dyDescent="0.2">
      <c r="A3858" s="1">
        <v>2016</v>
      </c>
      <c r="B3858" t="s">
        <v>475</v>
      </c>
      <c r="C3858" s="10" t="s">
        <v>1678</v>
      </c>
      <c r="D3858" s="10" t="s">
        <v>1679</v>
      </c>
      <c r="E3858" s="10" t="s">
        <v>1682</v>
      </c>
      <c r="F3858" t="s">
        <v>973</v>
      </c>
      <c r="G3858" s="4">
        <v>548</v>
      </c>
      <c r="H3858" s="4"/>
      <c r="I3858" s="4"/>
      <c r="J3858" s="4">
        <f>SUM(G3858:I3858)</f>
        <v>548</v>
      </c>
      <c r="K3858" t="s">
        <v>1659</v>
      </c>
      <c r="L3858" t="s">
        <v>1659</v>
      </c>
      <c r="M3858" t="s">
        <v>1613</v>
      </c>
      <c r="N3858" t="s">
        <v>1132</v>
      </c>
      <c r="O3858" t="s">
        <v>1132</v>
      </c>
      <c r="P3858" t="str">
        <f>IFERROR(VLOOKUP(F3858,Sheet1!$A$2:$B$54,2,FALSE),"")</f>
        <v/>
      </c>
    </row>
    <row r="3859" spans="1:16" x14ac:dyDescent="0.2">
      <c r="A3859" s="1">
        <v>2017</v>
      </c>
      <c r="B3859" t="s">
        <v>475</v>
      </c>
      <c r="C3859" s="10" t="s">
        <v>1678</v>
      </c>
      <c r="D3859" s="10" t="s">
        <v>1679</v>
      </c>
      <c r="E3859" s="10" t="s">
        <v>1682</v>
      </c>
      <c r="F3859" t="s">
        <v>973</v>
      </c>
      <c r="G3859" s="4">
        <v>4147</v>
      </c>
      <c r="H3859" s="4"/>
      <c r="I3859" s="4"/>
      <c r="J3859" s="4">
        <f>SUM(G3859:I3859)</f>
        <v>4147</v>
      </c>
      <c r="K3859" t="s">
        <v>1659</v>
      </c>
      <c r="L3859" t="s">
        <v>1659</v>
      </c>
      <c r="M3859" t="s">
        <v>1614</v>
      </c>
      <c r="N3859" t="s">
        <v>1132</v>
      </c>
      <c r="O3859" t="s">
        <v>1132</v>
      </c>
      <c r="P3859" t="str">
        <f>IFERROR(VLOOKUP(F3859,Sheet1!$A$2:$B$54,2,FALSE),"")</f>
        <v/>
      </c>
    </row>
    <row r="3860" spans="1:16" x14ac:dyDescent="0.2">
      <c r="A3860" s="1">
        <v>2018</v>
      </c>
      <c r="B3860" t="s">
        <v>475</v>
      </c>
      <c r="C3860" s="10" t="s">
        <v>1678</v>
      </c>
      <c r="D3860" s="10" t="s">
        <v>1679</v>
      </c>
      <c r="E3860" s="10" t="s">
        <v>1682</v>
      </c>
      <c r="F3860" t="s">
        <v>973</v>
      </c>
      <c r="G3860" s="4">
        <v>4726</v>
      </c>
      <c r="H3860" s="4"/>
      <c r="I3860" s="4"/>
      <c r="J3860" s="4">
        <f>SUM(G3860:I3860)</f>
        <v>4726</v>
      </c>
      <c r="K3860" t="s">
        <v>1659</v>
      </c>
      <c r="L3860" t="s">
        <v>1659</v>
      </c>
      <c r="M3860" t="s">
        <v>1614</v>
      </c>
      <c r="N3860" t="s">
        <v>1132</v>
      </c>
      <c r="O3860" t="s">
        <v>1132</v>
      </c>
      <c r="P3860" t="str">
        <f>IFERROR(VLOOKUP(F3860,Sheet1!$A$2:$B$54,2,FALSE),"")</f>
        <v/>
      </c>
    </row>
    <row r="3861" spans="1:16" x14ac:dyDescent="0.2">
      <c r="A3861" s="1">
        <v>2019</v>
      </c>
      <c r="B3861" t="s">
        <v>475</v>
      </c>
      <c r="C3861" s="10" t="s">
        <v>1678</v>
      </c>
      <c r="D3861" s="10" t="s">
        <v>1679</v>
      </c>
      <c r="E3861" s="10" t="s">
        <v>1682</v>
      </c>
      <c r="F3861" t="s">
        <v>973</v>
      </c>
      <c r="G3861" s="4">
        <v>4980</v>
      </c>
      <c r="H3861" s="4"/>
      <c r="I3861" s="4"/>
      <c r="J3861" s="4">
        <f>SUM(G3861:I3861)</f>
        <v>4980</v>
      </c>
      <c r="K3861" t="s">
        <v>1659</v>
      </c>
      <c r="L3861" t="s">
        <v>1659</v>
      </c>
      <c r="M3861" t="s">
        <v>1613</v>
      </c>
      <c r="N3861" t="s">
        <v>1132</v>
      </c>
      <c r="O3861" t="s">
        <v>1132</v>
      </c>
      <c r="P3861" t="str">
        <f>IFERROR(VLOOKUP(F3861,Sheet1!$A$2:$B$54,2,FALSE),"")</f>
        <v/>
      </c>
    </row>
    <row r="3862" spans="1:16" x14ac:dyDescent="0.2">
      <c r="A3862" s="1">
        <v>2020</v>
      </c>
      <c r="B3862" t="s">
        <v>475</v>
      </c>
      <c r="C3862" s="10" t="s">
        <v>1678</v>
      </c>
      <c r="D3862" s="10" t="s">
        <v>1679</v>
      </c>
      <c r="E3862" s="10" t="s">
        <v>1682</v>
      </c>
      <c r="F3862" t="s">
        <v>973</v>
      </c>
      <c r="G3862" s="4">
        <v>0</v>
      </c>
      <c r="H3862" s="4"/>
      <c r="I3862" s="4"/>
      <c r="J3862" s="4">
        <f>SUM(G3862:I3862)</f>
        <v>0</v>
      </c>
      <c r="K3862" t="s">
        <v>1659</v>
      </c>
      <c r="L3862" t="s">
        <v>1659</v>
      </c>
      <c r="M3862" t="s">
        <v>1614</v>
      </c>
      <c r="N3862" t="s">
        <v>1132</v>
      </c>
      <c r="O3862" t="s">
        <v>1132</v>
      </c>
      <c r="P3862" t="str">
        <f>IFERROR(VLOOKUP(F3862,Sheet1!$A$2:$B$54,2,FALSE),"")</f>
        <v/>
      </c>
    </row>
    <row r="3863" spans="1:16" x14ac:dyDescent="0.2">
      <c r="A3863" s="1">
        <v>2021</v>
      </c>
      <c r="B3863" t="s">
        <v>475</v>
      </c>
      <c r="C3863" s="10" t="s">
        <v>1678</v>
      </c>
      <c r="D3863" s="10" t="s">
        <v>1679</v>
      </c>
      <c r="E3863" s="10" t="s">
        <v>1682</v>
      </c>
      <c r="F3863" t="s">
        <v>973</v>
      </c>
      <c r="G3863" s="4">
        <v>0</v>
      </c>
      <c r="H3863" s="4"/>
      <c r="I3863" s="4"/>
      <c r="J3863" s="4">
        <f>SUM(G3863:I3863)</f>
        <v>0</v>
      </c>
      <c r="K3863" t="s">
        <v>1659</v>
      </c>
      <c r="L3863" t="s">
        <v>1659</v>
      </c>
      <c r="M3863" t="s">
        <v>1615</v>
      </c>
      <c r="N3863" t="s">
        <v>1132</v>
      </c>
      <c r="O3863" t="s">
        <v>1132</v>
      </c>
      <c r="P3863" t="str">
        <f>IFERROR(VLOOKUP(F3863,Sheet1!$A$2:$B$54,2,FALSE),"")</f>
        <v/>
      </c>
    </row>
    <row r="3864" spans="1:16" x14ac:dyDescent="0.2">
      <c r="A3864" s="1">
        <v>2022</v>
      </c>
      <c r="B3864" t="s">
        <v>475</v>
      </c>
      <c r="C3864" s="10" t="s">
        <v>1678</v>
      </c>
      <c r="D3864" s="10" t="s">
        <v>1679</v>
      </c>
      <c r="E3864" s="10" t="s">
        <v>1682</v>
      </c>
      <c r="F3864" t="s">
        <v>973</v>
      </c>
      <c r="G3864" s="4">
        <v>0</v>
      </c>
      <c r="H3864" s="4"/>
      <c r="I3864" s="4"/>
      <c r="J3864" s="4">
        <f>SUM(G3864:I3864)</f>
        <v>0</v>
      </c>
      <c r="K3864" t="s">
        <v>1659</v>
      </c>
      <c r="L3864" t="s">
        <v>1659</v>
      </c>
      <c r="M3864" t="s">
        <v>973</v>
      </c>
      <c r="N3864" t="s">
        <v>1132</v>
      </c>
      <c r="O3864" t="s">
        <v>1132</v>
      </c>
      <c r="P3864" t="str">
        <f>IFERROR(VLOOKUP(F3864,Sheet1!$A$2:$B$54,2,FALSE),"")</f>
        <v/>
      </c>
    </row>
    <row r="3865" spans="1:16" x14ac:dyDescent="0.2">
      <c r="A3865" s="1">
        <v>2023</v>
      </c>
      <c r="B3865" t="s">
        <v>475</v>
      </c>
      <c r="C3865" s="10" t="s">
        <v>1678</v>
      </c>
      <c r="D3865" s="10" t="s">
        <v>1679</v>
      </c>
      <c r="E3865" s="10" t="s">
        <v>1682</v>
      </c>
      <c r="F3865" t="s">
        <v>973</v>
      </c>
      <c r="G3865" s="4">
        <v>0</v>
      </c>
      <c r="H3865" s="4"/>
      <c r="I3865" s="4"/>
      <c r="J3865" s="4">
        <f>SUM(G3865:I3865)</f>
        <v>0</v>
      </c>
      <c r="K3865" t="s">
        <v>1659</v>
      </c>
      <c r="L3865" t="s">
        <v>1659</v>
      </c>
      <c r="M3865" t="s">
        <v>973</v>
      </c>
      <c r="N3865" t="s">
        <v>1132</v>
      </c>
      <c r="O3865" t="s">
        <v>1132</v>
      </c>
      <c r="P3865" t="str">
        <f>IFERROR(VLOOKUP(F3865,Sheet1!$A$2:$B$54,2,FALSE),"")</f>
        <v/>
      </c>
    </row>
    <row r="3866" spans="1:16" x14ac:dyDescent="0.2">
      <c r="A3866" s="1">
        <v>2015</v>
      </c>
      <c r="B3866" t="s">
        <v>476</v>
      </c>
      <c r="C3866" s="10" t="s">
        <v>1678</v>
      </c>
      <c r="D3866" s="10" t="s">
        <v>1679</v>
      </c>
      <c r="E3866" s="10" t="s">
        <v>1682</v>
      </c>
      <c r="F3866" t="s">
        <v>974</v>
      </c>
      <c r="G3866" s="4">
        <v>24368</v>
      </c>
      <c r="H3866" s="4"/>
      <c r="I3866" s="4"/>
      <c r="J3866" s="4">
        <f>SUM(G3866:I3866)</f>
        <v>24368</v>
      </c>
      <c r="K3866" t="s">
        <v>1659</v>
      </c>
      <c r="L3866" t="s">
        <v>1659</v>
      </c>
      <c r="M3866" t="s">
        <v>1616</v>
      </c>
      <c r="N3866" t="s">
        <v>1132</v>
      </c>
      <c r="O3866" t="s">
        <v>1132</v>
      </c>
      <c r="P3866" t="str">
        <f>IFERROR(VLOOKUP(F3866,Sheet1!$A$2:$B$54,2,FALSE),"")</f>
        <v/>
      </c>
    </row>
    <row r="3867" spans="1:16" x14ac:dyDescent="0.2">
      <c r="A3867" s="1">
        <v>2016</v>
      </c>
      <c r="B3867" t="s">
        <v>476</v>
      </c>
      <c r="C3867" s="10" t="s">
        <v>1678</v>
      </c>
      <c r="D3867" s="10" t="s">
        <v>1679</v>
      </c>
      <c r="E3867" s="10" t="s">
        <v>1682</v>
      </c>
      <c r="F3867" t="s">
        <v>974</v>
      </c>
      <c r="G3867" s="4">
        <v>23404</v>
      </c>
      <c r="H3867" s="4"/>
      <c r="I3867" s="4"/>
      <c r="J3867" s="4">
        <f>SUM(G3867:I3867)</f>
        <v>23404</v>
      </c>
      <c r="K3867" t="s">
        <v>1659</v>
      </c>
      <c r="L3867" t="s">
        <v>1659</v>
      </c>
      <c r="M3867" t="s">
        <v>1616</v>
      </c>
      <c r="N3867" t="s">
        <v>1132</v>
      </c>
      <c r="O3867" t="s">
        <v>1132</v>
      </c>
      <c r="P3867" t="str">
        <f>IFERROR(VLOOKUP(F3867,Sheet1!$A$2:$B$54,2,FALSE),"")</f>
        <v/>
      </c>
    </row>
    <row r="3868" spans="1:16" x14ac:dyDescent="0.2">
      <c r="A3868" s="1">
        <v>2017</v>
      </c>
      <c r="B3868" t="s">
        <v>476</v>
      </c>
      <c r="C3868" s="10" t="s">
        <v>1678</v>
      </c>
      <c r="D3868" s="10" t="s">
        <v>1679</v>
      </c>
      <c r="E3868" s="10" t="s">
        <v>1682</v>
      </c>
      <c r="F3868" t="s">
        <v>974</v>
      </c>
      <c r="G3868" s="4">
        <v>24403</v>
      </c>
      <c r="H3868" s="4"/>
      <c r="I3868" s="4"/>
      <c r="J3868" s="4">
        <f>SUM(G3868:I3868)</f>
        <v>24403</v>
      </c>
      <c r="K3868" t="s">
        <v>1659</v>
      </c>
      <c r="L3868" t="s">
        <v>1659</v>
      </c>
      <c r="M3868" t="s">
        <v>1616</v>
      </c>
      <c r="N3868" t="s">
        <v>1132</v>
      </c>
      <c r="O3868" t="s">
        <v>1132</v>
      </c>
      <c r="P3868" t="str">
        <f>IFERROR(VLOOKUP(F3868,Sheet1!$A$2:$B$54,2,FALSE),"")</f>
        <v/>
      </c>
    </row>
    <row r="3869" spans="1:16" x14ac:dyDescent="0.2">
      <c r="A3869" s="1">
        <v>2018</v>
      </c>
      <c r="B3869" t="s">
        <v>476</v>
      </c>
      <c r="C3869" s="10" t="s">
        <v>1678</v>
      </c>
      <c r="D3869" s="10" t="s">
        <v>1679</v>
      </c>
      <c r="E3869" s="10" t="s">
        <v>1682</v>
      </c>
      <c r="F3869" t="s">
        <v>974</v>
      </c>
      <c r="G3869" s="4">
        <v>24544</v>
      </c>
      <c r="H3869" s="4"/>
      <c r="I3869" s="4"/>
      <c r="J3869" s="4">
        <f>SUM(G3869:I3869)</f>
        <v>24544</v>
      </c>
      <c r="K3869" t="s">
        <v>1659</v>
      </c>
      <c r="L3869" t="s">
        <v>1659</v>
      </c>
      <c r="M3869" t="s">
        <v>1616</v>
      </c>
      <c r="N3869" t="s">
        <v>1132</v>
      </c>
      <c r="O3869" t="s">
        <v>1132</v>
      </c>
      <c r="P3869" t="str">
        <f>IFERROR(VLOOKUP(F3869,Sheet1!$A$2:$B$54,2,FALSE),"")</f>
        <v/>
      </c>
    </row>
    <row r="3870" spans="1:16" x14ac:dyDescent="0.2">
      <c r="A3870" s="1">
        <v>2019</v>
      </c>
      <c r="B3870" t="s">
        <v>476</v>
      </c>
      <c r="C3870" s="10" t="s">
        <v>1678</v>
      </c>
      <c r="D3870" s="10" t="s">
        <v>1679</v>
      </c>
      <c r="E3870" s="10" t="s">
        <v>1682</v>
      </c>
      <c r="F3870" t="s">
        <v>974</v>
      </c>
      <c r="G3870" s="4">
        <v>25251</v>
      </c>
      <c r="H3870" s="4"/>
      <c r="I3870" s="4"/>
      <c r="J3870" s="4">
        <f>SUM(G3870:I3870)</f>
        <v>25251</v>
      </c>
      <c r="K3870" t="s">
        <v>1659</v>
      </c>
      <c r="L3870" t="s">
        <v>1659</v>
      </c>
      <c r="M3870" t="s">
        <v>1616</v>
      </c>
      <c r="N3870" t="s">
        <v>1132</v>
      </c>
      <c r="O3870" t="s">
        <v>1132</v>
      </c>
      <c r="P3870" t="str">
        <f>IFERROR(VLOOKUP(F3870,Sheet1!$A$2:$B$54,2,FALSE),"")</f>
        <v/>
      </c>
    </row>
    <row r="3871" spans="1:16" x14ac:dyDescent="0.2">
      <c r="A3871" s="1">
        <v>2020</v>
      </c>
      <c r="B3871" t="s">
        <v>476</v>
      </c>
      <c r="C3871" s="10" t="s">
        <v>1678</v>
      </c>
      <c r="D3871" s="10" t="s">
        <v>1679</v>
      </c>
      <c r="E3871" s="10" t="s">
        <v>1682</v>
      </c>
      <c r="F3871" t="s">
        <v>974</v>
      </c>
      <c r="G3871" s="4">
        <v>28430</v>
      </c>
      <c r="H3871" s="4"/>
      <c r="I3871" s="4"/>
      <c r="J3871" s="4">
        <f>SUM(G3871:I3871)</f>
        <v>28430</v>
      </c>
      <c r="K3871" t="s">
        <v>1659</v>
      </c>
      <c r="L3871" t="s">
        <v>1659</v>
      </c>
      <c r="M3871" t="s">
        <v>1616</v>
      </c>
      <c r="N3871" t="s">
        <v>1132</v>
      </c>
      <c r="O3871" t="s">
        <v>1132</v>
      </c>
      <c r="P3871" t="str">
        <f>IFERROR(VLOOKUP(F3871,Sheet1!$A$2:$B$54,2,FALSE),"")</f>
        <v/>
      </c>
    </row>
    <row r="3872" spans="1:16" x14ac:dyDescent="0.2">
      <c r="A3872" s="1">
        <v>2021</v>
      </c>
      <c r="B3872" t="s">
        <v>476</v>
      </c>
      <c r="C3872" s="10" t="s">
        <v>1678</v>
      </c>
      <c r="D3872" s="10" t="s">
        <v>1679</v>
      </c>
      <c r="E3872" s="10" t="s">
        <v>1682</v>
      </c>
      <c r="F3872" t="s">
        <v>974</v>
      </c>
      <c r="G3872" s="4">
        <v>22563</v>
      </c>
      <c r="H3872" s="4"/>
      <c r="I3872" s="4"/>
      <c r="J3872" s="4">
        <f>SUM(G3872:I3872)</f>
        <v>22563</v>
      </c>
      <c r="K3872" t="s">
        <v>1659</v>
      </c>
      <c r="L3872" t="s">
        <v>1659</v>
      </c>
      <c r="M3872" t="s">
        <v>1617</v>
      </c>
      <c r="N3872" t="s">
        <v>1132</v>
      </c>
      <c r="O3872" t="s">
        <v>1132</v>
      </c>
      <c r="P3872" t="str">
        <f>IFERROR(VLOOKUP(F3872,Sheet1!$A$2:$B$54,2,FALSE),"")</f>
        <v/>
      </c>
    </row>
    <row r="3873" spans="1:16" x14ac:dyDescent="0.2">
      <c r="A3873" s="1">
        <v>2022</v>
      </c>
      <c r="B3873" t="s">
        <v>476</v>
      </c>
      <c r="C3873" s="10" t="s">
        <v>1678</v>
      </c>
      <c r="D3873" s="10" t="s">
        <v>1679</v>
      </c>
      <c r="E3873" s="10" t="s">
        <v>1682</v>
      </c>
      <c r="F3873" t="s">
        <v>974</v>
      </c>
      <c r="G3873" s="4">
        <v>37138</v>
      </c>
      <c r="H3873" s="4"/>
      <c r="I3873" s="4"/>
      <c r="J3873" s="4">
        <f>SUM(G3873:I3873)</f>
        <v>37138</v>
      </c>
      <c r="K3873" t="s">
        <v>1659</v>
      </c>
      <c r="L3873" t="s">
        <v>1659</v>
      </c>
      <c r="M3873" t="s">
        <v>1617</v>
      </c>
      <c r="N3873" t="s">
        <v>1132</v>
      </c>
      <c r="O3873" t="s">
        <v>1132</v>
      </c>
      <c r="P3873" t="str">
        <f>IFERROR(VLOOKUP(F3873,Sheet1!$A$2:$B$54,2,FALSE),"")</f>
        <v/>
      </c>
    </row>
    <row r="3874" spans="1:16" x14ac:dyDescent="0.2">
      <c r="A3874" s="1">
        <v>2023</v>
      </c>
      <c r="B3874" t="s">
        <v>476</v>
      </c>
      <c r="C3874" s="10" t="s">
        <v>1678</v>
      </c>
      <c r="D3874" s="10" t="s">
        <v>1679</v>
      </c>
      <c r="E3874" s="10" t="s">
        <v>1682</v>
      </c>
      <c r="F3874" t="s">
        <v>974</v>
      </c>
      <c r="G3874" s="4">
        <v>0</v>
      </c>
      <c r="H3874" s="4"/>
      <c r="I3874" s="4"/>
      <c r="J3874" s="4">
        <f>SUM(G3874:I3874)</f>
        <v>0</v>
      </c>
      <c r="K3874" t="s">
        <v>1659</v>
      </c>
      <c r="L3874" t="s">
        <v>1659</v>
      </c>
      <c r="M3874" t="s">
        <v>974</v>
      </c>
      <c r="N3874" t="s">
        <v>1132</v>
      </c>
      <c r="O3874" t="s">
        <v>1132</v>
      </c>
      <c r="P3874" t="str">
        <f>IFERROR(VLOOKUP(F3874,Sheet1!$A$2:$B$54,2,FALSE),"")</f>
        <v/>
      </c>
    </row>
    <row r="3875" spans="1:16" x14ac:dyDescent="0.2">
      <c r="A3875" s="1">
        <v>2015</v>
      </c>
      <c r="B3875" t="s">
        <v>477</v>
      </c>
      <c r="C3875" s="10" t="s">
        <v>1678</v>
      </c>
      <c r="D3875" s="10" t="s">
        <v>1679</v>
      </c>
      <c r="E3875" s="10" t="s">
        <v>1682</v>
      </c>
      <c r="F3875" t="s">
        <v>975</v>
      </c>
      <c r="G3875" s="4">
        <v>6426</v>
      </c>
      <c r="H3875" s="4"/>
      <c r="I3875" s="4"/>
      <c r="J3875" s="4">
        <f>SUM(G3875:I3875)</f>
        <v>6426</v>
      </c>
      <c r="K3875" t="s">
        <v>1659</v>
      </c>
      <c r="L3875" t="s">
        <v>1659</v>
      </c>
      <c r="M3875" t="s">
        <v>1618</v>
      </c>
      <c r="N3875" t="s">
        <v>1132</v>
      </c>
      <c r="O3875" t="s">
        <v>1132</v>
      </c>
      <c r="P3875" t="str">
        <f>IFERROR(VLOOKUP(F3875,Sheet1!$A$2:$B$54,2,FALSE),"")</f>
        <v/>
      </c>
    </row>
    <row r="3876" spans="1:16" x14ac:dyDescent="0.2">
      <c r="A3876" s="1">
        <v>2016</v>
      </c>
      <c r="B3876" t="s">
        <v>477</v>
      </c>
      <c r="C3876" s="10" t="s">
        <v>1678</v>
      </c>
      <c r="D3876" s="10" t="s">
        <v>1679</v>
      </c>
      <c r="E3876" s="10" t="s">
        <v>1682</v>
      </c>
      <c r="F3876" t="s">
        <v>975</v>
      </c>
      <c r="G3876" s="4">
        <v>12761</v>
      </c>
      <c r="H3876" s="4"/>
      <c r="I3876" s="4"/>
      <c r="J3876" s="4">
        <f>SUM(G3876:I3876)</f>
        <v>12761</v>
      </c>
      <c r="K3876" t="s">
        <v>1659</v>
      </c>
      <c r="L3876" t="s">
        <v>1659</v>
      </c>
      <c r="M3876" t="s">
        <v>1618</v>
      </c>
      <c r="N3876" t="s">
        <v>1132</v>
      </c>
      <c r="O3876" t="s">
        <v>1132</v>
      </c>
      <c r="P3876" t="str">
        <f>IFERROR(VLOOKUP(F3876,Sheet1!$A$2:$B$54,2,FALSE),"")</f>
        <v/>
      </c>
    </row>
    <row r="3877" spans="1:16" x14ac:dyDescent="0.2">
      <c r="A3877" s="1">
        <v>2017</v>
      </c>
      <c r="B3877" t="s">
        <v>477</v>
      </c>
      <c r="C3877" s="10" t="s">
        <v>1678</v>
      </c>
      <c r="D3877" s="10" t="s">
        <v>1679</v>
      </c>
      <c r="E3877" s="10" t="s">
        <v>1682</v>
      </c>
      <c r="F3877" t="s">
        <v>975</v>
      </c>
      <c r="G3877" s="4">
        <v>17318</v>
      </c>
      <c r="H3877" s="4"/>
      <c r="I3877" s="4"/>
      <c r="J3877" s="4">
        <f>SUM(G3877:I3877)</f>
        <v>17318</v>
      </c>
      <c r="K3877" t="s">
        <v>1659</v>
      </c>
      <c r="L3877" t="s">
        <v>1659</v>
      </c>
      <c r="M3877" t="s">
        <v>1619</v>
      </c>
      <c r="N3877" t="s">
        <v>1132</v>
      </c>
      <c r="O3877" t="s">
        <v>1132</v>
      </c>
      <c r="P3877" t="str">
        <f>IFERROR(VLOOKUP(F3877,Sheet1!$A$2:$B$54,2,FALSE),"")</f>
        <v/>
      </c>
    </row>
    <row r="3878" spans="1:16" x14ac:dyDescent="0.2">
      <c r="A3878" s="1">
        <v>2018</v>
      </c>
      <c r="B3878" t="s">
        <v>477</v>
      </c>
      <c r="C3878" s="10" t="s">
        <v>1678</v>
      </c>
      <c r="D3878" s="10" t="s">
        <v>1679</v>
      </c>
      <c r="E3878" s="10" t="s">
        <v>1682</v>
      </c>
      <c r="F3878" t="s">
        <v>975</v>
      </c>
      <c r="G3878" s="4">
        <v>21629</v>
      </c>
      <c r="H3878" s="4"/>
      <c r="I3878" s="4"/>
      <c r="J3878" s="4">
        <f>SUM(G3878:I3878)</f>
        <v>21629</v>
      </c>
      <c r="K3878" t="s">
        <v>1659</v>
      </c>
      <c r="L3878" t="s">
        <v>1659</v>
      </c>
      <c r="M3878" t="s">
        <v>1619</v>
      </c>
      <c r="N3878" t="s">
        <v>1132</v>
      </c>
      <c r="O3878" t="s">
        <v>1132</v>
      </c>
      <c r="P3878" t="str">
        <f>IFERROR(VLOOKUP(F3878,Sheet1!$A$2:$B$54,2,FALSE),"")</f>
        <v/>
      </c>
    </row>
    <row r="3879" spans="1:16" x14ac:dyDescent="0.2">
      <c r="A3879" s="1">
        <v>2019</v>
      </c>
      <c r="B3879" t="s">
        <v>477</v>
      </c>
      <c r="C3879" s="10" t="s">
        <v>1678</v>
      </c>
      <c r="D3879" s="10" t="s">
        <v>1679</v>
      </c>
      <c r="E3879" s="10" t="s">
        <v>1682</v>
      </c>
      <c r="F3879" t="s">
        <v>975</v>
      </c>
      <c r="G3879" s="4">
        <v>20664</v>
      </c>
      <c r="H3879" s="4"/>
      <c r="I3879" s="4"/>
      <c r="J3879" s="4">
        <f>SUM(G3879:I3879)</f>
        <v>20664</v>
      </c>
      <c r="K3879" t="s">
        <v>1659</v>
      </c>
      <c r="L3879" t="s">
        <v>1659</v>
      </c>
      <c r="M3879" t="s">
        <v>1619</v>
      </c>
      <c r="N3879" t="s">
        <v>1132</v>
      </c>
      <c r="O3879" t="s">
        <v>1132</v>
      </c>
      <c r="P3879" t="str">
        <f>IFERROR(VLOOKUP(F3879,Sheet1!$A$2:$B$54,2,FALSE),"")</f>
        <v/>
      </c>
    </row>
    <row r="3880" spans="1:16" x14ac:dyDescent="0.2">
      <c r="A3880" s="1">
        <v>2020</v>
      </c>
      <c r="B3880" t="s">
        <v>477</v>
      </c>
      <c r="C3880" s="10" t="s">
        <v>1678</v>
      </c>
      <c r="D3880" s="10" t="s">
        <v>1679</v>
      </c>
      <c r="E3880" s="10" t="s">
        <v>1682</v>
      </c>
      <c r="F3880" t="s">
        <v>975</v>
      </c>
      <c r="G3880" s="4">
        <v>7466</v>
      </c>
      <c r="H3880" s="4"/>
      <c r="I3880" s="4"/>
      <c r="J3880" s="4">
        <f>SUM(G3880:I3880)</f>
        <v>7466</v>
      </c>
      <c r="K3880" t="s">
        <v>1659</v>
      </c>
      <c r="L3880" t="s">
        <v>1659</v>
      </c>
      <c r="M3880" t="s">
        <v>1619</v>
      </c>
      <c r="N3880" t="s">
        <v>1132</v>
      </c>
      <c r="O3880" t="s">
        <v>1132</v>
      </c>
      <c r="P3880" t="str">
        <f>IFERROR(VLOOKUP(F3880,Sheet1!$A$2:$B$54,2,FALSE),"")</f>
        <v/>
      </c>
    </row>
    <row r="3881" spans="1:16" x14ac:dyDescent="0.2">
      <c r="A3881" s="1">
        <v>2021</v>
      </c>
      <c r="B3881" t="s">
        <v>477</v>
      </c>
      <c r="C3881" s="10" t="s">
        <v>1678</v>
      </c>
      <c r="D3881" s="10" t="s">
        <v>1679</v>
      </c>
      <c r="E3881" s="10" t="s">
        <v>1682</v>
      </c>
      <c r="F3881" t="s">
        <v>975</v>
      </c>
      <c r="G3881" s="4">
        <v>0</v>
      </c>
      <c r="H3881" s="4"/>
      <c r="I3881" s="4"/>
      <c r="J3881" s="4">
        <f>SUM(G3881:I3881)</f>
        <v>0</v>
      </c>
      <c r="K3881" t="s">
        <v>1659</v>
      </c>
      <c r="L3881" t="s">
        <v>1659</v>
      </c>
      <c r="M3881" t="s">
        <v>1620</v>
      </c>
      <c r="N3881" t="s">
        <v>1132</v>
      </c>
      <c r="O3881" t="s">
        <v>1132</v>
      </c>
      <c r="P3881" t="str">
        <f>IFERROR(VLOOKUP(F3881,Sheet1!$A$2:$B$54,2,FALSE),"")</f>
        <v/>
      </c>
    </row>
    <row r="3882" spans="1:16" x14ac:dyDescent="0.2">
      <c r="A3882" s="1">
        <v>2022</v>
      </c>
      <c r="B3882" t="s">
        <v>477</v>
      </c>
      <c r="C3882" s="10" t="s">
        <v>1678</v>
      </c>
      <c r="D3882" s="10" t="s">
        <v>1679</v>
      </c>
      <c r="E3882" s="10" t="s">
        <v>1682</v>
      </c>
      <c r="F3882" t="s">
        <v>975</v>
      </c>
      <c r="G3882" s="4">
        <v>0</v>
      </c>
      <c r="H3882" s="4"/>
      <c r="I3882" s="4"/>
      <c r="J3882" s="4">
        <f>SUM(G3882:I3882)</f>
        <v>0</v>
      </c>
      <c r="K3882" t="s">
        <v>1659</v>
      </c>
      <c r="L3882" t="s">
        <v>1659</v>
      </c>
      <c r="M3882" t="s">
        <v>975</v>
      </c>
      <c r="N3882" t="s">
        <v>1132</v>
      </c>
      <c r="O3882" t="s">
        <v>1132</v>
      </c>
      <c r="P3882" t="str">
        <f>IFERROR(VLOOKUP(F3882,Sheet1!$A$2:$B$54,2,FALSE),"")</f>
        <v/>
      </c>
    </row>
    <row r="3883" spans="1:16" x14ac:dyDescent="0.2">
      <c r="A3883" s="1">
        <v>2023</v>
      </c>
      <c r="B3883" t="s">
        <v>477</v>
      </c>
      <c r="C3883" s="10" t="s">
        <v>1678</v>
      </c>
      <c r="D3883" s="10" t="s">
        <v>1679</v>
      </c>
      <c r="E3883" s="10" t="s">
        <v>1682</v>
      </c>
      <c r="F3883" t="s">
        <v>975</v>
      </c>
      <c r="G3883" s="4">
        <v>0</v>
      </c>
      <c r="H3883" s="4"/>
      <c r="I3883" s="4"/>
      <c r="J3883" s="4">
        <f>SUM(G3883:I3883)</f>
        <v>0</v>
      </c>
      <c r="K3883" t="s">
        <v>1659</v>
      </c>
      <c r="L3883" t="s">
        <v>1659</v>
      </c>
      <c r="M3883" t="s">
        <v>975</v>
      </c>
      <c r="N3883" t="s">
        <v>1132</v>
      </c>
      <c r="O3883" t="s">
        <v>1132</v>
      </c>
      <c r="P3883" t="str">
        <f>IFERROR(VLOOKUP(F3883,Sheet1!$A$2:$B$54,2,FALSE),"")</f>
        <v/>
      </c>
    </row>
    <row r="3884" spans="1:16" x14ac:dyDescent="0.2">
      <c r="A3884" s="1">
        <v>2015</v>
      </c>
      <c r="B3884" t="s">
        <v>478</v>
      </c>
      <c r="C3884" s="10" t="s">
        <v>1678</v>
      </c>
      <c r="D3884" s="10" t="s">
        <v>1679</v>
      </c>
      <c r="E3884" s="10" t="s">
        <v>1682</v>
      </c>
      <c r="F3884" t="s">
        <v>976</v>
      </c>
      <c r="G3884" s="4">
        <v>3485</v>
      </c>
      <c r="H3884" s="4"/>
      <c r="I3884" s="4"/>
      <c r="J3884" s="4">
        <f>SUM(G3884:I3884)</f>
        <v>3485</v>
      </c>
      <c r="K3884" t="s">
        <v>1659</v>
      </c>
      <c r="L3884" t="s">
        <v>1659</v>
      </c>
      <c r="M3884" t="s">
        <v>1621</v>
      </c>
      <c r="N3884" t="s">
        <v>1132</v>
      </c>
      <c r="O3884" t="s">
        <v>1132</v>
      </c>
      <c r="P3884" t="str">
        <f>IFERROR(VLOOKUP(F3884,Sheet1!$A$2:$B$54,2,FALSE),"")</f>
        <v/>
      </c>
    </row>
    <row r="3885" spans="1:16" x14ac:dyDescent="0.2">
      <c r="A3885" s="1">
        <v>2016</v>
      </c>
      <c r="B3885" t="s">
        <v>478</v>
      </c>
      <c r="C3885" s="10" t="s">
        <v>1678</v>
      </c>
      <c r="D3885" s="10" t="s">
        <v>1679</v>
      </c>
      <c r="E3885" s="10" t="s">
        <v>1682</v>
      </c>
      <c r="F3885" t="s">
        <v>976</v>
      </c>
      <c r="G3885" s="4">
        <v>3034</v>
      </c>
      <c r="H3885" s="4"/>
      <c r="I3885" s="4"/>
      <c r="J3885" s="4">
        <f>SUM(G3885:I3885)</f>
        <v>3034</v>
      </c>
      <c r="K3885" t="s">
        <v>1659</v>
      </c>
      <c r="L3885" t="s">
        <v>1659</v>
      </c>
      <c r="M3885" t="s">
        <v>1621</v>
      </c>
      <c r="N3885" t="s">
        <v>1132</v>
      </c>
      <c r="O3885" t="s">
        <v>1132</v>
      </c>
      <c r="P3885" t="str">
        <f>IFERROR(VLOOKUP(F3885,Sheet1!$A$2:$B$54,2,FALSE),"")</f>
        <v/>
      </c>
    </row>
    <row r="3886" spans="1:16" x14ac:dyDescent="0.2">
      <c r="A3886" s="1">
        <v>2017</v>
      </c>
      <c r="B3886" t="s">
        <v>478</v>
      </c>
      <c r="C3886" s="10" t="s">
        <v>1678</v>
      </c>
      <c r="D3886" s="10" t="s">
        <v>1679</v>
      </c>
      <c r="E3886" s="10" t="s">
        <v>1682</v>
      </c>
      <c r="F3886" t="s">
        <v>976</v>
      </c>
      <c r="G3886" s="4">
        <v>0</v>
      </c>
      <c r="H3886" s="4"/>
      <c r="I3886" s="4"/>
      <c r="J3886" s="4">
        <f>SUM(G3886:I3886)</f>
        <v>0</v>
      </c>
      <c r="K3886" t="s">
        <v>1659</v>
      </c>
      <c r="L3886" t="s">
        <v>1659</v>
      </c>
      <c r="M3886" t="s">
        <v>1493</v>
      </c>
      <c r="N3886" t="s">
        <v>1132</v>
      </c>
      <c r="O3886" t="s">
        <v>1132</v>
      </c>
      <c r="P3886" t="str">
        <f>IFERROR(VLOOKUP(F3886,Sheet1!$A$2:$B$54,2,FALSE),"")</f>
        <v/>
      </c>
    </row>
    <row r="3887" spans="1:16" x14ac:dyDescent="0.2">
      <c r="A3887" s="1">
        <v>2018</v>
      </c>
      <c r="B3887" t="s">
        <v>478</v>
      </c>
      <c r="C3887" s="10" t="s">
        <v>1678</v>
      </c>
      <c r="D3887" s="10" t="s">
        <v>1679</v>
      </c>
      <c r="E3887" s="10" t="s">
        <v>1682</v>
      </c>
      <c r="F3887" t="s">
        <v>976</v>
      </c>
      <c r="G3887" s="4">
        <v>0</v>
      </c>
      <c r="H3887" s="4"/>
      <c r="I3887" s="4"/>
      <c r="J3887" s="4">
        <f>SUM(G3887:I3887)</f>
        <v>0</v>
      </c>
      <c r="K3887" t="s">
        <v>1659</v>
      </c>
      <c r="L3887" t="s">
        <v>1659</v>
      </c>
      <c r="M3887" t="s">
        <v>1493</v>
      </c>
      <c r="N3887" t="s">
        <v>1132</v>
      </c>
      <c r="O3887" t="s">
        <v>1132</v>
      </c>
      <c r="P3887" t="str">
        <f>IFERROR(VLOOKUP(F3887,Sheet1!$A$2:$B$54,2,FALSE),"")</f>
        <v/>
      </c>
    </row>
    <row r="3888" spans="1:16" x14ac:dyDescent="0.2">
      <c r="A3888" s="1">
        <v>2019</v>
      </c>
      <c r="B3888" t="s">
        <v>478</v>
      </c>
      <c r="C3888" s="10" t="s">
        <v>1678</v>
      </c>
      <c r="D3888" s="10" t="s">
        <v>1679</v>
      </c>
      <c r="E3888" s="10" t="s">
        <v>1682</v>
      </c>
      <c r="F3888" t="s">
        <v>976</v>
      </c>
      <c r="G3888" s="4">
        <v>5632</v>
      </c>
      <c r="H3888" s="4"/>
      <c r="I3888" s="4"/>
      <c r="J3888" s="4">
        <f>SUM(G3888:I3888)</f>
        <v>5632</v>
      </c>
      <c r="K3888" t="s">
        <v>1659</v>
      </c>
      <c r="L3888" t="s">
        <v>1659</v>
      </c>
      <c r="M3888" t="s">
        <v>976</v>
      </c>
      <c r="N3888" t="s">
        <v>1132</v>
      </c>
      <c r="O3888" t="s">
        <v>1132</v>
      </c>
      <c r="P3888" t="str">
        <f>IFERROR(VLOOKUP(F3888,Sheet1!$A$2:$B$54,2,FALSE),"")</f>
        <v/>
      </c>
    </row>
    <row r="3889" spans="1:16" x14ac:dyDescent="0.2">
      <c r="A3889" s="1">
        <v>2015</v>
      </c>
      <c r="B3889" t="s">
        <v>479</v>
      </c>
      <c r="C3889" s="10" t="s">
        <v>1678</v>
      </c>
      <c r="D3889" s="10" t="s">
        <v>1679</v>
      </c>
      <c r="E3889" s="10" t="s">
        <v>1682</v>
      </c>
      <c r="F3889" t="s">
        <v>977</v>
      </c>
      <c r="G3889" s="4">
        <v>345</v>
      </c>
      <c r="H3889" s="4"/>
      <c r="I3889" s="4"/>
      <c r="J3889" s="4">
        <f>SUM(G3889:I3889)</f>
        <v>345</v>
      </c>
      <c r="K3889" t="s">
        <v>1659</v>
      </c>
      <c r="L3889" t="s">
        <v>1659</v>
      </c>
      <c r="M3889" t="s">
        <v>1622</v>
      </c>
      <c r="N3889" t="s">
        <v>1132</v>
      </c>
      <c r="O3889" t="s">
        <v>1132</v>
      </c>
      <c r="P3889" t="str">
        <f>IFERROR(VLOOKUP(F3889,Sheet1!$A$2:$B$54,2,FALSE),"")</f>
        <v/>
      </c>
    </row>
    <row r="3890" spans="1:16" x14ac:dyDescent="0.2">
      <c r="A3890" s="1">
        <v>2016</v>
      </c>
      <c r="B3890" t="s">
        <v>479</v>
      </c>
      <c r="C3890" s="10" t="s">
        <v>1678</v>
      </c>
      <c r="D3890" s="10" t="s">
        <v>1679</v>
      </c>
      <c r="E3890" s="10" t="s">
        <v>1682</v>
      </c>
      <c r="F3890" t="s">
        <v>977</v>
      </c>
      <c r="G3890" s="4">
        <v>5159</v>
      </c>
      <c r="H3890" s="4"/>
      <c r="I3890" s="4"/>
      <c r="J3890" s="4">
        <f>SUM(G3890:I3890)</f>
        <v>5159</v>
      </c>
      <c r="K3890" t="s">
        <v>1659</v>
      </c>
      <c r="L3890" t="s">
        <v>1659</v>
      </c>
      <c r="M3890" t="s">
        <v>1622</v>
      </c>
      <c r="N3890" t="s">
        <v>1132</v>
      </c>
      <c r="O3890" t="s">
        <v>1132</v>
      </c>
      <c r="P3890" t="str">
        <f>IFERROR(VLOOKUP(F3890,Sheet1!$A$2:$B$54,2,FALSE),"")</f>
        <v/>
      </c>
    </row>
    <row r="3891" spans="1:16" x14ac:dyDescent="0.2">
      <c r="A3891" s="1">
        <v>2017</v>
      </c>
      <c r="B3891" t="s">
        <v>479</v>
      </c>
      <c r="C3891" s="10" t="s">
        <v>1678</v>
      </c>
      <c r="D3891" s="10" t="s">
        <v>1679</v>
      </c>
      <c r="E3891" s="10" t="s">
        <v>1682</v>
      </c>
      <c r="F3891" t="s">
        <v>977</v>
      </c>
      <c r="G3891" s="4">
        <v>6685</v>
      </c>
      <c r="H3891" s="4"/>
      <c r="I3891" s="4"/>
      <c r="J3891" s="4">
        <f>SUM(G3891:I3891)</f>
        <v>6685</v>
      </c>
      <c r="K3891" t="s">
        <v>1659</v>
      </c>
      <c r="L3891" t="s">
        <v>1659</v>
      </c>
      <c r="M3891" t="s">
        <v>1623</v>
      </c>
      <c r="N3891" t="s">
        <v>1132</v>
      </c>
      <c r="O3891" t="s">
        <v>1132</v>
      </c>
      <c r="P3891" t="str">
        <f>IFERROR(VLOOKUP(F3891,Sheet1!$A$2:$B$54,2,FALSE),"")</f>
        <v/>
      </c>
    </row>
    <row r="3892" spans="1:16" x14ac:dyDescent="0.2">
      <c r="A3892" s="1">
        <v>2018</v>
      </c>
      <c r="B3892" t="s">
        <v>479</v>
      </c>
      <c r="C3892" s="10" t="s">
        <v>1678</v>
      </c>
      <c r="D3892" s="10" t="s">
        <v>1679</v>
      </c>
      <c r="E3892" s="10" t="s">
        <v>1682</v>
      </c>
      <c r="F3892" t="s">
        <v>977</v>
      </c>
      <c r="G3892" s="4">
        <v>3866</v>
      </c>
      <c r="H3892" s="4"/>
      <c r="I3892" s="4"/>
      <c r="J3892" s="4">
        <f>SUM(G3892:I3892)</f>
        <v>3866</v>
      </c>
      <c r="K3892" t="s">
        <v>1659</v>
      </c>
      <c r="L3892" t="s">
        <v>1659</v>
      </c>
      <c r="M3892" t="s">
        <v>1623</v>
      </c>
      <c r="N3892" t="s">
        <v>1132</v>
      </c>
      <c r="O3892" t="s">
        <v>1132</v>
      </c>
      <c r="P3892" t="str">
        <f>IFERROR(VLOOKUP(F3892,Sheet1!$A$2:$B$54,2,FALSE),"")</f>
        <v/>
      </c>
    </row>
    <row r="3893" spans="1:16" x14ac:dyDescent="0.2">
      <c r="A3893" s="1">
        <v>2019</v>
      </c>
      <c r="B3893" t="s">
        <v>479</v>
      </c>
      <c r="C3893" s="10" t="s">
        <v>1678</v>
      </c>
      <c r="D3893" s="10" t="s">
        <v>1679</v>
      </c>
      <c r="E3893" s="10" t="s">
        <v>1682</v>
      </c>
      <c r="F3893" t="s">
        <v>977</v>
      </c>
      <c r="G3893" s="4">
        <v>5825</v>
      </c>
      <c r="H3893" s="4"/>
      <c r="I3893" s="4"/>
      <c r="J3893" s="4">
        <f>SUM(G3893:I3893)</f>
        <v>5825</v>
      </c>
      <c r="K3893" t="s">
        <v>1659</v>
      </c>
      <c r="L3893" t="s">
        <v>1659</v>
      </c>
      <c r="M3893" t="s">
        <v>1624</v>
      </c>
      <c r="N3893" t="s">
        <v>1132</v>
      </c>
      <c r="O3893" t="s">
        <v>1132</v>
      </c>
      <c r="P3893" t="str">
        <f>IFERROR(VLOOKUP(F3893,Sheet1!$A$2:$B$54,2,FALSE),"")</f>
        <v/>
      </c>
    </row>
    <row r="3894" spans="1:16" x14ac:dyDescent="0.2">
      <c r="A3894" s="1">
        <v>2020</v>
      </c>
      <c r="B3894" t="s">
        <v>479</v>
      </c>
      <c r="C3894" s="10" t="s">
        <v>1678</v>
      </c>
      <c r="D3894" s="10" t="s">
        <v>1679</v>
      </c>
      <c r="E3894" s="10" t="s">
        <v>1682</v>
      </c>
      <c r="F3894" t="s">
        <v>977</v>
      </c>
      <c r="G3894" s="4">
        <v>1763</v>
      </c>
      <c r="H3894" s="4"/>
      <c r="I3894" s="4"/>
      <c r="J3894" s="4">
        <f>SUM(G3894:I3894)</f>
        <v>1763</v>
      </c>
      <c r="K3894" t="s">
        <v>1659</v>
      </c>
      <c r="L3894" t="s">
        <v>1659</v>
      </c>
      <c r="M3894" t="s">
        <v>1624</v>
      </c>
      <c r="N3894" t="s">
        <v>1132</v>
      </c>
      <c r="O3894" t="s">
        <v>1132</v>
      </c>
      <c r="P3894" t="str">
        <f>IFERROR(VLOOKUP(F3894,Sheet1!$A$2:$B$54,2,FALSE),"")</f>
        <v/>
      </c>
    </row>
    <row r="3895" spans="1:16" x14ac:dyDescent="0.2">
      <c r="A3895" s="1">
        <v>2021</v>
      </c>
      <c r="B3895" t="s">
        <v>479</v>
      </c>
      <c r="C3895" s="10" t="s">
        <v>1678</v>
      </c>
      <c r="D3895" s="10" t="s">
        <v>1679</v>
      </c>
      <c r="E3895" s="10" t="s">
        <v>1682</v>
      </c>
      <c r="F3895" t="s">
        <v>977</v>
      </c>
      <c r="G3895" s="4">
        <v>0</v>
      </c>
      <c r="H3895" s="4"/>
      <c r="I3895" s="4"/>
      <c r="J3895" s="4">
        <f>SUM(G3895:I3895)</f>
        <v>0</v>
      </c>
      <c r="K3895" t="s">
        <v>1659</v>
      </c>
      <c r="L3895" t="s">
        <v>1659</v>
      </c>
      <c r="M3895" t="s">
        <v>1625</v>
      </c>
      <c r="N3895" t="s">
        <v>1132</v>
      </c>
      <c r="O3895" t="s">
        <v>1132</v>
      </c>
      <c r="P3895" t="str">
        <f>IFERROR(VLOOKUP(F3895,Sheet1!$A$2:$B$54,2,FALSE),"")</f>
        <v/>
      </c>
    </row>
    <row r="3896" spans="1:16" x14ac:dyDescent="0.2">
      <c r="A3896" s="1">
        <v>2022</v>
      </c>
      <c r="B3896" t="s">
        <v>479</v>
      </c>
      <c r="C3896" s="10" t="s">
        <v>1678</v>
      </c>
      <c r="D3896" s="10" t="s">
        <v>1679</v>
      </c>
      <c r="E3896" s="10" t="s">
        <v>1682</v>
      </c>
      <c r="F3896" t="s">
        <v>977</v>
      </c>
      <c r="G3896" s="4">
        <v>0</v>
      </c>
      <c r="H3896" s="4"/>
      <c r="I3896" s="4"/>
      <c r="J3896" s="4">
        <f>SUM(G3896:I3896)</f>
        <v>0</v>
      </c>
      <c r="K3896" t="s">
        <v>1659</v>
      </c>
      <c r="L3896" t="s">
        <v>1659</v>
      </c>
      <c r="M3896" t="s">
        <v>977</v>
      </c>
      <c r="N3896" t="s">
        <v>1132</v>
      </c>
      <c r="O3896" t="s">
        <v>1132</v>
      </c>
      <c r="P3896" t="str">
        <f>IFERROR(VLOOKUP(F3896,Sheet1!$A$2:$B$54,2,FALSE),"")</f>
        <v/>
      </c>
    </row>
    <row r="3897" spans="1:16" x14ac:dyDescent="0.2">
      <c r="A3897" s="1">
        <v>2023</v>
      </c>
      <c r="B3897" t="s">
        <v>479</v>
      </c>
      <c r="C3897" s="10" t="s">
        <v>1678</v>
      </c>
      <c r="D3897" s="10" t="s">
        <v>1679</v>
      </c>
      <c r="E3897" s="10" t="s">
        <v>1682</v>
      </c>
      <c r="F3897" t="s">
        <v>977</v>
      </c>
      <c r="G3897" s="4">
        <v>0</v>
      </c>
      <c r="H3897" s="4"/>
      <c r="I3897" s="4"/>
      <c r="J3897" s="4">
        <f>SUM(G3897:I3897)</f>
        <v>0</v>
      </c>
      <c r="K3897" t="s">
        <v>1659</v>
      </c>
      <c r="L3897" t="s">
        <v>1659</v>
      </c>
      <c r="M3897" t="s">
        <v>977</v>
      </c>
      <c r="N3897" t="s">
        <v>1132</v>
      </c>
      <c r="O3897" t="s">
        <v>1132</v>
      </c>
      <c r="P3897" t="str">
        <f>IFERROR(VLOOKUP(F3897,Sheet1!$A$2:$B$54,2,FALSE),"")</f>
        <v/>
      </c>
    </row>
    <row r="3898" spans="1:16" x14ac:dyDescent="0.2">
      <c r="A3898" s="1">
        <v>2015</v>
      </c>
      <c r="B3898" t="s">
        <v>480</v>
      </c>
      <c r="C3898" s="10" t="s">
        <v>1678</v>
      </c>
      <c r="D3898" s="10" t="s">
        <v>1679</v>
      </c>
      <c r="E3898" s="10" t="s">
        <v>1682</v>
      </c>
      <c r="F3898" t="s">
        <v>978</v>
      </c>
      <c r="G3898" s="4">
        <v>7588</v>
      </c>
      <c r="H3898" s="4">
        <v>129491</v>
      </c>
      <c r="I3898" s="4"/>
      <c r="J3898" s="4">
        <f>SUM(G3898:I3898)</f>
        <v>137079</v>
      </c>
      <c r="K3898" t="s">
        <v>1660</v>
      </c>
      <c r="L3898" t="s">
        <v>1659</v>
      </c>
      <c r="M3898" t="s">
        <v>1626</v>
      </c>
      <c r="N3898" t="s">
        <v>1626</v>
      </c>
      <c r="O3898" t="s">
        <v>1132</v>
      </c>
      <c r="P3898" t="str">
        <f>IFERROR(VLOOKUP(F3898,Sheet1!$A$2:$B$54,2,FALSE),"")</f>
        <v/>
      </c>
    </row>
    <row r="3899" spans="1:16" x14ac:dyDescent="0.2">
      <c r="A3899" s="1">
        <v>2016</v>
      </c>
      <c r="B3899" t="s">
        <v>480</v>
      </c>
      <c r="C3899" s="10" t="s">
        <v>1678</v>
      </c>
      <c r="D3899" s="10" t="s">
        <v>1679</v>
      </c>
      <c r="E3899" s="10" t="s">
        <v>1682</v>
      </c>
      <c r="F3899" t="s">
        <v>978</v>
      </c>
      <c r="G3899" s="4">
        <v>9510</v>
      </c>
      <c r="H3899" s="4">
        <v>172974</v>
      </c>
      <c r="I3899" s="4"/>
      <c r="J3899" s="4">
        <f>SUM(G3899:I3899)</f>
        <v>182484</v>
      </c>
      <c r="K3899" t="s">
        <v>1660</v>
      </c>
      <c r="L3899" t="s">
        <v>1659</v>
      </c>
      <c r="M3899" t="s">
        <v>1626</v>
      </c>
      <c r="N3899" t="s">
        <v>1626</v>
      </c>
      <c r="O3899" t="s">
        <v>1132</v>
      </c>
      <c r="P3899" t="str">
        <f>IFERROR(VLOOKUP(F3899,Sheet1!$A$2:$B$54,2,FALSE),"")</f>
        <v/>
      </c>
    </row>
    <row r="3900" spans="1:16" x14ac:dyDescent="0.2">
      <c r="A3900" s="1">
        <v>2017</v>
      </c>
      <c r="B3900" t="s">
        <v>480</v>
      </c>
      <c r="C3900" s="10" t="s">
        <v>1678</v>
      </c>
      <c r="D3900" s="10" t="s">
        <v>1679</v>
      </c>
      <c r="E3900" s="10" t="s">
        <v>1682</v>
      </c>
      <c r="F3900" t="s">
        <v>978</v>
      </c>
      <c r="G3900" s="4">
        <v>9937</v>
      </c>
      <c r="H3900" s="4">
        <v>179619</v>
      </c>
      <c r="I3900" s="4"/>
      <c r="J3900" s="4">
        <f>SUM(G3900:I3900)</f>
        <v>189556</v>
      </c>
      <c r="K3900" t="s">
        <v>1660</v>
      </c>
      <c r="L3900" t="s">
        <v>1659</v>
      </c>
      <c r="M3900" t="s">
        <v>978</v>
      </c>
      <c r="N3900" t="s">
        <v>978</v>
      </c>
      <c r="O3900" t="s">
        <v>1132</v>
      </c>
      <c r="P3900" t="str">
        <f>IFERROR(VLOOKUP(F3900,Sheet1!$A$2:$B$54,2,FALSE),"")</f>
        <v/>
      </c>
    </row>
    <row r="3901" spans="1:16" x14ac:dyDescent="0.2">
      <c r="A3901" s="1">
        <v>2018</v>
      </c>
      <c r="B3901" t="s">
        <v>480</v>
      </c>
      <c r="C3901" s="10" t="s">
        <v>1678</v>
      </c>
      <c r="D3901" s="10" t="s">
        <v>1679</v>
      </c>
      <c r="E3901" s="10" t="s">
        <v>1682</v>
      </c>
      <c r="F3901" t="s">
        <v>978</v>
      </c>
      <c r="G3901" s="4">
        <v>19002</v>
      </c>
      <c r="H3901" s="4">
        <v>193851</v>
      </c>
      <c r="I3901" s="4"/>
      <c r="J3901" s="4">
        <f>SUM(G3901:I3901)</f>
        <v>212853</v>
      </c>
      <c r="K3901" t="s">
        <v>1660</v>
      </c>
      <c r="L3901" t="s">
        <v>1659</v>
      </c>
      <c r="M3901" t="s">
        <v>978</v>
      </c>
      <c r="N3901" t="s">
        <v>978</v>
      </c>
      <c r="O3901" t="s">
        <v>1132</v>
      </c>
      <c r="P3901" t="str">
        <f>IFERROR(VLOOKUP(F3901,Sheet1!$A$2:$B$54,2,FALSE),"")</f>
        <v/>
      </c>
    </row>
    <row r="3902" spans="1:16" x14ac:dyDescent="0.2">
      <c r="A3902" s="1">
        <v>2019</v>
      </c>
      <c r="B3902" t="s">
        <v>480</v>
      </c>
      <c r="C3902" s="10" t="s">
        <v>1678</v>
      </c>
      <c r="D3902" s="10" t="s">
        <v>1679</v>
      </c>
      <c r="E3902" s="10" t="s">
        <v>1682</v>
      </c>
      <c r="F3902" t="s">
        <v>978</v>
      </c>
      <c r="G3902" s="4">
        <v>26465</v>
      </c>
      <c r="H3902" s="4">
        <v>186501</v>
      </c>
      <c r="I3902" s="4"/>
      <c r="J3902" s="4">
        <f>SUM(G3902:I3902)</f>
        <v>212966</v>
      </c>
      <c r="K3902" t="s">
        <v>1660</v>
      </c>
      <c r="L3902" t="s">
        <v>1659</v>
      </c>
      <c r="M3902" t="s">
        <v>978</v>
      </c>
      <c r="N3902" t="s">
        <v>978</v>
      </c>
      <c r="O3902" t="s">
        <v>1132</v>
      </c>
      <c r="P3902" t="str">
        <f>IFERROR(VLOOKUP(F3902,Sheet1!$A$2:$B$54,2,FALSE),"")</f>
        <v/>
      </c>
    </row>
    <row r="3903" spans="1:16" x14ac:dyDescent="0.2">
      <c r="A3903" s="1">
        <v>2020</v>
      </c>
      <c r="B3903" t="s">
        <v>480</v>
      </c>
      <c r="C3903" s="10" t="s">
        <v>1678</v>
      </c>
      <c r="D3903" s="10" t="s">
        <v>1679</v>
      </c>
      <c r="E3903" s="10" t="s">
        <v>1682</v>
      </c>
      <c r="F3903" t="s">
        <v>978</v>
      </c>
      <c r="G3903" s="4">
        <v>27764</v>
      </c>
      <c r="H3903" s="4">
        <v>184185</v>
      </c>
      <c r="I3903" s="4"/>
      <c r="J3903" s="4">
        <f>SUM(G3903:I3903)</f>
        <v>211949</v>
      </c>
      <c r="K3903" t="s">
        <v>1660</v>
      </c>
      <c r="L3903" t="s">
        <v>1659</v>
      </c>
      <c r="M3903" t="s">
        <v>978</v>
      </c>
      <c r="N3903" t="s">
        <v>978</v>
      </c>
      <c r="O3903" t="s">
        <v>1132</v>
      </c>
      <c r="P3903" t="str">
        <f>IFERROR(VLOOKUP(F3903,Sheet1!$A$2:$B$54,2,FALSE),"")</f>
        <v/>
      </c>
    </row>
    <row r="3904" spans="1:16" x14ac:dyDescent="0.2">
      <c r="A3904" s="1">
        <v>2023</v>
      </c>
      <c r="B3904" t="s">
        <v>440</v>
      </c>
      <c r="C3904" s="10" t="s">
        <v>1678</v>
      </c>
      <c r="D3904" s="10" t="s">
        <v>1679</v>
      </c>
      <c r="E3904" s="10" t="s">
        <v>1682</v>
      </c>
      <c r="F3904" t="s">
        <v>938</v>
      </c>
      <c r="G3904" s="4">
        <v>5877216</v>
      </c>
      <c r="H3904" s="4">
        <v>32517844</v>
      </c>
      <c r="I3904" s="4"/>
      <c r="J3904" s="4">
        <f>SUM(G3904:I3904)</f>
        <v>38395060</v>
      </c>
      <c r="K3904" t="s">
        <v>1660</v>
      </c>
      <c r="L3904" t="s">
        <v>1659</v>
      </c>
      <c r="M3904" t="s">
        <v>938</v>
      </c>
      <c r="N3904" t="s">
        <v>938</v>
      </c>
      <c r="O3904" t="s">
        <v>1132</v>
      </c>
      <c r="P3904">
        <f>IFERROR(VLOOKUP(F3904,Sheet1!$A$2:$B$54,2,FALSE),"")</f>
        <v>4901200</v>
      </c>
    </row>
    <row r="3905" spans="1:16" x14ac:dyDescent="0.2">
      <c r="A3905" s="1">
        <v>2015</v>
      </c>
      <c r="B3905" t="s">
        <v>481</v>
      </c>
      <c r="C3905" s="10" t="s">
        <v>1678</v>
      </c>
      <c r="D3905" s="10" t="s">
        <v>1679</v>
      </c>
      <c r="E3905" s="10" t="s">
        <v>1682</v>
      </c>
      <c r="F3905" t="s">
        <v>980</v>
      </c>
      <c r="G3905" s="4">
        <v>26501</v>
      </c>
      <c r="H3905" s="4"/>
      <c r="I3905" s="4"/>
      <c r="J3905" s="4">
        <f t="shared" ref="J3843:J3906" si="1">SUM(G3905:I3905)</f>
        <v>26501</v>
      </c>
      <c r="K3905" t="s">
        <v>1659</v>
      </c>
      <c r="L3905" t="s">
        <v>1659</v>
      </c>
      <c r="M3905" t="s">
        <v>980</v>
      </c>
      <c r="N3905" t="s">
        <v>1132</v>
      </c>
      <c r="O3905" t="s">
        <v>1132</v>
      </c>
      <c r="P3905" t="str">
        <f>IFERROR(VLOOKUP(F3905,Sheet1!$A$2:$B$54,2,FALSE),"")</f>
        <v/>
      </c>
    </row>
    <row r="3906" spans="1:16" x14ac:dyDescent="0.2">
      <c r="A3906" s="1">
        <v>2015</v>
      </c>
      <c r="B3906" t="s">
        <v>482</v>
      </c>
      <c r="C3906" s="10" t="s">
        <v>1678</v>
      </c>
      <c r="D3906" s="10" t="s">
        <v>1679</v>
      </c>
      <c r="E3906" s="10" t="s">
        <v>1682</v>
      </c>
      <c r="F3906" t="s">
        <v>981</v>
      </c>
      <c r="G3906" s="4">
        <v>3538</v>
      </c>
      <c r="H3906" s="4">
        <v>99360</v>
      </c>
      <c r="I3906" s="4"/>
      <c r="J3906" s="4">
        <f t="shared" si="1"/>
        <v>102898</v>
      </c>
      <c r="K3906" t="s">
        <v>1660</v>
      </c>
      <c r="L3906" t="s">
        <v>1659</v>
      </c>
      <c r="M3906" t="s">
        <v>1627</v>
      </c>
      <c r="N3906" t="s">
        <v>1627</v>
      </c>
      <c r="O3906" t="s">
        <v>1132</v>
      </c>
      <c r="P3906" t="str">
        <f>IFERROR(VLOOKUP(F3906,Sheet1!$A$2:$B$54,2,FALSE),"")</f>
        <v/>
      </c>
    </row>
    <row r="3907" spans="1:16" x14ac:dyDescent="0.2">
      <c r="A3907" s="1">
        <v>2016</v>
      </c>
      <c r="B3907" t="s">
        <v>482</v>
      </c>
      <c r="C3907" s="10" t="s">
        <v>1678</v>
      </c>
      <c r="D3907" s="10" t="s">
        <v>1679</v>
      </c>
      <c r="E3907" s="10" t="s">
        <v>1682</v>
      </c>
      <c r="F3907" t="s">
        <v>981</v>
      </c>
      <c r="G3907" s="4">
        <v>5270</v>
      </c>
      <c r="H3907" s="4">
        <v>106120</v>
      </c>
      <c r="I3907" s="4"/>
      <c r="J3907" s="4">
        <f t="shared" ref="J3907:J3970" si="2">SUM(G3907:I3907)</f>
        <v>111390</v>
      </c>
      <c r="K3907" t="s">
        <v>1660</v>
      </c>
      <c r="L3907" t="s">
        <v>1659</v>
      </c>
      <c r="M3907" t="s">
        <v>1627</v>
      </c>
      <c r="N3907" t="s">
        <v>1627</v>
      </c>
      <c r="O3907" t="s">
        <v>1132</v>
      </c>
      <c r="P3907" t="str">
        <f>IFERROR(VLOOKUP(F3907,Sheet1!$A$2:$B$54,2,FALSE),"")</f>
        <v/>
      </c>
    </row>
    <row r="3908" spans="1:16" x14ac:dyDescent="0.2">
      <c r="A3908" s="1">
        <v>2017</v>
      </c>
      <c r="B3908" t="s">
        <v>482</v>
      </c>
      <c r="C3908" s="10" t="s">
        <v>1678</v>
      </c>
      <c r="D3908" s="10" t="s">
        <v>1679</v>
      </c>
      <c r="E3908" s="10" t="s">
        <v>1682</v>
      </c>
      <c r="F3908" t="s">
        <v>981</v>
      </c>
      <c r="G3908" s="4">
        <v>5040</v>
      </c>
      <c r="H3908" s="4">
        <v>104436</v>
      </c>
      <c r="I3908" s="4"/>
      <c r="J3908" s="4">
        <f t="shared" si="2"/>
        <v>109476</v>
      </c>
      <c r="K3908" t="s">
        <v>1660</v>
      </c>
      <c r="L3908" t="s">
        <v>1659</v>
      </c>
      <c r="M3908" t="s">
        <v>1627</v>
      </c>
      <c r="N3908" t="s">
        <v>1627</v>
      </c>
      <c r="O3908" t="s">
        <v>1132</v>
      </c>
      <c r="P3908" t="str">
        <f>IFERROR(VLOOKUP(F3908,Sheet1!$A$2:$B$54,2,FALSE),"")</f>
        <v/>
      </c>
    </row>
    <row r="3909" spans="1:16" x14ac:dyDescent="0.2">
      <c r="A3909" s="1">
        <v>2018</v>
      </c>
      <c r="B3909" t="s">
        <v>482</v>
      </c>
      <c r="C3909" s="10" t="s">
        <v>1678</v>
      </c>
      <c r="D3909" s="10" t="s">
        <v>1679</v>
      </c>
      <c r="E3909" s="10" t="s">
        <v>1682</v>
      </c>
      <c r="F3909" t="s">
        <v>981</v>
      </c>
      <c r="G3909" s="4">
        <v>1317</v>
      </c>
      <c r="H3909" s="4">
        <v>34493</v>
      </c>
      <c r="I3909" s="4"/>
      <c r="J3909" s="4">
        <f t="shared" si="2"/>
        <v>35810</v>
      </c>
      <c r="K3909" t="s">
        <v>1660</v>
      </c>
      <c r="L3909" t="s">
        <v>1659</v>
      </c>
      <c r="M3909" t="s">
        <v>1627</v>
      </c>
      <c r="N3909" t="s">
        <v>1627</v>
      </c>
      <c r="O3909" t="s">
        <v>1132</v>
      </c>
      <c r="P3909" t="str">
        <f>IFERROR(VLOOKUP(F3909,Sheet1!$A$2:$B$54,2,FALSE),"")</f>
        <v/>
      </c>
    </row>
    <row r="3910" spans="1:16" x14ac:dyDescent="0.2">
      <c r="A3910" s="1">
        <v>2019</v>
      </c>
      <c r="B3910" t="s">
        <v>482</v>
      </c>
      <c r="C3910" s="10" t="s">
        <v>1678</v>
      </c>
      <c r="D3910" s="10" t="s">
        <v>1679</v>
      </c>
      <c r="E3910" s="10" t="s">
        <v>1682</v>
      </c>
      <c r="F3910" t="s">
        <v>981</v>
      </c>
      <c r="G3910" s="4">
        <v>0</v>
      </c>
      <c r="H3910" s="4">
        <v>7067</v>
      </c>
      <c r="I3910" s="4"/>
      <c r="J3910" s="4">
        <f t="shared" si="2"/>
        <v>7067</v>
      </c>
      <c r="K3910" t="s">
        <v>1660</v>
      </c>
      <c r="L3910" t="s">
        <v>1659</v>
      </c>
      <c r="M3910" t="s">
        <v>1628</v>
      </c>
      <c r="N3910" t="s">
        <v>1629</v>
      </c>
      <c r="O3910" t="s">
        <v>1132</v>
      </c>
      <c r="P3910" t="str">
        <f>IFERROR(VLOOKUP(F3910,Sheet1!$A$2:$B$54,2,FALSE),"")</f>
        <v/>
      </c>
    </row>
    <row r="3911" spans="1:16" x14ac:dyDescent="0.2">
      <c r="A3911" s="1">
        <v>2020</v>
      </c>
      <c r="B3911" t="s">
        <v>482</v>
      </c>
      <c r="C3911" s="10" t="s">
        <v>1678</v>
      </c>
      <c r="D3911" s="10" t="s">
        <v>1679</v>
      </c>
      <c r="E3911" s="10" t="s">
        <v>1682</v>
      </c>
      <c r="F3911" t="s">
        <v>981</v>
      </c>
      <c r="G3911" s="4">
        <v>0</v>
      </c>
      <c r="H3911" s="4">
        <v>0</v>
      </c>
      <c r="I3911" s="4"/>
      <c r="J3911" s="4">
        <f t="shared" si="2"/>
        <v>0</v>
      </c>
      <c r="K3911" t="s">
        <v>1660</v>
      </c>
      <c r="L3911" t="s">
        <v>1659</v>
      </c>
      <c r="M3911" t="s">
        <v>1629</v>
      </c>
      <c r="N3911" t="s">
        <v>1629</v>
      </c>
      <c r="O3911" t="s">
        <v>1132</v>
      </c>
      <c r="P3911" t="str">
        <f>IFERROR(VLOOKUP(F3911,Sheet1!$A$2:$B$54,2,FALSE),"")</f>
        <v/>
      </c>
    </row>
    <row r="3912" spans="1:16" x14ac:dyDescent="0.2">
      <c r="A3912" s="1">
        <v>2021</v>
      </c>
      <c r="B3912" t="s">
        <v>482</v>
      </c>
      <c r="C3912" s="10" t="s">
        <v>1678</v>
      </c>
      <c r="D3912" s="10" t="s">
        <v>1679</v>
      </c>
      <c r="E3912" s="10" t="s">
        <v>1682</v>
      </c>
      <c r="F3912" t="s">
        <v>981</v>
      </c>
      <c r="G3912" s="4">
        <v>0</v>
      </c>
      <c r="H3912" s="4"/>
      <c r="I3912" s="4"/>
      <c r="J3912" s="4">
        <f t="shared" si="2"/>
        <v>0</v>
      </c>
      <c r="K3912" t="s">
        <v>1659</v>
      </c>
      <c r="L3912" t="s">
        <v>1659</v>
      </c>
      <c r="M3912" t="s">
        <v>1630</v>
      </c>
      <c r="N3912" t="s">
        <v>1132</v>
      </c>
      <c r="O3912" t="s">
        <v>1132</v>
      </c>
      <c r="P3912" t="str">
        <f>IFERROR(VLOOKUP(F3912,Sheet1!$A$2:$B$54,2,FALSE),"")</f>
        <v/>
      </c>
    </row>
    <row r="3913" spans="1:16" x14ac:dyDescent="0.2">
      <c r="A3913" s="1">
        <v>2022</v>
      </c>
      <c r="B3913" t="s">
        <v>482</v>
      </c>
      <c r="C3913" s="10" t="s">
        <v>1678</v>
      </c>
      <c r="D3913" s="10" t="s">
        <v>1679</v>
      </c>
      <c r="E3913" s="10" t="s">
        <v>1682</v>
      </c>
      <c r="F3913" t="s">
        <v>981</v>
      </c>
      <c r="G3913" s="4">
        <v>0</v>
      </c>
      <c r="H3913" s="4">
        <v>0</v>
      </c>
      <c r="I3913" s="4"/>
      <c r="J3913" s="4">
        <f t="shared" si="2"/>
        <v>0</v>
      </c>
      <c r="K3913" t="s">
        <v>1660</v>
      </c>
      <c r="L3913" t="s">
        <v>1659</v>
      </c>
      <c r="M3913" t="s">
        <v>981</v>
      </c>
      <c r="N3913" t="s">
        <v>1630</v>
      </c>
      <c r="O3913" t="s">
        <v>1132</v>
      </c>
      <c r="P3913" t="str">
        <f>IFERROR(VLOOKUP(F3913,Sheet1!$A$2:$B$54,2,FALSE),"")</f>
        <v/>
      </c>
    </row>
    <row r="3914" spans="1:16" x14ac:dyDescent="0.2">
      <c r="A3914" s="1">
        <v>2023</v>
      </c>
      <c r="B3914" t="s">
        <v>482</v>
      </c>
      <c r="C3914" s="10" t="s">
        <v>1678</v>
      </c>
      <c r="D3914" s="10" t="s">
        <v>1679</v>
      </c>
      <c r="E3914" s="10" t="s">
        <v>1682</v>
      </c>
      <c r="F3914" t="s">
        <v>981</v>
      </c>
      <c r="G3914" s="4">
        <v>0</v>
      </c>
      <c r="H3914" s="4">
        <v>0</v>
      </c>
      <c r="I3914" s="4"/>
      <c r="J3914" s="4">
        <f t="shared" si="2"/>
        <v>0</v>
      </c>
      <c r="K3914" t="s">
        <v>1660</v>
      </c>
      <c r="L3914" t="s">
        <v>1659</v>
      </c>
      <c r="M3914" t="s">
        <v>981</v>
      </c>
      <c r="N3914" t="s">
        <v>1630</v>
      </c>
      <c r="O3914" t="s">
        <v>1132</v>
      </c>
      <c r="P3914" t="str">
        <f>IFERROR(VLOOKUP(F3914,Sheet1!$A$2:$B$54,2,FALSE),"")</f>
        <v/>
      </c>
    </row>
    <row r="3915" spans="1:16" x14ac:dyDescent="0.2">
      <c r="A3915" s="1">
        <v>2015</v>
      </c>
      <c r="B3915" t="s">
        <v>483</v>
      </c>
      <c r="C3915" s="10" t="s">
        <v>1678</v>
      </c>
      <c r="D3915" s="10" t="s">
        <v>1679</v>
      </c>
      <c r="E3915" s="10" t="s">
        <v>1682</v>
      </c>
      <c r="F3915" t="s">
        <v>982</v>
      </c>
      <c r="G3915" s="4">
        <v>28534</v>
      </c>
      <c r="H3915" s="4"/>
      <c r="I3915" s="4"/>
      <c r="J3915" s="4">
        <f t="shared" si="2"/>
        <v>28534</v>
      </c>
      <c r="K3915" t="s">
        <v>1659</v>
      </c>
      <c r="L3915" t="s">
        <v>1659</v>
      </c>
      <c r="M3915" t="s">
        <v>1631</v>
      </c>
      <c r="N3915" t="s">
        <v>1132</v>
      </c>
      <c r="O3915" t="s">
        <v>1132</v>
      </c>
      <c r="P3915" t="str">
        <f>IFERROR(VLOOKUP(F3915,Sheet1!$A$2:$B$54,2,FALSE),"")</f>
        <v/>
      </c>
    </row>
    <row r="3916" spans="1:16" x14ac:dyDescent="0.2">
      <c r="A3916" s="1">
        <v>2016</v>
      </c>
      <c r="B3916" t="s">
        <v>483</v>
      </c>
      <c r="C3916" s="10" t="s">
        <v>1678</v>
      </c>
      <c r="D3916" s="10" t="s">
        <v>1679</v>
      </c>
      <c r="E3916" s="10" t="s">
        <v>1682</v>
      </c>
      <c r="F3916" t="s">
        <v>982</v>
      </c>
      <c r="G3916" s="4">
        <v>39735</v>
      </c>
      <c r="H3916" s="4"/>
      <c r="I3916" s="4"/>
      <c r="J3916" s="4">
        <f t="shared" si="2"/>
        <v>39735</v>
      </c>
      <c r="K3916" t="s">
        <v>1659</v>
      </c>
      <c r="L3916" t="s">
        <v>1659</v>
      </c>
      <c r="M3916" t="s">
        <v>1631</v>
      </c>
      <c r="N3916" t="s">
        <v>1132</v>
      </c>
      <c r="O3916" t="s">
        <v>1132</v>
      </c>
      <c r="P3916" t="str">
        <f>IFERROR(VLOOKUP(F3916,Sheet1!$A$2:$B$54,2,FALSE),"")</f>
        <v/>
      </c>
    </row>
    <row r="3917" spans="1:16" x14ac:dyDescent="0.2">
      <c r="A3917" s="1">
        <v>2017</v>
      </c>
      <c r="B3917" t="s">
        <v>483</v>
      </c>
      <c r="C3917" s="10" t="s">
        <v>1678</v>
      </c>
      <c r="D3917" s="10" t="s">
        <v>1679</v>
      </c>
      <c r="E3917" s="10" t="s">
        <v>1682</v>
      </c>
      <c r="F3917" t="s">
        <v>982</v>
      </c>
      <c r="G3917" s="4">
        <v>42189</v>
      </c>
      <c r="H3917" s="4"/>
      <c r="I3917" s="4"/>
      <c r="J3917" s="4">
        <f t="shared" si="2"/>
        <v>42189</v>
      </c>
      <c r="K3917" t="s">
        <v>1659</v>
      </c>
      <c r="L3917" t="s">
        <v>1659</v>
      </c>
      <c r="M3917" t="s">
        <v>982</v>
      </c>
      <c r="N3917" t="s">
        <v>1132</v>
      </c>
      <c r="O3917" t="s">
        <v>1132</v>
      </c>
      <c r="P3917" t="str">
        <f>IFERROR(VLOOKUP(F3917,Sheet1!$A$2:$B$54,2,FALSE),"")</f>
        <v/>
      </c>
    </row>
    <row r="3918" spans="1:16" x14ac:dyDescent="0.2">
      <c r="A3918" s="1">
        <v>2018</v>
      </c>
      <c r="B3918" t="s">
        <v>483</v>
      </c>
      <c r="C3918" s="10" t="s">
        <v>1678</v>
      </c>
      <c r="D3918" s="10" t="s">
        <v>1679</v>
      </c>
      <c r="E3918" s="10" t="s">
        <v>1682</v>
      </c>
      <c r="F3918" t="s">
        <v>982</v>
      </c>
      <c r="G3918" s="4">
        <v>54573</v>
      </c>
      <c r="H3918" s="4"/>
      <c r="I3918" s="4"/>
      <c r="J3918" s="4">
        <f t="shared" si="2"/>
        <v>54573</v>
      </c>
      <c r="K3918" t="s">
        <v>1659</v>
      </c>
      <c r="L3918" t="s">
        <v>1659</v>
      </c>
      <c r="M3918" t="s">
        <v>982</v>
      </c>
      <c r="N3918" t="s">
        <v>1132</v>
      </c>
      <c r="O3918" t="s">
        <v>1132</v>
      </c>
      <c r="P3918" t="str">
        <f>IFERROR(VLOOKUP(F3918,Sheet1!$A$2:$B$54,2,FALSE),"")</f>
        <v/>
      </c>
    </row>
    <row r="3919" spans="1:16" x14ac:dyDescent="0.2">
      <c r="A3919" s="1">
        <v>2015</v>
      </c>
      <c r="B3919" t="s">
        <v>484</v>
      </c>
      <c r="C3919" s="10" t="s">
        <v>1678</v>
      </c>
      <c r="D3919" s="10" t="s">
        <v>1679</v>
      </c>
      <c r="E3919" s="10" t="s">
        <v>1682</v>
      </c>
      <c r="F3919" t="s">
        <v>983</v>
      </c>
      <c r="G3919" s="4">
        <v>261958</v>
      </c>
      <c r="H3919" s="4"/>
      <c r="I3919" s="4"/>
      <c r="J3919" s="4">
        <f t="shared" si="2"/>
        <v>261958</v>
      </c>
      <c r="K3919" t="s">
        <v>1659</v>
      </c>
      <c r="L3919" t="s">
        <v>1659</v>
      </c>
      <c r="M3919" t="s">
        <v>1632</v>
      </c>
      <c r="N3919" t="s">
        <v>1132</v>
      </c>
      <c r="O3919" t="s">
        <v>1132</v>
      </c>
      <c r="P3919" t="str">
        <f>IFERROR(VLOOKUP(F3919,Sheet1!$A$2:$B$54,2,FALSE),"")</f>
        <v/>
      </c>
    </row>
    <row r="3920" spans="1:16" x14ac:dyDescent="0.2">
      <c r="A3920" s="1">
        <v>2016</v>
      </c>
      <c r="B3920" t="s">
        <v>484</v>
      </c>
      <c r="C3920" s="10" t="s">
        <v>1678</v>
      </c>
      <c r="D3920" s="10" t="s">
        <v>1679</v>
      </c>
      <c r="E3920" s="10" t="s">
        <v>1682</v>
      </c>
      <c r="F3920" t="s">
        <v>983</v>
      </c>
      <c r="G3920" s="4">
        <v>0</v>
      </c>
      <c r="H3920" s="4"/>
      <c r="I3920" s="4"/>
      <c r="J3920" s="4">
        <f t="shared" si="2"/>
        <v>0</v>
      </c>
      <c r="K3920" t="s">
        <v>1659</v>
      </c>
      <c r="L3920" t="s">
        <v>1659</v>
      </c>
      <c r="M3920" t="s">
        <v>1632</v>
      </c>
      <c r="N3920" t="s">
        <v>1132</v>
      </c>
      <c r="O3920" t="s">
        <v>1132</v>
      </c>
      <c r="P3920" t="str">
        <f>IFERROR(VLOOKUP(F3920,Sheet1!$A$2:$B$54,2,FALSE),"")</f>
        <v/>
      </c>
    </row>
    <row r="3921" spans="1:16" x14ac:dyDescent="0.2">
      <c r="A3921" s="1">
        <v>2017</v>
      </c>
      <c r="B3921" t="s">
        <v>484</v>
      </c>
      <c r="C3921" s="10" t="s">
        <v>1678</v>
      </c>
      <c r="D3921" s="10" t="s">
        <v>1679</v>
      </c>
      <c r="E3921" s="10" t="s">
        <v>1682</v>
      </c>
      <c r="F3921" t="s">
        <v>983</v>
      </c>
      <c r="G3921" s="4">
        <v>0</v>
      </c>
      <c r="H3921" s="4"/>
      <c r="I3921" s="4"/>
      <c r="J3921" s="4">
        <f t="shared" si="2"/>
        <v>0</v>
      </c>
      <c r="K3921" t="s">
        <v>1659</v>
      </c>
      <c r="L3921" t="s">
        <v>1659</v>
      </c>
      <c r="M3921" t="s">
        <v>1633</v>
      </c>
      <c r="N3921" t="s">
        <v>1132</v>
      </c>
      <c r="O3921" t="s">
        <v>1132</v>
      </c>
      <c r="P3921" t="str">
        <f>IFERROR(VLOOKUP(F3921,Sheet1!$A$2:$B$54,2,FALSE),"")</f>
        <v/>
      </c>
    </row>
    <row r="3922" spans="1:16" x14ac:dyDescent="0.2">
      <c r="A3922" s="1">
        <v>2018</v>
      </c>
      <c r="B3922" t="s">
        <v>484</v>
      </c>
      <c r="C3922" s="10" t="s">
        <v>1678</v>
      </c>
      <c r="D3922" s="10" t="s">
        <v>1679</v>
      </c>
      <c r="E3922" s="10" t="s">
        <v>1682</v>
      </c>
      <c r="F3922" t="s">
        <v>983</v>
      </c>
      <c r="G3922" s="4">
        <v>0</v>
      </c>
      <c r="H3922" s="4"/>
      <c r="I3922" s="4"/>
      <c r="J3922" s="4">
        <f t="shared" si="2"/>
        <v>0</v>
      </c>
      <c r="K3922" t="s">
        <v>1659</v>
      </c>
      <c r="L3922" t="s">
        <v>1659</v>
      </c>
      <c r="M3922" t="s">
        <v>1632</v>
      </c>
      <c r="N3922" t="s">
        <v>1132</v>
      </c>
      <c r="O3922" t="s">
        <v>1132</v>
      </c>
      <c r="P3922" t="str">
        <f>IFERROR(VLOOKUP(F3922,Sheet1!$A$2:$B$54,2,FALSE),"")</f>
        <v/>
      </c>
    </row>
    <row r="3923" spans="1:16" x14ac:dyDescent="0.2">
      <c r="A3923" s="1">
        <v>2019</v>
      </c>
      <c r="B3923" t="s">
        <v>484</v>
      </c>
      <c r="C3923" s="10" t="s">
        <v>1678</v>
      </c>
      <c r="D3923" s="10" t="s">
        <v>1679</v>
      </c>
      <c r="E3923" s="10" t="s">
        <v>1682</v>
      </c>
      <c r="F3923" t="s">
        <v>983</v>
      </c>
      <c r="G3923" s="4">
        <v>0</v>
      </c>
      <c r="H3923" s="4"/>
      <c r="I3923" s="4"/>
      <c r="J3923" s="4">
        <f t="shared" si="2"/>
        <v>0</v>
      </c>
      <c r="K3923" t="s">
        <v>1659</v>
      </c>
      <c r="L3923" t="s">
        <v>1659</v>
      </c>
      <c r="M3923" t="s">
        <v>1632</v>
      </c>
      <c r="N3923" t="s">
        <v>1132</v>
      </c>
      <c r="O3923" t="s">
        <v>1132</v>
      </c>
      <c r="P3923" t="str">
        <f>IFERROR(VLOOKUP(F3923,Sheet1!$A$2:$B$54,2,FALSE),"")</f>
        <v/>
      </c>
    </row>
    <row r="3924" spans="1:16" x14ac:dyDescent="0.2">
      <c r="A3924" s="1">
        <v>2020</v>
      </c>
      <c r="B3924" t="s">
        <v>484</v>
      </c>
      <c r="C3924" s="10" t="s">
        <v>1678</v>
      </c>
      <c r="D3924" s="10" t="s">
        <v>1679</v>
      </c>
      <c r="E3924" s="10" t="s">
        <v>1682</v>
      </c>
      <c r="F3924" t="s">
        <v>983</v>
      </c>
      <c r="G3924" s="4">
        <v>0</v>
      </c>
      <c r="H3924" s="4"/>
      <c r="I3924" s="4"/>
      <c r="J3924" s="4">
        <f t="shared" si="2"/>
        <v>0</v>
      </c>
      <c r="K3924" t="s">
        <v>1659</v>
      </c>
      <c r="L3924" t="s">
        <v>1659</v>
      </c>
      <c r="M3924" t="s">
        <v>1632</v>
      </c>
      <c r="N3924" t="s">
        <v>1132</v>
      </c>
      <c r="O3924" t="s">
        <v>1132</v>
      </c>
      <c r="P3924" t="str">
        <f>IFERROR(VLOOKUP(F3924,Sheet1!$A$2:$B$54,2,FALSE),"")</f>
        <v/>
      </c>
    </row>
    <row r="3925" spans="1:16" x14ac:dyDescent="0.2">
      <c r="A3925" s="1">
        <v>2021</v>
      </c>
      <c r="B3925" t="s">
        <v>484</v>
      </c>
      <c r="C3925" s="10" t="s">
        <v>1678</v>
      </c>
      <c r="D3925" s="10" t="s">
        <v>1679</v>
      </c>
      <c r="E3925" s="10" t="s">
        <v>1682</v>
      </c>
      <c r="F3925" t="s">
        <v>983</v>
      </c>
      <c r="G3925" s="4">
        <v>0</v>
      </c>
      <c r="H3925" s="4">
        <v>0</v>
      </c>
      <c r="I3925" s="4"/>
      <c r="J3925" s="4">
        <f t="shared" si="2"/>
        <v>0</v>
      </c>
      <c r="K3925" t="s">
        <v>1660</v>
      </c>
      <c r="L3925" t="s">
        <v>1659</v>
      </c>
      <c r="M3925" t="s">
        <v>1634</v>
      </c>
      <c r="N3925" t="s">
        <v>1634</v>
      </c>
      <c r="O3925" t="s">
        <v>1132</v>
      </c>
      <c r="P3925" t="str">
        <f>IFERROR(VLOOKUP(F3925,Sheet1!$A$2:$B$54,2,FALSE),"")</f>
        <v/>
      </c>
    </row>
    <row r="3926" spans="1:16" x14ac:dyDescent="0.2">
      <c r="A3926" s="1">
        <v>2022</v>
      </c>
      <c r="B3926" t="s">
        <v>484</v>
      </c>
      <c r="C3926" s="10" t="s">
        <v>1678</v>
      </c>
      <c r="D3926" s="10" t="s">
        <v>1679</v>
      </c>
      <c r="E3926" s="10" t="s">
        <v>1682</v>
      </c>
      <c r="F3926" t="s">
        <v>983</v>
      </c>
      <c r="G3926" s="4">
        <v>0</v>
      </c>
      <c r="H3926" s="4"/>
      <c r="I3926" s="4"/>
      <c r="J3926" s="4">
        <f t="shared" si="2"/>
        <v>0</v>
      </c>
      <c r="K3926" t="s">
        <v>1659</v>
      </c>
      <c r="L3926" t="s">
        <v>1659</v>
      </c>
      <c r="M3926" t="s">
        <v>983</v>
      </c>
      <c r="N3926" t="s">
        <v>1132</v>
      </c>
      <c r="O3926" t="s">
        <v>1132</v>
      </c>
      <c r="P3926" t="str">
        <f>IFERROR(VLOOKUP(F3926,Sheet1!$A$2:$B$54,2,FALSE),"")</f>
        <v/>
      </c>
    </row>
    <row r="3927" spans="1:16" x14ac:dyDescent="0.2">
      <c r="A3927" s="1">
        <v>2023</v>
      </c>
      <c r="B3927" t="s">
        <v>484</v>
      </c>
      <c r="C3927" s="10" t="s">
        <v>1678</v>
      </c>
      <c r="D3927" s="10" t="s">
        <v>1679</v>
      </c>
      <c r="E3927" s="10" t="s">
        <v>1682</v>
      </c>
      <c r="F3927" t="s">
        <v>983</v>
      </c>
      <c r="G3927" s="4">
        <v>0</v>
      </c>
      <c r="H3927" s="4"/>
      <c r="I3927" s="4"/>
      <c r="J3927" s="4">
        <f t="shared" si="2"/>
        <v>0</v>
      </c>
      <c r="K3927" t="s">
        <v>1659</v>
      </c>
      <c r="L3927" t="s">
        <v>1659</v>
      </c>
      <c r="M3927" t="s">
        <v>983</v>
      </c>
      <c r="N3927" t="s">
        <v>1132</v>
      </c>
      <c r="O3927" t="s">
        <v>1132</v>
      </c>
      <c r="P3927" t="str">
        <f>IFERROR(VLOOKUP(F3927,Sheet1!$A$2:$B$54,2,FALSE),"")</f>
        <v/>
      </c>
    </row>
    <row r="3928" spans="1:16" x14ac:dyDescent="0.2">
      <c r="A3928" s="1">
        <v>2019</v>
      </c>
      <c r="B3928" t="s">
        <v>485</v>
      </c>
      <c r="C3928" s="10" t="s">
        <v>1678</v>
      </c>
      <c r="D3928" s="10" t="s">
        <v>1679</v>
      </c>
      <c r="E3928" s="10" t="s">
        <v>1682</v>
      </c>
      <c r="F3928" t="s">
        <v>984</v>
      </c>
      <c r="G3928" s="4">
        <v>0</v>
      </c>
      <c r="H3928" s="4"/>
      <c r="I3928" s="4"/>
      <c r="J3928" s="4">
        <f t="shared" si="2"/>
        <v>0</v>
      </c>
      <c r="K3928" t="s">
        <v>1659</v>
      </c>
      <c r="L3928" t="s">
        <v>1659</v>
      </c>
      <c r="M3928" t="s">
        <v>984</v>
      </c>
      <c r="N3928" t="s">
        <v>1132</v>
      </c>
      <c r="O3928" t="s">
        <v>1132</v>
      </c>
      <c r="P3928" t="str">
        <f>IFERROR(VLOOKUP(F3928,Sheet1!$A$2:$B$54,2,FALSE),"")</f>
        <v/>
      </c>
    </row>
    <row r="3929" spans="1:16" x14ac:dyDescent="0.2">
      <c r="A3929" s="1">
        <v>2015</v>
      </c>
      <c r="B3929" t="s">
        <v>486</v>
      </c>
      <c r="C3929" s="10" t="s">
        <v>1678</v>
      </c>
      <c r="D3929" s="10" t="s">
        <v>1679</v>
      </c>
      <c r="E3929" s="10" t="s">
        <v>1682</v>
      </c>
      <c r="F3929" t="s">
        <v>985</v>
      </c>
      <c r="G3929" s="4">
        <v>220728</v>
      </c>
      <c r="H3929" s="4"/>
      <c r="I3929" s="4"/>
      <c r="J3929" s="4">
        <f t="shared" si="2"/>
        <v>220728</v>
      </c>
      <c r="K3929" t="s">
        <v>1659</v>
      </c>
      <c r="L3929" t="s">
        <v>1659</v>
      </c>
      <c r="M3929" t="s">
        <v>1635</v>
      </c>
      <c r="N3929" t="s">
        <v>1132</v>
      </c>
      <c r="O3929" t="s">
        <v>1132</v>
      </c>
      <c r="P3929" t="str">
        <f>IFERROR(VLOOKUP(F3929,Sheet1!$A$2:$B$54,2,FALSE),"")</f>
        <v/>
      </c>
    </row>
    <row r="3930" spans="1:16" x14ac:dyDescent="0.2">
      <c r="A3930" s="1">
        <v>2016</v>
      </c>
      <c r="B3930" t="s">
        <v>486</v>
      </c>
      <c r="C3930" s="10" t="s">
        <v>1678</v>
      </c>
      <c r="D3930" s="10" t="s">
        <v>1679</v>
      </c>
      <c r="E3930" s="10" t="s">
        <v>1682</v>
      </c>
      <c r="F3930" t="s">
        <v>985</v>
      </c>
      <c r="G3930" s="4">
        <v>206746</v>
      </c>
      <c r="H3930" s="4"/>
      <c r="I3930" s="4"/>
      <c r="J3930" s="4">
        <f t="shared" si="2"/>
        <v>206746</v>
      </c>
      <c r="K3930" t="s">
        <v>1659</v>
      </c>
      <c r="L3930" t="s">
        <v>1659</v>
      </c>
      <c r="M3930" t="s">
        <v>1635</v>
      </c>
      <c r="N3930" t="s">
        <v>1132</v>
      </c>
      <c r="O3930" t="s">
        <v>1132</v>
      </c>
      <c r="P3930" t="str">
        <f>IFERROR(VLOOKUP(F3930,Sheet1!$A$2:$B$54,2,FALSE),"")</f>
        <v/>
      </c>
    </row>
    <row r="3931" spans="1:16" x14ac:dyDescent="0.2">
      <c r="A3931" s="1">
        <v>2017</v>
      </c>
      <c r="B3931" t="s">
        <v>486</v>
      </c>
      <c r="C3931" s="10" t="s">
        <v>1678</v>
      </c>
      <c r="D3931" s="10" t="s">
        <v>1679</v>
      </c>
      <c r="E3931" s="10" t="s">
        <v>1682</v>
      </c>
      <c r="F3931" t="s">
        <v>985</v>
      </c>
      <c r="G3931" s="4">
        <v>261987</v>
      </c>
      <c r="H3931" s="4"/>
      <c r="I3931" s="4"/>
      <c r="J3931" s="4">
        <f t="shared" si="2"/>
        <v>261987</v>
      </c>
      <c r="K3931" t="s">
        <v>1659</v>
      </c>
      <c r="L3931" t="s">
        <v>1659</v>
      </c>
      <c r="M3931" t="s">
        <v>985</v>
      </c>
      <c r="N3931" t="s">
        <v>1132</v>
      </c>
      <c r="O3931" t="s">
        <v>1132</v>
      </c>
      <c r="P3931" t="str">
        <f>IFERROR(VLOOKUP(F3931,Sheet1!$A$2:$B$54,2,FALSE),"")</f>
        <v/>
      </c>
    </row>
    <row r="3932" spans="1:16" x14ac:dyDescent="0.2">
      <c r="A3932" s="1">
        <v>2018</v>
      </c>
      <c r="B3932" t="s">
        <v>486</v>
      </c>
      <c r="C3932" s="10" t="s">
        <v>1678</v>
      </c>
      <c r="D3932" s="10" t="s">
        <v>1679</v>
      </c>
      <c r="E3932" s="10" t="s">
        <v>1682</v>
      </c>
      <c r="F3932" t="s">
        <v>985</v>
      </c>
      <c r="G3932" s="4">
        <v>338934</v>
      </c>
      <c r="H3932" s="4"/>
      <c r="I3932" s="4"/>
      <c r="J3932" s="4">
        <f t="shared" si="2"/>
        <v>338934</v>
      </c>
      <c r="K3932" t="s">
        <v>1659</v>
      </c>
      <c r="L3932" t="s">
        <v>1659</v>
      </c>
      <c r="M3932" t="s">
        <v>985</v>
      </c>
      <c r="N3932" t="s">
        <v>1132</v>
      </c>
      <c r="O3932" t="s">
        <v>1132</v>
      </c>
      <c r="P3932" t="str">
        <f>IFERROR(VLOOKUP(F3932,Sheet1!$A$2:$B$54,2,FALSE),"")</f>
        <v/>
      </c>
    </row>
    <row r="3933" spans="1:16" x14ac:dyDescent="0.2">
      <c r="A3933" s="1">
        <v>2019</v>
      </c>
      <c r="B3933" t="s">
        <v>486</v>
      </c>
      <c r="C3933" s="10" t="s">
        <v>1678</v>
      </c>
      <c r="D3933" s="10" t="s">
        <v>1679</v>
      </c>
      <c r="E3933" s="10" t="s">
        <v>1682</v>
      </c>
      <c r="F3933" t="s">
        <v>985</v>
      </c>
      <c r="G3933" s="4">
        <v>414039</v>
      </c>
      <c r="H3933" s="4"/>
      <c r="I3933" s="4"/>
      <c r="J3933" s="4">
        <f t="shared" si="2"/>
        <v>414039</v>
      </c>
      <c r="K3933" t="s">
        <v>1659</v>
      </c>
      <c r="L3933" t="s">
        <v>1659</v>
      </c>
      <c r="M3933" t="s">
        <v>985</v>
      </c>
      <c r="N3933" t="s">
        <v>1132</v>
      </c>
      <c r="O3933" t="s">
        <v>1132</v>
      </c>
      <c r="P3933" t="str">
        <f>IFERROR(VLOOKUP(F3933,Sheet1!$A$2:$B$54,2,FALSE),"")</f>
        <v/>
      </c>
    </row>
    <row r="3934" spans="1:16" x14ac:dyDescent="0.2">
      <c r="A3934" s="1">
        <v>2015</v>
      </c>
      <c r="B3934" t="s">
        <v>487</v>
      </c>
      <c r="C3934" s="10" t="s">
        <v>1678</v>
      </c>
      <c r="D3934" s="10" t="s">
        <v>1679</v>
      </c>
      <c r="E3934" s="10" t="s">
        <v>1682</v>
      </c>
      <c r="F3934" t="s">
        <v>986</v>
      </c>
      <c r="G3934" s="4">
        <v>3842</v>
      </c>
      <c r="H3934" s="4"/>
      <c r="I3934" s="4"/>
      <c r="J3934" s="4">
        <f t="shared" si="2"/>
        <v>3842</v>
      </c>
      <c r="K3934" t="s">
        <v>1659</v>
      </c>
      <c r="L3934" t="s">
        <v>1659</v>
      </c>
      <c r="M3934" t="s">
        <v>1636</v>
      </c>
      <c r="N3934" t="s">
        <v>1132</v>
      </c>
      <c r="O3934" t="s">
        <v>1132</v>
      </c>
      <c r="P3934" t="str">
        <f>IFERROR(VLOOKUP(F3934,Sheet1!$A$2:$B$54,2,FALSE),"")</f>
        <v/>
      </c>
    </row>
    <row r="3935" spans="1:16" x14ac:dyDescent="0.2">
      <c r="A3935" s="1">
        <v>2016</v>
      </c>
      <c r="B3935" t="s">
        <v>487</v>
      </c>
      <c r="C3935" s="10" t="s">
        <v>1678</v>
      </c>
      <c r="D3935" s="10" t="s">
        <v>1679</v>
      </c>
      <c r="E3935" s="10" t="s">
        <v>1682</v>
      </c>
      <c r="F3935" t="s">
        <v>986</v>
      </c>
      <c r="G3935" s="4">
        <v>1046</v>
      </c>
      <c r="H3935" s="4"/>
      <c r="I3935" s="4"/>
      <c r="J3935" s="4">
        <f t="shared" si="2"/>
        <v>1046</v>
      </c>
      <c r="K3935" t="s">
        <v>1659</v>
      </c>
      <c r="L3935" t="s">
        <v>1659</v>
      </c>
      <c r="M3935" t="s">
        <v>1636</v>
      </c>
      <c r="N3935" t="s">
        <v>1132</v>
      </c>
      <c r="O3935" t="s">
        <v>1132</v>
      </c>
      <c r="P3935" t="str">
        <f>IFERROR(VLOOKUP(F3935,Sheet1!$A$2:$B$54,2,FALSE),"")</f>
        <v/>
      </c>
    </row>
    <row r="3936" spans="1:16" x14ac:dyDescent="0.2">
      <c r="A3936" s="1">
        <v>2017</v>
      </c>
      <c r="B3936" t="s">
        <v>487</v>
      </c>
      <c r="C3936" s="10" t="s">
        <v>1678</v>
      </c>
      <c r="D3936" s="10" t="s">
        <v>1679</v>
      </c>
      <c r="E3936" s="10" t="s">
        <v>1682</v>
      </c>
      <c r="F3936" t="s">
        <v>986</v>
      </c>
      <c r="G3936" s="4">
        <v>10469</v>
      </c>
      <c r="H3936" s="4"/>
      <c r="I3936" s="4"/>
      <c r="J3936" s="4">
        <f t="shared" si="2"/>
        <v>10469</v>
      </c>
      <c r="K3936" t="s">
        <v>1659</v>
      </c>
      <c r="L3936" t="s">
        <v>1659</v>
      </c>
      <c r="M3936" t="s">
        <v>1636</v>
      </c>
      <c r="N3936" t="s">
        <v>1132</v>
      </c>
      <c r="O3936" t="s">
        <v>1132</v>
      </c>
      <c r="P3936" t="str">
        <f>IFERROR(VLOOKUP(F3936,Sheet1!$A$2:$B$54,2,FALSE),"")</f>
        <v/>
      </c>
    </row>
    <row r="3937" spans="1:16" x14ac:dyDescent="0.2">
      <c r="A3937" s="1">
        <v>2018</v>
      </c>
      <c r="B3937" t="s">
        <v>487</v>
      </c>
      <c r="C3937" s="10" t="s">
        <v>1678</v>
      </c>
      <c r="D3937" s="10" t="s">
        <v>1679</v>
      </c>
      <c r="E3937" s="10" t="s">
        <v>1682</v>
      </c>
      <c r="F3937" t="s">
        <v>986</v>
      </c>
      <c r="G3937" s="4">
        <v>0</v>
      </c>
      <c r="H3937" s="4"/>
      <c r="I3937" s="4"/>
      <c r="J3937" s="4">
        <f t="shared" si="2"/>
        <v>0</v>
      </c>
      <c r="K3937" t="s">
        <v>1659</v>
      </c>
      <c r="L3937" t="s">
        <v>1659</v>
      </c>
      <c r="M3937" t="s">
        <v>1636</v>
      </c>
      <c r="N3937" t="s">
        <v>1132</v>
      </c>
      <c r="O3937" t="s">
        <v>1132</v>
      </c>
      <c r="P3937" t="str">
        <f>IFERROR(VLOOKUP(F3937,Sheet1!$A$2:$B$54,2,FALSE),"")</f>
        <v/>
      </c>
    </row>
    <row r="3938" spans="1:16" x14ac:dyDescent="0.2">
      <c r="A3938" s="1">
        <v>2019</v>
      </c>
      <c r="B3938" t="s">
        <v>487</v>
      </c>
      <c r="C3938" s="10" t="s">
        <v>1678</v>
      </c>
      <c r="D3938" s="10" t="s">
        <v>1679</v>
      </c>
      <c r="E3938" s="10" t="s">
        <v>1682</v>
      </c>
      <c r="F3938" t="s">
        <v>986</v>
      </c>
      <c r="G3938" s="4">
        <v>0</v>
      </c>
      <c r="H3938" s="4"/>
      <c r="I3938" s="4"/>
      <c r="J3938" s="4">
        <f t="shared" si="2"/>
        <v>0</v>
      </c>
      <c r="K3938" t="s">
        <v>1659</v>
      </c>
      <c r="L3938" t="s">
        <v>1659</v>
      </c>
      <c r="M3938" t="s">
        <v>1636</v>
      </c>
      <c r="N3938" t="s">
        <v>1132</v>
      </c>
      <c r="O3938" t="s">
        <v>1132</v>
      </c>
      <c r="P3938" t="str">
        <f>IFERROR(VLOOKUP(F3938,Sheet1!$A$2:$B$54,2,FALSE),"")</f>
        <v/>
      </c>
    </row>
    <row r="3939" spans="1:16" x14ac:dyDescent="0.2">
      <c r="A3939" s="1">
        <v>2020</v>
      </c>
      <c r="B3939" t="s">
        <v>487</v>
      </c>
      <c r="C3939" s="10" t="s">
        <v>1678</v>
      </c>
      <c r="D3939" s="10" t="s">
        <v>1679</v>
      </c>
      <c r="E3939" s="10" t="s">
        <v>1682</v>
      </c>
      <c r="F3939" t="s">
        <v>986</v>
      </c>
      <c r="G3939" s="4">
        <v>0</v>
      </c>
      <c r="H3939" s="4"/>
      <c r="I3939" s="4"/>
      <c r="J3939" s="4">
        <f t="shared" si="2"/>
        <v>0</v>
      </c>
      <c r="K3939" t="s">
        <v>1659</v>
      </c>
      <c r="L3939" t="s">
        <v>1659</v>
      </c>
      <c r="M3939" t="s">
        <v>1636</v>
      </c>
      <c r="N3939" t="s">
        <v>1132</v>
      </c>
      <c r="O3939" t="s">
        <v>1132</v>
      </c>
      <c r="P3939" t="str">
        <f>IFERROR(VLOOKUP(F3939,Sheet1!$A$2:$B$54,2,FALSE),"")</f>
        <v/>
      </c>
    </row>
    <row r="3940" spans="1:16" x14ac:dyDescent="0.2">
      <c r="A3940" s="1">
        <v>2021</v>
      </c>
      <c r="B3940" t="s">
        <v>487</v>
      </c>
      <c r="C3940" s="10" t="s">
        <v>1678</v>
      </c>
      <c r="D3940" s="10" t="s">
        <v>1679</v>
      </c>
      <c r="E3940" s="10" t="s">
        <v>1682</v>
      </c>
      <c r="F3940" t="s">
        <v>986</v>
      </c>
      <c r="G3940" s="4">
        <v>0</v>
      </c>
      <c r="H3940" s="4"/>
      <c r="I3940" s="4"/>
      <c r="J3940" s="4">
        <f t="shared" si="2"/>
        <v>0</v>
      </c>
      <c r="K3940" t="s">
        <v>1659</v>
      </c>
      <c r="L3940" t="s">
        <v>1659</v>
      </c>
      <c r="M3940" t="s">
        <v>986</v>
      </c>
      <c r="N3940" t="s">
        <v>1132</v>
      </c>
      <c r="O3940" t="s">
        <v>1132</v>
      </c>
      <c r="P3940" t="str">
        <f>IFERROR(VLOOKUP(F3940,Sheet1!$A$2:$B$54,2,FALSE),"")</f>
        <v/>
      </c>
    </row>
    <row r="3941" spans="1:16" x14ac:dyDescent="0.2">
      <c r="A3941" s="1">
        <v>2022</v>
      </c>
      <c r="B3941" t="s">
        <v>487</v>
      </c>
      <c r="C3941" s="10" t="s">
        <v>1678</v>
      </c>
      <c r="D3941" s="10" t="s">
        <v>1679</v>
      </c>
      <c r="E3941" s="10" t="s">
        <v>1682</v>
      </c>
      <c r="F3941" t="s">
        <v>986</v>
      </c>
      <c r="G3941" s="4">
        <v>1494</v>
      </c>
      <c r="H3941" s="4"/>
      <c r="I3941" s="4"/>
      <c r="J3941" s="4">
        <f t="shared" si="2"/>
        <v>1494</v>
      </c>
      <c r="K3941" t="s">
        <v>1659</v>
      </c>
      <c r="L3941" t="s">
        <v>1659</v>
      </c>
      <c r="M3941" t="s">
        <v>1637</v>
      </c>
      <c r="N3941" t="s">
        <v>1132</v>
      </c>
      <c r="O3941" t="s">
        <v>1132</v>
      </c>
      <c r="P3941" t="str">
        <f>IFERROR(VLOOKUP(F3941,Sheet1!$A$2:$B$54,2,FALSE),"")</f>
        <v/>
      </c>
    </row>
    <row r="3942" spans="1:16" x14ac:dyDescent="0.2">
      <c r="A3942" s="1">
        <v>2023</v>
      </c>
      <c r="B3942" t="s">
        <v>487</v>
      </c>
      <c r="C3942" s="10" t="s">
        <v>1678</v>
      </c>
      <c r="D3942" s="10" t="s">
        <v>1679</v>
      </c>
      <c r="E3942" s="10" t="s">
        <v>1682</v>
      </c>
      <c r="F3942" t="s">
        <v>986</v>
      </c>
      <c r="G3942" s="4">
        <v>0</v>
      </c>
      <c r="H3942" s="4"/>
      <c r="I3942" s="4"/>
      <c r="J3942" s="4">
        <f t="shared" si="2"/>
        <v>0</v>
      </c>
      <c r="K3942" t="s">
        <v>1659</v>
      </c>
      <c r="L3942" t="s">
        <v>1659</v>
      </c>
      <c r="M3942" t="s">
        <v>986</v>
      </c>
      <c r="N3942" t="s">
        <v>1132</v>
      </c>
      <c r="O3942" t="s">
        <v>1132</v>
      </c>
      <c r="P3942" t="str">
        <f>IFERROR(VLOOKUP(F3942,Sheet1!$A$2:$B$54,2,FALSE),"")</f>
        <v/>
      </c>
    </row>
    <row r="3943" spans="1:16" x14ac:dyDescent="0.2">
      <c r="A3943" s="1">
        <v>2015</v>
      </c>
      <c r="B3943" t="s">
        <v>488</v>
      </c>
      <c r="C3943" s="10" t="s">
        <v>1678</v>
      </c>
      <c r="D3943" s="10" t="s">
        <v>1679</v>
      </c>
      <c r="E3943" s="10" t="s">
        <v>1682</v>
      </c>
      <c r="F3943" t="s">
        <v>987</v>
      </c>
      <c r="G3943" s="4">
        <v>9327</v>
      </c>
      <c r="H3943" s="4"/>
      <c r="I3943" s="4"/>
      <c r="J3943" s="4">
        <f t="shared" si="2"/>
        <v>9327</v>
      </c>
      <c r="K3943" t="s">
        <v>1659</v>
      </c>
      <c r="L3943" t="s">
        <v>1659</v>
      </c>
      <c r="M3943" t="s">
        <v>1638</v>
      </c>
      <c r="N3943" t="s">
        <v>1132</v>
      </c>
      <c r="O3943" t="s">
        <v>1132</v>
      </c>
      <c r="P3943" t="str">
        <f>IFERROR(VLOOKUP(F3943,Sheet1!$A$2:$B$54,2,FALSE),"")</f>
        <v/>
      </c>
    </row>
    <row r="3944" spans="1:16" x14ac:dyDescent="0.2">
      <c r="A3944" s="1">
        <v>2016</v>
      </c>
      <c r="B3944" t="s">
        <v>488</v>
      </c>
      <c r="C3944" s="10" t="s">
        <v>1678</v>
      </c>
      <c r="D3944" s="10" t="s">
        <v>1679</v>
      </c>
      <c r="E3944" s="10" t="s">
        <v>1682</v>
      </c>
      <c r="F3944" t="s">
        <v>987</v>
      </c>
      <c r="G3944" s="4">
        <v>9431</v>
      </c>
      <c r="H3944" s="4"/>
      <c r="I3944" s="4"/>
      <c r="J3944" s="4">
        <f t="shared" si="2"/>
        <v>9431</v>
      </c>
      <c r="K3944" t="s">
        <v>1659</v>
      </c>
      <c r="L3944" t="s">
        <v>1659</v>
      </c>
      <c r="M3944" t="s">
        <v>1638</v>
      </c>
      <c r="N3944" t="s">
        <v>1132</v>
      </c>
      <c r="O3944" t="s">
        <v>1132</v>
      </c>
      <c r="P3944" t="str">
        <f>IFERROR(VLOOKUP(F3944,Sheet1!$A$2:$B$54,2,FALSE),"")</f>
        <v/>
      </c>
    </row>
    <row r="3945" spans="1:16" x14ac:dyDescent="0.2">
      <c r="A3945" s="1">
        <v>2017</v>
      </c>
      <c r="B3945" t="s">
        <v>488</v>
      </c>
      <c r="C3945" s="10" t="s">
        <v>1678</v>
      </c>
      <c r="D3945" s="10" t="s">
        <v>1679</v>
      </c>
      <c r="E3945" s="10" t="s">
        <v>1682</v>
      </c>
      <c r="F3945" t="s">
        <v>987</v>
      </c>
      <c r="G3945" s="4">
        <v>9717</v>
      </c>
      <c r="H3945" s="4"/>
      <c r="I3945" s="4"/>
      <c r="J3945" s="4">
        <f t="shared" si="2"/>
        <v>9717</v>
      </c>
      <c r="K3945" t="s">
        <v>1659</v>
      </c>
      <c r="L3945" t="s">
        <v>1659</v>
      </c>
      <c r="M3945" t="s">
        <v>1638</v>
      </c>
      <c r="N3945" t="s">
        <v>1132</v>
      </c>
      <c r="O3945" t="s">
        <v>1132</v>
      </c>
      <c r="P3945" t="str">
        <f>IFERROR(VLOOKUP(F3945,Sheet1!$A$2:$B$54,2,FALSE),"")</f>
        <v/>
      </c>
    </row>
    <row r="3946" spans="1:16" x14ac:dyDescent="0.2">
      <c r="A3946" s="1">
        <v>2018</v>
      </c>
      <c r="B3946" t="s">
        <v>488</v>
      </c>
      <c r="C3946" s="10" t="s">
        <v>1678</v>
      </c>
      <c r="D3946" s="10" t="s">
        <v>1679</v>
      </c>
      <c r="E3946" s="10" t="s">
        <v>1682</v>
      </c>
      <c r="F3946" t="s">
        <v>987</v>
      </c>
      <c r="G3946" s="4">
        <v>9599</v>
      </c>
      <c r="H3946" s="4"/>
      <c r="I3946" s="4"/>
      <c r="J3946" s="4">
        <f t="shared" si="2"/>
        <v>9599</v>
      </c>
      <c r="K3946" t="s">
        <v>1659</v>
      </c>
      <c r="L3946" t="s">
        <v>1659</v>
      </c>
      <c r="M3946" t="s">
        <v>1638</v>
      </c>
      <c r="N3946" t="s">
        <v>1132</v>
      </c>
      <c r="O3946" t="s">
        <v>1132</v>
      </c>
      <c r="P3946" t="str">
        <f>IFERROR(VLOOKUP(F3946,Sheet1!$A$2:$B$54,2,FALSE),"")</f>
        <v/>
      </c>
    </row>
    <row r="3947" spans="1:16" x14ac:dyDescent="0.2">
      <c r="A3947" s="1">
        <v>2019</v>
      </c>
      <c r="B3947" t="s">
        <v>488</v>
      </c>
      <c r="C3947" s="10" t="s">
        <v>1678</v>
      </c>
      <c r="D3947" s="10" t="s">
        <v>1679</v>
      </c>
      <c r="E3947" s="10" t="s">
        <v>1682</v>
      </c>
      <c r="F3947" t="s">
        <v>987</v>
      </c>
      <c r="G3947" s="4">
        <v>10018</v>
      </c>
      <c r="H3947" s="4"/>
      <c r="I3947" s="4"/>
      <c r="J3947" s="4">
        <f t="shared" si="2"/>
        <v>10018</v>
      </c>
      <c r="K3947" t="s">
        <v>1659</v>
      </c>
      <c r="L3947" t="s">
        <v>1659</v>
      </c>
      <c r="M3947" t="s">
        <v>1638</v>
      </c>
      <c r="N3947" t="s">
        <v>1132</v>
      </c>
      <c r="O3947" t="s">
        <v>1132</v>
      </c>
      <c r="P3947" t="str">
        <f>IFERROR(VLOOKUP(F3947,Sheet1!$A$2:$B$54,2,FALSE),"")</f>
        <v/>
      </c>
    </row>
    <row r="3948" spans="1:16" x14ac:dyDescent="0.2">
      <c r="A3948" s="1">
        <v>2020</v>
      </c>
      <c r="B3948" t="s">
        <v>488</v>
      </c>
      <c r="C3948" s="10" t="s">
        <v>1678</v>
      </c>
      <c r="D3948" s="10" t="s">
        <v>1679</v>
      </c>
      <c r="E3948" s="10" t="s">
        <v>1682</v>
      </c>
      <c r="F3948" t="s">
        <v>987</v>
      </c>
      <c r="G3948" s="4">
        <v>9931</v>
      </c>
      <c r="H3948" s="4"/>
      <c r="I3948" s="4"/>
      <c r="J3948" s="4">
        <f t="shared" si="2"/>
        <v>9931</v>
      </c>
      <c r="K3948" t="s">
        <v>1659</v>
      </c>
      <c r="L3948" t="s">
        <v>1659</v>
      </c>
      <c r="M3948" t="s">
        <v>1638</v>
      </c>
      <c r="N3948" t="s">
        <v>1132</v>
      </c>
      <c r="O3948" t="s">
        <v>1132</v>
      </c>
      <c r="P3948" t="str">
        <f>IFERROR(VLOOKUP(F3948,Sheet1!$A$2:$B$54,2,FALSE),"")</f>
        <v/>
      </c>
    </row>
    <row r="3949" spans="1:16" x14ac:dyDescent="0.2">
      <c r="A3949" s="1">
        <v>2021</v>
      </c>
      <c r="B3949" t="s">
        <v>488</v>
      </c>
      <c r="C3949" s="10" t="s">
        <v>1678</v>
      </c>
      <c r="D3949" s="10" t="s">
        <v>1679</v>
      </c>
      <c r="E3949" s="10" t="s">
        <v>1682</v>
      </c>
      <c r="F3949" t="s">
        <v>987</v>
      </c>
      <c r="G3949" s="4">
        <v>11668</v>
      </c>
      <c r="H3949" s="4"/>
      <c r="I3949" s="4"/>
      <c r="J3949" s="4">
        <f t="shared" si="2"/>
        <v>11668</v>
      </c>
      <c r="K3949" t="s">
        <v>1659</v>
      </c>
      <c r="L3949" t="s">
        <v>1659</v>
      </c>
      <c r="M3949" t="s">
        <v>987</v>
      </c>
      <c r="N3949" t="s">
        <v>1132</v>
      </c>
      <c r="O3949" t="s">
        <v>1132</v>
      </c>
      <c r="P3949" t="str">
        <f>IFERROR(VLOOKUP(F3949,Sheet1!$A$2:$B$54,2,FALSE),"")</f>
        <v/>
      </c>
    </row>
    <row r="3950" spans="1:16" x14ac:dyDescent="0.2">
      <c r="A3950" s="1">
        <v>2022</v>
      </c>
      <c r="B3950" t="s">
        <v>488</v>
      </c>
      <c r="C3950" s="10" t="s">
        <v>1678</v>
      </c>
      <c r="D3950" s="10" t="s">
        <v>1679</v>
      </c>
      <c r="E3950" s="10" t="s">
        <v>1682</v>
      </c>
      <c r="F3950" t="s">
        <v>987</v>
      </c>
      <c r="G3950" s="4">
        <v>12300</v>
      </c>
      <c r="H3950" s="4"/>
      <c r="I3950" s="4"/>
      <c r="J3950" s="4">
        <f t="shared" si="2"/>
        <v>12300</v>
      </c>
      <c r="K3950" t="s">
        <v>1659</v>
      </c>
      <c r="L3950" t="s">
        <v>1659</v>
      </c>
      <c r="M3950" t="s">
        <v>987</v>
      </c>
      <c r="N3950" t="s">
        <v>1132</v>
      </c>
      <c r="O3950" t="s">
        <v>1132</v>
      </c>
      <c r="P3950" t="str">
        <f>IFERROR(VLOOKUP(F3950,Sheet1!$A$2:$B$54,2,FALSE),"")</f>
        <v/>
      </c>
    </row>
    <row r="3951" spans="1:16" x14ac:dyDescent="0.2">
      <c r="A3951" s="1">
        <v>2023</v>
      </c>
      <c r="B3951" t="s">
        <v>488</v>
      </c>
      <c r="C3951" s="10" t="s">
        <v>1678</v>
      </c>
      <c r="D3951" s="10" t="s">
        <v>1679</v>
      </c>
      <c r="E3951" s="10" t="s">
        <v>1682</v>
      </c>
      <c r="F3951" t="s">
        <v>987</v>
      </c>
      <c r="G3951" s="4">
        <v>14867</v>
      </c>
      <c r="H3951" s="4"/>
      <c r="I3951" s="4"/>
      <c r="J3951" s="4">
        <f t="shared" si="2"/>
        <v>14867</v>
      </c>
      <c r="K3951" t="s">
        <v>1659</v>
      </c>
      <c r="L3951" t="s">
        <v>1659</v>
      </c>
      <c r="M3951" t="s">
        <v>987</v>
      </c>
      <c r="N3951" t="s">
        <v>1132</v>
      </c>
      <c r="O3951" t="s">
        <v>1132</v>
      </c>
      <c r="P3951" t="str">
        <f>IFERROR(VLOOKUP(F3951,Sheet1!$A$2:$B$54,2,FALSE),"")</f>
        <v/>
      </c>
    </row>
    <row r="3952" spans="1:16" x14ac:dyDescent="0.2">
      <c r="A3952" s="1">
        <v>2023</v>
      </c>
      <c r="B3952" t="s">
        <v>489</v>
      </c>
      <c r="C3952" s="10" t="s">
        <v>1678</v>
      </c>
      <c r="D3952" s="10" t="s">
        <v>1679</v>
      </c>
      <c r="E3952" s="10" t="s">
        <v>1682</v>
      </c>
      <c r="F3952" t="s">
        <v>988</v>
      </c>
      <c r="G3952" s="4"/>
      <c r="H3952" s="4"/>
      <c r="I3952" s="4"/>
      <c r="J3952" s="4">
        <f t="shared" si="2"/>
        <v>0</v>
      </c>
      <c r="K3952" t="s">
        <v>1661</v>
      </c>
      <c r="L3952" t="s">
        <v>1659</v>
      </c>
      <c r="M3952" t="s">
        <v>1132</v>
      </c>
      <c r="N3952" t="s">
        <v>988</v>
      </c>
      <c r="O3952" t="s">
        <v>1132</v>
      </c>
      <c r="P3952" t="str">
        <f>IFERROR(VLOOKUP(F3952,Sheet1!$A$2:$B$54,2,FALSE),"")</f>
        <v/>
      </c>
    </row>
    <row r="3953" spans="1:16" x14ac:dyDescent="0.2">
      <c r="A3953" s="1">
        <v>2021</v>
      </c>
      <c r="B3953" t="s">
        <v>490</v>
      </c>
      <c r="C3953" s="10" t="s">
        <v>1678</v>
      </c>
      <c r="D3953" s="10" t="s">
        <v>1679</v>
      </c>
      <c r="E3953" s="10" t="s">
        <v>1682</v>
      </c>
      <c r="F3953" t="s">
        <v>989</v>
      </c>
      <c r="G3953" s="4"/>
      <c r="H3953" s="4">
        <v>0</v>
      </c>
      <c r="I3953" s="4"/>
      <c r="J3953" s="4">
        <f t="shared" si="2"/>
        <v>0</v>
      </c>
      <c r="K3953" t="s">
        <v>1661</v>
      </c>
      <c r="L3953" t="s">
        <v>1659</v>
      </c>
      <c r="M3953" t="s">
        <v>1132</v>
      </c>
      <c r="N3953" t="s">
        <v>989</v>
      </c>
      <c r="O3953" t="s">
        <v>1132</v>
      </c>
      <c r="P3953" t="str">
        <f>IFERROR(VLOOKUP(F3953,Sheet1!$A$2:$B$54,2,FALSE),"")</f>
        <v/>
      </c>
    </row>
    <row r="3954" spans="1:16" x14ac:dyDescent="0.2">
      <c r="A3954" s="1">
        <v>2021</v>
      </c>
      <c r="B3954" t="s">
        <v>491</v>
      </c>
      <c r="C3954" s="10" t="s">
        <v>1678</v>
      </c>
      <c r="D3954" s="10" t="s">
        <v>1679</v>
      </c>
      <c r="E3954" s="10" t="s">
        <v>1682</v>
      </c>
      <c r="F3954" t="s">
        <v>990</v>
      </c>
      <c r="G3954" s="4"/>
      <c r="H3954" s="4">
        <v>0</v>
      </c>
      <c r="I3954" s="4"/>
      <c r="J3954" s="4">
        <f t="shared" si="2"/>
        <v>0</v>
      </c>
      <c r="K3954" t="s">
        <v>1661</v>
      </c>
      <c r="L3954" t="s">
        <v>1659</v>
      </c>
      <c r="M3954" t="s">
        <v>1132</v>
      </c>
      <c r="N3954" t="s">
        <v>990</v>
      </c>
      <c r="O3954" t="s">
        <v>1132</v>
      </c>
      <c r="P3954" t="str">
        <f>IFERROR(VLOOKUP(F3954,Sheet1!$A$2:$B$54,2,FALSE),"")</f>
        <v/>
      </c>
    </row>
    <row r="3955" spans="1:16" x14ac:dyDescent="0.2">
      <c r="A3955" s="1">
        <v>2021</v>
      </c>
      <c r="B3955" t="s">
        <v>492</v>
      </c>
      <c r="C3955" s="10" t="s">
        <v>1678</v>
      </c>
      <c r="D3955" s="10" t="s">
        <v>1679</v>
      </c>
      <c r="E3955" s="10" t="s">
        <v>1682</v>
      </c>
      <c r="F3955" t="s">
        <v>991</v>
      </c>
      <c r="G3955" s="4"/>
      <c r="H3955" s="4">
        <v>0</v>
      </c>
      <c r="I3955" s="4"/>
      <c r="J3955" s="4">
        <f t="shared" si="2"/>
        <v>0</v>
      </c>
      <c r="K3955" t="s">
        <v>1661</v>
      </c>
      <c r="L3955" t="s">
        <v>1659</v>
      </c>
      <c r="M3955" t="s">
        <v>1132</v>
      </c>
      <c r="N3955" t="s">
        <v>991</v>
      </c>
      <c r="O3955" t="s">
        <v>1132</v>
      </c>
      <c r="P3955" t="str">
        <f>IFERROR(VLOOKUP(F3955,Sheet1!$A$2:$B$54,2,FALSE),"")</f>
        <v/>
      </c>
    </row>
    <row r="3956" spans="1:16" x14ac:dyDescent="0.2">
      <c r="A3956" s="1">
        <v>2015</v>
      </c>
      <c r="B3956" t="s">
        <v>493</v>
      </c>
      <c r="C3956" s="10" t="s">
        <v>1678</v>
      </c>
      <c r="D3956" s="10" t="s">
        <v>1679</v>
      </c>
      <c r="E3956" s="10" t="s">
        <v>1682</v>
      </c>
      <c r="F3956" t="s">
        <v>992</v>
      </c>
      <c r="G3956" s="4"/>
      <c r="H3956" s="4">
        <v>11469</v>
      </c>
      <c r="I3956" s="4"/>
      <c r="J3956" s="4">
        <f t="shared" si="2"/>
        <v>11469</v>
      </c>
      <c r="K3956" t="s">
        <v>1661</v>
      </c>
      <c r="L3956" t="s">
        <v>1659</v>
      </c>
      <c r="M3956" t="s">
        <v>1132</v>
      </c>
      <c r="N3956" t="s">
        <v>1648</v>
      </c>
      <c r="O3956" t="s">
        <v>1132</v>
      </c>
      <c r="P3956" t="str">
        <f>IFERROR(VLOOKUP(F3956,Sheet1!$A$2:$B$54,2,FALSE),"")</f>
        <v/>
      </c>
    </row>
    <row r="3957" spans="1:16" x14ac:dyDescent="0.2">
      <c r="A3957" s="1">
        <v>2016</v>
      </c>
      <c r="B3957" t="s">
        <v>493</v>
      </c>
      <c r="C3957" s="10" t="s">
        <v>1678</v>
      </c>
      <c r="D3957" s="10" t="s">
        <v>1679</v>
      </c>
      <c r="E3957" s="10" t="s">
        <v>1682</v>
      </c>
      <c r="F3957" t="s">
        <v>992</v>
      </c>
      <c r="G3957" s="4"/>
      <c r="H3957" s="4">
        <v>11545</v>
      </c>
      <c r="I3957" s="4"/>
      <c r="J3957" s="4">
        <f t="shared" si="2"/>
        <v>11545</v>
      </c>
      <c r="K3957" t="s">
        <v>1661</v>
      </c>
      <c r="L3957" t="s">
        <v>1659</v>
      </c>
      <c r="M3957" t="s">
        <v>1132</v>
      </c>
      <c r="N3957" t="s">
        <v>1648</v>
      </c>
      <c r="O3957" t="s">
        <v>1132</v>
      </c>
      <c r="P3957" t="str">
        <f>IFERROR(VLOOKUP(F3957,Sheet1!$A$2:$B$54,2,FALSE),"")</f>
        <v/>
      </c>
    </row>
    <row r="3958" spans="1:16" x14ac:dyDescent="0.2">
      <c r="A3958" s="1">
        <v>2017</v>
      </c>
      <c r="B3958" t="s">
        <v>493</v>
      </c>
      <c r="C3958" s="10" t="s">
        <v>1678</v>
      </c>
      <c r="D3958" s="10" t="s">
        <v>1679</v>
      </c>
      <c r="E3958" s="10" t="s">
        <v>1682</v>
      </c>
      <c r="F3958" t="s">
        <v>992</v>
      </c>
      <c r="G3958" s="4"/>
      <c r="H3958" s="4">
        <v>18946</v>
      </c>
      <c r="I3958" s="4"/>
      <c r="J3958" s="4">
        <f t="shared" si="2"/>
        <v>18946</v>
      </c>
      <c r="K3958" t="s">
        <v>1661</v>
      </c>
      <c r="L3958" t="s">
        <v>1659</v>
      </c>
      <c r="M3958" t="s">
        <v>1132</v>
      </c>
      <c r="N3958" t="s">
        <v>1648</v>
      </c>
      <c r="O3958" t="s">
        <v>1132</v>
      </c>
      <c r="P3958" t="str">
        <f>IFERROR(VLOOKUP(F3958,Sheet1!$A$2:$B$54,2,FALSE),"")</f>
        <v/>
      </c>
    </row>
    <row r="3959" spans="1:16" x14ac:dyDescent="0.2">
      <c r="A3959" s="1">
        <v>2018</v>
      </c>
      <c r="B3959" t="s">
        <v>493</v>
      </c>
      <c r="C3959" s="10" t="s">
        <v>1678</v>
      </c>
      <c r="D3959" s="10" t="s">
        <v>1679</v>
      </c>
      <c r="E3959" s="10" t="s">
        <v>1682</v>
      </c>
      <c r="F3959" t="s">
        <v>992</v>
      </c>
      <c r="G3959" s="4"/>
      <c r="H3959" s="4">
        <v>27868</v>
      </c>
      <c r="I3959" s="4"/>
      <c r="J3959" s="4">
        <f t="shared" si="2"/>
        <v>27868</v>
      </c>
      <c r="K3959" t="s">
        <v>1661</v>
      </c>
      <c r="L3959" t="s">
        <v>1659</v>
      </c>
      <c r="M3959" t="s">
        <v>1132</v>
      </c>
      <c r="N3959" t="s">
        <v>1648</v>
      </c>
      <c r="O3959" t="s">
        <v>1132</v>
      </c>
      <c r="P3959" t="str">
        <f>IFERROR(VLOOKUP(F3959,Sheet1!$A$2:$B$54,2,FALSE),"")</f>
        <v/>
      </c>
    </row>
    <row r="3960" spans="1:16" x14ac:dyDescent="0.2">
      <c r="A3960" s="1">
        <v>2019</v>
      </c>
      <c r="B3960" t="s">
        <v>493</v>
      </c>
      <c r="C3960" s="10" t="s">
        <v>1678</v>
      </c>
      <c r="D3960" s="10" t="s">
        <v>1679</v>
      </c>
      <c r="E3960" s="10" t="s">
        <v>1682</v>
      </c>
      <c r="F3960" t="s">
        <v>992</v>
      </c>
      <c r="G3960" s="4"/>
      <c r="H3960" s="4">
        <v>29417</v>
      </c>
      <c r="I3960" s="4"/>
      <c r="J3960" s="4">
        <f t="shared" si="2"/>
        <v>29417</v>
      </c>
      <c r="K3960" t="s">
        <v>1661</v>
      </c>
      <c r="L3960" t="s">
        <v>1659</v>
      </c>
      <c r="M3960" t="s">
        <v>1132</v>
      </c>
      <c r="N3960" t="s">
        <v>1648</v>
      </c>
      <c r="O3960" t="s">
        <v>1132</v>
      </c>
      <c r="P3960" t="str">
        <f>IFERROR(VLOOKUP(F3960,Sheet1!$A$2:$B$54,2,FALSE),"")</f>
        <v/>
      </c>
    </row>
    <row r="3961" spans="1:16" x14ac:dyDescent="0.2">
      <c r="A3961" s="1">
        <v>2020</v>
      </c>
      <c r="B3961" t="s">
        <v>493</v>
      </c>
      <c r="C3961" s="10" t="s">
        <v>1678</v>
      </c>
      <c r="D3961" s="10" t="s">
        <v>1679</v>
      </c>
      <c r="E3961" s="10" t="s">
        <v>1682</v>
      </c>
      <c r="F3961" t="s">
        <v>992</v>
      </c>
      <c r="G3961" s="4"/>
      <c r="H3961" s="4">
        <v>32618</v>
      </c>
      <c r="I3961" s="4"/>
      <c r="J3961" s="4">
        <f t="shared" si="2"/>
        <v>32618</v>
      </c>
      <c r="K3961" t="s">
        <v>1661</v>
      </c>
      <c r="L3961" t="s">
        <v>1659</v>
      </c>
      <c r="M3961" t="s">
        <v>1132</v>
      </c>
      <c r="N3961" t="s">
        <v>1648</v>
      </c>
      <c r="O3961" t="s">
        <v>1132</v>
      </c>
      <c r="P3961" t="str">
        <f>IFERROR(VLOOKUP(F3961,Sheet1!$A$2:$B$54,2,FALSE),"")</f>
        <v/>
      </c>
    </row>
    <row r="3962" spans="1:16" x14ac:dyDescent="0.2">
      <c r="A3962" s="1">
        <v>2021</v>
      </c>
      <c r="B3962" t="s">
        <v>493</v>
      </c>
      <c r="C3962" s="10" t="s">
        <v>1678</v>
      </c>
      <c r="D3962" s="10" t="s">
        <v>1679</v>
      </c>
      <c r="E3962" s="10" t="s">
        <v>1682</v>
      </c>
      <c r="F3962" t="s">
        <v>992</v>
      </c>
      <c r="G3962" s="4"/>
      <c r="H3962" s="4">
        <v>33671</v>
      </c>
      <c r="I3962" s="4"/>
      <c r="J3962" s="4">
        <f t="shared" si="2"/>
        <v>33671</v>
      </c>
      <c r="K3962" t="s">
        <v>1661</v>
      </c>
      <c r="L3962" t="s">
        <v>1659</v>
      </c>
      <c r="M3962" t="s">
        <v>1132</v>
      </c>
      <c r="N3962" t="s">
        <v>992</v>
      </c>
      <c r="O3962" t="s">
        <v>1132</v>
      </c>
      <c r="P3962" t="str">
        <f>IFERROR(VLOOKUP(F3962,Sheet1!$A$2:$B$54,2,FALSE),"")</f>
        <v/>
      </c>
    </row>
    <row r="3963" spans="1:16" x14ac:dyDescent="0.2">
      <c r="A3963" s="1">
        <v>2022</v>
      </c>
      <c r="B3963" t="s">
        <v>493</v>
      </c>
      <c r="C3963" s="10" t="s">
        <v>1678</v>
      </c>
      <c r="D3963" s="10" t="s">
        <v>1679</v>
      </c>
      <c r="E3963" s="10" t="s">
        <v>1682</v>
      </c>
      <c r="F3963" t="s">
        <v>992</v>
      </c>
      <c r="G3963" s="4"/>
      <c r="H3963" s="4">
        <v>35368</v>
      </c>
      <c r="I3963" s="4"/>
      <c r="J3963" s="4">
        <f t="shared" si="2"/>
        <v>35368</v>
      </c>
      <c r="K3963" t="s">
        <v>1661</v>
      </c>
      <c r="L3963" t="s">
        <v>1659</v>
      </c>
      <c r="M3963" t="s">
        <v>1132</v>
      </c>
      <c r="N3963" t="s">
        <v>992</v>
      </c>
      <c r="O3963" t="s">
        <v>1132</v>
      </c>
      <c r="P3963" t="str">
        <f>IFERROR(VLOOKUP(F3963,Sheet1!$A$2:$B$54,2,FALSE),"")</f>
        <v/>
      </c>
    </row>
    <row r="3964" spans="1:16" x14ac:dyDescent="0.2">
      <c r="A3964" s="1">
        <v>2023</v>
      </c>
      <c r="B3964" t="s">
        <v>493</v>
      </c>
      <c r="C3964" s="10" t="s">
        <v>1678</v>
      </c>
      <c r="D3964" s="10" t="s">
        <v>1679</v>
      </c>
      <c r="E3964" s="10" t="s">
        <v>1682</v>
      </c>
      <c r="F3964" t="s">
        <v>992</v>
      </c>
      <c r="G3964" s="4"/>
      <c r="H3964" s="4">
        <v>26700</v>
      </c>
      <c r="I3964" s="4"/>
      <c r="J3964" s="4">
        <f t="shared" si="2"/>
        <v>26700</v>
      </c>
      <c r="K3964" t="s">
        <v>1661</v>
      </c>
      <c r="L3964" t="s">
        <v>1659</v>
      </c>
      <c r="M3964" t="s">
        <v>1132</v>
      </c>
      <c r="N3964" t="s">
        <v>992</v>
      </c>
      <c r="O3964" t="s">
        <v>1132</v>
      </c>
      <c r="P3964" t="str">
        <f>IFERROR(VLOOKUP(F3964,Sheet1!$A$2:$B$54,2,FALSE),"")</f>
        <v/>
      </c>
    </row>
    <row r="3965" spans="1:16" x14ac:dyDescent="0.2">
      <c r="A3965" s="1">
        <v>2015</v>
      </c>
      <c r="B3965" t="s">
        <v>494</v>
      </c>
      <c r="C3965" s="10" t="s">
        <v>1678</v>
      </c>
      <c r="D3965" s="10" t="s">
        <v>1679</v>
      </c>
      <c r="E3965" s="10" t="s">
        <v>1682</v>
      </c>
      <c r="F3965" t="s">
        <v>993</v>
      </c>
      <c r="G3965" s="4"/>
      <c r="H3965" s="4">
        <v>28224</v>
      </c>
      <c r="I3965" s="4"/>
      <c r="J3965" s="4">
        <f t="shared" si="2"/>
        <v>28224</v>
      </c>
      <c r="K3965" t="s">
        <v>1661</v>
      </c>
      <c r="L3965" t="s">
        <v>1659</v>
      </c>
      <c r="M3965" t="s">
        <v>1132</v>
      </c>
      <c r="N3965" t="s">
        <v>1649</v>
      </c>
      <c r="O3965" t="s">
        <v>1132</v>
      </c>
      <c r="P3965" t="str">
        <f>IFERROR(VLOOKUP(F3965,Sheet1!$A$2:$B$54,2,FALSE),"")</f>
        <v/>
      </c>
    </row>
    <row r="3966" spans="1:16" x14ac:dyDescent="0.2">
      <c r="A3966" s="1">
        <v>2016</v>
      </c>
      <c r="B3966" t="s">
        <v>494</v>
      </c>
      <c r="C3966" s="10" t="s">
        <v>1678</v>
      </c>
      <c r="D3966" s="10" t="s">
        <v>1679</v>
      </c>
      <c r="E3966" s="10" t="s">
        <v>1682</v>
      </c>
      <c r="F3966" t="s">
        <v>993</v>
      </c>
      <c r="G3966" s="4"/>
      <c r="H3966" s="4">
        <v>29043</v>
      </c>
      <c r="I3966" s="4"/>
      <c r="J3966" s="4">
        <f t="shared" si="2"/>
        <v>29043</v>
      </c>
      <c r="K3966" t="s">
        <v>1661</v>
      </c>
      <c r="L3966" t="s">
        <v>1659</v>
      </c>
      <c r="M3966" t="s">
        <v>1132</v>
      </c>
      <c r="N3966" t="s">
        <v>1649</v>
      </c>
      <c r="O3966" t="s">
        <v>1132</v>
      </c>
      <c r="P3966" t="str">
        <f>IFERROR(VLOOKUP(F3966,Sheet1!$A$2:$B$54,2,FALSE),"")</f>
        <v/>
      </c>
    </row>
    <row r="3967" spans="1:16" x14ac:dyDescent="0.2">
      <c r="A3967" s="1">
        <v>2017</v>
      </c>
      <c r="B3967" t="s">
        <v>494</v>
      </c>
      <c r="C3967" s="10" t="s">
        <v>1678</v>
      </c>
      <c r="D3967" s="10" t="s">
        <v>1679</v>
      </c>
      <c r="E3967" s="10" t="s">
        <v>1682</v>
      </c>
      <c r="F3967" t="s">
        <v>993</v>
      </c>
      <c r="G3967" s="4"/>
      <c r="H3967" s="4">
        <v>29504</v>
      </c>
      <c r="I3967" s="4"/>
      <c r="J3967" s="4">
        <f t="shared" si="2"/>
        <v>29504</v>
      </c>
      <c r="K3967" t="s">
        <v>1661</v>
      </c>
      <c r="L3967" t="s">
        <v>1659</v>
      </c>
      <c r="M3967" t="s">
        <v>1132</v>
      </c>
      <c r="N3967" t="s">
        <v>1649</v>
      </c>
      <c r="O3967" t="s">
        <v>1132</v>
      </c>
      <c r="P3967" t="str">
        <f>IFERROR(VLOOKUP(F3967,Sheet1!$A$2:$B$54,2,FALSE),"")</f>
        <v/>
      </c>
    </row>
    <row r="3968" spans="1:16" x14ac:dyDescent="0.2">
      <c r="A3968" s="1">
        <v>2018</v>
      </c>
      <c r="B3968" t="s">
        <v>494</v>
      </c>
      <c r="C3968" s="10" t="s">
        <v>1678</v>
      </c>
      <c r="D3968" s="10" t="s">
        <v>1679</v>
      </c>
      <c r="E3968" s="10" t="s">
        <v>1682</v>
      </c>
      <c r="F3968" t="s">
        <v>993</v>
      </c>
      <c r="G3968" s="4"/>
      <c r="H3968" s="4">
        <v>32499</v>
      </c>
      <c r="I3968" s="4"/>
      <c r="J3968" s="4">
        <f t="shared" si="2"/>
        <v>32499</v>
      </c>
      <c r="K3968" t="s">
        <v>1661</v>
      </c>
      <c r="L3968" t="s">
        <v>1659</v>
      </c>
      <c r="M3968" t="s">
        <v>1132</v>
      </c>
      <c r="N3968" t="s">
        <v>1649</v>
      </c>
      <c r="O3968" t="s">
        <v>1132</v>
      </c>
      <c r="P3968" t="str">
        <f>IFERROR(VLOOKUP(F3968,Sheet1!$A$2:$B$54,2,FALSE),"")</f>
        <v/>
      </c>
    </row>
    <row r="3969" spans="1:16" x14ac:dyDescent="0.2">
      <c r="A3969" s="1">
        <v>2019</v>
      </c>
      <c r="B3969" t="s">
        <v>494</v>
      </c>
      <c r="C3969" s="10" t="s">
        <v>1678</v>
      </c>
      <c r="D3969" s="10" t="s">
        <v>1679</v>
      </c>
      <c r="E3969" s="10" t="s">
        <v>1682</v>
      </c>
      <c r="F3969" t="s">
        <v>993</v>
      </c>
      <c r="G3969" s="4"/>
      <c r="H3969" s="4">
        <v>36278</v>
      </c>
      <c r="I3969" s="4"/>
      <c r="J3969" s="4">
        <f t="shared" si="2"/>
        <v>36278</v>
      </c>
      <c r="K3969" t="s">
        <v>1661</v>
      </c>
      <c r="L3969" t="s">
        <v>1659</v>
      </c>
      <c r="M3969" t="s">
        <v>1132</v>
      </c>
      <c r="N3969" t="s">
        <v>1649</v>
      </c>
      <c r="O3969" t="s">
        <v>1132</v>
      </c>
      <c r="P3969" t="str">
        <f>IFERROR(VLOOKUP(F3969,Sheet1!$A$2:$B$54,2,FALSE),"")</f>
        <v/>
      </c>
    </row>
    <row r="3970" spans="1:16" x14ac:dyDescent="0.2">
      <c r="A3970" s="1">
        <v>2020</v>
      </c>
      <c r="B3970" t="s">
        <v>494</v>
      </c>
      <c r="C3970" s="10" t="s">
        <v>1678</v>
      </c>
      <c r="D3970" s="10" t="s">
        <v>1679</v>
      </c>
      <c r="E3970" s="10" t="s">
        <v>1682</v>
      </c>
      <c r="F3970" t="s">
        <v>993</v>
      </c>
      <c r="G3970" s="4"/>
      <c r="H3970" s="4">
        <v>39485</v>
      </c>
      <c r="I3970" s="4"/>
      <c r="J3970" s="4">
        <f t="shared" si="2"/>
        <v>39485</v>
      </c>
      <c r="K3970" t="s">
        <v>1661</v>
      </c>
      <c r="L3970" t="s">
        <v>1659</v>
      </c>
      <c r="M3970" t="s">
        <v>1132</v>
      </c>
      <c r="N3970" t="s">
        <v>1649</v>
      </c>
      <c r="O3970" t="s">
        <v>1132</v>
      </c>
      <c r="P3970" t="str">
        <f>IFERROR(VLOOKUP(F3970,Sheet1!$A$2:$B$54,2,FALSE),"")</f>
        <v/>
      </c>
    </row>
    <row r="3971" spans="1:16" x14ac:dyDescent="0.2">
      <c r="A3971" s="1">
        <v>2021</v>
      </c>
      <c r="B3971" t="s">
        <v>494</v>
      </c>
      <c r="C3971" s="10" t="s">
        <v>1678</v>
      </c>
      <c r="D3971" s="10" t="s">
        <v>1679</v>
      </c>
      <c r="E3971" s="10" t="s">
        <v>1682</v>
      </c>
      <c r="F3971" t="s">
        <v>993</v>
      </c>
      <c r="G3971" s="4"/>
      <c r="H3971" s="4">
        <v>42619</v>
      </c>
      <c r="I3971" s="4"/>
      <c r="J3971" s="4">
        <f t="shared" ref="J3971:J3984" si="3">SUM(G3971:I3971)</f>
        <v>42619</v>
      </c>
      <c r="K3971" t="s">
        <v>1661</v>
      </c>
      <c r="L3971" t="s">
        <v>1659</v>
      </c>
      <c r="M3971" t="s">
        <v>1132</v>
      </c>
      <c r="N3971" t="s">
        <v>993</v>
      </c>
      <c r="O3971" t="s">
        <v>1132</v>
      </c>
      <c r="P3971" t="str">
        <f>IFERROR(VLOOKUP(F3971,Sheet1!$A$2:$B$54,2,FALSE),"")</f>
        <v/>
      </c>
    </row>
    <row r="3972" spans="1:16" x14ac:dyDescent="0.2">
      <c r="A3972" s="1">
        <v>2022</v>
      </c>
      <c r="B3972" t="s">
        <v>494</v>
      </c>
      <c r="C3972" s="10" t="s">
        <v>1678</v>
      </c>
      <c r="D3972" s="10" t="s">
        <v>1679</v>
      </c>
      <c r="E3972" s="10" t="s">
        <v>1682</v>
      </c>
      <c r="F3972" t="s">
        <v>993</v>
      </c>
      <c r="G3972" s="4"/>
      <c r="H3972" s="4">
        <v>40794</v>
      </c>
      <c r="I3972" s="4"/>
      <c r="J3972" s="4">
        <f t="shared" si="3"/>
        <v>40794</v>
      </c>
      <c r="K3972" t="s">
        <v>1661</v>
      </c>
      <c r="L3972" t="s">
        <v>1659</v>
      </c>
      <c r="M3972" t="s">
        <v>1132</v>
      </c>
      <c r="N3972" t="s">
        <v>993</v>
      </c>
      <c r="O3972" t="s">
        <v>1132</v>
      </c>
      <c r="P3972" t="str">
        <f>IFERROR(VLOOKUP(F3972,Sheet1!$A$2:$B$54,2,FALSE),"")</f>
        <v/>
      </c>
    </row>
    <row r="3973" spans="1:16" x14ac:dyDescent="0.2">
      <c r="A3973" s="1">
        <v>2023</v>
      </c>
      <c r="B3973" t="s">
        <v>494</v>
      </c>
      <c r="C3973" s="10" t="s">
        <v>1678</v>
      </c>
      <c r="D3973" s="10" t="s">
        <v>1679</v>
      </c>
      <c r="E3973" s="10" t="s">
        <v>1682</v>
      </c>
      <c r="F3973" t="s">
        <v>993</v>
      </c>
      <c r="G3973" s="4"/>
      <c r="H3973" s="4">
        <v>25973</v>
      </c>
      <c r="I3973" s="4"/>
      <c r="J3973" s="4">
        <f t="shared" si="3"/>
        <v>25973</v>
      </c>
      <c r="K3973" t="s">
        <v>1661</v>
      </c>
      <c r="L3973" t="s">
        <v>1659</v>
      </c>
      <c r="M3973" t="s">
        <v>1132</v>
      </c>
      <c r="N3973" t="s">
        <v>993</v>
      </c>
      <c r="O3973" t="s">
        <v>1132</v>
      </c>
      <c r="P3973" t="str">
        <f>IFERROR(VLOOKUP(F3973,Sheet1!$A$2:$B$54,2,FALSE),"")</f>
        <v/>
      </c>
    </row>
    <row r="3974" spans="1:16" x14ac:dyDescent="0.2">
      <c r="A3974" s="1">
        <v>2022</v>
      </c>
      <c r="B3974" t="s">
        <v>495</v>
      </c>
      <c r="C3974" s="10" t="s">
        <v>1678</v>
      </c>
      <c r="D3974" s="10" t="s">
        <v>1679</v>
      </c>
      <c r="E3974" s="10" t="s">
        <v>1682</v>
      </c>
      <c r="F3974" t="s">
        <v>994</v>
      </c>
      <c r="G3974" s="4">
        <v>3046</v>
      </c>
      <c r="H3974" s="4"/>
      <c r="I3974" s="4"/>
      <c r="J3974" s="4">
        <f t="shared" si="3"/>
        <v>3046</v>
      </c>
      <c r="K3974" t="s">
        <v>1659</v>
      </c>
      <c r="L3974" t="s">
        <v>1659</v>
      </c>
      <c r="M3974" t="s">
        <v>994</v>
      </c>
      <c r="N3974" t="s">
        <v>1132</v>
      </c>
      <c r="O3974" t="s">
        <v>1132</v>
      </c>
      <c r="P3974" t="str">
        <f>IFERROR(VLOOKUP(F3974,Sheet1!$A$2:$B$54,2,FALSE),"")</f>
        <v/>
      </c>
    </row>
    <row r="3975" spans="1:16" x14ac:dyDescent="0.2">
      <c r="A3975" s="1">
        <v>2023</v>
      </c>
      <c r="B3975" t="s">
        <v>495</v>
      </c>
      <c r="C3975" s="10" t="s">
        <v>1678</v>
      </c>
      <c r="D3975" s="10" t="s">
        <v>1679</v>
      </c>
      <c r="E3975" s="10" t="s">
        <v>1682</v>
      </c>
      <c r="F3975" t="s">
        <v>994</v>
      </c>
      <c r="G3975" s="4">
        <v>7163</v>
      </c>
      <c r="H3975" s="4"/>
      <c r="I3975" s="4"/>
      <c r="J3975" s="4">
        <f t="shared" si="3"/>
        <v>7163</v>
      </c>
      <c r="K3975" t="s">
        <v>1659</v>
      </c>
      <c r="L3975" t="s">
        <v>1659</v>
      </c>
      <c r="M3975" t="s">
        <v>994</v>
      </c>
      <c r="N3975" t="s">
        <v>1132</v>
      </c>
      <c r="O3975" t="s">
        <v>1132</v>
      </c>
      <c r="P3975" t="str">
        <f>IFERROR(VLOOKUP(F3975,Sheet1!$A$2:$B$54,2,FALSE),"")</f>
        <v/>
      </c>
    </row>
    <row r="3976" spans="1:16" x14ac:dyDescent="0.2">
      <c r="A3976" s="1">
        <v>2015</v>
      </c>
      <c r="B3976" t="s">
        <v>496</v>
      </c>
      <c r="C3976" s="10" t="s">
        <v>1678</v>
      </c>
      <c r="D3976" s="10" t="s">
        <v>1679</v>
      </c>
      <c r="E3976" s="10" t="s">
        <v>1682</v>
      </c>
      <c r="F3976" t="s">
        <v>831</v>
      </c>
      <c r="G3976" s="4"/>
      <c r="H3976" s="4">
        <v>75137</v>
      </c>
      <c r="I3976" s="4"/>
      <c r="J3976" s="4">
        <f t="shared" si="3"/>
        <v>75137</v>
      </c>
      <c r="K3976" t="s">
        <v>1661</v>
      </c>
      <c r="L3976" t="s">
        <v>1659</v>
      </c>
      <c r="M3976" t="s">
        <v>1132</v>
      </c>
      <c r="N3976" t="s">
        <v>1425</v>
      </c>
      <c r="O3976" t="s">
        <v>1132</v>
      </c>
      <c r="P3976" t="str">
        <f>IFERROR(VLOOKUP(F3976,Sheet1!$A$2:$B$54,2,FALSE),"")</f>
        <v/>
      </c>
    </row>
    <row r="3977" spans="1:16" x14ac:dyDescent="0.2">
      <c r="A3977" s="1">
        <v>2016</v>
      </c>
      <c r="B3977" t="s">
        <v>496</v>
      </c>
      <c r="C3977" s="10" t="s">
        <v>1678</v>
      </c>
      <c r="D3977" s="10" t="s">
        <v>1679</v>
      </c>
      <c r="E3977" s="10" t="s">
        <v>1682</v>
      </c>
      <c r="F3977" t="s">
        <v>831</v>
      </c>
      <c r="G3977" s="4"/>
      <c r="H3977" s="4">
        <v>83457</v>
      </c>
      <c r="I3977" s="4"/>
      <c r="J3977" s="4">
        <f t="shared" si="3"/>
        <v>83457</v>
      </c>
      <c r="K3977" t="s">
        <v>1661</v>
      </c>
      <c r="L3977" t="s">
        <v>1659</v>
      </c>
      <c r="M3977" t="s">
        <v>1132</v>
      </c>
      <c r="N3977" t="s">
        <v>1650</v>
      </c>
      <c r="O3977" t="s">
        <v>1132</v>
      </c>
      <c r="P3977" t="str">
        <f>IFERROR(VLOOKUP(F3977,Sheet1!$A$2:$B$54,2,FALSE),"")</f>
        <v/>
      </c>
    </row>
    <row r="3978" spans="1:16" x14ac:dyDescent="0.2">
      <c r="A3978" s="1">
        <v>2017</v>
      </c>
      <c r="B3978" t="s">
        <v>496</v>
      </c>
      <c r="C3978" s="10" t="s">
        <v>1678</v>
      </c>
      <c r="D3978" s="10" t="s">
        <v>1679</v>
      </c>
      <c r="E3978" s="10" t="s">
        <v>1682</v>
      </c>
      <c r="F3978" t="s">
        <v>831</v>
      </c>
      <c r="G3978" s="4"/>
      <c r="H3978" s="4">
        <v>87534</v>
      </c>
      <c r="I3978" s="4"/>
      <c r="J3978" s="4">
        <f t="shared" si="3"/>
        <v>87534</v>
      </c>
      <c r="K3978" t="s">
        <v>1661</v>
      </c>
      <c r="L3978" t="s">
        <v>1659</v>
      </c>
      <c r="M3978" t="s">
        <v>1132</v>
      </c>
      <c r="N3978" t="s">
        <v>1426</v>
      </c>
      <c r="O3978" t="s">
        <v>1132</v>
      </c>
      <c r="P3978" t="str">
        <f>IFERROR(VLOOKUP(F3978,Sheet1!$A$2:$B$54,2,FALSE),"")</f>
        <v/>
      </c>
    </row>
    <row r="3979" spans="1:16" x14ac:dyDescent="0.2">
      <c r="A3979" s="1">
        <v>2018</v>
      </c>
      <c r="B3979" t="s">
        <v>496</v>
      </c>
      <c r="C3979" s="10" t="s">
        <v>1678</v>
      </c>
      <c r="D3979" s="10" t="s">
        <v>1679</v>
      </c>
      <c r="E3979" s="10" t="s">
        <v>1682</v>
      </c>
      <c r="F3979" t="s">
        <v>831</v>
      </c>
      <c r="G3979" s="4"/>
      <c r="H3979" s="4">
        <v>83676</v>
      </c>
      <c r="I3979" s="4"/>
      <c r="J3979" s="4">
        <f t="shared" si="3"/>
        <v>83676</v>
      </c>
      <c r="K3979" t="s">
        <v>1661</v>
      </c>
      <c r="L3979" t="s">
        <v>1659</v>
      </c>
      <c r="M3979" t="s">
        <v>1132</v>
      </c>
      <c r="N3979" t="s">
        <v>1426</v>
      </c>
      <c r="O3979" t="s">
        <v>1132</v>
      </c>
      <c r="P3979" t="str">
        <f>IFERROR(VLOOKUP(F3979,Sheet1!$A$2:$B$54,2,FALSE),"")</f>
        <v/>
      </c>
    </row>
    <row r="3980" spans="1:16" x14ac:dyDescent="0.2">
      <c r="A3980" s="1">
        <v>2019</v>
      </c>
      <c r="B3980" t="s">
        <v>496</v>
      </c>
      <c r="C3980" s="10" t="s">
        <v>1678</v>
      </c>
      <c r="D3980" s="10" t="s">
        <v>1679</v>
      </c>
      <c r="E3980" s="10" t="s">
        <v>1682</v>
      </c>
      <c r="F3980" t="s">
        <v>831</v>
      </c>
      <c r="G3980" s="4"/>
      <c r="H3980" s="4">
        <v>84185</v>
      </c>
      <c r="I3980" s="4"/>
      <c r="J3980" s="4">
        <f t="shared" si="3"/>
        <v>84185</v>
      </c>
      <c r="K3980" t="s">
        <v>1661</v>
      </c>
      <c r="L3980" t="s">
        <v>1659</v>
      </c>
      <c r="M3980" t="s">
        <v>1132</v>
      </c>
      <c r="N3980" t="s">
        <v>1426</v>
      </c>
      <c r="O3980" t="s">
        <v>1132</v>
      </c>
      <c r="P3980" t="str">
        <f>IFERROR(VLOOKUP(F3980,Sheet1!$A$2:$B$54,2,FALSE),"")</f>
        <v/>
      </c>
    </row>
    <row r="3981" spans="1:16" x14ac:dyDescent="0.2">
      <c r="A3981" s="1">
        <v>2020</v>
      </c>
      <c r="B3981" t="s">
        <v>496</v>
      </c>
      <c r="C3981" s="10" t="s">
        <v>1678</v>
      </c>
      <c r="D3981" s="10" t="s">
        <v>1679</v>
      </c>
      <c r="E3981" s="10" t="s">
        <v>1682</v>
      </c>
      <c r="F3981" t="s">
        <v>831</v>
      </c>
      <c r="G3981" s="4"/>
      <c r="H3981" s="4">
        <v>82687</v>
      </c>
      <c r="I3981" s="4"/>
      <c r="J3981" s="4">
        <f t="shared" si="3"/>
        <v>82687</v>
      </c>
      <c r="K3981" t="s">
        <v>1661</v>
      </c>
      <c r="L3981" t="s">
        <v>1659</v>
      </c>
      <c r="M3981" t="s">
        <v>1132</v>
      </c>
      <c r="N3981" t="s">
        <v>1426</v>
      </c>
      <c r="O3981" t="s">
        <v>1132</v>
      </c>
      <c r="P3981" t="str">
        <f>IFERROR(VLOOKUP(F3981,Sheet1!$A$2:$B$54,2,FALSE),"")</f>
        <v/>
      </c>
    </row>
    <row r="3982" spans="1:16" x14ac:dyDescent="0.2">
      <c r="A3982" s="1">
        <v>2021</v>
      </c>
      <c r="B3982" t="s">
        <v>496</v>
      </c>
      <c r="C3982" s="10" t="s">
        <v>1678</v>
      </c>
      <c r="D3982" s="10" t="s">
        <v>1679</v>
      </c>
      <c r="E3982" s="10" t="s">
        <v>1682</v>
      </c>
      <c r="F3982" t="s">
        <v>831</v>
      </c>
      <c r="G3982" s="4"/>
      <c r="H3982" s="4">
        <v>95953</v>
      </c>
      <c r="I3982" s="4"/>
      <c r="J3982" s="4">
        <f t="shared" si="3"/>
        <v>95953</v>
      </c>
      <c r="K3982" t="s">
        <v>1661</v>
      </c>
      <c r="L3982" t="s">
        <v>1659</v>
      </c>
      <c r="M3982" t="s">
        <v>1132</v>
      </c>
      <c r="N3982" t="s">
        <v>831</v>
      </c>
      <c r="O3982" t="s">
        <v>1132</v>
      </c>
      <c r="P3982" t="str">
        <f>IFERROR(VLOOKUP(F3982,Sheet1!$A$2:$B$54,2,FALSE),"")</f>
        <v/>
      </c>
    </row>
    <row r="3983" spans="1:16" x14ac:dyDescent="0.2">
      <c r="A3983" s="1">
        <v>2022</v>
      </c>
      <c r="B3983" t="s">
        <v>496</v>
      </c>
      <c r="C3983" s="10" t="s">
        <v>1678</v>
      </c>
      <c r="D3983" s="10" t="s">
        <v>1679</v>
      </c>
      <c r="E3983" s="10" t="s">
        <v>1682</v>
      </c>
      <c r="F3983" t="s">
        <v>831</v>
      </c>
      <c r="G3983" s="4"/>
      <c r="H3983" s="4">
        <v>103313</v>
      </c>
      <c r="I3983" s="4"/>
      <c r="J3983" s="4">
        <f t="shared" si="3"/>
        <v>103313</v>
      </c>
      <c r="K3983" t="s">
        <v>1661</v>
      </c>
      <c r="L3983" t="s">
        <v>1659</v>
      </c>
      <c r="M3983" t="s">
        <v>1132</v>
      </c>
      <c r="N3983" t="s">
        <v>831</v>
      </c>
      <c r="O3983" t="s">
        <v>1132</v>
      </c>
      <c r="P3983" t="str">
        <f>IFERROR(VLOOKUP(F3983,Sheet1!$A$2:$B$54,2,FALSE),"")</f>
        <v/>
      </c>
    </row>
    <row r="3984" spans="1:16" x14ac:dyDescent="0.2">
      <c r="A3984" s="1">
        <v>2023</v>
      </c>
      <c r="B3984" t="s">
        <v>496</v>
      </c>
      <c r="C3984" s="10" t="s">
        <v>1678</v>
      </c>
      <c r="D3984" s="10" t="s">
        <v>1679</v>
      </c>
      <c r="E3984" s="10" t="s">
        <v>1682</v>
      </c>
      <c r="F3984" t="s">
        <v>831</v>
      </c>
      <c r="G3984" s="4"/>
      <c r="H3984" s="4">
        <v>111903</v>
      </c>
      <c r="I3984" s="4"/>
      <c r="J3984" s="4">
        <f t="shared" si="3"/>
        <v>111903</v>
      </c>
      <c r="K3984" t="s">
        <v>1661</v>
      </c>
      <c r="L3984" t="s">
        <v>1659</v>
      </c>
      <c r="M3984" t="s">
        <v>1132</v>
      </c>
      <c r="N3984" t="s">
        <v>831</v>
      </c>
      <c r="O3984" t="s">
        <v>1132</v>
      </c>
      <c r="P3984" t="str">
        <f>IFERROR(VLOOKUP(F3984,Sheet1!$A$2:$B$54,2,FALSE),"")</f>
        <v/>
      </c>
    </row>
  </sheetData>
  <autoFilter ref="A1:P398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EFB8-3312-D344-B297-5B42742EB19A}">
  <dimension ref="A1:B54"/>
  <sheetViews>
    <sheetView topLeftCell="A13" workbookViewId="0">
      <selection activeCell="A50" sqref="A50"/>
    </sheetView>
  </sheetViews>
  <sheetFormatPr baseColWidth="10" defaultRowHeight="15" x14ac:dyDescent="0.2"/>
  <cols>
    <col min="1" max="1" width="27.33203125" bestFit="1" customWidth="1"/>
  </cols>
  <sheetData>
    <row r="1" spans="1:2" x14ac:dyDescent="0.2">
      <c r="A1" s="10" t="s">
        <v>1675</v>
      </c>
    </row>
    <row r="2" spans="1:2" x14ac:dyDescent="0.2">
      <c r="A2" t="s">
        <v>501</v>
      </c>
      <c r="B2">
        <v>4900030</v>
      </c>
    </row>
    <row r="3" spans="1:2" x14ac:dyDescent="0.2">
      <c r="A3" t="s">
        <v>504</v>
      </c>
      <c r="B3">
        <v>4900030</v>
      </c>
    </row>
    <row r="4" spans="1:2" x14ac:dyDescent="0.2">
      <c r="A4" t="s">
        <v>505</v>
      </c>
      <c r="B4">
        <v>4900017</v>
      </c>
    </row>
    <row r="5" spans="1:2" x14ac:dyDescent="0.2">
      <c r="A5" t="s">
        <v>517</v>
      </c>
      <c r="B5">
        <v>4900060</v>
      </c>
    </row>
    <row r="6" spans="1:2" x14ac:dyDescent="0.2">
      <c r="A6" t="s">
        <v>528</v>
      </c>
      <c r="B6">
        <v>4900090</v>
      </c>
    </row>
    <row r="7" spans="1:2" x14ac:dyDescent="0.2">
      <c r="A7" t="s">
        <v>533</v>
      </c>
      <c r="B7">
        <v>4900120</v>
      </c>
    </row>
    <row r="8" spans="1:2" x14ac:dyDescent="0.2">
      <c r="A8" t="s">
        <v>534</v>
      </c>
      <c r="B8">
        <v>4900142</v>
      </c>
    </row>
    <row r="9" spans="1:2" x14ac:dyDescent="0.2">
      <c r="A9" t="s">
        <v>536</v>
      </c>
      <c r="B9">
        <v>4900150</v>
      </c>
    </row>
    <row r="10" spans="1:2" x14ac:dyDescent="0.2">
      <c r="A10" t="s">
        <v>592</v>
      </c>
      <c r="B10">
        <v>4900180</v>
      </c>
    </row>
    <row r="11" spans="1:2" x14ac:dyDescent="0.2">
      <c r="A11" t="s">
        <v>598</v>
      </c>
      <c r="B11">
        <v>4900210</v>
      </c>
    </row>
    <row r="12" spans="1:2" x14ac:dyDescent="0.2">
      <c r="A12" t="s">
        <v>606</v>
      </c>
      <c r="B12">
        <v>4900240</v>
      </c>
    </row>
    <row r="13" spans="1:2" x14ac:dyDescent="0.2">
      <c r="A13" t="s">
        <v>617</v>
      </c>
      <c r="B13">
        <v>4900270</v>
      </c>
    </row>
    <row r="14" spans="1:2" x14ac:dyDescent="0.2">
      <c r="A14" t="s">
        <v>628</v>
      </c>
      <c r="B14">
        <v>4900019</v>
      </c>
    </row>
    <row r="15" spans="1:2" x14ac:dyDescent="0.2">
      <c r="A15" t="s">
        <v>637</v>
      </c>
      <c r="B15">
        <v>4900300</v>
      </c>
    </row>
    <row r="16" spans="1:2" x14ac:dyDescent="0.2">
      <c r="A16" t="s">
        <v>642</v>
      </c>
      <c r="B16">
        <v>4900330</v>
      </c>
    </row>
    <row r="17" spans="1:2" x14ac:dyDescent="0.2">
      <c r="A17" t="s">
        <v>645</v>
      </c>
      <c r="B17">
        <v>4900360</v>
      </c>
    </row>
    <row r="18" spans="1:2" x14ac:dyDescent="0.2">
      <c r="A18" t="s">
        <v>672</v>
      </c>
      <c r="B18">
        <v>4900039</v>
      </c>
    </row>
    <row r="19" spans="1:2" x14ac:dyDescent="0.2">
      <c r="A19" t="s">
        <v>674</v>
      </c>
      <c r="B19">
        <v>4900390</v>
      </c>
    </row>
    <row r="20" spans="1:2" x14ac:dyDescent="0.2">
      <c r="A20" t="s">
        <v>678</v>
      </c>
      <c r="B20">
        <v>4900420</v>
      </c>
    </row>
    <row r="21" spans="1:2" x14ac:dyDescent="0.2">
      <c r="A21" t="s">
        <v>683</v>
      </c>
      <c r="B21">
        <v>4900450</v>
      </c>
    </row>
    <row r="22" spans="1:2" x14ac:dyDescent="0.2">
      <c r="A22" t="s">
        <v>688</v>
      </c>
      <c r="B22">
        <v>4900480</v>
      </c>
    </row>
    <row r="23" spans="1:2" x14ac:dyDescent="0.2">
      <c r="A23" t="s">
        <v>957</v>
      </c>
    </row>
    <row r="24" spans="1:2" x14ac:dyDescent="0.2">
      <c r="A24" t="s">
        <v>698</v>
      </c>
      <c r="B24">
        <v>4900510</v>
      </c>
    </row>
    <row r="25" spans="1:2" x14ac:dyDescent="0.2">
      <c r="A25" t="s">
        <v>712</v>
      </c>
      <c r="B25">
        <v>4900540</v>
      </c>
    </row>
    <row r="26" spans="1:2" x14ac:dyDescent="0.2">
      <c r="A26" t="s">
        <v>718</v>
      </c>
      <c r="B26">
        <v>4900049</v>
      </c>
    </row>
    <row r="27" spans="1:2" x14ac:dyDescent="0.2">
      <c r="A27" t="s">
        <v>721</v>
      </c>
      <c r="B27">
        <v>4900570</v>
      </c>
    </row>
    <row r="28" spans="1:2" x14ac:dyDescent="0.2">
      <c r="A28" t="s">
        <v>729</v>
      </c>
      <c r="B28">
        <v>4900600</v>
      </c>
    </row>
    <row r="29" spans="1:2" x14ac:dyDescent="0.2">
      <c r="A29" t="s">
        <v>734</v>
      </c>
      <c r="B29">
        <v>4900630</v>
      </c>
    </row>
    <row r="30" spans="1:2" x14ac:dyDescent="0.2">
      <c r="A30" t="s">
        <v>746</v>
      </c>
      <c r="B30">
        <v>4900660</v>
      </c>
    </row>
    <row r="31" spans="1:2" x14ac:dyDescent="0.2">
      <c r="A31" t="s">
        <v>747</v>
      </c>
      <c r="B31">
        <v>4900690</v>
      </c>
    </row>
    <row r="32" spans="1:2" x14ac:dyDescent="0.2">
      <c r="A32" t="s">
        <v>749</v>
      </c>
      <c r="B32">
        <v>4900063</v>
      </c>
    </row>
    <row r="33" spans="1:2" x14ac:dyDescent="0.2">
      <c r="A33" t="s">
        <v>752</v>
      </c>
      <c r="B33">
        <v>4900720</v>
      </c>
    </row>
    <row r="34" spans="1:2" x14ac:dyDescent="0.2">
      <c r="A34" t="s">
        <v>760</v>
      </c>
      <c r="B34">
        <v>4900750</v>
      </c>
    </row>
    <row r="35" spans="1:2" x14ac:dyDescent="0.2">
      <c r="A35" t="s">
        <v>765</v>
      </c>
      <c r="B35">
        <v>4900780</v>
      </c>
    </row>
    <row r="36" spans="1:2" x14ac:dyDescent="0.2">
      <c r="A36" t="s">
        <v>776</v>
      </c>
      <c r="B36">
        <v>4900810</v>
      </c>
    </row>
    <row r="37" spans="1:2" x14ac:dyDescent="0.2">
      <c r="A37" t="s">
        <v>778</v>
      </c>
      <c r="B37">
        <v>4900840</v>
      </c>
    </row>
    <row r="38" spans="1:2" x14ac:dyDescent="0.2">
      <c r="A38" t="s">
        <v>789</v>
      </c>
      <c r="B38">
        <v>4900197</v>
      </c>
    </row>
    <row r="39" spans="1:2" x14ac:dyDescent="0.2">
      <c r="A39" t="s">
        <v>795</v>
      </c>
      <c r="B39">
        <v>4900870</v>
      </c>
    </row>
    <row r="40" spans="1:2" x14ac:dyDescent="0.2">
      <c r="A40" t="s">
        <v>798</v>
      </c>
      <c r="B40">
        <v>4900900</v>
      </c>
    </row>
    <row r="41" spans="1:2" x14ac:dyDescent="0.2">
      <c r="A41" t="s">
        <v>805</v>
      </c>
      <c r="B41">
        <v>4900930</v>
      </c>
    </row>
    <row r="42" spans="1:2" x14ac:dyDescent="0.2">
      <c r="A42" t="s">
        <v>823</v>
      </c>
      <c r="B42">
        <v>4900960</v>
      </c>
    </row>
    <row r="43" spans="1:2" x14ac:dyDescent="0.2">
      <c r="A43" t="s">
        <v>824</v>
      </c>
      <c r="B43">
        <v>4900990</v>
      </c>
    </row>
    <row r="44" spans="1:2" x14ac:dyDescent="0.2">
      <c r="A44" t="s">
        <v>841</v>
      </c>
      <c r="B44">
        <v>4900037</v>
      </c>
    </row>
    <row r="45" spans="1:2" x14ac:dyDescent="0.2">
      <c r="A45" t="s">
        <v>842</v>
      </c>
      <c r="B45">
        <v>4900066</v>
      </c>
    </row>
    <row r="46" spans="1:2" x14ac:dyDescent="0.2">
      <c r="A46" t="s">
        <v>855</v>
      </c>
      <c r="B46">
        <v>4901020</v>
      </c>
    </row>
    <row r="47" spans="1:2" x14ac:dyDescent="0.2">
      <c r="A47" t="s">
        <v>859</v>
      </c>
      <c r="B47">
        <v>4901050</v>
      </c>
    </row>
    <row r="48" spans="1:2" x14ac:dyDescent="0.2">
      <c r="A48" t="s">
        <v>883</v>
      </c>
      <c r="B48">
        <v>4900013</v>
      </c>
    </row>
    <row r="49" spans="1:2" x14ac:dyDescent="0.2">
      <c r="A49" t="s">
        <v>893</v>
      </c>
      <c r="B49">
        <v>4900012</v>
      </c>
    </row>
    <row r="50" spans="1:2" x14ac:dyDescent="0.2">
      <c r="A50" t="s">
        <v>895</v>
      </c>
      <c r="B50">
        <v>4900020</v>
      </c>
    </row>
    <row r="51" spans="1:2" x14ac:dyDescent="0.2">
      <c r="A51" t="s">
        <v>925</v>
      </c>
      <c r="B51">
        <v>4901110</v>
      </c>
    </row>
    <row r="52" spans="1:2" x14ac:dyDescent="0.2">
      <c r="A52" t="s">
        <v>930</v>
      </c>
      <c r="B52">
        <v>4901140</v>
      </c>
    </row>
    <row r="53" spans="1:2" x14ac:dyDescent="0.2">
      <c r="A53" t="s">
        <v>933</v>
      </c>
      <c r="B53">
        <v>4901170</v>
      </c>
    </row>
    <row r="54" spans="1:2" x14ac:dyDescent="0.2">
      <c r="A54" t="s">
        <v>938</v>
      </c>
      <c r="B54">
        <v>4901200</v>
      </c>
    </row>
  </sheetData>
  <autoFilter ref="A1:A54" xr:uid="{1C12EFB8-3312-D344-B297-5B42742EB19A}">
    <sortState xmlns:xlrd2="http://schemas.microsoft.com/office/spreadsheetml/2017/richdata2" ref="A2:A54">
      <sortCondition ref="A1:A5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A945-F928-A648-A00E-85885AA292CB}">
  <dimension ref="A1:Z22"/>
  <sheetViews>
    <sheetView workbookViewId="0">
      <selection activeCell="I20" sqref="I20"/>
    </sheetView>
  </sheetViews>
  <sheetFormatPr baseColWidth="10" defaultColWidth="10.6640625" defaultRowHeight="15" x14ac:dyDescent="0.2"/>
  <cols>
    <col min="1" max="1" width="5.1640625" bestFit="1" customWidth="1"/>
    <col min="2" max="2" width="13.1640625" bestFit="1" customWidth="1"/>
    <col min="3" max="3" width="16.83203125" bestFit="1" customWidth="1"/>
    <col min="4" max="4" width="13.1640625" bestFit="1" customWidth="1"/>
    <col min="5" max="5" width="6.1640625" bestFit="1" customWidth="1"/>
    <col min="7" max="7" width="5.1640625" bestFit="1" customWidth="1"/>
    <col min="8" max="8" width="14.6640625" bestFit="1" customWidth="1"/>
    <col min="9" max="9" width="16.83203125" bestFit="1" customWidth="1"/>
    <col min="10" max="10" width="13.1640625" bestFit="1" customWidth="1"/>
    <col min="11" max="11" width="6.1640625" bestFit="1" customWidth="1"/>
    <col min="13" max="13" width="5.1640625" bestFit="1" customWidth="1"/>
    <col min="14" max="14" width="11.1640625" bestFit="1" customWidth="1"/>
    <col min="15" max="15" width="17.1640625" bestFit="1" customWidth="1"/>
    <col min="16" max="16" width="11.1640625" bestFit="1" customWidth="1"/>
    <col min="17" max="17" width="6.1640625" bestFit="1" customWidth="1"/>
    <col min="19" max="19" width="5.1640625" bestFit="1" customWidth="1"/>
    <col min="20" max="20" width="13.1640625" bestFit="1" customWidth="1"/>
    <col min="21" max="21" width="16.83203125" bestFit="1" customWidth="1"/>
    <col min="22" max="22" width="10" bestFit="1" customWidth="1"/>
    <col min="23" max="23" width="6.1640625" bestFit="1" customWidth="1"/>
  </cols>
  <sheetData>
    <row r="1" spans="1:26" ht="16" x14ac:dyDescent="0.2">
      <c r="A1" s="9" t="s">
        <v>1665</v>
      </c>
      <c r="B1" s="9"/>
      <c r="C1" s="9"/>
      <c r="D1" s="9"/>
      <c r="E1" s="9"/>
      <c r="F1" s="6"/>
      <c r="G1" s="9" t="s">
        <v>1663</v>
      </c>
      <c r="H1" s="9"/>
      <c r="I1" s="9"/>
      <c r="J1" s="9"/>
      <c r="K1" s="9"/>
      <c r="M1" s="9" t="s">
        <v>1664</v>
      </c>
      <c r="N1" s="9"/>
      <c r="O1" s="9"/>
      <c r="P1" s="9"/>
      <c r="Q1" s="9"/>
      <c r="R1" s="9"/>
      <c r="X1" s="6"/>
      <c r="Y1" s="6"/>
      <c r="Z1" s="6"/>
    </row>
    <row r="2" spans="1:26" ht="16" x14ac:dyDescent="0.2">
      <c r="A2" s="6" t="s">
        <v>1666</v>
      </c>
      <c r="B2" s="6" t="s">
        <v>1667</v>
      </c>
      <c r="C2" s="6" t="s">
        <v>1668</v>
      </c>
      <c r="D2" s="6" t="s">
        <v>1673</v>
      </c>
      <c r="E2" s="6" t="s">
        <v>1670</v>
      </c>
      <c r="G2" s="6" t="s">
        <v>1666</v>
      </c>
      <c r="H2" s="6" t="s">
        <v>1667</v>
      </c>
      <c r="I2" s="6" t="s">
        <v>1668</v>
      </c>
      <c r="J2" s="6" t="s">
        <v>1669</v>
      </c>
      <c r="K2" s="6" t="s">
        <v>1670</v>
      </c>
      <c r="M2" s="6" t="s">
        <v>1666</v>
      </c>
      <c r="N2" s="6" t="s">
        <v>1671</v>
      </c>
      <c r="O2" s="6" t="s">
        <v>1672</v>
      </c>
      <c r="P2" s="6" t="s">
        <v>1669</v>
      </c>
      <c r="Q2" s="6" t="s">
        <v>1670</v>
      </c>
    </row>
    <row r="3" spans="1:26" ht="16" x14ac:dyDescent="0.2">
      <c r="A3" s="6">
        <v>2015</v>
      </c>
      <c r="B3" s="7">
        <v>53713837</v>
      </c>
      <c r="C3" s="7">
        <f>SUMIF(Data!A:A,Check!A3,Data!G:G)</f>
        <v>53713832</v>
      </c>
      <c r="D3" s="7">
        <f>B3-C3</f>
        <v>5</v>
      </c>
      <c r="G3" s="6">
        <v>2015</v>
      </c>
      <c r="H3" s="7">
        <v>640324454</v>
      </c>
      <c r="I3" s="7">
        <f>SUMIF(Data!A:A,Check!A3,Data!H:H)</f>
        <v>640324453</v>
      </c>
      <c r="J3" s="8">
        <f t="shared" ref="J3:J11" si="0">H3-I3</f>
        <v>1</v>
      </c>
      <c r="M3" s="6">
        <v>2015</v>
      </c>
      <c r="N3" s="7">
        <v>5606961</v>
      </c>
      <c r="O3" s="7">
        <f>SUMIF(Data!A:A,Check!A3,Data!I:I)</f>
        <v>5606963</v>
      </c>
      <c r="P3" s="7">
        <f>N3-O3</f>
        <v>-2</v>
      </c>
    </row>
    <row r="4" spans="1:26" ht="16" x14ac:dyDescent="0.2">
      <c r="A4" s="6">
        <v>2016</v>
      </c>
      <c r="B4" s="7">
        <v>68066603</v>
      </c>
      <c r="C4" s="7">
        <f>SUMIF(Data!A:A,Check!A4,Data!G:G)</f>
        <v>68066610</v>
      </c>
      <c r="D4" s="7">
        <f t="shared" ref="D4:D11" si="1">B4-C4</f>
        <v>-7</v>
      </c>
      <c r="G4" s="6">
        <v>2016</v>
      </c>
      <c r="H4" s="7">
        <v>655450485</v>
      </c>
      <c r="I4" s="7">
        <f>SUMIF(Data!A:A,Check!A4,Data!H:H)</f>
        <v>655450486</v>
      </c>
      <c r="J4" s="8">
        <f t="shared" si="0"/>
        <v>-1</v>
      </c>
      <c r="M4" s="6">
        <v>2016</v>
      </c>
      <c r="N4" s="7">
        <v>4744792</v>
      </c>
      <c r="O4" s="7">
        <f>SUMIF(Data!A:A,Check!A4,Data!I:I)</f>
        <v>4744795</v>
      </c>
      <c r="P4" s="7">
        <f t="shared" ref="P4:P11" si="2">N4-O4</f>
        <v>-3</v>
      </c>
    </row>
    <row r="5" spans="1:26" ht="16" x14ac:dyDescent="0.2">
      <c r="A5" s="6">
        <v>2017</v>
      </c>
      <c r="B5" s="7">
        <v>82274953</v>
      </c>
      <c r="C5" s="7">
        <f>SUMIF(Data!A:A,Check!A5,Data!G:G)</f>
        <v>82274948</v>
      </c>
      <c r="D5" s="7">
        <f t="shared" si="1"/>
        <v>5</v>
      </c>
      <c r="G5" s="6">
        <v>2017</v>
      </c>
      <c r="H5" s="7">
        <v>661095616</v>
      </c>
      <c r="I5" s="7">
        <f>SUMIF(Data!A:A,Check!A5,Data!H:H)</f>
        <v>661095617</v>
      </c>
      <c r="J5" s="8">
        <f t="shared" si="0"/>
        <v>-1</v>
      </c>
      <c r="M5" s="6">
        <v>2017</v>
      </c>
      <c r="N5" s="7">
        <v>4027252</v>
      </c>
      <c r="O5" s="7">
        <f>SUMIF(Data!A:A,Check!A5,Data!I:I)</f>
        <v>4027254</v>
      </c>
      <c r="P5" s="7">
        <f t="shared" si="2"/>
        <v>-2</v>
      </c>
    </row>
    <row r="6" spans="1:26" ht="16" x14ac:dyDescent="0.2">
      <c r="A6" s="6">
        <v>2018</v>
      </c>
      <c r="B6" s="7">
        <v>101883279</v>
      </c>
      <c r="C6" s="7">
        <f>SUMIF(Data!A:A,Check!A6,Data!G:G)</f>
        <v>101883278</v>
      </c>
      <c r="D6" s="7">
        <f t="shared" si="1"/>
        <v>1</v>
      </c>
      <c r="G6" s="6">
        <v>2018</v>
      </c>
      <c r="H6" s="7">
        <v>679843579</v>
      </c>
      <c r="I6" s="7">
        <f>SUMIF(Data!A:A,Check!A6,Data!H:H)</f>
        <v>679843580</v>
      </c>
      <c r="J6" s="8">
        <f t="shared" si="0"/>
        <v>-1</v>
      </c>
      <c r="M6" s="6">
        <v>2018</v>
      </c>
      <c r="N6" s="7">
        <v>3435106</v>
      </c>
      <c r="O6" s="7">
        <f>SUMIF(Data!A:A,Check!A6,Data!I:I)</f>
        <v>3435104</v>
      </c>
      <c r="P6" s="7">
        <f t="shared" si="2"/>
        <v>2</v>
      </c>
    </row>
    <row r="7" spans="1:26" ht="16" x14ac:dyDescent="0.2">
      <c r="A7" s="6">
        <v>2019</v>
      </c>
      <c r="B7" s="7">
        <v>124977980</v>
      </c>
      <c r="C7" s="7">
        <f>SUMIF(Data!A:A,Check!A7,Data!G:G)</f>
        <v>124977982</v>
      </c>
      <c r="D7" s="7">
        <f t="shared" si="1"/>
        <v>-2</v>
      </c>
      <c r="G7" s="6">
        <v>2019</v>
      </c>
      <c r="H7" s="7">
        <v>650951891</v>
      </c>
      <c r="I7" s="7">
        <f>SUMIF(Data!A:A,Check!A7,Data!H:H)</f>
        <v>650951893</v>
      </c>
      <c r="J7" s="8">
        <f t="shared" si="0"/>
        <v>-2</v>
      </c>
      <c r="M7" s="6">
        <v>2019</v>
      </c>
      <c r="N7" s="7">
        <v>1974684</v>
      </c>
      <c r="O7" s="7">
        <f>SUMIF(Data!A:A,Check!A7,Data!I:I)</f>
        <v>1974685</v>
      </c>
      <c r="P7" s="7">
        <f>N7-O7</f>
        <v>-1</v>
      </c>
    </row>
    <row r="8" spans="1:26" ht="16" x14ac:dyDescent="0.2">
      <c r="A8" s="6">
        <v>2020</v>
      </c>
      <c r="B8" s="7">
        <v>145842014</v>
      </c>
      <c r="C8" s="7">
        <f>SUMIF(Data!A:A,Check!A8,Data!G:G)</f>
        <v>145842010</v>
      </c>
      <c r="D8" s="7">
        <f t="shared" si="1"/>
        <v>4</v>
      </c>
      <c r="G8" s="6">
        <v>2020</v>
      </c>
      <c r="H8" s="7">
        <v>673314260</v>
      </c>
      <c r="I8" s="7">
        <f>SUMIF(Data!A:A,Check!A8,Data!H:H)</f>
        <v>673314264</v>
      </c>
      <c r="J8" s="8">
        <f t="shared" si="0"/>
        <v>-4</v>
      </c>
      <c r="M8" s="6">
        <v>2020</v>
      </c>
      <c r="N8" s="7">
        <v>1707033</v>
      </c>
      <c r="O8" s="7">
        <f>SUMIF(Data!A:A,Check!A8,Data!I:I)</f>
        <v>1707035</v>
      </c>
      <c r="P8" s="7">
        <f t="shared" si="2"/>
        <v>-2</v>
      </c>
    </row>
    <row r="9" spans="1:26" ht="16" x14ac:dyDescent="0.2">
      <c r="A9" s="6">
        <v>2021</v>
      </c>
      <c r="B9" s="7">
        <v>173214968</v>
      </c>
      <c r="C9" s="7">
        <f>SUMIF(Data!A:A,Check!A9,Data!G:G)</f>
        <v>173214971</v>
      </c>
      <c r="D9" s="7">
        <f t="shared" si="1"/>
        <v>-3</v>
      </c>
      <c r="G9" s="6">
        <v>2021</v>
      </c>
      <c r="H9" s="7">
        <v>702128198</v>
      </c>
      <c r="I9" s="7">
        <f>SUMIF(Data!A:A,Check!A9,Data!H:H)</f>
        <v>702128203</v>
      </c>
      <c r="J9" s="8">
        <f t="shared" si="0"/>
        <v>-5</v>
      </c>
      <c r="M9" s="6">
        <v>2021</v>
      </c>
      <c r="N9" s="7">
        <v>1498182</v>
      </c>
      <c r="O9" s="7">
        <f>SUMIF(Data!A:A,Check!A9,Data!I:I)</f>
        <v>1498182</v>
      </c>
      <c r="P9" s="7">
        <f t="shared" si="2"/>
        <v>0</v>
      </c>
    </row>
    <row r="10" spans="1:26" ht="16" x14ac:dyDescent="0.2">
      <c r="A10" s="6">
        <v>2022</v>
      </c>
      <c r="B10" s="7">
        <v>211419012</v>
      </c>
      <c r="C10" s="7">
        <f>SUMIF(Data!A:A,Check!A10,Data!G:G)</f>
        <v>211419001</v>
      </c>
      <c r="D10" s="7">
        <f t="shared" si="1"/>
        <v>11</v>
      </c>
      <c r="G10" s="6">
        <v>2022</v>
      </c>
      <c r="H10" s="7">
        <v>730814329</v>
      </c>
      <c r="I10" s="7">
        <f>SUMIF(Data!A:A,Check!A10,Data!H:H)</f>
        <v>730814330</v>
      </c>
      <c r="J10" s="8">
        <f t="shared" si="0"/>
        <v>-1</v>
      </c>
      <c r="M10" s="6">
        <v>2022</v>
      </c>
      <c r="N10" s="7">
        <v>1162184</v>
      </c>
      <c r="O10" s="7">
        <f>SUMIF(Data!A:A,Check!A10,Data!I:I)</f>
        <v>1162186</v>
      </c>
      <c r="P10" s="7">
        <f t="shared" si="2"/>
        <v>-2</v>
      </c>
    </row>
    <row r="11" spans="1:26" ht="16" x14ac:dyDescent="0.2">
      <c r="A11" s="6">
        <v>2023</v>
      </c>
      <c r="B11" s="7">
        <v>255949107</v>
      </c>
      <c r="C11" s="7">
        <f>SUMIF(Data!A:A,Check!A11,Data!G:G)</f>
        <v>255949116</v>
      </c>
      <c r="D11" s="7">
        <f t="shared" si="1"/>
        <v>-9</v>
      </c>
      <c r="G11" s="6">
        <v>2023</v>
      </c>
      <c r="H11" s="7">
        <v>784541621</v>
      </c>
      <c r="I11" s="7">
        <f>SUMIF(Data!A:A,Check!A11,Data!H:H)</f>
        <v>784541622</v>
      </c>
      <c r="J11" s="8">
        <f t="shared" si="0"/>
        <v>-1</v>
      </c>
      <c r="M11" s="6">
        <v>2023</v>
      </c>
      <c r="N11" s="7">
        <v>919015</v>
      </c>
      <c r="O11" s="7">
        <f>SUMIF(Data!A:A,Check!A11,Data!I:I)</f>
        <v>919015</v>
      </c>
      <c r="P11" s="7">
        <f t="shared" si="2"/>
        <v>0</v>
      </c>
    </row>
    <row r="14" spans="1:26" ht="16" x14ac:dyDescent="0.2">
      <c r="F14" s="6">
        <v>2015</v>
      </c>
      <c r="H14" s="8">
        <f>SUM(B3,H3,N3)</f>
        <v>699645252</v>
      </c>
    </row>
    <row r="15" spans="1:26" ht="16" x14ac:dyDescent="0.2">
      <c r="F15" s="6">
        <v>2016</v>
      </c>
      <c r="H15" s="8">
        <f t="shared" ref="H15:H22" si="3">SUM(B4,H4,N4)</f>
        <v>728261880</v>
      </c>
    </row>
    <row r="16" spans="1:26" ht="16" x14ac:dyDescent="0.2">
      <c r="F16" s="6">
        <v>2017</v>
      </c>
      <c r="H16" s="8">
        <f t="shared" si="3"/>
        <v>747397821</v>
      </c>
    </row>
    <row r="17" spans="6:8" ht="16" x14ac:dyDescent="0.2">
      <c r="F17" s="6">
        <v>2018</v>
      </c>
      <c r="H17" s="8">
        <f t="shared" si="3"/>
        <v>785161964</v>
      </c>
    </row>
    <row r="18" spans="6:8" ht="16" x14ac:dyDescent="0.2">
      <c r="F18" s="6">
        <v>2019</v>
      </c>
      <c r="H18" s="8">
        <f t="shared" si="3"/>
        <v>777904555</v>
      </c>
    </row>
    <row r="19" spans="6:8" ht="16" x14ac:dyDescent="0.2">
      <c r="F19" s="6">
        <v>2020</v>
      </c>
      <c r="H19" s="8">
        <f t="shared" si="3"/>
        <v>820863307</v>
      </c>
    </row>
    <row r="20" spans="6:8" ht="16" x14ac:dyDescent="0.2">
      <c r="F20" s="6">
        <v>2021</v>
      </c>
      <c r="H20" s="8">
        <f t="shared" si="3"/>
        <v>876841348</v>
      </c>
    </row>
    <row r="21" spans="6:8" ht="16" x14ac:dyDescent="0.2">
      <c r="F21" s="6">
        <v>2022</v>
      </c>
      <c r="H21" s="8">
        <f t="shared" si="3"/>
        <v>943395525</v>
      </c>
    </row>
    <row r="22" spans="6:8" ht="16" x14ac:dyDescent="0.2">
      <c r="F22" s="6">
        <v>2023</v>
      </c>
      <c r="H22" s="8">
        <f t="shared" si="3"/>
        <v>1041409743</v>
      </c>
    </row>
  </sheetData>
  <mergeCells count="3">
    <mergeCell ref="G1:K1"/>
    <mergeCell ref="M1:R1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Kearney</cp:lastModifiedBy>
  <dcterms:created xsi:type="dcterms:W3CDTF">2025-03-13T02:18:43Z</dcterms:created>
  <dcterms:modified xsi:type="dcterms:W3CDTF">2025-03-13T02:18:43Z</dcterms:modified>
</cp:coreProperties>
</file>