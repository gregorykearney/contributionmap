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est Virginia/"/>
    </mc:Choice>
  </mc:AlternateContent>
  <xr:revisionPtr revIDLastSave="0" documentId="13_ncr:1_{D23949E1-38A7-0E45-97E2-FC439B916B03}" xr6:coauthVersionLast="47" xr6:coauthVersionMax="47" xr10:uidLastSave="{00000000-0000-0000-0000-000000000000}"/>
  <bookViews>
    <workbookView xWindow="0" yWindow="780" windowWidth="32440" windowHeight="20360" xr2:uid="{BDA1E1D9-8C0D-4A4E-B3E6-2C5455099378}"/>
  </bookViews>
  <sheets>
    <sheet name="File for Export" sheetId="4" r:id="rId1"/>
    <sheet name="GASB Files --&gt;" sheetId="3" r:id="rId2"/>
    <sheet name="Raw Data &amp; Formula Checks" sheetId="1" r:id="rId3"/>
    <sheet name="Edited File w State Contri" sheetId="2" r:id="rId4"/>
    <sheet name="NCES Match --&gt;" sheetId="6" r:id="rId5"/>
    <sheet name="Match" sheetId="5" r:id="rId6"/>
  </sheets>
  <definedNames>
    <definedName name="_xlnm._FilterDatabase" localSheetId="3" hidden="1">'Edited File w State Contri'!$A$1:$F$638</definedName>
    <definedName name="_xlnm._FilterDatabase" localSheetId="5" hidden="1">Match!$A$1:$B$84</definedName>
    <definedName name="_xlnm._FilterDatabase" localSheetId="2" hidden="1">'Raw Data &amp; Formula Checks'!$A$1:$F$740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2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2" i="2"/>
  <c r="Q25" i="2"/>
  <c r="Q26" i="2"/>
  <c r="Q27" i="2"/>
  <c r="Q28" i="2"/>
  <c r="Q29" i="2"/>
  <c r="Q31" i="2"/>
  <c r="Q24" i="2"/>
  <c r="F641" i="2"/>
  <c r="F642" i="2"/>
  <c r="F643" i="2"/>
  <c r="F644" i="2"/>
  <c r="F645" i="2"/>
  <c r="F647" i="2"/>
  <c r="F640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479" i="2"/>
  <c r="Q19" i="2"/>
  <c r="Q8" i="2"/>
  <c r="F743" i="1"/>
  <c r="F763" i="1" s="1"/>
  <c r="D744" i="1"/>
  <c r="D764" i="1" s="1"/>
  <c r="E744" i="1"/>
  <c r="E764" i="1" s="1"/>
  <c r="F744" i="1"/>
  <c r="F764" i="1" s="1"/>
  <c r="D745" i="1"/>
  <c r="D765" i="1" s="1"/>
  <c r="E745" i="1"/>
  <c r="E765" i="1" s="1"/>
  <c r="F745" i="1"/>
  <c r="F765" i="1" s="1"/>
  <c r="D746" i="1"/>
  <c r="D766" i="1" s="1"/>
  <c r="E746" i="1"/>
  <c r="E766" i="1" s="1"/>
  <c r="F746" i="1"/>
  <c r="F766" i="1" s="1"/>
  <c r="D747" i="1"/>
  <c r="D767" i="1" s="1"/>
  <c r="E747" i="1"/>
  <c r="E767" i="1" s="1"/>
  <c r="F747" i="1"/>
  <c r="F767" i="1" s="1"/>
  <c r="D748" i="1"/>
  <c r="D768" i="1" s="1"/>
  <c r="E748" i="1"/>
  <c r="E768" i="1" s="1"/>
  <c r="F748" i="1"/>
  <c r="F768" i="1" s="1"/>
  <c r="D749" i="1"/>
  <c r="F749" i="1" s="1"/>
  <c r="F769" i="1" s="1"/>
  <c r="E749" i="1"/>
  <c r="E769" i="1" s="1"/>
  <c r="D750" i="1"/>
  <c r="D770" i="1" s="1"/>
  <c r="E750" i="1"/>
  <c r="E770" i="1" s="1"/>
  <c r="E743" i="1"/>
  <c r="E763" i="1" s="1"/>
  <c r="D743" i="1"/>
  <c r="D763" i="1" s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574" i="1"/>
  <c r="F750" i="1" s="1"/>
  <c r="F770" i="1" s="1"/>
  <c r="F646" i="2" l="1"/>
  <c r="G603" i="2" s="1" a="1"/>
  <c r="G603" i="2" s="1"/>
  <c r="H603" i="2" s="1" a="1"/>
  <c r="H603" i="2" s="1"/>
  <c r="I603" i="2" s="1"/>
  <c r="Q30" i="2"/>
  <c r="G638" i="2" a="1"/>
  <c r="G638" i="2" s="1"/>
  <c r="H638" i="2" s="1" a="1"/>
  <c r="H638" i="2" s="1"/>
  <c r="I638" i="2" s="1"/>
  <c r="G628" i="2" a="1"/>
  <c r="G628" i="2" s="1"/>
  <c r="H628" i="2" s="1" a="1"/>
  <c r="H628" i="2" s="1"/>
  <c r="I628" i="2" s="1"/>
  <c r="G540" i="2" a="1"/>
  <c r="G540" i="2" s="1"/>
  <c r="H540" i="2" s="1" a="1"/>
  <c r="H540" i="2" s="1"/>
  <c r="I540" i="2" s="1"/>
  <c r="G551" i="2" a="1"/>
  <c r="G551" i="2" s="1"/>
  <c r="H551" i="2" s="1" a="1"/>
  <c r="H551" i="2" s="1"/>
  <c r="I551" i="2" s="1"/>
  <c r="G537" i="2" a="1"/>
  <c r="G537" i="2" s="1"/>
  <c r="H537" i="2" s="1" a="1"/>
  <c r="H537" i="2" s="1"/>
  <c r="I537" i="2" s="1"/>
  <c r="G627" i="2" a="1"/>
  <c r="G627" i="2" s="1"/>
  <c r="H627" i="2" s="1" a="1"/>
  <c r="H627" i="2" s="1"/>
  <c r="I627" i="2" s="1"/>
  <c r="G518" i="2" a="1"/>
  <c r="G518" i="2" s="1"/>
  <c r="H518" i="2" s="1" a="1"/>
  <c r="H518" i="2" s="1"/>
  <c r="I518" i="2" s="1"/>
  <c r="G517" i="2" a="1"/>
  <c r="G517" i="2" s="1"/>
  <c r="H517" i="2" s="1" a="1"/>
  <c r="H517" i="2" s="1"/>
  <c r="I517" i="2" s="1"/>
  <c r="G350" i="2" a="1"/>
  <c r="G350" i="2" s="1"/>
  <c r="H350" i="2" s="1" a="1"/>
  <c r="H350" i="2" s="1"/>
  <c r="I350" i="2" s="1"/>
  <c r="G515" i="2" a="1"/>
  <c r="G515" i="2" s="1"/>
  <c r="H515" i="2" s="1" a="1"/>
  <c r="H515" i="2" s="1"/>
  <c r="I515" i="2" s="1"/>
  <c r="G545" i="2" a="1"/>
  <c r="G545" i="2" s="1"/>
  <c r="H545" i="2" s="1" a="1"/>
  <c r="H545" i="2" s="1"/>
  <c r="I545" i="2" s="1"/>
  <c r="G21" i="2" a="1"/>
  <c r="G21" i="2" s="1"/>
  <c r="H21" i="2" s="1" a="1"/>
  <c r="H21" i="2" s="1"/>
  <c r="I21" i="2" s="1"/>
  <c r="G303" i="2" a="1"/>
  <c r="G303" i="2" s="1"/>
  <c r="H303" i="2" s="1" a="1"/>
  <c r="H303" i="2" s="1"/>
  <c r="I303" i="2" s="1"/>
  <c r="G624" i="2" a="1"/>
  <c r="G624" i="2" s="1"/>
  <c r="H624" i="2" s="1" a="1"/>
  <c r="H624" i="2" s="1"/>
  <c r="I624" i="2" s="1"/>
  <c r="G376" i="2" a="1"/>
  <c r="G376" i="2" s="1"/>
  <c r="H376" i="2" s="1" a="1"/>
  <c r="H376" i="2" s="1"/>
  <c r="I376" i="2" s="1"/>
  <c r="G312" i="2" a="1"/>
  <c r="G312" i="2" s="1"/>
  <c r="H312" i="2" s="1" a="1"/>
  <c r="H312" i="2" s="1"/>
  <c r="I312" i="2" s="1"/>
  <c r="G288" i="2" a="1"/>
  <c r="G288" i="2" s="1"/>
  <c r="H288" i="2" s="1" a="1"/>
  <c r="H288" i="2" s="1"/>
  <c r="I288" i="2" s="1"/>
  <c r="G275" i="2" a="1"/>
  <c r="G275" i="2" s="1"/>
  <c r="H275" i="2" s="1" a="1"/>
  <c r="H275" i="2" s="1"/>
  <c r="I275" i="2" s="1"/>
  <c r="G265" i="2" a="1"/>
  <c r="G265" i="2" s="1"/>
  <c r="H265" i="2" s="1" a="1"/>
  <c r="H265" i="2" s="1"/>
  <c r="I265" i="2" s="1"/>
  <c r="G241" i="2" a="1"/>
  <c r="G241" i="2" s="1"/>
  <c r="H241" i="2" s="1" a="1"/>
  <c r="H241" i="2" s="1"/>
  <c r="I241" i="2" s="1"/>
  <c r="G203" i="2" a="1"/>
  <c r="G203" i="2" s="1"/>
  <c r="H203" i="2" s="1" a="1"/>
  <c r="H203" i="2" s="1"/>
  <c r="I203" i="2" s="1"/>
  <c r="G191" i="2" a="1"/>
  <c r="G191" i="2" s="1"/>
  <c r="H191" i="2" s="1" a="1"/>
  <c r="H191" i="2" s="1"/>
  <c r="I191" i="2" s="1"/>
  <c r="G180" i="2" a="1"/>
  <c r="G180" i="2" s="1"/>
  <c r="H180" i="2" s="1" a="1"/>
  <c r="H180" i="2" s="1"/>
  <c r="I180" i="2" s="1"/>
  <c r="G168" i="2" a="1"/>
  <c r="G168" i="2" s="1"/>
  <c r="H168" i="2" s="1" a="1"/>
  <c r="H168" i="2" s="1"/>
  <c r="I168" i="2" s="1"/>
  <c r="G130" i="2" a="1"/>
  <c r="G130" i="2" s="1"/>
  <c r="H130" i="2" s="1" a="1"/>
  <c r="H130" i="2" s="1"/>
  <c r="I130" i="2" s="1"/>
  <c r="G70" i="2" a="1"/>
  <c r="G70" i="2" s="1"/>
  <c r="H70" i="2" s="1" a="1"/>
  <c r="H70" i="2" s="1"/>
  <c r="I70" i="2" s="1"/>
  <c r="G60" i="2" a="1"/>
  <c r="G60" i="2" s="1"/>
  <c r="H60" i="2" s="1" a="1"/>
  <c r="H60" i="2" s="1"/>
  <c r="I60" i="2" s="1"/>
  <c r="G392" i="2" a="1"/>
  <c r="G392" i="2" s="1"/>
  <c r="H392" i="2" s="1" a="1"/>
  <c r="H392" i="2" s="1"/>
  <c r="I392" i="2" s="1"/>
  <c r="G378" i="2" a="1"/>
  <c r="G378" i="2" s="1"/>
  <c r="H378" i="2" s="1" a="1"/>
  <c r="H378" i="2" s="1"/>
  <c r="I378" i="2" s="1"/>
  <c r="G352" i="2" a="1"/>
  <c r="G352" i="2" s="1"/>
  <c r="H352" i="2" s="1" a="1"/>
  <c r="H352" i="2" s="1"/>
  <c r="I352" i="2" s="1"/>
  <c r="G314" i="2" a="1"/>
  <c r="G314" i="2" s="1"/>
  <c r="H314" i="2" s="1" a="1"/>
  <c r="H314" i="2" s="1"/>
  <c r="I314" i="2" s="1"/>
  <c r="G279" i="2" a="1"/>
  <c r="G279" i="2" s="1"/>
  <c r="H279" i="2" s="1" a="1"/>
  <c r="H279" i="2" s="1"/>
  <c r="I279" i="2" s="1"/>
  <c r="G253" i="2" a="1"/>
  <c r="G253" i="2" s="1"/>
  <c r="H253" i="2" s="1" a="1"/>
  <c r="H253" i="2" s="1"/>
  <c r="I253" i="2" s="1"/>
  <c r="G242" i="2" a="1"/>
  <c r="G242" i="2" s="1"/>
  <c r="H242" i="2" s="1" a="1"/>
  <c r="H242" i="2" s="1"/>
  <c r="I242" i="2" s="1"/>
  <c r="G205" i="2" a="1"/>
  <c r="G205" i="2" s="1"/>
  <c r="H205" i="2" s="1" a="1"/>
  <c r="H205" i="2" s="1"/>
  <c r="I205" i="2" s="1"/>
  <c r="G158" i="2" a="1"/>
  <c r="G158" i="2" s="1"/>
  <c r="H158" i="2" s="1" a="1"/>
  <c r="H158" i="2" s="1"/>
  <c r="I158" i="2" s="1"/>
  <c r="G133" i="2" a="1"/>
  <c r="G133" i="2" s="1"/>
  <c r="H133" i="2" s="1" a="1"/>
  <c r="H133" i="2" s="1"/>
  <c r="I133" i="2" s="1"/>
  <c r="G84" i="2" a="1"/>
  <c r="G84" i="2" s="1"/>
  <c r="H84" i="2" s="1" a="1"/>
  <c r="H84" i="2" s="1"/>
  <c r="I84" i="2" s="1"/>
  <c r="G479" i="2" a="1"/>
  <c r="G479" i="2" s="1"/>
  <c r="H479" i="2" s="1" a="1"/>
  <c r="H479" i="2" s="1"/>
  <c r="I479" i="2" s="1"/>
  <c r="G488" i="2" a="1"/>
  <c r="G488" i="2" s="1"/>
  <c r="H488" i="2" s="1" a="1"/>
  <c r="H488" i="2" s="1"/>
  <c r="I488" i="2" s="1"/>
  <c r="G495" i="2" a="1"/>
  <c r="G495" i="2" s="1"/>
  <c r="H495" i="2" s="1" a="1"/>
  <c r="H495" i="2" s="1"/>
  <c r="I495" i="2" s="1"/>
  <c r="G3" i="2" a="1"/>
  <c r="G3" i="2" s="1"/>
  <c r="H3" i="2" s="1" a="1"/>
  <c r="H3" i="2" s="1"/>
  <c r="I3" i="2" s="1"/>
  <c r="G4" i="2" a="1"/>
  <c r="G4" i="2" s="1"/>
  <c r="H4" i="2" s="1" a="1"/>
  <c r="H4" i="2" s="1"/>
  <c r="I4" i="2" s="1"/>
  <c r="G10" i="2" a="1"/>
  <c r="G10" i="2" s="1"/>
  <c r="H10" i="2" s="1" a="1"/>
  <c r="H10" i="2" s="1"/>
  <c r="I10" i="2" s="1"/>
  <c r="G28" i="2" a="1"/>
  <c r="G28" i="2" s="1"/>
  <c r="H28" i="2" s="1" a="1"/>
  <c r="H28" i="2" s="1"/>
  <c r="I28" i="2" s="1"/>
  <c r="G45" i="2" a="1"/>
  <c r="G45" i="2" s="1"/>
  <c r="H45" i="2" s="1" a="1"/>
  <c r="H45" i="2" s="1"/>
  <c r="I45" i="2" s="1"/>
  <c r="G57" i="2" a="1"/>
  <c r="G57" i="2" s="1"/>
  <c r="H57" i="2" s="1" a="1"/>
  <c r="H57" i="2" s="1"/>
  <c r="I57" i="2" s="1"/>
  <c r="G67" i="2" a="1"/>
  <c r="G67" i="2" s="1"/>
  <c r="H67" i="2" s="1" a="1"/>
  <c r="H67" i="2" s="1"/>
  <c r="I67" i="2" s="1"/>
  <c r="G74" i="2" a="1"/>
  <c r="G74" i="2" s="1"/>
  <c r="H74" i="2" s="1" a="1"/>
  <c r="H74" i="2" s="1"/>
  <c r="I74" i="2" s="1"/>
  <c r="G91" i="2" a="1"/>
  <c r="G91" i="2" s="1"/>
  <c r="H91" i="2" s="1" a="1"/>
  <c r="H91" i="2" s="1"/>
  <c r="I91" i="2" s="1"/>
  <c r="G119" i="2" a="1"/>
  <c r="G119" i="2" s="1"/>
  <c r="H119" i="2" s="1" a="1"/>
  <c r="H119" i="2" s="1"/>
  <c r="I119" i="2" s="1"/>
  <c r="G125" i="2" a="1"/>
  <c r="G125" i="2" s="1"/>
  <c r="H125" i="2" s="1" a="1"/>
  <c r="H125" i="2" s="1"/>
  <c r="I125" i="2" s="1"/>
  <c r="G137" i="2" a="1"/>
  <c r="G137" i="2" s="1"/>
  <c r="H137" i="2" s="1" a="1"/>
  <c r="H137" i="2" s="1"/>
  <c r="I137" i="2" s="1"/>
  <c r="G148" i="2" a="1"/>
  <c r="G148" i="2" s="1"/>
  <c r="H148" i="2" s="1" a="1"/>
  <c r="H148" i="2" s="1"/>
  <c r="I148" i="2" s="1"/>
  <c r="G164" i="2" a="1"/>
  <c r="G164" i="2" s="1"/>
  <c r="H164" i="2" s="1" a="1"/>
  <c r="H164" i="2" s="1"/>
  <c r="I164" i="2" s="1"/>
  <c r="G193" i="2" a="1"/>
  <c r="G193" i="2" s="1"/>
  <c r="H193" i="2" s="1" a="1"/>
  <c r="H193" i="2" s="1"/>
  <c r="I193" i="2" s="1"/>
  <c r="G198" i="2" a="1"/>
  <c r="G198" i="2" s="1"/>
  <c r="H198" i="2" s="1" a="1"/>
  <c r="H198" i="2" s="1"/>
  <c r="I198" i="2" s="1"/>
  <c r="G204" i="2" a="1"/>
  <c r="G204" i="2" s="1"/>
  <c r="H204" i="2" s="1" a="1"/>
  <c r="H204" i="2" s="1"/>
  <c r="I204" i="2" s="1"/>
  <c r="G209" i="2" a="1"/>
  <c r="G209" i="2" s="1"/>
  <c r="H209" i="2" s="1" a="1"/>
  <c r="H209" i="2" s="1"/>
  <c r="I209" i="2" s="1"/>
  <c r="G221" i="2" a="1"/>
  <c r="G221" i="2" s="1"/>
  <c r="H221" i="2" s="1" a="1"/>
  <c r="H221" i="2" s="1"/>
  <c r="I221" i="2" s="1"/>
  <c r="G244" i="2" a="1"/>
  <c r="G244" i="2" s="1"/>
  <c r="H244" i="2" s="1" a="1"/>
  <c r="H244" i="2" s="1"/>
  <c r="I244" i="2" s="1"/>
  <c r="G255" i="2" a="1"/>
  <c r="G255" i="2" s="1"/>
  <c r="H255" i="2" s="1" a="1"/>
  <c r="H255" i="2" s="1"/>
  <c r="I255" i="2" s="1"/>
  <c r="G260" i="2" a="1"/>
  <c r="G260" i="2" s="1"/>
  <c r="H260" i="2" s="1" a="1"/>
  <c r="H260" i="2" s="1"/>
  <c r="I260" i="2" s="1"/>
  <c r="G272" i="2" a="1"/>
  <c r="G272" i="2" s="1"/>
  <c r="H272" i="2" s="1" a="1"/>
  <c r="H272" i="2" s="1"/>
  <c r="I272" i="2" s="1"/>
  <c r="G289" i="2" a="1"/>
  <c r="G289" i="2" s="1"/>
  <c r="H289" i="2" s="1" a="1"/>
  <c r="H289" i="2" s="1"/>
  <c r="I289" i="2" s="1"/>
  <c r="G318" i="2" a="1"/>
  <c r="G318" i="2" s="1"/>
  <c r="H318" i="2" s="1" a="1"/>
  <c r="H318" i="2" s="1"/>
  <c r="I318" i="2" s="1"/>
  <c r="G336" i="2" a="1"/>
  <c r="G336" i="2" s="1"/>
  <c r="H336" i="2" s="1" a="1"/>
  <c r="H336" i="2" s="1"/>
  <c r="I336" i="2" s="1"/>
  <c r="G349" i="2" a="1"/>
  <c r="G349" i="2" s="1"/>
  <c r="H349" i="2" s="1" a="1"/>
  <c r="H349" i="2" s="1"/>
  <c r="I349" i="2" s="1"/>
  <c r="G354" i="2" a="1"/>
  <c r="G354" i="2" s="1"/>
  <c r="H354" i="2" s="1" a="1"/>
  <c r="H354" i="2" s="1"/>
  <c r="I354" i="2" s="1"/>
  <c r="G367" i="2" a="1"/>
  <c r="G367" i="2" s="1"/>
  <c r="H367" i="2" s="1" a="1"/>
  <c r="H367" i="2" s="1"/>
  <c r="I367" i="2" s="1"/>
  <c r="G385" i="2" a="1"/>
  <c r="G385" i="2" s="1"/>
  <c r="H385" i="2" s="1" a="1"/>
  <c r="H385" i="2" s="1"/>
  <c r="I385" i="2" s="1"/>
  <c r="G390" i="2" a="1"/>
  <c r="G390" i="2" s="1"/>
  <c r="H390" i="2" s="1" a="1"/>
  <c r="H390" i="2" s="1"/>
  <c r="I390" i="2" s="1"/>
  <c r="G403" i="2" a="1"/>
  <c r="G403" i="2" s="1"/>
  <c r="H403" i="2" s="1" a="1"/>
  <c r="H403" i="2" s="1"/>
  <c r="I403" i="2" s="1"/>
  <c r="G409" i="2" a="1"/>
  <c r="G409" i="2" s="1"/>
  <c r="H409" i="2" s="1" a="1"/>
  <c r="H409" i="2" s="1"/>
  <c r="I409" i="2" s="1"/>
  <c r="G428" i="2" a="1"/>
  <c r="G428" i="2" s="1"/>
  <c r="H428" i="2" s="1" a="1"/>
  <c r="H428" i="2" s="1"/>
  <c r="I428" i="2" s="1"/>
  <c r="G458" i="2" a="1"/>
  <c r="G458" i="2" s="1"/>
  <c r="H458" i="2" s="1" a="1"/>
  <c r="H458" i="2" s="1"/>
  <c r="I458" i="2" s="1"/>
  <c r="G464" i="2" a="1"/>
  <c r="G464" i="2" s="1"/>
  <c r="H464" i="2" s="1" a="1"/>
  <c r="H464" i="2" s="1"/>
  <c r="I464" i="2" s="1"/>
  <c r="G477" i="2" a="1"/>
  <c r="G477" i="2" s="1"/>
  <c r="H477" i="2" s="1" a="1"/>
  <c r="H477" i="2" s="1"/>
  <c r="I477" i="2" s="1"/>
  <c r="G11" i="2" a="1"/>
  <c r="G11" i="2" s="1"/>
  <c r="H11" i="2" s="1" a="1"/>
  <c r="H11" i="2" s="1"/>
  <c r="I11" i="2" s="1"/>
  <c r="G40" i="2" a="1"/>
  <c r="G40" i="2" s="1"/>
  <c r="H40" i="2" s="1" a="1"/>
  <c r="H40" i="2" s="1"/>
  <c r="I40" i="2" s="1"/>
  <c r="G63" i="2" a="1"/>
  <c r="G63" i="2" s="1"/>
  <c r="H63" i="2" s="1" a="1"/>
  <c r="H63" i="2" s="1"/>
  <c r="I63" i="2" s="1"/>
  <c r="G68" i="2" a="1"/>
  <c r="G68" i="2" s="1"/>
  <c r="H68" i="2" s="1" a="1"/>
  <c r="H68" i="2" s="1"/>
  <c r="I68" i="2" s="1"/>
  <c r="G86" i="2" a="1"/>
  <c r="G86" i="2" s="1"/>
  <c r="H86" i="2" s="1" a="1"/>
  <c r="H86" i="2" s="1"/>
  <c r="I86" i="2" s="1"/>
  <c r="G92" i="2" a="1"/>
  <c r="G92" i="2" s="1"/>
  <c r="H92" i="2" s="1" a="1"/>
  <c r="H92" i="2" s="1"/>
  <c r="I92" i="2" s="1"/>
  <c r="G102" i="2" a="1"/>
  <c r="G102" i="2" s="1"/>
  <c r="H102" i="2" s="1" a="1"/>
  <c r="H102" i="2" s="1"/>
  <c r="I102" i="2" s="1"/>
  <c r="G120" i="2" a="1"/>
  <c r="G120" i="2" s="1"/>
  <c r="H120" i="2" s="1" a="1"/>
  <c r="H120" i="2" s="1"/>
  <c r="I120" i="2" s="1"/>
  <c r="G126" i="2" a="1"/>
  <c r="G126" i="2" s="1"/>
  <c r="H126" i="2" s="1" a="1"/>
  <c r="H126" i="2" s="1"/>
  <c r="I126" i="2" s="1"/>
  <c r="G131" i="2" a="1"/>
  <c r="G131" i="2" s="1"/>
  <c r="H131" i="2" s="1" a="1"/>
  <c r="H131" i="2" s="1"/>
  <c r="I131" i="2" s="1"/>
  <c r="G143" i="2" a="1"/>
  <c r="G143" i="2" s="1"/>
  <c r="H143" i="2" s="1" a="1"/>
  <c r="H143" i="2" s="1"/>
  <c r="I143" i="2" s="1"/>
  <c r="G154" i="2" a="1"/>
  <c r="G154" i="2" s="1"/>
  <c r="H154" i="2" s="1" a="1"/>
  <c r="H154" i="2" s="1"/>
  <c r="I154" i="2" s="1"/>
  <c r="G171" i="2" a="1"/>
  <c r="G171" i="2" s="1"/>
  <c r="H171" i="2" s="1" a="1"/>
  <c r="H171" i="2" s="1"/>
  <c r="I171" i="2" s="1"/>
  <c r="G182" i="2" a="1"/>
  <c r="G182" i="2" s="1"/>
  <c r="H182" i="2" s="1" a="1"/>
  <c r="H182" i="2" s="1"/>
  <c r="I182" i="2" s="1"/>
  <c r="G199" i="2" a="1"/>
  <c r="G199" i="2" s="1"/>
  <c r="H199" i="2" s="1" a="1"/>
  <c r="H199" i="2" s="1"/>
  <c r="I199" i="2" s="1"/>
  <c r="G210" i="2" a="1"/>
  <c r="G210" i="2" s="1"/>
  <c r="H210" i="2" s="1" a="1"/>
  <c r="H210" i="2" s="1"/>
  <c r="I210" i="2" s="1"/>
  <c r="G222" i="2" a="1"/>
  <c r="G222" i="2" s="1"/>
  <c r="H222" i="2" s="1" a="1"/>
  <c r="H222" i="2" s="1"/>
  <c r="I222" i="2" s="1"/>
  <c r="G245" i="2" a="1"/>
  <c r="G245" i="2" s="1"/>
  <c r="H245" i="2" s="1" a="1"/>
  <c r="H245" i="2" s="1"/>
  <c r="I245" i="2" s="1"/>
  <c r="G250" i="2" a="1"/>
  <c r="G250" i="2" s="1"/>
  <c r="H250" i="2" s="1" a="1"/>
  <c r="H250" i="2" s="1"/>
  <c r="I250" i="2" s="1"/>
  <c r="G256" i="2" a="1"/>
  <c r="G256" i="2" s="1"/>
  <c r="H256" i="2" s="1" a="1"/>
  <c r="H256" i="2" s="1"/>
  <c r="I256" i="2" s="1"/>
  <c r="G261" i="2" a="1"/>
  <c r="G261" i="2" s="1"/>
  <c r="H261" i="2" s="1" a="1"/>
  <c r="H261" i="2" s="1"/>
  <c r="I261" i="2" s="1"/>
  <c r="G278" i="2" a="1"/>
  <c r="G278" i="2" s="1"/>
  <c r="H278" i="2" s="1" a="1"/>
  <c r="H278" i="2" s="1"/>
  <c r="I278" i="2" s="1"/>
  <c r="G307" i="2" a="1"/>
  <c r="G307" i="2" s="1"/>
  <c r="H307" i="2" s="1" a="1"/>
  <c r="H307" i="2" s="1"/>
  <c r="I307" i="2" s="1"/>
  <c r="G313" i="2" a="1"/>
  <c r="G313" i="2" s="1"/>
  <c r="H313" i="2" s="1" a="1"/>
  <c r="H313" i="2" s="1"/>
  <c r="I313" i="2" s="1"/>
  <c r="G323" i="2" a="1"/>
  <c r="G323" i="2" s="1"/>
  <c r="H323" i="2" s="1" a="1"/>
  <c r="H323" i="2" s="1"/>
  <c r="I323" i="2" s="1"/>
  <c r="G330" i="2" a="1"/>
  <c r="G330" i="2" s="1"/>
  <c r="H330" i="2" s="1" a="1"/>
  <c r="H330" i="2" s="1"/>
  <c r="I330" i="2" s="1"/>
  <c r="G355" i="2" a="1"/>
  <c r="G355" i="2" s="1"/>
  <c r="H355" i="2" s="1" a="1"/>
  <c r="H355" i="2" s="1"/>
  <c r="I355" i="2" s="1"/>
  <c r="G380" i="2" a="1"/>
  <c r="G380" i="2" s="1"/>
  <c r="H380" i="2" s="1" a="1"/>
  <c r="H380" i="2" s="1"/>
  <c r="I380" i="2" s="1"/>
  <c r="G391" i="2" a="1"/>
  <c r="G391" i="2" s="1"/>
  <c r="H391" i="2" s="1" a="1"/>
  <c r="H391" i="2" s="1"/>
  <c r="I391" i="2" s="1"/>
  <c r="G398" i="2" a="1"/>
  <c r="G398" i="2" s="1"/>
  <c r="H398" i="2" s="1" a="1"/>
  <c r="H398" i="2" s="1"/>
  <c r="I398" i="2" s="1"/>
  <c r="G410" i="2" a="1"/>
  <c r="G410" i="2" s="1"/>
  <c r="H410" i="2" s="1" a="1"/>
  <c r="H410" i="2" s="1"/>
  <c r="I410" i="2" s="1"/>
  <c r="G429" i="2" a="1"/>
  <c r="G429" i="2" s="1"/>
  <c r="H429" i="2" s="1" a="1"/>
  <c r="H429" i="2" s="1"/>
  <c r="I429" i="2" s="1"/>
  <c r="G447" i="2" a="1"/>
  <c r="G447" i="2" s="1"/>
  <c r="H447" i="2" s="1" a="1"/>
  <c r="H447" i="2" s="1"/>
  <c r="I447" i="2" s="1"/>
  <c r="G452" i="2" a="1"/>
  <c r="G452" i="2" s="1"/>
  <c r="H452" i="2" s="1" a="1"/>
  <c r="H452" i="2" s="1"/>
  <c r="I452" i="2" s="1"/>
  <c r="G459" i="2" a="1"/>
  <c r="G459" i="2" s="1"/>
  <c r="H459" i="2" s="1" a="1"/>
  <c r="H459" i="2" s="1"/>
  <c r="I459" i="2" s="1"/>
  <c r="G465" i="2" a="1"/>
  <c r="G465" i="2" s="1"/>
  <c r="H465" i="2" s="1" a="1"/>
  <c r="H465" i="2" s="1"/>
  <c r="I465" i="2" s="1"/>
  <c r="G5" i="2" a="1"/>
  <c r="G5" i="2" s="1"/>
  <c r="H5" i="2" s="1" a="1"/>
  <c r="H5" i="2" s="1"/>
  <c r="I5" i="2" s="1"/>
  <c r="G13" i="2" a="1"/>
  <c r="G13" i="2" s="1"/>
  <c r="H13" i="2" s="1" a="1"/>
  <c r="H13" i="2" s="1"/>
  <c r="I13" i="2" s="1"/>
  <c r="G7" i="2" a="1"/>
  <c r="G7" i="2" s="1"/>
  <c r="H7" i="2" s="1" a="1"/>
  <c r="H7" i="2" s="1"/>
  <c r="I7" i="2" s="1"/>
  <c r="G8" i="2" a="1"/>
  <c r="G8" i="2" s="1"/>
  <c r="H8" i="2" s="1" a="1"/>
  <c r="H8" i="2" s="1"/>
  <c r="I8" i="2" s="1"/>
  <c r="G9" i="2" a="1"/>
  <c r="G9" i="2" s="1"/>
  <c r="H9" i="2" s="1" a="1"/>
  <c r="H9" i="2" s="1"/>
  <c r="I9" i="2" s="1"/>
  <c r="G26" i="2" a="1"/>
  <c r="G26" i="2" s="1"/>
  <c r="H26" i="2" s="1" a="1"/>
  <c r="H26" i="2" s="1"/>
  <c r="I26" i="2" s="1"/>
  <c r="G34" i="2" a="1"/>
  <c r="G34" i="2" s="1"/>
  <c r="H34" i="2" s="1" a="1"/>
  <c r="H34" i="2" s="1"/>
  <c r="I34" i="2" s="1"/>
  <c r="G42" i="2" a="1"/>
  <c r="G42" i="2" s="1"/>
  <c r="H42" i="2" s="1" a="1"/>
  <c r="H42" i="2" s="1"/>
  <c r="I42" i="2" s="1"/>
  <c r="G49" i="2" a="1"/>
  <c r="G49" i="2" s="1"/>
  <c r="H49" i="2" s="1" a="1"/>
  <c r="H49" i="2" s="1"/>
  <c r="I49" i="2" s="1"/>
  <c r="G58" i="2" a="1"/>
  <c r="G58" i="2" s="1"/>
  <c r="H58" i="2" s="1" a="1"/>
  <c r="H58" i="2" s="1"/>
  <c r="I58" i="2" s="1"/>
  <c r="G65" i="2" a="1"/>
  <c r="G65" i="2" s="1"/>
  <c r="H65" i="2" s="1" a="1"/>
  <c r="H65" i="2" s="1"/>
  <c r="I65" i="2" s="1"/>
  <c r="G73" i="2" a="1"/>
  <c r="G73" i="2" s="1"/>
  <c r="H73" i="2" s="1" a="1"/>
  <c r="H73" i="2" s="1"/>
  <c r="I73" i="2" s="1"/>
  <c r="G81" i="2" a="1"/>
  <c r="G81" i="2" s="1"/>
  <c r="H81" i="2" s="1" a="1"/>
  <c r="H81" i="2" s="1"/>
  <c r="I81" i="2" s="1"/>
  <c r="G95" i="2" a="1"/>
  <c r="G95" i="2" s="1"/>
  <c r="H95" i="2" s="1" a="1"/>
  <c r="H95" i="2" s="1"/>
  <c r="I95" i="2" s="1"/>
  <c r="G103" i="2" a="1"/>
  <c r="G103" i="2" s="1"/>
  <c r="H103" i="2" s="1" a="1"/>
  <c r="H103" i="2" s="1"/>
  <c r="I103" i="2" s="1"/>
  <c r="G110" i="2" a="1"/>
  <c r="G110" i="2" s="1"/>
  <c r="H110" i="2" s="1" a="1"/>
  <c r="H110" i="2" s="1"/>
  <c r="I110" i="2" s="1"/>
  <c r="G141" i="2" a="1"/>
  <c r="G141" i="2" s="1"/>
  <c r="H141" i="2" s="1" a="1"/>
  <c r="H141" i="2" s="1"/>
  <c r="I141" i="2" s="1"/>
  <c r="G172" i="2" a="1"/>
  <c r="G172" i="2" s="1"/>
  <c r="H172" i="2" s="1" a="1"/>
  <c r="H172" i="2" s="1"/>
  <c r="I172" i="2" s="1"/>
  <c r="G186" i="2" a="1"/>
  <c r="G186" i="2" s="1"/>
  <c r="H186" i="2" s="1" a="1"/>
  <c r="H186" i="2" s="1"/>
  <c r="I186" i="2" s="1"/>
  <c r="G194" i="2" a="1"/>
  <c r="G194" i="2" s="1"/>
  <c r="H194" i="2" s="1" a="1"/>
  <c r="H194" i="2" s="1"/>
  <c r="I194" i="2" s="1"/>
  <c r="G208" i="2" a="1"/>
  <c r="G208" i="2" s="1"/>
  <c r="H208" i="2" s="1" a="1"/>
  <c r="H208" i="2" s="1"/>
  <c r="I208" i="2" s="1"/>
  <c r="G224" i="2" a="1"/>
  <c r="G224" i="2" s="1"/>
  <c r="H224" i="2" s="1" a="1"/>
  <c r="H224" i="2" s="1"/>
  <c r="I224" i="2" s="1"/>
  <c r="G231" i="2" a="1"/>
  <c r="G231" i="2" s="1"/>
  <c r="H231" i="2" s="1" a="1"/>
  <c r="H231" i="2" s="1"/>
  <c r="I231" i="2" s="1"/>
  <c r="G240" i="2" a="1"/>
  <c r="G240" i="2" s="1"/>
  <c r="H240" i="2" s="1" a="1"/>
  <c r="H240" i="2" s="1"/>
  <c r="I240" i="2" s="1"/>
  <c r="G247" i="2" a="1"/>
  <c r="G247" i="2" s="1"/>
  <c r="H247" i="2" s="1" a="1"/>
  <c r="H247" i="2" s="1"/>
  <c r="I247" i="2" s="1"/>
  <c r="G254" i="2" a="1"/>
  <c r="G254" i="2" s="1"/>
  <c r="H254" i="2" s="1" a="1"/>
  <c r="H254" i="2" s="1"/>
  <c r="I254" i="2" s="1"/>
  <c r="G262" i="2" a="1"/>
  <c r="G262" i="2" s="1"/>
  <c r="H262" i="2" s="1" a="1"/>
  <c r="H262" i="2" s="1"/>
  <c r="I262" i="2" s="1"/>
  <c r="G269" i="2" a="1"/>
  <c r="G269" i="2" s="1"/>
  <c r="H269" i="2" s="1" a="1"/>
  <c r="H269" i="2" s="1"/>
  <c r="I269" i="2" s="1"/>
  <c r="G276" i="2" a="1"/>
  <c r="G276" i="2" s="1"/>
  <c r="H276" i="2" s="1" a="1"/>
  <c r="H276" i="2" s="1"/>
  <c r="I276" i="2" s="1"/>
  <c r="G285" i="2" a="1"/>
  <c r="G285" i="2" s="1"/>
  <c r="H285" i="2" s="1" a="1"/>
  <c r="H285" i="2" s="1"/>
  <c r="I285" i="2" s="1"/>
  <c r="G291" i="2" a="1"/>
  <c r="G291" i="2" s="1"/>
  <c r="H291" i="2" s="1" a="1"/>
  <c r="H291" i="2" s="1"/>
  <c r="I291" i="2" s="1"/>
  <c r="G300" i="2" a="1"/>
  <c r="G300" i="2" s="1"/>
  <c r="H300" i="2" s="1" a="1"/>
  <c r="H300" i="2" s="1"/>
  <c r="I300" i="2" s="1"/>
  <c r="G308" i="2" a="1"/>
  <c r="G308" i="2" s="1"/>
  <c r="H308" i="2" s="1" a="1"/>
  <c r="H308" i="2" s="1"/>
  <c r="I308" i="2" s="1"/>
  <c r="G315" i="2" a="1"/>
  <c r="G315" i="2" s="1"/>
  <c r="H315" i="2" s="1" a="1"/>
  <c r="H315" i="2" s="1"/>
  <c r="I315" i="2" s="1"/>
  <c r="G347" i="2" a="1"/>
  <c r="G347" i="2" s="1"/>
  <c r="H347" i="2" s="1" a="1"/>
  <c r="H347" i="2" s="1"/>
  <c r="I347" i="2" s="1"/>
  <c r="G364" i="2" a="1"/>
  <c r="G364" i="2" s="1"/>
  <c r="H364" i="2" s="1" a="1"/>
  <c r="H364" i="2" s="1"/>
  <c r="I364" i="2" s="1"/>
  <c r="G371" i="2" a="1"/>
  <c r="G371" i="2" s="1"/>
  <c r="H371" i="2" s="1" a="1"/>
  <c r="H371" i="2" s="1"/>
  <c r="I371" i="2" s="1"/>
  <c r="G381" i="2" a="1"/>
  <c r="G381" i="2" s="1"/>
  <c r="H381" i="2" s="1" a="1"/>
  <c r="H381" i="2" s="1"/>
  <c r="I381" i="2" s="1"/>
  <c r="G396" i="2" a="1"/>
  <c r="G396" i="2" s="1"/>
  <c r="H396" i="2" s="1" a="1"/>
  <c r="H396" i="2" s="1"/>
  <c r="I396" i="2" s="1"/>
  <c r="G404" i="2" a="1"/>
  <c r="G404" i="2" s="1"/>
  <c r="H404" i="2" s="1" a="1"/>
  <c r="H404" i="2" s="1"/>
  <c r="I404" i="2" s="1"/>
  <c r="G413" i="2" a="1"/>
  <c r="G413" i="2" s="1"/>
  <c r="H413" i="2" s="1" a="1"/>
  <c r="H413" i="2" s="1"/>
  <c r="I413" i="2" s="1"/>
  <c r="G436" i="2" a="1"/>
  <c r="G436" i="2" s="1"/>
  <c r="H436" i="2" s="1" a="1"/>
  <c r="H436" i="2" s="1"/>
  <c r="I436" i="2" s="1"/>
  <c r="G445" i="2" a="1"/>
  <c r="G445" i="2" s="1"/>
  <c r="H445" i="2" s="1" a="1"/>
  <c r="H445" i="2" s="1"/>
  <c r="I445" i="2" s="1"/>
  <c r="G453" i="2" a="1"/>
  <c r="G453" i="2" s="1"/>
  <c r="H453" i="2" s="1" a="1"/>
  <c r="H453" i="2" s="1"/>
  <c r="I453" i="2" s="1"/>
  <c r="G468" i="2" a="1"/>
  <c r="G468" i="2" s="1"/>
  <c r="H468" i="2" s="1" a="1"/>
  <c r="H468" i="2" s="1"/>
  <c r="I468" i="2" s="1"/>
  <c r="G478" i="2" a="1"/>
  <c r="G478" i="2" s="1"/>
  <c r="H478" i="2" s="1" a="1"/>
  <c r="H478" i="2" s="1"/>
  <c r="I478" i="2" s="1"/>
  <c r="G562" i="2" a="1"/>
  <c r="G562" i="2" s="1"/>
  <c r="H562" i="2" s="1" a="1"/>
  <c r="H562" i="2" s="1"/>
  <c r="I562" i="2" s="1"/>
  <c r="G567" i="2" a="1"/>
  <c r="G567" i="2" s="1"/>
  <c r="H567" i="2" s="1" a="1"/>
  <c r="H567" i="2" s="1"/>
  <c r="I567" i="2" s="1"/>
  <c r="G572" i="2" a="1"/>
  <c r="G572" i="2" s="1"/>
  <c r="H572" i="2" s="1" a="1"/>
  <c r="H572" i="2" s="1"/>
  <c r="I572" i="2" s="1"/>
  <c r="G581" i="2" a="1"/>
  <c r="G581" i="2" s="1"/>
  <c r="H581" i="2" s="1" a="1"/>
  <c r="H581" i="2" s="1"/>
  <c r="I581" i="2" s="1"/>
  <c r="G590" i="2" a="1"/>
  <c r="G590" i="2" s="1"/>
  <c r="H590" i="2" s="1" a="1"/>
  <c r="H590" i="2" s="1"/>
  <c r="I590" i="2" s="1"/>
  <c r="G595" i="2" a="1"/>
  <c r="G595" i="2" s="1"/>
  <c r="H595" i="2" s="1" a="1"/>
  <c r="H595" i="2" s="1"/>
  <c r="I595" i="2" s="1"/>
  <c r="G606" i="2" a="1"/>
  <c r="G606" i="2" s="1"/>
  <c r="H606" i="2" s="1" a="1"/>
  <c r="H606" i="2" s="1"/>
  <c r="I606" i="2" s="1"/>
  <c r="G611" i="2" a="1"/>
  <c r="G611" i="2" s="1"/>
  <c r="H611" i="2" s="1" a="1"/>
  <c r="H611" i="2" s="1"/>
  <c r="I611" i="2" s="1"/>
  <c r="G12" i="2" a="1"/>
  <c r="G12" i="2" s="1"/>
  <c r="H12" i="2" s="1" a="1"/>
  <c r="H12" i="2" s="1"/>
  <c r="I12" i="2" s="1"/>
  <c r="G19" i="2" a="1"/>
  <c r="G19" i="2" s="1"/>
  <c r="H19" i="2" s="1" a="1"/>
  <c r="H19" i="2" s="1"/>
  <c r="I19" i="2" s="1"/>
  <c r="G27" i="2" a="1"/>
  <c r="G27" i="2" s="1"/>
  <c r="H27" i="2" s="1" a="1"/>
  <c r="H27" i="2" s="1"/>
  <c r="I27" i="2" s="1"/>
  <c r="G43" i="2" a="1"/>
  <c r="G43" i="2" s="1"/>
  <c r="H43" i="2" s="1" a="1"/>
  <c r="H43" i="2" s="1"/>
  <c r="I43" i="2" s="1"/>
  <c r="G50" i="2" a="1"/>
  <c r="G50" i="2" s="1"/>
  <c r="H50" i="2" s="1" a="1"/>
  <c r="H50" i="2" s="1"/>
  <c r="I50" i="2" s="1"/>
  <c r="G59" i="2" a="1"/>
  <c r="G59" i="2" s="1"/>
  <c r="H59" i="2" s="1" a="1"/>
  <c r="H59" i="2" s="1"/>
  <c r="I59" i="2" s="1"/>
  <c r="G82" i="2" a="1"/>
  <c r="G82" i="2" s="1"/>
  <c r="H82" i="2" s="1" a="1"/>
  <c r="H82" i="2" s="1"/>
  <c r="I82" i="2" s="1"/>
  <c r="G89" i="2" a="1"/>
  <c r="G89" i="2" s="1"/>
  <c r="H89" i="2" s="1" a="1"/>
  <c r="H89" i="2" s="1"/>
  <c r="I89" i="2" s="1"/>
  <c r="G96" i="2" a="1"/>
  <c r="G96" i="2" s="1"/>
  <c r="H96" i="2" s="1" a="1"/>
  <c r="H96" i="2" s="1"/>
  <c r="I96" i="2" s="1"/>
  <c r="G104" i="2" a="1"/>
  <c r="G104" i="2" s="1"/>
  <c r="H104" i="2" s="1" a="1"/>
  <c r="H104" i="2" s="1"/>
  <c r="I104" i="2" s="1"/>
  <c r="G111" i="2" a="1"/>
  <c r="G111" i="2" s="1"/>
  <c r="H111" i="2" s="1" a="1"/>
  <c r="H111" i="2" s="1"/>
  <c r="I111" i="2" s="1"/>
  <c r="G118" i="2" a="1"/>
  <c r="G118" i="2" s="1"/>
  <c r="H118" i="2" s="1" a="1"/>
  <c r="H118" i="2" s="1"/>
  <c r="I118" i="2" s="1"/>
  <c r="G127" i="2" a="1"/>
  <c r="G127" i="2" s="1"/>
  <c r="H127" i="2" s="1" a="1"/>
  <c r="H127" i="2" s="1"/>
  <c r="I127" i="2" s="1"/>
  <c r="G134" i="2" a="1"/>
  <c r="G134" i="2" s="1"/>
  <c r="H134" i="2" s="1" a="1"/>
  <c r="H134" i="2" s="1"/>
  <c r="I134" i="2" s="1"/>
  <c r="G142" i="2" a="1"/>
  <c r="G142" i="2" s="1"/>
  <c r="H142" i="2" s="1" a="1"/>
  <c r="H142" i="2" s="1"/>
  <c r="I142" i="2" s="1"/>
  <c r="G150" i="2" a="1"/>
  <c r="G150" i="2" s="1"/>
  <c r="H150" i="2" s="1" a="1"/>
  <c r="H150" i="2" s="1"/>
  <c r="I150" i="2" s="1"/>
  <c r="G157" i="2" a="1"/>
  <c r="G157" i="2" s="1"/>
  <c r="H157" i="2" s="1" a="1"/>
  <c r="H157" i="2" s="1"/>
  <c r="I157" i="2" s="1"/>
  <c r="G163" i="2" a="1"/>
  <c r="G163" i="2" s="1"/>
  <c r="H163" i="2" s="1" a="1"/>
  <c r="H163" i="2" s="1"/>
  <c r="I163" i="2" s="1"/>
  <c r="G179" i="2" a="1"/>
  <c r="G179" i="2" s="1"/>
  <c r="H179" i="2" s="1" a="1"/>
  <c r="H179" i="2" s="1"/>
  <c r="I179" i="2" s="1"/>
  <c r="G187" i="2" a="1"/>
  <c r="G187" i="2" s="1"/>
  <c r="H187" i="2" s="1" a="1"/>
  <c r="H187" i="2" s="1"/>
  <c r="I187" i="2" s="1"/>
  <c r="G202" i="2" a="1"/>
  <c r="G202" i="2" s="1"/>
  <c r="H202" i="2" s="1" a="1"/>
  <c r="H202" i="2" s="1"/>
  <c r="I202" i="2" s="1"/>
  <c r="G217" i="2" a="1"/>
  <c r="G217" i="2" s="1"/>
  <c r="H217" i="2" s="1" a="1"/>
  <c r="H217" i="2" s="1"/>
  <c r="I217" i="2" s="1"/>
  <c r="G232" i="2" a="1"/>
  <c r="G232" i="2" s="1"/>
  <c r="H232" i="2" s="1" a="1"/>
  <c r="H232" i="2" s="1"/>
  <c r="I232" i="2" s="1"/>
  <c r="G248" i="2" a="1"/>
  <c r="G248" i="2" s="1"/>
  <c r="H248" i="2" s="1" a="1"/>
  <c r="H248" i="2" s="1"/>
  <c r="I248" i="2" s="1"/>
  <c r="G263" i="2" a="1"/>
  <c r="G263" i="2" s="1"/>
  <c r="H263" i="2" s="1" a="1"/>
  <c r="H263" i="2" s="1"/>
  <c r="I263" i="2" s="1"/>
  <c r="G270" i="2" a="1"/>
  <c r="G270" i="2" s="1"/>
  <c r="H270" i="2" s="1" a="1"/>
  <c r="H270" i="2" s="1"/>
  <c r="I270" i="2" s="1"/>
  <c r="G277" i="2" a="1"/>
  <c r="G277" i="2" s="1"/>
  <c r="H277" i="2" s="1" a="1"/>
  <c r="H277" i="2" s="1"/>
  <c r="I277" i="2" s="1"/>
  <c r="G286" i="2" a="1"/>
  <c r="G286" i="2" s="1"/>
  <c r="H286" i="2" s="1" a="1"/>
  <c r="H286" i="2" s="1"/>
  <c r="I286" i="2" s="1"/>
  <c r="G292" i="2" a="1"/>
  <c r="G292" i="2" s="1"/>
  <c r="H292" i="2" s="1" a="1"/>
  <c r="H292" i="2" s="1"/>
  <c r="I292" i="2" s="1"/>
  <c r="G309" i="2" a="1"/>
  <c r="G309" i="2" s="1"/>
  <c r="H309" i="2" s="1" a="1"/>
  <c r="H309" i="2" s="1"/>
  <c r="I309" i="2" s="1"/>
  <c r="G316" i="2" a="1"/>
  <c r="G316" i="2" s="1"/>
  <c r="H316" i="2" s="1" a="1"/>
  <c r="H316" i="2" s="1"/>
  <c r="I316" i="2" s="1"/>
  <c r="G322" i="2" a="1"/>
  <c r="G322" i="2" s="1"/>
  <c r="H322" i="2" s="1" a="1"/>
  <c r="H322" i="2" s="1"/>
  <c r="I322" i="2" s="1"/>
  <c r="G331" i="2" a="1"/>
  <c r="G331" i="2" s="1"/>
  <c r="H331" i="2" s="1" a="1"/>
  <c r="H331" i="2" s="1"/>
  <c r="I331" i="2" s="1"/>
  <c r="G339" i="2" a="1"/>
  <c r="G339" i="2" s="1"/>
  <c r="H339" i="2" s="1" a="1"/>
  <c r="H339" i="2" s="1"/>
  <c r="I339" i="2" s="1"/>
  <c r="G348" i="2" a="1"/>
  <c r="G348" i="2" s="1"/>
  <c r="H348" i="2" s="1" a="1"/>
  <c r="H348" i="2" s="1"/>
  <c r="I348" i="2" s="1"/>
  <c r="G356" i="2" a="1"/>
  <c r="G356" i="2" s="1"/>
  <c r="H356" i="2" s="1" a="1"/>
  <c r="H356" i="2" s="1"/>
  <c r="I356" i="2" s="1"/>
  <c r="G365" i="2" a="1"/>
  <c r="G365" i="2" s="1"/>
  <c r="H365" i="2" s="1" a="1"/>
  <c r="H365" i="2" s="1"/>
  <c r="I365" i="2" s="1"/>
  <c r="G388" i="2" a="1"/>
  <c r="G388" i="2" s="1"/>
  <c r="H388" i="2" s="1" a="1"/>
  <c r="H388" i="2" s="1"/>
  <c r="I388" i="2" s="1"/>
  <c r="G397" i="2" a="1"/>
  <c r="G397" i="2" s="1"/>
  <c r="H397" i="2" s="1" a="1"/>
  <c r="H397" i="2" s="1"/>
  <c r="I397" i="2" s="1"/>
  <c r="G405" i="2" a="1"/>
  <c r="G405" i="2" s="1"/>
  <c r="H405" i="2" s="1" a="1"/>
  <c r="H405" i="2" s="1"/>
  <c r="I405" i="2" s="1"/>
  <c r="G420" i="2" a="1"/>
  <c r="G420" i="2" s="1"/>
  <c r="H420" i="2" s="1" a="1"/>
  <c r="H420" i="2" s="1"/>
  <c r="I420" i="2" s="1"/>
  <c r="G430" i="2" a="1"/>
  <c r="G430" i="2" s="1"/>
  <c r="H430" i="2" s="1" a="1"/>
  <c r="H430" i="2" s="1"/>
  <c r="I430" i="2" s="1"/>
  <c r="G437" i="2" a="1"/>
  <c r="G437" i="2" s="1"/>
  <c r="H437" i="2" s="1" a="1"/>
  <c r="H437" i="2" s="1"/>
  <c r="I437" i="2" s="1"/>
  <c r="G462" i="2" a="1"/>
  <c r="G462" i="2" s="1"/>
  <c r="H462" i="2" s="1" a="1"/>
  <c r="H462" i="2" s="1"/>
  <c r="I462" i="2" s="1"/>
  <c r="G469" i="2" a="1"/>
  <c r="G469" i="2" s="1"/>
  <c r="H469" i="2" s="1" a="1"/>
  <c r="H469" i="2" s="1"/>
  <c r="I469" i="2" s="1"/>
  <c r="G563" i="2" a="1"/>
  <c r="G563" i="2" s="1"/>
  <c r="H563" i="2" s="1" a="1"/>
  <c r="H563" i="2" s="1"/>
  <c r="I563" i="2" s="1"/>
  <c r="G568" i="2" a="1"/>
  <c r="G568" i="2" s="1"/>
  <c r="H568" i="2" s="1" a="1"/>
  <c r="H568" i="2" s="1"/>
  <c r="I568" i="2" s="1"/>
  <c r="G577" i="2" a="1"/>
  <c r="G577" i="2" s="1"/>
  <c r="H577" i="2" s="1" a="1"/>
  <c r="H577" i="2" s="1"/>
  <c r="I577" i="2" s="1"/>
  <c r="G586" i="2" a="1"/>
  <c r="G586" i="2" s="1"/>
  <c r="H586" i="2" s="1" a="1"/>
  <c r="H586" i="2" s="1"/>
  <c r="I586" i="2" s="1"/>
  <c r="G596" i="2" a="1"/>
  <c r="G596" i="2" s="1"/>
  <c r="H596" i="2" s="1" a="1"/>
  <c r="H596" i="2" s="1"/>
  <c r="I596" i="2" s="1"/>
  <c r="G601" i="2" a="1"/>
  <c r="G601" i="2" s="1"/>
  <c r="H601" i="2" s="1" a="1"/>
  <c r="H601" i="2" s="1"/>
  <c r="I601" i="2" s="1"/>
  <c r="G612" i="2" a="1"/>
  <c r="G612" i="2" s="1"/>
  <c r="H612" i="2" s="1" a="1"/>
  <c r="H612" i="2" s="1"/>
  <c r="I612" i="2" s="1"/>
  <c r="G617" i="2" a="1"/>
  <c r="G617" i="2" s="1"/>
  <c r="H617" i="2" s="1" a="1"/>
  <c r="H617" i="2" s="1"/>
  <c r="I617" i="2" s="1"/>
  <c r="G17" i="2" a="1"/>
  <c r="G17" i="2" s="1"/>
  <c r="H17" i="2" s="1" a="1"/>
  <c r="H17" i="2" s="1"/>
  <c r="I17" i="2" s="1"/>
  <c r="G25" i="2" a="1"/>
  <c r="G25" i="2" s="1"/>
  <c r="H25" i="2" s="1" a="1"/>
  <c r="H25" i="2" s="1"/>
  <c r="I25" i="2" s="1"/>
  <c r="G32" i="2" a="1"/>
  <c r="G32" i="2" s="1"/>
  <c r="H32" i="2" s="1" a="1"/>
  <c r="H32" i="2" s="1"/>
  <c r="I32" i="2" s="1"/>
  <c r="G41" i="2" a="1"/>
  <c r="G41" i="2" s="1"/>
  <c r="H41" i="2" s="1" a="1"/>
  <c r="H41" i="2" s="1"/>
  <c r="I41" i="2" s="1"/>
  <c r="G48" i="2" a="1"/>
  <c r="G48" i="2" s="1"/>
  <c r="H48" i="2" s="1" a="1"/>
  <c r="H48" i="2" s="1"/>
  <c r="I48" i="2" s="1"/>
  <c r="G55" i="2" a="1"/>
  <c r="G55" i="2" s="1"/>
  <c r="H55" i="2" s="1" a="1"/>
  <c r="H55" i="2" s="1"/>
  <c r="I55" i="2" s="1"/>
  <c r="G64" i="2" a="1"/>
  <c r="G64" i="2" s="1"/>
  <c r="H64" i="2" s="1" a="1"/>
  <c r="H64" i="2" s="1"/>
  <c r="I64" i="2" s="1"/>
  <c r="G71" i="2" a="1"/>
  <c r="G71" i="2" s="1"/>
  <c r="H71" i="2" s="1" a="1"/>
  <c r="H71" i="2" s="1"/>
  <c r="I71" i="2" s="1"/>
  <c r="G78" i="2" a="1"/>
  <c r="G78" i="2" s="1"/>
  <c r="H78" i="2" s="1" a="1"/>
  <c r="H78" i="2" s="1"/>
  <c r="I78" i="2" s="1"/>
  <c r="G87" i="2" a="1"/>
  <c r="G87" i="2" s="1"/>
  <c r="H87" i="2" s="1" a="1"/>
  <c r="H87" i="2" s="1"/>
  <c r="I87" i="2" s="1"/>
  <c r="G94" i="2" a="1"/>
  <c r="G94" i="2" s="1"/>
  <c r="H94" i="2" s="1" a="1"/>
  <c r="H94" i="2" s="1"/>
  <c r="I94" i="2" s="1"/>
  <c r="G100" i="2" a="1"/>
  <c r="G100" i="2" s="1"/>
  <c r="H100" i="2" s="1" a="1"/>
  <c r="H100" i="2" s="1"/>
  <c r="I100" i="2" s="1"/>
  <c r="G116" i="2" a="1"/>
  <c r="G116" i="2" s="1"/>
  <c r="H116" i="2" s="1" a="1"/>
  <c r="H116" i="2" s="1"/>
  <c r="I116" i="2" s="1"/>
  <c r="G123" i="2" a="1"/>
  <c r="G123" i="2" s="1"/>
  <c r="H123" i="2" s="1" a="1"/>
  <c r="H123" i="2" s="1"/>
  <c r="I123" i="2" s="1"/>
  <c r="G132" i="2" a="1"/>
  <c r="G132" i="2" s="1"/>
  <c r="H132" i="2" s="1" a="1"/>
  <c r="H132" i="2" s="1"/>
  <c r="I132" i="2" s="1"/>
  <c r="G140" i="2" a="1"/>
  <c r="G140" i="2" s="1"/>
  <c r="H140" i="2" s="1" a="1"/>
  <c r="H140" i="2" s="1"/>
  <c r="I140" i="2" s="1"/>
  <c r="G155" i="2" a="1"/>
  <c r="G155" i="2" s="1"/>
  <c r="H155" i="2" s="1" a="1"/>
  <c r="H155" i="2" s="1"/>
  <c r="I155" i="2" s="1"/>
  <c r="G177" i="2" a="1"/>
  <c r="G177" i="2" s="1"/>
  <c r="H177" i="2" s="1" a="1"/>
  <c r="H177" i="2" s="1"/>
  <c r="I177" i="2" s="1"/>
  <c r="G185" i="2" a="1"/>
  <c r="G185" i="2" s="1"/>
  <c r="H185" i="2" s="1" a="1"/>
  <c r="H185" i="2" s="1"/>
  <c r="I185" i="2" s="1"/>
  <c r="G192" i="2" a="1"/>
  <c r="G192" i="2" s="1"/>
  <c r="H192" i="2" s="1" a="1"/>
  <c r="H192" i="2" s="1"/>
  <c r="I192" i="2" s="1"/>
  <c r="G200" i="2" a="1"/>
  <c r="G200" i="2" s="1"/>
  <c r="H200" i="2" s="1" a="1"/>
  <c r="H200" i="2" s="1"/>
  <c r="I200" i="2" s="1"/>
  <c r="G268" i="2" a="1"/>
  <c r="G268" i="2" s="1"/>
  <c r="H268" i="2" s="1" a="1"/>
  <c r="H268" i="2" s="1"/>
  <c r="I268" i="2" s="1"/>
  <c r="G282" i="2" a="1"/>
  <c r="G282" i="2" s="1"/>
  <c r="H282" i="2" s="1" a="1"/>
  <c r="H282" i="2" s="1"/>
  <c r="I282" i="2" s="1"/>
  <c r="G290" i="2" a="1"/>
  <c r="G290" i="2" s="1"/>
  <c r="H290" i="2" s="1" a="1"/>
  <c r="H290" i="2" s="1"/>
  <c r="I290" i="2" s="1"/>
  <c r="G298" i="2" a="1"/>
  <c r="G298" i="2" s="1"/>
  <c r="H298" i="2" s="1" a="1"/>
  <c r="H298" i="2" s="1"/>
  <c r="I298" i="2" s="1"/>
  <c r="G305" i="2" a="1"/>
  <c r="G305" i="2" s="1"/>
  <c r="H305" i="2" s="1" a="1"/>
  <c r="H305" i="2" s="1"/>
  <c r="I305" i="2" s="1"/>
  <c r="G328" i="2" a="1"/>
  <c r="G328" i="2" s="1"/>
  <c r="H328" i="2" s="1" a="1"/>
  <c r="H328" i="2" s="1"/>
  <c r="I328" i="2" s="1"/>
  <c r="G337" i="2" a="1"/>
  <c r="G337" i="2" s="1"/>
  <c r="H337" i="2" s="1" a="1"/>
  <c r="H337" i="2" s="1"/>
  <c r="I337" i="2" s="1"/>
  <c r="G345" i="2" a="1"/>
  <c r="G345" i="2" s="1"/>
  <c r="H345" i="2" s="1" a="1"/>
  <c r="H345" i="2" s="1"/>
  <c r="I345" i="2" s="1"/>
  <c r="G353" i="2" a="1"/>
  <c r="G353" i="2" s="1"/>
  <c r="H353" i="2" s="1" a="1"/>
  <c r="H353" i="2" s="1"/>
  <c r="I353" i="2" s="1"/>
  <c r="G362" i="2" a="1"/>
  <c r="G362" i="2" s="1"/>
  <c r="H362" i="2" s="1" a="1"/>
  <c r="H362" i="2" s="1"/>
  <c r="I362" i="2" s="1"/>
  <c r="G377" i="2" a="1"/>
  <c r="G377" i="2" s="1"/>
  <c r="H377" i="2" s="1" a="1"/>
  <c r="H377" i="2" s="1"/>
  <c r="I377" i="2" s="1"/>
  <c r="G386" i="2" a="1"/>
  <c r="G386" i="2" s="1"/>
  <c r="H386" i="2" s="1" a="1"/>
  <c r="H386" i="2" s="1"/>
  <c r="I386" i="2" s="1"/>
  <c r="G394" i="2" a="1"/>
  <c r="G394" i="2" s="1"/>
  <c r="H394" i="2" s="1" a="1"/>
  <c r="H394" i="2" s="1"/>
  <c r="I394" i="2" s="1"/>
  <c r="G411" i="2" a="1"/>
  <c r="G411" i="2" s="1"/>
  <c r="H411" i="2" s="1" a="1"/>
  <c r="H411" i="2" s="1"/>
  <c r="I411" i="2" s="1"/>
  <c r="G418" i="2" a="1"/>
  <c r="G418" i="2" s="1"/>
  <c r="H418" i="2" s="1" a="1"/>
  <c r="H418" i="2" s="1"/>
  <c r="I418" i="2" s="1"/>
  <c r="G426" i="2" a="1"/>
  <c r="G426" i="2" s="1"/>
  <c r="H426" i="2" s="1" a="1"/>
  <c r="H426" i="2" s="1"/>
  <c r="I426" i="2" s="1"/>
  <c r="G435" i="2" a="1"/>
  <c r="G435" i="2" s="1"/>
  <c r="H435" i="2" s="1" a="1"/>
  <c r="H435" i="2" s="1"/>
  <c r="I435" i="2" s="1"/>
  <c r="G443" i="2" a="1"/>
  <c r="G443" i="2" s="1"/>
  <c r="H443" i="2" s="1" a="1"/>
  <c r="H443" i="2" s="1"/>
  <c r="I443" i="2" s="1"/>
  <c r="G450" i="2" a="1"/>
  <c r="G450" i="2" s="1"/>
  <c r="H450" i="2" s="1" a="1"/>
  <c r="H450" i="2" s="1"/>
  <c r="I450" i="2" s="1"/>
  <c r="G460" i="2" a="1"/>
  <c r="G460" i="2" s="1"/>
  <c r="H460" i="2" s="1" a="1"/>
  <c r="H460" i="2" s="1"/>
  <c r="I460" i="2" s="1"/>
  <c r="G467" i="2" a="1"/>
  <c r="G467" i="2" s="1"/>
  <c r="H467" i="2" s="1" a="1"/>
  <c r="H467" i="2" s="1"/>
  <c r="I467" i="2" s="1"/>
  <c r="G475" i="2" a="1"/>
  <c r="G475" i="2" s="1"/>
  <c r="H475" i="2" s="1" a="1"/>
  <c r="H475" i="2" s="1"/>
  <c r="I475" i="2" s="1"/>
  <c r="G560" i="2" a="1"/>
  <c r="G560" i="2" s="1"/>
  <c r="H560" i="2" s="1" a="1"/>
  <c r="H560" i="2" s="1"/>
  <c r="I560" i="2" s="1"/>
  <c r="G566" i="2" a="1"/>
  <c r="G566" i="2" s="1"/>
  <c r="H566" i="2" s="1" a="1"/>
  <c r="H566" i="2" s="1"/>
  <c r="I566" i="2" s="1"/>
  <c r="G575" i="2" a="1"/>
  <c r="G575" i="2" s="1"/>
  <c r="H575" i="2" s="1" a="1"/>
  <c r="H575" i="2" s="1"/>
  <c r="I575" i="2" s="1"/>
  <c r="G580" i="2" a="1"/>
  <c r="G580" i="2" s="1"/>
  <c r="H580" i="2" s="1" a="1"/>
  <c r="H580" i="2" s="1"/>
  <c r="I580" i="2" s="1"/>
  <c r="G589" i="2" a="1"/>
  <c r="G589" i="2" s="1"/>
  <c r="H589" i="2" s="1" a="1"/>
  <c r="H589" i="2" s="1"/>
  <c r="I589" i="2" s="1"/>
  <c r="G594" i="2" a="1"/>
  <c r="G594" i="2" s="1"/>
  <c r="H594" i="2" s="1" a="1"/>
  <c r="H594" i="2" s="1"/>
  <c r="I594" i="2" s="1"/>
  <c r="G599" i="2" a="1"/>
  <c r="G599" i="2" s="1"/>
  <c r="H599" i="2" s="1" a="1"/>
  <c r="H599" i="2" s="1"/>
  <c r="I599" i="2" s="1"/>
  <c r="G610" i="2" a="1"/>
  <c r="G610" i="2" s="1"/>
  <c r="H610" i="2" s="1" a="1"/>
  <c r="H610" i="2" s="1"/>
  <c r="I610" i="2" s="1"/>
  <c r="G634" i="2" a="1"/>
  <c r="G634" i="2" s="1"/>
  <c r="H634" i="2" s="1" a="1"/>
  <c r="H634" i="2" s="1"/>
  <c r="I634" i="2" s="1"/>
  <c r="G623" i="2" a="1"/>
  <c r="G623" i="2" s="1"/>
  <c r="H623" i="2" s="1" a="1"/>
  <c r="H623" i="2" s="1"/>
  <c r="I623" i="2" s="1"/>
  <c r="G618" i="2" a="1"/>
  <c r="G618" i="2" s="1"/>
  <c r="H618" i="2" s="1" a="1"/>
  <c r="H618" i="2" s="1"/>
  <c r="I618" i="2" s="1"/>
  <c r="G609" i="2" a="1"/>
  <c r="G609" i="2" s="1"/>
  <c r="H609" i="2" s="1" a="1"/>
  <c r="H609" i="2" s="1"/>
  <c r="I609" i="2" s="1"/>
  <c r="G602" i="2" a="1"/>
  <c r="G602" i="2" s="1"/>
  <c r="H602" i="2" s="1" a="1"/>
  <c r="H602" i="2" s="1"/>
  <c r="I602" i="2" s="1"/>
  <c r="G585" i="2" a="1"/>
  <c r="G585" i="2" s="1"/>
  <c r="H585" i="2" s="1" a="1"/>
  <c r="H585" i="2" s="1"/>
  <c r="I585" i="2" s="1"/>
  <c r="G578" i="2" a="1"/>
  <c r="G578" i="2" s="1"/>
  <c r="H578" i="2" s="1" a="1"/>
  <c r="H578" i="2" s="1"/>
  <c r="I578" i="2" s="1"/>
  <c r="G570" i="2" a="1"/>
  <c r="G570" i="2" s="1"/>
  <c r="H570" i="2" s="1" a="1"/>
  <c r="H570" i="2" s="1"/>
  <c r="I570" i="2" s="1"/>
  <c r="G564" i="2" a="1"/>
  <c r="G564" i="2" s="1"/>
  <c r="H564" i="2" s="1" a="1"/>
  <c r="H564" i="2" s="1"/>
  <c r="I564" i="2" s="1"/>
  <c r="G466" i="2" a="1"/>
  <c r="G466" i="2" s="1"/>
  <c r="H466" i="2" s="1" a="1"/>
  <c r="H466" i="2" s="1"/>
  <c r="I466" i="2" s="1"/>
  <c r="G454" i="2" a="1"/>
  <c r="G454" i="2" s="1"/>
  <c r="H454" i="2" s="1" a="1"/>
  <c r="H454" i="2" s="1"/>
  <c r="I454" i="2" s="1"/>
  <c r="G441" i="2" a="1"/>
  <c r="G441" i="2" s="1"/>
  <c r="H441" i="2" s="1" a="1"/>
  <c r="H441" i="2" s="1"/>
  <c r="I441" i="2" s="1"/>
  <c r="G427" i="2" a="1"/>
  <c r="G427" i="2" s="1"/>
  <c r="H427" i="2" s="1" a="1"/>
  <c r="H427" i="2" s="1"/>
  <c r="I427" i="2" s="1"/>
  <c r="G415" i="2" a="1"/>
  <c r="G415" i="2" s="1"/>
  <c r="H415" i="2" s="1" a="1"/>
  <c r="H415" i="2" s="1"/>
  <c r="I415" i="2" s="1"/>
  <c r="G401" i="2" a="1"/>
  <c r="G401" i="2" s="1"/>
  <c r="H401" i="2" s="1" a="1"/>
  <c r="H401" i="2" s="1"/>
  <c r="I401" i="2" s="1"/>
  <c r="G389" i="2" a="1"/>
  <c r="G389" i="2" s="1"/>
  <c r="H389" i="2" s="1" a="1"/>
  <c r="H389" i="2" s="1"/>
  <c r="I389" i="2" s="1"/>
  <c r="G375" i="2" a="1"/>
  <c r="G375" i="2" s="1"/>
  <c r="H375" i="2" s="1" a="1"/>
  <c r="H375" i="2" s="1"/>
  <c r="I375" i="2" s="1"/>
  <c r="G363" i="2" a="1"/>
  <c r="G363" i="2" s="1"/>
  <c r="H363" i="2" s="1" a="1"/>
  <c r="H363" i="2" s="1"/>
  <c r="I363" i="2" s="1"/>
  <c r="G351" i="2" a="1"/>
  <c r="G351" i="2" s="1"/>
  <c r="H351" i="2" s="1" a="1"/>
  <c r="H351" i="2" s="1"/>
  <c r="I351" i="2" s="1"/>
  <c r="G335" i="2" a="1"/>
  <c r="G335" i="2" s="1"/>
  <c r="H335" i="2" s="1" a="1"/>
  <c r="H335" i="2" s="1"/>
  <c r="I335" i="2" s="1"/>
  <c r="G324" i="2" a="1"/>
  <c r="G324" i="2" s="1"/>
  <c r="H324" i="2" s="1" a="1"/>
  <c r="H324" i="2" s="1"/>
  <c r="I324" i="2" s="1"/>
  <c r="G311" i="2" a="1"/>
  <c r="G311" i="2" s="1"/>
  <c r="H311" i="2" s="1" a="1"/>
  <c r="H311" i="2" s="1"/>
  <c r="I311" i="2" s="1"/>
  <c r="G299" i="2" a="1"/>
  <c r="G299" i="2" s="1"/>
  <c r="H299" i="2" s="1" a="1"/>
  <c r="H299" i="2" s="1"/>
  <c r="I299" i="2" s="1"/>
  <c r="G287" i="2" a="1"/>
  <c r="G287" i="2" s="1"/>
  <c r="H287" i="2" s="1" a="1"/>
  <c r="H287" i="2" s="1"/>
  <c r="I287" i="2" s="1"/>
  <c r="G274" i="2" a="1"/>
  <c r="G274" i="2" s="1"/>
  <c r="H274" i="2" s="1" a="1"/>
  <c r="H274" i="2" s="1"/>
  <c r="I274" i="2" s="1"/>
  <c r="G264" i="2" a="1"/>
  <c r="G264" i="2" s="1"/>
  <c r="H264" i="2" s="1" a="1"/>
  <c r="H264" i="2" s="1"/>
  <c r="I264" i="2" s="1"/>
  <c r="G251" i="2" a="1"/>
  <c r="G251" i="2" s="1"/>
  <c r="H251" i="2" s="1" a="1"/>
  <c r="H251" i="2" s="1"/>
  <c r="I251" i="2" s="1"/>
  <c r="G237" i="2" a="1"/>
  <c r="G237" i="2" s="1"/>
  <c r="H237" i="2" s="1" a="1"/>
  <c r="H237" i="2" s="1"/>
  <c r="I237" i="2" s="1"/>
  <c r="G226" i="2" a="1"/>
  <c r="G226" i="2" s="1"/>
  <c r="H226" i="2" s="1" a="1"/>
  <c r="H226" i="2" s="1"/>
  <c r="I226" i="2" s="1"/>
  <c r="G213" i="2" a="1"/>
  <c r="G213" i="2" s="1"/>
  <c r="H213" i="2" s="1" a="1"/>
  <c r="H213" i="2" s="1"/>
  <c r="I213" i="2" s="1"/>
  <c r="G178" i="2" a="1"/>
  <c r="G178" i="2" s="1"/>
  <c r="H178" i="2" s="1" a="1"/>
  <c r="H178" i="2" s="1"/>
  <c r="I178" i="2" s="1"/>
  <c r="G167" i="2" a="1"/>
  <c r="G167" i="2" s="1"/>
  <c r="H167" i="2" s="1" a="1"/>
  <c r="H167" i="2" s="1"/>
  <c r="I167" i="2" s="1"/>
  <c r="G153" i="2" a="1"/>
  <c r="G153" i="2" s="1"/>
  <c r="H153" i="2" s="1" a="1"/>
  <c r="H153" i="2" s="1"/>
  <c r="I153" i="2" s="1"/>
  <c r="G144" i="2" a="1"/>
  <c r="G144" i="2" s="1"/>
  <c r="H144" i="2" s="1" a="1"/>
  <c r="H144" i="2" s="1"/>
  <c r="I144" i="2" s="1"/>
  <c r="G129" i="2" a="1"/>
  <c r="G129" i="2" s="1"/>
  <c r="H129" i="2" s="1" a="1"/>
  <c r="H129" i="2" s="1"/>
  <c r="I129" i="2" s="1"/>
  <c r="G117" i="2" a="1"/>
  <c r="G117" i="2" s="1"/>
  <c r="H117" i="2" s="1" a="1"/>
  <c r="H117" i="2" s="1"/>
  <c r="I117" i="2" s="1"/>
  <c r="G93" i="2" a="1"/>
  <c r="G93" i="2" s="1"/>
  <c r="H93" i="2" s="1" a="1"/>
  <c r="H93" i="2" s="1"/>
  <c r="I93" i="2" s="1"/>
  <c r="G69" i="2" a="1"/>
  <c r="G69" i="2" s="1"/>
  <c r="H69" i="2" s="1" a="1"/>
  <c r="H69" i="2" s="1"/>
  <c r="I69" i="2" s="1"/>
  <c r="G56" i="2" a="1"/>
  <c r="G56" i="2" s="1"/>
  <c r="H56" i="2" s="1" a="1"/>
  <c r="H56" i="2" s="1"/>
  <c r="I56" i="2" s="1"/>
  <c r="G31" i="2" a="1"/>
  <c r="G31" i="2" s="1"/>
  <c r="H31" i="2" s="1" a="1"/>
  <c r="H31" i="2" s="1"/>
  <c r="I31" i="2" s="1"/>
  <c r="G20" i="2" a="1"/>
  <c r="G20" i="2" s="1"/>
  <c r="H20" i="2" s="1" a="1"/>
  <c r="H20" i="2" s="1"/>
  <c r="I20" i="2" s="1"/>
  <c r="G249" i="2" a="1"/>
  <c r="G249" i="2" s="1"/>
  <c r="H249" i="2" s="1" a="1"/>
  <c r="H249" i="2" s="1"/>
  <c r="I249" i="2" s="1"/>
  <c r="G236" i="2" a="1"/>
  <c r="G236" i="2" s="1"/>
  <c r="H236" i="2" s="1" a="1"/>
  <c r="H236" i="2" s="1"/>
  <c r="I236" i="2" s="1"/>
  <c r="G225" i="2" a="1"/>
  <c r="G225" i="2" s="1"/>
  <c r="H225" i="2" s="1" a="1"/>
  <c r="H225" i="2" s="1"/>
  <c r="I225" i="2" s="1"/>
  <c r="G212" i="2" a="1"/>
  <c r="G212" i="2" s="1"/>
  <c r="H212" i="2" s="1" a="1"/>
  <c r="H212" i="2" s="1"/>
  <c r="I212" i="2" s="1"/>
  <c r="G201" i="2" a="1"/>
  <c r="G201" i="2" s="1"/>
  <c r="H201" i="2" s="1" a="1"/>
  <c r="H201" i="2" s="1"/>
  <c r="I201" i="2" s="1"/>
  <c r="G190" i="2" a="1"/>
  <c r="G190" i="2" s="1"/>
  <c r="H190" i="2" s="1" a="1"/>
  <c r="H190" i="2" s="1"/>
  <c r="I190" i="2" s="1"/>
  <c r="G175" i="2" a="1"/>
  <c r="G175" i="2" s="1"/>
  <c r="H175" i="2" s="1" a="1"/>
  <c r="H175" i="2" s="1"/>
  <c r="I175" i="2" s="1"/>
  <c r="G166" i="2" a="1"/>
  <c r="G166" i="2" s="1"/>
  <c r="H166" i="2" s="1" a="1"/>
  <c r="H166" i="2" s="1"/>
  <c r="I166" i="2" s="1"/>
  <c r="G115" i="2" a="1"/>
  <c r="G115" i="2" s="1"/>
  <c r="H115" i="2" s="1" a="1"/>
  <c r="H115" i="2" s="1"/>
  <c r="I115" i="2" s="1"/>
  <c r="G105" i="2" a="1"/>
  <c r="G105" i="2" s="1"/>
  <c r="H105" i="2" s="1" a="1"/>
  <c r="H105" i="2" s="1"/>
  <c r="I105" i="2" s="1"/>
  <c r="G79" i="2" a="1"/>
  <c r="G79" i="2" s="1"/>
  <c r="H79" i="2" s="1" a="1"/>
  <c r="H79" i="2" s="1"/>
  <c r="I79" i="2" s="1"/>
  <c r="G54" i="2" a="1"/>
  <c r="G54" i="2" s="1"/>
  <c r="H54" i="2" s="1" a="1"/>
  <c r="H54" i="2" s="1"/>
  <c r="I54" i="2" s="1"/>
  <c r="G44" i="2" a="1"/>
  <c r="G44" i="2" s="1"/>
  <c r="H44" i="2" s="1" a="1"/>
  <c r="H44" i="2" s="1"/>
  <c r="I44" i="2" s="1"/>
  <c r="G18" i="2" a="1"/>
  <c r="G18" i="2" s="1"/>
  <c r="H18" i="2" s="1" a="1"/>
  <c r="H18" i="2" s="1"/>
  <c r="I18" i="2" s="1"/>
  <c r="G346" i="2" a="1"/>
  <c r="G346" i="2" s="1"/>
  <c r="H346" i="2" s="1" a="1"/>
  <c r="H346" i="2" s="1"/>
  <c r="I346" i="2" s="1"/>
  <c r="G271" i="2" a="1"/>
  <c r="G271" i="2" s="1"/>
  <c r="H271" i="2" s="1" a="1"/>
  <c r="H271" i="2" s="1"/>
  <c r="I271" i="2" s="1"/>
  <c r="G223" i="2" a="1"/>
  <c r="G223" i="2" s="1"/>
  <c r="H223" i="2" s="1" a="1"/>
  <c r="H223" i="2" s="1"/>
  <c r="I223" i="2" s="1"/>
  <c r="G211" i="2" a="1"/>
  <c r="G211" i="2" s="1"/>
  <c r="H211" i="2" s="1" a="1"/>
  <c r="H211" i="2" s="1"/>
  <c r="I211" i="2" s="1"/>
  <c r="G189" i="2" a="1"/>
  <c r="G189" i="2" s="1"/>
  <c r="H189" i="2" s="1" a="1"/>
  <c r="H189" i="2" s="1"/>
  <c r="I189" i="2" s="1"/>
  <c r="G162" i="2" a="1"/>
  <c r="G162" i="2" s="1"/>
  <c r="H162" i="2" s="1" a="1"/>
  <c r="H162" i="2" s="1"/>
  <c r="I162" i="2" s="1"/>
  <c r="G152" i="2" a="1"/>
  <c r="G152" i="2" s="1"/>
  <c r="H152" i="2" s="1" a="1"/>
  <c r="H152" i="2" s="1"/>
  <c r="I152" i="2" s="1"/>
  <c r="G139" i="2" a="1"/>
  <c r="G139" i="2" s="1"/>
  <c r="H139" i="2" s="1" a="1"/>
  <c r="H139" i="2" s="1"/>
  <c r="I139" i="2" s="1"/>
  <c r="G128" i="2" a="1"/>
  <c r="G128" i="2" s="1"/>
  <c r="H128" i="2" s="1" a="1"/>
  <c r="H128" i="2" s="1"/>
  <c r="I128" i="2" s="1"/>
  <c r="G101" i="2" a="1"/>
  <c r="G101" i="2" s="1"/>
  <c r="H101" i="2" s="1" a="1"/>
  <c r="H101" i="2" s="1"/>
  <c r="I101" i="2" s="1"/>
  <c r="G90" i="2" a="1"/>
  <c r="G90" i="2" s="1"/>
  <c r="H90" i="2" s="1" a="1"/>
  <c r="H90" i="2" s="1"/>
  <c r="I90" i="2" s="1"/>
  <c r="G77" i="2" a="1"/>
  <c r="G77" i="2" s="1"/>
  <c r="H77" i="2" s="1" a="1"/>
  <c r="H77" i="2" s="1"/>
  <c r="I77" i="2" s="1"/>
  <c r="G66" i="2" a="1"/>
  <c r="G66" i="2" s="1"/>
  <c r="H66" i="2" s="1" a="1"/>
  <c r="H66" i="2" s="1"/>
  <c r="I66" i="2" s="1"/>
  <c r="G30" i="2" a="1"/>
  <c r="G30" i="2" s="1"/>
  <c r="H30" i="2" s="1" a="1"/>
  <c r="H30" i="2" s="1"/>
  <c r="I30" i="2" s="1"/>
  <c r="G15" i="2" a="1"/>
  <c r="G15" i="2" s="1"/>
  <c r="H15" i="2" s="1" a="1"/>
  <c r="H15" i="2" s="1"/>
  <c r="I15" i="2" s="1"/>
  <c r="G370" i="2" a="1"/>
  <c r="G370" i="2" s="1"/>
  <c r="H370" i="2" s="1" a="1"/>
  <c r="H370" i="2" s="1"/>
  <c r="I370" i="2" s="1"/>
  <c r="G344" i="2" a="1"/>
  <c r="G344" i="2" s="1"/>
  <c r="H344" i="2" s="1" a="1"/>
  <c r="H344" i="2" s="1"/>
  <c r="I344" i="2" s="1"/>
  <c r="G332" i="2" a="1"/>
  <c r="G332" i="2" s="1"/>
  <c r="H332" i="2" s="1" a="1"/>
  <c r="H332" i="2" s="1"/>
  <c r="I332" i="2" s="1"/>
  <c r="G319" i="2" a="1"/>
  <c r="G319" i="2" s="1"/>
  <c r="H319" i="2" s="1" a="1"/>
  <c r="H319" i="2" s="1"/>
  <c r="I319" i="2" s="1"/>
  <c r="G306" i="2" a="1"/>
  <c r="G306" i="2" s="1"/>
  <c r="H306" i="2" s="1" a="1"/>
  <c r="H306" i="2" s="1"/>
  <c r="I306" i="2" s="1"/>
  <c r="G294" i="2" a="1"/>
  <c r="G294" i="2" s="1"/>
  <c r="H294" i="2" s="1" a="1"/>
  <c r="H294" i="2" s="1"/>
  <c r="I294" i="2" s="1"/>
  <c r="G246" i="2" a="1"/>
  <c r="G246" i="2" s="1"/>
  <c r="H246" i="2" s="1" a="1"/>
  <c r="H246" i="2" s="1"/>
  <c r="I246" i="2" s="1"/>
  <c r="G220" i="2" a="1"/>
  <c r="G220" i="2" s="1"/>
  <c r="H220" i="2" s="1" a="1"/>
  <c r="H220" i="2" s="1"/>
  <c r="I220" i="2" s="1"/>
  <c r="G197" i="2" a="1"/>
  <c r="G197" i="2" s="1"/>
  <c r="H197" i="2" s="1" a="1"/>
  <c r="H197" i="2" s="1"/>
  <c r="I197" i="2" s="1"/>
  <c r="G174" i="2" a="1"/>
  <c r="G174" i="2" s="1"/>
  <c r="H174" i="2" s="1" a="1"/>
  <c r="H174" i="2" s="1"/>
  <c r="I174" i="2" s="1"/>
  <c r="G161" i="2" a="1"/>
  <c r="G161" i="2" s="1"/>
  <c r="H161" i="2" s="1" a="1"/>
  <c r="H161" i="2" s="1"/>
  <c r="I161" i="2" s="1"/>
  <c r="G151" i="2" a="1"/>
  <c r="G151" i="2" s="1"/>
  <c r="H151" i="2" s="1" a="1"/>
  <c r="H151" i="2" s="1"/>
  <c r="I151" i="2" s="1"/>
  <c r="G138" i="2" a="1"/>
  <c r="G138" i="2" s="1"/>
  <c r="H138" i="2" s="1" a="1"/>
  <c r="H138" i="2" s="1"/>
  <c r="I138" i="2" s="1"/>
  <c r="G124" i="2" a="1"/>
  <c r="G124" i="2" s="1"/>
  <c r="H124" i="2" s="1" a="1"/>
  <c r="H124" i="2" s="1"/>
  <c r="I124" i="2" s="1"/>
  <c r="G99" i="2" a="1"/>
  <c r="G99" i="2" s="1"/>
  <c r="H99" i="2" s="1" a="1"/>
  <c r="H99" i="2" s="1"/>
  <c r="I99" i="2" s="1"/>
  <c r="G53" i="2" a="1"/>
  <c r="G53" i="2" s="1"/>
  <c r="H53" i="2" s="1" a="1"/>
  <c r="H53" i="2" s="1"/>
  <c r="I53" i="2" s="1"/>
  <c r="G38" i="2" a="1"/>
  <c r="G38" i="2" s="1"/>
  <c r="H38" i="2" s="1" a="1"/>
  <c r="H38" i="2" s="1"/>
  <c r="I38" i="2" s="1"/>
  <c r="G29" i="2" a="1"/>
  <c r="G29" i="2" s="1"/>
  <c r="H29" i="2" s="1" a="1"/>
  <c r="H29" i="2" s="1"/>
  <c r="I29" i="2" s="1"/>
  <c r="G632" i="2" a="1"/>
  <c r="G632" i="2" s="1"/>
  <c r="H632" i="2" s="1" a="1"/>
  <c r="H632" i="2" s="1"/>
  <c r="I632" i="2" s="1"/>
  <c r="G607" i="2" a="1"/>
  <c r="G607" i="2" s="1"/>
  <c r="H607" i="2" s="1" a="1"/>
  <c r="H607" i="2" s="1"/>
  <c r="I607" i="2" s="1"/>
  <c r="G474" i="2" a="1"/>
  <c r="G474" i="2" s="1"/>
  <c r="H474" i="2" s="1" a="1"/>
  <c r="H474" i="2" s="1"/>
  <c r="I474" i="2" s="1"/>
  <c r="G449" i="2" a="1"/>
  <c r="G449" i="2" s="1"/>
  <c r="H449" i="2" s="1" a="1"/>
  <c r="H449" i="2" s="1"/>
  <c r="I449" i="2" s="1"/>
  <c r="G423" i="2" a="1"/>
  <c r="G423" i="2" s="1"/>
  <c r="H423" i="2" s="1" a="1"/>
  <c r="H423" i="2" s="1"/>
  <c r="I423" i="2" s="1"/>
  <c r="G408" i="2" a="1"/>
  <c r="G408" i="2" s="1"/>
  <c r="H408" i="2" s="1" a="1"/>
  <c r="H408" i="2" s="1"/>
  <c r="I408" i="2" s="1"/>
  <c r="G531" i="2" a="1"/>
  <c r="G531" i="2" s="1"/>
  <c r="H531" i="2" s="1" a="1"/>
  <c r="H531" i="2" s="1"/>
  <c r="I531" i="2" s="1"/>
  <c r="G507" i="2" a="1"/>
  <c r="G507" i="2" s="1"/>
  <c r="H507" i="2" s="1" a="1"/>
  <c r="H507" i="2" s="1"/>
  <c r="I507" i="2" s="1"/>
  <c r="G499" i="2" a="1"/>
  <c r="G499" i="2" s="1"/>
  <c r="H499" i="2" s="1" a="1"/>
  <c r="H499" i="2" s="1"/>
  <c r="I499" i="2" s="1"/>
  <c r="G483" i="2" a="1"/>
  <c r="G483" i="2" s="1"/>
  <c r="H483" i="2" s="1" a="1"/>
  <c r="H483" i="2" s="1"/>
  <c r="I483" i="2" s="1"/>
  <c r="G631" i="2" a="1"/>
  <c r="G631" i="2" s="1"/>
  <c r="H631" i="2" s="1" a="1"/>
  <c r="H631" i="2" s="1"/>
  <c r="I631" i="2" s="1"/>
  <c r="G626" i="2" a="1"/>
  <c r="G626" i="2" s="1"/>
  <c r="H626" i="2" s="1" a="1"/>
  <c r="H626" i="2" s="1"/>
  <c r="I626" i="2" s="1"/>
  <c r="G614" i="2" a="1"/>
  <c r="G614" i="2" s="1"/>
  <c r="H614" i="2" s="1" a="1"/>
  <c r="H614" i="2" s="1"/>
  <c r="I614" i="2" s="1"/>
  <c r="G605" i="2" a="1"/>
  <c r="G605" i="2" s="1"/>
  <c r="H605" i="2" s="1" a="1"/>
  <c r="H605" i="2" s="1"/>
  <c r="I605" i="2" s="1"/>
  <c r="G597" i="2" a="1"/>
  <c r="G597" i="2" s="1"/>
  <c r="H597" i="2" s="1" a="1"/>
  <c r="H597" i="2" s="1"/>
  <c r="I597" i="2" s="1"/>
  <c r="G582" i="2" a="1"/>
  <c r="G582" i="2" s="1"/>
  <c r="H582" i="2" s="1" a="1"/>
  <c r="H582" i="2" s="1"/>
  <c r="I582" i="2" s="1"/>
  <c r="G574" i="2" a="1"/>
  <c r="G574" i="2" s="1"/>
  <c r="H574" i="2" s="1" a="1"/>
  <c r="H574" i="2" s="1"/>
  <c r="I574" i="2" s="1"/>
  <c r="G473" i="2" a="1"/>
  <c r="G473" i="2" s="1"/>
  <c r="H473" i="2" s="1" a="1"/>
  <c r="H473" i="2" s="1"/>
  <c r="I473" i="2" s="1"/>
  <c r="G461" i="2" a="1"/>
  <c r="G461" i="2" s="1"/>
  <c r="H461" i="2" s="1" a="1"/>
  <c r="H461" i="2" s="1"/>
  <c r="I461" i="2" s="1"/>
  <c r="G448" i="2" a="1"/>
  <c r="G448" i="2" s="1"/>
  <c r="H448" i="2" s="1" a="1"/>
  <c r="H448" i="2" s="1"/>
  <c r="I448" i="2" s="1"/>
  <c r="G433" i="2" a="1"/>
  <c r="G433" i="2" s="1"/>
  <c r="H433" i="2" s="1" a="1"/>
  <c r="H433" i="2" s="1"/>
  <c r="I433" i="2" s="1"/>
  <c r="G422" i="2" a="1"/>
  <c r="G422" i="2" s="1"/>
  <c r="H422" i="2" s="1" a="1"/>
  <c r="H422" i="2" s="1"/>
  <c r="I422" i="2" s="1"/>
  <c r="G407" i="2" a="1"/>
  <c r="G407" i="2" s="1"/>
  <c r="H407" i="2" s="1" a="1"/>
  <c r="H407" i="2" s="1"/>
  <c r="I407" i="2" s="1"/>
  <c r="G395" i="2" a="1"/>
  <c r="G395" i="2" s="1"/>
  <c r="H395" i="2" s="1" a="1"/>
  <c r="H395" i="2" s="1"/>
  <c r="I395" i="2" s="1"/>
  <c r="G383" i="2" a="1"/>
  <c r="G383" i="2" s="1"/>
  <c r="H383" i="2" s="1" a="1"/>
  <c r="H383" i="2" s="1"/>
  <c r="I383" i="2" s="1"/>
  <c r="G369" i="2" a="1"/>
  <c r="G369" i="2" s="1"/>
  <c r="H369" i="2" s="1" a="1"/>
  <c r="H369" i="2" s="1"/>
  <c r="I369" i="2" s="1"/>
  <c r="G357" i="2" a="1"/>
  <c r="G357" i="2" s="1"/>
  <c r="H357" i="2" s="1" a="1"/>
  <c r="H357" i="2" s="1"/>
  <c r="I357" i="2" s="1"/>
  <c r="G343" i="2" a="1"/>
  <c r="G343" i="2" s="1"/>
  <c r="H343" i="2" s="1" a="1"/>
  <c r="H343" i="2" s="1"/>
  <c r="I343" i="2" s="1"/>
  <c r="G329" i="2" a="1"/>
  <c r="G329" i="2" s="1"/>
  <c r="H329" i="2" s="1" a="1"/>
  <c r="H329" i="2" s="1"/>
  <c r="I329" i="2" s="1"/>
  <c r="G317" i="2" a="1"/>
  <c r="G317" i="2" s="1"/>
  <c r="H317" i="2" s="1" a="1"/>
  <c r="H317" i="2" s="1"/>
  <c r="I317" i="2" s="1"/>
  <c r="G293" i="2" a="1"/>
  <c r="G293" i="2" s="1"/>
  <c r="H293" i="2" s="1" a="1"/>
  <c r="H293" i="2" s="1"/>
  <c r="I293" i="2" s="1"/>
  <c r="G281" i="2" a="1"/>
  <c r="G281" i="2" s="1"/>
  <c r="H281" i="2" s="1" a="1"/>
  <c r="H281" i="2" s="1"/>
  <c r="I281" i="2" s="1"/>
  <c r="G257" i="2" a="1"/>
  <c r="G257" i="2" s="1"/>
  <c r="H257" i="2" s="1" a="1"/>
  <c r="H257" i="2" s="1"/>
  <c r="I257" i="2" s="1"/>
  <c r="G243" i="2" a="1"/>
  <c r="G243" i="2" s="1"/>
  <c r="H243" i="2" s="1" a="1"/>
  <c r="H243" i="2" s="1"/>
  <c r="I243" i="2" s="1"/>
  <c r="G234" i="2" a="1"/>
  <c r="G234" i="2" s="1"/>
  <c r="H234" i="2" s="1" a="1"/>
  <c r="H234" i="2" s="1"/>
  <c r="I234" i="2" s="1"/>
  <c r="G219" i="2" a="1"/>
  <c r="G219" i="2" s="1"/>
  <c r="H219" i="2" s="1" a="1"/>
  <c r="H219" i="2" s="1"/>
  <c r="I219" i="2" s="1"/>
  <c r="G207" i="2" a="1"/>
  <c r="G207" i="2" s="1"/>
  <c r="H207" i="2" s="1" a="1"/>
  <c r="H207" i="2" s="1"/>
  <c r="I207" i="2" s="1"/>
  <c r="G196" i="2" a="1"/>
  <c r="G196" i="2" s="1"/>
  <c r="H196" i="2" s="1" a="1"/>
  <c r="H196" i="2" s="1"/>
  <c r="I196" i="2" s="1"/>
  <c r="G184" i="2" a="1"/>
  <c r="G184" i="2" s="1"/>
  <c r="H184" i="2" s="1" a="1"/>
  <c r="H184" i="2" s="1"/>
  <c r="I184" i="2" s="1"/>
  <c r="G173" i="2" a="1"/>
  <c r="G173" i="2" s="1"/>
  <c r="H173" i="2" s="1" a="1"/>
  <c r="H173" i="2" s="1"/>
  <c r="I173" i="2" s="1"/>
  <c r="G147" i="2" a="1"/>
  <c r="G147" i="2" s="1"/>
  <c r="H147" i="2" s="1" a="1"/>
  <c r="H147" i="2" s="1"/>
  <c r="I147" i="2" s="1"/>
  <c r="G136" i="2" a="1"/>
  <c r="G136" i="2" s="1"/>
  <c r="H136" i="2" s="1" a="1"/>
  <c r="H136" i="2" s="1"/>
  <c r="I136" i="2" s="1"/>
  <c r="G122" i="2" a="1"/>
  <c r="G122" i="2" s="1"/>
  <c r="H122" i="2" s="1" a="1"/>
  <c r="H122" i="2" s="1"/>
  <c r="I122" i="2" s="1"/>
  <c r="G112" i="2" a="1"/>
  <c r="G112" i="2" s="1"/>
  <c r="H112" i="2" s="1" a="1"/>
  <c r="H112" i="2" s="1"/>
  <c r="I112" i="2" s="1"/>
  <c r="G88" i="2" a="1"/>
  <c r="G88" i="2" s="1"/>
  <c r="H88" i="2" s="1" a="1"/>
  <c r="H88" i="2" s="1"/>
  <c r="I88" i="2" s="1"/>
  <c r="G76" i="2" a="1"/>
  <c r="G76" i="2" s="1"/>
  <c r="H76" i="2" s="1" a="1"/>
  <c r="H76" i="2" s="1"/>
  <c r="I76" i="2" s="1"/>
  <c r="G62" i="2" a="1"/>
  <c r="G62" i="2" s="1"/>
  <c r="H62" i="2" s="1" a="1"/>
  <c r="H62" i="2" s="1"/>
  <c r="I62" i="2" s="1"/>
  <c r="G52" i="2" a="1"/>
  <c r="G52" i="2" s="1"/>
  <c r="H52" i="2" s="1" a="1"/>
  <c r="H52" i="2" s="1"/>
  <c r="I52" i="2" s="1"/>
  <c r="G37" i="2" a="1"/>
  <c r="G37" i="2" s="1"/>
  <c r="H37" i="2" s="1" a="1"/>
  <c r="H37" i="2" s="1"/>
  <c r="I37" i="2" s="1"/>
  <c r="G14" i="2" a="1"/>
  <c r="G14" i="2" s="1"/>
  <c r="H14" i="2" s="1" a="1"/>
  <c r="H14" i="2" s="1"/>
  <c r="I14" i="2" s="1"/>
  <c r="G511" i="2" a="1"/>
  <c r="G511" i="2" s="1"/>
  <c r="H511" i="2" s="1" a="1"/>
  <c r="H511" i="2" s="1"/>
  <c r="I511" i="2" s="1"/>
  <c r="G490" i="2" a="1"/>
  <c r="G490" i="2" s="1"/>
  <c r="H490" i="2" s="1" a="1"/>
  <c r="H490" i="2" s="1"/>
  <c r="I490" i="2" s="1"/>
  <c r="G476" i="2" a="1"/>
  <c r="G476" i="2" s="1"/>
  <c r="H476" i="2" s="1" a="1"/>
  <c r="H476" i="2" s="1"/>
  <c r="I476" i="2" s="1"/>
  <c r="G424" i="2" a="1"/>
  <c r="G424" i="2" s="1"/>
  <c r="H424" i="2" s="1" a="1"/>
  <c r="H424" i="2" s="1"/>
  <c r="I424" i="2" s="1"/>
  <c r="G412" i="2" a="1"/>
  <c r="G412" i="2" s="1"/>
  <c r="H412" i="2" s="1" a="1"/>
  <c r="H412" i="2" s="1"/>
  <c r="I412" i="2" s="1"/>
  <c r="G384" i="2" a="1"/>
  <c r="G384" i="2" s="1"/>
  <c r="H384" i="2" s="1" a="1"/>
  <c r="H384" i="2" s="1"/>
  <c r="I384" i="2" s="1"/>
  <c r="G358" i="2" a="1"/>
  <c r="G358" i="2" s="1"/>
  <c r="H358" i="2" s="1" a="1"/>
  <c r="H358" i="2" s="1"/>
  <c r="I358" i="2" s="1"/>
  <c r="G333" i="2" a="1"/>
  <c r="G333" i="2" s="1"/>
  <c r="H333" i="2" s="1" a="1"/>
  <c r="H333" i="2" s="1"/>
  <c r="I333" i="2" s="1"/>
  <c r="G320" i="2" a="1"/>
  <c r="G320" i="2" s="1"/>
  <c r="H320" i="2" s="1" a="1"/>
  <c r="H320" i="2" s="1"/>
  <c r="I320" i="2" s="1"/>
  <c r="G297" i="2" a="1"/>
  <c r="G297" i="2" s="1"/>
  <c r="H297" i="2" s="1" a="1"/>
  <c r="H297" i="2" s="1"/>
  <c r="I297" i="2" s="1"/>
  <c r="G283" i="2" a="1"/>
  <c r="G283" i="2" s="1"/>
  <c r="H283" i="2" s="1" a="1"/>
  <c r="H283" i="2" s="1"/>
  <c r="I283" i="2" s="1"/>
  <c r="G258" i="2" a="1"/>
  <c r="G258" i="2" s="1"/>
  <c r="H258" i="2" s="1" a="1"/>
  <c r="H258" i="2" s="1"/>
  <c r="I258" i="2" s="1"/>
  <c r="G235" i="2" a="1"/>
  <c r="G235" i="2" s="1"/>
  <c r="H235" i="2" s="1" a="1"/>
  <c r="H235" i="2" s="1"/>
  <c r="I235" i="2" s="1"/>
  <c r="G556" i="2" a="1"/>
  <c r="G556" i="2" s="1"/>
  <c r="H556" i="2" s="1" a="1"/>
  <c r="H556" i="2" s="1"/>
  <c r="I556" i="2" s="1"/>
  <c r="G524" i="2" a="1"/>
  <c r="G524" i="2" s="1"/>
  <c r="H524" i="2" s="1" a="1"/>
  <c r="H524" i="2" s="1"/>
  <c r="I524" i="2" s="1"/>
  <c r="G508" i="2" a="1"/>
  <c r="G508" i="2" s="1"/>
  <c r="H508" i="2" s="1" a="1"/>
  <c r="H508" i="2" s="1"/>
  <c r="I508" i="2" s="1"/>
  <c r="G500" i="2" a="1"/>
  <c r="G500" i="2" s="1"/>
  <c r="H500" i="2" s="1" a="1"/>
  <c r="H500" i="2" s="1"/>
  <c r="I500" i="2" s="1"/>
  <c r="G492" i="2" a="1"/>
  <c r="G492" i="2" s="1"/>
  <c r="H492" i="2" s="1" a="1"/>
  <c r="H492" i="2" s="1"/>
  <c r="I492" i="2" s="1"/>
  <c r="G637" i="2" a="1"/>
  <c r="G637" i="2" s="1"/>
  <c r="H637" i="2" s="1" a="1"/>
  <c r="H637" i="2" s="1"/>
  <c r="I637" i="2" s="1"/>
  <c r="G621" i="2" a="1"/>
  <c r="G621" i="2" s="1"/>
  <c r="H621" i="2" s="1" a="1"/>
  <c r="H621" i="2" s="1"/>
  <c r="I621" i="2" s="1"/>
  <c r="G598" i="2" a="1"/>
  <c r="G598" i="2" s="1"/>
  <c r="H598" i="2" s="1" a="1"/>
  <c r="H598" i="2" s="1"/>
  <c r="I598" i="2" s="1"/>
  <c r="G559" i="2" a="1"/>
  <c r="G559" i="2" s="1"/>
  <c r="H559" i="2" s="1" a="1"/>
  <c r="H559" i="2" s="1"/>
  <c r="I559" i="2" s="1"/>
  <c r="G520" i="2" a="1"/>
  <c r="G520" i="2" s="1"/>
  <c r="H520" i="2" s="1" a="1"/>
  <c r="H520" i="2" s="1"/>
  <c r="I520" i="2" s="1"/>
  <c r="G487" i="2" a="1"/>
  <c r="G487" i="2" s="1"/>
  <c r="H487" i="2" s="1" a="1"/>
  <c r="H487" i="2" s="1"/>
  <c r="I487" i="2" s="1"/>
  <c r="G463" i="2" a="1"/>
  <c r="G463" i="2" s="1"/>
  <c r="H463" i="2" s="1" a="1"/>
  <c r="H463" i="2" s="1"/>
  <c r="I463" i="2" s="1"/>
  <c r="G554" i="2" a="1"/>
  <c r="G554" i="2" s="1"/>
  <c r="H554" i="2" s="1" a="1"/>
  <c r="H554" i="2" s="1"/>
  <c r="I554" i="2" s="1"/>
  <c r="G538" i="2" a="1"/>
  <c r="G538" i="2" s="1"/>
  <c r="H538" i="2" s="1" a="1"/>
  <c r="H538" i="2" s="1"/>
  <c r="I538" i="2" s="1"/>
  <c r="G482" i="2" a="1"/>
  <c r="G482" i="2" s="1"/>
  <c r="H482" i="2" s="1" a="1"/>
  <c r="H482" i="2" s="1"/>
  <c r="I482" i="2" s="1"/>
  <c r="G636" i="2" a="1"/>
  <c r="G636" i="2" s="1"/>
  <c r="H636" i="2" s="1" a="1"/>
  <c r="H636" i="2" s="1"/>
  <c r="I636" i="2" s="1"/>
  <c r="G625" i="2" a="1"/>
  <c r="G625" i="2" s="1"/>
  <c r="H625" i="2" s="1" a="1"/>
  <c r="H625" i="2" s="1"/>
  <c r="I625" i="2" s="1"/>
  <c r="G620" i="2" a="1"/>
  <c r="G620" i="2" s="1"/>
  <c r="H620" i="2" s="1" a="1"/>
  <c r="H620" i="2" s="1"/>
  <c r="I620" i="2" s="1"/>
  <c r="G613" i="2" a="1"/>
  <c r="G613" i="2" s="1"/>
  <c r="H613" i="2" s="1" a="1"/>
  <c r="H613" i="2" s="1"/>
  <c r="I613" i="2" s="1"/>
  <c r="G604" i="2" a="1"/>
  <c r="G604" i="2" s="1"/>
  <c r="H604" i="2" s="1" a="1"/>
  <c r="H604" i="2" s="1"/>
  <c r="I604" i="2" s="1"/>
  <c r="G588" i="2" a="1"/>
  <c r="G588" i="2" s="1"/>
  <c r="H588" i="2" s="1" a="1"/>
  <c r="H588" i="2" s="1"/>
  <c r="I588" i="2" s="1"/>
  <c r="G472" i="2" a="1"/>
  <c r="G472" i="2" s="1"/>
  <c r="H472" i="2" s="1" a="1"/>
  <c r="H472" i="2" s="1"/>
  <c r="I472" i="2" s="1"/>
  <c r="G457" i="2" a="1"/>
  <c r="G457" i="2" s="1"/>
  <c r="H457" i="2" s="1" a="1"/>
  <c r="H457" i="2" s="1"/>
  <c r="I457" i="2" s="1"/>
  <c r="G432" i="2" a="1"/>
  <c r="G432" i="2" s="1"/>
  <c r="H432" i="2" s="1" a="1"/>
  <c r="H432" i="2" s="1"/>
  <c r="I432" i="2" s="1"/>
  <c r="G419" i="2" a="1"/>
  <c r="G419" i="2" s="1"/>
  <c r="H419" i="2" s="1" a="1"/>
  <c r="H419" i="2" s="1"/>
  <c r="I419" i="2" s="1"/>
  <c r="G406" i="2" a="1"/>
  <c r="G406" i="2" s="1"/>
  <c r="H406" i="2" s="1" a="1"/>
  <c r="H406" i="2" s="1"/>
  <c r="I406" i="2" s="1"/>
  <c r="G393" i="2" a="1"/>
  <c r="G393" i="2" s="1"/>
  <c r="H393" i="2" s="1" a="1"/>
  <c r="H393" i="2" s="1"/>
  <c r="I393" i="2" s="1"/>
  <c r="G382" i="2" a="1"/>
  <c r="G382" i="2" s="1"/>
  <c r="H382" i="2" s="1" a="1"/>
  <c r="H382" i="2" s="1"/>
  <c r="I382" i="2" s="1"/>
  <c r="G368" i="2" a="1"/>
  <c r="G368" i="2" s="1"/>
  <c r="H368" i="2" s="1" a="1"/>
  <c r="H368" i="2" s="1"/>
  <c r="I368" i="2" s="1"/>
  <c r="G341" i="2" a="1"/>
  <c r="G341" i="2" s="1"/>
  <c r="H341" i="2" s="1" a="1"/>
  <c r="H341" i="2" s="1"/>
  <c r="I341" i="2" s="1"/>
  <c r="G327" i="2" a="1"/>
  <c r="G327" i="2" s="1"/>
  <c r="H327" i="2" s="1" a="1"/>
  <c r="H327" i="2" s="1"/>
  <c r="I327" i="2" s="1"/>
  <c r="G304" i="2" a="1"/>
  <c r="G304" i="2" s="1"/>
  <c r="H304" i="2" s="1" a="1"/>
  <c r="H304" i="2" s="1"/>
  <c r="I304" i="2" s="1"/>
  <c r="G280" i="2" a="1"/>
  <c r="G280" i="2" s="1"/>
  <c r="H280" i="2" s="1" a="1"/>
  <c r="H280" i="2" s="1"/>
  <c r="I280" i="2" s="1"/>
  <c r="G266" i="2" a="1"/>
  <c r="G266" i="2" s="1"/>
  <c r="H266" i="2" s="1" a="1"/>
  <c r="H266" i="2" s="1"/>
  <c r="I266" i="2" s="1"/>
  <c r="G230" i="2" a="1"/>
  <c r="G230" i="2" s="1"/>
  <c r="H230" i="2" s="1" a="1"/>
  <c r="H230" i="2" s="1"/>
  <c r="I230" i="2" s="1"/>
  <c r="G218" i="2" a="1"/>
  <c r="G218" i="2" s="1"/>
  <c r="H218" i="2" s="1" a="1"/>
  <c r="H218" i="2" s="1"/>
  <c r="I218" i="2" s="1"/>
  <c r="G206" i="2" a="1"/>
  <c r="G206" i="2" s="1"/>
  <c r="H206" i="2" s="1" a="1"/>
  <c r="H206" i="2" s="1"/>
  <c r="I206" i="2" s="1"/>
  <c r="G195" i="2" a="1"/>
  <c r="G195" i="2" s="1"/>
  <c r="H195" i="2" s="1" a="1"/>
  <c r="H195" i="2" s="1"/>
  <c r="I195" i="2" s="1"/>
  <c r="G183" i="2" a="1"/>
  <c r="G183" i="2" s="1"/>
  <c r="H183" i="2" s="1" a="1"/>
  <c r="H183" i="2" s="1"/>
  <c r="I183" i="2" s="1"/>
  <c r="G170" i="2" a="1"/>
  <c r="G170" i="2" s="1"/>
  <c r="H170" i="2" s="1" a="1"/>
  <c r="H170" i="2" s="1"/>
  <c r="I170" i="2" s="1"/>
  <c r="G146" i="2" a="1"/>
  <c r="G146" i="2" s="1"/>
  <c r="H146" i="2" s="1" a="1"/>
  <c r="H146" i="2" s="1"/>
  <c r="I146" i="2" s="1"/>
  <c r="G135" i="2" a="1"/>
  <c r="G135" i="2" s="1"/>
  <c r="H135" i="2" s="1" a="1"/>
  <c r="H135" i="2" s="1"/>
  <c r="I135" i="2" s="1"/>
  <c r="G109" i="2" a="1"/>
  <c r="G109" i="2" s="1"/>
  <c r="H109" i="2" s="1" a="1"/>
  <c r="H109" i="2" s="1"/>
  <c r="I109" i="2" s="1"/>
  <c r="G98" i="2" a="1"/>
  <c r="G98" i="2" s="1"/>
  <c r="H98" i="2" s="1" a="1"/>
  <c r="H98" i="2" s="1"/>
  <c r="I98" i="2" s="1"/>
  <c r="G85" i="2" a="1"/>
  <c r="G85" i="2" s="1"/>
  <c r="H85" i="2" s="1" a="1"/>
  <c r="H85" i="2" s="1"/>
  <c r="I85" i="2" s="1"/>
  <c r="G75" i="2" a="1"/>
  <c r="G75" i="2" s="1"/>
  <c r="H75" i="2" s="1" a="1"/>
  <c r="H75" i="2" s="1"/>
  <c r="I75" i="2" s="1"/>
  <c r="G61" i="2" a="1"/>
  <c r="G61" i="2" s="1"/>
  <c r="H61" i="2" s="1" a="1"/>
  <c r="H61" i="2" s="1"/>
  <c r="I61" i="2" s="1"/>
  <c r="G36" i="2" a="1"/>
  <c r="G36" i="2" s="1"/>
  <c r="H36" i="2" s="1" a="1"/>
  <c r="H36" i="2" s="1"/>
  <c r="I36" i="2" s="1"/>
  <c r="G24" i="2" a="1"/>
  <c r="G24" i="2" s="1"/>
  <c r="H24" i="2" s="1" a="1"/>
  <c r="H24" i="2" s="1"/>
  <c r="I24" i="2" s="1"/>
  <c r="D769" i="1"/>
  <c r="G470" i="2" l="1" a="1"/>
  <c r="G470" i="2" s="1"/>
  <c r="H470" i="2" s="1" a="1"/>
  <c r="H470" i="2" s="1"/>
  <c r="I470" i="2" s="1"/>
  <c r="G416" i="2" a="1"/>
  <c r="G416" i="2" s="1"/>
  <c r="H416" i="2" s="1" a="1"/>
  <c r="H416" i="2" s="1"/>
  <c r="I416" i="2" s="1"/>
  <c r="G342" i="2" a="1"/>
  <c r="G342" i="2" s="1"/>
  <c r="H342" i="2" s="1" a="1"/>
  <c r="H342" i="2" s="1"/>
  <c r="I342" i="2" s="1"/>
  <c r="G267" i="2" a="1"/>
  <c r="G267" i="2" s="1"/>
  <c r="H267" i="2" s="1" a="1"/>
  <c r="H267" i="2" s="1"/>
  <c r="I267" i="2" s="1"/>
  <c r="G216" i="2" a="1"/>
  <c r="G216" i="2" s="1"/>
  <c r="H216" i="2" s="1" a="1"/>
  <c r="H216" i="2" s="1"/>
  <c r="I216" i="2" s="1"/>
  <c r="G149" i="2" a="1"/>
  <c r="G149" i="2" s="1"/>
  <c r="H149" i="2" s="1" a="1"/>
  <c r="H149" i="2" s="1"/>
  <c r="I149" i="2" s="1"/>
  <c r="G97" i="2" a="1"/>
  <c r="G97" i="2" s="1"/>
  <c r="H97" i="2" s="1" a="1"/>
  <c r="H97" i="2" s="1"/>
  <c r="I97" i="2" s="1"/>
  <c r="G22" i="2" a="1"/>
  <c r="G22" i="2" s="1"/>
  <c r="H22" i="2" s="1" a="1"/>
  <c r="H22" i="2" s="1"/>
  <c r="I22" i="2" s="1"/>
  <c r="G421" i="2" a="1"/>
  <c r="G421" i="2" s="1"/>
  <c r="H421" i="2" s="1" a="1"/>
  <c r="H421" i="2" s="1"/>
  <c r="I421" i="2" s="1"/>
  <c r="G360" i="2" a="1"/>
  <c r="G360" i="2" s="1"/>
  <c r="H360" i="2" s="1" a="1"/>
  <c r="H360" i="2" s="1"/>
  <c r="I360" i="2" s="1"/>
  <c r="G284" i="2" a="1"/>
  <c r="G284" i="2" s="1"/>
  <c r="H284" i="2" s="1" a="1"/>
  <c r="H284" i="2" s="1"/>
  <c r="I284" i="2" s="1"/>
  <c r="G215" i="2" a="1"/>
  <c r="G215" i="2" s="1"/>
  <c r="H215" i="2" s="1" a="1"/>
  <c r="H215" i="2" s="1"/>
  <c r="I215" i="2" s="1"/>
  <c r="G159" i="2" a="1"/>
  <c r="G159" i="2" s="1"/>
  <c r="H159" i="2" s="1" a="1"/>
  <c r="H159" i="2" s="1"/>
  <c r="I159" i="2" s="1"/>
  <c r="G80" i="2" a="1"/>
  <c r="G80" i="2" s="1"/>
  <c r="H80" i="2" s="1" a="1"/>
  <c r="H80" i="2" s="1"/>
  <c r="I80" i="2" s="1"/>
  <c r="G16" i="2" a="1"/>
  <c r="G16" i="2" s="1"/>
  <c r="H16" i="2" s="1" a="1"/>
  <c r="H16" i="2" s="1"/>
  <c r="I16" i="2" s="1"/>
  <c r="G544" i="2" a="1"/>
  <c r="G544" i="2" s="1"/>
  <c r="H544" i="2" s="1" a="1"/>
  <c r="H544" i="2" s="1"/>
  <c r="I544" i="2" s="1"/>
  <c r="G229" i="2" a="1"/>
  <c r="G229" i="2" s="1"/>
  <c r="H229" i="2" s="1" a="1"/>
  <c r="H229" i="2" s="1"/>
  <c r="I229" i="2" s="1"/>
  <c r="G366" i="2" a="1"/>
  <c r="G366" i="2" s="1"/>
  <c r="H366" i="2" s="1" a="1"/>
  <c r="H366" i="2" s="1"/>
  <c r="I366" i="2" s="1"/>
  <c r="G156" i="2" a="1"/>
  <c r="G156" i="2" s="1"/>
  <c r="H156" i="2" s="1" a="1"/>
  <c r="H156" i="2" s="1"/>
  <c r="I156" i="2" s="1"/>
  <c r="G252" i="2" a="1"/>
  <c r="G252" i="2" s="1"/>
  <c r="H252" i="2" s="1" a="1"/>
  <c r="H252" i="2" s="1"/>
  <c r="I252" i="2" s="1"/>
  <c r="G402" i="2" a="1"/>
  <c r="G402" i="2" s="1"/>
  <c r="H402" i="2" s="1" a="1"/>
  <c r="H402" i="2" s="1"/>
  <c r="I402" i="2" s="1"/>
  <c r="G629" i="2" a="1"/>
  <c r="G629" i="2" s="1"/>
  <c r="H629" i="2" s="1" a="1"/>
  <c r="H629" i="2" s="1"/>
  <c r="I629" i="2" s="1"/>
  <c r="G273" i="2" a="1"/>
  <c r="G273" i="2" s="1"/>
  <c r="H273" i="2" s="1" a="1"/>
  <c r="H273" i="2" s="1"/>
  <c r="I273" i="2" s="1"/>
  <c r="G503" i="2" a="1"/>
  <c r="G503" i="2" s="1"/>
  <c r="H503" i="2" s="1" a="1"/>
  <c r="H503" i="2" s="1"/>
  <c r="I503" i="2" s="1"/>
  <c r="G310" i="2" a="1"/>
  <c r="G310" i="2" s="1"/>
  <c r="H310" i="2" s="1" a="1"/>
  <c r="H310" i="2" s="1"/>
  <c r="I310" i="2" s="1"/>
  <c r="G539" i="2" a="1"/>
  <c r="G539" i="2" s="1"/>
  <c r="H539" i="2" s="1" a="1"/>
  <c r="H539" i="2" s="1"/>
  <c r="I539" i="2" s="1"/>
  <c r="G532" i="2" a="1"/>
  <c r="G532" i="2" s="1"/>
  <c r="H532" i="2" s="1" a="1"/>
  <c r="H532" i="2" s="1"/>
  <c r="I532" i="2" s="1"/>
  <c r="G525" i="2" a="1"/>
  <c r="G525" i="2" s="1"/>
  <c r="H525" i="2" s="1" a="1"/>
  <c r="H525" i="2" s="1"/>
  <c r="I525" i="2" s="1"/>
  <c r="G526" i="2" a="1"/>
  <c r="G526" i="2" s="1"/>
  <c r="H526" i="2" s="1" a="1"/>
  <c r="H526" i="2" s="1"/>
  <c r="I526" i="2" s="1"/>
  <c r="G399" i="2" a="1"/>
  <c r="G399" i="2" s="1"/>
  <c r="H399" i="2" s="1" a="1"/>
  <c r="H399" i="2" s="1"/>
  <c r="I399" i="2" s="1"/>
  <c r="G553" i="2" a="1"/>
  <c r="G553" i="2" s="1"/>
  <c r="H553" i="2" s="1" a="1"/>
  <c r="H553" i="2" s="1"/>
  <c r="I553" i="2" s="1"/>
  <c r="G616" i="2" a="1"/>
  <c r="G616" i="2" s="1"/>
  <c r="H616" i="2" s="1" a="1"/>
  <c r="H616" i="2" s="1"/>
  <c r="I616" i="2" s="1"/>
  <c r="G438" i="2" a="1"/>
  <c r="G438" i="2" s="1"/>
  <c r="H438" i="2" s="1" a="1"/>
  <c r="H438" i="2" s="1"/>
  <c r="I438" i="2" s="1"/>
  <c r="G444" i="2" a="1"/>
  <c r="G444" i="2" s="1"/>
  <c r="H444" i="2" s="1" a="1"/>
  <c r="H444" i="2" s="1"/>
  <c r="I444" i="2" s="1"/>
  <c r="G359" i="2" a="1"/>
  <c r="G359" i="2" s="1"/>
  <c r="H359" i="2" s="1" a="1"/>
  <c r="H359" i="2" s="1"/>
  <c r="I359" i="2" s="1"/>
  <c r="G417" i="2" a="1"/>
  <c r="G417" i="2" s="1"/>
  <c r="H417" i="2" s="1" a="1"/>
  <c r="H417" i="2" s="1"/>
  <c r="I417" i="2" s="1"/>
  <c r="G23" i="2" a="1"/>
  <c r="G23" i="2" s="1"/>
  <c r="H23" i="2" s="1" a="1"/>
  <c r="H23" i="2" s="1"/>
  <c r="I23" i="2" s="1"/>
  <c r="G374" i="2" a="1"/>
  <c r="G374" i="2" s="1"/>
  <c r="H374" i="2" s="1" a="1"/>
  <c r="H374" i="2" s="1"/>
  <c r="I374" i="2" s="1"/>
  <c r="G543" i="2" a="1"/>
  <c r="G543" i="2" s="1"/>
  <c r="H543" i="2" s="1" a="1"/>
  <c r="H543" i="2" s="1"/>
  <c r="I543" i="2" s="1"/>
  <c r="G592" i="2" a="1"/>
  <c r="G592" i="2" s="1"/>
  <c r="H592" i="2" s="1" a="1"/>
  <c r="H592" i="2" s="1"/>
  <c r="I592" i="2" s="1"/>
  <c r="G334" i="2" a="1"/>
  <c r="G334" i="2" s="1"/>
  <c r="H334" i="2" s="1" a="1"/>
  <c r="H334" i="2" s="1"/>
  <c r="I334" i="2" s="1"/>
  <c r="G600" i="2" a="1"/>
  <c r="G600" i="2" s="1"/>
  <c r="H600" i="2" s="1" a="1"/>
  <c r="H600" i="2" s="1"/>
  <c r="I600" i="2" s="1"/>
  <c r="G533" i="2" a="1"/>
  <c r="G533" i="2" s="1"/>
  <c r="H533" i="2" s="1" a="1"/>
  <c r="H533" i="2" s="1"/>
  <c r="I533" i="2" s="1"/>
  <c r="G542" i="2" a="1"/>
  <c r="G542" i="2" s="1"/>
  <c r="H542" i="2" s="1" a="1"/>
  <c r="H542" i="2" s="1"/>
  <c r="I542" i="2" s="1"/>
  <c r="G480" i="2" a="1"/>
  <c r="G480" i="2" s="1"/>
  <c r="H480" i="2" s="1" a="1"/>
  <c r="H480" i="2" s="1"/>
  <c r="I480" i="2" s="1"/>
  <c r="G521" i="2" a="1"/>
  <c r="G521" i="2" s="1"/>
  <c r="H521" i="2" s="1" a="1"/>
  <c r="H521" i="2" s="1"/>
  <c r="I521" i="2" s="1"/>
  <c r="G523" i="2" a="1"/>
  <c r="G523" i="2" s="1"/>
  <c r="H523" i="2" s="1" a="1"/>
  <c r="H523" i="2" s="1"/>
  <c r="I523" i="2" s="1"/>
  <c r="G497" i="2" a="1"/>
  <c r="G497" i="2" s="1"/>
  <c r="H497" i="2" s="1" a="1"/>
  <c r="H497" i="2" s="1"/>
  <c r="I497" i="2" s="1"/>
  <c r="G259" i="2" a="1"/>
  <c r="G259" i="2" s="1"/>
  <c r="H259" i="2" s="1" a="1"/>
  <c r="H259" i="2" s="1"/>
  <c r="I259" i="2" s="1"/>
  <c r="G502" i="2" a="1"/>
  <c r="G502" i="2" s="1"/>
  <c r="H502" i="2" s="1" a="1"/>
  <c r="H502" i="2" s="1"/>
  <c r="I502" i="2" s="1"/>
  <c r="G431" i="2" a="1"/>
  <c r="G431" i="2" s="1"/>
  <c r="H431" i="2" s="1" a="1"/>
  <c r="H431" i="2" s="1"/>
  <c r="I431" i="2" s="1"/>
  <c r="G35" i="2" a="1"/>
  <c r="G35" i="2" s="1"/>
  <c r="H35" i="2" s="1" a="1"/>
  <c r="H35" i="2" s="1"/>
  <c r="I35" i="2" s="1"/>
  <c r="G456" i="2" a="1"/>
  <c r="G456" i="2" s="1"/>
  <c r="H456" i="2" s="1" a="1"/>
  <c r="H456" i="2" s="1"/>
  <c r="I456" i="2" s="1"/>
  <c r="G504" i="2" a="1"/>
  <c r="G504" i="2" s="1"/>
  <c r="H504" i="2" s="1" a="1"/>
  <c r="H504" i="2" s="1"/>
  <c r="I504" i="2" s="1"/>
  <c r="G630" i="2" a="1"/>
  <c r="G630" i="2" s="1"/>
  <c r="H630" i="2" s="1" a="1"/>
  <c r="H630" i="2" s="1"/>
  <c r="I630" i="2" s="1"/>
  <c r="G491" i="2" a="1"/>
  <c r="G491" i="2" s="1"/>
  <c r="H491" i="2" s="1" a="1"/>
  <c r="H491" i="2" s="1"/>
  <c r="I491" i="2" s="1"/>
  <c r="G635" i="2" a="1"/>
  <c r="G635" i="2" s="1"/>
  <c r="H635" i="2" s="1" a="1"/>
  <c r="H635" i="2" s="1"/>
  <c r="I635" i="2" s="1"/>
  <c r="G549" i="2" a="1"/>
  <c r="G549" i="2" s="1"/>
  <c r="H549" i="2" s="1" a="1"/>
  <c r="H549" i="2" s="1"/>
  <c r="I549" i="2" s="1"/>
  <c r="G558" i="2" a="1"/>
  <c r="G558" i="2" s="1"/>
  <c r="H558" i="2" s="1" a="1"/>
  <c r="H558" i="2" s="1"/>
  <c r="I558" i="2" s="1"/>
  <c r="G496" i="2" a="1"/>
  <c r="G496" i="2" s="1"/>
  <c r="H496" i="2" s="1" a="1"/>
  <c r="H496" i="2" s="1"/>
  <c r="I496" i="2" s="1"/>
  <c r="G573" i="2" a="1"/>
  <c r="G573" i="2" s="1"/>
  <c r="H573" i="2" s="1" a="1"/>
  <c r="H573" i="2" s="1"/>
  <c r="I573" i="2" s="1"/>
  <c r="G547" i="2" a="1"/>
  <c r="G547" i="2" s="1"/>
  <c r="H547" i="2" s="1" a="1"/>
  <c r="H547" i="2" s="1"/>
  <c r="I547" i="2" s="1"/>
  <c r="G579" i="2" a="1"/>
  <c r="G579" i="2" s="1"/>
  <c r="H579" i="2" s="1" a="1"/>
  <c r="H579" i="2" s="1"/>
  <c r="I579" i="2" s="1"/>
  <c r="G530" i="2" a="1"/>
  <c r="G530" i="2" s="1"/>
  <c r="H530" i="2" s="1" a="1"/>
  <c r="H530" i="2" s="1"/>
  <c r="I530" i="2" s="1"/>
  <c r="G541" i="2" a="1"/>
  <c r="G541" i="2" s="1"/>
  <c r="H541" i="2" s="1" a="1"/>
  <c r="H541" i="2" s="1"/>
  <c r="I541" i="2" s="1"/>
  <c r="G442" i="2" a="1"/>
  <c r="G442" i="2" s="1"/>
  <c r="H442" i="2" s="1" a="1"/>
  <c r="H442" i="2" s="1"/>
  <c r="I442" i="2" s="1"/>
  <c r="G47" i="2" a="1"/>
  <c r="G47" i="2" s="1"/>
  <c r="H47" i="2" s="1" a="1"/>
  <c r="H47" i="2" s="1"/>
  <c r="I47" i="2" s="1"/>
  <c r="G506" i="2" a="1"/>
  <c r="G506" i="2" s="1"/>
  <c r="H506" i="2" s="1" a="1"/>
  <c r="H506" i="2" s="1"/>
  <c r="I506" i="2" s="1"/>
  <c r="G552" i="2" a="1"/>
  <c r="G552" i="2" s="1"/>
  <c r="H552" i="2" s="1" a="1"/>
  <c r="H552" i="2" s="1"/>
  <c r="I552" i="2" s="1"/>
  <c r="G514" i="2" a="1"/>
  <c r="G514" i="2" s="1"/>
  <c r="H514" i="2" s="1" a="1"/>
  <c r="H514" i="2" s="1"/>
  <c r="I514" i="2" s="1"/>
  <c r="G555" i="2" a="1"/>
  <c r="G555" i="2" s="1"/>
  <c r="H555" i="2" s="1" a="1"/>
  <c r="H555" i="2" s="1"/>
  <c r="I555" i="2" s="1"/>
  <c r="G485" i="2" a="1"/>
  <c r="G485" i="2" s="1"/>
  <c r="H485" i="2" s="1" a="1"/>
  <c r="H485" i="2" s="1"/>
  <c r="I485" i="2" s="1"/>
  <c r="G557" i="2" a="1"/>
  <c r="G557" i="2" s="1"/>
  <c r="H557" i="2" s="1" a="1"/>
  <c r="H557" i="2" s="1"/>
  <c r="I557" i="2" s="1"/>
  <c r="G387" i="2" a="1"/>
  <c r="G387" i="2" s="1"/>
  <c r="H387" i="2" s="1" a="1"/>
  <c r="H387" i="2" s="1"/>
  <c r="I387" i="2" s="1"/>
  <c r="G528" i="2" a="1"/>
  <c r="G528" i="2" s="1"/>
  <c r="H528" i="2" s="1" a="1"/>
  <c r="H528" i="2" s="1"/>
  <c r="I528" i="2" s="1"/>
  <c r="G615" i="2" a="1"/>
  <c r="G615" i="2" s="1"/>
  <c r="H615" i="2" s="1" a="1"/>
  <c r="H615" i="2" s="1"/>
  <c r="I615" i="2" s="1"/>
  <c r="G425" i="2" a="1"/>
  <c r="G425" i="2" s="1"/>
  <c r="H425" i="2" s="1" a="1"/>
  <c r="H425" i="2" s="1"/>
  <c r="I425" i="2" s="1"/>
  <c r="G622" i="2" a="1"/>
  <c r="G622" i="2" s="1"/>
  <c r="H622" i="2" s="1" a="1"/>
  <c r="H622" i="2" s="1"/>
  <c r="I622" i="2" s="1"/>
  <c r="G451" i="2" a="1"/>
  <c r="G451" i="2" s="1"/>
  <c r="H451" i="2" s="1" a="1"/>
  <c r="H451" i="2" s="1"/>
  <c r="I451" i="2" s="1"/>
  <c r="G534" i="2" a="1"/>
  <c r="G534" i="2" s="1"/>
  <c r="H534" i="2" s="1" a="1"/>
  <c r="H534" i="2" s="1"/>
  <c r="I534" i="2" s="1"/>
  <c r="G455" i="2" a="1"/>
  <c r="G455" i="2" s="1"/>
  <c r="H455" i="2" s="1" a="1"/>
  <c r="H455" i="2" s="1"/>
  <c r="I455" i="2" s="1"/>
  <c r="G72" i="2" a="1"/>
  <c r="G72" i="2" s="1"/>
  <c r="H72" i="2" s="1" a="1"/>
  <c r="H72" i="2" s="1"/>
  <c r="I72" i="2" s="1"/>
  <c r="G565" i="2" a="1"/>
  <c r="G565" i="2" s="1"/>
  <c r="H565" i="2" s="1" a="1"/>
  <c r="H565" i="2" s="1"/>
  <c r="I565" i="2" s="1"/>
  <c r="G481" i="2" a="1"/>
  <c r="G481" i="2" s="1"/>
  <c r="H481" i="2" s="1" a="1"/>
  <c r="H481" i="2" s="1"/>
  <c r="I481" i="2" s="1"/>
  <c r="G321" i="2" a="1"/>
  <c r="G321" i="2" s="1"/>
  <c r="H321" i="2" s="1" a="1"/>
  <c r="H321" i="2" s="1"/>
  <c r="I321" i="2" s="1"/>
  <c r="G633" i="2" a="1"/>
  <c r="G633" i="2" s="1"/>
  <c r="H633" i="2" s="1" a="1"/>
  <c r="H633" i="2" s="1"/>
  <c r="I633" i="2" s="1"/>
  <c r="G493" i="2" a="1"/>
  <c r="G493" i="2" s="1"/>
  <c r="H493" i="2" s="1" a="1"/>
  <c r="H493" i="2" s="1"/>
  <c r="I493" i="2" s="1"/>
  <c r="G486" i="2" a="1"/>
  <c r="G486" i="2" s="1"/>
  <c r="H486" i="2" s="1" a="1"/>
  <c r="H486" i="2" s="1"/>
  <c r="I486" i="2" s="1"/>
  <c r="G512" i="2" a="1"/>
  <c r="G512" i="2" s="1"/>
  <c r="H512" i="2" s="1" a="1"/>
  <c r="H512" i="2" s="1"/>
  <c r="I512" i="2" s="1"/>
  <c r="G536" i="2" a="1"/>
  <c r="G536" i="2" s="1"/>
  <c r="H536" i="2" s="1" a="1"/>
  <c r="H536" i="2" s="1"/>
  <c r="I536" i="2" s="1"/>
  <c r="G498" i="2" a="1"/>
  <c r="G498" i="2" s="1"/>
  <c r="H498" i="2" s="1" a="1"/>
  <c r="H498" i="2" s="1"/>
  <c r="I498" i="2" s="1"/>
  <c r="G527" i="2" a="1"/>
  <c r="G527" i="2" s="1"/>
  <c r="H527" i="2" s="1" a="1"/>
  <c r="H527" i="2" s="1"/>
  <c r="I527" i="2" s="1"/>
  <c r="G400" i="2" a="1"/>
  <c r="G400" i="2" s="1"/>
  <c r="H400" i="2" s="1" a="1"/>
  <c r="H400" i="2" s="1"/>
  <c r="I400" i="2" s="1"/>
  <c r="G561" i="2" a="1"/>
  <c r="G561" i="2" s="1"/>
  <c r="H561" i="2" s="1" a="1"/>
  <c r="H561" i="2" s="1"/>
  <c r="I561" i="2" s="1"/>
  <c r="G550" i="2" a="1"/>
  <c r="G550" i="2" s="1"/>
  <c r="H550" i="2" s="1" a="1"/>
  <c r="H550" i="2" s="1"/>
  <c r="I550" i="2" s="1"/>
  <c r="G440" i="2" a="1"/>
  <c r="G440" i="2" s="1"/>
  <c r="H440" i="2" s="1" a="1"/>
  <c r="H440" i="2" s="1"/>
  <c r="I440" i="2" s="1"/>
  <c r="G373" i="2" a="1"/>
  <c r="G373" i="2" s="1"/>
  <c r="H373" i="2" s="1" a="1"/>
  <c r="H373" i="2" s="1"/>
  <c r="I373" i="2" s="1"/>
  <c r="G302" i="2" a="1"/>
  <c r="G302" i="2" s="1"/>
  <c r="H302" i="2" s="1" a="1"/>
  <c r="H302" i="2" s="1"/>
  <c r="I302" i="2" s="1"/>
  <c r="G239" i="2" a="1"/>
  <c r="G239" i="2" s="1"/>
  <c r="H239" i="2" s="1" a="1"/>
  <c r="H239" i="2" s="1"/>
  <c r="I239" i="2" s="1"/>
  <c r="G165" i="2" a="1"/>
  <c r="G165" i="2" s="1"/>
  <c r="H165" i="2" s="1" a="1"/>
  <c r="H165" i="2" s="1"/>
  <c r="I165" i="2" s="1"/>
  <c r="G114" i="2" a="1"/>
  <c r="G114" i="2" s="1"/>
  <c r="H114" i="2" s="1" a="1"/>
  <c r="H114" i="2" s="1"/>
  <c r="I114" i="2" s="1"/>
  <c r="G51" i="2" a="1"/>
  <c r="G51" i="2" s="1"/>
  <c r="H51" i="2" s="1" a="1"/>
  <c r="H51" i="2" s="1"/>
  <c r="I51" i="2" s="1"/>
  <c r="G446" i="2" a="1"/>
  <c r="G446" i="2" s="1"/>
  <c r="H446" i="2" s="1" a="1"/>
  <c r="H446" i="2" s="1"/>
  <c r="I446" i="2" s="1"/>
  <c r="G379" i="2" a="1"/>
  <c r="G379" i="2" s="1"/>
  <c r="H379" i="2" s="1" a="1"/>
  <c r="H379" i="2" s="1"/>
  <c r="I379" i="2" s="1"/>
  <c r="G301" i="2" a="1"/>
  <c r="G301" i="2" s="1"/>
  <c r="H301" i="2" s="1" a="1"/>
  <c r="H301" i="2" s="1"/>
  <c r="I301" i="2" s="1"/>
  <c r="G238" i="2" a="1"/>
  <c r="G238" i="2" s="1"/>
  <c r="H238" i="2" s="1" a="1"/>
  <c r="H238" i="2" s="1"/>
  <c r="I238" i="2" s="1"/>
  <c r="G188" i="2" a="1"/>
  <c r="G188" i="2" s="1"/>
  <c r="H188" i="2" s="1" a="1"/>
  <c r="H188" i="2" s="1"/>
  <c r="I188" i="2" s="1"/>
  <c r="G113" i="2" a="1"/>
  <c r="G113" i="2" s="1"/>
  <c r="H113" i="2" s="1" a="1"/>
  <c r="H113" i="2" s="1"/>
  <c r="I113" i="2" s="1"/>
  <c r="G39" i="2" a="1"/>
  <c r="G39" i="2" s="1"/>
  <c r="H39" i="2" s="1" a="1"/>
  <c r="H39" i="2" s="1"/>
  <c r="I39" i="2" s="1"/>
  <c r="G519" i="2" a="1"/>
  <c r="G519" i="2" s="1"/>
  <c r="H519" i="2" s="1" a="1"/>
  <c r="H519" i="2" s="1"/>
  <c r="I519" i="2" s="1"/>
  <c r="G169" i="2" a="1"/>
  <c r="G169" i="2" s="1"/>
  <c r="H169" i="2" s="1" a="1"/>
  <c r="H169" i="2" s="1"/>
  <c r="I169" i="2" s="1"/>
  <c r="G326" i="2" a="1"/>
  <c r="G326" i="2" s="1"/>
  <c r="H326" i="2" s="1" a="1"/>
  <c r="H326" i="2" s="1"/>
  <c r="I326" i="2" s="1"/>
  <c r="G83" i="2" a="1"/>
  <c r="G83" i="2" s="1"/>
  <c r="H83" i="2" s="1" a="1"/>
  <c r="H83" i="2" s="1"/>
  <c r="I83" i="2" s="1"/>
  <c r="G214" i="2" a="1"/>
  <c r="G214" i="2" s="1"/>
  <c r="H214" i="2" s="1" a="1"/>
  <c r="H214" i="2" s="1"/>
  <c r="I214" i="2" s="1"/>
  <c r="G325" i="2" a="1"/>
  <c r="G325" i="2" s="1"/>
  <c r="H325" i="2" s="1" a="1"/>
  <c r="H325" i="2" s="1"/>
  <c r="I325" i="2" s="1"/>
  <c r="G571" i="2" a="1"/>
  <c r="G571" i="2" s="1"/>
  <c r="H571" i="2" s="1" a="1"/>
  <c r="H571" i="2" s="1"/>
  <c r="I571" i="2" s="1"/>
  <c r="G121" i="2" a="1"/>
  <c r="G121" i="2" s="1"/>
  <c r="H121" i="2" s="1" a="1"/>
  <c r="H121" i="2" s="1"/>
  <c r="I121" i="2" s="1"/>
  <c r="G584" i="2" a="1"/>
  <c r="G584" i="2" s="1"/>
  <c r="H584" i="2" s="1" a="1"/>
  <c r="H584" i="2" s="1"/>
  <c r="I584" i="2" s="1"/>
  <c r="G505" i="2" a="1"/>
  <c r="G505" i="2" s="1"/>
  <c r="H505" i="2" s="1" a="1"/>
  <c r="H505" i="2" s="1"/>
  <c r="I505" i="2" s="1"/>
  <c r="G522" i="2" a="1"/>
  <c r="G522" i="2" s="1"/>
  <c r="H522" i="2" s="1" a="1"/>
  <c r="H522" i="2" s="1"/>
  <c r="I522" i="2" s="1"/>
  <c r="G516" i="2" a="1"/>
  <c r="G516" i="2" s="1"/>
  <c r="H516" i="2" s="1" a="1"/>
  <c r="H516" i="2" s="1"/>
  <c r="I516" i="2" s="1"/>
  <c r="G501" i="2" a="1"/>
  <c r="G501" i="2" s="1"/>
  <c r="H501" i="2" s="1" a="1"/>
  <c r="H501" i="2" s="1"/>
  <c r="I501" i="2" s="1"/>
  <c r="G494" i="2" a="1"/>
  <c r="G494" i="2" s="1"/>
  <c r="H494" i="2" s="1" a="1"/>
  <c r="H494" i="2" s="1"/>
  <c r="I494" i="2" s="1"/>
  <c r="G569" i="2" a="1"/>
  <c r="G569" i="2" s="1"/>
  <c r="H569" i="2" s="1" a="1"/>
  <c r="H569" i="2" s="1"/>
  <c r="I569" i="2" s="1"/>
  <c r="G489" i="2" a="1"/>
  <c r="G489" i="2" s="1"/>
  <c r="H489" i="2" s="1" a="1"/>
  <c r="H489" i="2" s="1"/>
  <c r="I489" i="2" s="1"/>
  <c r="G546" i="2" a="1"/>
  <c r="G546" i="2" s="1"/>
  <c r="H546" i="2" s="1" a="1"/>
  <c r="H546" i="2" s="1"/>
  <c r="I546" i="2" s="1"/>
  <c r="G619" i="2" a="1"/>
  <c r="G619" i="2" s="1"/>
  <c r="H619" i="2" s="1" a="1"/>
  <c r="H619" i="2" s="1"/>
  <c r="I619" i="2" s="1"/>
  <c r="G471" i="2" a="1"/>
  <c r="G471" i="2" s="1"/>
  <c r="H471" i="2" s="1" a="1"/>
  <c r="H471" i="2" s="1"/>
  <c r="I471" i="2" s="1"/>
  <c r="G583" i="2" a="1"/>
  <c r="G583" i="2" s="1"/>
  <c r="H583" i="2" s="1" a="1"/>
  <c r="H583" i="2" s="1"/>
  <c r="I583" i="2" s="1"/>
  <c r="G2" i="2" a="1"/>
  <c r="G2" i="2" s="1"/>
  <c r="H2" i="2" s="1" a="1"/>
  <c r="H2" i="2" s="1"/>
  <c r="I2" i="2" s="1"/>
  <c r="G6" i="2" a="1"/>
  <c r="G6" i="2" s="1"/>
  <c r="H6" i="2" s="1" a="1"/>
  <c r="H6" i="2" s="1"/>
  <c r="I6" i="2" s="1"/>
  <c r="G434" i="2" a="1"/>
  <c r="G434" i="2" s="1"/>
  <c r="H434" i="2" s="1" a="1"/>
  <c r="H434" i="2" s="1"/>
  <c r="I434" i="2" s="1"/>
  <c r="G361" i="2" a="1"/>
  <c r="G361" i="2" s="1"/>
  <c r="H361" i="2" s="1" a="1"/>
  <c r="H361" i="2" s="1"/>
  <c r="I361" i="2" s="1"/>
  <c r="G296" i="2" a="1"/>
  <c r="G296" i="2" s="1"/>
  <c r="H296" i="2" s="1" a="1"/>
  <c r="H296" i="2" s="1"/>
  <c r="I296" i="2" s="1"/>
  <c r="G227" i="2" a="1"/>
  <c r="G227" i="2" s="1"/>
  <c r="H227" i="2" s="1" a="1"/>
  <c r="H227" i="2" s="1"/>
  <c r="I227" i="2" s="1"/>
  <c r="G160" i="2" a="1"/>
  <c r="G160" i="2" s="1"/>
  <c r="H160" i="2" s="1" a="1"/>
  <c r="H160" i="2" s="1"/>
  <c r="I160" i="2" s="1"/>
  <c r="G108" i="2" a="1"/>
  <c r="G108" i="2" s="1"/>
  <c r="H108" i="2" s="1" a="1"/>
  <c r="H108" i="2" s="1"/>
  <c r="I108" i="2" s="1"/>
  <c r="G46" i="2" a="1"/>
  <c r="G46" i="2" s="1"/>
  <c r="H46" i="2" s="1" a="1"/>
  <c r="H46" i="2" s="1"/>
  <c r="I46" i="2" s="1"/>
  <c r="G439" i="2" a="1"/>
  <c r="G439" i="2" s="1"/>
  <c r="H439" i="2" s="1" a="1"/>
  <c r="H439" i="2" s="1"/>
  <c r="I439" i="2" s="1"/>
  <c r="G372" i="2" a="1"/>
  <c r="G372" i="2" s="1"/>
  <c r="H372" i="2" s="1" a="1"/>
  <c r="H372" i="2" s="1"/>
  <c r="I372" i="2" s="1"/>
  <c r="G295" i="2" a="1"/>
  <c r="G295" i="2" s="1"/>
  <c r="H295" i="2" s="1" a="1"/>
  <c r="H295" i="2" s="1"/>
  <c r="I295" i="2" s="1"/>
  <c r="G233" i="2" a="1"/>
  <c r="G233" i="2" s="1"/>
  <c r="H233" i="2" s="1" a="1"/>
  <c r="H233" i="2" s="1"/>
  <c r="I233" i="2" s="1"/>
  <c r="G176" i="2" a="1"/>
  <c r="G176" i="2" s="1"/>
  <c r="H176" i="2" s="1" a="1"/>
  <c r="H176" i="2" s="1"/>
  <c r="I176" i="2" s="1"/>
  <c r="G107" i="2" a="1"/>
  <c r="G107" i="2" s="1"/>
  <c r="H107" i="2" s="1" a="1"/>
  <c r="H107" i="2" s="1"/>
  <c r="I107" i="2" s="1"/>
  <c r="G33" i="2" a="1"/>
  <c r="G33" i="2" s="1"/>
  <c r="H33" i="2" s="1" a="1"/>
  <c r="H33" i="2" s="1"/>
  <c r="I33" i="2" s="1"/>
  <c r="G535" i="2" a="1"/>
  <c r="G535" i="2" s="1"/>
  <c r="H535" i="2" s="1" a="1"/>
  <c r="H535" i="2" s="1"/>
  <c r="I535" i="2" s="1"/>
  <c r="G181" i="2" a="1"/>
  <c r="G181" i="2" s="1"/>
  <c r="H181" i="2" s="1" a="1"/>
  <c r="H181" i="2" s="1"/>
  <c r="I181" i="2" s="1"/>
  <c r="G340" i="2" a="1"/>
  <c r="G340" i="2" s="1"/>
  <c r="H340" i="2" s="1" a="1"/>
  <c r="H340" i="2" s="1"/>
  <c r="I340" i="2" s="1"/>
  <c r="G106" i="2" a="1"/>
  <c r="G106" i="2" s="1"/>
  <c r="H106" i="2" s="1" a="1"/>
  <c r="H106" i="2" s="1"/>
  <c r="I106" i="2" s="1"/>
  <c r="G228" i="2" a="1"/>
  <c r="G228" i="2" s="1"/>
  <c r="H228" i="2" s="1" a="1"/>
  <c r="H228" i="2" s="1"/>
  <c r="I228" i="2" s="1"/>
  <c r="G338" i="2" a="1"/>
  <c r="G338" i="2" s="1"/>
  <c r="H338" i="2" s="1" a="1"/>
  <c r="H338" i="2" s="1"/>
  <c r="I338" i="2" s="1"/>
  <c r="G593" i="2" a="1"/>
  <c r="G593" i="2" s="1"/>
  <c r="H593" i="2" s="1" a="1"/>
  <c r="H593" i="2" s="1"/>
  <c r="I593" i="2" s="1"/>
  <c r="G145" i="2" a="1"/>
  <c r="G145" i="2" s="1"/>
  <c r="H145" i="2" s="1" a="1"/>
  <c r="H145" i="2" s="1"/>
  <c r="I145" i="2" s="1"/>
  <c r="G608" i="2" a="1"/>
  <c r="G608" i="2" s="1"/>
  <c r="H608" i="2" s="1" a="1"/>
  <c r="H608" i="2" s="1"/>
  <c r="I608" i="2" s="1"/>
  <c r="G529" i="2" a="1"/>
  <c r="G529" i="2" s="1"/>
  <c r="H529" i="2" s="1" a="1"/>
  <c r="H529" i="2" s="1"/>
  <c r="I529" i="2" s="1"/>
  <c r="G576" i="2" a="1"/>
  <c r="G576" i="2" s="1"/>
  <c r="H576" i="2" s="1" a="1"/>
  <c r="H576" i="2" s="1"/>
  <c r="I576" i="2" s="1"/>
  <c r="G548" i="2" a="1"/>
  <c r="G548" i="2" s="1"/>
  <c r="H548" i="2" s="1" a="1"/>
  <c r="H548" i="2" s="1"/>
  <c r="I548" i="2" s="1"/>
  <c r="G509" i="2" a="1"/>
  <c r="G509" i="2" s="1"/>
  <c r="H509" i="2" s="1" a="1"/>
  <c r="H509" i="2" s="1"/>
  <c r="I509" i="2" s="1"/>
  <c r="G510" i="2" a="1"/>
  <c r="G510" i="2" s="1"/>
  <c r="H510" i="2" s="1" a="1"/>
  <c r="H510" i="2" s="1"/>
  <c r="I510" i="2" s="1"/>
  <c r="G587" i="2" a="1"/>
  <c r="G587" i="2" s="1"/>
  <c r="H587" i="2" s="1" a="1"/>
  <c r="H587" i="2" s="1"/>
  <c r="I587" i="2" s="1"/>
  <c r="G513" i="2" a="1"/>
  <c r="G513" i="2" s="1"/>
  <c r="H513" i="2" s="1" a="1"/>
  <c r="H513" i="2" s="1"/>
  <c r="I513" i="2" s="1"/>
  <c r="G414" i="2" a="1"/>
  <c r="G414" i="2" s="1"/>
  <c r="H414" i="2" s="1" a="1"/>
  <c r="H414" i="2" s="1"/>
  <c r="I414" i="2" s="1"/>
  <c r="G484" i="2" a="1"/>
  <c r="G484" i="2" s="1"/>
  <c r="H484" i="2" s="1" a="1"/>
  <c r="H484" i="2" s="1"/>
  <c r="I484" i="2" s="1"/>
  <c r="G591" i="2" a="1"/>
  <c r="G591" i="2" s="1"/>
  <c r="H591" i="2" s="1" a="1"/>
  <c r="H591" i="2" s="1"/>
  <c r="I591" i="2" s="1"/>
  <c r="O26" i="2"/>
  <c r="R26" i="2" s="1"/>
  <c r="O31" i="2"/>
  <c r="R31" i="2" s="1"/>
  <c r="O29" i="2"/>
  <c r="R29" i="2" s="1"/>
  <c r="O27" i="2"/>
  <c r="R27" i="2" s="1"/>
  <c r="O24" i="2" l="1"/>
  <c r="R24" i="2" s="1"/>
  <c r="O28" i="2"/>
  <c r="R28" i="2" s="1"/>
  <c r="O25" i="2"/>
  <c r="R25" i="2" s="1"/>
  <c r="O30" i="2"/>
  <c r="R3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<sst xmlns="http://schemas.openxmlformats.org/spreadsheetml/2006/main" count="2968" uniqueCount="191">
  <si>
    <t>Barbour County Board of Education</t>
  </si>
  <si>
    <t>Berkeley County Board of Education</t>
  </si>
  <si>
    <t>Boone County Board of Education</t>
  </si>
  <si>
    <t>Braxton County Board of Education</t>
  </si>
  <si>
    <t>Brooke County Board of Education</t>
  </si>
  <si>
    <t>Cabell County Board of Education</t>
  </si>
  <si>
    <t>Calhoun County Board of Education</t>
  </si>
  <si>
    <t>Clay County Board of Education</t>
  </si>
  <si>
    <t>Doddridge County Board of Education</t>
  </si>
  <si>
    <t>Fayette County Board of Education</t>
  </si>
  <si>
    <t>Gilmer County Board of Education</t>
  </si>
  <si>
    <t>Grant County Board of Education</t>
  </si>
  <si>
    <t>Greenbrier County Board of Education</t>
  </si>
  <si>
    <t>Hampshire County Board of Education</t>
  </si>
  <si>
    <t>Hancock County Board of Education</t>
  </si>
  <si>
    <t>Hardy County Board of Education</t>
  </si>
  <si>
    <t>Harrison County Board of Education</t>
  </si>
  <si>
    <t>Jackson County Board of Education</t>
  </si>
  <si>
    <t>Jefferson County Board of Education</t>
  </si>
  <si>
    <t>Kanawha County Board of Education</t>
  </si>
  <si>
    <t>Lewis County Board of Education</t>
  </si>
  <si>
    <t>Lincoln County Board of Education</t>
  </si>
  <si>
    <t>Logan County Board of Education</t>
  </si>
  <si>
    <t>Marion County Board of Education</t>
  </si>
  <si>
    <t>Marshall County Board of Education</t>
  </si>
  <si>
    <t>Mason County Board of Education</t>
  </si>
  <si>
    <t>Employer</t>
  </si>
  <si>
    <t>State Payment On Behalf</t>
  </si>
  <si>
    <t>Total Contributions</t>
  </si>
  <si>
    <t>Employer Contributions</t>
  </si>
  <si>
    <t>McDowell County Board of Education</t>
  </si>
  <si>
    <t>Mercer County Board of Education</t>
  </si>
  <si>
    <t>Mineral County Board of Education</t>
  </si>
  <si>
    <t>Mingo County Board of Education</t>
  </si>
  <si>
    <t>Monongalia County Board of Education</t>
  </si>
  <si>
    <t>Monroe County Board of Education</t>
  </si>
  <si>
    <t>Morgan County Board of Education</t>
  </si>
  <si>
    <t>Nicholas County Board of Education</t>
  </si>
  <si>
    <t>Ohio County Board of Education</t>
  </si>
  <si>
    <t>Pendleton County Board of Education</t>
  </si>
  <si>
    <t>Pleasants County Board of Education</t>
  </si>
  <si>
    <t>Pocahontas County Board of Education</t>
  </si>
  <si>
    <t>Preston County Board of Education</t>
  </si>
  <si>
    <t>Putnam County Board of Education</t>
  </si>
  <si>
    <t>Raleigh County Board of Education</t>
  </si>
  <si>
    <t>Randolph County Board of Education</t>
  </si>
  <si>
    <t>Ritchie County Board of Education</t>
  </si>
  <si>
    <t>Roane County Board of Education</t>
  </si>
  <si>
    <t>Summers County Board of Education</t>
  </si>
  <si>
    <t>Taylor County Board of Education</t>
  </si>
  <si>
    <t>Tucker County Board of Education</t>
  </si>
  <si>
    <t>Tyler County Board of Education</t>
  </si>
  <si>
    <t>Upshur County Board of Education</t>
  </si>
  <si>
    <t>Wayne County Board of Education</t>
  </si>
  <si>
    <t>Webster County Board of Education</t>
  </si>
  <si>
    <t>Wetzel County Board of Education</t>
  </si>
  <si>
    <t>Wirt County Board of Education</t>
  </si>
  <si>
    <t>Wood County Board of Education</t>
  </si>
  <si>
    <t>Wyoming County Board of Education</t>
  </si>
  <si>
    <t>Bluefield State College</t>
  </si>
  <si>
    <t>River Valley Child Development Services</t>
  </si>
  <si>
    <t>Concord University</t>
  </si>
  <si>
    <t>Fairmont State University</t>
  </si>
  <si>
    <t>Glenville State College</t>
  </si>
  <si>
    <t>Marshall University Research Corp</t>
  </si>
  <si>
    <t>Marshall University</t>
  </si>
  <si>
    <t>Shepherd University</t>
  </si>
  <si>
    <t>West Liberty University</t>
  </si>
  <si>
    <t>West Virginia School for the Deaf and Blind</t>
  </si>
  <si>
    <t>West Virginia State University</t>
  </si>
  <si>
    <t>West Virginia University</t>
  </si>
  <si>
    <t>Southern West Virginia Community &amp; Technical College</t>
  </si>
  <si>
    <t>West Virginia Northern Community College</t>
  </si>
  <si>
    <t>West Virginia Network</t>
  </si>
  <si>
    <t>Blue Ridge Community and Technical College</t>
  </si>
  <si>
    <t>Pierpont Community &amp; Technical College</t>
  </si>
  <si>
    <t>Mountwest Community and Technical College</t>
  </si>
  <si>
    <t>New River Community and Technical College</t>
  </si>
  <si>
    <t>West Virginia University at Parkersburg</t>
  </si>
  <si>
    <t>West Virginia Council for Community &amp; Technical College Education</t>
  </si>
  <si>
    <t>West Virginia Department of Education</t>
  </si>
  <si>
    <t>Bridge Valley Community &amp; Technical College</t>
  </si>
  <si>
    <t>West Virginia Higher Education Policy Commission</t>
  </si>
  <si>
    <t>West Virginia - SAF</t>
  </si>
  <si>
    <t>West Virginia - ARC</t>
  </si>
  <si>
    <t>State of WV Special Funding - SAF</t>
  </si>
  <si>
    <t>State of WV Special Funding - ARC Contributions</t>
  </si>
  <si>
    <t>Eastern Panhandle Intructional Cooperative</t>
  </si>
  <si>
    <t>Southern Educational Services Cooperative</t>
  </si>
  <si>
    <t>Mountain State Educational Services Cooperative</t>
  </si>
  <si>
    <t>000100</t>
  </si>
  <si>
    <t>000200</t>
  </si>
  <si>
    <t>000300</t>
  </si>
  <si>
    <t>000400</t>
  </si>
  <si>
    <t>000500</t>
  </si>
  <si>
    <t>000600</t>
  </si>
  <si>
    <t>000700</t>
  </si>
  <si>
    <t>000800</t>
  </si>
  <si>
    <t>000900</t>
  </si>
  <si>
    <t>001000</t>
  </si>
  <si>
    <t>001100</t>
  </si>
  <si>
    <t>001200</t>
  </si>
  <si>
    <t>001300</t>
  </si>
  <si>
    <t>001400</t>
  </si>
  <si>
    <t>001500</t>
  </si>
  <si>
    <t>001600</t>
  </si>
  <si>
    <t>001700</t>
  </si>
  <si>
    <t>001800</t>
  </si>
  <si>
    <t>001900</t>
  </si>
  <si>
    <t>002000</t>
  </si>
  <si>
    <t>002100</t>
  </si>
  <si>
    <t>002200</t>
  </si>
  <si>
    <t>002300</t>
  </si>
  <si>
    <t>002400</t>
  </si>
  <si>
    <t>002500</t>
  </si>
  <si>
    <t>002600</t>
  </si>
  <si>
    <t>002700</t>
  </si>
  <si>
    <t>002800</t>
  </si>
  <si>
    <t>002900</t>
  </si>
  <si>
    <t>003000</t>
  </si>
  <si>
    <t>003100</t>
  </si>
  <si>
    <t>003200</t>
  </si>
  <si>
    <t>003300</t>
  </si>
  <si>
    <t>003400</t>
  </si>
  <si>
    <t>003500</t>
  </si>
  <si>
    <t>003600</t>
  </si>
  <si>
    <t>003700</t>
  </si>
  <si>
    <t>003800</t>
  </si>
  <si>
    <t>003900</t>
  </si>
  <si>
    <t>004000</t>
  </si>
  <si>
    <t>004100</t>
  </si>
  <si>
    <t>004200</t>
  </si>
  <si>
    <t>004300</t>
  </si>
  <si>
    <t>004400</t>
  </si>
  <si>
    <t>004500</t>
  </si>
  <si>
    <t>004600</t>
  </si>
  <si>
    <t>004700</t>
  </si>
  <si>
    <t>004800</t>
  </si>
  <si>
    <t>004900</t>
  </si>
  <si>
    <t>005000</t>
  </si>
  <si>
    <t>005100</t>
  </si>
  <si>
    <t>005200</t>
  </si>
  <si>
    <t>005300</t>
  </si>
  <si>
    <t>005400</t>
  </si>
  <si>
    <t>005500</t>
  </si>
  <si>
    <t>0482</t>
  </si>
  <si>
    <t>005700</t>
  </si>
  <si>
    <t>0483</t>
  </si>
  <si>
    <t>0484</t>
  </si>
  <si>
    <t>0485</t>
  </si>
  <si>
    <t>006100</t>
  </si>
  <si>
    <t>006200</t>
  </si>
  <si>
    <t>0486</t>
  </si>
  <si>
    <t>0488</t>
  </si>
  <si>
    <t>ESC002</t>
  </si>
  <si>
    <t>ESC004</t>
  </si>
  <si>
    <t>ESC006</t>
  </si>
  <si>
    <t>wvSAF</t>
  </si>
  <si>
    <t>wvARC</t>
  </si>
  <si>
    <t>0403</t>
  </si>
  <si>
    <t>0490</t>
  </si>
  <si>
    <t>007500</t>
  </si>
  <si>
    <t>0487</t>
  </si>
  <si>
    <t>0489</t>
  </si>
  <si>
    <t>0495</t>
  </si>
  <si>
    <t>0447</t>
  </si>
  <si>
    <t>0446</t>
  </si>
  <si>
    <t>0445</t>
  </si>
  <si>
    <t>009600</t>
  </si>
  <si>
    <t>0402</t>
  </si>
  <si>
    <t>0493</t>
  </si>
  <si>
    <t>0441</t>
  </si>
  <si>
    <t>School Building Authority</t>
  </si>
  <si>
    <t>0404</t>
  </si>
  <si>
    <t>CHR223</t>
  </si>
  <si>
    <t>West Virginia Academy, LTD</t>
  </si>
  <si>
    <t>0420</t>
  </si>
  <si>
    <t>0444</t>
  </si>
  <si>
    <t>Summed Formulas</t>
  </si>
  <si>
    <t>GASB 68 Figures</t>
  </si>
  <si>
    <t>Check</t>
  </si>
  <si>
    <t>Year</t>
  </si>
  <si>
    <t>Employer Number</t>
  </si>
  <si>
    <t>State Contribution Check</t>
  </si>
  <si>
    <t>district_contributions</t>
  </si>
  <si>
    <t>state_contributions</t>
  </si>
  <si>
    <t>total_contributions</t>
  </si>
  <si>
    <t>Total Contributions (no state)</t>
  </si>
  <si>
    <t>prop</t>
  </si>
  <si>
    <t>District Name</t>
  </si>
  <si>
    <t>LEAID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</si>
</sst>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2" fillId="0" borderId="0" xfId="0" applyFont="1"/>
    <xf numFmtId="164" fontId="2" fillId="0" borderId="0" xfId="1" applyNumberFormat="1" applyFont="1"/>
    <xf numFmtId="0" fontId="3" fillId="0" borderId="0" xfId="0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78</xdr:row>
      <xdr:rowOff>622300</xdr:rowOff>
    </xdr:from>
    <xdr:to>
      <xdr:col>7</xdr:col>
      <xdr:colOff>120015</xdr:colOff>
      <xdr:row>78</xdr:row>
      <xdr:rowOff>629920</xdr:rowOff>
    </xdr:to>
    <xdr:sp macro="" textlink="">
      <xdr:nvSpPr>
        <xdr:cNvPr id="2" name="Graphic 51">
          <a:extLst>
            <a:ext uri="{FF2B5EF4-FFF2-40B4-BE49-F238E27FC236}">
              <a16:creationId xmlns:a16="http://schemas.microsoft.com/office/drawing/2014/main" id="{6CA42052-DBCB-E491-1006-02F70932B9AA}"/>
            </a:ext>
          </a:extLst>
        </xdr:cNvPr>
        <xdr:cNvSpPr>
          <a:spLocks/>
        </xdr:cNvSpPr>
      </xdr:nvSpPr>
      <xdr:spPr>
        <a:xfrm>
          <a:off x="4209415" y="2449195"/>
          <a:ext cx="4387215" cy="7620"/>
        </a:xfrm>
        <a:custGeom>
          <a:avLst/>
          <a:gdLst/>
          <a:ahLst/>
          <a:cxnLst/>
          <a:rect l="l" t="t" r="r" b="b"/>
          <a:pathLst>
            <a:path w="4387215" h="7620">
              <a:moveTo>
                <a:pt x="829056" y="0"/>
              </a:moveTo>
              <a:lnTo>
                <a:pt x="0" y="0"/>
              </a:lnTo>
              <a:lnTo>
                <a:pt x="0" y="7620"/>
              </a:lnTo>
              <a:lnTo>
                <a:pt x="829056" y="7620"/>
              </a:lnTo>
              <a:lnTo>
                <a:pt x="829056" y="0"/>
              </a:lnTo>
              <a:close/>
            </a:path>
            <a:path w="4387215" h="7620">
              <a:moveTo>
                <a:pt x="2021128" y="0"/>
              </a:moveTo>
              <a:lnTo>
                <a:pt x="861060" y="0"/>
              </a:lnTo>
              <a:lnTo>
                <a:pt x="861060" y="7620"/>
              </a:lnTo>
              <a:lnTo>
                <a:pt x="2021128" y="7620"/>
              </a:lnTo>
              <a:lnTo>
                <a:pt x="2021128" y="0"/>
              </a:lnTo>
              <a:close/>
            </a:path>
            <a:path w="4387215" h="7620">
              <a:moveTo>
                <a:pt x="3107677" y="0"/>
              </a:moveTo>
              <a:lnTo>
                <a:pt x="2053082" y="0"/>
              </a:lnTo>
              <a:lnTo>
                <a:pt x="2053082" y="7620"/>
              </a:lnTo>
              <a:lnTo>
                <a:pt x="3107677" y="7620"/>
              </a:lnTo>
              <a:lnTo>
                <a:pt x="3107677" y="0"/>
              </a:lnTo>
              <a:close/>
            </a:path>
            <a:path w="4387215" h="7620">
              <a:moveTo>
                <a:pt x="4386631" y="0"/>
              </a:moveTo>
              <a:lnTo>
                <a:pt x="3139694" y="0"/>
              </a:lnTo>
              <a:lnTo>
                <a:pt x="3139694" y="7620"/>
              </a:lnTo>
              <a:lnTo>
                <a:pt x="4386631" y="7620"/>
              </a:lnTo>
              <a:lnTo>
                <a:pt x="4386631" y="0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D5CD-9A16-2D4C-90CD-8AA1BD7C64B6}">
  <sheetPr>
    <tabColor rgb="FF002060"/>
  </sheetPr>
  <dimension ref="A1:G638"/>
  <sheetViews>
    <sheetView tabSelected="1" workbookViewId="0">
      <selection activeCell="D5" sqref="D5"/>
    </sheetView>
  </sheetViews>
  <sheetFormatPr baseColWidth="10" defaultRowHeight="16" x14ac:dyDescent="0.2"/>
  <cols>
    <col min="3" max="3" width="36" customWidth="1"/>
    <col min="4" max="4" width="20.33203125" bestFit="1" customWidth="1"/>
    <col min="5" max="5" width="17.1640625" bestFit="1" customWidth="1"/>
    <col min="6" max="6" width="17.1640625" customWidth="1"/>
  </cols>
  <sheetData>
    <row r="1" spans="1:7" x14ac:dyDescent="0.2">
      <c r="A1" s="4" t="s">
        <v>181</v>
      </c>
      <c r="B1" s="4" t="s">
        <v>182</v>
      </c>
      <c r="C1" s="4" t="s">
        <v>26</v>
      </c>
      <c r="D1" s="4" t="s">
        <v>184</v>
      </c>
      <c r="E1" s="4" t="s">
        <v>185</v>
      </c>
      <c r="F1" s="4" t="s">
        <v>186</v>
      </c>
      <c r="G1" s="4" t="s">
        <v>190</v>
      </c>
    </row>
    <row r="2" spans="1:7" x14ac:dyDescent="0.2">
      <c r="A2">
        <v>2015</v>
      </c>
      <c r="C2" t="s">
        <v>0</v>
      </c>
      <c r="D2" s="1">
        <v>72951</v>
      </c>
      <c r="E2" s="1">
        <v>1126867.849153664</v>
      </c>
      <c r="F2" s="1">
        <v>1199818.849153664</v>
      </c>
      <c r="G2">
        <f>IFERROR(VLOOKUP(C2,Match!$A$2:$B$84,2,FALSE),"")</f>
        <v>5400030</v>
      </c>
    </row>
    <row r="3" spans="1:7" x14ac:dyDescent="0.2">
      <c r="A3">
        <v>2015</v>
      </c>
      <c r="C3" t="s">
        <v>1</v>
      </c>
      <c r="D3" s="1">
        <v>1783435</v>
      </c>
      <c r="E3" s="1">
        <v>27548754.211867619</v>
      </c>
      <c r="F3" s="1">
        <v>29332189.211867619</v>
      </c>
      <c r="G3">
        <f>IFERROR(VLOOKUP(C3,Match!$A$2:$B$84,2,FALSE),"")</f>
        <v>5400060</v>
      </c>
    </row>
    <row r="4" spans="1:7" x14ac:dyDescent="0.2">
      <c r="A4">
        <v>2015</v>
      </c>
      <c r="C4" t="s">
        <v>2</v>
      </c>
      <c r="D4" s="1">
        <v>659694</v>
      </c>
      <c r="E4" s="1">
        <v>10190303.536658172</v>
      </c>
      <c r="F4" s="1">
        <v>10849997.536658172</v>
      </c>
      <c r="G4">
        <f>IFERROR(VLOOKUP(C4,Match!$A$2:$B$84,2,FALSE),"")</f>
        <v>5400090</v>
      </c>
    </row>
    <row r="5" spans="1:7" x14ac:dyDescent="0.2">
      <c r="A5">
        <v>2015</v>
      </c>
      <c r="C5" t="s">
        <v>3</v>
      </c>
      <c r="D5" s="1">
        <v>70962</v>
      </c>
      <c r="E5" s="1">
        <v>1096160.7070750415</v>
      </c>
      <c r="F5" s="1">
        <v>1167122.7070750415</v>
      </c>
      <c r="G5">
        <f>IFERROR(VLOOKUP(C5,Match!$A$2:$B$84,2,FALSE),"")</f>
        <v>5400120</v>
      </c>
    </row>
    <row r="6" spans="1:7" x14ac:dyDescent="0.2">
      <c r="A6">
        <v>2015</v>
      </c>
      <c r="C6" t="s">
        <v>4</v>
      </c>
      <c r="D6" s="1">
        <v>352159</v>
      </c>
      <c r="E6" s="1">
        <v>5439798.7074436573</v>
      </c>
      <c r="F6" s="1">
        <v>5791957.7074436573</v>
      </c>
      <c r="G6">
        <f>IFERROR(VLOOKUP(C6,Match!$A$2:$B$84,2,FALSE),"")</f>
        <v>5400150</v>
      </c>
    </row>
    <row r="7" spans="1:7" x14ac:dyDescent="0.2">
      <c r="A7">
        <v>2015</v>
      </c>
      <c r="C7" t="s">
        <v>5</v>
      </c>
      <c r="D7" s="1">
        <v>1022376</v>
      </c>
      <c r="E7" s="1">
        <v>15792663.017203346</v>
      </c>
      <c r="F7" s="1">
        <v>16815039.017203346</v>
      </c>
      <c r="G7">
        <f>IFERROR(VLOOKUP(C7,Match!$A$2:$B$84,2,FALSE),"")</f>
        <v>5400180</v>
      </c>
    </row>
    <row r="8" spans="1:7" x14ac:dyDescent="0.2">
      <c r="A8">
        <v>2015</v>
      </c>
      <c r="C8" t="s">
        <v>6</v>
      </c>
      <c r="D8" s="1">
        <v>75551</v>
      </c>
      <c r="E8" s="1">
        <v>1167039.5855977733</v>
      </c>
      <c r="F8" s="1">
        <v>1242590.5855977733</v>
      </c>
      <c r="G8">
        <f>IFERROR(VLOOKUP(C8,Match!$A$2:$B$84,2,FALSE),"")</f>
        <v>5400210</v>
      </c>
    </row>
    <row r="9" spans="1:7" x14ac:dyDescent="0.2">
      <c r="A9">
        <v>2015</v>
      </c>
      <c r="C9" t="s">
        <v>7</v>
      </c>
      <c r="D9" s="1">
        <v>129973</v>
      </c>
      <c r="E9" s="1">
        <v>2007699.244804668</v>
      </c>
      <c r="F9" s="1">
        <v>2137672.2448046682</v>
      </c>
      <c r="G9">
        <f>IFERROR(VLOOKUP(C9,Match!$A$2:$B$84,2,FALSE),"")</f>
        <v>5400240</v>
      </c>
    </row>
    <row r="10" spans="1:7" x14ac:dyDescent="0.2">
      <c r="A10">
        <v>2015</v>
      </c>
      <c r="C10" t="s">
        <v>8</v>
      </c>
      <c r="D10" s="1">
        <v>243417</v>
      </c>
      <c r="E10" s="1">
        <v>3760069.3572213491</v>
      </c>
      <c r="F10" s="1">
        <v>4003486.3572213491</v>
      </c>
      <c r="G10">
        <f>IFERROR(VLOOKUP(C10,Match!$A$2:$B$84,2,FALSE),"")</f>
        <v>5400270</v>
      </c>
    </row>
    <row r="11" spans="1:7" x14ac:dyDescent="0.2">
      <c r="A11">
        <v>2015</v>
      </c>
      <c r="C11" t="s">
        <v>9</v>
      </c>
      <c r="D11" s="1">
        <v>634696</v>
      </c>
      <c r="E11" s="1">
        <v>9804153.2661282495</v>
      </c>
      <c r="F11" s="1">
        <v>10438849.266128249</v>
      </c>
      <c r="G11">
        <f>IFERROR(VLOOKUP(C11,Match!$A$2:$B$84,2,FALSE),"")</f>
        <v>5400300</v>
      </c>
    </row>
    <row r="12" spans="1:7" x14ac:dyDescent="0.2">
      <c r="A12">
        <v>2015</v>
      </c>
      <c r="C12" t="s">
        <v>10</v>
      </c>
      <c r="D12" s="1">
        <v>80874</v>
      </c>
      <c r="E12" s="1">
        <v>1249256.8858110732</v>
      </c>
      <c r="F12" s="1">
        <v>1330130.8858110732</v>
      </c>
      <c r="G12">
        <f>IFERROR(VLOOKUP(C12,Match!$A$2:$B$84,2,FALSE),"")</f>
        <v>5400330</v>
      </c>
    </row>
    <row r="13" spans="1:7" x14ac:dyDescent="0.2">
      <c r="A13">
        <v>2015</v>
      </c>
      <c r="C13" t="s">
        <v>11</v>
      </c>
      <c r="D13" s="1">
        <v>66550</v>
      </c>
      <c r="E13" s="1">
        <v>1028000.9903215115</v>
      </c>
      <c r="F13" s="1">
        <v>1094550.9903215114</v>
      </c>
      <c r="G13">
        <f>IFERROR(VLOOKUP(C13,Match!$A$2:$B$84,2,FALSE),"")</f>
        <v>5400360</v>
      </c>
    </row>
    <row r="14" spans="1:7" x14ac:dyDescent="0.2">
      <c r="A14">
        <v>2015</v>
      </c>
      <c r="C14" t="s">
        <v>12</v>
      </c>
      <c r="D14" s="1">
        <v>400447</v>
      </c>
      <c r="E14" s="1">
        <v>6185714.4793422427</v>
      </c>
      <c r="F14" s="1">
        <v>6586161.4793422427</v>
      </c>
      <c r="G14">
        <f>IFERROR(VLOOKUP(C14,Match!$A$2:$B$84,2,FALSE),"")</f>
        <v>5400390</v>
      </c>
    </row>
    <row r="15" spans="1:7" x14ac:dyDescent="0.2">
      <c r="A15">
        <v>2015</v>
      </c>
      <c r="C15" t="s">
        <v>13</v>
      </c>
      <c r="D15" s="1">
        <v>196048</v>
      </c>
      <c r="E15" s="1">
        <v>3028355.5983493342</v>
      </c>
      <c r="F15" s="1">
        <v>3224403.5983493342</v>
      </c>
      <c r="G15">
        <f>IFERROR(VLOOKUP(C15,Match!$A$2:$B$84,2,FALSE),"")</f>
        <v>5400420</v>
      </c>
    </row>
    <row r="16" spans="1:7" x14ac:dyDescent="0.2">
      <c r="A16">
        <v>2015</v>
      </c>
      <c r="C16" t="s">
        <v>14</v>
      </c>
      <c r="D16" s="1">
        <v>458098</v>
      </c>
      <c r="E16" s="1">
        <v>7076251.5996222943</v>
      </c>
      <c r="F16" s="1">
        <v>7534349.5996222943</v>
      </c>
      <c r="G16">
        <f>IFERROR(VLOOKUP(C16,Match!$A$2:$B$84,2,FALSE),"")</f>
        <v>5400450</v>
      </c>
    </row>
    <row r="17" spans="1:7" x14ac:dyDescent="0.2">
      <c r="A17">
        <v>2015</v>
      </c>
      <c r="C17" t="s">
        <v>15</v>
      </c>
      <c r="D17" s="1">
        <v>41192</v>
      </c>
      <c r="E17" s="1">
        <v>636296.45259974524</v>
      </c>
      <c r="F17" s="1">
        <v>677488.45259974524</v>
      </c>
      <c r="G17">
        <f>IFERROR(VLOOKUP(C17,Match!$A$2:$B$84,2,FALSE),"")</f>
        <v>5400480</v>
      </c>
    </row>
    <row r="18" spans="1:7" x14ac:dyDescent="0.2">
      <c r="A18">
        <v>2015</v>
      </c>
      <c r="C18" t="s">
        <v>16</v>
      </c>
      <c r="D18" s="1">
        <v>1352473</v>
      </c>
      <c r="E18" s="1">
        <v>20891680.383836035</v>
      </c>
      <c r="F18" s="1">
        <v>22244153.383836035</v>
      </c>
      <c r="G18">
        <f>IFERROR(VLOOKUP(C18,Match!$A$2:$B$84,2,FALSE),"")</f>
        <v>5400510</v>
      </c>
    </row>
    <row r="19" spans="1:7" x14ac:dyDescent="0.2">
      <c r="A19">
        <v>2015</v>
      </c>
      <c r="C19" t="s">
        <v>17</v>
      </c>
      <c r="D19" s="1">
        <v>503546</v>
      </c>
      <c r="E19" s="1">
        <v>7778287.7092966475</v>
      </c>
      <c r="F19" s="1">
        <v>8281833.7092966475</v>
      </c>
      <c r="G19">
        <f>IFERROR(VLOOKUP(C19,Match!$A$2:$B$84,2,FALSE),"")</f>
        <v>5400540</v>
      </c>
    </row>
    <row r="20" spans="1:7" x14ac:dyDescent="0.2">
      <c r="A20">
        <v>2015</v>
      </c>
      <c r="C20" t="s">
        <v>18</v>
      </c>
      <c r="D20" s="1">
        <v>1024564</v>
      </c>
      <c r="E20" s="1">
        <v>15826463.63792485</v>
      </c>
      <c r="F20" s="1">
        <v>16851027.63792485</v>
      </c>
      <c r="G20">
        <f>IFERROR(VLOOKUP(C20,Match!$A$2:$B$84,2,FALSE),"")</f>
        <v>5400570</v>
      </c>
    </row>
    <row r="21" spans="1:7" x14ac:dyDescent="0.2">
      <c r="A21">
        <v>2015</v>
      </c>
      <c r="C21" t="s">
        <v>19</v>
      </c>
      <c r="D21" s="1">
        <v>1837706</v>
      </c>
      <c r="E21" s="1">
        <v>28387080.269135676</v>
      </c>
      <c r="F21" s="1">
        <v>30224786.269135676</v>
      </c>
      <c r="G21">
        <f>IFERROR(VLOOKUP(C21,Match!$A$2:$B$84,2,FALSE),"")</f>
        <v>5400600</v>
      </c>
    </row>
    <row r="22" spans="1:7" x14ac:dyDescent="0.2">
      <c r="A22">
        <v>2015</v>
      </c>
      <c r="C22" t="s">
        <v>20</v>
      </c>
      <c r="D22" s="1">
        <v>167516</v>
      </c>
      <c r="E22" s="1">
        <v>2587617.9339985321</v>
      </c>
      <c r="F22" s="1">
        <v>2755133.9339985321</v>
      </c>
      <c r="G22">
        <f>IFERROR(VLOOKUP(C22,Match!$A$2:$B$84,2,FALSE),"")</f>
        <v>5400630</v>
      </c>
    </row>
    <row r="23" spans="1:7" x14ac:dyDescent="0.2">
      <c r="A23">
        <v>2015</v>
      </c>
      <c r="C23" t="s">
        <v>21</v>
      </c>
      <c r="D23" s="1">
        <v>247929</v>
      </c>
      <c r="E23" s="1">
        <v>3829760.0703396397</v>
      </c>
      <c r="F23" s="1">
        <v>4077689.0703396397</v>
      </c>
      <c r="G23">
        <f>IFERROR(VLOOKUP(C23,Match!$A$2:$B$84,2,FALSE),"")</f>
        <v>5400660</v>
      </c>
    </row>
    <row r="24" spans="1:7" x14ac:dyDescent="0.2">
      <c r="A24">
        <v>2015</v>
      </c>
      <c r="C24" t="s">
        <v>22</v>
      </c>
      <c r="D24" s="1">
        <v>456258</v>
      </c>
      <c r="E24" s="1">
        <v>7047819.0876557929</v>
      </c>
      <c r="F24" s="1">
        <v>7504077.0876557929</v>
      </c>
      <c r="G24">
        <f>IFERROR(VLOOKUP(C24,Match!$A$2:$B$84,2,FALSE),"")</f>
        <v>5400690</v>
      </c>
    </row>
    <row r="25" spans="1:7" x14ac:dyDescent="0.2">
      <c r="A25">
        <v>2015</v>
      </c>
      <c r="C25" t="s">
        <v>23</v>
      </c>
      <c r="D25" s="1">
        <v>639563</v>
      </c>
      <c r="E25" s="1">
        <v>9879342.2746116631</v>
      </c>
      <c r="F25" s="1">
        <v>10518905.274611663</v>
      </c>
      <c r="G25">
        <f>IFERROR(VLOOKUP(C25,Match!$A$2:$B$84,2,FALSE),"")</f>
        <v>5400720</v>
      </c>
    </row>
    <row r="26" spans="1:7" x14ac:dyDescent="0.2">
      <c r="A26">
        <v>2015</v>
      </c>
      <c r="C26" t="s">
        <v>24</v>
      </c>
      <c r="D26" s="1">
        <v>690182</v>
      </c>
      <c r="E26" s="1">
        <v>10661247.839603795</v>
      </c>
      <c r="F26" s="1">
        <v>11351429.839603795</v>
      </c>
      <c r="G26">
        <f>IFERROR(VLOOKUP(C26,Match!$A$2:$B$84,2,FALSE),"")</f>
        <v>5400750</v>
      </c>
    </row>
    <row r="27" spans="1:7" x14ac:dyDescent="0.2">
      <c r="A27">
        <v>2015</v>
      </c>
      <c r="C27" t="s">
        <v>25</v>
      </c>
      <c r="D27" s="1">
        <v>299203</v>
      </c>
      <c r="E27" s="1">
        <v>4621787.4057045393</v>
      </c>
      <c r="F27" s="1">
        <v>4920990.4057045393</v>
      </c>
      <c r="G27">
        <f>IFERROR(VLOOKUP(C27,Match!$A$2:$B$84,2,FALSE),"")</f>
        <v>5400780</v>
      </c>
    </row>
    <row r="28" spans="1:7" x14ac:dyDescent="0.2">
      <c r="A28">
        <v>2015</v>
      </c>
      <c r="C28" t="s">
        <v>30</v>
      </c>
      <c r="D28" s="1">
        <v>461646</v>
      </c>
      <c r="E28" s="1">
        <v>7131053.6377933733</v>
      </c>
      <c r="F28" s="1">
        <v>7592699.6377933733</v>
      </c>
      <c r="G28">
        <f>IFERROR(VLOOKUP(C28,Match!$A$2:$B$84,2,FALSE),"")</f>
        <v>5400810</v>
      </c>
    </row>
    <row r="29" spans="1:7" x14ac:dyDescent="0.2">
      <c r="A29">
        <v>2015</v>
      </c>
      <c r="C29" t="s">
        <v>31</v>
      </c>
      <c r="D29" s="1">
        <v>764534</v>
      </c>
      <c r="E29" s="1">
        <v>11809777.282214316</v>
      </c>
      <c r="F29" s="1">
        <v>12574311.282214316</v>
      </c>
      <c r="G29">
        <f>IFERROR(VLOOKUP(C29,Match!$A$2:$B$84,2,FALSE),"")</f>
        <v>5400840</v>
      </c>
    </row>
    <row r="30" spans="1:7" x14ac:dyDescent="0.2">
      <c r="A30">
        <v>2015</v>
      </c>
      <c r="C30" t="s">
        <v>32</v>
      </c>
      <c r="D30" s="1">
        <v>395816</v>
      </c>
      <c r="E30" s="1">
        <v>6114176.4248122303</v>
      </c>
      <c r="F30" s="1">
        <v>6509992.4248122303</v>
      </c>
      <c r="G30">
        <f>IFERROR(VLOOKUP(C30,Match!$A$2:$B$84,2,FALSE),"")</f>
        <v>5400870</v>
      </c>
    </row>
    <row r="31" spans="1:7" x14ac:dyDescent="0.2">
      <c r="A31">
        <v>2015</v>
      </c>
      <c r="C31" t="s">
        <v>33</v>
      </c>
      <c r="D31" s="1">
        <v>285140</v>
      </c>
      <c r="E31" s="1">
        <v>4404569.0239987411</v>
      </c>
      <c r="F31" s="1">
        <v>4689709.0239987411</v>
      </c>
      <c r="G31">
        <f>IFERROR(VLOOKUP(C31,Match!$A$2:$B$84,2,FALSE),"")</f>
        <v>5400900</v>
      </c>
    </row>
    <row r="32" spans="1:7" x14ac:dyDescent="0.2">
      <c r="A32">
        <v>2015</v>
      </c>
      <c r="C32" t="s">
        <v>34</v>
      </c>
      <c r="D32" s="1">
        <v>1308604</v>
      </c>
      <c r="E32" s="1">
        <v>20214024.029387739</v>
      </c>
      <c r="F32" s="1">
        <v>21522628.029387739</v>
      </c>
      <c r="G32">
        <f>IFERROR(VLOOKUP(C32,Match!$A$2:$B$84,2,FALSE),"")</f>
        <v>5400930</v>
      </c>
    </row>
    <row r="33" spans="1:7" x14ac:dyDescent="0.2">
      <c r="A33">
        <v>2015</v>
      </c>
      <c r="C33" t="s">
        <v>35</v>
      </c>
      <c r="D33" s="1">
        <v>125414</v>
      </c>
      <c r="E33" s="1">
        <v>1937262.8979390163</v>
      </c>
      <c r="F33" s="1">
        <v>2062676.8979390163</v>
      </c>
      <c r="G33">
        <f>IFERROR(VLOOKUP(C33,Match!$A$2:$B$84,2,FALSE),"")</f>
        <v>5400960</v>
      </c>
    </row>
    <row r="34" spans="1:7" x14ac:dyDescent="0.2">
      <c r="A34">
        <v>2015</v>
      </c>
      <c r="C34" t="s">
        <v>36</v>
      </c>
      <c r="D34" s="1">
        <v>128245</v>
      </c>
      <c r="E34" s="1">
        <v>1980999.1305964484</v>
      </c>
      <c r="F34" s="1">
        <v>2109244.1305964487</v>
      </c>
      <c r="G34">
        <f>IFERROR(VLOOKUP(C34,Match!$A$2:$B$84,2,FALSE),"")</f>
        <v>5400990</v>
      </c>
    </row>
    <row r="35" spans="1:7" x14ac:dyDescent="0.2">
      <c r="A35">
        <v>2015</v>
      </c>
      <c r="C35" t="s">
        <v>37</v>
      </c>
      <c r="D35" s="1">
        <v>279542</v>
      </c>
      <c r="E35" s="1">
        <v>4318084.3226947971</v>
      </c>
      <c r="F35" s="1">
        <v>4597626.3226947971</v>
      </c>
      <c r="G35">
        <f>IFERROR(VLOOKUP(C35,Match!$A$2:$B$84,2,FALSE),"")</f>
        <v>5401020</v>
      </c>
    </row>
    <row r="36" spans="1:7" x14ac:dyDescent="0.2">
      <c r="A36">
        <v>2015</v>
      </c>
      <c r="C36" t="s">
        <v>38</v>
      </c>
      <c r="D36" s="1">
        <v>580235</v>
      </c>
      <c r="E36" s="1">
        <v>8962892.4027407933</v>
      </c>
      <c r="F36" s="1">
        <v>9543127.4027407933</v>
      </c>
      <c r="G36">
        <f>IFERROR(VLOOKUP(C36,Match!$A$2:$B$84,2,FALSE),"")</f>
        <v>5401050</v>
      </c>
    </row>
    <row r="37" spans="1:7" x14ac:dyDescent="0.2">
      <c r="A37">
        <v>2015</v>
      </c>
      <c r="C37" t="s">
        <v>39</v>
      </c>
      <c r="D37" s="1">
        <v>45161</v>
      </c>
      <c r="E37" s="1">
        <v>697597.7931035501</v>
      </c>
      <c r="F37" s="1">
        <v>742758.7931035501</v>
      </c>
      <c r="G37">
        <f>IFERROR(VLOOKUP(C37,Match!$A$2:$B$84,2,FALSE),"")</f>
        <v>5401080</v>
      </c>
    </row>
    <row r="38" spans="1:7" x14ac:dyDescent="0.2">
      <c r="A38">
        <v>2015</v>
      </c>
      <c r="C38" t="s">
        <v>40</v>
      </c>
      <c r="D38" s="1">
        <v>191654</v>
      </c>
      <c r="E38" s="1">
        <v>2960482.7407294041</v>
      </c>
      <c r="F38" s="1">
        <v>3152136.7407294041</v>
      </c>
      <c r="G38">
        <f>IFERROR(VLOOKUP(C38,Match!$A$2:$B$84,2,FALSE),"")</f>
        <v>5401110</v>
      </c>
    </row>
    <row r="39" spans="1:7" x14ac:dyDescent="0.2">
      <c r="A39">
        <v>2015</v>
      </c>
      <c r="C39" t="s">
        <v>41</v>
      </c>
      <c r="D39" s="1">
        <v>49077</v>
      </c>
      <c r="E39" s="1">
        <v>758098.52803327423</v>
      </c>
      <c r="F39" s="1">
        <v>807175.52803327423</v>
      </c>
      <c r="G39">
        <f>IFERROR(VLOOKUP(C39,Match!$A$2:$B$84,2,FALSE),"")</f>
        <v>5401140</v>
      </c>
    </row>
    <row r="40" spans="1:7" x14ac:dyDescent="0.2">
      <c r="A40">
        <v>2015</v>
      </c>
      <c r="C40" t="s">
        <v>42</v>
      </c>
      <c r="D40" s="1">
        <v>58950</v>
      </c>
      <c r="E40" s="1">
        <v>910608.7455454258</v>
      </c>
      <c r="F40" s="1">
        <v>969558.7455454258</v>
      </c>
      <c r="G40">
        <f>IFERROR(VLOOKUP(C40,Match!$A$2:$B$84,2,FALSE),"")</f>
        <v>5401170</v>
      </c>
    </row>
    <row r="41" spans="1:7" x14ac:dyDescent="0.2">
      <c r="A41">
        <v>2015</v>
      </c>
      <c r="C41" t="s">
        <v>43</v>
      </c>
      <c r="D41" s="1">
        <v>877560</v>
      </c>
      <c r="E41" s="1">
        <v>13555690.821168311</v>
      </c>
      <c r="F41" s="1">
        <v>14433250.821168311</v>
      </c>
      <c r="G41">
        <f>IFERROR(VLOOKUP(C41,Match!$A$2:$B$84,2,FALSE),"")</f>
        <v>5401200</v>
      </c>
    </row>
    <row r="42" spans="1:7" x14ac:dyDescent="0.2">
      <c r="A42">
        <v>2015</v>
      </c>
      <c r="C42" t="s">
        <v>44</v>
      </c>
      <c r="D42" s="1">
        <v>957315</v>
      </c>
      <c r="E42" s="1">
        <v>14787668.458266612</v>
      </c>
      <c r="F42" s="1">
        <v>15744983.458266612</v>
      </c>
      <c r="G42">
        <f>IFERROR(VLOOKUP(C42,Match!$A$2:$B$84,2,FALSE),"")</f>
        <v>5401230</v>
      </c>
    </row>
    <row r="43" spans="1:7" x14ac:dyDescent="0.2">
      <c r="A43">
        <v>2015</v>
      </c>
      <c r="C43" t="s">
        <v>45</v>
      </c>
      <c r="D43" s="1">
        <v>222314</v>
      </c>
      <c r="E43" s="1">
        <v>3434090.2336175111</v>
      </c>
      <c r="F43" s="1">
        <v>3656404.2336175111</v>
      </c>
      <c r="G43">
        <f>IFERROR(VLOOKUP(C43,Match!$A$2:$B$84,2,FALSE),"")</f>
        <v>5401260</v>
      </c>
    </row>
    <row r="44" spans="1:7" x14ac:dyDescent="0.2">
      <c r="A44">
        <v>2015</v>
      </c>
      <c r="C44" t="s">
        <v>46</v>
      </c>
      <c r="D44" s="1">
        <v>143796</v>
      </c>
      <c r="E44" s="1">
        <v>2221224.9436870241</v>
      </c>
      <c r="F44" s="1">
        <v>2365020.9436870241</v>
      </c>
      <c r="G44">
        <f>IFERROR(VLOOKUP(C44,Match!$A$2:$B$84,2,FALSE),"")</f>
        <v>5401290</v>
      </c>
    </row>
    <row r="45" spans="1:7" x14ac:dyDescent="0.2">
      <c r="A45">
        <v>2015</v>
      </c>
      <c r="C45" t="s">
        <v>47</v>
      </c>
      <c r="D45" s="1">
        <v>99342</v>
      </c>
      <c r="E45" s="1">
        <v>1534535.2835736419</v>
      </c>
      <c r="F45" s="1">
        <v>1633877.2835736419</v>
      </c>
      <c r="G45">
        <f>IFERROR(VLOOKUP(C45,Match!$A$2:$B$84,2,FALSE),"")</f>
        <v>5401320</v>
      </c>
    </row>
    <row r="46" spans="1:7" x14ac:dyDescent="0.2">
      <c r="A46">
        <v>2015</v>
      </c>
      <c r="C46" t="s">
        <v>48</v>
      </c>
      <c r="D46" s="1">
        <v>132010</v>
      </c>
      <c r="E46" s="1">
        <v>2039166.2635873309</v>
      </c>
      <c r="F46" s="1">
        <v>2171176.2635873309</v>
      </c>
      <c r="G46">
        <f>IFERROR(VLOOKUP(C46,Match!$A$2:$B$84,2,FALSE),"")</f>
        <v>5401350</v>
      </c>
    </row>
    <row r="47" spans="1:7" x14ac:dyDescent="0.2">
      <c r="A47">
        <v>2015</v>
      </c>
      <c r="C47" t="s">
        <v>49</v>
      </c>
      <c r="D47" s="1">
        <v>72581</v>
      </c>
      <c r="E47" s="1">
        <v>1121155.9094383398</v>
      </c>
      <c r="F47" s="1">
        <v>1193736.9094383398</v>
      </c>
      <c r="G47">
        <f>IFERROR(VLOOKUP(C47,Match!$A$2:$B$84,2,FALSE),"")</f>
        <v>5401380</v>
      </c>
    </row>
    <row r="48" spans="1:7" x14ac:dyDescent="0.2">
      <c r="A48">
        <v>2015</v>
      </c>
      <c r="C48" t="s">
        <v>50</v>
      </c>
      <c r="D48" s="1">
        <v>25365</v>
      </c>
      <c r="E48" s="1">
        <v>391819.48137520649</v>
      </c>
      <c r="F48" s="1">
        <v>417184.48137520649</v>
      </c>
      <c r="G48">
        <f>IFERROR(VLOOKUP(C48,Match!$A$2:$B$84,2,FALSE),"")</f>
        <v>5401410</v>
      </c>
    </row>
    <row r="49" spans="1:7" x14ac:dyDescent="0.2">
      <c r="A49">
        <v>2015</v>
      </c>
      <c r="C49" t="s">
        <v>51</v>
      </c>
      <c r="D49" s="1">
        <v>196125</v>
      </c>
      <c r="E49" s="1">
        <v>3029543.763753775</v>
      </c>
      <c r="F49" s="1">
        <v>3225668.763753775</v>
      </c>
      <c r="G49">
        <f>IFERROR(VLOOKUP(C49,Match!$A$2:$B$84,2,FALSE),"")</f>
        <v>5401440</v>
      </c>
    </row>
    <row r="50" spans="1:7" x14ac:dyDescent="0.2">
      <c r="A50">
        <v>2015</v>
      </c>
      <c r="C50" t="s">
        <v>52</v>
      </c>
      <c r="D50" s="1">
        <v>250146</v>
      </c>
      <c r="E50" s="1">
        <v>3864004.2227182253</v>
      </c>
      <c r="F50" s="1">
        <v>4114150.2227182253</v>
      </c>
      <c r="G50">
        <f>IFERROR(VLOOKUP(C50,Match!$A$2:$B$84,2,FALSE),"")</f>
        <v>5401470</v>
      </c>
    </row>
    <row r="51" spans="1:7" x14ac:dyDescent="0.2">
      <c r="A51">
        <v>2015</v>
      </c>
      <c r="C51" t="s">
        <v>53</v>
      </c>
      <c r="D51" s="1">
        <v>312201</v>
      </c>
      <c r="E51" s="1">
        <v>4822571.8731416855</v>
      </c>
      <c r="F51" s="1">
        <v>5134772.8731416855</v>
      </c>
      <c r="G51">
        <f>IFERROR(VLOOKUP(C51,Match!$A$2:$B$84,2,FALSE),"")</f>
        <v>5401500</v>
      </c>
    </row>
    <row r="52" spans="1:7" x14ac:dyDescent="0.2">
      <c r="A52">
        <v>2015</v>
      </c>
      <c r="C52" t="s">
        <v>54</v>
      </c>
      <c r="D52" s="1">
        <v>64865</v>
      </c>
      <c r="E52" s="1">
        <v>1001974.2950772527</v>
      </c>
      <c r="F52" s="1">
        <v>1066839.2950772527</v>
      </c>
      <c r="G52">
        <f>IFERROR(VLOOKUP(C52,Match!$A$2:$B$84,2,FALSE),"")</f>
        <v>5401530</v>
      </c>
    </row>
    <row r="53" spans="1:7" x14ac:dyDescent="0.2">
      <c r="A53">
        <v>2015</v>
      </c>
      <c r="C53" t="s">
        <v>55</v>
      </c>
      <c r="D53" s="1">
        <v>364870</v>
      </c>
      <c r="E53" s="1">
        <v>5636144.858310001</v>
      </c>
      <c r="F53" s="1">
        <v>6001014.858310001</v>
      </c>
      <c r="G53">
        <f>IFERROR(VLOOKUP(C53,Match!$A$2:$B$84,2,FALSE),"")</f>
        <v>5401560</v>
      </c>
    </row>
    <row r="54" spans="1:7" x14ac:dyDescent="0.2">
      <c r="A54">
        <v>2015</v>
      </c>
      <c r="C54" t="s">
        <v>56</v>
      </c>
      <c r="D54" s="1">
        <v>51549</v>
      </c>
      <c r="E54" s="1">
        <v>796279.49349886226</v>
      </c>
      <c r="F54" s="1">
        <v>847828.49349886226</v>
      </c>
      <c r="G54">
        <f>IFERROR(VLOOKUP(C54,Match!$A$2:$B$84,2,FALSE),"")</f>
        <v>5401590</v>
      </c>
    </row>
    <row r="55" spans="1:7" x14ac:dyDescent="0.2">
      <c r="A55">
        <v>2015</v>
      </c>
      <c r="C55" t="s">
        <v>57</v>
      </c>
      <c r="D55" s="1">
        <v>1285853</v>
      </c>
      <c r="E55" s="1">
        <v>19862590.928806841</v>
      </c>
      <c r="F55" s="1">
        <v>21148443.928806841</v>
      </c>
      <c r="G55">
        <f>IFERROR(VLOOKUP(C55,Match!$A$2:$B$84,2,FALSE),"")</f>
        <v>5401620</v>
      </c>
    </row>
    <row r="56" spans="1:7" x14ac:dyDescent="0.2">
      <c r="A56">
        <v>2015</v>
      </c>
      <c r="C56" t="s">
        <v>58</v>
      </c>
      <c r="D56" s="1">
        <v>398159</v>
      </c>
      <c r="E56" s="1">
        <v>6150367.6192992963</v>
      </c>
      <c r="F56" s="1">
        <v>6548526.6192992963</v>
      </c>
      <c r="G56">
        <f>IFERROR(VLOOKUP(C56,Match!$A$2:$B$84,2,FALSE),"")</f>
        <v>5401650</v>
      </c>
    </row>
    <row r="57" spans="1:7" x14ac:dyDescent="0.2">
      <c r="A57">
        <v>2015</v>
      </c>
      <c r="C57" t="s">
        <v>59</v>
      </c>
      <c r="D57" s="1">
        <v>74936</v>
      </c>
      <c r="E57" s="1">
        <v>1157533.2623622464</v>
      </c>
      <c r="F57" s="1">
        <v>1232469.2623622464</v>
      </c>
      <c r="G57">
        <f>IFERROR(VLOOKUP(C57,Match!$A$2:$B$84,2,FALSE),"")</f>
        <v>0</v>
      </c>
    </row>
    <row r="58" spans="1:7" x14ac:dyDescent="0.2">
      <c r="A58">
        <v>2015</v>
      </c>
      <c r="C58" t="s">
        <v>60</v>
      </c>
      <c r="D58" s="1">
        <v>21610</v>
      </c>
      <c r="E58" s="1">
        <v>333810.02090780408</v>
      </c>
      <c r="F58" s="1">
        <v>355420.02090780408</v>
      </c>
      <c r="G58">
        <f>IFERROR(VLOOKUP(C58,Match!$A$2:$B$84,2,FALSE),"")</f>
        <v>0</v>
      </c>
    </row>
    <row r="59" spans="1:7" x14ac:dyDescent="0.2">
      <c r="A59">
        <v>2015</v>
      </c>
      <c r="C59" t="s">
        <v>61</v>
      </c>
      <c r="D59" s="1">
        <v>150289</v>
      </c>
      <c r="E59" s="1">
        <v>2321524.0981871774</v>
      </c>
      <c r="F59" s="1">
        <v>2471813.0981871774</v>
      </c>
      <c r="G59">
        <f>IFERROR(VLOOKUP(C59,Match!$A$2:$B$84,2,FALSE),"")</f>
        <v>0</v>
      </c>
    </row>
    <row r="60" spans="1:7" x14ac:dyDescent="0.2">
      <c r="A60">
        <v>2015</v>
      </c>
      <c r="C60" t="s">
        <v>62</v>
      </c>
      <c r="D60" s="1">
        <v>148605</v>
      </c>
      <c r="E60" s="1">
        <v>2295496.4029429182</v>
      </c>
      <c r="F60" s="1">
        <v>2444101.4029429182</v>
      </c>
      <c r="G60">
        <f>IFERROR(VLOOKUP(C60,Match!$A$2:$B$84,2,FALSE),"")</f>
        <v>0</v>
      </c>
    </row>
    <row r="61" spans="1:7" x14ac:dyDescent="0.2">
      <c r="A61">
        <v>2015</v>
      </c>
      <c r="C61" t="s">
        <v>63</v>
      </c>
      <c r="D61" s="1">
        <v>195785</v>
      </c>
      <c r="E61" s="1">
        <v>3024289.5986522115</v>
      </c>
      <c r="F61" s="1">
        <v>3220074.5986522115</v>
      </c>
      <c r="G61">
        <f>IFERROR(VLOOKUP(C61,Match!$A$2:$B$84,2,FALSE),"")</f>
        <v>0</v>
      </c>
    </row>
    <row r="62" spans="1:7" x14ac:dyDescent="0.2">
      <c r="A62">
        <v>2015</v>
      </c>
      <c r="C62" t="s">
        <v>64</v>
      </c>
      <c r="D62" s="1">
        <v>17628</v>
      </c>
      <c r="E62" s="1">
        <v>272308.27901047911</v>
      </c>
      <c r="F62" s="1">
        <v>289936.27901047911</v>
      </c>
      <c r="G62">
        <f>IFERROR(VLOOKUP(C62,Match!$A$2:$B$84,2,FALSE),"")</f>
        <v>0</v>
      </c>
    </row>
    <row r="63" spans="1:7" x14ac:dyDescent="0.2">
      <c r="A63">
        <v>2015</v>
      </c>
      <c r="C63" t="s">
        <v>65</v>
      </c>
      <c r="D63" s="1">
        <v>495861</v>
      </c>
      <c r="E63" s="1">
        <v>7659578.1125060003</v>
      </c>
      <c r="F63" s="1">
        <v>8155439.1125060003</v>
      </c>
      <c r="G63">
        <f>IFERROR(VLOOKUP(C63,Match!$A$2:$B$84,2,FALSE),"")</f>
        <v>0</v>
      </c>
    </row>
    <row r="64" spans="1:7" x14ac:dyDescent="0.2">
      <c r="A64">
        <v>2015</v>
      </c>
      <c r="C64" t="s">
        <v>66</v>
      </c>
      <c r="D64" s="1">
        <v>42953</v>
      </c>
      <c r="E64" s="1">
        <v>663497.07029176515</v>
      </c>
      <c r="F64" s="1">
        <v>706450.07029176515</v>
      </c>
      <c r="G64">
        <f>IFERROR(VLOOKUP(C64,Match!$A$2:$B$84,2,FALSE),"")</f>
        <v>0</v>
      </c>
    </row>
    <row r="65" spans="1:7" x14ac:dyDescent="0.2">
      <c r="A65">
        <v>2015</v>
      </c>
      <c r="C65" t="s">
        <v>67</v>
      </c>
      <c r="D65" s="1">
        <v>86018</v>
      </c>
      <c r="E65" s="1">
        <v>1328726.5383418114</v>
      </c>
      <c r="F65" s="1">
        <v>1414744.5383418114</v>
      </c>
      <c r="G65">
        <f>IFERROR(VLOOKUP(C65,Match!$A$2:$B$84,2,FALSE),"")</f>
        <v>0</v>
      </c>
    </row>
    <row r="66" spans="1:7" x14ac:dyDescent="0.2">
      <c r="A66">
        <v>2015</v>
      </c>
      <c r="C66" t="s">
        <v>68</v>
      </c>
      <c r="D66" s="1">
        <v>635221</v>
      </c>
      <c r="E66" s="1">
        <v>9812271.0225658137</v>
      </c>
      <c r="F66" s="1">
        <v>10447492.022565814</v>
      </c>
      <c r="G66">
        <f>IFERROR(VLOOKUP(C66,Match!$A$2:$B$84,2,FALSE),"")</f>
        <v>5401621</v>
      </c>
    </row>
    <row r="67" spans="1:7" x14ac:dyDescent="0.2">
      <c r="A67">
        <v>2015</v>
      </c>
      <c r="C67" t="s">
        <v>69</v>
      </c>
      <c r="D67" s="1">
        <v>135463</v>
      </c>
      <c r="E67" s="1">
        <v>2092493.27722037</v>
      </c>
      <c r="F67" s="1">
        <v>2227956.2772203702</v>
      </c>
      <c r="G67">
        <f>IFERROR(VLOOKUP(C67,Match!$A$2:$B$84,2,FALSE),"")</f>
        <v>0</v>
      </c>
    </row>
    <row r="68" spans="1:7" x14ac:dyDescent="0.2">
      <c r="A68">
        <v>2015</v>
      </c>
      <c r="C68" t="s">
        <v>70</v>
      </c>
      <c r="D68" s="1">
        <v>1361972</v>
      </c>
      <c r="E68" s="1">
        <v>21038406.446849462</v>
      </c>
      <c r="F68" s="1">
        <v>22400378.446849462</v>
      </c>
      <c r="G68">
        <f>IFERROR(VLOOKUP(C68,Match!$A$2:$B$84,2,FALSE),"")</f>
        <v>0</v>
      </c>
    </row>
    <row r="69" spans="1:7" x14ac:dyDescent="0.2">
      <c r="A69">
        <v>2015</v>
      </c>
      <c r="C69" t="s">
        <v>71</v>
      </c>
      <c r="D69" s="1">
        <v>98203</v>
      </c>
      <c r="E69" s="1">
        <v>1516940.6898139091</v>
      </c>
      <c r="F69" s="1">
        <v>1615143.6898139091</v>
      </c>
      <c r="G69">
        <f>IFERROR(VLOOKUP(C69,Match!$A$2:$B$84,2,FALSE),"")</f>
        <v>0</v>
      </c>
    </row>
    <row r="70" spans="1:7" x14ac:dyDescent="0.2">
      <c r="A70">
        <v>2015</v>
      </c>
      <c r="C70" t="s">
        <v>72</v>
      </c>
      <c r="D70" s="1">
        <v>38870</v>
      </c>
      <c r="E70" s="1">
        <v>600419.60315963905</v>
      </c>
      <c r="F70" s="1">
        <v>639289.60315963905</v>
      </c>
      <c r="G70">
        <f>IFERROR(VLOOKUP(C70,Match!$A$2:$B$84,2,FALSE),"")</f>
        <v>0</v>
      </c>
    </row>
    <row r="71" spans="1:7" x14ac:dyDescent="0.2">
      <c r="A71">
        <v>2015</v>
      </c>
      <c r="C71" t="s">
        <v>73</v>
      </c>
      <c r="D71" s="1">
        <v>19599</v>
      </c>
      <c r="E71" s="1">
        <v>302743.80491218134</v>
      </c>
      <c r="F71" s="1">
        <v>322342.80491218134</v>
      </c>
      <c r="G71">
        <f>IFERROR(VLOOKUP(C71,Match!$A$2:$B$84,2,FALSE),"")</f>
        <v>0</v>
      </c>
    </row>
    <row r="72" spans="1:7" x14ac:dyDescent="0.2">
      <c r="A72">
        <v>2015</v>
      </c>
      <c r="C72" t="s">
        <v>74</v>
      </c>
      <c r="D72" s="1">
        <v>10429</v>
      </c>
      <c r="E72" s="1">
        <v>161099.99152015778</v>
      </c>
      <c r="F72" s="1">
        <v>171528.99152015778</v>
      </c>
      <c r="G72">
        <f>IFERROR(VLOOKUP(C72,Match!$A$2:$B$84,2,FALSE),"")</f>
        <v>0</v>
      </c>
    </row>
    <row r="73" spans="1:7" x14ac:dyDescent="0.2">
      <c r="A73">
        <v>2015</v>
      </c>
      <c r="C73" t="s">
        <v>75</v>
      </c>
      <c r="D73" s="1">
        <v>7477</v>
      </c>
      <c r="E73" s="1">
        <v>115503.17449432444</v>
      </c>
      <c r="F73" s="1">
        <v>122980.17449432444</v>
      </c>
      <c r="G73">
        <f>IFERROR(VLOOKUP(C73,Match!$A$2:$B$84,2,FALSE),"")</f>
        <v>0</v>
      </c>
    </row>
    <row r="74" spans="1:7" x14ac:dyDescent="0.2">
      <c r="A74">
        <v>2015</v>
      </c>
      <c r="C74" t="s">
        <v>76</v>
      </c>
      <c r="D74" s="1">
        <v>27053</v>
      </c>
      <c r="E74" s="1">
        <v>417888.9054895055</v>
      </c>
      <c r="F74" s="1">
        <v>444941.9054895055</v>
      </c>
      <c r="G74">
        <f>IFERROR(VLOOKUP(C74,Match!$A$2:$B$84,2,FALSE),"")</f>
        <v>0</v>
      </c>
    </row>
    <row r="75" spans="1:7" x14ac:dyDescent="0.2">
      <c r="A75">
        <v>2015</v>
      </c>
      <c r="C75" t="s">
        <v>77</v>
      </c>
      <c r="D75" s="1">
        <v>39374</v>
      </c>
      <c r="E75" s="1">
        <v>608207.77159356477</v>
      </c>
      <c r="F75" s="1">
        <v>647581.77159356477</v>
      </c>
      <c r="G75">
        <f>IFERROR(VLOOKUP(C75,Match!$A$2:$B$84,2,FALSE),"")</f>
        <v>0</v>
      </c>
    </row>
    <row r="76" spans="1:7" x14ac:dyDescent="0.2">
      <c r="A76">
        <v>2015</v>
      </c>
      <c r="C76" t="s">
        <v>78</v>
      </c>
      <c r="D76" s="1">
        <v>18838</v>
      </c>
      <c r="E76" s="1">
        <v>290990.33747789275</v>
      </c>
      <c r="F76" s="1">
        <v>309828.33747789275</v>
      </c>
      <c r="G76">
        <f>IFERROR(VLOOKUP(C76,Match!$A$2:$B$84,2,FALSE),"")</f>
        <v>0</v>
      </c>
    </row>
    <row r="77" spans="1:7" x14ac:dyDescent="0.2">
      <c r="A77">
        <v>2015</v>
      </c>
      <c r="C77" t="s">
        <v>79</v>
      </c>
      <c r="D77" s="1">
        <v>10699</v>
      </c>
      <c r="E77" s="1">
        <v>165265.69191404083</v>
      </c>
      <c r="F77" s="1">
        <v>175964.69191404083</v>
      </c>
      <c r="G77">
        <f>IFERROR(VLOOKUP(C77,Match!$A$2:$B$84,2,FALSE),"")</f>
        <v>0</v>
      </c>
    </row>
    <row r="78" spans="1:7" x14ac:dyDescent="0.2">
      <c r="A78">
        <v>2015</v>
      </c>
      <c r="C78" t="s">
        <v>80</v>
      </c>
      <c r="D78" s="1">
        <v>2446102</v>
      </c>
      <c r="E78" s="1">
        <v>37784984.153555267</v>
      </c>
      <c r="F78" s="1">
        <v>40231086.153555267</v>
      </c>
      <c r="G78">
        <f>IFERROR(VLOOKUP(C78,Match!$A$2:$B$84,2,FALSE),"")</f>
        <v>0</v>
      </c>
    </row>
    <row r="79" spans="1:7" x14ac:dyDescent="0.2">
      <c r="A79">
        <v>2015</v>
      </c>
      <c r="C79" t="s">
        <v>81</v>
      </c>
      <c r="D79" s="1">
        <v>60479</v>
      </c>
      <c r="E79" s="1">
        <v>934215.38111076318</v>
      </c>
      <c r="F79" s="1">
        <v>994694.38111076318</v>
      </c>
      <c r="G79">
        <f>IFERROR(VLOOKUP(C79,Match!$A$2:$B$84,2,FALSE),"")</f>
        <v>0</v>
      </c>
    </row>
    <row r="80" spans="1:7" x14ac:dyDescent="0.2">
      <c r="A80">
        <v>2015</v>
      </c>
      <c r="C80" t="s">
        <v>82</v>
      </c>
      <c r="D80" s="1">
        <v>52653</v>
      </c>
      <c r="E80" s="1">
        <v>813329.85490475467</v>
      </c>
      <c r="F80" s="1">
        <v>865982.85490475467</v>
      </c>
      <c r="G80">
        <f>IFERROR(VLOOKUP(C80,Match!$A$2:$B$84,2,FALSE),"")</f>
        <v>0</v>
      </c>
    </row>
    <row r="81" spans="1:7" x14ac:dyDescent="0.2">
      <c r="A81">
        <v>2016</v>
      </c>
      <c r="C81" t="s">
        <v>0</v>
      </c>
      <c r="D81" s="1">
        <v>51185</v>
      </c>
      <c r="E81" s="1">
        <v>655230.05694150378</v>
      </c>
      <c r="F81" s="1">
        <v>706415.05694150378</v>
      </c>
      <c r="G81">
        <f>IFERROR(VLOOKUP(C81,Match!$A$2:$B$84,2,FALSE),"")</f>
        <v>5400030</v>
      </c>
    </row>
    <row r="82" spans="1:7" x14ac:dyDescent="0.2">
      <c r="A82">
        <v>2016</v>
      </c>
      <c r="C82" t="s">
        <v>1</v>
      </c>
      <c r="D82" s="1">
        <v>1843467</v>
      </c>
      <c r="E82" s="1">
        <v>23598740.165705618</v>
      </c>
      <c r="F82" s="1">
        <v>25442207.165705618</v>
      </c>
      <c r="G82">
        <f>IFERROR(VLOOKUP(C82,Match!$A$2:$B$84,2,FALSE),"")</f>
        <v>5400060</v>
      </c>
    </row>
    <row r="83" spans="1:7" x14ac:dyDescent="0.2">
      <c r="A83">
        <v>2016</v>
      </c>
      <c r="C83" t="s">
        <v>2</v>
      </c>
      <c r="D83" s="1">
        <v>666759</v>
      </c>
      <c r="E83" s="1">
        <v>8535374.0035758168</v>
      </c>
      <c r="F83" s="1">
        <v>9202133.0035758168</v>
      </c>
      <c r="G83">
        <f>IFERROR(VLOOKUP(C83,Match!$A$2:$B$84,2,FALSE),"")</f>
        <v>5400090</v>
      </c>
    </row>
    <row r="84" spans="1:7" x14ac:dyDescent="0.2">
      <c r="A84">
        <v>2016</v>
      </c>
      <c r="C84" t="s">
        <v>3</v>
      </c>
      <c r="D84" s="1">
        <v>65833</v>
      </c>
      <c r="E84" s="1">
        <v>842747.2666222913</v>
      </c>
      <c r="F84" s="1">
        <v>908580.2666222913</v>
      </c>
      <c r="G84">
        <f>IFERROR(VLOOKUP(C84,Match!$A$2:$B$84,2,FALSE),"")</f>
        <v>5400120</v>
      </c>
    </row>
    <row r="85" spans="1:7" x14ac:dyDescent="0.2">
      <c r="A85">
        <v>2016</v>
      </c>
      <c r="C85" t="s">
        <v>4</v>
      </c>
      <c r="D85" s="1">
        <v>384241</v>
      </c>
      <c r="E85" s="1">
        <v>4918783.8209925471</v>
      </c>
      <c r="F85" s="1">
        <v>5303024.8209925471</v>
      </c>
      <c r="G85">
        <f>IFERROR(VLOOKUP(C85,Match!$A$2:$B$84,2,FALSE),"")</f>
        <v>5400150</v>
      </c>
    </row>
    <row r="86" spans="1:7" x14ac:dyDescent="0.2">
      <c r="A86">
        <v>2016</v>
      </c>
      <c r="C86" t="s">
        <v>5</v>
      </c>
      <c r="D86" s="1">
        <v>1023770</v>
      </c>
      <c r="E86" s="1">
        <v>13105567.883495105</v>
      </c>
      <c r="F86" s="1">
        <v>14129337.883495105</v>
      </c>
      <c r="G86">
        <f>IFERROR(VLOOKUP(C86,Match!$A$2:$B$84,2,FALSE),"")</f>
        <v>5400180</v>
      </c>
    </row>
    <row r="87" spans="1:7" x14ac:dyDescent="0.2">
      <c r="A87">
        <v>2016</v>
      </c>
      <c r="C87" t="s">
        <v>6</v>
      </c>
      <c r="D87" s="1">
        <v>97462</v>
      </c>
      <c r="E87" s="1">
        <v>1247638.3435102759</v>
      </c>
      <c r="F87" s="1">
        <v>1345100.3435102759</v>
      </c>
      <c r="G87">
        <f>IFERROR(VLOOKUP(C87,Match!$A$2:$B$84,2,FALSE),"")</f>
        <v>5400210</v>
      </c>
    </row>
    <row r="88" spans="1:7" x14ac:dyDescent="0.2">
      <c r="A88">
        <v>2016</v>
      </c>
      <c r="C88" t="s">
        <v>7</v>
      </c>
      <c r="D88" s="1">
        <v>107394</v>
      </c>
      <c r="E88" s="1">
        <v>1374784.2173913952</v>
      </c>
      <c r="F88" s="1">
        <v>1482178.2173913952</v>
      </c>
      <c r="G88">
        <f>IFERROR(VLOOKUP(C88,Match!$A$2:$B$84,2,FALSE),"")</f>
        <v>5400240</v>
      </c>
    </row>
    <row r="89" spans="1:7" x14ac:dyDescent="0.2">
      <c r="A89">
        <v>2016</v>
      </c>
      <c r="C89" t="s">
        <v>8</v>
      </c>
      <c r="D89" s="1">
        <v>230873</v>
      </c>
      <c r="E89" s="1">
        <v>2955473.225375365</v>
      </c>
      <c r="F89" s="1">
        <v>3186346.225375365</v>
      </c>
      <c r="G89">
        <f>IFERROR(VLOOKUP(C89,Match!$A$2:$B$84,2,FALSE),"")</f>
        <v>5400270</v>
      </c>
    </row>
    <row r="90" spans="1:7" x14ac:dyDescent="0.2">
      <c r="A90">
        <v>2016</v>
      </c>
      <c r="C90" t="s">
        <v>9</v>
      </c>
      <c r="D90" s="1">
        <v>431788</v>
      </c>
      <c r="E90" s="1">
        <v>5527445.6210458456</v>
      </c>
      <c r="F90" s="1">
        <v>5959233.6210458456</v>
      </c>
      <c r="G90">
        <f>IFERROR(VLOOKUP(C90,Match!$A$2:$B$84,2,FALSE),"")</f>
        <v>5400300</v>
      </c>
    </row>
    <row r="91" spans="1:7" x14ac:dyDescent="0.2">
      <c r="A91">
        <v>2016</v>
      </c>
      <c r="C91" t="s">
        <v>10</v>
      </c>
      <c r="D91" s="1">
        <v>49509</v>
      </c>
      <c r="E91" s="1">
        <v>633781.59362029296</v>
      </c>
      <c r="F91" s="1">
        <v>683290.59362029296</v>
      </c>
      <c r="G91">
        <f>IFERROR(VLOOKUP(C91,Match!$A$2:$B$84,2,FALSE),"")</f>
        <v>5400330</v>
      </c>
    </row>
    <row r="92" spans="1:7" x14ac:dyDescent="0.2">
      <c r="A92">
        <v>2016</v>
      </c>
      <c r="C92" t="s">
        <v>11</v>
      </c>
      <c r="D92" s="1">
        <v>117062</v>
      </c>
      <c r="E92" s="1">
        <v>1498540.1984896662</v>
      </c>
      <c r="F92" s="1">
        <v>1615602.1984896662</v>
      </c>
      <c r="G92">
        <f>IFERROR(VLOOKUP(C92,Match!$A$2:$B$84,2,FALSE),"")</f>
        <v>5400360</v>
      </c>
    </row>
    <row r="93" spans="1:7" x14ac:dyDescent="0.2">
      <c r="A93">
        <v>2016</v>
      </c>
      <c r="C93" t="s">
        <v>12</v>
      </c>
      <c r="D93" s="1">
        <v>491375</v>
      </c>
      <c r="E93" s="1">
        <v>6290237.3617392043</v>
      </c>
      <c r="F93" s="1">
        <v>6781612.3617392043</v>
      </c>
      <c r="G93">
        <f>IFERROR(VLOOKUP(C93,Match!$A$2:$B$84,2,FALSE),"")</f>
        <v>5400390</v>
      </c>
    </row>
    <row r="94" spans="1:7" x14ac:dyDescent="0.2">
      <c r="A94">
        <v>2016</v>
      </c>
      <c r="C94" t="s">
        <v>13</v>
      </c>
      <c r="D94" s="1">
        <v>199093</v>
      </c>
      <c r="E94" s="1">
        <v>2548647.0159296989</v>
      </c>
      <c r="F94" s="1">
        <v>2747740.0159296989</v>
      </c>
      <c r="G94">
        <f>IFERROR(VLOOKUP(C94,Match!$A$2:$B$84,2,FALSE),"")</f>
        <v>5400420</v>
      </c>
    </row>
    <row r="95" spans="1:7" x14ac:dyDescent="0.2">
      <c r="A95">
        <v>2016</v>
      </c>
      <c r="C95" t="s">
        <v>14</v>
      </c>
      <c r="D95" s="1">
        <v>384598</v>
      </c>
      <c r="E95" s="1">
        <v>4923345.0365376268</v>
      </c>
      <c r="F95" s="1">
        <v>5307943.0365376268</v>
      </c>
      <c r="G95">
        <f>IFERROR(VLOOKUP(C95,Match!$A$2:$B$84,2,FALSE),"")</f>
        <v>5400450</v>
      </c>
    </row>
    <row r="96" spans="1:7" x14ac:dyDescent="0.2">
      <c r="A96">
        <v>2016</v>
      </c>
      <c r="C96" t="s">
        <v>15</v>
      </c>
      <c r="D96" s="1">
        <v>48698</v>
      </c>
      <c r="E96" s="1">
        <v>623390.69394692348</v>
      </c>
      <c r="F96" s="1">
        <v>672088.69394692348</v>
      </c>
      <c r="G96">
        <f>IFERROR(VLOOKUP(C96,Match!$A$2:$B$84,2,FALSE),"")</f>
        <v>5400480</v>
      </c>
    </row>
    <row r="97" spans="1:7" x14ac:dyDescent="0.2">
      <c r="A97">
        <v>2016</v>
      </c>
      <c r="C97" t="s">
        <v>16</v>
      </c>
      <c r="D97" s="1">
        <v>1495797</v>
      </c>
      <c r="E97" s="1">
        <v>19148128.277851056</v>
      </c>
      <c r="F97" s="1">
        <v>20643925.277851056</v>
      </c>
      <c r="G97">
        <f>IFERROR(VLOOKUP(C97,Match!$A$2:$B$84,2,FALSE),"")</f>
        <v>5400510</v>
      </c>
    </row>
    <row r="98" spans="1:7" x14ac:dyDescent="0.2">
      <c r="A98">
        <v>2016</v>
      </c>
      <c r="C98" t="s">
        <v>17</v>
      </c>
      <c r="D98" s="1">
        <v>522829</v>
      </c>
      <c r="E98" s="1">
        <v>6692875.9389237063</v>
      </c>
      <c r="F98" s="1">
        <v>7215704.9389237063</v>
      </c>
      <c r="G98">
        <f>IFERROR(VLOOKUP(C98,Match!$A$2:$B$84,2,FALSE),"")</f>
        <v>5400540</v>
      </c>
    </row>
    <row r="99" spans="1:7" x14ac:dyDescent="0.2">
      <c r="A99">
        <v>2016</v>
      </c>
      <c r="C99" t="s">
        <v>18</v>
      </c>
      <c r="D99" s="1">
        <v>1052395</v>
      </c>
      <c r="E99" s="1">
        <v>13472005.817009525</v>
      </c>
      <c r="F99" s="1">
        <v>14524400.817009525</v>
      </c>
      <c r="G99">
        <f>IFERROR(VLOOKUP(C99,Match!$A$2:$B$84,2,FALSE),"")</f>
        <v>5400570</v>
      </c>
    </row>
    <row r="100" spans="1:7" x14ac:dyDescent="0.2">
      <c r="A100">
        <v>2016</v>
      </c>
      <c r="C100" t="s">
        <v>19</v>
      </c>
      <c r="D100" s="1">
        <v>2206842</v>
      </c>
      <c r="E100" s="1">
        <v>28250415.191144738</v>
      </c>
      <c r="F100" s="1">
        <v>30457257.191144738</v>
      </c>
      <c r="G100">
        <f>IFERROR(VLOOKUP(C100,Match!$A$2:$B$84,2,FALSE),"")</f>
        <v>5400600</v>
      </c>
    </row>
    <row r="101" spans="1:7" x14ac:dyDescent="0.2">
      <c r="A101">
        <v>2016</v>
      </c>
      <c r="C101" t="s">
        <v>20</v>
      </c>
      <c r="D101" s="1">
        <v>198991</v>
      </c>
      <c r="E101" s="1">
        <v>2547345.6176636224</v>
      </c>
      <c r="F101" s="1">
        <v>2746336.6176636224</v>
      </c>
      <c r="G101">
        <f>IFERROR(VLOOKUP(C101,Match!$A$2:$B$84,2,FALSE),"")</f>
        <v>5400630</v>
      </c>
    </row>
    <row r="102" spans="1:7" x14ac:dyDescent="0.2">
      <c r="A102">
        <v>2016</v>
      </c>
      <c r="C102" t="s">
        <v>21</v>
      </c>
      <c r="D102" s="1">
        <v>210499</v>
      </c>
      <c r="E102" s="1">
        <v>2694661.8430551202</v>
      </c>
      <c r="F102" s="1">
        <v>2905160.8430551202</v>
      </c>
      <c r="G102">
        <f>IFERROR(VLOOKUP(C102,Match!$A$2:$B$84,2,FALSE),"")</f>
        <v>5400660</v>
      </c>
    </row>
    <row r="103" spans="1:7" x14ac:dyDescent="0.2">
      <c r="A103">
        <v>2016</v>
      </c>
      <c r="C103" t="s">
        <v>22</v>
      </c>
      <c r="D103" s="1">
        <v>498537</v>
      </c>
      <c r="E103" s="1">
        <v>6381907.4720628271</v>
      </c>
      <c r="F103" s="1">
        <v>6880444.4720628271</v>
      </c>
      <c r="G103">
        <f>IFERROR(VLOOKUP(C103,Match!$A$2:$B$84,2,FALSE),"")</f>
        <v>5400690</v>
      </c>
    </row>
    <row r="104" spans="1:7" x14ac:dyDescent="0.2">
      <c r="A104">
        <v>2016</v>
      </c>
      <c r="C104" t="s">
        <v>23</v>
      </c>
      <c r="D104" s="1">
        <v>636194</v>
      </c>
      <c r="E104" s="1">
        <v>8144097.7139573386</v>
      </c>
      <c r="F104" s="1">
        <v>8780291.7139573395</v>
      </c>
      <c r="G104">
        <f>IFERROR(VLOOKUP(C104,Match!$A$2:$B$84,2,FALSE),"")</f>
        <v>5400720</v>
      </c>
    </row>
    <row r="105" spans="1:7" x14ac:dyDescent="0.2">
      <c r="A105">
        <v>2016</v>
      </c>
      <c r="C105" t="s">
        <v>24</v>
      </c>
      <c r="D105" s="1">
        <v>676708</v>
      </c>
      <c r="E105" s="1">
        <v>8662730.4555541389</v>
      </c>
      <c r="F105" s="1">
        <v>9339438.4555541389</v>
      </c>
      <c r="G105">
        <f>IFERROR(VLOOKUP(C105,Match!$A$2:$B$84,2,FALSE),"")</f>
        <v>5400750</v>
      </c>
    </row>
    <row r="106" spans="1:7" x14ac:dyDescent="0.2">
      <c r="A106">
        <v>2016</v>
      </c>
      <c r="C106" t="s">
        <v>25</v>
      </c>
      <c r="D106" s="1">
        <v>336026</v>
      </c>
      <c r="E106" s="1">
        <v>4301560.4647749597</v>
      </c>
      <c r="F106" s="1">
        <v>4637586.4647749597</v>
      </c>
      <c r="G106">
        <f>IFERROR(VLOOKUP(C106,Match!$A$2:$B$84,2,FALSE),"")</f>
        <v>5400780</v>
      </c>
    </row>
    <row r="107" spans="1:7" x14ac:dyDescent="0.2">
      <c r="A107">
        <v>2016</v>
      </c>
      <c r="C107" t="s">
        <v>30</v>
      </c>
      <c r="D107" s="1">
        <v>454944</v>
      </c>
      <c r="E107" s="1">
        <v>5823872.4856550554</v>
      </c>
      <c r="F107" s="1">
        <v>6278816.4856550554</v>
      </c>
      <c r="G107">
        <f>IFERROR(VLOOKUP(C107,Match!$A$2:$B$84,2,FALSE),"")</f>
        <v>5400810</v>
      </c>
    </row>
    <row r="108" spans="1:7" x14ac:dyDescent="0.2">
      <c r="A108">
        <v>2016</v>
      </c>
      <c r="C108" t="s">
        <v>31</v>
      </c>
      <c r="D108" s="1">
        <v>841963</v>
      </c>
      <c r="E108" s="1">
        <v>10778212.572798455</v>
      </c>
      <c r="F108" s="1">
        <v>11620175.572798455</v>
      </c>
      <c r="G108">
        <f>IFERROR(VLOOKUP(C108,Match!$A$2:$B$84,2,FALSE),"")</f>
        <v>5400840</v>
      </c>
    </row>
    <row r="109" spans="1:7" x14ac:dyDescent="0.2">
      <c r="A109">
        <v>2016</v>
      </c>
      <c r="C109" t="s">
        <v>32</v>
      </c>
      <c r="D109" s="1">
        <v>413829</v>
      </c>
      <c r="E109" s="1">
        <v>5297546.7867380176</v>
      </c>
      <c r="F109" s="1">
        <v>5711375.7867380176</v>
      </c>
      <c r="G109">
        <f>IFERROR(VLOOKUP(C109,Match!$A$2:$B$84,2,FALSE),"")</f>
        <v>5400870</v>
      </c>
    </row>
    <row r="110" spans="1:7" x14ac:dyDescent="0.2">
      <c r="A110">
        <v>2016</v>
      </c>
      <c r="C110" t="s">
        <v>33</v>
      </c>
      <c r="D110" s="1">
        <v>273154</v>
      </c>
      <c r="E110" s="1">
        <v>3496727.753055607</v>
      </c>
      <c r="F110" s="1">
        <v>3769881.753055607</v>
      </c>
      <c r="G110">
        <f>IFERROR(VLOOKUP(C110,Match!$A$2:$B$84,2,FALSE),"")</f>
        <v>5400900</v>
      </c>
    </row>
    <row r="111" spans="1:7" x14ac:dyDescent="0.2">
      <c r="A111">
        <v>2016</v>
      </c>
      <c r="C111" t="s">
        <v>34</v>
      </c>
      <c r="D111" s="1">
        <v>1279278</v>
      </c>
      <c r="E111" s="1">
        <v>16376407.786089716</v>
      </c>
      <c r="F111" s="1">
        <v>17655685.786089718</v>
      </c>
      <c r="G111">
        <f>IFERROR(VLOOKUP(C111,Match!$A$2:$B$84,2,FALSE),"")</f>
        <v>5400930</v>
      </c>
    </row>
    <row r="112" spans="1:7" x14ac:dyDescent="0.2">
      <c r="A112">
        <v>2016</v>
      </c>
      <c r="C112" t="s">
        <v>35</v>
      </c>
      <c r="D112" s="1">
        <v>117929</v>
      </c>
      <c r="E112" s="1">
        <v>1509646.3350479968</v>
      </c>
      <c r="F112" s="1">
        <v>1627575.3350479968</v>
      </c>
      <c r="G112">
        <f>IFERROR(VLOOKUP(C112,Match!$A$2:$B$84,2,FALSE),"")</f>
        <v>5400960</v>
      </c>
    </row>
    <row r="113" spans="1:7" x14ac:dyDescent="0.2">
      <c r="A113">
        <v>2016</v>
      </c>
      <c r="C113" t="s">
        <v>36</v>
      </c>
      <c r="D113" s="1">
        <v>148519</v>
      </c>
      <c r="E113" s="1">
        <v>1901238.9918122783</v>
      </c>
      <c r="F113" s="1">
        <v>2049757.9918122783</v>
      </c>
      <c r="G113">
        <f>IFERROR(VLOOKUP(C113,Match!$A$2:$B$84,2,FALSE),"")</f>
        <v>5400990</v>
      </c>
    </row>
    <row r="114" spans="1:7" x14ac:dyDescent="0.2">
      <c r="A114">
        <v>2016</v>
      </c>
      <c r="C114" t="s">
        <v>37</v>
      </c>
      <c r="D114" s="1">
        <v>234494</v>
      </c>
      <c r="E114" s="1">
        <v>3001830.9041663692</v>
      </c>
      <c r="F114" s="1">
        <v>3236324.9041663692</v>
      </c>
      <c r="G114">
        <f>IFERROR(VLOOKUP(C114,Match!$A$2:$B$84,2,FALSE),"")</f>
        <v>5401020</v>
      </c>
    </row>
    <row r="115" spans="1:7" x14ac:dyDescent="0.2">
      <c r="A115">
        <v>2016</v>
      </c>
      <c r="C115" t="s">
        <v>38</v>
      </c>
      <c r="D115" s="1">
        <v>656055</v>
      </c>
      <c r="E115" s="1">
        <v>8398341.8888090868</v>
      </c>
      <c r="F115" s="1">
        <v>9054396.8888090868</v>
      </c>
      <c r="G115">
        <f>IFERROR(VLOOKUP(C115,Match!$A$2:$B$84,2,FALSE),"")</f>
        <v>5401050</v>
      </c>
    </row>
    <row r="116" spans="1:7" x14ac:dyDescent="0.2">
      <c r="A116">
        <v>2016</v>
      </c>
      <c r="C116" t="s">
        <v>39</v>
      </c>
      <c r="D116" s="1">
        <v>54255</v>
      </c>
      <c r="E116" s="1">
        <v>694540.15593149757</v>
      </c>
      <c r="F116" s="1">
        <v>748795.15593149757</v>
      </c>
      <c r="G116">
        <f>IFERROR(VLOOKUP(C116,Match!$A$2:$B$84,2,FALSE),"")</f>
        <v>5401080</v>
      </c>
    </row>
    <row r="117" spans="1:7" x14ac:dyDescent="0.2">
      <c r="A117">
        <v>2016</v>
      </c>
      <c r="C117" t="s">
        <v>40</v>
      </c>
      <c r="D117" s="1">
        <v>279527</v>
      </c>
      <c r="E117" s="1">
        <v>3578301.0443964172</v>
      </c>
      <c r="F117" s="1">
        <v>3857828.0443964172</v>
      </c>
      <c r="G117">
        <f>IFERROR(VLOOKUP(C117,Match!$A$2:$B$84,2,FALSE),"")</f>
        <v>5401110</v>
      </c>
    </row>
    <row r="118" spans="1:7" x14ac:dyDescent="0.2">
      <c r="A118">
        <v>2016</v>
      </c>
      <c r="C118" t="s">
        <v>41</v>
      </c>
      <c r="D118" s="1">
        <v>49423</v>
      </c>
      <c r="E118" s="1">
        <v>632679.13022379554</v>
      </c>
      <c r="F118" s="1">
        <v>682102.13022379554</v>
      </c>
      <c r="G118">
        <f>IFERROR(VLOOKUP(C118,Match!$A$2:$B$84,2,FALSE),"")</f>
        <v>5401140</v>
      </c>
    </row>
    <row r="119" spans="1:7" x14ac:dyDescent="0.2">
      <c r="A119">
        <v>2016</v>
      </c>
      <c r="C119" t="s">
        <v>42</v>
      </c>
      <c r="D119" s="1">
        <v>144388</v>
      </c>
      <c r="E119" s="1">
        <v>1848349.0352356457</v>
      </c>
      <c r="F119" s="1">
        <v>1992737.0352356457</v>
      </c>
      <c r="G119">
        <f>IFERROR(VLOOKUP(C119,Match!$A$2:$B$84,2,FALSE),"")</f>
        <v>5401170</v>
      </c>
    </row>
    <row r="120" spans="1:7" x14ac:dyDescent="0.2">
      <c r="A120">
        <v>2016</v>
      </c>
      <c r="C120" t="s">
        <v>43</v>
      </c>
      <c r="D120" s="1">
        <v>850586</v>
      </c>
      <c r="E120" s="1">
        <v>10888587.631179668</v>
      </c>
      <c r="F120" s="1">
        <v>11739173.631179668</v>
      </c>
      <c r="G120">
        <f>IFERROR(VLOOKUP(C120,Match!$A$2:$B$84,2,FALSE),"")</f>
        <v>5401200</v>
      </c>
    </row>
    <row r="121" spans="1:7" x14ac:dyDescent="0.2">
      <c r="A121">
        <v>2016</v>
      </c>
      <c r="C121" t="s">
        <v>44</v>
      </c>
      <c r="D121" s="1">
        <v>1186169</v>
      </c>
      <c r="E121" s="1">
        <v>15184484.417013049</v>
      </c>
      <c r="F121" s="1">
        <v>16370653.417013049</v>
      </c>
      <c r="G121">
        <f>IFERROR(VLOOKUP(C121,Match!$A$2:$B$84,2,FALSE),"")</f>
        <v>5401230</v>
      </c>
    </row>
    <row r="122" spans="1:7" x14ac:dyDescent="0.2">
      <c r="A122">
        <v>2016</v>
      </c>
      <c r="C122" t="s">
        <v>45</v>
      </c>
      <c r="D122" s="1">
        <v>264469</v>
      </c>
      <c r="E122" s="1">
        <v>3385542.3119684565</v>
      </c>
      <c r="F122" s="1">
        <v>3650011.3119684565</v>
      </c>
      <c r="G122">
        <f>IFERROR(VLOOKUP(C122,Match!$A$2:$B$84,2,FALSE),"")</f>
        <v>5401260</v>
      </c>
    </row>
    <row r="123" spans="1:7" x14ac:dyDescent="0.2">
      <c r="A123">
        <v>2016</v>
      </c>
      <c r="C123" t="s">
        <v>46</v>
      </c>
      <c r="D123" s="1">
        <v>159213</v>
      </c>
      <c r="E123" s="1">
        <v>2038129.3878475397</v>
      </c>
      <c r="F123" s="1">
        <v>2197342.38784754</v>
      </c>
      <c r="G123">
        <f>IFERROR(VLOOKUP(C123,Match!$A$2:$B$84,2,FALSE),"")</f>
        <v>5401290</v>
      </c>
    </row>
    <row r="124" spans="1:7" x14ac:dyDescent="0.2">
      <c r="A124">
        <v>2016</v>
      </c>
      <c r="C124" t="s">
        <v>47</v>
      </c>
      <c r="D124" s="1">
        <v>99893</v>
      </c>
      <c r="E124" s="1">
        <v>1278762.4696198951</v>
      </c>
      <c r="F124" s="1">
        <v>1378655.4696198951</v>
      </c>
      <c r="G124">
        <f>IFERROR(VLOOKUP(C124,Match!$A$2:$B$84,2,FALSE),"")</f>
        <v>5401320</v>
      </c>
    </row>
    <row r="125" spans="1:7" x14ac:dyDescent="0.2">
      <c r="A125">
        <v>2016</v>
      </c>
      <c r="C125" t="s">
        <v>48</v>
      </c>
      <c r="D125" s="1">
        <v>66832</v>
      </c>
      <c r="E125" s="1">
        <v>855542.02795823512</v>
      </c>
      <c r="F125" s="1">
        <v>922374.02795823512</v>
      </c>
      <c r="G125">
        <f>IFERROR(VLOOKUP(C125,Match!$A$2:$B$84,2,FALSE),"")</f>
        <v>5401350</v>
      </c>
    </row>
    <row r="126" spans="1:7" x14ac:dyDescent="0.2">
      <c r="A126">
        <v>2016</v>
      </c>
      <c r="C126" t="s">
        <v>49</v>
      </c>
      <c r="D126" s="1">
        <v>114795</v>
      </c>
      <c r="E126" s="1">
        <v>1469527.8533520633</v>
      </c>
      <c r="F126" s="1">
        <v>1584322.8533520633</v>
      </c>
      <c r="G126">
        <f>IFERROR(VLOOKUP(C126,Match!$A$2:$B$84,2,FALSE),"")</f>
        <v>5401380</v>
      </c>
    </row>
    <row r="127" spans="1:7" x14ac:dyDescent="0.2">
      <c r="A127">
        <v>2016</v>
      </c>
      <c r="C127" t="s">
        <v>50</v>
      </c>
      <c r="D127" s="1">
        <v>43513</v>
      </c>
      <c r="E127" s="1">
        <v>557027.66883225332</v>
      </c>
      <c r="F127" s="1">
        <v>600540.66883225332</v>
      </c>
      <c r="G127">
        <f>IFERROR(VLOOKUP(C127,Match!$A$2:$B$84,2,FALSE),"")</f>
        <v>5401410</v>
      </c>
    </row>
    <row r="128" spans="1:7" x14ac:dyDescent="0.2">
      <c r="A128">
        <v>2016</v>
      </c>
      <c r="C128" t="s">
        <v>51</v>
      </c>
      <c r="D128" s="1">
        <v>148704</v>
      </c>
      <c r="E128" s="1">
        <v>1903607.9237919853</v>
      </c>
      <c r="F128" s="1">
        <v>2052311.9237919853</v>
      </c>
      <c r="G128">
        <f>IFERROR(VLOOKUP(C128,Match!$A$2:$B$84,2,FALSE),"")</f>
        <v>5401440</v>
      </c>
    </row>
    <row r="129" spans="1:7" x14ac:dyDescent="0.2">
      <c r="A129">
        <v>2016</v>
      </c>
      <c r="C129" t="s">
        <v>52</v>
      </c>
      <c r="D129" s="1">
        <v>326359</v>
      </c>
      <c r="E129" s="1">
        <v>4177816.1269043116</v>
      </c>
      <c r="F129" s="1">
        <v>4504175.1269043116</v>
      </c>
      <c r="G129">
        <f>IFERROR(VLOOKUP(C129,Match!$A$2:$B$84,2,FALSE),"")</f>
        <v>5401470</v>
      </c>
    </row>
    <row r="130" spans="1:7" x14ac:dyDescent="0.2">
      <c r="A130">
        <v>2016</v>
      </c>
      <c r="C130" t="s">
        <v>53</v>
      </c>
      <c r="D130" s="1">
        <v>539969</v>
      </c>
      <c r="E130" s="1">
        <v>6912290.7277371855</v>
      </c>
      <c r="F130" s="1">
        <v>7452259.7277371855</v>
      </c>
      <c r="G130">
        <f>IFERROR(VLOOKUP(C130,Match!$A$2:$B$84,2,FALSE),"")</f>
        <v>5401500</v>
      </c>
    </row>
    <row r="131" spans="1:7" x14ac:dyDescent="0.2">
      <c r="A131">
        <v>2016</v>
      </c>
      <c r="C131" t="s">
        <v>54</v>
      </c>
      <c r="D131" s="1">
        <v>52097</v>
      </c>
      <c r="E131" s="1">
        <v>666910.71165332769</v>
      </c>
      <c r="F131" s="1">
        <v>719007.71165332769</v>
      </c>
      <c r="G131">
        <f>IFERROR(VLOOKUP(C131,Match!$A$2:$B$84,2,FALSE),"")</f>
        <v>5401530</v>
      </c>
    </row>
    <row r="132" spans="1:7" x14ac:dyDescent="0.2">
      <c r="A132">
        <v>2016</v>
      </c>
      <c r="C132" t="s">
        <v>55</v>
      </c>
      <c r="D132" s="1">
        <v>469327</v>
      </c>
      <c r="E132" s="1">
        <v>6007988.1593253724</v>
      </c>
      <c r="F132" s="1">
        <v>6477315.1593253724</v>
      </c>
      <c r="G132">
        <f>IFERROR(VLOOKUP(C132,Match!$A$2:$B$84,2,FALSE),"")</f>
        <v>5401560</v>
      </c>
    </row>
    <row r="133" spans="1:7" x14ac:dyDescent="0.2">
      <c r="A133">
        <v>2016</v>
      </c>
      <c r="C133" t="s">
        <v>56</v>
      </c>
      <c r="D133" s="1">
        <v>52035</v>
      </c>
      <c r="E133" s="1">
        <v>666112.97217501036</v>
      </c>
      <c r="F133" s="1">
        <v>718147.97217501036</v>
      </c>
      <c r="G133">
        <f>IFERROR(VLOOKUP(C133,Match!$A$2:$B$84,2,FALSE),"")</f>
        <v>5401590</v>
      </c>
    </row>
    <row r="134" spans="1:7" x14ac:dyDescent="0.2">
      <c r="A134">
        <v>2016</v>
      </c>
      <c r="C134" t="s">
        <v>57</v>
      </c>
      <c r="D134" s="1">
        <v>1155728</v>
      </c>
      <c r="E134" s="1">
        <v>14794803.606351206</v>
      </c>
      <c r="F134" s="1">
        <v>15950531.606351206</v>
      </c>
      <c r="G134">
        <f>IFERROR(VLOOKUP(C134,Match!$A$2:$B$84,2,FALSE),"")</f>
        <v>5401620</v>
      </c>
    </row>
    <row r="135" spans="1:7" x14ac:dyDescent="0.2">
      <c r="A135">
        <v>2016</v>
      </c>
      <c r="C135" t="s">
        <v>58</v>
      </c>
      <c r="D135" s="1">
        <v>441786</v>
      </c>
      <c r="E135" s="1">
        <v>5655423.1640881486</v>
      </c>
      <c r="F135" s="1">
        <v>6097209.1640881486</v>
      </c>
      <c r="G135">
        <f>IFERROR(VLOOKUP(C135,Match!$A$2:$B$84,2,FALSE),"")</f>
        <v>5401650</v>
      </c>
    </row>
    <row r="136" spans="1:7" x14ac:dyDescent="0.2">
      <c r="A136">
        <v>2016</v>
      </c>
      <c r="C136" t="s">
        <v>59</v>
      </c>
      <c r="D136" s="1">
        <v>74543</v>
      </c>
      <c r="E136" s="1">
        <v>954249.07485524495</v>
      </c>
      <c r="F136" s="1">
        <v>1028792.074855245</v>
      </c>
      <c r="G136">
        <f>IFERROR(VLOOKUP(C136,Match!$A$2:$B$84,2,FALSE),"")</f>
        <v>0</v>
      </c>
    </row>
    <row r="137" spans="1:7" x14ac:dyDescent="0.2">
      <c r="A137">
        <v>2016</v>
      </c>
      <c r="C137" t="s">
        <v>60</v>
      </c>
      <c r="D137" s="1">
        <v>21916</v>
      </c>
      <c r="E137" s="1">
        <v>280547.934408598</v>
      </c>
      <c r="F137" s="1">
        <v>302463.934408598</v>
      </c>
      <c r="G137">
        <f>IFERROR(VLOOKUP(C137,Match!$A$2:$B$84,2,FALSE),"")</f>
        <v>0</v>
      </c>
    </row>
    <row r="138" spans="1:7" x14ac:dyDescent="0.2">
      <c r="A138">
        <v>2016</v>
      </c>
      <c r="C138" t="s">
        <v>61</v>
      </c>
      <c r="D138" s="1">
        <v>138548</v>
      </c>
      <c r="E138" s="1">
        <v>1773588.4591433993</v>
      </c>
      <c r="F138" s="1">
        <v>1912136.4591433993</v>
      </c>
      <c r="G138">
        <f>IFERROR(VLOOKUP(C138,Match!$A$2:$B$84,2,FALSE),"")</f>
        <v>0</v>
      </c>
    </row>
    <row r="139" spans="1:7" x14ac:dyDescent="0.2">
      <c r="A139">
        <v>2016</v>
      </c>
      <c r="C139" t="s">
        <v>62</v>
      </c>
      <c r="D139" s="1">
        <v>93303</v>
      </c>
      <c r="E139" s="1">
        <v>1194397.0901049741</v>
      </c>
      <c r="F139" s="1">
        <v>1287700.0901049741</v>
      </c>
      <c r="G139">
        <f>IFERROR(VLOOKUP(C139,Match!$A$2:$B$84,2,FALSE),"")</f>
        <v>0</v>
      </c>
    </row>
    <row r="140" spans="1:7" x14ac:dyDescent="0.2">
      <c r="A140">
        <v>2016</v>
      </c>
      <c r="C140" t="s">
        <v>63</v>
      </c>
      <c r="D140" s="1">
        <v>154213</v>
      </c>
      <c r="E140" s="1">
        <v>1974122.6514849544</v>
      </c>
      <c r="F140" s="1">
        <v>2128335.6514849542</v>
      </c>
      <c r="G140">
        <f>IFERROR(VLOOKUP(C140,Match!$A$2:$B$84,2,FALSE),"")</f>
        <v>0</v>
      </c>
    </row>
    <row r="141" spans="1:7" x14ac:dyDescent="0.2">
      <c r="A141">
        <v>2016</v>
      </c>
      <c r="C141" t="s">
        <v>64</v>
      </c>
      <c r="D141" s="1">
        <v>19933</v>
      </c>
      <c r="E141" s="1">
        <v>255170.98983391226</v>
      </c>
      <c r="F141" s="1">
        <v>275103.98983391223</v>
      </c>
      <c r="G141">
        <f>IFERROR(VLOOKUP(C141,Match!$A$2:$B$84,2,FALSE),"")</f>
        <v>0</v>
      </c>
    </row>
    <row r="142" spans="1:7" x14ac:dyDescent="0.2">
      <c r="A142">
        <v>2016</v>
      </c>
      <c r="C142" t="s">
        <v>65</v>
      </c>
      <c r="D142" s="1">
        <v>430536</v>
      </c>
      <c r="E142" s="1">
        <v>5511414.3288861429</v>
      </c>
      <c r="F142" s="1">
        <v>5941950.3288861429</v>
      </c>
      <c r="G142">
        <f>IFERROR(VLOOKUP(C142,Match!$A$2:$B$84,2,FALSE),"")</f>
        <v>0</v>
      </c>
    </row>
    <row r="143" spans="1:7" x14ac:dyDescent="0.2">
      <c r="A143">
        <v>2016</v>
      </c>
      <c r="C143" t="s">
        <v>66</v>
      </c>
      <c r="D143" s="1">
        <v>36894</v>
      </c>
      <c r="E143" s="1">
        <v>472286.70603341836</v>
      </c>
      <c r="F143" s="1">
        <v>509180.70603341836</v>
      </c>
      <c r="G143">
        <f>IFERROR(VLOOKUP(C143,Match!$A$2:$B$84,2,FALSE),"")</f>
        <v>0</v>
      </c>
    </row>
    <row r="144" spans="1:7" x14ac:dyDescent="0.2">
      <c r="A144">
        <v>2016</v>
      </c>
      <c r="C144" t="s">
        <v>67</v>
      </c>
      <c r="D144" s="1">
        <v>75199</v>
      </c>
      <c r="E144" s="1">
        <v>962645.62583282113</v>
      </c>
      <c r="F144" s="1">
        <v>1037844.6258328211</v>
      </c>
      <c r="G144">
        <f>IFERROR(VLOOKUP(C144,Match!$A$2:$B$84,2,FALSE),"")</f>
        <v>0</v>
      </c>
    </row>
    <row r="145" spans="1:7" x14ac:dyDescent="0.2">
      <c r="A145">
        <v>2016</v>
      </c>
      <c r="C145" t="s">
        <v>68</v>
      </c>
      <c r="D145" s="1">
        <v>645941</v>
      </c>
      <c r="E145" s="1">
        <v>8268874.6558587505</v>
      </c>
      <c r="F145" s="1">
        <v>8914815.6558587514</v>
      </c>
      <c r="G145">
        <f>IFERROR(VLOOKUP(C145,Match!$A$2:$B$84,2,FALSE),"")</f>
        <v>5401621</v>
      </c>
    </row>
    <row r="146" spans="1:7" x14ac:dyDescent="0.2">
      <c r="A146">
        <v>2016</v>
      </c>
      <c r="C146" t="s">
        <v>69</v>
      </c>
      <c r="D146" s="1">
        <v>121518</v>
      </c>
      <c r="E146" s="1">
        <v>1555593.5008722197</v>
      </c>
      <c r="F146" s="1">
        <v>1677111.5008722197</v>
      </c>
      <c r="G146">
        <f>IFERROR(VLOOKUP(C146,Match!$A$2:$B$84,2,FALSE),"")</f>
        <v>0</v>
      </c>
    </row>
    <row r="147" spans="1:7" x14ac:dyDescent="0.2">
      <c r="A147">
        <v>2016</v>
      </c>
      <c r="C147" t="s">
        <v>70</v>
      </c>
      <c r="D147" s="1">
        <v>1197265</v>
      </c>
      <c r="E147" s="1">
        <v>15326523.189974507</v>
      </c>
      <c r="F147" s="1">
        <v>16523788.189974507</v>
      </c>
      <c r="G147">
        <f>IFERROR(VLOOKUP(C147,Match!$A$2:$B$84,2,FALSE),"")</f>
        <v>0</v>
      </c>
    </row>
    <row r="148" spans="1:7" x14ac:dyDescent="0.2">
      <c r="A148">
        <v>2016</v>
      </c>
      <c r="C148" t="s">
        <v>71</v>
      </c>
      <c r="D148" s="1">
        <v>72057</v>
      </c>
      <c r="E148" s="1">
        <v>922421.35508828715</v>
      </c>
      <c r="F148" s="1">
        <v>994478.35508828715</v>
      </c>
      <c r="G148">
        <f>IFERROR(VLOOKUP(C148,Match!$A$2:$B$84,2,FALSE),"")</f>
        <v>0</v>
      </c>
    </row>
    <row r="149" spans="1:7" x14ac:dyDescent="0.2">
      <c r="A149">
        <v>2016</v>
      </c>
      <c r="C149" t="s">
        <v>72</v>
      </c>
      <c r="D149" s="1">
        <v>34801</v>
      </c>
      <c r="E149" s="1">
        <v>445502.57414405508</v>
      </c>
      <c r="F149" s="1">
        <v>480303.57414405508</v>
      </c>
      <c r="G149">
        <f>IFERROR(VLOOKUP(C149,Match!$A$2:$B$84,2,FALSE),"")</f>
        <v>0</v>
      </c>
    </row>
    <row r="150" spans="1:7" x14ac:dyDescent="0.2">
      <c r="A150">
        <v>2016</v>
      </c>
      <c r="C150" t="s">
        <v>73</v>
      </c>
      <c r="D150" s="1">
        <v>13768</v>
      </c>
      <c r="E150" s="1">
        <v>176247.06793574462</v>
      </c>
      <c r="F150" s="1">
        <v>190015.06793574462</v>
      </c>
      <c r="G150">
        <f>IFERROR(VLOOKUP(C150,Match!$A$2:$B$84,2,FALSE),"")</f>
        <v>0</v>
      </c>
    </row>
    <row r="151" spans="1:7" x14ac:dyDescent="0.2">
      <c r="A151">
        <v>2016</v>
      </c>
      <c r="C151" t="s">
        <v>74</v>
      </c>
      <c r="D151" s="1">
        <v>10159</v>
      </c>
      <c r="E151" s="1">
        <v>130041.75110383076</v>
      </c>
      <c r="F151" s="1">
        <v>140200.75110383076</v>
      </c>
      <c r="G151">
        <f>IFERROR(VLOOKUP(C151,Match!$A$2:$B$84,2,FALSE),"")</f>
        <v>0</v>
      </c>
    </row>
    <row r="152" spans="1:7" x14ac:dyDescent="0.2">
      <c r="A152">
        <v>2016</v>
      </c>
      <c r="C152" t="s">
        <v>75</v>
      </c>
      <c r="D152" s="1">
        <v>7379</v>
      </c>
      <c r="E152" s="1">
        <v>94462.198497732592</v>
      </c>
      <c r="F152" s="1">
        <v>101841.19849773259</v>
      </c>
      <c r="G152">
        <f>IFERROR(VLOOKUP(C152,Match!$A$2:$B$84,2,FALSE),"")</f>
        <v>0</v>
      </c>
    </row>
    <row r="153" spans="1:7" x14ac:dyDescent="0.2">
      <c r="A153">
        <v>2016</v>
      </c>
      <c r="C153" t="s">
        <v>76</v>
      </c>
      <c r="D153" s="1">
        <v>17184</v>
      </c>
      <c r="E153" s="1">
        <v>219977.66373935048</v>
      </c>
      <c r="F153" s="1">
        <v>237161.66373935048</v>
      </c>
      <c r="G153">
        <f>IFERROR(VLOOKUP(C153,Match!$A$2:$B$84,2,FALSE),"")</f>
        <v>0</v>
      </c>
    </row>
    <row r="154" spans="1:7" x14ac:dyDescent="0.2">
      <c r="A154">
        <v>2016</v>
      </c>
      <c r="C154" t="s">
        <v>77</v>
      </c>
      <c r="D154" s="1">
        <v>37051</v>
      </c>
      <c r="E154" s="1">
        <v>474304.34118445619</v>
      </c>
      <c r="F154" s="1">
        <v>511355.34118445619</v>
      </c>
      <c r="G154">
        <f>IFERROR(VLOOKUP(C154,Match!$A$2:$B$84,2,FALSE),"")</f>
        <v>0</v>
      </c>
    </row>
    <row r="155" spans="1:7" x14ac:dyDescent="0.2">
      <c r="A155">
        <v>2016</v>
      </c>
      <c r="C155" t="s">
        <v>78</v>
      </c>
      <c r="D155" s="1">
        <v>18316</v>
      </c>
      <c r="E155" s="1">
        <v>234460.04985290719</v>
      </c>
      <c r="F155" s="1">
        <v>252776.04985290719</v>
      </c>
      <c r="G155">
        <f>IFERROR(VLOOKUP(C155,Match!$A$2:$B$84,2,FALSE),"")</f>
        <v>0</v>
      </c>
    </row>
    <row r="156" spans="1:7" x14ac:dyDescent="0.2">
      <c r="A156">
        <v>2016</v>
      </c>
      <c r="C156" t="s">
        <v>79</v>
      </c>
      <c r="D156" s="1">
        <v>10641</v>
      </c>
      <c r="E156" s="1">
        <v>136222.73206078977</v>
      </c>
      <c r="F156" s="1">
        <v>146863.73206078977</v>
      </c>
      <c r="G156">
        <f>IFERROR(VLOOKUP(C156,Match!$A$2:$B$84,2,FALSE),"")</f>
        <v>0</v>
      </c>
    </row>
    <row r="157" spans="1:7" x14ac:dyDescent="0.2">
      <c r="A157">
        <v>2016</v>
      </c>
      <c r="C157" t="s">
        <v>80</v>
      </c>
      <c r="D157" s="1">
        <v>2377786</v>
      </c>
      <c r="E157" s="1">
        <v>30438710.108695995</v>
      </c>
      <c r="F157" s="1">
        <v>32816496.108695995</v>
      </c>
      <c r="G157">
        <f>IFERROR(VLOOKUP(C157,Match!$A$2:$B$84,2,FALSE),"")</f>
        <v>0</v>
      </c>
    </row>
    <row r="158" spans="1:7" x14ac:dyDescent="0.2">
      <c r="A158">
        <v>2016</v>
      </c>
      <c r="C158" t="s">
        <v>81</v>
      </c>
      <c r="D158" s="1">
        <v>60861</v>
      </c>
      <c r="E158" s="1">
        <v>779104.47031599772</v>
      </c>
      <c r="F158" s="1">
        <v>839965.47031599772</v>
      </c>
      <c r="G158">
        <f>IFERROR(VLOOKUP(C158,Match!$A$2:$B$84,2,FALSE),"")</f>
        <v>0</v>
      </c>
    </row>
    <row r="159" spans="1:7" x14ac:dyDescent="0.2">
      <c r="A159">
        <v>2016</v>
      </c>
      <c r="C159" t="s">
        <v>82</v>
      </c>
      <c r="D159" s="1">
        <v>46478</v>
      </c>
      <c r="E159" s="1">
        <v>594976.15341805865</v>
      </c>
      <c r="F159" s="1">
        <v>641454.15341805865</v>
      </c>
      <c r="G159">
        <f>IFERROR(VLOOKUP(C159,Match!$A$2:$B$84,2,FALSE),"")</f>
        <v>0</v>
      </c>
    </row>
    <row r="160" spans="1:7" x14ac:dyDescent="0.2">
      <c r="A160">
        <v>2017</v>
      </c>
      <c r="C160" t="s">
        <v>0</v>
      </c>
      <c r="D160" s="1">
        <v>67090</v>
      </c>
      <c r="E160" s="1">
        <v>957119.21021891688</v>
      </c>
      <c r="F160" s="1">
        <v>1024209.2102189169</v>
      </c>
      <c r="G160">
        <f>IFERROR(VLOOKUP(C160,Match!$A$2:$B$84,2,FALSE),"")</f>
        <v>5400030</v>
      </c>
    </row>
    <row r="161" spans="1:7" x14ac:dyDescent="0.2">
      <c r="A161">
        <v>2017</v>
      </c>
      <c r="C161" t="s">
        <v>1</v>
      </c>
      <c r="D161" s="1">
        <v>1840504</v>
      </c>
      <c r="E161" s="1">
        <v>26256857.141598314</v>
      </c>
      <c r="F161" s="1">
        <v>28097361.141598314</v>
      </c>
      <c r="G161">
        <f>IFERROR(VLOOKUP(C161,Match!$A$2:$B$84,2,FALSE),"")</f>
        <v>5400060</v>
      </c>
    </row>
    <row r="162" spans="1:7" x14ac:dyDescent="0.2">
      <c r="A162">
        <v>2017</v>
      </c>
      <c r="C162" t="s">
        <v>2</v>
      </c>
      <c r="D162" s="1">
        <v>123940</v>
      </c>
      <c r="E162" s="1">
        <v>1768137.5314676592</v>
      </c>
      <c r="F162" s="1">
        <v>1892077.5314676592</v>
      </c>
      <c r="G162">
        <f>IFERROR(VLOOKUP(C162,Match!$A$2:$B$84,2,FALSE),"")</f>
        <v>5400090</v>
      </c>
    </row>
    <row r="163" spans="1:7" x14ac:dyDescent="0.2">
      <c r="A163">
        <v>2017</v>
      </c>
      <c r="C163" t="s">
        <v>3</v>
      </c>
      <c r="D163" s="1">
        <v>54535</v>
      </c>
      <c r="E163" s="1">
        <v>777999.83237331978</v>
      </c>
      <c r="F163" s="1">
        <v>832534.83237331978</v>
      </c>
      <c r="G163">
        <f>IFERROR(VLOOKUP(C163,Match!$A$2:$B$84,2,FALSE),"")</f>
        <v>5400120</v>
      </c>
    </row>
    <row r="164" spans="1:7" x14ac:dyDescent="0.2">
      <c r="A164">
        <v>2017</v>
      </c>
      <c r="C164" t="s">
        <v>4</v>
      </c>
      <c r="D164" s="1">
        <v>354720</v>
      </c>
      <c r="E164" s="1">
        <v>5060473.1462809471</v>
      </c>
      <c r="F164" s="1">
        <v>5415193.1462809471</v>
      </c>
      <c r="G164">
        <f>IFERROR(VLOOKUP(C164,Match!$A$2:$B$84,2,FALSE),"")</f>
        <v>5400150</v>
      </c>
    </row>
    <row r="165" spans="1:7" x14ac:dyDescent="0.2">
      <c r="A165">
        <v>2017</v>
      </c>
      <c r="C165" t="s">
        <v>5</v>
      </c>
      <c r="D165" s="1">
        <v>1122296</v>
      </c>
      <c r="E165" s="1">
        <v>16010820.362258768</v>
      </c>
      <c r="F165" s="1">
        <v>17133116.36225877</v>
      </c>
      <c r="G165">
        <f>IFERROR(VLOOKUP(C165,Match!$A$2:$B$84,2,FALSE),"")</f>
        <v>5400180</v>
      </c>
    </row>
    <row r="166" spans="1:7" x14ac:dyDescent="0.2">
      <c r="A166">
        <v>2017</v>
      </c>
      <c r="C166" t="s">
        <v>6</v>
      </c>
      <c r="D166" s="1">
        <v>48766</v>
      </c>
      <c r="E166" s="1">
        <v>695701.09128168609</v>
      </c>
      <c r="F166" s="1">
        <v>744467.09128168609</v>
      </c>
      <c r="G166">
        <f>IFERROR(VLOOKUP(C166,Match!$A$2:$B$84,2,FALSE),"")</f>
        <v>5400210</v>
      </c>
    </row>
    <row r="167" spans="1:7" x14ac:dyDescent="0.2">
      <c r="A167">
        <v>2017</v>
      </c>
      <c r="C167" t="s">
        <v>7</v>
      </c>
      <c r="D167" s="1">
        <v>130511</v>
      </c>
      <c r="E167" s="1">
        <v>1861883.4020228409</v>
      </c>
      <c r="F167" s="1">
        <v>1992394.4020228409</v>
      </c>
      <c r="G167">
        <f>IFERROR(VLOOKUP(C167,Match!$A$2:$B$84,2,FALSE),"")</f>
        <v>5400240</v>
      </c>
    </row>
    <row r="168" spans="1:7" x14ac:dyDescent="0.2">
      <c r="A168">
        <v>2017</v>
      </c>
      <c r="C168" t="s">
        <v>8</v>
      </c>
      <c r="D168" s="1">
        <v>256555</v>
      </c>
      <c r="E168" s="1">
        <v>3660044.6501977486</v>
      </c>
      <c r="F168" s="1">
        <v>3916599.6501977486</v>
      </c>
      <c r="G168">
        <f>IFERROR(VLOOKUP(C168,Match!$A$2:$B$84,2,FALSE),"")</f>
        <v>5400270</v>
      </c>
    </row>
    <row r="169" spans="1:7" x14ac:dyDescent="0.2">
      <c r="A169">
        <v>2017</v>
      </c>
      <c r="C169" t="s">
        <v>9</v>
      </c>
      <c r="D169" s="1">
        <v>467565</v>
      </c>
      <c r="E169" s="1">
        <v>6670345.7140343189</v>
      </c>
      <c r="F169" s="1">
        <v>7137910.7140343189</v>
      </c>
      <c r="G169">
        <f>IFERROR(VLOOKUP(C169,Match!$A$2:$B$84,2,FALSE),"")</f>
        <v>5400300</v>
      </c>
    </row>
    <row r="170" spans="1:7" x14ac:dyDescent="0.2">
      <c r="A170">
        <v>2017</v>
      </c>
      <c r="C170" t="s">
        <v>10</v>
      </c>
      <c r="D170" s="1">
        <v>50848</v>
      </c>
      <c r="E170" s="1">
        <v>725410.83186650567</v>
      </c>
      <c r="F170" s="1">
        <v>776258.83186650567</v>
      </c>
      <c r="G170">
        <f>IFERROR(VLOOKUP(C170,Match!$A$2:$B$84,2,FALSE),"")</f>
        <v>5400330</v>
      </c>
    </row>
    <row r="171" spans="1:7" x14ac:dyDescent="0.2">
      <c r="A171">
        <v>2017</v>
      </c>
      <c r="C171" t="s">
        <v>11</v>
      </c>
      <c r="D171" s="1">
        <v>49858</v>
      </c>
      <c r="E171" s="1">
        <v>711281.90635721234</v>
      </c>
      <c r="F171" s="1">
        <v>761139.90635721234</v>
      </c>
      <c r="G171">
        <f>IFERROR(VLOOKUP(C171,Match!$A$2:$B$84,2,FALSE),"")</f>
        <v>5400360</v>
      </c>
    </row>
    <row r="172" spans="1:7" x14ac:dyDescent="0.2">
      <c r="A172">
        <v>2017</v>
      </c>
      <c r="C172" t="s">
        <v>12</v>
      </c>
      <c r="D172" s="1">
        <v>403596</v>
      </c>
      <c r="E172" s="1">
        <v>5757758.1171798781</v>
      </c>
      <c r="F172" s="1">
        <v>6161354.1171798781</v>
      </c>
      <c r="G172">
        <f>IFERROR(VLOOKUP(C172,Match!$A$2:$B$84,2,FALSE),"")</f>
        <v>5400390</v>
      </c>
    </row>
    <row r="173" spans="1:7" x14ac:dyDescent="0.2">
      <c r="A173">
        <v>2017</v>
      </c>
      <c r="C173" t="s">
        <v>13</v>
      </c>
      <c r="D173" s="1">
        <v>168180</v>
      </c>
      <c r="E173" s="1">
        <v>2399279.5325749354</v>
      </c>
      <c r="F173" s="1">
        <v>2567459.5325749354</v>
      </c>
      <c r="G173">
        <f>IFERROR(VLOOKUP(C173,Match!$A$2:$B$84,2,FALSE),"")</f>
        <v>5400420</v>
      </c>
    </row>
    <row r="174" spans="1:7" x14ac:dyDescent="0.2">
      <c r="A174">
        <v>2017</v>
      </c>
      <c r="C174" t="s">
        <v>14</v>
      </c>
      <c r="D174" s="1">
        <v>339968</v>
      </c>
      <c r="E174" s="1">
        <v>4850023.1512179812</v>
      </c>
      <c r="F174" s="1">
        <v>5189991.1512179812</v>
      </c>
      <c r="G174">
        <f>IFERROR(VLOOKUP(C174,Match!$A$2:$B$84,2,FALSE),"")</f>
        <v>5400450</v>
      </c>
    </row>
    <row r="175" spans="1:7" x14ac:dyDescent="0.2">
      <c r="A175">
        <v>2017</v>
      </c>
      <c r="C175" t="s">
        <v>15</v>
      </c>
      <c r="D175" s="1">
        <v>78286</v>
      </c>
      <c r="E175" s="1">
        <v>1116837.0634994376</v>
      </c>
      <c r="F175" s="1">
        <v>1195123.0634994376</v>
      </c>
      <c r="G175">
        <f>IFERROR(VLOOKUP(C175,Match!$A$2:$B$84,2,FALSE),"")</f>
        <v>5400480</v>
      </c>
    </row>
    <row r="176" spans="1:7" x14ac:dyDescent="0.2">
      <c r="A176">
        <v>2017</v>
      </c>
      <c r="C176" t="s">
        <v>16</v>
      </c>
      <c r="D176" s="1">
        <v>1575805</v>
      </c>
      <c r="E176" s="1">
        <v>22480631.327096827</v>
      </c>
      <c r="F176" s="1">
        <v>24056436.327096827</v>
      </c>
      <c r="G176">
        <f>IFERROR(VLOOKUP(C176,Match!$A$2:$B$84,2,FALSE),"")</f>
        <v>5400510</v>
      </c>
    </row>
    <row r="177" spans="1:7" x14ac:dyDescent="0.2">
      <c r="A177">
        <v>2017</v>
      </c>
      <c r="C177" t="s">
        <v>17</v>
      </c>
      <c r="D177" s="1">
        <v>322395</v>
      </c>
      <c r="E177" s="1">
        <v>4599333.2164637335</v>
      </c>
      <c r="F177" s="1">
        <v>4921728.2164637335</v>
      </c>
      <c r="G177">
        <f>IFERROR(VLOOKUP(C177,Match!$A$2:$B$84,2,FALSE),"")</f>
        <v>5400540</v>
      </c>
    </row>
    <row r="178" spans="1:7" x14ac:dyDescent="0.2">
      <c r="A178">
        <v>2017</v>
      </c>
      <c r="C178" t="s">
        <v>18</v>
      </c>
      <c r="D178" s="1">
        <v>882590</v>
      </c>
      <c r="E178" s="1">
        <v>12591130.432785321</v>
      </c>
      <c r="F178" s="1">
        <v>13473720.432785321</v>
      </c>
      <c r="G178">
        <f>IFERROR(VLOOKUP(C178,Match!$A$2:$B$84,2,FALSE),"")</f>
        <v>5400570</v>
      </c>
    </row>
    <row r="179" spans="1:7" x14ac:dyDescent="0.2">
      <c r="A179">
        <v>2017</v>
      </c>
      <c r="C179" t="s">
        <v>19</v>
      </c>
      <c r="D179" s="1">
        <v>2647498</v>
      </c>
      <c r="E179" s="1">
        <v>37769533.591851108</v>
      </c>
      <c r="F179" s="1">
        <v>40417031.591851108</v>
      </c>
      <c r="G179">
        <f>IFERROR(VLOOKUP(C179,Match!$A$2:$B$84,2,FALSE),"")</f>
        <v>5400600</v>
      </c>
    </row>
    <row r="180" spans="1:7" x14ac:dyDescent="0.2">
      <c r="A180">
        <v>2017</v>
      </c>
      <c r="C180" t="s">
        <v>20</v>
      </c>
      <c r="D180" s="1">
        <v>244849</v>
      </c>
      <c r="E180" s="1">
        <v>3493053.3500809618</v>
      </c>
      <c r="F180" s="1">
        <v>3737902.3500809618</v>
      </c>
      <c r="G180">
        <f>IFERROR(VLOOKUP(C180,Match!$A$2:$B$84,2,FALSE),"")</f>
        <v>5400630</v>
      </c>
    </row>
    <row r="181" spans="1:7" x14ac:dyDescent="0.2">
      <c r="A181">
        <v>2017</v>
      </c>
      <c r="C181" t="s">
        <v>21</v>
      </c>
      <c r="D181" s="1">
        <v>258161</v>
      </c>
      <c r="E181" s="1">
        <v>3682950.9081299454</v>
      </c>
      <c r="F181" s="1">
        <v>3941111.9081299454</v>
      </c>
      <c r="G181">
        <f>IFERROR(VLOOKUP(C181,Match!$A$2:$B$84,2,FALSE),"")</f>
        <v>5400660</v>
      </c>
    </row>
    <row r="182" spans="1:7" x14ac:dyDescent="0.2">
      <c r="A182">
        <v>2017</v>
      </c>
      <c r="C182" t="s">
        <v>22</v>
      </c>
      <c r="D182" s="1">
        <v>410260</v>
      </c>
      <c r="E182" s="1">
        <v>5852824.8872502809</v>
      </c>
      <c r="F182" s="1">
        <v>6263084.8872502809</v>
      </c>
      <c r="G182">
        <f>IFERROR(VLOOKUP(C182,Match!$A$2:$B$84,2,FALSE),"")</f>
        <v>5400690</v>
      </c>
    </row>
    <row r="183" spans="1:7" x14ac:dyDescent="0.2">
      <c r="A183">
        <v>2017</v>
      </c>
      <c r="C183" t="s">
        <v>23</v>
      </c>
      <c r="D183" s="1">
        <v>651889</v>
      </c>
      <c r="E183" s="1">
        <v>9299933.7314158361</v>
      </c>
      <c r="F183" s="1">
        <v>9951822.7314158361</v>
      </c>
      <c r="G183">
        <f>IFERROR(VLOOKUP(C183,Match!$A$2:$B$84,2,FALSE),"")</f>
        <v>5400720</v>
      </c>
    </row>
    <row r="184" spans="1:7" x14ac:dyDescent="0.2">
      <c r="A184">
        <v>2017</v>
      </c>
      <c r="C184" t="s">
        <v>24</v>
      </c>
      <c r="D184" s="1">
        <v>899708</v>
      </c>
      <c r="E184" s="1">
        <v>12835345.860014476</v>
      </c>
      <c r="F184" s="1">
        <v>13735053.860014476</v>
      </c>
      <c r="G184">
        <f>IFERROR(VLOOKUP(C184,Match!$A$2:$B$84,2,FALSE),"")</f>
        <v>5400750</v>
      </c>
    </row>
    <row r="185" spans="1:7" x14ac:dyDescent="0.2">
      <c r="A185">
        <v>2017</v>
      </c>
      <c r="C185" t="s">
        <v>25</v>
      </c>
      <c r="D185" s="1">
        <v>308643</v>
      </c>
      <c r="E185" s="1">
        <v>4403142.1369610736</v>
      </c>
      <c r="F185" s="1">
        <v>4711785.1369610736</v>
      </c>
      <c r="G185">
        <f>IFERROR(VLOOKUP(C185,Match!$A$2:$B$84,2,FALSE),"")</f>
        <v>5400780</v>
      </c>
    </row>
    <row r="186" spans="1:7" x14ac:dyDescent="0.2">
      <c r="A186">
        <v>2017</v>
      </c>
      <c r="C186" t="s">
        <v>30</v>
      </c>
      <c r="D186" s="1">
        <v>422571</v>
      </c>
      <c r="E186" s="1">
        <v>6028450.5307338582</v>
      </c>
      <c r="F186" s="1">
        <v>6451021.5307338582</v>
      </c>
      <c r="G186">
        <f>IFERROR(VLOOKUP(C186,Match!$A$2:$B$84,2,FALSE),"")</f>
        <v>5400810</v>
      </c>
    </row>
    <row r="187" spans="1:7" x14ac:dyDescent="0.2">
      <c r="A187">
        <v>2017</v>
      </c>
      <c r="C187" t="s">
        <v>31</v>
      </c>
      <c r="D187" s="1">
        <v>819869</v>
      </c>
      <c r="E187" s="1">
        <v>11696347.481873609</v>
      </c>
      <c r="F187" s="1">
        <v>12516216.481873609</v>
      </c>
      <c r="G187">
        <f>IFERROR(VLOOKUP(C187,Match!$A$2:$B$84,2,FALSE),"")</f>
        <v>5400840</v>
      </c>
    </row>
    <row r="188" spans="1:7" x14ac:dyDescent="0.2">
      <c r="A188">
        <v>2017</v>
      </c>
      <c r="C188" t="s">
        <v>32</v>
      </c>
      <c r="D188" s="1">
        <v>407956</v>
      </c>
      <c r="E188" s="1">
        <v>5819949.3874309715</v>
      </c>
      <c r="F188" s="1">
        <v>6227905.3874309715</v>
      </c>
      <c r="G188">
        <f>IFERROR(VLOOKUP(C188,Match!$A$2:$B$84,2,FALSE),"")</f>
        <v>5400870</v>
      </c>
    </row>
    <row r="189" spans="1:7" x14ac:dyDescent="0.2">
      <c r="A189">
        <v>2017</v>
      </c>
      <c r="C189" t="s">
        <v>33</v>
      </c>
      <c r="D189" s="1">
        <v>214482</v>
      </c>
      <c r="E189" s="1">
        <v>3059829.2971497034</v>
      </c>
      <c r="F189" s="1">
        <v>3274311.2971497034</v>
      </c>
      <c r="G189">
        <f>IFERROR(VLOOKUP(C189,Match!$A$2:$B$84,2,FALSE),"")</f>
        <v>5400900</v>
      </c>
    </row>
    <row r="190" spans="1:7" x14ac:dyDescent="0.2">
      <c r="A190">
        <v>2017</v>
      </c>
      <c r="C190" t="s">
        <v>34</v>
      </c>
      <c r="D190" s="1">
        <v>1296705</v>
      </c>
      <c r="E190" s="1">
        <v>18498952.137481034</v>
      </c>
      <c r="F190" s="1">
        <v>19795657.137481034</v>
      </c>
      <c r="G190">
        <f>IFERROR(VLOOKUP(C190,Match!$A$2:$B$84,2,FALSE),"")</f>
        <v>5400930</v>
      </c>
    </row>
    <row r="191" spans="1:7" x14ac:dyDescent="0.2">
      <c r="A191">
        <v>2017</v>
      </c>
      <c r="C191" t="s">
        <v>35</v>
      </c>
      <c r="D191" s="1">
        <v>112459</v>
      </c>
      <c r="E191" s="1">
        <v>1604350.987600666</v>
      </c>
      <c r="F191" s="1">
        <v>1716809.987600666</v>
      </c>
      <c r="G191">
        <f>IFERROR(VLOOKUP(C191,Match!$A$2:$B$84,2,FALSE),"")</f>
        <v>5400960</v>
      </c>
    </row>
    <row r="192" spans="1:7" x14ac:dyDescent="0.2">
      <c r="A192">
        <v>2017</v>
      </c>
      <c r="C192" t="s">
        <v>36</v>
      </c>
      <c r="D192" s="1">
        <v>174758</v>
      </c>
      <c r="E192" s="1">
        <v>2493116.3961658254</v>
      </c>
      <c r="F192" s="1">
        <v>2667874.3961658254</v>
      </c>
      <c r="G192">
        <f>IFERROR(VLOOKUP(C192,Match!$A$2:$B$84,2,FALSE),"")</f>
        <v>5400990</v>
      </c>
    </row>
    <row r="193" spans="1:7" x14ac:dyDescent="0.2">
      <c r="A193">
        <v>2017</v>
      </c>
      <c r="C193" t="s">
        <v>37</v>
      </c>
      <c r="D193" s="1">
        <v>286995</v>
      </c>
      <c r="E193" s="1">
        <v>4094301.6245320016</v>
      </c>
      <c r="F193" s="1">
        <v>4381296.6245320011</v>
      </c>
      <c r="G193">
        <f>IFERROR(VLOOKUP(C193,Match!$A$2:$B$84,2,FALSE),"")</f>
        <v>5401020</v>
      </c>
    </row>
    <row r="194" spans="1:7" x14ac:dyDescent="0.2">
      <c r="A194">
        <v>2017</v>
      </c>
      <c r="C194" t="s">
        <v>38</v>
      </c>
      <c r="D194" s="1">
        <v>705935</v>
      </c>
      <c r="E194" s="1">
        <v>10070961.094070219</v>
      </c>
      <c r="F194" s="1">
        <v>10776896.094070219</v>
      </c>
      <c r="G194">
        <f>IFERROR(VLOOKUP(C194,Match!$A$2:$B$84,2,FALSE),"")</f>
        <v>5401050</v>
      </c>
    </row>
    <row r="195" spans="1:7" x14ac:dyDescent="0.2">
      <c r="A195">
        <v>2017</v>
      </c>
      <c r="C195" t="s">
        <v>39</v>
      </c>
      <c r="D195" s="1">
        <v>4930</v>
      </c>
      <c r="E195" s="1">
        <v>70328.651424038064</v>
      </c>
      <c r="F195" s="1">
        <v>75258.651424038064</v>
      </c>
      <c r="G195">
        <f>IFERROR(VLOOKUP(C195,Match!$A$2:$B$84,2,FALSE),"")</f>
        <v>5401080</v>
      </c>
    </row>
    <row r="196" spans="1:7" x14ac:dyDescent="0.2">
      <c r="A196">
        <v>2017</v>
      </c>
      <c r="C196" t="s">
        <v>40</v>
      </c>
      <c r="D196" s="1">
        <v>250695</v>
      </c>
      <c r="E196" s="1">
        <v>3576451.0076010963</v>
      </c>
      <c r="F196" s="1">
        <v>3827146.0076010963</v>
      </c>
      <c r="G196">
        <f>IFERROR(VLOOKUP(C196,Match!$A$2:$B$84,2,FALSE),"")</f>
        <v>5401110</v>
      </c>
    </row>
    <row r="197" spans="1:7" x14ac:dyDescent="0.2">
      <c r="A197">
        <v>2017</v>
      </c>
      <c r="C197" t="s">
        <v>41</v>
      </c>
      <c r="D197" s="1">
        <v>69004</v>
      </c>
      <c r="E197" s="1">
        <v>984421.13386511605</v>
      </c>
      <c r="F197" s="1">
        <v>1053425.1338651162</v>
      </c>
      <c r="G197">
        <f>IFERROR(VLOOKUP(C197,Match!$A$2:$B$84,2,FALSE),"")</f>
        <v>5401140</v>
      </c>
    </row>
    <row r="198" spans="1:7" x14ac:dyDescent="0.2">
      <c r="A198">
        <v>2017</v>
      </c>
      <c r="C198" t="s">
        <v>42</v>
      </c>
      <c r="D198" s="1">
        <v>175506</v>
      </c>
      <c r="E198" s="1">
        <v>2503791.5843284028</v>
      </c>
      <c r="F198" s="1">
        <v>2679297.5843284028</v>
      </c>
      <c r="G198">
        <f>IFERROR(VLOOKUP(C198,Match!$A$2:$B$84,2,FALSE),"")</f>
        <v>5401170</v>
      </c>
    </row>
    <row r="199" spans="1:7" x14ac:dyDescent="0.2">
      <c r="A199">
        <v>2017</v>
      </c>
      <c r="C199" t="s">
        <v>43</v>
      </c>
      <c r="D199" s="1">
        <v>813422</v>
      </c>
      <c r="E199" s="1">
        <v>11604381.476012191</v>
      </c>
      <c r="F199" s="1">
        <v>12417803.476012191</v>
      </c>
      <c r="G199">
        <f>IFERROR(VLOOKUP(C199,Match!$A$2:$B$84,2,FALSE),"")</f>
        <v>5401200</v>
      </c>
    </row>
    <row r="200" spans="1:7" x14ac:dyDescent="0.2">
      <c r="A200">
        <v>2017</v>
      </c>
      <c r="C200" t="s">
        <v>44</v>
      </c>
      <c r="D200" s="1">
        <v>1146586</v>
      </c>
      <c r="E200" s="1">
        <v>16357336.009379288</v>
      </c>
      <c r="F200" s="1">
        <v>17503922.00937929</v>
      </c>
      <c r="G200">
        <f>IFERROR(VLOOKUP(C200,Match!$A$2:$B$84,2,FALSE),"")</f>
        <v>5401230</v>
      </c>
    </row>
    <row r="201" spans="1:7" x14ac:dyDescent="0.2">
      <c r="A201">
        <v>2017</v>
      </c>
      <c r="C201" t="s">
        <v>45</v>
      </c>
      <c r="D201" s="1">
        <v>215063</v>
      </c>
      <c r="E201" s="1">
        <v>3068123.666383863</v>
      </c>
      <c r="F201" s="1">
        <v>3283186.666383863</v>
      </c>
      <c r="G201">
        <f>IFERROR(VLOOKUP(C201,Match!$A$2:$B$84,2,FALSE),"")</f>
        <v>5401260</v>
      </c>
    </row>
    <row r="202" spans="1:7" x14ac:dyDescent="0.2">
      <c r="A202">
        <v>2017</v>
      </c>
      <c r="C202" t="s">
        <v>46</v>
      </c>
      <c r="D202" s="1">
        <v>141445</v>
      </c>
      <c r="E202" s="1">
        <v>2017873.5388495207</v>
      </c>
      <c r="F202" s="1">
        <v>2159318.5388495205</v>
      </c>
      <c r="G202">
        <f>IFERROR(VLOOKUP(C202,Match!$A$2:$B$84,2,FALSE),"")</f>
        <v>5401290</v>
      </c>
    </row>
    <row r="203" spans="1:7" x14ac:dyDescent="0.2">
      <c r="A203">
        <v>2017</v>
      </c>
      <c r="C203" t="s">
        <v>47</v>
      </c>
      <c r="D203" s="1">
        <v>67766</v>
      </c>
      <c r="E203" s="1">
        <v>966760.47697849944</v>
      </c>
      <c r="F203" s="1">
        <v>1034526.4769784994</v>
      </c>
      <c r="G203">
        <f>IFERROR(VLOOKUP(C203,Match!$A$2:$B$84,2,FALSE),"")</f>
        <v>5401320</v>
      </c>
    </row>
    <row r="204" spans="1:7" x14ac:dyDescent="0.2">
      <c r="A204">
        <v>2017</v>
      </c>
      <c r="C204" t="s">
        <v>48</v>
      </c>
      <c r="D204" s="1">
        <v>48268</v>
      </c>
      <c r="E204" s="1">
        <v>688597.63151173585</v>
      </c>
      <c r="F204" s="1">
        <v>736865.63151173585</v>
      </c>
      <c r="G204">
        <f>IFERROR(VLOOKUP(C204,Match!$A$2:$B$84,2,FALSE),"")</f>
        <v>5401350</v>
      </c>
    </row>
    <row r="205" spans="1:7" x14ac:dyDescent="0.2">
      <c r="A205">
        <v>2017</v>
      </c>
      <c r="C205" t="s">
        <v>49</v>
      </c>
      <c r="D205" s="1">
        <v>84618</v>
      </c>
      <c r="E205" s="1">
        <v>1207168.1937232069</v>
      </c>
      <c r="F205" s="1">
        <v>1291786.1937232069</v>
      </c>
      <c r="G205">
        <f>IFERROR(VLOOKUP(C205,Match!$A$2:$B$84,2,FALSE),"")</f>
        <v>5401380</v>
      </c>
    </row>
    <row r="206" spans="1:7" x14ac:dyDescent="0.2">
      <c r="A206">
        <v>2017</v>
      </c>
      <c r="C206" t="s">
        <v>50</v>
      </c>
      <c r="D206" s="1">
        <v>53704</v>
      </c>
      <c r="E206" s="1">
        <v>766147.73375163483</v>
      </c>
      <c r="F206" s="1">
        <v>819851.73375163483</v>
      </c>
      <c r="G206">
        <f>IFERROR(VLOOKUP(C206,Match!$A$2:$B$84,2,FALSE),"")</f>
        <v>5401410</v>
      </c>
    </row>
    <row r="207" spans="1:7" x14ac:dyDescent="0.2">
      <c r="A207">
        <v>2017</v>
      </c>
      <c r="C207" t="s">
        <v>51</v>
      </c>
      <c r="D207" s="1">
        <v>180126</v>
      </c>
      <c r="E207" s="1">
        <v>2569698.572028236</v>
      </c>
      <c r="F207" s="1">
        <v>2749824.572028236</v>
      </c>
      <c r="G207">
        <f>IFERROR(VLOOKUP(C207,Match!$A$2:$B$84,2,FALSE),"")</f>
        <v>5401440</v>
      </c>
    </row>
    <row r="208" spans="1:7" x14ac:dyDescent="0.2">
      <c r="A208">
        <v>2017</v>
      </c>
      <c r="C208" t="s">
        <v>52</v>
      </c>
      <c r="D208" s="1">
        <v>246967</v>
      </c>
      <c r="E208" s="1">
        <v>3523259.0528596272</v>
      </c>
      <c r="F208" s="1">
        <v>3770226.0528596272</v>
      </c>
      <c r="G208">
        <f>IFERROR(VLOOKUP(C208,Match!$A$2:$B$84,2,FALSE),"")</f>
        <v>5401470</v>
      </c>
    </row>
    <row r="209" spans="1:7" x14ac:dyDescent="0.2">
      <c r="A209">
        <v>2017</v>
      </c>
      <c r="C209" t="s">
        <v>53</v>
      </c>
      <c r="D209" s="1">
        <v>525779</v>
      </c>
      <c r="E209" s="1">
        <v>7500830.5548736425</v>
      </c>
      <c r="F209" s="1">
        <v>8026609.5548736425</v>
      </c>
      <c r="G209">
        <f>IFERROR(VLOOKUP(C209,Match!$A$2:$B$84,2,FALSE),"")</f>
        <v>5401500</v>
      </c>
    </row>
    <row r="210" spans="1:7" x14ac:dyDescent="0.2">
      <c r="A210">
        <v>2017</v>
      </c>
      <c r="C210" t="s">
        <v>54</v>
      </c>
      <c r="D210" s="1">
        <v>87932</v>
      </c>
      <c r="E210" s="1">
        <v>1254446.5981589349</v>
      </c>
      <c r="F210" s="1">
        <v>1342378.5981589349</v>
      </c>
      <c r="G210">
        <f>IFERROR(VLOOKUP(C210,Match!$A$2:$B$84,2,FALSE),"")</f>
        <v>5401530</v>
      </c>
    </row>
    <row r="211" spans="1:7" x14ac:dyDescent="0.2">
      <c r="A211">
        <v>2017</v>
      </c>
      <c r="C211" t="s">
        <v>55</v>
      </c>
      <c r="D211" s="1">
        <v>455801</v>
      </c>
      <c r="E211" s="1">
        <v>6502516.4775910545</v>
      </c>
      <c r="F211" s="1">
        <v>6958317.4775910545</v>
      </c>
      <c r="G211">
        <f>IFERROR(VLOOKUP(C211,Match!$A$2:$B$84,2,FALSE),"")</f>
        <v>5401560</v>
      </c>
    </row>
    <row r="212" spans="1:7" x14ac:dyDescent="0.2">
      <c r="A212">
        <v>2017</v>
      </c>
      <c r="C212" t="s">
        <v>56</v>
      </c>
      <c r="D212" s="1">
        <v>30529</v>
      </c>
      <c r="E212" s="1">
        <v>435525.87782906898</v>
      </c>
      <c r="F212" s="1">
        <v>466054.87782906898</v>
      </c>
      <c r="G212">
        <f>IFERROR(VLOOKUP(C212,Match!$A$2:$B$84,2,FALSE),"")</f>
        <v>5401590</v>
      </c>
    </row>
    <row r="213" spans="1:7" x14ac:dyDescent="0.2">
      <c r="A213">
        <v>2017</v>
      </c>
      <c r="C213" t="s">
        <v>57</v>
      </c>
      <c r="D213" s="1">
        <v>1085984</v>
      </c>
      <c r="E213" s="1">
        <v>15492785.759256443</v>
      </c>
      <c r="F213" s="1">
        <v>16578769.759256443</v>
      </c>
      <c r="G213">
        <f>IFERROR(VLOOKUP(C213,Match!$A$2:$B$84,2,FALSE),"")</f>
        <v>5401620</v>
      </c>
    </row>
    <row r="214" spans="1:7" x14ac:dyDescent="0.2">
      <c r="A214">
        <v>2017</v>
      </c>
      <c r="C214" t="s">
        <v>58</v>
      </c>
      <c r="D214" s="1">
        <v>349690</v>
      </c>
      <c r="E214" s="1">
        <v>4988718.6033008788</v>
      </c>
      <c r="F214" s="1">
        <v>5338408.6033008788</v>
      </c>
      <c r="G214">
        <f>IFERROR(VLOOKUP(C214,Match!$A$2:$B$84,2,FALSE),"")</f>
        <v>5401650</v>
      </c>
    </row>
    <row r="215" spans="1:7" x14ac:dyDescent="0.2">
      <c r="A215">
        <v>2017</v>
      </c>
      <c r="C215" t="s">
        <v>59</v>
      </c>
      <c r="D215" s="1">
        <v>59754</v>
      </c>
      <c r="E215" s="1">
        <v>852463.16940933629</v>
      </c>
      <c r="F215" s="1">
        <v>912217.16940933629</v>
      </c>
      <c r="G215">
        <f>IFERROR(VLOOKUP(C215,Match!$A$2:$B$84,2,FALSE),"")</f>
        <v>0</v>
      </c>
    </row>
    <row r="216" spans="1:7" x14ac:dyDescent="0.2">
      <c r="A216">
        <v>2017</v>
      </c>
      <c r="C216" t="s">
        <v>60</v>
      </c>
      <c r="D216" s="1">
        <v>23227</v>
      </c>
      <c r="E216" s="1">
        <v>331353.80020823289</v>
      </c>
      <c r="F216" s="1">
        <v>354580.80020823289</v>
      </c>
      <c r="G216">
        <f>IFERROR(VLOOKUP(C216,Match!$A$2:$B$84,2,FALSE),"")</f>
        <v>0</v>
      </c>
    </row>
    <row r="217" spans="1:7" x14ac:dyDescent="0.2">
      <c r="A217">
        <v>2017</v>
      </c>
      <c r="C217" t="s">
        <v>61</v>
      </c>
      <c r="D217" s="1">
        <v>108630</v>
      </c>
      <c r="E217" s="1">
        <v>1549734.141303166</v>
      </c>
      <c r="F217" s="1">
        <v>1658364.141303166</v>
      </c>
      <c r="G217">
        <f>IFERROR(VLOOKUP(C217,Match!$A$2:$B$84,2,FALSE),"")</f>
        <v>0</v>
      </c>
    </row>
    <row r="218" spans="1:7" x14ac:dyDescent="0.2">
      <c r="A218">
        <v>2017</v>
      </c>
      <c r="C218" t="s">
        <v>62</v>
      </c>
      <c r="D218" s="1">
        <v>89684</v>
      </c>
      <c r="E218" s="1">
        <v>1279446.6969073233</v>
      </c>
      <c r="F218" s="1">
        <v>1369130.6969073233</v>
      </c>
      <c r="G218">
        <f>IFERROR(VLOOKUP(C218,Match!$A$2:$B$84,2,FALSE),"")</f>
        <v>0</v>
      </c>
    </row>
    <row r="219" spans="1:7" x14ac:dyDescent="0.2">
      <c r="A219">
        <v>2017</v>
      </c>
      <c r="C219" t="s">
        <v>63</v>
      </c>
      <c r="D219" s="1">
        <v>188146</v>
      </c>
      <c r="E219" s="1">
        <v>2684113.8706433098</v>
      </c>
      <c r="F219" s="1">
        <v>2872259.8706433098</v>
      </c>
      <c r="G219">
        <f>IFERROR(VLOOKUP(C219,Match!$A$2:$B$84,2,FALSE),"")</f>
        <v>0</v>
      </c>
    </row>
    <row r="220" spans="1:7" x14ac:dyDescent="0.2">
      <c r="A220">
        <v>2017</v>
      </c>
      <c r="C220" t="s">
        <v>64</v>
      </c>
      <c r="D220" s="1">
        <v>22335</v>
      </c>
      <c r="E220" s="1">
        <v>318638.76724986889</v>
      </c>
      <c r="F220" s="1">
        <v>340973.76724986889</v>
      </c>
      <c r="G220">
        <f>IFERROR(VLOOKUP(C220,Match!$A$2:$B$84,2,FALSE),"")</f>
        <v>0</v>
      </c>
    </row>
    <row r="221" spans="1:7" x14ac:dyDescent="0.2">
      <c r="A221">
        <v>2017</v>
      </c>
      <c r="C221" t="s">
        <v>65</v>
      </c>
      <c r="D221" s="1">
        <v>355125</v>
      </c>
      <c r="E221" s="1">
        <v>5066255.7065356765</v>
      </c>
      <c r="F221" s="1">
        <v>5421380.7065356765</v>
      </c>
      <c r="G221">
        <f>IFERROR(VLOOKUP(C221,Match!$A$2:$B$84,2,FALSE),"")</f>
        <v>0</v>
      </c>
    </row>
    <row r="222" spans="1:7" x14ac:dyDescent="0.2">
      <c r="A222">
        <v>2017</v>
      </c>
      <c r="C222" t="s">
        <v>66</v>
      </c>
      <c r="D222" s="1">
        <v>31988</v>
      </c>
      <c r="E222" s="1">
        <v>456339.29494507436</v>
      </c>
      <c r="F222" s="1">
        <v>488327.29494507436</v>
      </c>
      <c r="G222">
        <f>IFERROR(VLOOKUP(C222,Match!$A$2:$B$84,2,FALSE),"")</f>
        <v>0</v>
      </c>
    </row>
    <row r="223" spans="1:7" x14ac:dyDescent="0.2">
      <c r="A223">
        <v>2017</v>
      </c>
      <c r="C223" t="s">
        <v>67</v>
      </c>
      <c r="D223" s="1">
        <v>74992</v>
      </c>
      <c r="E223" s="1">
        <v>1069846.6371759363</v>
      </c>
      <c r="F223" s="1">
        <v>1144838.6371759363</v>
      </c>
      <c r="G223">
        <f>IFERROR(VLOOKUP(C223,Match!$A$2:$B$84,2,FALSE),"")</f>
        <v>0</v>
      </c>
    </row>
    <row r="224" spans="1:7" x14ac:dyDescent="0.2">
      <c r="A224">
        <v>2017</v>
      </c>
      <c r="C224" t="s">
        <v>68</v>
      </c>
      <c r="D224" s="1">
        <v>652831</v>
      </c>
      <c r="E224" s="1">
        <v>9313368.7096547671</v>
      </c>
      <c r="F224" s="1">
        <v>9966199.7096547671</v>
      </c>
      <c r="G224">
        <f>IFERROR(VLOOKUP(C224,Match!$A$2:$B$84,2,FALSE),"")</f>
        <v>5401621</v>
      </c>
    </row>
    <row r="225" spans="1:7" x14ac:dyDescent="0.2">
      <c r="A225">
        <v>2017</v>
      </c>
      <c r="C225" t="s">
        <v>69</v>
      </c>
      <c r="D225" s="1">
        <v>112444</v>
      </c>
      <c r="E225" s="1">
        <v>1604142.0035190468</v>
      </c>
      <c r="F225" s="1">
        <v>1716586.0035190468</v>
      </c>
      <c r="G225">
        <f>IFERROR(VLOOKUP(C225,Match!$A$2:$B$84,2,FALSE),"")</f>
        <v>0</v>
      </c>
    </row>
    <row r="226" spans="1:7" x14ac:dyDescent="0.2">
      <c r="A226">
        <v>2017</v>
      </c>
      <c r="C226" t="s">
        <v>70</v>
      </c>
      <c r="D226" s="1">
        <v>1099773</v>
      </c>
      <c r="E226" s="1">
        <v>15689499.798963154</v>
      </c>
      <c r="F226" s="1">
        <v>16789272.798963152</v>
      </c>
      <c r="G226">
        <f>IFERROR(VLOOKUP(C226,Match!$A$2:$B$84,2,FALSE),"")</f>
        <v>0</v>
      </c>
    </row>
    <row r="227" spans="1:7" x14ac:dyDescent="0.2">
      <c r="A227">
        <v>2017</v>
      </c>
      <c r="C227" t="s">
        <v>71</v>
      </c>
      <c r="D227" s="1">
        <v>72625</v>
      </c>
      <c r="E227" s="1">
        <v>1036082.2050097453</v>
      </c>
      <c r="F227" s="1">
        <v>1108707.2050097454</v>
      </c>
      <c r="G227">
        <f>IFERROR(VLOOKUP(C227,Match!$A$2:$B$84,2,FALSE),"")</f>
        <v>0</v>
      </c>
    </row>
    <row r="228" spans="1:7" x14ac:dyDescent="0.2">
      <c r="A228">
        <v>2017</v>
      </c>
      <c r="C228" t="s">
        <v>72</v>
      </c>
      <c r="D228" s="1">
        <v>31812</v>
      </c>
      <c r="E228" s="1">
        <v>453841.48497074563</v>
      </c>
      <c r="F228" s="1">
        <v>485653.48497074563</v>
      </c>
      <c r="G228">
        <f>IFERROR(VLOOKUP(C228,Match!$A$2:$B$84,2,FALSE),"")</f>
        <v>0</v>
      </c>
    </row>
    <row r="229" spans="1:7" x14ac:dyDescent="0.2">
      <c r="A229">
        <v>2017</v>
      </c>
      <c r="C229" t="s">
        <v>73</v>
      </c>
      <c r="D229" s="1">
        <v>13864</v>
      </c>
      <c r="E229" s="1">
        <v>197786.95812500585</v>
      </c>
      <c r="F229" s="1">
        <v>211650.95812500585</v>
      </c>
      <c r="G229">
        <f>IFERROR(VLOOKUP(C229,Match!$A$2:$B$84,2,FALSE),"")</f>
        <v>0</v>
      </c>
    </row>
    <row r="230" spans="1:7" x14ac:dyDescent="0.2">
      <c r="A230">
        <v>2017</v>
      </c>
      <c r="C230" t="s">
        <v>74</v>
      </c>
      <c r="D230" s="1">
        <v>9940</v>
      </c>
      <c r="E230" s="1">
        <v>141809.21529698151</v>
      </c>
      <c r="F230" s="1">
        <v>151749.21529698151</v>
      </c>
      <c r="G230">
        <f>IFERROR(VLOOKUP(C230,Match!$A$2:$B$84,2,FALSE),"")</f>
        <v>0</v>
      </c>
    </row>
    <row r="231" spans="1:7" x14ac:dyDescent="0.2">
      <c r="A231">
        <v>2017</v>
      </c>
      <c r="C231" t="s">
        <v>75</v>
      </c>
      <c r="D231" s="1">
        <v>7501</v>
      </c>
      <c r="E231" s="1">
        <v>107010.861727796</v>
      </c>
      <c r="F231" s="1">
        <v>114511.861727796</v>
      </c>
      <c r="G231">
        <f>IFERROR(VLOOKUP(C231,Match!$A$2:$B$84,2,FALSE),"")</f>
        <v>0</v>
      </c>
    </row>
    <row r="232" spans="1:7" x14ac:dyDescent="0.2">
      <c r="A232">
        <v>2017</v>
      </c>
      <c r="C232" t="s">
        <v>76</v>
      </c>
      <c r="D232" s="1">
        <v>8548</v>
      </c>
      <c r="E232" s="1">
        <v>121950.72555336361</v>
      </c>
      <c r="F232" s="1">
        <v>130498.72555336361</v>
      </c>
      <c r="G232">
        <f>IFERROR(VLOOKUP(C232,Match!$A$2:$B$84,2,FALSE),"")</f>
        <v>0</v>
      </c>
    </row>
    <row r="233" spans="1:7" x14ac:dyDescent="0.2">
      <c r="A233">
        <v>2017</v>
      </c>
      <c r="C233" t="s">
        <v>77</v>
      </c>
      <c r="D233" s="1">
        <v>38569</v>
      </c>
      <c r="E233" s="1">
        <v>550229.15455636929</v>
      </c>
      <c r="F233" s="1">
        <v>588798.15455636929</v>
      </c>
      <c r="G233">
        <f>IFERROR(VLOOKUP(C233,Match!$A$2:$B$84,2,FALSE),"")</f>
        <v>0</v>
      </c>
    </row>
    <row r="234" spans="1:7" x14ac:dyDescent="0.2">
      <c r="A234">
        <v>2017</v>
      </c>
      <c r="C234" t="s">
        <v>78</v>
      </c>
      <c r="D234" s="1">
        <v>17065</v>
      </c>
      <c r="E234" s="1">
        <v>243456.4849332865</v>
      </c>
      <c r="F234" s="1">
        <v>260521.4849332865</v>
      </c>
      <c r="G234">
        <f>IFERROR(VLOOKUP(C234,Match!$A$2:$B$84,2,FALSE),"")</f>
        <v>0</v>
      </c>
    </row>
    <row r="235" spans="1:7" x14ac:dyDescent="0.2">
      <c r="A235">
        <v>2017</v>
      </c>
      <c r="C235" t="s">
        <v>79</v>
      </c>
      <c r="D235" s="1">
        <v>10717</v>
      </c>
      <c r="E235" s="1">
        <v>152889.37261769586</v>
      </c>
      <c r="F235" s="1">
        <v>163606.37261769586</v>
      </c>
      <c r="G235">
        <f>IFERROR(VLOOKUP(C235,Match!$A$2:$B$84,2,FALSE),"")</f>
        <v>0</v>
      </c>
    </row>
    <row r="236" spans="1:7" x14ac:dyDescent="0.2">
      <c r="A236">
        <v>2017</v>
      </c>
      <c r="C236" t="s">
        <v>80</v>
      </c>
      <c r="D236" s="1">
        <v>2240596</v>
      </c>
      <c r="E236" s="1">
        <v>31964615.061281413</v>
      </c>
      <c r="F236" s="1">
        <v>34205211.061281413</v>
      </c>
      <c r="G236">
        <f>IFERROR(VLOOKUP(C236,Match!$A$2:$B$84,2,FALSE),"")</f>
        <v>0</v>
      </c>
    </row>
    <row r="237" spans="1:7" x14ac:dyDescent="0.2">
      <c r="A237">
        <v>2017</v>
      </c>
      <c r="C237" t="s">
        <v>81</v>
      </c>
      <c r="D237" s="1">
        <v>22918</v>
      </c>
      <c r="E237" s="1">
        <v>326945.13548912929</v>
      </c>
      <c r="F237" s="1">
        <v>349863.13548912929</v>
      </c>
      <c r="G237">
        <f>IFERROR(VLOOKUP(C237,Match!$A$2:$B$84,2,FALSE),"")</f>
        <v>0</v>
      </c>
    </row>
    <row r="238" spans="1:7" x14ac:dyDescent="0.2">
      <c r="A238">
        <v>2017</v>
      </c>
      <c r="C238" t="s">
        <v>82</v>
      </c>
      <c r="D238" s="1">
        <v>44167</v>
      </c>
      <c r="E238" s="1">
        <v>630095.08069918037</v>
      </c>
      <c r="F238" s="1">
        <v>674262.08069918037</v>
      </c>
      <c r="G238">
        <f>IFERROR(VLOOKUP(C238,Match!$A$2:$B$84,2,FALSE),"")</f>
        <v>0</v>
      </c>
    </row>
    <row r="239" spans="1:7" x14ac:dyDescent="0.2">
      <c r="A239">
        <v>2018</v>
      </c>
      <c r="C239" t="s">
        <v>0</v>
      </c>
      <c r="D239" s="1">
        <v>91307</v>
      </c>
      <c r="E239" s="1">
        <v>1482291.074829052</v>
      </c>
      <c r="F239" s="1">
        <v>1573598.074829052</v>
      </c>
      <c r="G239">
        <f>IFERROR(VLOOKUP(C239,Match!$A$2:$B$84,2,FALSE),"")</f>
        <v>5400030</v>
      </c>
    </row>
    <row r="240" spans="1:7" x14ac:dyDescent="0.2">
      <c r="A240">
        <v>2018</v>
      </c>
      <c r="C240" t="s">
        <v>1</v>
      </c>
      <c r="D240" s="1">
        <v>2128375</v>
      </c>
      <c r="E240" s="1">
        <v>34552467.643891819</v>
      </c>
      <c r="F240" s="1">
        <v>36680842.643891819</v>
      </c>
      <c r="G240">
        <f>IFERROR(VLOOKUP(C240,Match!$A$2:$B$84,2,FALSE),"")</f>
        <v>5400060</v>
      </c>
    </row>
    <row r="241" spans="1:7" x14ac:dyDescent="0.2">
      <c r="A241">
        <v>2018</v>
      </c>
      <c r="C241" t="s">
        <v>2</v>
      </c>
      <c r="D241" s="1">
        <v>15642</v>
      </c>
      <c r="E241" s="1">
        <v>253932.41137684404</v>
      </c>
      <c r="F241" s="1">
        <v>269574.41137684404</v>
      </c>
      <c r="G241">
        <f>IFERROR(VLOOKUP(C241,Match!$A$2:$B$84,2,FALSE),"")</f>
        <v>5400090</v>
      </c>
    </row>
    <row r="242" spans="1:7" x14ac:dyDescent="0.2">
      <c r="A242">
        <v>2018</v>
      </c>
      <c r="C242" t="s">
        <v>3</v>
      </c>
      <c r="D242" s="1">
        <v>118410</v>
      </c>
      <c r="E242" s="1">
        <v>1922299.093363937</v>
      </c>
      <c r="F242" s="1">
        <v>2040709.093363937</v>
      </c>
      <c r="G242">
        <f>IFERROR(VLOOKUP(C242,Match!$A$2:$B$84,2,FALSE),"")</f>
        <v>5400120</v>
      </c>
    </row>
    <row r="243" spans="1:7" x14ac:dyDescent="0.2">
      <c r="A243">
        <v>2018</v>
      </c>
      <c r="C243" t="s">
        <v>4</v>
      </c>
      <c r="D243" s="1">
        <v>374823</v>
      </c>
      <c r="E243" s="1">
        <v>6084945.0145817865</v>
      </c>
      <c r="F243" s="1">
        <v>6459768.0145817865</v>
      </c>
      <c r="G243">
        <f>IFERROR(VLOOKUP(C243,Match!$A$2:$B$84,2,FALSE),"")</f>
        <v>5400150</v>
      </c>
    </row>
    <row r="244" spans="1:7" x14ac:dyDescent="0.2">
      <c r="A244">
        <v>2018</v>
      </c>
      <c r="C244" t="s">
        <v>5</v>
      </c>
      <c r="D244" s="1">
        <v>1126701</v>
      </c>
      <c r="E244" s="1">
        <v>18291085.885152973</v>
      </c>
      <c r="F244" s="1">
        <v>19417786.885152973</v>
      </c>
      <c r="G244">
        <f>IFERROR(VLOOKUP(C244,Match!$A$2:$B$84,2,FALSE),"")</f>
        <v>5400180</v>
      </c>
    </row>
    <row r="245" spans="1:7" x14ac:dyDescent="0.2">
      <c r="A245">
        <v>2018</v>
      </c>
      <c r="C245" t="s">
        <v>6</v>
      </c>
      <c r="D245" s="1">
        <v>57012</v>
      </c>
      <c r="E245" s="1">
        <v>925548.63567023608</v>
      </c>
      <c r="F245" s="1">
        <v>982560.63567023608</v>
      </c>
      <c r="G245">
        <f>IFERROR(VLOOKUP(C245,Match!$A$2:$B$84,2,FALSE),"")</f>
        <v>5400210</v>
      </c>
    </row>
    <row r="246" spans="1:7" x14ac:dyDescent="0.2">
      <c r="A246">
        <v>2018</v>
      </c>
      <c r="C246" t="s">
        <v>7</v>
      </c>
      <c r="D246" s="1">
        <v>135128</v>
      </c>
      <c r="E246" s="1">
        <v>2193699.8899852256</v>
      </c>
      <c r="F246" s="1">
        <v>2328827.8899852256</v>
      </c>
      <c r="G246">
        <f>IFERROR(VLOOKUP(C246,Match!$A$2:$B$84,2,FALSE),"")</f>
        <v>5400240</v>
      </c>
    </row>
    <row r="247" spans="1:7" x14ac:dyDescent="0.2">
      <c r="A247">
        <v>2018</v>
      </c>
      <c r="C247" t="s">
        <v>8</v>
      </c>
      <c r="D247" s="1">
        <v>293778</v>
      </c>
      <c r="E247" s="1">
        <v>4769244.4249073565</v>
      </c>
      <c r="F247" s="1">
        <v>5063022.4249073565</v>
      </c>
      <c r="G247">
        <f>IFERROR(VLOOKUP(C247,Match!$A$2:$B$84,2,FALSE),"")</f>
        <v>5400270</v>
      </c>
    </row>
    <row r="248" spans="1:7" x14ac:dyDescent="0.2">
      <c r="A248">
        <v>2018</v>
      </c>
      <c r="C248" t="s">
        <v>9</v>
      </c>
      <c r="D248" s="1">
        <v>460921</v>
      </c>
      <c r="E248" s="1">
        <v>7482689.6164226495</v>
      </c>
      <c r="F248" s="1">
        <v>7943610.6164226495</v>
      </c>
      <c r="G248">
        <f>IFERROR(VLOOKUP(C248,Match!$A$2:$B$84,2,FALSE),"")</f>
        <v>5400300</v>
      </c>
    </row>
    <row r="249" spans="1:7" x14ac:dyDescent="0.2">
      <c r="A249">
        <v>2018</v>
      </c>
      <c r="C249" t="s">
        <v>10</v>
      </c>
      <c r="D249" s="1">
        <v>53818</v>
      </c>
      <c r="E249" s="1">
        <v>873693.04450753238</v>
      </c>
      <c r="F249" s="1">
        <v>927511.04450753238</v>
      </c>
      <c r="G249">
        <f>IFERROR(VLOOKUP(C249,Match!$A$2:$B$84,2,FALSE),"")</f>
        <v>5400330</v>
      </c>
    </row>
    <row r="250" spans="1:7" x14ac:dyDescent="0.2">
      <c r="A250">
        <v>2018</v>
      </c>
      <c r="C250" t="s">
        <v>11</v>
      </c>
      <c r="D250" s="1">
        <v>101376</v>
      </c>
      <c r="E250" s="1">
        <v>1645751.4839564795</v>
      </c>
      <c r="F250" s="1">
        <v>1747127.4839564795</v>
      </c>
      <c r="G250">
        <f>IFERROR(VLOOKUP(C250,Match!$A$2:$B$84,2,FALSE),"")</f>
        <v>5400360</v>
      </c>
    </row>
    <row r="251" spans="1:7" x14ac:dyDescent="0.2">
      <c r="A251">
        <v>2018</v>
      </c>
      <c r="C251" t="s">
        <v>12</v>
      </c>
      <c r="D251" s="1">
        <v>439243</v>
      </c>
      <c r="E251" s="1">
        <v>7130756.6102041574</v>
      </c>
      <c r="F251" s="1">
        <v>7569999.6102041574</v>
      </c>
      <c r="G251">
        <f>IFERROR(VLOOKUP(C251,Match!$A$2:$B$84,2,FALSE),"")</f>
        <v>5400390</v>
      </c>
    </row>
    <row r="252" spans="1:7" x14ac:dyDescent="0.2">
      <c r="A252">
        <v>2018</v>
      </c>
      <c r="C252" t="s">
        <v>13</v>
      </c>
      <c r="D252" s="1">
        <v>105950</v>
      </c>
      <c r="E252" s="1">
        <v>1720007.3313723297</v>
      </c>
      <c r="F252" s="1">
        <v>1825957.3313723297</v>
      </c>
      <c r="G252">
        <f>IFERROR(VLOOKUP(C252,Match!$A$2:$B$84,2,FALSE),"")</f>
        <v>5400420</v>
      </c>
    </row>
    <row r="253" spans="1:7" x14ac:dyDescent="0.2">
      <c r="A253">
        <v>2018</v>
      </c>
      <c r="C253" t="s">
        <v>14</v>
      </c>
      <c r="D253" s="1">
        <v>371981</v>
      </c>
      <c r="E253" s="1">
        <v>6038816.221029805</v>
      </c>
      <c r="F253" s="1">
        <v>6410797.221029805</v>
      </c>
      <c r="G253">
        <f>IFERROR(VLOOKUP(C253,Match!$A$2:$B$84,2,FALSE),"")</f>
        <v>5400450</v>
      </c>
    </row>
    <row r="254" spans="1:7" x14ac:dyDescent="0.2">
      <c r="A254">
        <v>2018</v>
      </c>
      <c r="C254" t="s">
        <v>15</v>
      </c>
      <c r="D254" s="1">
        <v>26378</v>
      </c>
      <c r="E254" s="1">
        <v>428235.0106472394</v>
      </c>
      <c r="F254" s="1">
        <v>454613.0106472394</v>
      </c>
      <c r="G254">
        <f>IFERROR(VLOOKUP(C254,Match!$A$2:$B$84,2,FALSE),"")</f>
        <v>5400480</v>
      </c>
    </row>
    <row r="255" spans="1:7" x14ac:dyDescent="0.2">
      <c r="A255">
        <v>2018</v>
      </c>
      <c r="C255" t="s">
        <v>16</v>
      </c>
      <c r="D255" s="1">
        <v>1445594</v>
      </c>
      <c r="E255" s="1">
        <v>23468058.120197702</v>
      </c>
      <c r="F255" s="1">
        <v>24913652.120197702</v>
      </c>
      <c r="G255">
        <f>IFERROR(VLOOKUP(C255,Match!$A$2:$B$84,2,FALSE),"")</f>
        <v>5400510</v>
      </c>
    </row>
    <row r="256" spans="1:7" x14ac:dyDescent="0.2">
      <c r="A256">
        <v>2018</v>
      </c>
      <c r="C256" t="s">
        <v>17</v>
      </c>
      <c r="D256" s="1">
        <v>389441</v>
      </c>
      <c r="E256" s="1">
        <v>6322264.8078240538</v>
      </c>
      <c r="F256" s="1">
        <v>6711705.8078240538</v>
      </c>
      <c r="G256">
        <f>IFERROR(VLOOKUP(C256,Match!$A$2:$B$84,2,FALSE),"")</f>
        <v>5400540</v>
      </c>
    </row>
    <row r="257" spans="1:7" x14ac:dyDescent="0.2">
      <c r="A257">
        <v>2018</v>
      </c>
      <c r="C257" t="s">
        <v>18</v>
      </c>
      <c r="D257" s="1">
        <v>880777</v>
      </c>
      <c r="E257" s="1">
        <v>14298710.089687569</v>
      </c>
      <c r="F257" s="1">
        <v>15179487.089687569</v>
      </c>
      <c r="G257">
        <f>IFERROR(VLOOKUP(C257,Match!$A$2:$B$84,2,FALSE),"")</f>
        <v>5400570</v>
      </c>
    </row>
    <row r="258" spans="1:7" x14ac:dyDescent="0.2">
      <c r="A258">
        <v>2018</v>
      </c>
      <c r="C258" t="s">
        <v>19</v>
      </c>
      <c r="D258" s="1">
        <v>1679726</v>
      </c>
      <c r="E258" s="1">
        <v>27268999.553941429</v>
      </c>
      <c r="F258" s="1">
        <v>28948725.553941429</v>
      </c>
      <c r="G258">
        <f>IFERROR(VLOOKUP(C258,Match!$A$2:$B$84,2,FALSE),"")</f>
        <v>5400600</v>
      </c>
    </row>
    <row r="259" spans="1:7" x14ac:dyDescent="0.2">
      <c r="A259">
        <v>2018</v>
      </c>
      <c r="C259" t="s">
        <v>20</v>
      </c>
      <c r="D259" s="1">
        <v>166593</v>
      </c>
      <c r="E259" s="1">
        <v>2704512.2672425653</v>
      </c>
      <c r="F259" s="1">
        <v>2871105.2672425653</v>
      </c>
      <c r="G259">
        <f>IFERROR(VLOOKUP(C259,Match!$A$2:$B$84,2,FALSE),"")</f>
        <v>5400630</v>
      </c>
    </row>
    <row r="260" spans="1:7" x14ac:dyDescent="0.2">
      <c r="A260">
        <v>2018</v>
      </c>
      <c r="C260" t="s">
        <v>21</v>
      </c>
      <c r="D260" s="1">
        <v>214372</v>
      </c>
      <c r="E260" s="1">
        <v>3480159.086527565</v>
      </c>
      <c r="F260" s="1">
        <v>3694531.086527565</v>
      </c>
      <c r="G260">
        <f>IFERROR(VLOOKUP(C260,Match!$A$2:$B$84,2,FALSE),"")</f>
        <v>5400660</v>
      </c>
    </row>
    <row r="261" spans="1:7" x14ac:dyDescent="0.2">
      <c r="A261">
        <v>2018</v>
      </c>
      <c r="C261" t="s">
        <v>22</v>
      </c>
      <c r="D261" s="1">
        <v>399390</v>
      </c>
      <c r="E261" s="1">
        <v>6483770.3207003549</v>
      </c>
      <c r="F261" s="1">
        <v>6883160.3207003549</v>
      </c>
      <c r="G261">
        <f>IFERROR(VLOOKUP(C261,Match!$A$2:$B$84,2,FALSE),"")</f>
        <v>5400690</v>
      </c>
    </row>
    <row r="262" spans="1:7" x14ac:dyDescent="0.2">
      <c r="A262">
        <v>2018</v>
      </c>
      <c r="C262" t="s">
        <v>23</v>
      </c>
      <c r="D262" s="1">
        <v>794493</v>
      </c>
      <c r="E262" s="1">
        <v>12897958.092835207</v>
      </c>
      <c r="F262" s="1">
        <v>13692451.092835207</v>
      </c>
      <c r="G262">
        <f>IFERROR(VLOOKUP(C262,Match!$A$2:$B$84,2,FALSE),"")</f>
        <v>5400720</v>
      </c>
    </row>
    <row r="263" spans="1:7" x14ac:dyDescent="0.2">
      <c r="A263">
        <v>2018</v>
      </c>
      <c r="C263" t="s">
        <v>24</v>
      </c>
      <c r="D263" s="1">
        <v>960303</v>
      </c>
      <c r="E263" s="1">
        <v>15589750.324318489</v>
      </c>
      <c r="F263" s="1">
        <v>16550053.324318489</v>
      </c>
      <c r="G263">
        <f>IFERROR(VLOOKUP(C263,Match!$A$2:$B$84,2,FALSE),"")</f>
        <v>5400750</v>
      </c>
    </row>
    <row r="264" spans="1:7" x14ac:dyDescent="0.2">
      <c r="A264">
        <v>2018</v>
      </c>
      <c r="C264" t="s">
        <v>25</v>
      </c>
      <c r="D264" s="1">
        <v>279136</v>
      </c>
      <c r="E264" s="1">
        <v>4531543.3784910403</v>
      </c>
      <c r="F264" s="1">
        <v>4810679.3784910403</v>
      </c>
      <c r="G264">
        <f>IFERROR(VLOOKUP(C264,Match!$A$2:$B$84,2,FALSE),"")</f>
        <v>5400780</v>
      </c>
    </row>
    <row r="265" spans="1:7" x14ac:dyDescent="0.2">
      <c r="A265">
        <v>2018</v>
      </c>
      <c r="C265" t="s">
        <v>30</v>
      </c>
      <c r="D265" s="1">
        <v>307992</v>
      </c>
      <c r="E265" s="1">
        <v>4999997.8635559948</v>
      </c>
      <c r="F265" s="1">
        <v>5307989.8635559948</v>
      </c>
      <c r="G265">
        <f>IFERROR(VLOOKUP(C265,Match!$A$2:$B$84,2,FALSE),"")</f>
        <v>5400810</v>
      </c>
    </row>
    <row r="266" spans="1:7" x14ac:dyDescent="0.2">
      <c r="A266">
        <v>2018</v>
      </c>
      <c r="C266" t="s">
        <v>31</v>
      </c>
      <c r="D266" s="1">
        <v>622395</v>
      </c>
      <c r="E266" s="1">
        <v>10104089.162611447</v>
      </c>
      <c r="F266" s="1">
        <v>10726484.162611447</v>
      </c>
      <c r="G266">
        <f>IFERROR(VLOOKUP(C266,Match!$A$2:$B$84,2,FALSE),"")</f>
        <v>5400840</v>
      </c>
    </row>
    <row r="267" spans="1:7" x14ac:dyDescent="0.2">
      <c r="A267">
        <v>2018</v>
      </c>
      <c r="C267" t="s">
        <v>32</v>
      </c>
      <c r="D267" s="1">
        <v>370887</v>
      </c>
      <c r="E267" s="1">
        <v>6021057.8433730844</v>
      </c>
      <c r="F267" s="1">
        <v>6391944.8433730844</v>
      </c>
      <c r="G267">
        <f>IFERROR(VLOOKUP(C267,Match!$A$2:$B$84,2,FALSE),"")</f>
        <v>5400870</v>
      </c>
    </row>
    <row r="268" spans="1:7" x14ac:dyDescent="0.2">
      <c r="A268">
        <v>2018</v>
      </c>
      <c r="C268" t="s">
        <v>33</v>
      </c>
      <c r="D268" s="1">
        <v>238194</v>
      </c>
      <c r="E268" s="1">
        <v>3866890.9720922871</v>
      </c>
      <c r="F268" s="1">
        <v>4105084.9720922871</v>
      </c>
      <c r="G268">
        <f>IFERROR(VLOOKUP(C268,Match!$A$2:$B$84,2,FALSE),"")</f>
        <v>5400900</v>
      </c>
    </row>
    <row r="269" spans="1:7" x14ac:dyDescent="0.2">
      <c r="A269">
        <v>2018</v>
      </c>
      <c r="C269" t="s">
        <v>34</v>
      </c>
      <c r="D269" s="1">
        <v>1442250</v>
      </c>
      <c r="E269" s="1">
        <v>23413775.118848052</v>
      </c>
      <c r="F269" s="1">
        <v>24856025.118848052</v>
      </c>
      <c r="G269">
        <f>IFERROR(VLOOKUP(C269,Match!$A$2:$B$84,2,FALSE),"")</f>
        <v>5400930</v>
      </c>
    </row>
    <row r="270" spans="1:7" x14ac:dyDescent="0.2">
      <c r="A270">
        <v>2018</v>
      </c>
      <c r="C270" t="s">
        <v>35</v>
      </c>
      <c r="D270" s="1">
        <v>116727</v>
      </c>
      <c r="E270" s="1">
        <v>1894965.9661020879</v>
      </c>
      <c r="F270" s="1">
        <v>2011692.9661020879</v>
      </c>
      <c r="G270">
        <f>IFERROR(VLOOKUP(C270,Match!$A$2:$B$84,2,FALSE),"")</f>
        <v>5400960</v>
      </c>
    </row>
    <row r="271" spans="1:7" x14ac:dyDescent="0.2">
      <c r="A271">
        <v>2018</v>
      </c>
      <c r="C271" t="s">
        <v>36</v>
      </c>
      <c r="D271" s="1">
        <v>180102</v>
      </c>
      <c r="E271" s="1">
        <v>2923813.1106697596</v>
      </c>
      <c r="F271" s="1">
        <v>3103915.1106697596</v>
      </c>
      <c r="G271">
        <f>IFERROR(VLOOKUP(C271,Match!$A$2:$B$84,2,FALSE),"")</f>
        <v>5400990</v>
      </c>
    </row>
    <row r="272" spans="1:7" x14ac:dyDescent="0.2">
      <c r="A272">
        <v>2018</v>
      </c>
      <c r="C272" t="s">
        <v>37</v>
      </c>
      <c r="D272" s="1">
        <v>228705</v>
      </c>
      <c r="E272" s="1">
        <v>3712836.0011734073</v>
      </c>
      <c r="F272" s="1">
        <v>3941541.0011734073</v>
      </c>
      <c r="G272">
        <f>IFERROR(VLOOKUP(C272,Match!$A$2:$B$84,2,FALSE),"")</f>
        <v>5401020</v>
      </c>
    </row>
    <row r="273" spans="1:7" x14ac:dyDescent="0.2">
      <c r="A273">
        <v>2018</v>
      </c>
      <c r="C273" t="s">
        <v>38</v>
      </c>
      <c r="D273" s="1">
        <v>666637</v>
      </c>
      <c r="E273" s="1">
        <v>10822322.904519601</v>
      </c>
      <c r="F273" s="1">
        <v>11488959.904519601</v>
      </c>
      <c r="G273">
        <f>IFERROR(VLOOKUP(C273,Match!$A$2:$B$84,2,FALSE),"")</f>
        <v>5401050</v>
      </c>
    </row>
    <row r="274" spans="1:7" x14ac:dyDescent="0.2">
      <c r="A274">
        <v>2018</v>
      </c>
      <c r="C274" t="s">
        <v>39</v>
      </c>
      <c r="D274" s="1">
        <v>18799</v>
      </c>
      <c r="E274" s="1">
        <v>305192.80758803262</v>
      </c>
      <c r="F274" s="1">
        <v>323991.80758803262</v>
      </c>
      <c r="G274">
        <f>IFERROR(VLOOKUP(C274,Match!$A$2:$B$84,2,FALSE),"")</f>
        <v>5401080</v>
      </c>
    </row>
    <row r="275" spans="1:7" x14ac:dyDescent="0.2">
      <c r="A275">
        <v>2018</v>
      </c>
      <c r="C275" t="s">
        <v>40</v>
      </c>
      <c r="D275" s="1">
        <v>199721</v>
      </c>
      <c r="E275" s="1">
        <v>3242304.9388416302</v>
      </c>
      <c r="F275" s="1">
        <v>3442025.9388416302</v>
      </c>
      <c r="G275">
        <f>IFERROR(VLOOKUP(C275,Match!$A$2:$B$84,2,FALSE),"")</f>
        <v>5401110</v>
      </c>
    </row>
    <row r="276" spans="1:7" x14ac:dyDescent="0.2">
      <c r="A276">
        <v>2018</v>
      </c>
      <c r="C276" t="s">
        <v>41</v>
      </c>
      <c r="D276" s="1">
        <v>51727</v>
      </c>
      <c r="E276" s="1">
        <v>839748.9322711688</v>
      </c>
      <c r="F276" s="1">
        <v>891475.9322711688</v>
      </c>
      <c r="G276">
        <f>IFERROR(VLOOKUP(C276,Match!$A$2:$B$84,2,FALSE),"")</f>
        <v>5401140</v>
      </c>
    </row>
    <row r="277" spans="1:7" x14ac:dyDescent="0.2">
      <c r="A277">
        <v>2018</v>
      </c>
      <c r="C277" t="s">
        <v>42</v>
      </c>
      <c r="D277" s="1">
        <v>78623</v>
      </c>
      <c r="E277" s="1">
        <v>1276381.512747468</v>
      </c>
      <c r="F277" s="1">
        <v>1355004.512747468</v>
      </c>
      <c r="G277">
        <f>IFERROR(VLOOKUP(C277,Match!$A$2:$B$84,2,FALSE),"")</f>
        <v>5401170</v>
      </c>
    </row>
    <row r="278" spans="1:7" x14ac:dyDescent="0.2">
      <c r="A278">
        <v>2018</v>
      </c>
      <c r="C278" t="s">
        <v>43</v>
      </c>
      <c r="D278" s="1">
        <v>912366</v>
      </c>
      <c r="E278" s="1">
        <v>14811521.993576923</v>
      </c>
      <c r="F278" s="1">
        <v>15723887.993576923</v>
      </c>
      <c r="G278">
        <f>IFERROR(VLOOKUP(C278,Match!$A$2:$B$84,2,FALSE),"")</f>
        <v>5401200</v>
      </c>
    </row>
    <row r="279" spans="1:7" x14ac:dyDescent="0.2">
      <c r="A279">
        <v>2018</v>
      </c>
      <c r="C279" t="s">
        <v>44</v>
      </c>
      <c r="D279" s="1">
        <v>769270</v>
      </c>
      <c r="E279" s="1">
        <v>12488474.118097214</v>
      </c>
      <c r="F279" s="1">
        <v>13257744.118097214</v>
      </c>
      <c r="G279">
        <f>IFERROR(VLOOKUP(C279,Match!$A$2:$B$84,2,FALSE),"")</f>
        <v>5401230</v>
      </c>
    </row>
    <row r="280" spans="1:7" x14ac:dyDescent="0.2">
      <c r="A280">
        <v>2018</v>
      </c>
      <c r="C280" t="s">
        <v>45</v>
      </c>
      <c r="D280" s="1">
        <v>194269</v>
      </c>
      <c r="E280" s="1">
        <v>3153803.042970302</v>
      </c>
      <c r="F280" s="1">
        <v>3348072.042970302</v>
      </c>
      <c r="G280">
        <f>IFERROR(VLOOKUP(C280,Match!$A$2:$B$84,2,FALSE),"")</f>
        <v>5401260</v>
      </c>
    </row>
    <row r="281" spans="1:7" x14ac:dyDescent="0.2">
      <c r="A281">
        <v>2018</v>
      </c>
      <c r="C281" t="s">
        <v>46</v>
      </c>
      <c r="D281" s="1">
        <v>169377</v>
      </c>
      <c r="E281" s="1">
        <v>2749694.0329229068</v>
      </c>
      <c r="F281" s="1">
        <v>2919071.0329229068</v>
      </c>
      <c r="G281">
        <f>IFERROR(VLOOKUP(C281,Match!$A$2:$B$84,2,FALSE),"")</f>
        <v>5401290</v>
      </c>
    </row>
    <row r="282" spans="1:7" x14ac:dyDescent="0.2">
      <c r="A282">
        <v>2018</v>
      </c>
      <c r="C282" t="s">
        <v>47</v>
      </c>
      <c r="D282" s="1">
        <v>63578</v>
      </c>
      <c r="E282" s="1">
        <v>1032145.5319914476</v>
      </c>
      <c r="F282" s="1">
        <v>1095723.5319914476</v>
      </c>
      <c r="G282">
        <f>IFERROR(VLOOKUP(C282,Match!$A$2:$B$84,2,FALSE),"")</f>
        <v>5401320</v>
      </c>
    </row>
    <row r="283" spans="1:7" x14ac:dyDescent="0.2">
      <c r="A283">
        <v>2018</v>
      </c>
      <c r="C283" t="s">
        <v>48</v>
      </c>
      <c r="D283" s="1">
        <v>16610</v>
      </c>
      <c r="E283" s="1">
        <v>269644.63202066679</v>
      </c>
      <c r="F283" s="1">
        <v>286254.63202066679</v>
      </c>
      <c r="G283">
        <f>IFERROR(VLOOKUP(C283,Match!$A$2:$B$84,2,FALSE),"")</f>
        <v>5401350</v>
      </c>
    </row>
    <row r="284" spans="1:7" x14ac:dyDescent="0.2">
      <c r="A284">
        <v>2018</v>
      </c>
      <c r="C284" t="s">
        <v>49</v>
      </c>
      <c r="D284" s="1">
        <v>150309</v>
      </c>
      <c r="E284" s="1">
        <v>2440150.3391507254</v>
      </c>
      <c r="F284" s="1">
        <v>2590459.3391507254</v>
      </c>
      <c r="G284">
        <f>IFERROR(VLOOKUP(C284,Match!$A$2:$B$84,2,FALSE),"")</f>
        <v>5401380</v>
      </c>
    </row>
    <row r="285" spans="1:7" x14ac:dyDescent="0.2">
      <c r="A285">
        <v>2018</v>
      </c>
      <c r="C285" t="s">
        <v>50</v>
      </c>
      <c r="D285" s="1">
        <v>25102</v>
      </c>
      <c r="E285" s="1">
        <v>407513.86835990462</v>
      </c>
      <c r="F285" s="1">
        <v>432615.86835990462</v>
      </c>
      <c r="G285">
        <f>IFERROR(VLOOKUP(C285,Match!$A$2:$B$84,2,FALSE),"")</f>
        <v>5401410</v>
      </c>
    </row>
    <row r="286" spans="1:7" x14ac:dyDescent="0.2">
      <c r="A286">
        <v>2018</v>
      </c>
      <c r="C286" t="s">
        <v>51</v>
      </c>
      <c r="D286" s="1">
        <v>151755</v>
      </c>
      <c r="E286" s="1">
        <v>2463619.3042912069</v>
      </c>
      <c r="F286" s="1">
        <v>2615374.3042912069</v>
      </c>
      <c r="G286">
        <f>IFERROR(VLOOKUP(C286,Match!$A$2:$B$84,2,FALSE),"")</f>
        <v>5401440</v>
      </c>
    </row>
    <row r="287" spans="1:7" x14ac:dyDescent="0.2">
      <c r="A287">
        <v>2018</v>
      </c>
      <c r="C287" t="s">
        <v>52</v>
      </c>
      <c r="D287" s="1">
        <v>180153</v>
      </c>
      <c r="E287" s="1">
        <v>2924637.4575257031</v>
      </c>
      <c r="F287" s="1">
        <v>3104790.4575257031</v>
      </c>
      <c r="G287">
        <f>IFERROR(VLOOKUP(C287,Match!$A$2:$B$84,2,FALSE),"")</f>
        <v>5401470</v>
      </c>
    </row>
    <row r="288" spans="1:7" x14ac:dyDescent="0.2">
      <c r="A288">
        <v>2018</v>
      </c>
      <c r="C288" t="s">
        <v>53</v>
      </c>
      <c r="D288" s="1">
        <v>350136</v>
      </c>
      <c r="E288" s="1">
        <v>5684181.0223390535</v>
      </c>
      <c r="F288" s="1">
        <v>6034317.0223390535</v>
      </c>
      <c r="G288">
        <f>IFERROR(VLOOKUP(C288,Match!$A$2:$B$84,2,FALSE),"")</f>
        <v>5401500</v>
      </c>
    </row>
    <row r="289" spans="1:7" x14ac:dyDescent="0.2">
      <c r="A289">
        <v>2018</v>
      </c>
      <c r="C289" t="s">
        <v>54</v>
      </c>
      <c r="D289" s="1">
        <v>106343</v>
      </c>
      <c r="E289" s="1">
        <v>1726390.1644424151</v>
      </c>
      <c r="F289" s="1">
        <v>1832733.1644424151</v>
      </c>
      <c r="G289">
        <f>IFERROR(VLOOKUP(C289,Match!$A$2:$B$84,2,FALSE),"")</f>
        <v>5401530</v>
      </c>
    </row>
    <row r="290" spans="1:7" x14ac:dyDescent="0.2">
      <c r="A290">
        <v>2018</v>
      </c>
      <c r="C290" t="s">
        <v>55</v>
      </c>
      <c r="D290" s="1">
        <v>542474</v>
      </c>
      <c r="E290" s="1">
        <v>8806635.6746565197</v>
      </c>
      <c r="F290" s="1">
        <v>9349109.6746565197</v>
      </c>
      <c r="G290">
        <f>IFERROR(VLOOKUP(C290,Match!$A$2:$B$84,2,FALSE),"")</f>
        <v>5401560</v>
      </c>
    </row>
    <row r="291" spans="1:7" x14ac:dyDescent="0.2">
      <c r="A291">
        <v>2018</v>
      </c>
      <c r="C291" t="s">
        <v>56</v>
      </c>
      <c r="D291" s="1">
        <v>42431</v>
      </c>
      <c r="E291" s="1">
        <v>688840.24750644551</v>
      </c>
      <c r="F291" s="1">
        <v>731271.24750644551</v>
      </c>
      <c r="G291">
        <f>IFERROR(VLOOKUP(C291,Match!$A$2:$B$84,2,FALSE),"")</f>
        <v>5401590</v>
      </c>
    </row>
    <row r="292" spans="1:7" x14ac:dyDescent="0.2">
      <c r="A292">
        <v>2018</v>
      </c>
      <c r="C292" t="s">
        <v>57</v>
      </c>
      <c r="D292" s="1">
        <v>1087602</v>
      </c>
      <c r="E292" s="1">
        <v>17656346.117472634</v>
      </c>
      <c r="F292" s="1">
        <v>18743948.117472634</v>
      </c>
      <c r="G292">
        <f>IFERROR(VLOOKUP(C292,Match!$A$2:$B$84,2,FALSE),"")</f>
        <v>5401620</v>
      </c>
    </row>
    <row r="293" spans="1:7" x14ac:dyDescent="0.2">
      <c r="A293">
        <v>2018</v>
      </c>
      <c r="C293" t="s">
        <v>58</v>
      </c>
      <c r="D293" s="1">
        <v>224485</v>
      </c>
      <c r="E293" s="1">
        <v>3644337.3716222034</v>
      </c>
      <c r="F293" s="1">
        <v>3868822.3716222034</v>
      </c>
      <c r="G293">
        <f>IFERROR(VLOOKUP(C293,Match!$A$2:$B$84,2,FALSE),"")</f>
        <v>5401650</v>
      </c>
    </row>
    <row r="294" spans="1:7" x14ac:dyDescent="0.2">
      <c r="A294">
        <v>2018</v>
      </c>
      <c r="C294" t="s">
        <v>59</v>
      </c>
      <c r="D294" s="1">
        <v>53896</v>
      </c>
      <c r="E294" s="1">
        <v>874960.48504537228</v>
      </c>
      <c r="F294" s="1">
        <v>928856.48504537228</v>
      </c>
      <c r="G294">
        <f>IFERROR(VLOOKUP(C294,Match!$A$2:$B$84,2,FALSE),"")</f>
        <v>0</v>
      </c>
    </row>
    <row r="295" spans="1:7" x14ac:dyDescent="0.2">
      <c r="A295">
        <v>2018</v>
      </c>
      <c r="C295" t="s">
        <v>60</v>
      </c>
      <c r="D295" s="1">
        <v>21144</v>
      </c>
      <c r="E295" s="1">
        <v>343259.65410411631</v>
      </c>
      <c r="F295" s="1">
        <v>364403.65410411631</v>
      </c>
      <c r="G295">
        <f>IFERROR(VLOOKUP(C295,Match!$A$2:$B$84,2,FALSE),"")</f>
        <v>0</v>
      </c>
    </row>
    <row r="296" spans="1:7" x14ac:dyDescent="0.2">
      <c r="A296">
        <v>2018</v>
      </c>
      <c r="C296" t="s">
        <v>61</v>
      </c>
      <c r="D296" s="1">
        <v>70058</v>
      </c>
      <c r="E296" s="1">
        <v>1137337.0966321619</v>
      </c>
      <c r="F296" s="1">
        <v>1207395.0966321619</v>
      </c>
      <c r="G296">
        <f>IFERROR(VLOOKUP(C296,Match!$A$2:$B$84,2,FALSE),"")</f>
        <v>0</v>
      </c>
    </row>
    <row r="297" spans="1:7" x14ac:dyDescent="0.2">
      <c r="A297">
        <v>2018</v>
      </c>
      <c r="C297" t="s">
        <v>62</v>
      </c>
      <c r="D297" s="1">
        <v>87101</v>
      </c>
      <c r="E297" s="1">
        <v>1414021.5971822771</v>
      </c>
      <c r="F297" s="1">
        <v>1501122.5971822771</v>
      </c>
      <c r="G297">
        <f>IFERROR(VLOOKUP(C297,Match!$A$2:$B$84,2,FALSE),"")</f>
        <v>0</v>
      </c>
    </row>
    <row r="298" spans="1:7" x14ac:dyDescent="0.2">
      <c r="A298">
        <v>2018</v>
      </c>
      <c r="C298" t="s">
        <v>63</v>
      </c>
      <c r="D298" s="1">
        <v>133576</v>
      </c>
      <c r="E298" s="1">
        <v>2168505.1804980459</v>
      </c>
      <c r="F298" s="1">
        <v>2302081.1804980459</v>
      </c>
      <c r="G298">
        <f>IFERROR(VLOOKUP(C298,Match!$A$2:$B$84,2,FALSE),"")</f>
        <v>0</v>
      </c>
    </row>
    <row r="299" spans="1:7" x14ac:dyDescent="0.2">
      <c r="A299">
        <v>2018</v>
      </c>
      <c r="C299" t="s">
        <v>64</v>
      </c>
      <c r="D299" s="1">
        <v>24334</v>
      </c>
      <c r="E299" s="1">
        <v>395038.19463201036</v>
      </c>
      <c r="F299" s="1">
        <v>419372.19463201036</v>
      </c>
      <c r="G299">
        <f>IFERROR(VLOOKUP(C299,Match!$A$2:$B$84,2,FALSE),"")</f>
        <v>0</v>
      </c>
    </row>
    <row r="300" spans="1:7" x14ac:dyDescent="0.2">
      <c r="A300">
        <v>2018</v>
      </c>
      <c r="C300" t="s">
        <v>65</v>
      </c>
      <c r="D300" s="1">
        <v>329787</v>
      </c>
      <c r="E300" s="1">
        <v>5353823.9255177658</v>
      </c>
      <c r="F300" s="1">
        <v>5683610.9255177658</v>
      </c>
      <c r="G300">
        <f>IFERROR(VLOOKUP(C300,Match!$A$2:$B$84,2,FALSE),"")</f>
        <v>0</v>
      </c>
    </row>
    <row r="301" spans="1:7" x14ac:dyDescent="0.2">
      <c r="A301">
        <v>2018</v>
      </c>
      <c r="C301" t="s">
        <v>66</v>
      </c>
      <c r="D301" s="1">
        <v>33914</v>
      </c>
      <c r="E301" s="1">
        <v>550574.54786619754</v>
      </c>
      <c r="F301" s="1">
        <v>584488.54786619754</v>
      </c>
      <c r="G301">
        <f>IFERROR(VLOOKUP(C301,Match!$A$2:$B$84,2,FALSE),"")</f>
        <v>0</v>
      </c>
    </row>
    <row r="302" spans="1:7" x14ac:dyDescent="0.2">
      <c r="A302">
        <v>2018</v>
      </c>
      <c r="C302" t="s">
        <v>67</v>
      </c>
      <c r="D302" s="1">
        <v>50416</v>
      </c>
      <c r="E302" s="1">
        <v>818463.01528624282</v>
      </c>
      <c r="F302" s="1">
        <v>868879.01528624282</v>
      </c>
      <c r="G302">
        <f>IFERROR(VLOOKUP(C302,Match!$A$2:$B$84,2,FALSE),"")</f>
        <v>0</v>
      </c>
    </row>
    <row r="303" spans="1:7" x14ac:dyDescent="0.2">
      <c r="A303">
        <v>2018</v>
      </c>
      <c r="C303" t="s">
        <v>68</v>
      </c>
      <c r="D303" s="1">
        <v>570479</v>
      </c>
      <c r="E303" s="1">
        <v>9261270.9948209301</v>
      </c>
      <c r="F303" s="1">
        <v>9831749.9948209301</v>
      </c>
      <c r="G303">
        <f>IFERROR(VLOOKUP(C303,Match!$A$2:$B$84,2,FALSE),"")</f>
        <v>5401621</v>
      </c>
    </row>
    <row r="304" spans="1:7" x14ac:dyDescent="0.2">
      <c r="A304">
        <v>2018</v>
      </c>
      <c r="C304" t="s">
        <v>69</v>
      </c>
      <c r="D304" s="1">
        <v>102179</v>
      </c>
      <c r="E304" s="1">
        <v>1658791.932381965</v>
      </c>
      <c r="F304" s="1">
        <v>1760970.932381965</v>
      </c>
      <c r="G304">
        <f>IFERROR(VLOOKUP(C304,Match!$A$2:$B$84,2,FALSE),"")</f>
        <v>0</v>
      </c>
    </row>
    <row r="305" spans="1:7" x14ac:dyDescent="0.2">
      <c r="A305">
        <v>2018</v>
      </c>
      <c r="C305" t="s">
        <v>70</v>
      </c>
      <c r="D305" s="1">
        <v>883545</v>
      </c>
      <c r="E305" s="1">
        <v>14343648.493336521</v>
      </c>
      <c r="F305" s="1">
        <v>15227193.493336521</v>
      </c>
      <c r="G305">
        <f>IFERROR(VLOOKUP(C305,Match!$A$2:$B$84,2,FALSE),"")</f>
        <v>0</v>
      </c>
    </row>
    <row r="306" spans="1:7" x14ac:dyDescent="0.2">
      <c r="A306">
        <v>2018</v>
      </c>
      <c r="C306" t="s">
        <v>71</v>
      </c>
      <c r="D306" s="1">
        <v>61912</v>
      </c>
      <c r="E306" s="1">
        <v>1005087.1870149131</v>
      </c>
      <c r="F306" s="1">
        <v>1066999.1870149132</v>
      </c>
      <c r="G306">
        <f>IFERROR(VLOOKUP(C306,Match!$A$2:$B$84,2,FALSE),"")</f>
        <v>0</v>
      </c>
    </row>
    <row r="307" spans="1:7" x14ac:dyDescent="0.2">
      <c r="A307">
        <v>2018</v>
      </c>
      <c r="C307" t="s">
        <v>72</v>
      </c>
      <c r="D307" s="1">
        <v>28228</v>
      </c>
      <c r="E307" s="1">
        <v>458254.12025438761</v>
      </c>
      <c r="F307" s="1">
        <v>486482.12025438761</v>
      </c>
      <c r="G307">
        <f>IFERROR(VLOOKUP(C307,Match!$A$2:$B$84,2,FALSE),"")</f>
        <v>0</v>
      </c>
    </row>
    <row r="308" spans="1:7" x14ac:dyDescent="0.2">
      <c r="A308">
        <v>2018</v>
      </c>
      <c r="C308" t="s">
        <v>73</v>
      </c>
      <c r="D308" s="1">
        <v>13576</v>
      </c>
      <c r="E308" s="1">
        <v>220400.97256845262</v>
      </c>
      <c r="F308" s="1">
        <v>233976.97256845262</v>
      </c>
      <c r="G308">
        <f>IFERROR(VLOOKUP(C308,Match!$A$2:$B$84,2,FALSE),"")</f>
        <v>0</v>
      </c>
    </row>
    <row r="309" spans="1:7" x14ac:dyDescent="0.2">
      <c r="A309">
        <v>2018</v>
      </c>
      <c r="C309" t="s">
        <v>74</v>
      </c>
      <c r="D309" s="1">
        <v>9831</v>
      </c>
      <c r="E309" s="1">
        <v>159597.24700605977</v>
      </c>
      <c r="F309" s="1">
        <v>169428.24700605977</v>
      </c>
      <c r="G309">
        <f>IFERROR(VLOOKUP(C309,Match!$A$2:$B$84,2,FALSE),"")</f>
        <v>0</v>
      </c>
    </row>
    <row r="310" spans="1:7" x14ac:dyDescent="0.2">
      <c r="A310">
        <v>2018</v>
      </c>
      <c r="C310" t="s">
        <v>75</v>
      </c>
      <c r="D310" s="1">
        <v>7377</v>
      </c>
      <c r="E310" s="1">
        <v>119759.02576239254</v>
      </c>
      <c r="F310" s="1">
        <v>127136.02576239254</v>
      </c>
      <c r="G310">
        <f>IFERROR(VLOOKUP(C310,Match!$A$2:$B$84,2,FALSE),"")</f>
        <v>0</v>
      </c>
    </row>
    <row r="311" spans="1:7" x14ac:dyDescent="0.2">
      <c r="A311">
        <v>2018</v>
      </c>
      <c r="C311" t="s">
        <v>76</v>
      </c>
      <c r="D311" s="1">
        <v>4962</v>
      </c>
      <c r="E311" s="1">
        <v>80546.419724164298</v>
      </c>
      <c r="F311" s="1">
        <v>85508.419724164298</v>
      </c>
      <c r="G311">
        <f>IFERROR(VLOOKUP(C311,Match!$A$2:$B$84,2,FALSE),"")</f>
        <v>0</v>
      </c>
    </row>
    <row r="312" spans="1:7" x14ac:dyDescent="0.2">
      <c r="A312">
        <v>2018</v>
      </c>
      <c r="C312" t="s">
        <v>77</v>
      </c>
      <c r="D312" s="1">
        <v>12693</v>
      </c>
      <c r="E312" s="1">
        <v>206062.66335120326</v>
      </c>
      <c r="F312" s="1">
        <v>218755.66335120326</v>
      </c>
      <c r="G312">
        <f>IFERROR(VLOOKUP(C312,Match!$A$2:$B$84,2,FALSE),"")</f>
        <v>0</v>
      </c>
    </row>
    <row r="313" spans="1:7" x14ac:dyDescent="0.2">
      <c r="A313">
        <v>2018</v>
      </c>
      <c r="C313" t="s">
        <v>78</v>
      </c>
      <c r="D313" s="1">
        <v>10577</v>
      </c>
      <c r="E313" s="1">
        <v>171705.87768686778</v>
      </c>
      <c r="F313" s="1">
        <v>182282.87768686778</v>
      </c>
      <c r="G313">
        <f>IFERROR(VLOOKUP(C313,Match!$A$2:$B$84,2,FALSE),"")</f>
        <v>0</v>
      </c>
    </row>
    <row r="314" spans="1:7" x14ac:dyDescent="0.2">
      <c r="A314">
        <v>2018</v>
      </c>
      <c r="C314" t="s">
        <v>79</v>
      </c>
      <c r="D314" s="1">
        <v>10438</v>
      </c>
      <c r="E314" s="1">
        <v>169445.7788965026</v>
      </c>
      <c r="F314" s="1">
        <v>179883.7788965026</v>
      </c>
      <c r="G314">
        <f>IFERROR(VLOOKUP(C314,Match!$A$2:$B$84,2,FALSE),"")</f>
        <v>0</v>
      </c>
    </row>
    <row r="315" spans="1:7" x14ac:dyDescent="0.2">
      <c r="A315">
        <v>2018</v>
      </c>
      <c r="C315" t="s">
        <v>80</v>
      </c>
      <c r="D315" s="1">
        <v>2179491</v>
      </c>
      <c r="E315" s="1">
        <v>35382290.993637733</v>
      </c>
      <c r="F315" s="1">
        <v>37561781.993637733</v>
      </c>
      <c r="G315">
        <f>IFERROR(VLOOKUP(C315,Match!$A$2:$B$84,2,FALSE),"")</f>
        <v>0</v>
      </c>
    </row>
    <row r="316" spans="1:7" x14ac:dyDescent="0.2">
      <c r="A316">
        <v>2018</v>
      </c>
      <c r="C316" t="s">
        <v>81</v>
      </c>
      <c r="D316" s="1">
        <v>14025</v>
      </c>
      <c r="E316" s="1">
        <v>227684.20312929171</v>
      </c>
      <c r="F316" s="1">
        <v>241709.20312929171</v>
      </c>
      <c r="G316">
        <f>IFERROR(VLOOKUP(C316,Match!$A$2:$B$84,2,FALSE),"")</f>
        <v>0</v>
      </c>
    </row>
    <row r="317" spans="1:7" x14ac:dyDescent="0.2">
      <c r="A317">
        <v>2018</v>
      </c>
      <c r="C317" t="s">
        <v>82</v>
      </c>
      <c r="D317" s="1">
        <v>44722</v>
      </c>
      <c r="E317" s="1">
        <v>726020.90665873745</v>
      </c>
      <c r="F317" s="1">
        <v>770742.90665873745</v>
      </c>
      <c r="G317">
        <f>IFERROR(VLOOKUP(C317,Match!$A$2:$B$84,2,FALSE),"")</f>
        <v>0</v>
      </c>
    </row>
    <row r="318" spans="1:7" x14ac:dyDescent="0.2">
      <c r="A318">
        <v>2019</v>
      </c>
      <c r="C318" t="s">
        <v>0</v>
      </c>
      <c r="D318" s="1">
        <v>134546</v>
      </c>
      <c r="E318" s="1">
        <v>2089106.3177967493</v>
      </c>
      <c r="F318" s="1">
        <v>2223652.3177967491</v>
      </c>
      <c r="G318">
        <f>IFERROR(VLOOKUP(C318,Match!$A$2:$B$84,2,FALSE),"")</f>
        <v>5400030</v>
      </c>
    </row>
    <row r="319" spans="1:7" x14ac:dyDescent="0.2">
      <c r="A319">
        <v>2019</v>
      </c>
      <c r="C319" t="s">
        <v>1</v>
      </c>
      <c r="D319" s="1">
        <v>1668786</v>
      </c>
      <c r="E319" s="1">
        <v>25911377.961882394</v>
      </c>
      <c r="F319" s="1">
        <v>27580163.961882394</v>
      </c>
      <c r="G319">
        <f>IFERROR(VLOOKUP(C319,Match!$A$2:$B$84,2,FALSE),"")</f>
        <v>5400060</v>
      </c>
    </row>
    <row r="320" spans="1:7" x14ac:dyDescent="0.2">
      <c r="A320">
        <v>2019</v>
      </c>
      <c r="C320" t="s">
        <v>2</v>
      </c>
      <c r="D320" s="1">
        <v>101357</v>
      </c>
      <c r="E320" s="1">
        <v>1573779.3459348138</v>
      </c>
      <c r="F320" s="1">
        <v>1675136.3459348138</v>
      </c>
      <c r="G320">
        <f>IFERROR(VLOOKUP(C320,Match!$A$2:$B$84,2,FALSE),"")</f>
        <v>5400090</v>
      </c>
    </row>
    <row r="321" spans="1:7" x14ac:dyDescent="0.2">
      <c r="A321">
        <v>2019</v>
      </c>
      <c r="C321" t="s">
        <v>3</v>
      </c>
      <c r="D321" s="1">
        <v>99048</v>
      </c>
      <c r="E321" s="1">
        <v>1537920.7576403902</v>
      </c>
      <c r="F321" s="1">
        <v>1636968.7576403902</v>
      </c>
      <c r="G321">
        <f>IFERROR(VLOOKUP(C321,Match!$A$2:$B$84,2,FALSE),"")</f>
        <v>5400120</v>
      </c>
    </row>
    <row r="322" spans="1:7" x14ac:dyDescent="0.2">
      <c r="A322">
        <v>2019</v>
      </c>
      <c r="C322" t="s">
        <v>4</v>
      </c>
      <c r="D322" s="1">
        <v>273831</v>
      </c>
      <c r="E322" s="1">
        <v>4251801.1989495652</v>
      </c>
      <c r="F322" s="1">
        <v>4525632.1989495652</v>
      </c>
      <c r="G322">
        <f>IFERROR(VLOOKUP(C322,Match!$A$2:$B$84,2,FALSE),"")</f>
        <v>5400150</v>
      </c>
    </row>
    <row r="323" spans="1:7" x14ac:dyDescent="0.2">
      <c r="A323">
        <v>2019</v>
      </c>
      <c r="C323" t="s">
        <v>5</v>
      </c>
      <c r="D323" s="1">
        <v>1101830</v>
      </c>
      <c r="E323" s="1">
        <v>17108213.338438299</v>
      </c>
      <c r="F323" s="1">
        <v>18210043.338438299</v>
      </c>
      <c r="G323">
        <f>IFERROR(VLOOKUP(C323,Match!$A$2:$B$84,2,FALSE),"")</f>
        <v>5400180</v>
      </c>
    </row>
    <row r="324" spans="1:7" x14ac:dyDescent="0.2">
      <c r="A324">
        <v>2019</v>
      </c>
      <c r="C324" t="s">
        <v>6</v>
      </c>
      <c r="D324" s="1">
        <v>56557</v>
      </c>
      <c r="E324" s="1">
        <v>878169.76498529245</v>
      </c>
      <c r="F324" s="1">
        <v>934726.76498529245</v>
      </c>
      <c r="G324">
        <f>IFERROR(VLOOKUP(C324,Match!$A$2:$B$84,2,FALSE),"")</f>
        <v>5400210</v>
      </c>
    </row>
    <row r="325" spans="1:7" x14ac:dyDescent="0.2">
      <c r="A325">
        <v>2019</v>
      </c>
      <c r="C325" t="s">
        <v>7</v>
      </c>
      <c r="D325" s="1">
        <v>103742</v>
      </c>
      <c r="E325" s="1">
        <v>1610810.893098241</v>
      </c>
      <c r="F325" s="1">
        <v>1714552.893098241</v>
      </c>
      <c r="G325">
        <f>IFERROR(VLOOKUP(C325,Match!$A$2:$B$84,2,FALSE),"")</f>
        <v>5400240</v>
      </c>
    </row>
    <row r="326" spans="1:7" x14ac:dyDescent="0.2">
      <c r="A326">
        <v>2019</v>
      </c>
      <c r="C326" t="s">
        <v>8</v>
      </c>
      <c r="D326" s="1">
        <v>363363</v>
      </c>
      <c r="E326" s="1">
        <v>5641973.2190012839</v>
      </c>
      <c r="F326" s="1">
        <v>6005336.2190012839</v>
      </c>
      <c r="G326">
        <f>IFERROR(VLOOKUP(C326,Match!$A$2:$B$84,2,FALSE),"")</f>
        <v>5400270</v>
      </c>
    </row>
    <row r="327" spans="1:7" x14ac:dyDescent="0.2">
      <c r="A327">
        <v>2019</v>
      </c>
      <c r="C327" t="s">
        <v>9</v>
      </c>
      <c r="D327" s="1">
        <v>488731</v>
      </c>
      <c r="E327" s="1">
        <v>7588568.5084459828</v>
      </c>
      <c r="F327" s="1">
        <v>8077299.5084459828</v>
      </c>
      <c r="G327">
        <f>IFERROR(VLOOKUP(C327,Match!$A$2:$B$84,2,FALSE),"")</f>
        <v>5400300</v>
      </c>
    </row>
    <row r="328" spans="1:7" x14ac:dyDescent="0.2">
      <c r="A328">
        <v>2019</v>
      </c>
      <c r="C328" t="s">
        <v>10</v>
      </c>
      <c r="D328" s="1">
        <v>106507</v>
      </c>
      <c r="E328" s="1">
        <v>1653736.9717226133</v>
      </c>
      <c r="F328" s="1">
        <v>1760243.9717226133</v>
      </c>
      <c r="G328">
        <f>IFERROR(VLOOKUP(C328,Match!$A$2:$B$84,2,FALSE),"")</f>
        <v>5400330</v>
      </c>
    </row>
    <row r="329" spans="1:7" x14ac:dyDescent="0.2">
      <c r="A329">
        <v>2019</v>
      </c>
      <c r="C329" t="s">
        <v>11</v>
      </c>
      <c r="D329" s="1">
        <v>109119</v>
      </c>
      <c r="E329" s="1">
        <v>1694303.264051015</v>
      </c>
      <c r="F329" s="1">
        <v>1803422.264051015</v>
      </c>
      <c r="G329">
        <f>IFERROR(VLOOKUP(C329,Match!$A$2:$B$84,2,FALSE),"")</f>
        <v>5400360</v>
      </c>
    </row>
    <row r="330" spans="1:7" x14ac:dyDescent="0.2">
      <c r="A330">
        <v>2019</v>
      </c>
      <c r="C330" t="s">
        <v>12</v>
      </c>
      <c r="D330" s="1">
        <v>460885</v>
      </c>
      <c r="E330" s="1">
        <v>7156202.9023341769</v>
      </c>
      <c r="F330" s="1">
        <v>7617087.9023341769</v>
      </c>
      <c r="G330">
        <f>IFERROR(VLOOKUP(C330,Match!$A$2:$B$84,2,FALSE),"")</f>
        <v>5400390</v>
      </c>
    </row>
    <row r="331" spans="1:7" x14ac:dyDescent="0.2">
      <c r="A331">
        <v>2019</v>
      </c>
      <c r="C331" t="s">
        <v>13</v>
      </c>
      <c r="D331" s="1">
        <v>86457</v>
      </c>
      <c r="E331" s="1">
        <v>1342426.2889296534</v>
      </c>
      <c r="F331" s="1">
        <v>1428883.2889296534</v>
      </c>
      <c r="G331">
        <f>IFERROR(VLOOKUP(C331,Match!$A$2:$B$84,2,FALSE),"")</f>
        <v>5400420</v>
      </c>
    </row>
    <row r="332" spans="1:7" x14ac:dyDescent="0.2">
      <c r="A332">
        <v>2019</v>
      </c>
      <c r="C332" t="s">
        <v>14</v>
      </c>
      <c r="D332" s="1">
        <v>391055</v>
      </c>
      <c r="E332" s="1">
        <v>6071950.301701189</v>
      </c>
      <c r="F332" s="1">
        <v>6463005.301701189</v>
      </c>
      <c r="G332">
        <f>IFERROR(VLOOKUP(C332,Match!$A$2:$B$84,2,FALSE),"")</f>
        <v>5400450</v>
      </c>
    </row>
    <row r="333" spans="1:7" x14ac:dyDescent="0.2">
      <c r="A333">
        <v>2019</v>
      </c>
      <c r="C333" t="s">
        <v>15</v>
      </c>
      <c r="D333" s="1">
        <v>41224</v>
      </c>
      <c r="E333" s="1">
        <v>640083.06304132717</v>
      </c>
      <c r="F333" s="1">
        <v>681307.06304132717</v>
      </c>
      <c r="G333">
        <f>IFERROR(VLOOKUP(C333,Match!$A$2:$B$84,2,FALSE),"")</f>
        <v>5400480</v>
      </c>
    </row>
    <row r="334" spans="1:7" x14ac:dyDescent="0.2">
      <c r="A334">
        <v>2019</v>
      </c>
      <c r="C334" t="s">
        <v>16</v>
      </c>
      <c r="D334" s="1">
        <v>1199792</v>
      </c>
      <c r="E334" s="1">
        <v>18629273.746615749</v>
      </c>
      <c r="F334" s="1">
        <v>19829065.746615749</v>
      </c>
      <c r="G334">
        <f>IFERROR(VLOOKUP(C334,Match!$A$2:$B$84,2,FALSE),"")</f>
        <v>5400510</v>
      </c>
    </row>
    <row r="335" spans="1:7" x14ac:dyDescent="0.2">
      <c r="A335">
        <v>2019</v>
      </c>
      <c r="C335" t="s">
        <v>17</v>
      </c>
      <c r="D335" s="1">
        <v>389192</v>
      </c>
      <c r="E335" s="1">
        <v>6043020.5181570714</v>
      </c>
      <c r="F335" s="1">
        <v>6432212.5181570714</v>
      </c>
      <c r="G335">
        <f>IFERROR(VLOOKUP(C335,Match!$A$2:$B$84,2,FALSE),"")</f>
        <v>5400540</v>
      </c>
    </row>
    <row r="336" spans="1:7" x14ac:dyDescent="0.2">
      <c r="A336">
        <v>2019</v>
      </c>
      <c r="C336" t="s">
        <v>18</v>
      </c>
      <c r="D336" s="1">
        <v>916951</v>
      </c>
      <c r="E336" s="1">
        <v>14237573.939653464</v>
      </c>
      <c r="F336" s="1">
        <v>15154524.939653464</v>
      </c>
      <c r="G336">
        <f>IFERROR(VLOOKUP(C336,Match!$A$2:$B$84,2,FALSE),"")</f>
        <v>5400570</v>
      </c>
    </row>
    <row r="337" spans="1:7" x14ac:dyDescent="0.2">
      <c r="A337">
        <v>2019</v>
      </c>
      <c r="C337" t="s">
        <v>19</v>
      </c>
      <c r="D337" s="1">
        <v>1967365</v>
      </c>
      <c r="E337" s="1">
        <v>30547450.321872588</v>
      </c>
      <c r="F337" s="1">
        <v>32514815.321872588</v>
      </c>
      <c r="G337">
        <f>IFERROR(VLOOKUP(C337,Match!$A$2:$B$84,2,FALSE),"")</f>
        <v>5400600</v>
      </c>
    </row>
    <row r="338" spans="1:7" x14ac:dyDescent="0.2">
      <c r="A338">
        <v>2019</v>
      </c>
      <c r="C338" t="s">
        <v>20</v>
      </c>
      <c r="D338" s="1">
        <v>215172</v>
      </c>
      <c r="E338" s="1">
        <v>3341000.4825596088</v>
      </c>
      <c r="F338" s="1">
        <v>3556172.4825596088</v>
      </c>
      <c r="G338">
        <f>IFERROR(VLOOKUP(C338,Match!$A$2:$B$84,2,FALSE),"")</f>
        <v>5400630</v>
      </c>
    </row>
    <row r="339" spans="1:7" x14ac:dyDescent="0.2">
      <c r="A339">
        <v>2019</v>
      </c>
      <c r="C339" t="s">
        <v>21</v>
      </c>
      <c r="D339" s="1">
        <v>180213</v>
      </c>
      <c r="E339" s="1">
        <v>2798182.18862388</v>
      </c>
      <c r="F339" s="1">
        <v>2978395.18862388</v>
      </c>
      <c r="G339">
        <f>IFERROR(VLOOKUP(C339,Match!$A$2:$B$84,2,FALSE),"")</f>
        <v>5400660</v>
      </c>
    </row>
    <row r="340" spans="1:7" x14ac:dyDescent="0.2">
      <c r="A340">
        <v>2019</v>
      </c>
      <c r="C340" t="s">
        <v>22</v>
      </c>
      <c r="D340" s="1">
        <v>345446</v>
      </c>
      <c r="E340" s="1">
        <v>5363768.0185837746</v>
      </c>
      <c r="F340" s="1">
        <v>5709214.0185837746</v>
      </c>
      <c r="G340">
        <f>IFERROR(VLOOKUP(C340,Match!$A$2:$B$84,2,FALSE),"")</f>
        <v>5400690</v>
      </c>
    </row>
    <row r="341" spans="1:7" x14ac:dyDescent="0.2">
      <c r="A341">
        <v>2019</v>
      </c>
      <c r="C341" t="s">
        <v>23</v>
      </c>
      <c r="D341" s="1">
        <v>1292759</v>
      </c>
      <c r="E341" s="1">
        <v>20072778.920975264</v>
      </c>
      <c r="F341" s="1">
        <v>21365537.920975264</v>
      </c>
      <c r="G341">
        <f>IFERROR(VLOOKUP(C341,Match!$A$2:$B$84,2,FALSE),"")</f>
        <v>5400720</v>
      </c>
    </row>
    <row r="342" spans="1:7" x14ac:dyDescent="0.2">
      <c r="A342">
        <v>2019</v>
      </c>
      <c r="C342" t="s">
        <v>24</v>
      </c>
      <c r="D342" s="1">
        <v>973885</v>
      </c>
      <c r="E342" s="1">
        <v>15121596.630425807</v>
      </c>
      <c r="F342" s="1">
        <v>16095481.630425807</v>
      </c>
      <c r="G342">
        <f>IFERROR(VLOOKUP(C342,Match!$A$2:$B$84,2,FALSE),"")</f>
        <v>5400750</v>
      </c>
    </row>
    <row r="343" spans="1:7" x14ac:dyDescent="0.2">
      <c r="A343">
        <v>2019</v>
      </c>
      <c r="C343" t="s">
        <v>25</v>
      </c>
      <c r="D343" s="1">
        <v>426157</v>
      </c>
      <c r="E343" s="1">
        <v>6616974.8277952811</v>
      </c>
      <c r="F343" s="1">
        <v>7043131.8277952811</v>
      </c>
      <c r="G343">
        <f>IFERROR(VLOOKUP(C343,Match!$A$2:$B$84,2,FALSE),"")</f>
        <v>5400780</v>
      </c>
    </row>
    <row r="344" spans="1:7" x14ac:dyDescent="0.2">
      <c r="A344">
        <v>2019</v>
      </c>
      <c r="C344" t="s">
        <v>30</v>
      </c>
      <c r="D344" s="1">
        <v>307747</v>
      </c>
      <c r="E344" s="1">
        <v>4778414.9656466758</v>
      </c>
      <c r="F344" s="1">
        <v>5086161.9656466758</v>
      </c>
      <c r="G344">
        <f>IFERROR(VLOOKUP(C344,Match!$A$2:$B$84,2,FALSE),"")</f>
        <v>5400810</v>
      </c>
    </row>
    <row r="345" spans="1:7" x14ac:dyDescent="0.2">
      <c r="A345">
        <v>2019</v>
      </c>
      <c r="C345" t="s">
        <v>31</v>
      </c>
      <c r="D345" s="1">
        <v>700332</v>
      </c>
      <c r="E345" s="1">
        <v>10874111.81588722</v>
      </c>
      <c r="F345" s="1">
        <v>11574443.81588722</v>
      </c>
      <c r="G345">
        <f>IFERROR(VLOOKUP(C345,Match!$A$2:$B$84,2,FALSE),"")</f>
        <v>5400840</v>
      </c>
    </row>
    <row r="346" spans="1:7" x14ac:dyDescent="0.2">
      <c r="A346">
        <v>2019</v>
      </c>
      <c r="C346" t="s">
        <v>32</v>
      </c>
      <c r="D346" s="1">
        <v>387920</v>
      </c>
      <c r="E346" s="1">
        <v>6023268.3771955147</v>
      </c>
      <c r="F346" s="1">
        <v>6411188.3771955147</v>
      </c>
      <c r="G346">
        <f>IFERROR(VLOOKUP(C346,Match!$A$2:$B$84,2,FALSE),"")</f>
        <v>5400870</v>
      </c>
    </row>
    <row r="347" spans="1:7" x14ac:dyDescent="0.2">
      <c r="A347">
        <v>2019</v>
      </c>
      <c r="C347" t="s">
        <v>33</v>
      </c>
      <c r="D347" s="1">
        <v>240115</v>
      </c>
      <c r="E347" s="1">
        <v>3728288.2521205349</v>
      </c>
      <c r="F347" s="1">
        <v>3968403.2521205349</v>
      </c>
      <c r="G347">
        <f>IFERROR(VLOOKUP(C347,Match!$A$2:$B$84,2,FALSE),"")</f>
        <v>5400900</v>
      </c>
    </row>
    <row r="348" spans="1:7" x14ac:dyDescent="0.2">
      <c r="A348">
        <v>2019</v>
      </c>
      <c r="C348" t="s">
        <v>34</v>
      </c>
      <c r="D348" s="1">
        <v>1498271</v>
      </c>
      <c r="E348" s="1">
        <v>23263780.828113943</v>
      </c>
      <c r="F348" s="1">
        <v>24762051.828113943</v>
      </c>
      <c r="G348">
        <f>IFERROR(VLOOKUP(C348,Match!$A$2:$B$84,2,FALSE),"")</f>
        <v>5400930</v>
      </c>
    </row>
    <row r="349" spans="1:7" x14ac:dyDescent="0.2">
      <c r="A349">
        <v>2019</v>
      </c>
      <c r="C349" t="s">
        <v>35</v>
      </c>
      <c r="D349" s="1">
        <v>110956</v>
      </c>
      <c r="E349" s="1">
        <v>1722827.8594141679</v>
      </c>
      <c r="F349" s="1">
        <v>1833783.8594141679</v>
      </c>
      <c r="G349">
        <f>IFERROR(VLOOKUP(C349,Match!$A$2:$B$84,2,FALSE),"")</f>
        <v>5400960</v>
      </c>
    </row>
    <row r="350" spans="1:7" x14ac:dyDescent="0.2">
      <c r="A350">
        <v>2019</v>
      </c>
      <c r="C350" t="s">
        <v>36</v>
      </c>
      <c r="D350" s="1">
        <v>206311</v>
      </c>
      <c r="E350" s="1">
        <v>3203406.1866110014</v>
      </c>
      <c r="F350" s="1">
        <v>3409717.1866110014</v>
      </c>
      <c r="G350">
        <f>IFERROR(VLOOKUP(C350,Match!$A$2:$B$84,2,FALSE),"")</f>
        <v>5400990</v>
      </c>
    </row>
    <row r="351" spans="1:7" x14ac:dyDescent="0.2">
      <c r="A351">
        <v>2019</v>
      </c>
      <c r="C351" t="s">
        <v>37</v>
      </c>
      <c r="D351" s="1">
        <v>181287</v>
      </c>
      <c r="E351" s="1">
        <v>2814861.2468332853</v>
      </c>
      <c r="F351" s="1">
        <v>2996148.2468332853</v>
      </c>
      <c r="G351">
        <f>IFERROR(VLOOKUP(C351,Match!$A$2:$B$84,2,FALSE),"")</f>
        <v>5401020</v>
      </c>
    </row>
    <row r="352" spans="1:7" x14ac:dyDescent="0.2">
      <c r="A352">
        <v>2019</v>
      </c>
      <c r="C352" t="s">
        <v>38</v>
      </c>
      <c r="D352" s="1">
        <v>544053</v>
      </c>
      <c r="E352" s="1">
        <v>8447558.7433462571</v>
      </c>
      <c r="F352" s="1">
        <v>8991611.7433462571</v>
      </c>
      <c r="G352">
        <f>IFERROR(VLOOKUP(C352,Match!$A$2:$B$84,2,FALSE),"")</f>
        <v>5401050</v>
      </c>
    </row>
    <row r="353" spans="1:7" x14ac:dyDescent="0.2">
      <c r="A353">
        <v>2019</v>
      </c>
      <c r="C353" t="s">
        <v>39</v>
      </c>
      <c r="D353" s="1">
        <v>21076</v>
      </c>
      <c r="E353" s="1">
        <v>327249.70743025554</v>
      </c>
      <c r="F353" s="1">
        <v>348325.70743025554</v>
      </c>
      <c r="G353">
        <f>IFERROR(VLOOKUP(C353,Match!$A$2:$B$84,2,FALSE),"")</f>
        <v>5401080</v>
      </c>
    </row>
    <row r="354" spans="1:7" x14ac:dyDescent="0.2">
      <c r="A354">
        <v>2019</v>
      </c>
      <c r="C354" t="s">
        <v>40</v>
      </c>
      <c r="D354" s="1">
        <v>188909</v>
      </c>
      <c r="E354" s="1">
        <v>2933205.6699070516</v>
      </c>
      <c r="F354" s="1">
        <v>3122114.6699070516</v>
      </c>
      <c r="G354">
        <f>IFERROR(VLOOKUP(C354,Match!$A$2:$B$84,2,FALSE),"")</f>
        <v>5401110</v>
      </c>
    </row>
    <row r="355" spans="1:7" x14ac:dyDescent="0.2">
      <c r="A355">
        <v>2019</v>
      </c>
      <c r="C355" t="s">
        <v>41</v>
      </c>
      <c r="D355" s="1">
        <v>70854</v>
      </c>
      <c r="E355" s="1">
        <v>1100163.8881543546</v>
      </c>
      <c r="F355" s="1">
        <v>1171017.8881543546</v>
      </c>
      <c r="G355">
        <f>IFERROR(VLOOKUP(C355,Match!$A$2:$B$84,2,FALSE),"")</f>
        <v>5401140</v>
      </c>
    </row>
    <row r="356" spans="1:7" x14ac:dyDescent="0.2">
      <c r="A356">
        <v>2019</v>
      </c>
      <c r="C356" t="s">
        <v>42</v>
      </c>
      <c r="D356" s="1">
        <v>183334</v>
      </c>
      <c r="E356" s="1">
        <v>2846640.2162021259</v>
      </c>
      <c r="F356" s="1">
        <v>3029974.2162021259</v>
      </c>
      <c r="G356">
        <f>IFERROR(VLOOKUP(C356,Match!$A$2:$B$84,2,FALSE),"")</f>
        <v>5401170</v>
      </c>
    </row>
    <row r="357" spans="1:7" x14ac:dyDescent="0.2">
      <c r="A357">
        <v>2019</v>
      </c>
      <c r="C357" t="s">
        <v>43</v>
      </c>
      <c r="D357" s="1">
        <v>907467</v>
      </c>
      <c r="E357" s="1">
        <v>14090313.601593543</v>
      </c>
      <c r="F357" s="1">
        <v>14997780.601593543</v>
      </c>
      <c r="G357">
        <f>IFERROR(VLOOKUP(C357,Match!$A$2:$B$84,2,FALSE),"")</f>
        <v>5401200</v>
      </c>
    </row>
    <row r="358" spans="1:7" x14ac:dyDescent="0.2">
      <c r="A358">
        <v>2019</v>
      </c>
      <c r="C358" t="s">
        <v>44</v>
      </c>
      <c r="D358" s="1">
        <v>710632</v>
      </c>
      <c r="E358" s="1">
        <v>11034041.936020782</v>
      </c>
      <c r="F358" s="1">
        <v>11744673.936020782</v>
      </c>
      <c r="G358">
        <f>IFERROR(VLOOKUP(C358,Match!$A$2:$B$84,2,FALSE),"")</f>
        <v>5401230</v>
      </c>
    </row>
    <row r="359" spans="1:7" x14ac:dyDescent="0.2">
      <c r="A359">
        <v>2019</v>
      </c>
      <c r="C359" t="s">
        <v>45</v>
      </c>
      <c r="D359" s="1">
        <v>183908</v>
      </c>
      <c r="E359" s="1">
        <v>2855552.3561833655</v>
      </c>
      <c r="F359" s="1">
        <v>3039460.3561833655</v>
      </c>
      <c r="G359">
        <f>IFERROR(VLOOKUP(C359,Match!$A$2:$B$84,2,FALSE),"")</f>
        <v>5401260</v>
      </c>
    </row>
    <row r="360" spans="1:7" x14ac:dyDescent="0.2">
      <c r="A360">
        <v>2019</v>
      </c>
      <c r="C360" t="s">
        <v>46</v>
      </c>
      <c r="D360" s="1">
        <v>174489</v>
      </c>
      <c r="E360" s="1">
        <v>2709312.4228548408</v>
      </c>
      <c r="F360" s="1">
        <v>2883801.4228548408</v>
      </c>
      <c r="G360">
        <f>IFERROR(VLOOKUP(C360,Match!$A$2:$B$84,2,FALSE),"")</f>
        <v>5401290</v>
      </c>
    </row>
    <row r="361" spans="1:7" x14ac:dyDescent="0.2">
      <c r="A361">
        <v>2019</v>
      </c>
      <c r="C361" t="s">
        <v>47</v>
      </c>
      <c r="D361" s="1">
        <v>60517</v>
      </c>
      <c r="E361" s="1">
        <v>939661.15714425372</v>
      </c>
      <c r="F361" s="1">
        <v>1000178.1571442537</v>
      </c>
      <c r="G361">
        <f>IFERROR(VLOOKUP(C361,Match!$A$2:$B$84,2,FALSE),"")</f>
        <v>5401320</v>
      </c>
    </row>
    <row r="362" spans="1:7" x14ac:dyDescent="0.2">
      <c r="A362">
        <v>2019</v>
      </c>
      <c r="C362" t="s">
        <v>48</v>
      </c>
      <c r="D362" s="1">
        <v>70511</v>
      </c>
      <c r="E362" s="1">
        <v>1094827.0990119823</v>
      </c>
      <c r="F362" s="1">
        <v>1165338.0990119823</v>
      </c>
      <c r="G362">
        <f>IFERROR(VLOOKUP(C362,Match!$A$2:$B$84,2,FALSE),"")</f>
        <v>5401350</v>
      </c>
    </row>
    <row r="363" spans="1:7" x14ac:dyDescent="0.2">
      <c r="A363">
        <v>2019</v>
      </c>
      <c r="C363" t="s">
        <v>49</v>
      </c>
      <c r="D363" s="1">
        <v>128929</v>
      </c>
      <c r="E363" s="1">
        <v>2001898.9104254644</v>
      </c>
      <c r="F363" s="1">
        <v>2130827.9104254646</v>
      </c>
      <c r="G363">
        <f>IFERROR(VLOOKUP(C363,Match!$A$2:$B$84,2,FALSE),"")</f>
        <v>5401380</v>
      </c>
    </row>
    <row r="364" spans="1:7" x14ac:dyDescent="0.2">
      <c r="A364">
        <v>2019</v>
      </c>
      <c r="C364" t="s">
        <v>50</v>
      </c>
      <c r="D364" s="1">
        <v>34942</v>
      </c>
      <c r="E364" s="1">
        <v>542552.79133440589</v>
      </c>
      <c r="F364" s="1">
        <v>577494.79133440589</v>
      </c>
      <c r="G364">
        <f>IFERROR(VLOOKUP(C364,Match!$A$2:$B$84,2,FALSE),"")</f>
        <v>5401410</v>
      </c>
    </row>
    <row r="365" spans="1:7" x14ac:dyDescent="0.2">
      <c r="A365">
        <v>2019</v>
      </c>
      <c r="C365" t="s">
        <v>51</v>
      </c>
      <c r="D365" s="1">
        <v>205858</v>
      </c>
      <c r="E365" s="1">
        <v>3196380.3019549455</v>
      </c>
      <c r="F365" s="1">
        <v>3402238.3019549455</v>
      </c>
      <c r="G365">
        <f>IFERROR(VLOOKUP(C365,Match!$A$2:$B$84,2,FALSE),"")</f>
        <v>5401440</v>
      </c>
    </row>
    <row r="366" spans="1:7" x14ac:dyDescent="0.2">
      <c r="A366">
        <v>2019</v>
      </c>
      <c r="C366" t="s">
        <v>52</v>
      </c>
      <c r="D366" s="1">
        <v>255346</v>
      </c>
      <c r="E366" s="1">
        <v>3964781.938456567</v>
      </c>
      <c r="F366" s="1">
        <v>4220127.938456567</v>
      </c>
      <c r="G366">
        <f>IFERROR(VLOOKUP(C366,Match!$A$2:$B$84,2,FALSE),"")</f>
        <v>5401470</v>
      </c>
    </row>
    <row r="367" spans="1:7" x14ac:dyDescent="0.2">
      <c r="A367">
        <v>2019</v>
      </c>
      <c r="C367" t="s">
        <v>53</v>
      </c>
      <c r="D367" s="1">
        <v>347459</v>
      </c>
      <c r="E367" s="1">
        <v>5395030.851307936</v>
      </c>
      <c r="F367" s="1">
        <v>5742489.851307936</v>
      </c>
      <c r="G367">
        <f>IFERROR(VLOOKUP(C367,Match!$A$2:$B$84,2,FALSE),"")</f>
        <v>5401500</v>
      </c>
    </row>
    <row r="368" spans="1:7" x14ac:dyDescent="0.2">
      <c r="A368">
        <v>2019</v>
      </c>
      <c r="C368" t="s">
        <v>54</v>
      </c>
      <c r="D368" s="1">
        <v>76774</v>
      </c>
      <c r="E368" s="1">
        <v>1192078.9995596171</v>
      </c>
      <c r="F368" s="1">
        <v>1268852.9995596171</v>
      </c>
      <c r="G368">
        <f>IFERROR(VLOOKUP(C368,Match!$A$2:$B$84,2,FALSE),"")</f>
        <v>5401530</v>
      </c>
    </row>
    <row r="369" spans="1:7" x14ac:dyDescent="0.2">
      <c r="A369">
        <v>2019</v>
      </c>
      <c r="C369" t="s">
        <v>55</v>
      </c>
      <c r="D369" s="1">
        <v>672388</v>
      </c>
      <c r="E369" s="1">
        <v>10440223.536957301</v>
      </c>
      <c r="F369" s="1">
        <v>11112611.536957301</v>
      </c>
      <c r="G369">
        <f>IFERROR(VLOOKUP(C369,Match!$A$2:$B$84,2,FALSE),"")</f>
        <v>5401560</v>
      </c>
    </row>
    <row r="370" spans="1:7" x14ac:dyDescent="0.2">
      <c r="A370">
        <v>2019</v>
      </c>
      <c r="C370" t="s">
        <v>56</v>
      </c>
      <c r="D370" s="1">
        <v>69798</v>
      </c>
      <c r="E370" s="1">
        <v>1083764.2011042363</v>
      </c>
      <c r="F370" s="1">
        <v>1153562.2011042363</v>
      </c>
      <c r="G370">
        <f>IFERROR(VLOOKUP(C370,Match!$A$2:$B$84,2,FALSE),"")</f>
        <v>5401590</v>
      </c>
    </row>
    <row r="371" spans="1:7" x14ac:dyDescent="0.2">
      <c r="A371">
        <v>2019</v>
      </c>
      <c r="C371" t="s">
        <v>57</v>
      </c>
      <c r="D371" s="1">
        <v>1283820</v>
      </c>
      <c r="E371" s="1">
        <v>19933983.929041721</v>
      </c>
      <c r="F371" s="1">
        <v>21217803.929041721</v>
      </c>
      <c r="G371">
        <f>IFERROR(VLOOKUP(C371,Match!$A$2:$B$84,2,FALSE),"")</f>
        <v>5401620</v>
      </c>
    </row>
    <row r="372" spans="1:7" x14ac:dyDescent="0.2">
      <c r="A372">
        <v>2019</v>
      </c>
      <c r="C372" t="s">
        <v>58</v>
      </c>
      <c r="D372" s="1">
        <v>305456</v>
      </c>
      <c r="E372" s="1">
        <v>4742835.7485115379</v>
      </c>
      <c r="F372" s="1">
        <v>5048291.7485115379</v>
      </c>
      <c r="G372">
        <f>IFERROR(VLOOKUP(C372,Match!$A$2:$B$84,2,FALSE),"")</f>
        <v>5401650</v>
      </c>
    </row>
    <row r="373" spans="1:7" x14ac:dyDescent="0.2">
      <c r="A373">
        <v>2019</v>
      </c>
      <c r="C373" t="s">
        <v>59</v>
      </c>
      <c r="D373" s="1">
        <v>57177</v>
      </c>
      <c r="E373" s="1">
        <v>887794.20142271288</v>
      </c>
      <c r="F373" s="1">
        <v>944971.20142271288</v>
      </c>
      <c r="G373">
        <f>IFERROR(VLOOKUP(C373,Match!$A$2:$B$84,2,FALSE),"")</f>
        <v>0</v>
      </c>
    </row>
    <row r="374" spans="1:7" x14ac:dyDescent="0.2">
      <c r="A374">
        <v>2019</v>
      </c>
      <c r="C374" t="s">
        <v>60</v>
      </c>
      <c r="D374" s="1">
        <v>17402</v>
      </c>
      <c r="E374" s="1">
        <v>270200.51670394983</v>
      </c>
      <c r="F374" s="1">
        <v>287602.51670394983</v>
      </c>
      <c r="G374">
        <f>IFERROR(VLOOKUP(C374,Match!$A$2:$B$84,2,FALSE),"")</f>
        <v>0</v>
      </c>
    </row>
    <row r="375" spans="1:7" x14ac:dyDescent="0.2">
      <c r="A375">
        <v>2019</v>
      </c>
      <c r="C375" t="s">
        <v>61</v>
      </c>
      <c r="D375" s="1">
        <v>59069</v>
      </c>
      <c r="E375" s="1">
        <v>917170.77882168943</v>
      </c>
      <c r="F375" s="1">
        <v>976239.77882168943</v>
      </c>
      <c r="G375">
        <f>IFERROR(VLOOKUP(C375,Match!$A$2:$B$84,2,FALSE),"")</f>
        <v>0</v>
      </c>
    </row>
    <row r="376" spans="1:7" x14ac:dyDescent="0.2">
      <c r="A376">
        <v>2019</v>
      </c>
      <c r="C376" t="s">
        <v>62</v>
      </c>
      <c r="D376" s="1">
        <v>62247</v>
      </c>
      <c r="E376" s="1">
        <v>966508.52555168746</v>
      </c>
      <c r="F376" s="1">
        <v>1028755.5255516875</v>
      </c>
      <c r="G376">
        <f>IFERROR(VLOOKUP(C376,Match!$A$2:$B$84,2,FALSE),"")</f>
        <v>0</v>
      </c>
    </row>
    <row r="377" spans="1:7" x14ac:dyDescent="0.2">
      <c r="A377">
        <v>2019</v>
      </c>
      <c r="C377" t="s">
        <v>63</v>
      </c>
      <c r="D377" s="1">
        <v>104835</v>
      </c>
      <c r="E377" s="1">
        <v>1627783.1910248965</v>
      </c>
      <c r="F377" s="1">
        <v>1732618.1910248965</v>
      </c>
      <c r="G377">
        <f>IFERROR(VLOOKUP(C377,Match!$A$2:$B$84,2,FALSE),"")</f>
        <v>0</v>
      </c>
    </row>
    <row r="378" spans="1:7" x14ac:dyDescent="0.2">
      <c r="A378">
        <v>2019</v>
      </c>
      <c r="C378" t="s">
        <v>64</v>
      </c>
      <c r="D378" s="1">
        <v>17870</v>
      </c>
      <c r="E378" s="1">
        <v>277464.16684539913</v>
      </c>
      <c r="F378" s="1">
        <v>295334.16684539913</v>
      </c>
      <c r="G378">
        <f>IFERROR(VLOOKUP(C378,Match!$A$2:$B$84,2,FALSE),"")</f>
        <v>0</v>
      </c>
    </row>
    <row r="379" spans="1:7" x14ac:dyDescent="0.2">
      <c r="A379">
        <v>2019</v>
      </c>
      <c r="C379" t="s">
        <v>65</v>
      </c>
      <c r="D379" s="1">
        <v>302529</v>
      </c>
      <c r="E379" s="1">
        <v>4697395.3294535866</v>
      </c>
      <c r="F379" s="1">
        <v>4999924.3294535866</v>
      </c>
      <c r="G379">
        <f>IFERROR(VLOOKUP(C379,Match!$A$2:$B$84,2,FALSE),"")</f>
        <v>0</v>
      </c>
    </row>
    <row r="380" spans="1:7" x14ac:dyDescent="0.2">
      <c r="A380">
        <v>2019</v>
      </c>
      <c r="C380" t="s">
        <v>66</v>
      </c>
      <c r="D380" s="1">
        <v>36597</v>
      </c>
      <c r="E380" s="1">
        <v>568241.06943080062</v>
      </c>
      <c r="F380" s="1">
        <v>604838.06943080062</v>
      </c>
      <c r="G380">
        <f>IFERROR(VLOOKUP(C380,Match!$A$2:$B$84,2,FALSE),"")</f>
        <v>0</v>
      </c>
    </row>
    <row r="381" spans="1:7" x14ac:dyDescent="0.2">
      <c r="A381">
        <v>2019</v>
      </c>
      <c r="C381" t="s">
        <v>67</v>
      </c>
      <c r="D381" s="1">
        <v>45653</v>
      </c>
      <c r="E381" s="1">
        <v>708851.97389970208</v>
      </c>
      <c r="F381" s="1">
        <v>754504.97389970208</v>
      </c>
      <c r="G381">
        <f>IFERROR(VLOOKUP(C381,Match!$A$2:$B$84,2,FALSE),"")</f>
        <v>0</v>
      </c>
    </row>
    <row r="382" spans="1:7" x14ac:dyDescent="0.2">
      <c r="A382">
        <v>2019</v>
      </c>
      <c r="C382" t="s">
        <v>68</v>
      </c>
      <c r="D382" s="1">
        <v>576536</v>
      </c>
      <c r="E382" s="1">
        <v>8951919.8972061966</v>
      </c>
      <c r="F382" s="1">
        <v>9528455.8972061966</v>
      </c>
      <c r="G382">
        <f>IFERROR(VLOOKUP(C382,Match!$A$2:$B$84,2,FALSE),"")</f>
        <v>5401621</v>
      </c>
    </row>
    <row r="383" spans="1:7" x14ac:dyDescent="0.2">
      <c r="A383">
        <v>2019</v>
      </c>
      <c r="C383" t="s">
        <v>69</v>
      </c>
      <c r="D383" s="1">
        <v>68288</v>
      </c>
      <c r="E383" s="1">
        <v>1060309.8922821337</v>
      </c>
      <c r="F383" s="1">
        <v>1128597.8922821337</v>
      </c>
      <c r="G383">
        <f>IFERROR(VLOOKUP(C383,Match!$A$2:$B$84,2,FALSE),"")</f>
        <v>0</v>
      </c>
    </row>
    <row r="384" spans="1:7" x14ac:dyDescent="0.2">
      <c r="A384">
        <v>2019</v>
      </c>
      <c r="C384" t="s">
        <v>70</v>
      </c>
      <c r="D384" s="1">
        <v>701949</v>
      </c>
      <c r="E384" s="1">
        <v>10899228.483107077</v>
      </c>
      <c r="F384" s="1">
        <v>11601177.483107077</v>
      </c>
      <c r="G384">
        <f>IFERROR(VLOOKUP(C384,Match!$A$2:$B$84,2,FALSE),"")</f>
        <v>0</v>
      </c>
    </row>
    <row r="385" spans="1:7" x14ac:dyDescent="0.2">
      <c r="A385">
        <v>2019</v>
      </c>
      <c r="C385" t="s">
        <v>71</v>
      </c>
      <c r="D385" s="1">
        <v>65693</v>
      </c>
      <c r="E385" s="1">
        <v>1020023.9711130187</v>
      </c>
      <c r="F385" s="1">
        <v>1085716.9711130187</v>
      </c>
      <c r="G385">
        <f>IFERROR(VLOOKUP(C385,Match!$A$2:$B$84,2,FALSE),"")</f>
        <v>0</v>
      </c>
    </row>
    <row r="386" spans="1:7" x14ac:dyDescent="0.2">
      <c r="A386">
        <v>2019</v>
      </c>
      <c r="C386" t="s">
        <v>72</v>
      </c>
      <c r="D386" s="1">
        <v>30239</v>
      </c>
      <c r="E386" s="1">
        <v>469522.97029691172</v>
      </c>
      <c r="F386" s="1">
        <v>499761.97029691172</v>
      </c>
      <c r="G386">
        <f>IFERROR(VLOOKUP(C386,Match!$A$2:$B$84,2,FALSE),"")</f>
        <v>0</v>
      </c>
    </row>
    <row r="387" spans="1:7" x14ac:dyDescent="0.2">
      <c r="A387">
        <v>2019</v>
      </c>
      <c r="C387" t="s">
        <v>73</v>
      </c>
      <c r="D387" s="1">
        <v>14187</v>
      </c>
      <c r="E387" s="1">
        <v>220290.15909741455</v>
      </c>
      <c r="F387" s="1">
        <v>234477.15909741455</v>
      </c>
      <c r="G387">
        <f>IFERROR(VLOOKUP(C387,Match!$A$2:$B$84,2,FALSE),"")</f>
        <v>0</v>
      </c>
    </row>
    <row r="388" spans="1:7" x14ac:dyDescent="0.2">
      <c r="A388">
        <v>2019</v>
      </c>
      <c r="C388" t="s">
        <v>74</v>
      </c>
      <c r="D388" s="1">
        <v>10473</v>
      </c>
      <c r="E388" s="1">
        <v>162611.88326271417</v>
      </c>
      <c r="F388" s="1">
        <v>173084.88326271417</v>
      </c>
      <c r="G388">
        <f>IFERROR(VLOOKUP(C388,Match!$A$2:$B$84,2,FALSE),"")</f>
        <v>0</v>
      </c>
    </row>
    <row r="389" spans="1:7" x14ac:dyDescent="0.2">
      <c r="A389">
        <v>2019</v>
      </c>
      <c r="C389" t="s">
        <v>75</v>
      </c>
      <c r="D389" s="1">
        <v>8069</v>
      </c>
      <c r="E389" s="1">
        <v>125287.09638203619</v>
      </c>
      <c r="F389" s="1">
        <v>133356.09638203619</v>
      </c>
      <c r="G389">
        <f>IFERROR(VLOOKUP(C389,Match!$A$2:$B$84,2,FALSE),"")</f>
        <v>0</v>
      </c>
    </row>
    <row r="390" spans="1:7" x14ac:dyDescent="0.2">
      <c r="A390">
        <v>2019</v>
      </c>
      <c r="C390" t="s">
        <v>77</v>
      </c>
      <c r="D390" s="1">
        <v>9086</v>
      </c>
      <c r="E390" s="1">
        <v>141071.56688172411</v>
      </c>
      <c r="F390" s="1">
        <v>150157.56688172411</v>
      </c>
      <c r="G390">
        <f>IFERROR(VLOOKUP(C390,Match!$A$2:$B$84,2,FALSE),"")</f>
        <v>0</v>
      </c>
    </row>
    <row r="391" spans="1:7" x14ac:dyDescent="0.2">
      <c r="A391">
        <v>2019</v>
      </c>
      <c r="C391" t="s">
        <v>78</v>
      </c>
      <c r="D391" s="1">
        <v>10510</v>
      </c>
      <c r="E391" s="1">
        <v>163184.49413925153</v>
      </c>
      <c r="F391" s="1">
        <v>173694.49413925153</v>
      </c>
      <c r="G391">
        <f>IFERROR(VLOOKUP(C391,Match!$A$2:$B$84,2,FALSE),"")</f>
        <v>0</v>
      </c>
    </row>
    <row r="392" spans="1:7" x14ac:dyDescent="0.2">
      <c r="A392">
        <v>2019</v>
      </c>
      <c r="C392" t="s">
        <v>79</v>
      </c>
      <c r="D392" s="1">
        <v>3339</v>
      </c>
      <c r="E392" s="1">
        <v>51853.08716357658</v>
      </c>
      <c r="F392" s="1">
        <v>55192.08716357658</v>
      </c>
      <c r="G392">
        <f>IFERROR(VLOOKUP(C392,Match!$A$2:$B$84,2,FALSE),"")</f>
        <v>0</v>
      </c>
    </row>
    <row r="393" spans="1:7" x14ac:dyDescent="0.2">
      <c r="A393">
        <v>2019</v>
      </c>
      <c r="C393" t="s">
        <v>80</v>
      </c>
      <c r="D393" s="1">
        <v>2393453</v>
      </c>
      <c r="E393" s="1">
        <v>37163349.27070462</v>
      </c>
      <c r="F393" s="1">
        <v>39556802.27070462</v>
      </c>
      <c r="G393">
        <f>IFERROR(VLOOKUP(C393,Match!$A$2:$B$84,2,FALSE),"")</f>
        <v>0</v>
      </c>
    </row>
    <row r="394" spans="1:7" x14ac:dyDescent="0.2">
      <c r="A394">
        <v>2019</v>
      </c>
      <c r="C394" t="s">
        <v>81</v>
      </c>
      <c r="D394" s="1">
        <v>14645</v>
      </c>
      <c r="E394" s="1">
        <v>227400.25510125628</v>
      </c>
      <c r="F394" s="1">
        <v>242045.25510125628</v>
      </c>
      <c r="G394">
        <f>IFERROR(VLOOKUP(C394,Match!$A$2:$B$84,2,FALSE),"")</f>
        <v>0</v>
      </c>
    </row>
    <row r="395" spans="1:7" x14ac:dyDescent="0.2">
      <c r="A395">
        <v>2019</v>
      </c>
      <c r="C395" t="s">
        <v>82</v>
      </c>
      <c r="D395" s="1">
        <v>48039</v>
      </c>
      <c r="E395" s="1">
        <v>745897.38962109352</v>
      </c>
      <c r="F395" s="1">
        <v>793936.38962109352</v>
      </c>
      <c r="G395">
        <f>IFERROR(VLOOKUP(C395,Match!$A$2:$B$84,2,FALSE),"")</f>
        <v>0</v>
      </c>
    </row>
    <row r="396" spans="1:7" x14ac:dyDescent="0.2">
      <c r="A396">
        <v>2019</v>
      </c>
      <c r="C396" t="s">
        <v>87</v>
      </c>
      <c r="D396" s="1">
        <v>408885</v>
      </c>
      <c r="E396" s="1">
        <v>6348785.3834381942</v>
      </c>
      <c r="F396" s="1">
        <v>6757670.3834381942</v>
      </c>
      <c r="G396">
        <f>IFERROR(VLOOKUP(C396,Match!$A$2:$B$84,2,FALSE),"")</f>
        <v>5400058</v>
      </c>
    </row>
    <row r="397" spans="1:7" x14ac:dyDescent="0.2">
      <c r="A397">
        <v>2019</v>
      </c>
      <c r="C397" t="s">
        <v>88</v>
      </c>
      <c r="D397" s="1">
        <v>167167</v>
      </c>
      <c r="E397" s="1">
        <v>2595619.2295831949</v>
      </c>
      <c r="F397" s="1">
        <v>2762786.2295831949</v>
      </c>
      <c r="G397">
        <f>IFERROR(VLOOKUP(C397,Match!$A$2:$B$84,2,FALSE),"")</f>
        <v>5400059</v>
      </c>
    </row>
    <row r="398" spans="1:7" x14ac:dyDescent="0.2">
      <c r="A398">
        <v>2019</v>
      </c>
      <c r="C398" t="s">
        <v>89</v>
      </c>
      <c r="D398" s="1">
        <v>278138</v>
      </c>
      <c r="E398" s="1">
        <v>4318669.9859247925</v>
      </c>
      <c r="F398" s="1">
        <v>4596807.9859247925</v>
      </c>
      <c r="G398">
        <f>IFERROR(VLOOKUP(C398,Match!$A$2:$B$84,2,FALSE),"")</f>
        <v>5400061</v>
      </c>
    </row>
    <row r="399" spans="1:7" x14ac:dyDescent="0.2">
      <c r="A399">
        <v>2020</v>
      </c>
      <c r="B399" t="s">
        <v>90</v>
      </c>
      <c r="C399" t="s">
        <v>0</v>
      </c>
      <c r="D399" s="1">
        <v>19119</v>
      </c>
      <c r="E399" s="1">
        <v>302167.55638976453</v>
      </c>
      <c r="F399" s="1">
        <v>321286.55638976453</v>
      </c>
      <c r="G399">
        <f>IFERROR(VLOOKUP(C399,Match!$A$2:$B$84,2,FALSE),"")</f>
        <v>5400030</v>
      </c>
    </row>
    <row r="400" spans="1:7" x14ac:dyDescent="0.2">
      <c r="A400">
        <v>2020</v>
      </c>
      <c r="B400" t="s">
        <v>91</v>
      </c>
      <c r="C400" t="s">
        <v>1</v>
      </c>
      <c r="D400" s="1">
        <v>886455</v>
      </c>
      <c r="E400" s="1">
        <v>14009864.659624808</v>
      </c>
      <c r="F400" s="1">
        <v>14896319.659624808</v>
      </c>
      <c r="G400">
        <f>IFERROR(VLOOKUP(C400,Match!$A$2:$B$84,2,FALSE),"")</f>
        <v>5400060</v>
      </c>
    </row>
    <row r="401" spans="1:7" x14ac:dyDescent="0.2">
      <c r="A401">
        <v>2020</v>
      </c>
      <c r="B401" t="s">
        <v>92</v>
      </c>
      <c r="C401" t="s">
        <v>2</v>
      </c>
      <c r="D401" s="1">
        <v>263280</v>
      </c>
      <c r="E401" s="1">
        <v>4160971.530814575</v>
      </c>
      <c r="F401" s="1">
        <v>4424251.530814575</v>
      </c>
      <c r="G401">
        <f>IFERROR(VLOOKUP(C401,Match!$A$2:$B$84,2,FALSE),"")</f>
        <v>5400090</v>
      </c>
    </row>
    <row r="402" spans="1:7" x14ac:dyDescent="0.2">
      <c r="A402">
        <v>2020</v>
      </c>
      <c r="B402" t="s">
        <v>93</v>
      </c>
      <c r="C402" t="s">
        <v>3</v>
      </c>
      <c r="D402" s="1">
        <v>124319</v>
      </c>
      <c r="E402" s="1">
        <v>1964785.5658939218</v>
      </c>
      <c r="F402" s="1">
        <v>2089104.5658939218</v>
      </c>
      <c r="G402">
        <f>IFERROR(VLOOKUP(C402,Match!$A$2:$B$84,2,FALSE),"")</f>
        <v>5400120</v>
      </c>
    </row>
    <row r="403" spans="1:7" x14ac:dyDescent="0.2">
      <c r="A403">
        <v>2020</v>
      </c>
      <c r="B403" t="s">
        <v>94</v>
      </c>
      <c r="C403" t="s">
        <v>4</v>
      </c>
      <c r="D403" s="1">
        <v>481888</v>
      </c>
      <c r="E403" s="1">
        <v>7615942.1753631271</v>
      </c>
      <c r="F403" s="1">
        <v>8097830.1753631271</v>
      </c>
      <c r="G403">
        <f>IFERROR(VLOOKUP(C403,Match!$A$2:$B$84,2,FALSE),"")</f>
        <v>5400150</v>
      </c>
    </row>
    <row r="404" spans="1:7" x14ac:dyDescent="0.2">
      <c r="A404">
        <v>2020</v>
      </c>
      <c r="B404" t="s">
        <v>95</v>
      </c>
      <c r="C404" t="s">
        <v>5</v>
      </c>
      <c r="D404" s="1">
        <v>1225072</v>
      </c>
      <c r="E404" s="1">
        <v>19361504.621386368</v>
      </c>
      <c r="F404" s="1">
        <v>20586576.621386368</v>
      </c>
      <c r="G404">
        <f>IFERROR(VLOOKUP(C404,Match!$A$2:$B$84,2,FALSE),"")</f>
        <v>5400180</v>
      </c>
    </row>
    <row r="405" spans="1:7" x14ac:dyDescent="0.2">
      <c r="A405">
        <v>2020</v>
      </c>
      <c r="B405" t="s">
        <v>96</v>
      </c>
      <c r="C405" t="s">
        <v>6</v>
      </c>
      <c r="D405" s="1">
        <v>11256</v>
      </c>
      <c r="E405" s="1">
        <v>177903.61472539438</v>
      </c>
      <c r="F405" s="1">
        <v>189159.61472539438</v>
      </c>
      <c r="G405">
        <f>IFERROR(VLOOKUP(C405,Match!$A$2:$B$84,2,FALSE),"")</f>
        <v>5400210</v>
      </c>
    </row>
    <row r="406" spans="1:7" x14ac:dyDescent="0.2">
      <c r="A406">
        <v>2020</v>
      </c>
      <c r="B406" t="s">
        <v>97</v>
      </c>
      <c r="C406" t="s">
        <v>7</v>
      </c>
      <c r="D406" s="1">
        <v>98782</v>
      </c>
      <c r="E406" s="1">
        <v>1561191.0469091325</v>
      </c>
      <c r="F406" s="1">
        <v>1659973.0469091325</v>
      </c>
      <c r="G406">
        <f>IFERROR(VLOOKUP(C406,Match!$A$2:$B$84,2,FALSE),"")</f>
        <v>5400240</v>
      </c>
    </row>
    <row r="407" spans="1:7" x14ac:dyDescent="0.2">
      <c r="A407">
        <v>2020</v>
      </c>
      <c r="B407" t="s">
        <v>98</v>
      </c>
      <c r="C407" t="s">
        <v>8</v>
      </c>
      <c r="D407" s="1">
        <v>348052</v>
      </c>
      <c r="E407" s="1">
        <v>5500742.3028828381</v>
      </c>
      <c r="F407" s="1">
        <v>5848794.3028828381</v>
      </c>
      <c r="G407">
        <f>IFERROR(VLOOKUP(C407,Match!$A$2:$B$84,2,FALSE),"")</f>
        <v>5400270</v>
      </c>
    </row>
    <row r="408" spans="1:7" x14ac:dyDescent="0.2">
      <c r="A408">
        <v>2020</v>
      </c>
      <c r="B408" t="s">
        <v>99</v>
      </c>
      <c r="C408" t="s">
        <v>9</v>
      </c>
      <c r="D408" s="1">
        <v>469306</v>
      </c>
      <c r="E408" s="1">
        <v>7417091.090948198</v>
      </c>
      <c r="F408" s="1">
        <v>7886397.090948198</v>
      </c>
      <c r="G408">
        <f>IFERROR(VLOOKUP(C408,Match!$A$2:$B$84,2,FALSE),"")</f>
        <v>5400300</v>
      </c>
    </row>
    <row r="409" spans="1:7" x14ac:dyDescent="0.2">
      <c r="A409">
        <v>2020</v>
      </c>
      <c r="B409" t="s">
        <v>100</v>
      </c>
      <c r="C409" t="s">
        <v>10</v>
      </c>
      <c r="D409" s="1">
        <v>13725</v>
      </c>
      <c r="E409" s="1">
        <v>216908.83453087506</v>
      </c>
      <c r="F409" s="1">
        <v>230633.83453087506</v>
      </c>
      <c r="G409">
        <f>IFERROR(VLOOKUP(C409,Match!$A$2:$B$84,2,FALSE),"")</f>
        <v>5400330</v>
      </c>
    </row>
    <row r="410" spans="1:7" x14ac:dyDescent="0.2">
      <c r="A410">
        <v>2020</v>
      </c>
      <c r="B410" t="s">
        <v>101</v>
      </c>
      <c r="C410" t="s">
        <v>11</v>
      </c>
      <c r="D410" s="1">
        <v>53158</v>
      </c>
      <c r="E410" s="1">
        <v>840134.04110850464</v>
      </c>
      <c r="F410" s="1">
        <v>893292.04110850464</v>
      </c>
      <c r="G410">
        <f>IFERROR(VLOOKUP(C410,Match!$A$2:$B$84,2,FALSE),"")</f>
        <v>5400360</v>
      </c>
    </row>
    <row r="411" spans="1:7" x14ac:dyDescent="0.2">
      <c r="A411">
        <v>2020</v>
      </c>
      <c r="B411" t="s">
        <v>102</v>
      </c>
      <c r="C411" t="s">
        <v>12</v>
      </c>
      <c r="D411" s="1">
        <v>546061</v>
      </c>
      <c r="E411" s="1">
        <v>8630158.8458094988</v>
      </c>
      <c r="F411" s="1">
        <v>9176219.8458094988</v>
      </c>
      <c r="G411">
        <f>IFERROR(VLOOKUP(C411,Match!$A$2:$B$84,2,FALSE),"")</f>
        <v>5400390</v>
      </c>
    </row>
    <row r="412" spans="1:7" x14ac:dyDescent="0.2">
      <c r="A412">
        <v>2020</v>
      </c>
      <c r="B412" t="s">
        <v>103</v>
      </c>
      <c r="C412" t="s">
        <v>13</v>
      </c>
      <c r="D412" s="1">
        <v>162791</v>
      </c>
      <c r="E412" s="1">
        <v>2572813.7641772586</v>
      </c>
      <c r="F412" s="1">
        <v>2735604.7641772586</v>
      </c>
      <c r="G412">
        <f>IFERROR(VLOOKUP(C412,Match!$A$2:$B$84,2,FALSE),"")</f>
        <v>5400420</v>
      </c>
    </row>
    <row r="413" spans="1:7" x14ac:dyDescent="0.2">
      <c r="A413">
        <v>2020</v>
      </c>
      <c r="B413" t="s">
        <v>104</v>
      </c>
      <c r="C413" t="s">
        <v>14</v>
      </c>
      <c r="D413" s="1">
        <v>347904</v>
      </c>
      <c r="E413" s="1">
        <v>5498402.149472028</v>
      </c>
      <c r="F413" s="1">
        <v>5846306.149472028</v>
      </c>
      <c r="G413">
        <f>IFERROR(VLOOKUP(C413,Match!$A$2:$B$84,2,FALSE),"")</f>
        <v>5400450</v>
      </c>
    </row>
    <row r="414" spans="1:7" x14ac:dyDescent="0.2">
      <c r="A414">
        <v>2020</v>
      </c>
      <c r="B414" t="s">
        <v>105</v>
      </c>
      <c r="C414" t="s">
        <v>15</v>
      </c>
      <c r="D414" s="1">
        <v>116927</v>
      </c>
      <c r="E414" s="1">
        <v>1847964.750741042</v>
      </c>
      <c r="F414" s="1">
        <v>1964891.750741042</v>
      </c>
      <c r="G414">
        <f>IFERROR(VLOOKUP(C414,Match!$A$2:$B$84,2,FALSE),"")</f>
        <v>5400480</v>
      </c>
    </row>
    <row r="415" spans="1:7" x14ac:dyDescent="0.2">
      <c r="A415">
        <v>2020</v>
      </c>
      <c r="B415" t="s">
        <v>106</v>
      </c>
      <c r="C415" t="s">
        <v>16</v>
      </c>
      <c r="D415" s="1">
        <v>1075592</v>
      </c>
      <c r="E415" s="1">
        <v>16999058.853290495</v>
      </c>
      <c r="F415" s="1">
        <v>18074650.853290495</v>
      </c>
      <c r="G415">
        <f>IFERROR(VLOOKUP(C415,Match!$A$2:$B$84,2,FALSE),"")</f>
        <v>5400510</v>
      </c>
    </row>
    <row r="416" spans="1:7" x14ac:dyDescent="0.2">
      <c r="A416">
        <v>2020</v>
      </c>
      <c r="B416" t="s">
        <v>107</v>
      </c>
      <c r="C416" t="s">
        <v>17</v>
      </c>
      <c r="D416" s="1">
        <v>447102</v>
      </c>
      <c r="E416" s="1">
        <v>7066177.0014585583</v>
      </c>
      <c r="F416" s="1">
        <v>7513279.0014585583</v>
      </c>
      <c r="G416">
        <f>IFERROR(VLOOKUP(C416,Match!$A$2:$B$84,2,FALSE),"")</f>
        <v>5400540</v>
      </c>
    </row>
    <row r="417" spans="1:7" x14ac:dyDescent="0.2">
      <c r="A417">
        <v>2020</v>
      </c>
      <c r="B417" t="s">
        <v>108</v>
      </c>
      <c r="C417" t="s">
        <v>18</v>
      </c>
      <c r="D417" s="1">
        <v>936223</v>
      </c>
      <c r="E417" s="1">
        <v>14796415.983176162</v>
      </c>
      <c r="F417" s="1">
        <v>15732638.983176162</v>
      </c>
      <c r="G417">
        <f>IFERROR(VLOOKUP(C417,Match!$A$2:$B$84,2,FALSE),"")</f>
        <v>5400570</v>
      </c>
    </row>
    <row r="418" spans="1:7" x14ac:dyDescent="0.2">
      <c r="A418">
        <v>2020</v>
      </c>
      <c r="B418" t="s">
        <v>109</v>
      </c>
      <c r="C418" t="s">
        <v>19</v>
      </c>
      <c r="D418" s="1">
        <v>2102015</v>
      </c>
      <c r="E418" s="1">
        <v>33221039.90768062</v>
      </c>
      <c r="F418" s="1">
        <v>35323054.907680616</v>
      </c>
      <c r="G418">
        <f>IFERROR(VLOOKUP(C418,Match!$A$2:$B$84,2,FALSE),"")</f>
        <v>5400600</v>
      </c>
    </row>
    <row r="419" spans="1:7" x14ac:dyDescent="0.2">
      <c r="A419">
        <v>2020</v>
      </c>
      <c r="B419" t="s">
        <v>110</v>
      </c>
      <c r="C419" t="s">
        <v>20</v>
      </c>
      <c r="D419" s="1">
        <v>194265</v>
      </c>
      <c r="E419" s="1">
        <v>3070237.2416099263</v>
      </c>
      <c r="F419" s="1">
        <v>3264502.2416099263</v>
      </c>
      <c r="G419">
        <f>IFERROR(VLOOKUP(C419,Match!$A$2:$B$84,2,FALSE),"")</f>
        <v>5400630</v>
      </c>
    </row>
    <row r="420" spans="1:7" x14ac:dyDescent="0.2">
      <c r="A420">
        <v>2020</v>
      </c>
      <c r="B420" t="s">
        <v>111</v>
      </c>
      <c r="C420" t="s">
        <v>21</v>
      </c>
      <c r="D420" s="1">
        <v>226138</v>
      </c>
      <c r="E420" s="1">
        <v>3573976.7354765856</v>
      </c>
      <c r="F420" s="1">
        <v>3800114.7354765856</v>
      </c>
      <c r="G420">
        <f>IFERROR(VLOOKUP(C420,Match!$A$2:$B$84,2,FALSE),"")</f>
        <v>5400660</v>
      </c>
    </row>
    <row r="421" spans="1:7" x14ac:dyDescent="0.2">
      <c r="A421">
        <v>2020</v>
      </c>
      <c r="B421" t="s">
        <v>112</v>
      </c>
      <c r="C421" t="s">
        <v>22</v>
      </c>
      <c r="D421" s="1">
        <v>330101</v>
      </c>
      <c r="E421" s="1">
        <v>5217042.1740121124</v>
      </c>
      <c r="F421" s="1">
        <v>5547143.1740121124</v>
      </c>
      <c r="G421">
        <f>IFERROR(VLOOKUP(C421,Match!$A$2:$B$84,2,FALSE),"")</f>
        <v>5400690</v>
      </c>
    </row>
    <row r="422" spans="1:7" x14ac:dyDescent="0.2">
      <c r="A422">
        <v>2020</v>
      </c>
      <c r="B422" t="s">
        <v>113</v>
      </c>
      <c r="C422" t="s">
        <v>23</v>
      </c>
      <c r="D422" s="1">
        <v>1116245</v>
      </c>
      <c r="E422" s="1">
        <v>17641553.853317384</v>
      </c>
      <c r="F422" s="1">
        <v>18757798.853317384</v>
      </c>
      <c r="G422">
        <f>IFERROR(VLOOKUP(C422,Match!$A$2:$B$84,2,FALSE),"")</f>
        <v>5400720</v>
      </c>
    </row>
    <row r="423" spans="1:7" x14ac:dyDescent="0.2">
      <c r="A423">
        <v>2020</v>
      </c>
      <c r="B423" t="s">
        <v>114</v>
      </c>
      <c r="C423" t="s">
        <v>24</v>
      </c>
      <c r="D423" s="1">
        <v>1007601</v>
      </c>
      <c r="E423" s="1">
        <v>15924507.793697951</v>
      </c>
      <c r="F423" s="1">
        <v>16932108.793697953</v>
      </c>
      <c r="G423">
        <f>IFERROR(VLOOKUP(C423,Match!$A$2:$B$84,2,FALSE),"")</f>
        <v>5400750</v>
      </c>
    </row>
    <row r="424" spans="1:7" x14ac:dyDescent="0.2">
      <c r="A424">
        <v>2020</v>
      </c>
      <c r="B424" t="s">
        <v>115</v>
      </c>
      <c r="C424" t="s">
        <v>25</v>
      </c>
      <c r="D424" s="1">
        <v>196547</v>
      </c>
      <c r="E424" s="1">
        <v>3106296.7863379419</v>
      </c>
      <c r="F424" s="1">
        <v>3302843.7863379419</v>
      </c>
      <c r="G424">
        <f>IFERROR(VLOOKUP(C424,Match!$A$2:$B$84,2,FALSE),"")</f>
        <v>5400780</v>
      </c>
    </row>
    <row r="425" spans="1:7" x14ac:dyDescent="0.2">
      <c r="A425">
        <v>2020</v>
      </c>
      <c r="B425" t="s">
        <v>116</v>
      </c>
      <c r="C425" t="s">
        <v>30</v>
      </c>
      <c r="D425" s="1">
        <v>180185</v>
      </c>
      <c r="E425" s="1">
        <v>2847717.8344434961</v>
      </c>
      <c r="F425" s="1">
        <v>3027902.8344434961</v>
      </c>
      <c r="G425">
        <f>IFERROR(VLOOKUP(C425,Match!$A$2:$B$84,2,FALSE),"")</f>
        <v>5400810</v>
      </c>
    </row>
    <row r="426" spans="1:7" x14ac:dyDescent="0.2">
      <c r="A426">
        <v>2020</v>
      </c>
      <c r="B426" t="s">
        <v>117</v>
      </c>
      <c r="C426" t="s">
        <v>31</v>
      </c>
      <c r="D426" s="1">
        <v>618700</v>
      </c>
      <c r="E426" s="1">
        <v>9778168.9380751066</v>
      </c>
      <c r="F426" s="1">
        <v>10396868.938075107</v>
      </c>
      <c r="G426">
        <f>IFERROR(VLOOKUP(C426,Match!$A$2:$B$84,2,FALSE),"")</f>
        <v>5400840</v>
      </c>
    </row>
    <row r="427" spans="1:7" x14ac:dyDescent="0.2">
      <c r="A427">
        <v>2020</v>
      </c>
      <c r="B427" t="s">
        <v>118</v>
      </c>
      <c r="C427" t="s">
        <v>32</v>
      </c>
      <c r="D427" s="1">
        <v>388664</v>
      </c>
      <c r="E427" s="1">
        <v>6142588.8146151621</v>
      </c>
      <c r="F427" s="1">
        <v>6531252.8146151621</v>
      </c>
      <c r="G427">
        <f>IFERROR(VLOOKUP(C427,Match!$A$2:$B$84,2,FALSE),"")</f>
        <v>5400870</v>
      </c>
    </row>
    <row r="428" spans="1:7" x14ac:dyDescent="0.2">
      <c r="A428">
        <v>2020</v>
      </c>
      <c r="B428" t="s">
        <v>119</v>
      </c>
      <c r="C428" t="s">
        <v>33</v>
      </c>
      <c r="D428" s="1">
        <v>208176</v>
      </c>
      <c r="E428" s="1">
        <v>3290092.7512182663</v>
      </c>
      <c r="F428" s="1">
        <v>3498268.7512182663</v>
      </c>
      <c r="G428">
        <f>IFERROR(VLOOKUP(C428,Match!$A$2:$B$84,2,FALSE),"")</f>
        <v>5400900</v>
      </c>
    </row>
    <row r="429" spans="1:7" x14ac:dyDescent="0.2">
      <c r="A429">
        <v>2020</v>
      </c>
      <c r="B429" t="s">
        <v>120</v>
      </c>
      <c r="C429" t="s">
        <v>34</v>
      </c>
      <c r="D429" s="1">
        <v>1189444</v>
      </c>
      <c r="E429" s="1">
        <v>18798416.959691349</v>
      </c>
      <c r="F429" s="1">
        <v>19987860.959691349</v>
      </c>
      <c r="G429">
        <f>IFERROR(VLOOKUP(C429,Match!$A$2:$B$84,2,FALSE),"")</f>
        <v>5400930</v>
      </c>
    </row>
    <row r="430" spans="1:7" x14ac:dyDescent="0.2">
      <c r="A430">
        <v>2020</v>
      </c>
      <c r="B430" t="s">
        <v>121</v>
      </c>
      <c r="C430" t="s">
        <v>35</v>
      </c>
      <c r="D430" s="1">
        <v>111988</v>
      </c>
      <c r="E430" s="1">
        <v>1769895.3556262054</v>
      </c>
      <c r="F430" s="1">
        <v>1881883.3556262054</v>
      </c>
      <c r="G430">
        <f>IFERROR(VLOOKUP(C430,Match!$A$2:$B$84,2,FALSE),"")</f>
        <v>5400960</v>
      </c>
    </row>
    <row r="431" spans="1:7" x14ac:dyDescent="0.2">
      <c r="A431">
        <v>2020</v>
      </c>
      <c r="B431" t="s">
        <v>122</v>
      </c>
      <c r="C431" t="s">
        <v>36</v>
      </c>
      <c r="D431" s="1">
        <v>130808</v>
      </c>
      <c r="E431" s="1">
        <v>2067340.6385664453</v>
      </c>
      <c r="F431" s="1">
        <v>2198148.6385664456</v>
      </c>
      <c r="G431">
        <f>IFERROR(VLOOKUP(C431,Match!$A$2:$B$84,2,FALSE),"")</f>
        <v>5400990</v>
      </c>
    </row>
    <row r="432" spans="1:7" x14ac:dyDescent="0.2">
      <c r="A432">
        <v>2020</v>
      </c>
      <c r="B432" t="s">
        <v>123</v>
      </c>
      <c r="C432" t="s">
        <v>37</v>
      </c>
      <c r="D432" s="1">
        <v>139614</v>
      </c>
      <c r="E432" s="1">
        <v>2206504.8221297646</v>
      </c>
      <c r="F432" s="1">
        <v>2346118.8221297646</v>
      </c>
      <c r="G432">
        <f>IFERROR(VLOOKUP(C432,Match!$A$2:$B$84,2,FALSE),"")</f>
        <v>5401020</v>
      </c>
    </row>
    <row r="433" spans="1:7" x14ac:dyDescent="0.2">
      <c r="A433">
        <v>2020</v>
      </c>
      <c r="B433" t="s">
        <v>124</v>
      </c>
      <c r="C433" t="s">
        <v>38</v>
      </c>
      <c r="D433" s="1">
        <v>602036</v>
      </c>
      <c r="E433" s="1">
        <v>9514795.7683512922</v>
      </c>
      <c r="F433" s="1">
        <v>10116831.768351292</v>
      </c>
      <c r="G433">
        <f>IFERROR(VLOOKUP(C433,Match!$A$2:$B$84,2,FALSE),"")</f>
        <v>5401050</v>
      </c>
    </row>
    <row r="434" spans="1:7" x14ac:dyDescent="0.2">
      <c r="A434">
        <v>2020</v>
      </c>
      <c r="B434" t="s">
        <v>125</v>
      </c>
      <c r="C434" t="s">
        <v>39</v>
      </c>
      <c r="D434" s="1">
        <v>0</v>
      </c>
      <c r="E434" s="1">
        <v>0</v>
      </c>
      <c r="F434" s="1">
        <v>0</v>
      </c>
      <c r="G434">
        <f>IFERROR(VLOOKUP(C434,Match!$A$2:$B$84,2,FALSE),"")</f>
        <v>5401080</v>
      </c>
    </row>
    <row r="435" spans="1:7" x14ac:dyDescent="0.2">
      <c r="A435">
        <v>2020</v>
      </c>
      <c r="B435" t="s">
        <v>126</v>
      </c>
      <c r="C435" t="s">
        <v>40</v>
      </c>
      <c r="D435" s="1">
        <v>146431</v>
      </c>
      <c r="E435" s="1">
        <v>2314247.8011587812</v>
      </c>
      <c r="F435" s="1">
        <v>2460678.8011587812</v>
      </c>
      <c r="G435">
        <f>IFERROR(VLOOKUP(C435,Match!$A$2:$B$84,2,FALSE),"")</f>
        <v>5401110</v>
      </c>
    </row>
    <row r="436" spans="1:7" x14ac:dyDescent="0.2">
      <c r="A436">
        <v>2020</v>
      </c>
      <c r="B436" t="s">
        <v>127</v>
      </c>
      <c r="C436" t="s">
        <v>41</v>
      </c>
      <c r="D436" s="1">
        <v>40178</v>
      </c>
      <c r="E436" s="1">
        <v>634980.92913555191</v>
      </c>
      <c r="F436" s="1">
        <v>675158.92913555191</v>
      </c>
      <c r="G436">
        <f>IFERROR(VLOOKUP(C436,Match!$A$2:$B$84,2,FALSE),"")</f>
        <v>5401140</v>
      </c>
    </row>
    <row r="437" spans="1:7" x14ac:dyDescent="0.2">
      <c r="A437">
        <v>2020</v>
      </c>
      <c r="B437" t="s">
        <v>128</v>
      </c>
      <c r="C437" t="s">
        <v>42</v>
      </c>
      <c r="D437" s="1">
        <v>143877</v>
      </c>
      <c r="E437" s="1">
        <v>2273888.6492603025</v>
      </c>
      <c r="F437" s="1">
        <v>2417765.6492603025</v>
      </c>
      <c r="G437">
        <f>IFERROR(VLOOKUP(C437,Match!$A$2:$B$84,2,FALSE),"")</f>
        <v>5401170</v>
      </c>
    </row>
    <row r="438" spans="1:7" x14ac:dyDescent="0.2">
      <c r="A438">
        <v>2020</v>
      </c>
      <c r="B438" t="s">
        <v>129</v>
      </c>
      <c r="C438" t="s">
        <v>43</v>
      </c>
      <c r="D438" s="1">
        <v>978197</v>
      </c>
      <c r="E438" s="1">
        <v>15459788.508512739</v>
      </c>
      <c r="F438" s="1">
        <v>16437985.508512739</v>
      </c>
      <c r="G438">
        <f>IFERROR(VLOOKUP(C438,Match!$A$2:$B$84,2,FALSE),"")</f>
        <v>5401200</v>
      </c>
    </row>
    <row r="439" spans="1:7" x14ac:dyDescent="0.2">
      <c r="A439">
        <v>2020</v>
      </c>
      <c r="B439" t="s">
        <v>130</v>
      </c>
      <c r="C439" t="s">
        <v>44</v>
      </c>
      <c r="D439" s="1">
        <v>1013681</v>
      </c>
      <c r="E439" s="1">
        <v>16020591.972300826</v>
      </c>
      <c r="F439" s="1">
        <v>17034272.972300828</v>
      </c>
      <c r="G439">
        <f>IFERROR(VLOOKUP(C439,Match!$A$2:$B$84,2,FALSE),"")</f>
        <v>5401230</v>
      </c>
    </row>
    <row r="440" spans="1:7" x14ac:dyDescent="0.2">
      <c r="A440">
        <v>2020</v>
      </c>
      <c r="B440" t="s">
        <v>131</v>
      </c>
      <c r="C440" t="s">
        <v>45</v>
      </c>
      <c r="D440" s="1">
        <v>135763</v>
      </c>
      <c r="E440" s="1">
        <v>2145648.8445727499</v>
      </c>
      <c r="F440" s="1">
        <v>2281411.8445727499</v>
      </c>
      <c r="G440">
        <f>IFERROR(VLOOKUP(C440,Match!$A$2:$B$84,2,FALSE),"")</f>
        <v>5401260</v>
      </c>
    </row>
    <row r="441" spans="1:7" x14ac:dyDescent="0.2">
      <c r="A441">
        <v>2020</v>
      </c>
      <c r="B441" t="s">
        <v>132</v>
      </c>
      <c r="C441" t="s">
        <v>46</v>
      </c>
      <c r="D441" s="1">
        <v>76392</v>
      </c>
      <c r="E441" s="1">
        <v>1207330.2823420288</v>
      </c>
      <c r="F441" s="1">
        <v>1283722.2823420288</v>
      </c>
      <c r="G441">
        <f>IFERROR(VLOOKUP(C441,Match!$A$2:$B$84,2,FALSE),"")</f>
        <v>5401290</v>
      </c>
    </row>
    <row r="442" spans="1:7" x14ac:dyDescent="0.2">
      <c r="A442">
        <v>2020</v>
      </c>
      <c r="B442" t="s">
        <v>133</v>
      </c>
      <c r="C442" t="s">
        <v>47</v>
      </c>
      <c r="D442" s="1">
        <v>110433</v>
      </c>
      <c r="E442" s="1">
        <v>1745324.744812706</v>
      </c>
      <c r="F442" s="1">
        <v>1855757.744812706</v>
      </c>
      <c r="G442">
        <f>IFERROR(VLOOKUP(C442,Match!$A$2:$B$84,2,FALSE),"")</f>
        <v>5401320</v>
      </c>
    </row>
    <row r="443" spans="1:7" x14ac:dyDescent="0.2">
      <c r="A443">
        <v>2020</v>
      </c>
      <c r="B443" t="s">
        <v>134</v>
      </c>
      <c r="C443" t="s">
        <v>48</v>
      </c>
      <c r="D443" s="1">
        <v>28070</v>
      </c>
      <c r="E443" s="1">
        <v>443629.92673598742</v>
      </c>
      <c r="F443" s="1">
        <v>471699.92673598742</v>
      </c>
      <c r="G443">
        <f>IFERROR(VLOOKUP(C443,Match!$A$2:$B$84,2,FALSE),"")</f>
        <v>5401350</v>
      </c>
    </row>
    <row r="444" spans="1:7" x14ac:dyDescent="0.2">
      <c r="A444">
        <v>2020</v>
      </c>
      <c r="B444" t="s">
        <v>135</v>
      </c>
      <c r="C444" t="s">
        <v>49</v>
      </c>
      <c r="D444" s="1">
        <v>131589</v>
      </c>
      <c r="E444" s="1">
        <v>2079689.8939150542</v>
      </c>
      <c r="F444" s="1">
        <v>2211278.8939150544</v>
      </c>
      <c r="G444">
        <f>IFERROR(VLOOKUP(C444,Match!$A$2:$B$84,2,FALSE),"")</f>
        <v>5401380</v>
      </c>
    </row>
    <row r="445" spans="1:7" x14ac:dyDescent="0.2">
      <c r="A445">
        <v>2020</v>
      </c>
      <c r="B445" t="s">
        <v>136</v>
      </c>
      <c r="C445" t="s">
        <v>50</v>
      </c>
      <c r="D445" s="1">
        <v>0</v>
      </c>
      <c r="E445" s="1">
        <v>0</v>
      </c>
      <c r="F445" s="1">
        <v>0</v>
      </c>
      <c r="G445">
        <f>IFERROR(VLOOKUP(C445,Match!$A$2:$B$84,2,FALSE),"")</f>
        <v>5401410</v>
      </c>
    </row>
    <row r="446" spans="1:7" x14ac:dyDescent="0.2">
      <c r="A446">
        <v>2020</v>
      </c>
      <c r="B446" t="s">
        <v>137</v>
      </c>
      <c r="C446" t="s">
        <v>51</v>
      </c>
      <c r="D446" s="1">
        <v>160570</v>
      </c>
      <c r="E446" s="1">
        <v>2537712.4630151168</v>
      </c>
      <c r="F446" s="1">
        <v>2698282.4630151168</v>
      </c>
      <c r="G446">
        <f>IFERROR(VLOOKUP(C446,Match!$A$2:$B$84,2,FALSE),"")</f>
        <v>5401440</v>
      </c>
    </row>
    <row r="447" spans="1:7" x14ac:dyDescent="0.2">
      <c r="A447">
        <v>2020</v>
      </c>
      <c r="B447" t="s">
        <v>138</v>
      </c>
      <c r="C447" t="s">
        <v>52</v>
      </c>
      <c r="D447" s="1">
        <v>233247</v>
      </c>
      <c r="E447" s="1">
        <v>3686329.0769473775</v>
      </c>
      <c r="F447" s="1">
        <v>3919576.0769473775</v>
      </c>
      <c r="G447">
        <f>IFERROR(VLOOKUP(C447,Match!$A$2:$B$84,2,FALSE),"")</f>
        <v>5401470</v>
      </c>
    </row>
    <row r="448" spans="1:7" x14ac:dyDescent="0.2">
      <c r="A448">
        <v>2020</v>
      </c>
      <c r="B448" t="s">
        <v>139</v>
      </c>
      <c r="C448" t="s">
        <v>53</v>
      </c>
      <c r="D448" s="1">
        <v>462329</v>
      </c>
      <c r="E448" s="1">
        <v>7306825.1031207778</v>
      </c>
      <c r="F448" s="1">
        <v>7769154.1031207778</v>
      </c>
      <c r="G448">
        <f>IFERROR(VLOOKUP(C448,Match!$A$2:$B$84,2,FALSE),"")</f>
        <v>5401500</v>
      </c>
    </row>
    <row r="449" spans="1:7" x14ac:dyDescent="0.2">
      <c r="A449">
        <v>2020</v>
      </c>
      <c r="B449" t="s">
        <v>140</v>
      </c>
      <c r="C449" t="s">
        <v>54</v>
      </c>
      <c r="D449" s="1">
        <v>16967</v>
      </c>
      <c r="E449" s="1">
        <v>268151.39867721486</v>
      </c>
      <c r="F449" s="1">
        <v>285118.39867721486</v>
      </c>
      <c r="G449">
        <f>IFERROR(VLOOKUP(C449,Match!$A$2:$B$84,2,FALSE),"")</f>
        <v>5401530</v>
      </c>
    </row>
    <row r="450" spans="1:7" x14ac:dyDescent="0.2">
      <c r="A450">
        <v>2020</v>
      </c>
      <c r="B450" t="s">
        <v>141</v>
      </c>
      <c r="C450" t="s">
        <v>55</v>
      </c>
      <c r="D450" s="1">
        <v>681057</v>
      </c>
      <c r="E450" s="1">
        <v>10763684.25704914</v>
      </c>
      <c r="F450" s="1">
        <v>11444741.25704914</v>
      </c>
      <c r="G450">
        <f>IFERROR(VLOOKUP(C450,Match!$A$2:$B$84,2,FALSE),"")</f>
        <v>5401560</v>
      </c>
    </row>
    <row r="451" spans="1:7" x14ac:dyDescent="0.2">
      <c r="A451">
        <v>2020</v>
      </c>
      <c r="B451" t="s">
        <v>142</v>
      </c>
      <c r="C451" t="s">
        <v>56</v>
      </c>
      <c r="D451" s="1">
        <v>29561</v>
      </c>
      <c r="E451" s="1">
        <v>467200.32735570689</v>
      </c>
      <c r="F451" s="1">
        <v>496761.32735570689</v>
      </c>
      <c r="G451">
        <f>IFERROR(VLOOKUP(C451,Match!$A$2:$B$84,2,FALSE),"")</f>
        <v>5401590</v>
      </c>
    </row>
    <row r="452" spans="1:7" x14ac:dyDescent="0.2">
      <c r="A452">
        <v>2020</v>
      </c>
      <c r="B452" t="s">
        <v>143</v>
      </c>
      <c r="C452" t="s">
        <v>57</v>
      </c>
      <c r="D452" s="1">
        <v>1055390</v>
      </c>
      <c r="E452" s="1">
        <v>16679777.80147469</v>
      </c>
      <c r="F452" s="1">
        <v>17735167.80147469</v>
      </c>
      <c r="G452">
        <f>IFERROR(VLOOKUP(C452,Match!$A$2:$B$84,2,FALSE),"")</f>
        <v>5401620</v>
      </c>
    </row>
    <row r="453" spans="1:7" x14ac:dyDescent="0.2">
      <c r="A453">
        <v>2020</v>
      </c>
      <c r="B453" t="s">
        <v>144</v>
      </c>
      <c r="C453" t="s">
        <v>58</v>
      </c>
      <c r="D453" s="1">
        <v>249002</v>
      </c>
      <c r="E453" s="1">
        <v>3935322.5931830863</v>
      </c>
      <c r="F453" s="1">
        <v>4184324.5931830863</v>
      </c>
      <c r="G453">
        <f>IFERROR(VLOOKUP(C453,Match!$A$2:$B$84,2,FALSE),"")</f>
        <v>5401650</v>
      </c>
    </row>
    <row r="454" spans="1:7" x14ac:dyDescent="0.2">
      <c r="A454">
        <v>2020</v>
      </c>
      <c r="B454" t="s">
        <v>145</v>
      </c>
      <c r="C454" t="s">
        <v>59</v>
      </c>
      <c r="D454" s="1">
        <v>55745</v>
      </c>
      <c r="E454" s="1">
        <v>881014.78141782654</v>
      </c>
      <c r="F454" s="1">
        <v>936759.78141782654</v>
      </c>
      <c r="G454">
        <f>IFERROR(VLOOKUP(C454,Match!$A$2:$B$84,2,FALSE),"")</f>
        <v>0</v>
      </c>
    </row>
    <row r="455" spans="1:7" x14ac:dyDescent="0.2">
      <c r="A455">
        <v>2020</v>
      </c>
      <c r="B455" t="s">
        <v>146</v>
      </c>
      <c r="C455" t="s">
        <v>60</v>
      </c>
      <c r="D455" s="1">
        <v>17415</v>
      </c>
      <c r="E455" s="1">
        <v>275227.81441351824</v>
      </c>
      <c r="F455" s="1">
        <v>292642.81441351824</v>
      </c>
      <c r="G455">
        <f>IFERROR(VLOOKUP(C455,Match!$A$2:$B$84,2,FALSE),"")</f>
        <v>0</v>
      </c>
    </row>
    <row r="456" spans="1:7" x14ac:dyDescent="0.2">
      <c r="A456">
        <v>2020</v>
      </c>
      <c r="B456" t="s">
        <v>147</v>
      </c>
      <c r="C456" t="s">
        <v>61</v>
      </c>
      <c r="D456" s="1">
        <v>44640</v>
      </c>
      <c r="E456" s="1">
        <v>705508.27560711664</v>
      </c>
      <c r="F456" s="1">
        <v>750148.27560711664</v>
      </c>
      <c r="G456">
        <f>IFERROR(VLOOKUP(C456,Match!$A$2:$B$84,2,FALSE),"")</f>
        <v>0</v>
      </c>
    </row>
    <row r="457" spans="1:7" x14ac:dyDescent="0.2">
      <c r="A457">
        <v>2020</v>
      </c>
      <c r="B457" t="s">
        <v>148</v>
      </c>
      <c r="C457" t="s">
        <v>62</v>
      </c>
      <c r="D457" s="1">
        <v>57060</v>
      </c>
      <c r="E457" s="1">
        <v>901793.38459573721</v>
      </c>
      <c r="F457" s="1">
        <v>958853.38459573721</v>
      </c>
      <c r="G457">
        <f>IFERROR(VLOOKUP(C457,Match!$A$2:$B$84,2,FALSE),"")</f>
        <v>0</v>
      </c>
    </row>
    <row r="458" spans="1:7" x14ac:dyDescent="0.2">
      <c r="A458">
        <v>2020</v>
      </c>
      <c r="B458" t="s">
        <v>149</v>
      </c>
      <c r="C458" t="s">
        <v>63</v>
      </c>
      <c r="D458" s="1">
        <v>97347</v>
      </c>
      <c r="E458" s="1">
        <v>1538508.945475443</v>
      </c>
      <c r="F458" s="1">
        <v>1635855.945475443</v>
      </c>
      <c r="G458">
        <f>IFERROR(VLOOKUP(C458,Match!$A$2:$B$84,2,FALSE),"")</f>
        <v>0</v>
      </c>
    </row>
    <row r="459" spans="1:7" x14ac:dyDescent="0.2">
      <c r="A459">
        <v>2020</v>
      </c>
      <c r="B459" t="s">
        <v>150</v>
      </c>
      <c r="C459" t="s">
        <v>64</v>
      </c>
      <c r="D459" s="1">
        <v>16768</v>
      </c>
      <c r="E459" s="1">
        <v>265007.87933618773</v>
      </c>
      <c r="F459" s="1">
        <v>281775.87933618773</v>
      </c>
      <c r="G459">
        <f>IFERROR(VLOOKUP(C459,Match!$A$2:$B$84,2,FALSE),"")</f>
        <v>0</v>
      </c>
    </row>
    <row r="460" spans="1:7" x14ac:dyDescent="0.2">
      <c r="A460">
        <v>2020</v>
      </c>
      <c r="B460" t="s">
        <v>151</v>
      </c>
      <c r="C460" t="s">
        <v>65</v>
      </c>
      <c r="D460" s="1">
        <v>281570</v>
      </c>
      <c r="E460" s="1">
        <v>4450043.4214293873</v>
      </c>
      <c r="F460" s="1">
        <v>4731613.4214293873</v>
      </c>
      <c r="G460">
        <f>IFERROR(VLOOKUP(C460,Match!$A$2:$B$84,2,FALSE),"")</f>
        <v>0</v>
      </c>
    </row>
    <row r="461" spans="1:7" x14ac:dyDescent="0.2">
      <c r="A461">
        <v>2020</v>
      </c>
      <c r="B461" t="s">
        <v>152</v>
      </c>
      <c r="C461" t="s">
        <v>66</v>
      </c>
      <c r="D461" s="1">
        <v>31598</v>
      </c>
      <c r="E461" s="1">
        <v>499382.93119232135</v>
      </c>
      <c r="F461" s="1">
        <v>530980.93119232135</v>
      </c>
      <c r="G461">
        <f>IFERROR(VLOOKUP(C461,Match!$A$2:$B$84,2,FALSE),"")</f>
        <v>0</v>
      </c>
    </row>
    <row r="462" spans="1:7" x14ac:dyDescent="0.2">
      <c r="A462">
        <v>2020</v>
      </c>
      <c r="B462" t="s">
        <v>153</v>
      </c>
      <c r="C462" t="s">
        <v>67</v>
      </c>
      <c r="D462" s="1">
        <v>43918</v>
      </c>
      <c r="E462" s="1">
        <v>694089.28607244405</v>
      </c>
      <c r="F462" s="1">
        <v>738007.28607244405</v>
      </c>
      <c r="G462">
        <f>IFERROR(VLOOKUP(C462,Match!$A$2:$B$84,2,FALSE),"")</f>
        <v>0</v>
      </c>
    </row>
    <row r="463" spans="1:7" x14ac:dyDescent="0.2">
      <c r="A463">
        <v>2020</v>
      </c>
      <c r="B463" t="s">
        <v>159</v>
      </c>
      <c r="C463" t="s">
        <v>68</v>
      </c>
      <c r="D463" s="1">
        <v>573268</v>
      </c>
      <c r="E463" s="1">
        <v>9060142.5406077541</v>
      </c>
      <c r="F463" s="1">
        <v>9633410.5406077541</v>
      </c>
      <c r="G463">
        <f>IFERROR(VLOOKUP(C463,Match!$A$2:$B$84,2,FALSE),"")</f>
        <v>5401621</v>
      </c>
    </row>
    <row r="464" spans="1:7" x14ac:dyDescent="0.2">
      <c r="A464">
        <v>2020</v>
      </c>
      <c r="B464" t="s">
        <v>160</v>
      </c>
      <c r="C464" t="s">
        <v>69</v>
      </c>
      <c r="D464" s="1">
        <v>56952</v>
      </c>
      <c r="E464" s="1">
        <v>900087.73060352064</v>
      </c>
      <c r="F464" s="1">
        <v>957039.73060352064</v>
      </c>
      <c r="G464">
        <f>IFERROR(VLOOKUP(C464,Match!$A$2:$B$84,2,FALSE),"")</f>
        <v>0</v>
      </c>
    </row>
    <row r="465" spans="1:7" x14ac:dyDescent="0.2">
      <c r="A465">
        <v>2020</v>
      </c>
      <c r="B465" t="s">
        <v>161</v>
      </c>
      <c r="C465" t="s">
        <v>70</v>
      </c>
      <c r="D465" s="1">
        <v>610314</v>
      </c>
      <c r="E465" s="1">
        <v>9645629.52621709</v>
      </c>
      <c r="F465" s="1">
        <v>10255943.52621709</v>
      </c>
      <c r="G465">
        <f>IFERROR(VLOOKUP(C465,Match!$A$2:$B$84,2,FALSE),"")</f>
        <v>0</v>
      </c>
    </row>
    <row r="466" spans="1:7" x14ac:dyDescent="0.2">
      <c r="A466">
        <v>2020</v>
      </c>
      <c r="B466" t="s">
        <v>162</v>
      </c>
      <c r="C466" t="s">
        <v>71</v>
      </c>
      <c r="D466" s="1">
        <v>63111</v>
      </c>
      <c r="E466" s="1">
        <v>997426.91916761326</v>
      </c>
      <c r="F466" s="1">
        <v>1060537.9191676131</v>
      </c>
      <c r="G466">
        <f>IFERROR(VLOOKUP(C466,Match!$A$2:$B$84,2,FALSE),"")</f>
        <v>0</v>
      </c>
    </row>
    <row r="467" spans="1:7" x14ac:dyDescent="0.2">
      <c r="A467">
        <v>2020</v>
      </c>
      <c r="B467" t="s">
        <v>163</v>
      </c>
      <c r="C467" t="s">
        <v>72</v>
      </c>
      <c r="D467" s="1">
        <v>28757</v>
      </c>
      <c r="E467" s="1">
        <v>454484.36123191082</v>
      </c>
      <c r="F467" s="1">
        <v>483241.36123191082</v>
      </c>
      <c r="G467">
        <f>IFERROR(VLOOKUP(C467,Match!$A$2:$B$84,2,FALSE),"")</f>
        <v>0</v>
      </c>
    </row>
    <row r="468" spans="1:7" x14ac:dyDescent="0.2">
      <c r="A468">
        <v>2020</v>
      </c>
      <c r="B468" t="s">
        <v>164</v>
      </c>
      <c r="C468" t="s">
        <v>73</v>
      </c>
      <c r="D468" s="1">
        <v>17649</v>
      </c>
      <c r="E468" s="1">
        <v>278935.88879329467</v>
      </c>
      <c r="F468" s="1">
        <v>296584.88879329467</v>
      </c>
      <c r="G468">
        <f>IFERROR(VLOOKUP(C468,Match!$A$2:$B$84,2,FALSE),"")</f>
        <v>0</v>
      </c>
    </row>
    <row r="469" spans="1:7" x14ac:dyDescent="0.2">
      <c r="A469">
        <v>2020</v>
      </c>
      <c r="B469" t="s">
        <v>165</v>
      </c>
      <c r="C469" t="s">
        <v>74</v>
      </c>
      <c r="D469" s="1">
        <v>10425</v>
      </c>
      <c r="E469" s="1">
        <v>164764.98232253641</v>
      </c>
      <c r="F469" s="1">
        <v>175189.98232253641</v>
      </c>
      <c r="G469">
        <f>IFERROR(VLOOKUP(C469,Match!$A$2:$B$84,2,FALSE),"")</f>
        <v>0</v>
      </c>
    </row>
    <row r="470" spans="1:7" x14ac:dyDescent="0.2">
      <c r="A470">
        <v>2020</v>
      </c>
      <c r="B470" t="s">
        <v>166</v>
      </c>
      <c r="C470" t="s">
        <v>75</v>
      </c>
      <c r="D470" s="1">
        <v>7587</v>
      </c>
      <c r="E470" s="1">
        <v>119908.37899003206</v>
      </c>
      <c r="F470" s="1">
        <v>127495.37899003206</v>
      </c>
      <c r="G470">
        <f>IFERROR(VLOOKUP(C470,Match!$A$2:$B$84,2,FALSE),"")</f>
        <v>0</v>
      </c>
    </row>
    <row r="471" spans="1:7" x14ac:dyDescent="0.2">
      <c r="A471">
        <v>2020</v>
      </c>
      <c r="B471" t="s">
        <v>167</v>
      </c>
      <c r="C471" t="s">
        <v>77</v>
      </c>
      <c r="D471" s="1">
        <v>10420</v>
      </c>
      <c r="E471" s="1">
        <v>164680.04906672402</v>
      </c>
      <c r="F471" s="1">
        <v>175100.04906672402</v>
      </c>
      <c r="G471">
        <f>IFERROR(VLOOKUP(C471,Match!$A$2:$B$84,2,FALSE),"")</f>
        <v>0</v>
      </c>
    </row>
    <row r="472" spans="1:7" x14ac:dyDescent="0.2">
      <c r="A472">
        <v>2020</v>
      </c>
      <c r="B472" t="s">
        <v>168</v>
      </c>
      <c r="C472" t="s">
        <v>78</v>
      </c>
      <c r="D472" s="1">
        <v>11247</v>
      </c>
      <c r="E472" s="1">
        <v>177747.73708973834</v>
      </c>
      <c r="F472" s="1">
        <v>188994.73708973834</v>
      </c>
      <c r="G472">
        <f>IFERROR(VLOOKUP(C472,Match!$A$2:$B$84,2,FALSE),"")</f>
        <v>0</v>
      </c>
    </row>
    <row r="473" spans="1:7" x14ac:dyDescent="0.2">
      <c r="A473">
        <v>2020</v>
      </c>
      <c r="B473" t="s">
        <v>169</v>
      </c>
      <c r="C473" t="s">
        <v>80</v>
      </c>
      <c r="D473" s="1">
        <v>2441560</v>
      </c>
      <c r="E473" s="1">
        <v>38587325.311573699</v>
      </c>
      <c r="F473" s="1">
        <v>41028885.311573699</v>
      </c>
      <c r="G473">
        <f>IFERROR(VLOOKUP(C473,Match!$A$2:$B$84,2,FALSE),"")</f>
        <v>0</v>
      </c>
    </row>
    <row r="474" spans="1:7" x14ac:dyDescent="0.2">
      <c r="A474">
        <v>2020</v>
      </c>
      <c r="B474" t="s">
        <v>170</v>
      </c>
      <c r="C474" t="s">
        <v>81</v>
      </c>
      <c r="D474" s="1">
        <v>14632</v>
      </c>
      <c r="E474" s="1">
        <v>231245.52139107525</v>
      </c>
      <c r="F474" s="1">
        <v>245877.52139107525</v>
      </c>
      <c r="G474">
        <f>IFERROR(VLOOKUP(C474,Match!$A$2:$B$84,2,FALSE),"")</f>
        <v>0</v>
      </c>
    </row>
    <row r="475" spans="1:7" x14ac:dyDescent="0.2">
      <c r="A475">
        <v>2020</v>
      </c>
      <c r="B475" t="s">
        <v>171</v>
      </c>
      <c r="C475" t="s">
        <v>82</v>
      </c>
      <c r="D475" s="1">
        <v>49542</v>
      </c>
      <c r="E475" s="1">
        <v>782985.13793126622</v>
      </c>
      <c r="F475" s="1">
        <v>832527.13793126622</v>
      </c>
      <c r="G475">
        <f>IFERROR(VLOOKUP(C475,Match!$A$2:$B$84,2,FALSE),"")</f>
        <v>0</v>
      </c>
    </row>
    <row r="476" spans="1:7" x14ac:dyDescent="0.2">
      <c r="A476">
        <v>2020</v>
      </c>
      <c r="B476" t="s">
        <v>154</v>
      </c>
      <c r="C476" t="s">
        <v>87</v>
      </c>
      <c r="D476" s="1">
        <v>454905</v>
      </c>
      <c r="E476" s="1">
        <v>7189496.6884330241</v>
      </c>
      <c r="F476" s="1">
        <v>7644401.6884330241</v>
      </c>
      <c r="G476">
        <f>IFERROR(VLOOKUP(C476,Match!$A$2:$B$84,2,FALSE),"")</f>
        <v>5400058</v>
      </c>
    </row>
    <row r="477" spans="1:7" x14ac:dyDescent="0.2">
      <c r="A477">
        <v>2020</v>
      </c>
      <c r="B477" t="s">
        <v>155</v>
      </c>
      <c r="C477" t="s">
        <v>88</v>
      </c>
      <c r="D477" s="1">
        <v>189811</v>
      </c>
      <c r="E477" s="1">
        <v>2999836.7950220802</v>
      </c>
      <c r="F477" s="1">
        <v>3189647.7950220802</v>
      </c>
      <c r="G477">
        <f>IFERROR(VLOOKUP(C477,Match!$A$2:$B$84,2,FALSE),"")</f>
        <v>5400059</v>
      </c>
    </row>
    <row r="478" spans="1:7" x14ac:dyDescent="0.2">
      <c r="A478">
        <v>2020</v>
      </c>
      <c r="B478" t="s">
        <v>156</v>
      </c>
      <c r="C478" t="s">
        <v>89</v>
      </c>
      <c r="D478" s="1">
        <v>353819</v>
      </c>
      <c r="E478" s="1">
        <v>5591893.3748966567</v>
      </c>
      <c r="F478" s="1">
        <v>5945712.3748966567</v>
      </c>
      <c r="G478">
        <f>IFERROR(VLOOKUP(C478,Match!$A$2:$B$84,2,FALSE),"")</f>
        <v>5400061</v>
      </c>
    </row>
    <row r="479" spans="1:7" x14ac:dyDescent="0.2">
      <c r="A479">
        <v>2021</v>
      </c>
      <c r="B479" t="s">
        <v>90</v>
      </c>
      <c r="C479" t="s">
        <v>0</v>
      </c>
      <c r="D479" s="1">
        <v>106320</v>
      </c>
      <c r="E479" s="1">
        <v>1481087.895734329</v>
      </c>
      <c r="F479" s="1">
        <v>1587407.895734329</v>
      </c>
      <c r="G479">
        <f>IFERROR(VLOOKUP(C479,Match!$A$2:$B$84,2,FALSE),"")</f>
        <v>5400030</v>
      </c>
    </row>
    <row r="480" spans="1:7" x14ac:dyDescent="0.2">
      <c r="A480">
        <v>2021</v>
      </c>
      <c r="B480" t="s">
        <v>91</v>
      </c>
      <c r="C480" t="s">
        <v>1</v>
      </c>
      <c r="D480" s="1">
        <v>1303866</v>
      </c>
      <c r="E480" s="1">
        <v>18163470.18679022</v>
      </c>
      <c r="F480" s="1">
        <v>19467336.18679022</v>
      </c>
      <c r="G480">
        <f>IFERROR(VLOOKUP(C480,Match!$A$2:$B$84,2,FALSE),"")</f>
        <v>5400060</v>
      </c>
    </row>
    <row r="481" spans="1:7" x14ac:dyDescent="0.2">
      <c r="A481">
        <v>2021</v>
      </c>
      <c r="B481" t="s">
        <v>92</v>
      </c>
      <c r="C481" t="s">
        <v>2</v>
      </c>
      <c r="D481" s="1">
        <v>236486</v>
      </c>
      <c r="E481" s="1">
        <v>3294361.8520563254</v>
      </c>
      <c r="F481" s="1">
        <v>3530847.8520563254</v>
      </c>
      <c r="G481">
        <f>IFERROR(VLOOKUP(C481,Match!$A$2:$B$84,2,FALSE),"")</f>
        <v>5400090</v>
      </c>
    </row>
    <row r="482" spans="1:7" x14ac:dyDescent="0.2">
      <c r="A482">
        <v>2021</v>
      </c>
      <c r="B482" t="s">
        <v>93</v>
      </c>
      <c r="C482" t="s">
        <v>3</v>
      </c>
      <c r="D482" s="1">
        <v>100618</v>
      </c>
      <c r="E482" s="1">
        <v>1401656.3383464701</v>
      </c>
      <c r="F482" s="1">
        <v>1502274.3383464701</v>
      </c>
      <c r="G482">
        <f>IFERROR(VLOOKUP(C482,Match!$A$2:$B$84,2,FALSE),"")</f>
        <v>5400120</v>
      </c>
    </row>
    <row r="483" spans="1:7" x14ac:dyDescent="0.2">
      <c r="A483">
        <v>2021</v>
      </c>
      <c r="B483" t="s">
        <v>94</v>
      </c>
      <c r="C483" t="s">
        <v>4</v>
      </c>
      <c r="D483" s="1">
        <v>290005</v>
      </c>
      <c r="E483" s="1">
        <v>4039906.8397520138</v>
      </c>
      <c r="F483" s="1">
        <v>4329911.8397520138</v>
      </c>
      <c r="G483">
        <f>IFERROR(VLOOKUP(C483,Match!$A$2:$B$84,2,FALSE),"")</f>
        <v>5400150</v>
      </c>
    </row>
    <row r="484" spans="1:7" x14ac:dyDescent="0.2">
      <c r="A484">
        <v>2021</v>
      </c>
      <c r="B484" t="s">
        <v>95</v>
      </c>
      <c r="C484" t="s">
        <v>5</v>
      </c>
      <c r="D484" s="1">
        <v>1072625</v>
      </c>
      <c r="E484" s="1">
        <v>14942173.665933359</v>
      </c>
      <c r="F484" s="1">
        <v>16014798.665933359</v>
      </c>
      <c r="G484">
        <f>IFERROR(VLOOKUP(C484,Match!$A$2:$B$84,2,FALSE),"")</f>
        <v>5400180</v>
      </c>
    </row>
    <row r="485" spans="1:7" x14ac:dyDescent="0.2">
      <c r="A485">
        <v>2021</v>
      </c>
      <c r="B485" t="s">
        <v>96</v>
      </c>
      <c r="C485" t="s">
        <v>6</v>
      </c>
      <c r="D485" s="1">
        <v>19698</v>
      </c>
      <c r="E485" s="1">
        <v>274402.45833497756</v>
      </c>
      <c r="F485" s="1">
        <v>294100.45833497756</v>
      </c>
      <c r="G485">
        <f>IFERROR(VLOOKUP(C485,Match!$A$2:$B$84,2,FALSE),"")</f>
        <v>5400210</v>
      </c>
    </row>
    <row r="486" spans="1:7" x14ac:dyDescent="0.2">
      <c r="A486">
        <v>2021</v>
      </c>
      <c r="B486" t="s">
        <v>97</v>
      </c>
      <c r="C486" t="s">
        <v>7</v>
      </c>
      <c r="D486" s="1">
        <v>134848</v>
      </c>
      <c r="E486" s="1">
        <v>1878496.4311887021</v>
      </c>
      <c r="F486" s="1">
        <v>2013344.4311887021</v>
      </c>
      <c r="G486">
        <f>IFERROR(VLOOKUP(C486,Match!$A$2:$B$84,2,FALSE),"")</f>
        <v>5400240</v>
      </c>
    </row>
    <row r="487" spans="1:7" x14ac:dyDescent="0.2">
      <c r="A487">
        <v>2021</v>
      </c>
      <c r="B487" t="s">
        <v>98</v>
      </c>
      <c r="C487" t="s">
        <v>8</v>
      </c>
      <c r="D487" s="1">
        <v>332230</v>
      </c>
      <c r="E487" s="1">
        <v>4628121.0647085784</v>
      </c>
      <c r="F487" s="1">
        <v>4960351.0647085784</v>
      </c>
      <c r="G487">
        <f>IFERROR(VLOOKUP(C487,Match!$A$2:$B$84,2,FALSE),"")</f>
        <v>5400270</v>
      </c>
    </row>
    <row r="488" spans="1:7" x14ac:dyDescent="0.2">
      <c r="A488">
        <v>2021</v>
      </c>
      <c r="B488" t="s">
        <v>99</v>
      </c>
      <c r="C488" t="s">
        <v>9</v>
      </c>
      <c r="D488" s="1">
        <v>515555</v>
      </c>
      <c r="E488" s="1">
        <v>7181925.03842468</v>
      </c>
      <c r="F488" s="1">
        <v>7697480.03842468</v>
      </c>
      <c r="G488">
        <f>IFERROR(VLOOKUP(C488,Match!$A$2:$B$84,2,FALSE),"")</f>
        <v>5400300</v>
      </c>
    </row>
    <row r="489" spans="1:7" x14ac:dyDescent="0.2">
      <c r="A489">
        <v>2021</v>
      </c>
      <c r="B489" t="s">
        <v>100</v>
      </c>
      <c r="C489" t="s">
        <v>10</v>
      </c>
      <c r="D489" s="1">
        <v>31609</v>
      </c>
      <c r="E489" s="1">
        <v>440328.32295209187</v>
      </c>
      <c r="F489" s="1">
        <v>471937.32295209187</v>
      </c>
      <c r="G489">
        <f>IFERROR(VLOOKUP(C489,Match!$A$2:$B$84,2,FALSE),"")</f>
        <v>5400330</v>
      </c>
    </row>
    <row r="490" spans="1:7" x14ac:dyDescent="0.2">
      <c r="A490">
        <v>2021</v>
      </c>
      <c r="B490" t="s">
        <v>101</v>
      </c>
      <c r="C490" t="s">
        <v>11</v>
      </c>
      <c r="D490" s="1">
        <v>36969</v>
      </c>
      <c r="E490" s="1">
        <v>514995.65855344624</v>
      </c>
      <c r="F490" s="1">
        <v>551964.65855344618</v>
      </c>
      <c r="G490">
        <f>IFERROR(VLOOKUP(C490,Match!$A$2:$B$84,2,FALSE),"")</f>
        <v>5400360</v>
      </c>
    </row>
    <row r="491" spans="1:7" x14ac:dyDescent="0.2">
      <c r="A491">
        <v>2021</v>
      </c>
      <c r="B491" t="s">
        <v>102</v>
      </c>
      <c r="C491" t="s">
        <v>12</v>
      </c>
      <c r="D491" s="1">
        <v>408717</v>
      </c>
      <c r="E491" s="1">
        <v>5693621.1576452944</v>
      </c>
      <c r="F491" s="1">
        <v>6102338.1576452944</v>
      </c>
      <c r="G491">
        <f>IFERROR(VLOOKUP(C491,Match!$A$2:$B$84,2,FALSE),"")</f>
        <v>5400390</v>
      </c>
    </row>
    <row r="492" spans="1:7" x14ac:dyDescent="0.2">
      <c r="A492">
        <v>2021</v>
      </c>
      <c r="B492" t="s">
        <v>103</v>
      </c>
      <c r="C492" t="s">
        <v>13</v>
      </c>
      <c r="D492" s="1">
        <v>193931</v>
      </c>
      <c r="E492" s="1">
        <v>2701550.5709899748</v>
      </c>
      <c r="F492" s="1">
        <v>2895481.5709899748</v>
      </c>
      <c r="G492">
        <f>IFERROR(VLOOKUP(C492,Match!$A$2:$B$84,2,FALSE),"")</f>
        <v>5400420</v>
      </c>
    </row>
    <row r="493" spans="1:7" x14ac:dyDescent="0.2">
      <c r="A493">
        <v>2021</v>
      </c>
      <c r="B493" t="s">
        <v>104</v>
      </c>
      <c r="C493" t="s">
        <v>14</v>
      </c>
      <c r="D493" s="1">
        <v>355347</v>
      </c>
      <c r="E493" s="1">
        <v>4950151.81043554</v>
      </c>
      <c r="F493" s="1">
        <v>5305498.81043554</v>
      </c>
      <c r="G493">
        <f>IFERROR(VLOOKUP(C493,Match!$A$2:$B$84,2,FALSE),"")</f>
        <v>5400450</v>
      </c>
    </row>
    <row r="494" spans="1:7" x14ac:dyDescent="0.2">
      <c r="A494">
        <v>2021</v>
      </c>
      <c r="B494" t="s">
        <v>105</v>
      </c>
      <c r="C494" t="s">
        <v>15</v>
      </c>
      <c r="D494" s="1">
        <v>115238</v>
      </c>
      <c r="E494" s="1">
        <v>1605319.8544830002</v>
      </c>
      <c r="F494" s="1">
        <v>1720557.8544830002</v>
      </c>
      <c r="G494">
        <f>IFERROR(VLOOKUP(C494,Match!$A$2:$B$84,2,FALSE),"")</f>
        <v>5400480</v>
      </c>
    </row>
    <row r="495" spans="1:7" x14ac:dyDescent="0.2">
      <c r="A495">
        <v>2021</v>
      </c>
      <c r="B495" t="s">
        <v>106</v>
      </c>
      <c r="C495" t="s">
        <v>16</v>
      </c>
      <c r="D495" s="1">
        <v>852169</v>
      </c>
      <c r="E495" s="1">
        <v>11871117.297028098</v>
      </c>
      <c r="F495" s="1">
        <v>12723286.297028098</v>
      </c>
      <c r="G495">
        <f>IFERROR(VLOOKUP(C495,Match!$A$2:$B$84,2,FALSE),"")</f>
        <v>5400510</v>
      </c>
    </row>
    <row r="496" spans="1:7" x14ac:dyDescent="0.2">
      <c r="A496">
        <v>2021</v>
      </c>
      <c r="B496" t="s">
        <v>107</v>
      </c>
      <c r="C496" t="s">
        <v>17</v>
      </c>
      <c r="D496" s="1">
        <v>344755</v>
      </c>
      <c r="E496" s="1">
        <v>4802600.2397845052</v>
      </c>
      <c r="F496" s="1">
        <v>5147355.2397845052</v>
      </c>
      <c r="G496">
        <f>IFERROR(VLOOKUP(C496,Match!$A$2:$B$84,2,FALSE),"")</f>
        <v>5400540</v>
      </c>
    </row>
    <row r="497" spans="1:7" x14ac:dyDescent="0.2">
      <c r="A497">
        <v>2021</v>
      </c>
      <c r="B497" t="s">
        <v>108</v>
      </c>
      <c r="C497" t="s">
        <v>18</v>
      </c>
      <c r="D497" s="1">
        <v>822821</v>
      </c>
      <c r="E497" s="1">
        <v>11462285.773664562</v>
      </c>
      <c r="F497" s="1">
        <v>12285106.773664562</v>
      </c>
      <c r="G497">
        <f>IFERROR(VLOOKUP(C497,Match!$A$2:$B$84,2,FALSE),"")</f>
        <v>5400570</v>
      </c>
    </row>
    <row r="498" spans="1:7" x14ac:dyDescent="0.2">
      <c r="A498">
        <v>2021</v>
      </c>
      <c r="B498" t="s">
        <v>109</v>
      </c>
      <c r="C498" t="s">
        <v>19</v>
      </c>
      <c r="D498" s="1">
        <v>2246965</v>
      </c>
      <c r="E498" s="1">
        <v>31301285.399159953</v>
      </c>
      <c r="F498" s="1">
        <v>33548250.399159953</v>
      </c>
      <c r="G498">
        <f>IFERROR(VLOOKUP(C498,Match!$A$2:$B$84,2,FALSE),"")</f>
        <v>5400600</v>
      </c>
    </row>
    <row r="499" spans="1:7" x14ac:dyDescent="0.2">
      <c r="A499">
        <v>2021</v>
      </c>
      <c r="B499" t="s">
        <v>110</v>
      </c>
      <c r="C499" t="s">
        <v>20</v>
      </c>
      <c r="D499" s="1">
        <v>187361</v>
      </c>
      <c r="E499" s="1">
        <v>2610027.3629860762</v>
      </c>
      <c r="F499" s="1">
        <v>2797388.3629860762</v>
      </c>
      <c r="G499">
        <f>IFERROR(VLOOKUP(C499,Match!$A$2:$B$84,2,FALSE),"")</f>
        <v>5400630</v>
      </c>
    </row>
    <row r="500" spans="1:7" x14ac:dyDescent="0.2">
      <c r="A500">
        <v>2021</v>
      </c>
      <c r="B500" t="s">
        <v>111</v>
      </c>
      <c r="C500" t="s">
        <v>21</v>
      </c>
      <c r="D500" s="1">
        <v>276353</v>
      </c>
      <c r="E500" s="1">
        <v>3849728.0215375191</v>
      </c>
      <c r="F500" s="1">
        <v>4126081.0215375191</v>
      </c>
      <c r="G500">
        <f>IFERROR(VLOOKUP(C500,Match!$A$2:$B$84,2,FALSE),"")</f>
        <v>5400660</v>
      </c>
    </row>
    <row r="501" spans="1:7" x14ac:dyDescent="0.2">
      <c r="A501">
        <v>2021</v>
      </c>
      <c r="B501" t="s">
        <v>112</v>
      </c>
      <c r="C501" t="s">
        <v>22</v>
      </c>
      <c r="D501" s="1">
        <v>412724</v>
      </c>
      <c r="E501" s="1">
        <v>5749440.5631965306</v>
      </c>
      <c r="F501" s="1">
        <v>6162164.5631965306</v>
      </c>
      <c r="G501">
        <f>IFERROR(VLOOKUP(C501,Match!$A$2:$B$84,2,FALSE),"")</f>
        <v>5400690</v>
      </c>
    </row>
    <row r="502" spans="1:7" x14ac:dyDescent="0.2">
      <c r="A502">
        <v>2021</v>
      </c>
      <c r="B502" t="s">
        <v>113</v>
      </c>
      <c r="C502" t="s">
        <v>23</v>
      </c>
      <c r="D502" s="1">
        <v>685831</v>
      </c>
      <c r="E502" s="1">
        <v>9553950.2691814378</v>
      </c>
      <c r="F502" s="1">
        <v>10239781.269181438</v>
      </c>
      <c r="G502">
        <f>IFERROR(VLOOKUP(C502,Match!$A$2:$B$84,2,FALSE),"")</f>
        <v>5400720</v>
      </c>
    </row>
    <row r="503" spans="1:7" x14ac:dyDescent="0.2">
      <c r="A503">
        <v>2021</v>
      </c>
      <c r="B503" t="s">
        <v>114</v>
      </c>
      <c r="C503" t="s">
        <v>24</v>
      </c>
      <c r="D503" s="1">
        <v>1064444</v>
      </c>
      <c r="E503" s="1">
        <v>14828208.465829872</v>
      </c>
      <c r="F503" s="1">
        <v>15892652.465829872</v>
      </c>
      <c r="G503">
        <f>IFERROR(VLOOKUP(C503,Match!$A$2:$B$84,2,FALSE),"")</f>
        <v>5400750</v>
      </c>
    </row>
    <row r="504" spans="1:7" x14ac:dyDescent="0.2">
      <c r="A504">
        <v>2021</v>
      </c>
      <c r="B504" t="s">
        <v>115</v>
      </c>
      <c r="C504" t="s">
        <v>25</v>
      </c>
      <c r="D504" s="1">
        <v>309980</v>
      </c>
      <c r="E504" s="1">
        <v>4318168.0391245987</v>
      </c>
      <c r="F504" s="1">
        <v>4628148.0391245987</v>
      </c>
      <c r="G504">
        <f>IFERROR(VLOOKUP(C504,Match!$A$2:$B$84,2,FALSE),"")</f>
        <v>5400780</v>
      </c>
    </row>
    <row r="505" spans="1:7" x14ac:dyDescent="0.2">
      <c r="A505">
        <v>2021</v>
      </c>
      <c r="B505" t="s">
        <v>116</v>
      </c>
      <c r="C505" t="s">
        <v>30</v>
      </c>
      <c r="D505" s="1">
        <v>240482</v>
      </c>
      <c r="E505" s="1">
        <v>3350028.0224039024</v>
      </c>
      <c r="F505" s="1">
        <v>3590510.0224039024</v>
      </c>
      <c r="G505">
        <f>IFERROR(VLOOKUP(C505,Match!$A$2:$B$84,2,FALSE),"")</f>
        <v>5400810</v>
      </c>
    </row>
    <row r="506" spans="1:7" x14ac:dyDescent="0.2">
      <c r="A506">
        <v>2021</v>
      </c>
      <c r="B506" t="s">
        <v>117</v>
      </c>
      <c r="C506" t="s">
        <v>31</v>
      </c>
      <c r="D506" s="1">
        <v>823839</v>
      </c>
      <c r="E506" s="1">
        <v>11476466.995239595</v>
      </c>
      <c r="F506" s="1">
        <v>12300305.995239595</v>
      </c>
      <c r="G506">
        <f>IFERROR(VLOOKUP(C506,Match!$A$2:$B$84,2,FALSE),"")</f>
        <v>5400840</v>
      </c>
    </row>
    <row r="507" spans="1:7" x14ac:dyDescent="0.2">
      <c r="A507">
        <v>2021</v>
      </c>
      <c r="B507" t="s">
        <v>118</v>
      </c>
      <c r="C507" t="s">
        <v>32</v>
      </c>
      <c r="D507" s="1">
        <v>353268</v>
      </c>
      <c r="E507" s="1">
        <v>4921190.3569438951</v>
      </c>
      <c r="F507" s="1">
        <v>5274458.3569438951</v>
      </c>
      <c r="G507">
        <f>IFERROR(VLOOKUP(C507,Match!$A$2:$B$84,2,FALSE),"")</f>
        <v>5400870</v>
      </c>
    </row>
    <row r="508" spans="1:7" x14ac:dyDescent="0.2">
      <c r="A508">
        <v>2021</v>
      </c>
      <c r="B508" t="s">
        <v>119</v>
      </c>
      <c r="C508" t="s">
        <v>33</v>
      </c>
      <c r="D508" s="1">
        <v>290657</v>
      </c>
      <c r="E508" s="1">
        <v>4048989.5081871031</v>
      </c>
      <c r="F508" s="1">
        <v>4339646.5081871031</v>
      </c>
      <c r="G508">
        <f>IFERROR(VLOOKUP(C508,Match!$A$2:$B$84,2,FALSE),"")</f>
        <v>5400900</v>
      </c>
    </row>
    <row r="509" spans="1:7" x14ac:dyDescent="0.2">
      <c r="A509">
        <v>2021</v>
      </c>
      <c r="B509" t="s">
        <v>120</v>
      </c>
      <c r="C509" t="s">
        <v>34</v>
      </c>
      <c r="D509" s="1">
        <v>1212217</v>
      </c>
      <c r="E509" s="1">
        <v>16886756.261318482</v>
      </c>
      <c r="F509" s="1">
        <v>18098973.261318482</v>
      </c>
      <c r="G509">
        <f>IFERROR(VLOOKUP(C509,Match!$A$2:$B$84,2,FALSE),"")</f>
        <v>5400930</v>
      </c>
    </row>
    <row r="510" spans="1:7" x14ac:dyDescent="0.2">
      <c r="A510">
        <v>2021</v>
      </c>
      <c r="B510" t="s">
        <v>121</v>
      </c>
      <c r="C510" t="s">
        <v>35</v>
      </c>
      <c r="D510" s="1">
        <v>141835</v>
      </c>
      <c r="E510" s="1">
        <v>1975828.6464586018</v>
      </c>
      <c r="F510" s="1">
        <v>2117663.6464586016</v>
      </c>
      <c r="G510">
        <f>IFERROR(VLOOKUP(C510,Match!$A$2:$B$84,2,FALSE),"")</f>
        <v>5400960</v>
      </c>
    </row>
    <row r="511" spans="1:7" x14ac:dyDescent="0.2">
      <c r="A511">
        <v>2021</v>
      </c>
      <c r="B511" t="s">
        <v>122</v>
      </c>
      <c r="C511" t="s">
        <v>36</v>
      </c>
      <c r="D511" s="1">
        <v>138044</v>
      </c>
      <c r="E511" s="1">
        <v>1923018.2230883152</v>
      </c>
      <c r="F511" s="1">
        <v>2061062.2230883152</v>
      </c>
      <c r="G511">
        <f>IFERROR(VLOOKUP(C511,Match!$A$2:$B$84,2,FALSE),"")</f>
        <v>5400990</v>
      </c>
    </row>
    <row r="512" spans="1:7" x14ac:dyDescent="0.2">
      <c r="A512">
        <v>2021</v>
      </c>
      <c r="B512" t="s">
        <v>123</v>
      </c>
      <c r="C512" t="s">
        <v>37</v>
      </c>
      <c r="D512" s="1">
        <v>201994</v>
      </c>
      <c r="E512" s="1">
        <v>2813871.9752723859</v>
      </c>
      <c r="F512" s="1">
        <v>3015865.9752723859</v>
      </c>
      <c r="G512">
        <f>IFERROR(VLOOKUP(C512,Match!$A$2:$B$84,2,FALSE),"")</f>
        <v>5401020</v>
      </c>
    </row>
    <row r="513" spans="1:7" x14ac:dyDescent="0.2">
      <c r="A513">
        <v>2021</v>
      </c>
      <c r="B513" t="s">
        <v>124</v>
      </c>
      <c r="C513" t="s">
        <v>38</v>
      </c>
      <c r="D513" s="1">
        <v>669312</v>
      </c>
      <c r="E513" s="1">
        <v>9323832.7847040556</v>
      </c>
      <c r="F513" s="1">
        <v>9993144.7847040556</v>
      </c>
      <c r="G513">
        <f>IFERROR(VLOOKUP(C513,Match!$A$2:$B$84,2,FALSE),"")</f>
        <v>5401050</v>
      </c>
    </row>
    <row r="514" spans="1:7" x14ac:dyDescent="0.2">
      <c r="A514">
        <v>2021</v>
      </c>
      <c r="B514" t="s">
        <v>125</v>
      </c>
      <c r="C514" t="s">
        <v>39</v>
      </c>
      <c r="D514" s="1">
        <v>0</v>
      </c>
      <c r="E514" s="1">
        <v>0</v>
      </c>
      <c r="F514" s="1">
        <v>0</v>
      </c>
      <c r="G514">
        <f>IFERROR(VLOOKUP(C514,Match!$A$2:$B$84,2,FALSE),"")</f>
        <v>5401080</v>
      </c>
    </row>
    <row r="515" spans="1:7" x14ac:dyDescent="0.2">
      <c r="A515">
        <v>2021</v>
      </c>
      <c r="B515" t="s">
        <v>126</v>
      </c>
      <c r="C515" t="s">
        <v>40</v>
      </c>
      <c r="D515" s="1">
        <v>154715</v>
      </c>
      <c r="E515" s="1">
        <v>2155253.1394708119</v>
      </c>
      <c r="F515" s="1">
        <v>2309968.1394708119</v>
      </c>
      <c r="G515">
        <f>IFERROR(VLOOKUP(C515,Match!$A$2:$B$84,2,FALSE),"")</f>
        <v>5401110</v>
      </c>
    </row>
    <row r="516" spans="1:7" x14ac:dyDescent="0.2">
      <c r="A516">
        <v>2021</v>
      </c>
      <c r="B516" t="s">
        <v>127</v>
      </c>
      <c r="C516" t="s">
        <v>41</v>
      </c>
      <c r="D516" s="1">
        <v>56857</v>
      </c>
      <c r="E516" s="1">
        <v>792044.90676981502</v>
      </c>
      <c r="F516" s="1">
        <v>848901.90676981502</v>
      </c>
      <c r="G516">
        <f>IFERROR(VLOOKUP(C516,Match!$A$2:$B$84,2,FALSE),"")</f>
        <v>5401140</v>
      </c>
    </row>
    <row r="517" spans="1:7" x14ac:dyDescent="0.2">
      <c r="A517">
        <v>2021</v>
      </c>
      <c r="B517" t="s">
        <v>128</v>
      </c>
      <c r="C517" t="s">
        <v>42</v>
      </c>
      <c r="D517" s="1">
        <v>215993</v>
      </c>
      <c r="E517" s="1">
        <v>3008884.6676386842</v>
      </c>
      <c r="F517" s="1">
        <v>3224877.6676386842</v>
      </c>
      <c r="G517">
        <f>IFERROR(VLOOKUP(C517,Match!$A$2:$B$84,2,FALSE),"")</f>
        <v>5401170</v>
      </c>
    </row>
    <row r="518" spans="1:7" x14ac:dyDescent="0.2">
      <c r="A518">
        <v>2021</v>
      </c>
      <c r="B518" t="s">
        <v>129</v>
      </c>
      <c r="C518" t="s">
        <v>43</v>
      </c>
      <c r="D518" s="1">
        <v>960899</v>
      </c>
      <c r="E518" s="1">
        <v>13385777.632836917</v>
      </c>
      <c r="F518" s="1">
        <v>14346676.632836917</v>
      </c>
      <c r="G518">
        <f>IFERROR(VLOOKUP(C518,Match!$A$2:$B$84,2,FALSE),"")</f>
        <v>5401200</v>
      </c>
    </row>
    <row r="519" spans="1:7" x14ac:dyDescent="0.2">
      <c r="A519">
        <v>2021</v>
      </c>
      <c r="B519" t="s">
        <v>130</v>
      </c>
      <c r="C519" t="s">
        <v>44</v>
      </c>
      <c r="D519" s="1">
        <v>996888</v>
      </c>
      <c r="E519" s="1">
        <v>13887121.427791608</v>
      </c>
      <c r="F519" s="1">
        <v>14884009.427791608</v>
      </c>
      <c r="G519">
        <f>IFERROR(VLOOKUP(C519,Match!$A$2:$B$84,2,FALSE),"")</f>
        <v>5401230</v>
      </c>
    </row>
    <row r="520" spans="1:7" x14ac:dyDescent="0.2">
      <c r="A520">
        <v>2021</v>
      </c>
      <c r="B520" t="s">
        <v>131</v>
      </c>
      <c r="C520" t="s">
        <v>45</v>
      </c>
      <c r="D520" s="1">
        <v>201611</v>
      </c>
      <c r="E520" s="1">
        <v>2808536.6040904229</v>
      </c>
      <c r="F520" s="1">
        <v>3010147.6040904229</v>
      </c>
      <c r="G520">
        <f>IFERROR(VLOOKUP(C520,Match!$A$2:$B$84,2,FALSE),"")</f>
        <v>5401260</v>
      </c>
    </row>
    <row r="521" spans="1:7" x14ac:dyDescent="0.2">
      <c r="A521">
        <v>2021</v>
      </c>
      <c r="B521" t="s">
        <v>132</v>
      </c>
      <c r="C521" t="s">
        <v>46</v>
      </c>
      <c r="D521" s="1">
        <v>113257</v>
      </c>
      <c r="E521" s="1">
        <v>1577723.5873512311</v>
      </c>
      <c r="F521" s="1">
        <v>1690980.5873512311</v>
      </c>
      <c r="G521">
        <f>IFERROR(VLOOKUP(C521,Match!$A$2:$B$84,2,FALSE),"")</f>
        <v>5401290</v>
      </c>
    </row>
    <row r="522" spans="1:7" x14ac:dyDescent="0.2">
      <c r="A522">
        <v>2021</v>
      </c>
      <c r="B522" t="s">
        <v>133</v>
      </c>
      <c r="C522" t="s">
        <v>47</v>
      </c>
      <c r="D522" s="1">
        <v>170422</v>
      </c>
      <c r="E522" s="1">
        <v>2374059.0798235121</v>
      </c>
      <c r="F522" s="1">
        <v>2544481.0798235121</v>
      </c>
      <c r="G522">
        <f>IFERROR(VLOOKUP(C522,Match!$A$2:$B$84,2,FALSE),"")</f>
        <v>5401320</v>
      </c>
    </row>
    <row r="523" spans="1:7" x14ac:dyDescent="0.2">
      <c r="A523">
        <v>2021</v>
      </c>
      <c r="B523" t="s">
        <v>134</v>
      </c>
      <c r="C523" t="s">
        <v>48</v>
      </c>
      <c r="D523" s="1">
        <v>64368</v>
      </c>
      <c r="E523" s="1">
        <v>896676.68992313091</v>
      </c>
      <c r="F523" s="1">
        <v>961044.68992313091</v>
      </c>
      <c r="G523">
        <f>IFERROR(VLOOKUP(C523,Match!$A$2:$B$84,2,FALSE),"")</f>
        <v>5401350</v>
      </c>
    </row>
    <row r="524" spans="1:7" x14ac:dyDescent="0.2">
      <c r="A524">
        <v>2021</v>
      </c>
      <c r="B524" t="s">
        <v>135</v>
      </c>
      <c r="C524" t="s">
        <v>49</v>
      </c>
      <c r="D524" s="1">
        <v>94052</v>
      </c>
      <c r="E524" s="1">
        <v>1310188.8522348111</v>
      </c>
      <c r="F524" s="1">
        <v>1404240.8522348111</v>
      </c>
      <c r="G524">
        <f>IFERROR(VLOOKUP(C524,Match!$A$2:$B$84,2,FALSE),"")</f>
        <v>5401380</v>
      </c>
    </row>
    <row r="525" spans="1:7" x14ac:dyDescent="0.2">
      <c r="A525">
        <v>2021</v>
      </c>
      <c r="B525" t="s">
        <v>136</v>
      </c>
      <c r="C525" t="s">
        <v>50</v>
      </c>
      <c r="D525" s="1">
        <v>6798</v>
      </c>
      <c r="E525" s="1">
        <v>94699.355861568547</v>
      </c>
      <c r="F525" s="1">
        <v>101497.35586156855</v>
      </c>
      <c r="G525">
        <f>IFERROR(VLOOKUP(C525,Match!$A$2:$B$84,2,FALSE),"")</f>
        <v>5401410</v>
      </c>
    </row>
    <row r="526" spans="1:7" x14ac:dyDescent="0.2">
      <c r="A526">
        <v>2021</v>
      </c>
      <c r="B526" t="s">
        <v>137</v>
      </c>
      <c r="C526" t="s">
        <v>51</v>
      </c>
      <c r="D526" s="1">
        <v>217530</v>
      </c>
      <c r="E526" s="1">
        <v>3030295.8047318337</v>
      </c>
      <c r="F526" s="1">
        <v>3247825.8047318337</v>
      </c>
      <c r="G526">
        <f>IFERROR(VLOOKUP(C526,Match!$A$2:$B$84,2,FALSE),"")</f>
        <v>5401440</v>
      </c>
    </row>
    <row r="527" spans="1:7" x14ac:dyDescent="0.2">
      <c r="A527">
        <v>2021</v>
      </c>
      <c r="B527" t="s">
        <v>138</v>
      </c>
      <c r="C527" t="s">
        <v>52</v>
      </c>
      <c r="D527" s="1">
        <v>203242</v>
      </c>
      <c r="E527" s="1">
        <v>2831257.2056512083</v>
      </c>
      <c r="F527" s="1">
        <v>3034499.2056512083</v>
      </c>
      <c r="G527">
        <f>IFERROR(VLOOKUP(C527,Match!$A$2:$B$84,2,FALSE),"")</f>
        <v>5401470</v>
      </c>
    </row>
    <row r="528" spans="1:7" x14ac:dyDescent="0.2">
      <c r="A528">
        <v>2021</v>
      </c>
      <c r="B528" t="s">
        <v>139</v>
      </c>
      <c r="C528" t="s">
        <v>53</v>
      </c>
      <c r="D528" s="1">
        <v>563247</v>
      </c>
      <c r="E528" s="1">
        <v>7846297.1596000148</v>
      </c>
      <c r="F528" s="1">
        <v>8409544.1596000157</v>
      </c>
      <c r="G528">
        <f>IFERROR(VLOOKUP(C528,Match!$A$2:$B$84,2,FALSE),"")</f>
        <v>5401500</v>
      </c>
    </row>
    <row r="529" spans="1:7" x14ac:dyDescent="0.2">
      <c r="A529">
        <v>2021</v>
      </c>
      <c r="B529" t="s">
        <v>140</v>
      </c>
      <c r="C529" t="s">
        <v>54</v>
      </c>
      <c r="D529" s="1">
        <v>38654</v>
      </c>
      <c r="E529" s="1">
        <v>538468.50565946905</v>
      </c>
      <c r="F529" s="1">
        <v>577122.50565946905</v>
      </c>
      <c r="G529">
        <f>IFERROR(VLOOKUP(C529,Match!$A$2:$B$84,2,FALSE),"")</f>
        <v>5401530</v>
      </c>
    </row>
    <row r="530" spans="1:7" x14ac:dyDescent="0.2">
      <c r="A530">
        <v>2021</v>
      </c>
      <c r="B530" t="s">
        <v>141</v>
      </c>
      <c r="C530" t="s">
        <v>55</v>
      </c>
      <c r="D530" s="1">
        <v>774627</v>
      </c>
      <c r="E530" s="1">
        <v>10790920.555013131</v>
      </c>
      <c r="F530" s="1">
        <v>11565547.555013131</v>
      </c>
      <c r="G530">
        <f>IFERROR(VLOOKUP(C530,Match!$A$2:$B$84,2,FALSE),"")</f>
        <v>5401560</v>
      </c>
    </row>
    <row r="531" spans="1:7" x14ac:dyDescent="0.2">
      <c r="A531">
        <v>2021</v>
      </c>
      <c r="B531" t="s">
        <v>142</v>
      </c>
      <c r="C531" t="s">
        <v>56</v>
      </c>
      <c r="D531" s="1">
        <v>50224</v>
      </c>
      <c r="E531" s="1">
        <v>699644.07896313898</v>
      </c>
      <c r="F531" s="1">
        <v>749868.07896313898</v>
      </c>
      <c r="G531">
        <f>IFERROR(VLOOKUP(C531,Match!$A$2:$B$84,2,FALSE),"")</f>
        <v>5401590</v>
      </c>
    </row>
    <row r="532" spans="1:7" x14ac:dyDescent="0.2">
      <c r="A532">
        <v>2021</v>
      </c>
      <c r="B532" t="s">
        <v>143</v>
      </c>
      <c r="C532" t="s">
        <v>57</v>
      </c>
      <c r="D532" s="1">
        <v>1021148</v>
      </c>
      <c r="E532" s="1">
        <v>14225074.704226095</v>
      </c>
      <c r="F532" s="1">
        <v>15246222.704226095</v>
      </c>
      <c r="G532">
        <f>IFERROR(VLOOKUP(C532,Match!$A$2:$B$84,2,FALSE),"")</f>
        <v>5401620</v>
      </c>
    </row>
    <row r="533" spans="1:7" x14ac:dyDescent="0.2">
      <c r="A533">
        <v>2021</v>
      </c>
      <c r="B533" t="s">
        <v>144</v>
      </c>
      <c r="C533" t="s">
        <v>58</v>
      </c>
      <c r="D533" s="1">
        <v>255609</v>
      </c>
      <c r="E533" s="1">
        <v>3560754.2883818294</v>
      </c>
      <c r="F533" s="1">
        <v>3816363.2883818294</v>
      </c>
      <c r="G533">
        <f>IFERROR(VLOOKUP(C533,Match!$A$2:$B$84,2,FALSE),"")</f>
        <v>5401650</v>
      </c>
    </row>
    <row r="534" spans="1:7" x14ac:dyDescent="0.2">
      <c r="A534">
        <v>2021</v>
      </c>
      <c r="B534" t="s">
        <v>146</v>
      </c>
      <c r="C534" t="s">
        <v>60</v>
      </c>
      <c r="D534" s="1">
        <v>9506</v>
      </c>
      <c r="E534" s="1">
        <v>132423.07690792449</v>
      </c>
      <c r="F534" s="1">
        <v>141929.07690792449</v>
      </c>
      <c r="G534">
        <f>IFERROR(VLOOKUP(C534,Match!$A$2:$B$84,2,FALSE),"")</f>
        <v>0</v>
      </c>
    </row>
    <row r="535" spans="1:7" x14ac:dyDescent="0.2">
      <c r="A535">
        <v>2021</v>
      </c>
      <c r="B535" t="s">
        <v>150</v>
      </c>
      <c r="C535" t="s">
        <v>64</v>
      </c>
      <c r="D535" s="1">
        <v>12247</v>
      </c>
      <c r="E535" s="1">
        <v>170606.5035652589</v>
      </c>
      <c r="F535" s="1">
        <v>182853.5035652589</v>
      </c>
      <c r="G535">
        <f>IFERROR(VLOOKUP(C535,Match!$A$2:$B$84,2,FALSE),"")</f>
        <v>0</v>
      </c>
    </row>
    <row r="536" spans="1:7" x14ac:dyDescent="0.2">
      <c r="A536">
        <v>2021</v>
      </c>
      <c r="B536" t="s">
        <v>151</v>
      </c>
      <c r="C536" t="s">
        <v>65</v>
      </c>
      <c r="D536" s="1">
        <v>253278</v>
      </c>
      <c r="E536" s="1">
        <v>3528282.3556790762</v>
      </c>
      <c r="F536" s="1">
        <v>3781560.3556790762</v>
      </c>
      <c r="G536">
        <f>IFERROR(VLOOKUP(C536,Match!$A$2:$B$84,2,FALSE),"")</f>
        <v>0</v>
      </c>
    </row>
    <row r="537" spans="1:7" x14ac:dyDescent="0.2">
      <c r="A537">
        <v>2021</v>
      </c>
      <c r="B537" t="s">
        <v>161</v>
      </c>
      <c r="C537" t="s">
        <v>70</v>
      </c>
      <c r="D537" s="1">
        <v>451429</v>
      </c>
      <c r="E537" s="1">
        <v>6288619.5229820572</v>
      </c>
      <c r="F537" s="1">
        <v>6740048.5229820572</v>
      </c>
      <c r="G537">
        <f>IFERROR(VLOOKUP(C537,Match!$A$2:$B$84,2,FALSE),"")</f>
        <v>0</v>
      </c>
    </row>
    <row r="538" spans="1:7" x14ac:dyDescent="0.2">
      <c r="A538">
        <v>2021</v>
      </c>
      <c r="B538" t="s">
        <v>168</v>
      </c>
      <c r="C538" t="s">
        <v>78</v>
      </c>
      <c r="D538" s="1">
        <v>11256</v>
      </c>
      <c r="E538" s="1">
        <v>156801.40476284429</v>
      </c>
      <c r="F538" s="1">
        <v>168057.40476284429</v>
      </c>
      <c r="G538">
        <f>IFERROR(VLOOKUP(C538,Match!$A$2:$B$84,2,FALSE),"")</f>
        <v>0</v>
      </c>
    </row>
    <row r="539" spans="1:7" x14ac:dyDescent="0.2">
      <c r="A539">
        <v>2021</v>
      </c>
      <c r="B539" t="s">
        <v>169</v>
      </c>
      <c r="C539" t="s">
        <v>80</v>
      </c>
      <c r="D539" s="1">
        <v>2339997</v>
      </c>
      <c r="E539" s="1">
        <v>32597265.168873612</v>
      </c>
      <c r="F539" s="1">
        <v>34937262.168873608</v>
      </c>
      <c r="G539">
        <f>IFERROR(VLOOKUP(C539,Match!$A$2:$B$84,2,FALSE),"")</f>
        <v>0</v>
      </c>
    </row>
    <row r="540" spans="1:7" x14ac:dyDescent="0.2">
      <c r="A540">
        <v>2021</v>
      </c>
      <c r="B540" t="s">
        <v>159</v>
      </c>
      <c r="C540" t="s">
        <v>68</v>
      </c>
      <c r="D540" s="1">
        <v>542291</v>
      </c>
      <c r="E540" s="1">
        <v>7554370.1661556149</v>
      </c>
      <c r="F540" s="1">
        <v>8096661.1661556149</v>
      </c>
      <c r="G540">
        <f>IFERROR(VLOOKUP(C540,Match!$A$2:$B$84,2,FALSE),"")</f>
        <v>5401621</v>
      </c>
    </row>
    <row r="541" spans="1:7" x14ac:dyDescent="0.2">
      <c r="A541">
        <v>2021</v>
      </c>
      <c r="B541" t="s">
        <v>173</v>
      </c>
      <c r="C541" t="s">
        <v>172</v>
      </c>
      <c r="D541" s="1">
        <v>61095</v>
      </c>
      <c r="E541" s="1">
        <v>851082.25159790099</v>
      </c>
      <c r="F541" s="1">
        <v>912177.25159790099</v>
      </c>
      <c r="G541">
        <f>IFERROR(VLOOKUP(C541,Match!$A$2:$B$84,2,FALSE),"")</f>
        <v>0</v>
      </c>
    </row>
    <row r="542" spans="1:7" x14ac:dyDescent="0.2">
      <c r="A542">
        <v>2021</v>
      </c>
      <c r="B542" t="s">
        <v>171</v>
      </c>
      <c r="C542" t="s">
        <v>82</v>
      </c>
      <c r="D542" s="1">
        <v>43414</v>
      </c>
      <c r="E542" s="1">
        <v>604777.55742485099</v>
      </c>
      <c r="F542" s="1">
        <v>648191.55742485099</v>
      </c>
      <c r="G542">
        <f>IFERROR(VLOOKUP(C542,Match!$A$2:$B$84,2,FALSE),"")</f>
        <v>0</v>
      </c>
    </row>
    <row r="543" spans="1:7" x14ac:dyDescent="0.2">
      <c r="A543">
        <v>2021</v>
      </c>
      <c r="B543" t="s">
        <v>167</v>
      </c>
      <c r="C543" t="s">
        <v>77</v>
      </c>
      <c r="D543" s="1">
        <v>9711</v>
      </c>
      <c r="E543" s="1">
        <v>135278.8238852151</v>
      </c>
      <c r="F543" s="1">
        <v>144989.8238852151</v>
      </c>
      <c r="G543">
        <f>IFERROR(VLOOKUP(C543,Match!$A$2:$B$84,2,FALSE),"")</f>
        <v>0</v>
      </c>
    </row>
    <row r="544" spans="1:7" x14ac:dyDescent="0.2">
      <c r="A544">
        <v>2021</v>
      </c>
      <c r="B544" t="s">
        <v>166</v>
      </c>
      <c r="C544" t="s">
        <v>75</v>
      </c>
      <c r="D544" s="1">
        <v>25928</v>
      </c>
      <c r="E544" s="1">
        <v>361189.30549849209</v>
      </c>
      <c r="F544" s="1">
        <v>387117.30549849209</v>
      </c>
      <c r="G544">
        <f>IFERROR(VLOOKUP(C544,Match!$A$2:$B$84,2,FALSE),"")</f>
        <v>0</v>
      </c>
    </row>
    <row r="545" spans="1:7" x14ac:dyDescent="0.2">
      <c r="A545">
        <v>2021</v>
      </c>
      <c r="B545" t="s">
        <v>165</v>
      </c>
      <c r="C545" t="s">
        <v>74</v>
      </c>
      <c r="D545" s="1">
        <v>10227</v>
      </c>
      <c r="E545" s="1">
        <v>142466.94798415145</v>
      </c>
      <c r="F545" s="1">
        <v>152693.94798415145</v>
      </c>
      <c r="G545">
        <f>IFERROR(VLOOKUP(C545,Match!$A$2:$B$84,2,FALSE),"")</f>
        <v>0</v>
      </c>
    </row>
    <row r="546" spans="1:7" x14ac:dyDescent="0.2">
      <c r="A546">
        <v>2021</v>
      </c>
      <c r="B546" t="s">
        <v>145</v>
      </c>
      <c r="C546" t="s">
        <v>59</v>
      </c>
      <c r="D546" s="1">
        <v>33826</v>
      </c>
      <c r="E546" s="1">
        <v>471212.18172601023</v>
      </c>
      <c r="F546" s="1">
        <v>505038.18172601023</v>
      </c>
      <c r="G546">
        <f>IFERROR(VLOOKUP(C546,Match!$A$2:$B$84,2,FALSE),"")</f>
        <v>0</v>
      </c>
    </row>
    <row r="547" spans="1:7" x14ac:dyDescent="0.2">
      <c r="A547">
        <v>2021</v>
      </c>
      <c r="B547" t="s">
        <v>147</v>
      </c>
      <c r="C547" t="s">
        <v>61</v>
      </c>
      <c r="D547" s="1">
        <v>27979</v>
      </c>
      <c r="E547" s="1">
        <v>389760.70574445813</v>
      </c>
      <c r="F547" s="1">
        <v>417739.70574445813</v>
      </c>
      <c r="G547">
        <f>IFERROR(VLOOKUP(C547,Match!$A$2:$B$84,2,FALSE),"")</f>
        <v>0</v>
      </c>
    </row>
    <row r="548" spans="1:7" x14ac:dyDescent="0.2">
      <c r="A548">
        <v>2021</v>
      </c>
      <c r="B548" t="s">
        <v>148</v>
      </c>
      <c r="C548" t="s">
        <v>62</v>
      </c>
      <c r="D548" s="1">
        <v>36247</v>
      </c>
      <c r="E548" s="1">
        <v>504937.85700415936</v>
      </c>
      <c r="F548" s="1">
        <v>541184.85700415936</v>
      </c>
      <c r="G548">
        <f>IFERROR(VLOOKUP(C548,Match!$A$2:$B$84,2,FALSE),"")</f>
        <v>0</v>
      </c>
    </row>
    <row r="549" spans="1:7" x14ac:dyDescent="0.2">
      <c r="A549">
        <v>2021</v>
      </c>
      <c r="B549" t="s">
        <v>149</v>
      </c>
      <c r="C549" t="s">
        <v>63</v>
      </c>
      <c r="D549" s="1">
        <v>84273</v>
      </c>
      <c r="E549" s="1">
        <v>1173962.756181519</v>
      </c>
      <c r="F549" s="1">
        <v>1258235.756181519</v>
      </c>
      <c r="G549">
        <f>IFERROR(VLOOKUP(C549,Match!$A$2:$B$84,2,FALSE),"")</f>
        <v>0</v>
      </c>
    </row>
    <row r="550" spans="1:7" x14ac:dyDescent="0.2">
      <c r="A550">
        <v>2021</v>
      </c>
      <c r="B550" t="s">
        <v>152</v>
      </c>
      <c r="C550" t="s">
        <v>66</v>
      </c>
      <c r="D550" s="1">
        <v>12763</v>
      </c>
      <c r="E550" s="1">
        <v>177794.62766419526</v>
      </c>
      <c r="F550" s="1">
        <v>190557.62766419526</v>
      </c>
      <c r="G550">
        <f>IFERROR(VLOOKUP(C550,Match!$A$2:$B$84,2,FALSE),"")</f>
        <v>0</v>
      </c>
    </row>
    <row r="551" spans="1:7" x14ac:dyDescent="0.2">
      <c r="A551">
        <v>2021</v>
      </c>
      <c r="B551" t="s">
        <v>162</v>
      </c>
      <c r="C551" t="s">
        <v>71</v>
      </c>
      <c r="D551" s="1">
        <v>60949</v>
      </c>
      <c r="E551" s="1">
        <v>849048.40253114759</v>
      </c>
      <c r="F551" s="1">
        <v>909997.40253114759</v>
      </c>
      <c r="G551">
        <f>IFERROR(VLOOKUP(C551,Match!$A$2:$B$84,2,FALSE),"")</f>
        <v>0</v>
      </c>
    </row>
    <row r="552" spans="1:7" x14ac:dyDescent="0.2">
      <c r="A552">
        <v>2021</v>
      </c>
      <c r="B552" t="s">
        <v>153</v>
      </c>
      <c r="C552" t="s">
        <v>67</v>
      </c>
      <c r="D552" s="1">
        <v>43438</v>
      </c>
      <c r="E552" s="1">
        <v>605111.8887782899</v>
      </c>
      <c r="F552" s="1">
        <v>648549.8887782899</v>
      </c>
      <c r="G552">
        <f>IFERROR(VLOOKUP(C552,Match!$A$2:$B$84,2,FALSE),"")</f>
        <v>0</v>
      </c>
    </row>
    <row r="553" spans="1:7" x14ac:dyDescent="0.2">
      <c r="A553">
        <v>2021</v>
      </c>
      <c r="B553" t="s">
        <v>163</v>
      </c>
      <c r="C553" t="s">
        <v>72</v>
      </c>
      <c r="D553" s="1">
        <v>18506</v>
      </c>
      <c r="E553" s="1">
        <v>257797.33444751214</v>
      </c>
      <c r="F553" s="1">
        <v>276303.33444751217</v>
      </c>
      <c r="G553">
        <f>IFERROR(VLOOKUP(C553,Match!$A$2:$B$84,2,FALSE),"")</f>
        <v>0</v>
      </c>
    </row>
    <row r="554" spans="1:7" x14ac:dyDescent="0.2">
      <c r="A554">
        <v>2021</v>
      </c>
      <c r="B554" t="s">
        <v>160</v>
      </c>
      <c r="C554" t="s">
        <v>69</v>
      </c>
      <c r="D554" s="1">
        <v>46792</v>
      </c>
      <c r="E554" s="1">
        <v>651834.69542137627</v>
      </c>
      <c r="F554" s="1">
        <v>698626.69542137627</v>
      </c>
      <c r="G554">
        <f>IFERROR(VLOOKUP(C554,Match!$A$2:$B$84,2,FALSE),"")</f>
        <v>0</v>
      </c>
    </row>
    <row r="555" spans="1:7" x14ac:dyDescent="0.2">
      <c r="A555">
        <v>2021</v>
      </c>
      <c r="B555" t="s">
        <v>170</v>
      </c>
      <c r="C555" t="s">
        <v>81</v>
      </c>
      <c r="D555" s="1">
        <v>14982</v>
      </c>
      <c r="E555" s="1">
        <v>208706.34738423358</v>
      </c>
      <c r="F555" s="1">
        <v>223688.34738423358</v>
      </c>
      <c r="G555">
        <f>IFERROR(VLOOKUP(C555,Match!$A$2:$B$84,2,FALSE),"")</f>
        <v>0</v>
      </c>
    </row>
    <row r="556" spans="1:7" x14ac:dyDescent="0.2">
      <c r="A556">
        <v>2021</v>
      </c>
      <c r="B556" t="s">
        <v>164</v>
      </c>
      <c r="C556" t="s">
        <v>73</v>
      </c>
      <c r="D556" s="1">
        <v>4116</v>
      </c>
      <c r="E556" s="1">
        <v>57337.827114771419</v>
      </c>
      <c r="F556" s="1">
        <v>61453.827114771419</v>
      </c>
      <c r="G556">
        <f>IFERROR(VLOOKUP(C556,Match!$A$2:$B$84,2,FALSE),"")</f>
        <v>0</v>
      </c>
    </row>
    <row r="557" spans="1:7" x14ac:dyDescent="0.2">
      <c r="A557">
        <v>2021</v>
      </c>
      <c r="B557" t="s">
        <v>154</v>
      </c>
      <c r="C557" t="s">
        <v>87</v>
      </c>
      <c r="D557" s="1">
        <v>479915</v>
      </c>
      <c r="E557" s="1">
        <v>6685442.9785679122</v>
      </c>
      <c r="F557" s="1">
        <v>7165357.9785679122</v>
      </c>
      <c r="G557">
        <f>IFERROR(VLOOKUP(C557,Match!$A$2:$B$84,2,FALSE),"")</f>
        <v>5400058</v>
      </c>
    </row>
    <row r="558" spans="1:7" x14ac:dyDescent="0.2">
      <c r="A558">
        <v>2021</v>
      </c>
      <c r="B558" t="s">
        <v>155</v>
      </c>
      <c r="C558" t="s">
        <v>88</v>
      </c>
      <c r="D558" s="1">
        <v>208926</v>
      </c>
      <c r="E558" s="1">
        <v>2910438.0145239877</v>
      </c>
      <c r="F558" s="1">
        <v>3119364.0145239877</v>
      </c>
      <c r="G558">
        <f>IFERROR(VLOOKUP(C558,Match!$A$2:$B$84,2,FALSE),"")</f>
        <v>5400059</v>
      </c>
    </row>
    <row r="559" spans="1:7" x14ac:dyDescent="0.2">
      <c r="A559">
        <v>2021</v>
      </c>
      <c r="B559" t="s">
        <v>156</v>
      </c>
      <c r="C559" t="s">
        <v>89</v>
      </c>
      <c r="D559" s="1">
        <v>419482</v>
      </c>
      <c r="E559" s="1">
        <v>5843582.7001357013</v>
      </c>
      <c r="F559" s="1">
        <v>6263064.7001357013</v>
      </c>
      <c r="G559">
        <f>IFERROR(VLOOKUP(C559,Match!$A$2:$B$84,2,FALSE),"")</f>
        <v>5400061</v>
      </c>
    </row>
    <row r="560" spans="1:7" x14ac:dyDescent="0.2">
      <c r="A560">
        <v>2022</v>
      </c>
      <c r="B560" t="s">
        <v>90</v>
      </c>
      <c r="C560" t="s">
        <v>0</v>
      </c>
      <c r="D560" s="1">
        <v>110665</v>
      </c>
      <c r="E560" s="1">
        <v>1647258.2996426292</v>
      </c>
      <c r="F560" s="1">
        <v>1757923.2996426292</v>
      </c>
      <c r="G560">
        <f>IFERROR(VLOOKUP(C560,Match!$A$2:$B$84,2,FALSE),"")</f>
        <v>5400030</v>
      </c>
    </row>
    <row r="561" spans="1:7" x14ac:dyDescent="0.2">
      <c r="A561">
        <v>2022</v>
      </c>
      <c r="B561" t="s">
        <v>91</v>
      </c>
      <c r="C561" t="s">
        <v>1</v>
      </c>
      <c r="D561" s="1">
        <v>1149570</v>
      </c>
      <c r="E561" s="1">
        <v>17111472.10409274</v>
      </c>
      <c r="F561" s="1">
        <v>18261042.10409274</v>
      </c>
      <c r="G561">
        <f>IFERROR(VLOOKUP(C561,Match!$A$2:$B$84,2,FALSE),"")</f>
        <v>5400060</v>
      </c>
    </row>
    <row r="562" spans="1:7" x14ac:dyDescent="0.2">
      <c r="A562">
        <v>2022</v>
      </c>
      <c r="B562" t="s">
        <v>92</v>
      </c>
      <c r="C562" t="s">
        <v>2</v>
      </c>
      <c r="D562" s="1">
        <v>324273</v>
      </c>
      <c r="E562" s="1">
        <v>4826834.9800252793</v>
      </c>
      <c r="F562" s="1">
        <v>5151107.9800252793</v>
      </c>
      <c r="G562">
        <f>IFERROR(VLOOKUP(C562,Match!$A$2:$B$84,2,FALSE),"")</f>
        <v>5400090</v>
      </c>
    </row>
    <row r="563" spans="1:7" x14ac:dyDescent="0.2">
      <c r="A563">
        <v>2022</v>
      </c>
      <c r="B563" t="s">
        <v>93</v>
      </c>
      <c r="C563" t="s">
        <v>3</v>
      </c>
      <c r="D563" s="1">
        <v>146489</v>
      </c>
      <c r="E563" s="1">
        <v>2180499.7192290826</v>
      </c>
      <c r="F563" s="1">
        <v>2326988.7192290826</v>
      </c>
      <c r="G563">
        <f>IFERROR(VLOOKUP(C563,Match!$A$2:$B$84,2,FALSE),"")</f>
        <v>5400120</v>
      </c>
    </row>
    <row r="564" spans="1:7" x14ac:dyDescent="0.2">
      <c r="A564">
        <v>2022</v>
      </c>
      <c r="B564" t="s">
        <v>94</v>
      </c>
      <c r="C564" t="s">
        <v>4</v>
      </c>
      <c r="D564" s="1">
        <v>471494</v>
      </c>
      <c r="E564" s="1">
        <v>7018238.6125099463</v>
      </c>
      <c r="F564" s="1">
        <v>7489732.6125099463</v>
      </c>
      <c r="G564">
        <f>IFERROR(VLOOKUP(C564,Match!$A$2:$B$84,2,FALSE),"")</f>
        <v>5400150</v>
      </c>
    </row>
    <row r="565" spans="1:7" x14ac:dyDescent="0.2">
      <c r="A565">
        <v>2022</v>
      </c>
      <c r="B565" t="s">
        <v>95</v>
      </c>
      <c r="C565" t="s">
        <v>5</v>
      </c>
      <c r="D565" s="1">
        <v>1495028</v>
      </c>
      <c r="E565" s="1">
        <v>22253635.465925027</v>
      </c>
      <c r="F565" s="1">
        <v>23748663.465925027</v>
      </c>
      <c r="G565">
        <f>IFERROR(VLOOKUP(C565,Match!$A$2:$B$84,2,FALSE),"")</f>
        <v>5400180</v>
      </c>
    </row>
    <row r="566" spans="1:7" x14ac:dyDescent="0.2">
      <c r="A566">
        <v>2022</v>
      </c>
      <c r="B566" t="s">
        <v>96</v>
      </c>
      <c r="C566" t="s">
        <v>6</v>
      </c>
      <c r="D566" s="1">
        <v>80698</v>
      </c>
      <c r="E566" s="1">
        <v>1201191.7769901021</v>
      </c>
      <c r="F566" s="1">
        <v>1281889.7769901021</v>
      </c>
      <c r="G566">
        <f>IFERROR(VLOOKUP(C566,Match!$A$2:$B$84,2,FALSE),"")</f>
        <v>5400210</v>
      </c>
    </row>
    <row r="567" spans="1:7" x14ac:dyDescent="0.2">
      <c r="A567">
        <v>2022</v>
      </c>
      <c r="B567" t="s">
        <v>97</v>
      </c>
      <c r="C567" t="s">
        <v>7</v>
      </c>
      <c r="D567" s="1">
        <v>168370</v>
      </c>
      <c r="E567" s="1">
        <v>2506200.0709065804</v>
      </c>
      <c r="F567" s="1">
        <v>2674570.0709065804</v>
      </c>
      <c r="G567">
        <f>IFERROR(VLOOKUP(C567,Match!$A$2:$B$84,2,FALSE),"")</f>
        <v>5400240</v>
      </c>
    </row>
    <row r="568" spans="1:7" x14ac:dyDescent="0.2">
      <c r="A568">
        <v>2022</v>
      </c>
      <c r="B568" t="s">
        <v>98</v>
      </c>
      <c r="C568" t="s">
        <v>8</v>
      </c>
      <c r="D568" s="1">
        <v>358987</v>
      </c>
      <c r="E568" s="1">
        <v>5343566.3023961354</v>
      </c>
      <c r="F568" s="1">
        <v>5702553.3023961354</v>
      </c>
      <c r="G568">
        <f>IFERROR(VLOOKUP(C568,Match!$A$2:$B$84,2,FALSE),"")</f>
        <v>5400270</v>
      </c>
    </row>
    <row r="569" spans="1:7" x14ac:dyDescent="0.2">
      <c r="A569">
        <v>2022</v>
      </c>
      <c r="B569" t="s">
        <v>99</v>
      </c>
      <c r="C569" t="s">
        <v>9</v>
      </c>
      <c r="D569" s="1">
        <v>668147</v>
      </c>
      <c r="E569" s="1">
        <v>9945426.6055812109</v>
      </c>
      <c r="F569" s="1">
        <v>10613573.605581211</v>
      </c>
      <c r="G569">
        <f>IFERROR(VLOOKUP(C569,Match!$A$2:$B$84,2,FALSE),"")</f>
        <v>5400300</v>
      </c>
    </row>
    <row r="570" spans="1:7" x14ac:dyDescent="0.2">
      <c r="A570">
        <v>2022</v>
      </c>
      <c r="B570" t="s">
        <v>100</v>
      </c>
      <c r="C570" t="s">
        <v>10</v>
      </c>
      <c r="D570" s="1">
        <v>102753</v>
      </c>
      <c r="E570" s="1">
        <v>1529488.5842046435</v>
      </c>
      <c r="F570" s="1">
        <v>1632241.5842046435</v>
      </c>
      <c r="G570">
        <f>IFERROR(VLOOKUP(C570,Match!$A$2:$B$84,2,FALSE),"")</f>
        <v>5400330</v>
      </c>
    </row>
    <row r="571" spans="1:7" x14ac:dyDescent="0.2">
      <c r="A571">
        <v>2022</v>
      </c>
      <c r="B571" t="s">
        <v>101</v>
      </c>
      <c r="C571" t="s">
        <v>11</v>
      </c>
      <c r="D571" s="1">
        <v>112771</v>
      </c>
      <c r="E571" s="1">
        <v>1678605.5502524315</v>
      </c>
      <c r="F571" s="1">
        <v>1791376.5502524315</v>
      </c>
      <c r="G571">
        <f>IFERROR(VLOOKUP(C571,Match!$A$2:$B$84,2,FALSE),"")</f>
        <v>5400360</v>
      </c>
    </row>
    <row r="572" spans="1:7" x14ac:dyDescent="0.2">
      <c r="A572">
        <v>2022</v>
      </c>
      <c r="B572" t="s">
        <v>102</v>
      </c>
      <c r="C572" t="s">
        <v>12</v>
      </c>
      <c r="D572" s="1">
        <v>487348</v>
      </c>
      <c r="E572" s="1">
        <v>7254219.0208272142</v>
      </c>
      <c r="F572" s="1">
        <v>7741567.0208272142</v>
      </c>
      <c r="G572">
        <f>IFERROR(VLOOKUP(C572,Match!$A$2:$B$84,2,FALSE),"")</f>
        <v>5400390</v>
      </c>
    </row>
    <row r="573" spans="1:7" x14ac:dyDescent="0.2">
      <c r="A573">
        <v>2022</v>
      </c>
      <c r="B573" t="s">
        <v>103</v>
      </c>
      <c r="C573" t="s">
        <v>13</v>
      </c>
      <c r="D573" s="1">
        <v>233997</v>
      </c>
      <c r="E573" s="1">
        <v>3483067.7849407396</v>
      </c>
      <c r="F573" s="1">
        <v>3717064.7849407396</v>
      </c>
      <c r="G573">
        <f>IFERROR(VLOOKUP(C573,Match!$A$2:$B$84,2,FALSE),"")</f>
        <v>5400420</v>
      </c>
    </row>
    <row r="574" spans="1:7" x14ac:dyDescent="0.2">
      <c r="A574">
        <v>2022</v>
      </c>
      <c r="B574" t="s">
        <v>104</v>
      </c>
      <c r="C574" t="s">
        <v>14</v>
      </c>
      <c r="D574" s="1">
        <v>439717</v>
      </c>
      <c r="E574" s="1">
        <v>6545238.6136605898</v>
      </c>
      <c r="F574" s="1">
        <v>6984955.6136605898</v>
      </c>
      <c r="G574">
        <f>IFERROR(VLOOKUP(C574,Match!$A$2:$B$84,2,FALSE),"")</f>
        <v>5400450</v>
      </c>
    </row>
    <row r="575" spans="1:7" x14ac:dyDescent="0.2">
      <c r="A575">
        <v>2022</v>
      </c>
      <c r="B575" t="s">
        <v>105</v>
      </c>
      <c r="C575" t="s">
        <v>15</v>
      </c>
      <c r="D575" s="1">
        <v>140818</v>
      </c>
      <c r="E575" s="1">
        <v>2096089.357442108</v>
      </c>
      <c r="F575" s="1">
        <v>2236907.357442108</v>
      </c>
      <c r="G575">
        <f>IFERROR(VLOOKUP(C575,Match!$A$2:$B$84,2,FALSE),"")</f>
        <v>5400480</v>
      </c>
    </row>
    <row r="576" spans="1:7" x14ac:dyDescent="0.2">
      <c r="A576">
        <v>2022</v>
      </c>
      <c r="B576" t="s">
        <v>106</v>
      </c>
      <c r="C576" t="s">
        <v>16</v>
      </c>
      <c r="D576" s="1">
        <v>1116725</v>
      </c>
      <c r="E576" s="1">
        <v>16622571.065078989</v>
      </c>
      <c r="F576" s="1">
        <v>17739296.065078989</v>
      </c>
      <c r="G576">
        <f>IFERROR(VLOOKUP(C576,Match!$A$2:$B$84,2,FALSE),"")</f>
        <v>5400510</v>
      </c>
    </row>
    <row r="577" spans="1:7" x14ac:dyDescent="0.2">
      <c r="A577">
        <v>2022</v>
      </c>
      <c r="B577" t="s">
        <v>107</v>
      </c>
      <c r="C577" t="s">
        <v>17</v>
      </c>
      <c r="D577" s="1">
        <v>532074</v>
      </c>
      <c r="E577" s="1">
        <v>7919976.3433020608</v>
      </c>
      <c r="F577" s="1">
        <v>8452050.3433020599</v>
      </c>
      <c r="G577">
        <f>IFERROR(VLOOKUP(C577,Match!$A$2:$B$84,2,FALSE),"")</f>
        <v>5400540</v>
      </c>
    </row>
    <row r="578" spans="1:7" x14ac:dyDescent="0.2">
      <c r="A578">
        <v>2022</v>
      </c>
      <c r="B578" t="s">
        <v>108</v>
      </c>
      <c r="C578" t="s">
        <v>18</v>
      </c>
      <c r="D578" s="1">
        <v>759799</v>
      </c>
      <c r="E578" s="1">
        <v>11309690.547130711</v>
      </c>
      <c r="F578" s="1">
        <v>12069489.547130711</v>
      </c>
      <c r="G578">
        <f>IFERROR(VLOOKUP(C578,Match!$A$2:$B$84,2,FALSE),"")</f>
        <v>5400570</v>
      </c>
    </row>
    <row r="579" spans="1:7" x14ac:dyDescent="0.2">
      <c r="A579">
        <v>2022</v>
      </c>
      <c r="B579" t="s">
        <v>109</v>
      </c>
      <c r="C579" t="s">
        <v>19</v>
      </c>
      <c r="D579" s="1">
        <v>1600196</v>
      </c>
      <c r="E579" s="1">
        <v>23819079.859317724</v>
      </c>
      <c r="F579" s="1">
        <v>25419275.859317724</v>
      </c>
      <c r="G579">
        <f>IFERROR(VLOOKUP(C579,Match!$A$2:$B$84,2,FALSE),"")</f>
        <v>5400600</v>
      </c>
    </row>
    <row r="580" spans="1:7" x14ac:dyDescent="0.2">
      <c r="A580">
        <v>2022</v>
      </c>
      <c r="B580" t="s">
        <v>110</v>
      </c>
      <c r="C580" t="s">
        <v>20</v>
      </c>
      <c r="D580" s="1">
        <v>209886</v>
      </c>
      <c r="E580" s="1">
        <v>3124177.1592221386</v>
      </c>
      <c r="F580" s="1">
        <v>3334063.1592221386</v>
      </c>
      <c r="G580">
        <f>IFERROR(VLOOKUP(C580,Match!$A$2:$B$84,2,FALSE),"")</f>
        <v>5400630</v>
      </c>
    </row>
    <row r="581" spans="1:7" x14ac:dyDescent="0.2">
      <c r="A581">
        <v>2022</v>
      </c>
      <c r="B581" t="s">
        <v>111</v>
      </c>
      <c r="C581" t="s">
        <v>21</v>
      </c>
      <c r="D581" s="1">
        <v>280609</v>
      </c>
      <c r="E581" s="1">
        <v>4176901.584048714</v>
      </c>
      <c r="F581" s="1">
        <v>4457510.5840487145</v>
      </c>
      <c r="G581">
        <f>IFERROR(VLOOKUP(C581,Match!$A$2:$B$84,2,FALSE),"")</f>
        <v>5400660</v>
      </c>
    </row>
    <row r="582" spans="1:7" x14ac:dyDescent="0.2">
      <c r="A582">
        <v>2022</v>
      </c>
      <c r="B582" t="s">
        <v>112</v>
      </c>
      <c r="C582" t="s">
        <v>22</v>
      </c>
      <c r="D582" s="1">
        <v>501367</v>
      </c>
      <c r="E582" s="1">
        <v>7462903.0891724695</v>
      </c>
      <c r="F582" s="1">
        <v>7964270.0891724695</v>
      </c>
      <c r="G582">
        <f>IFERROR(VLOOKUP(C582,Match!$A$2:$B$84,2,FALSE),"")</f>
        <v>5400690</v>
      </c>
    </row>
    <row r="583" spans="1:7" x14ac:dyDescent="0.2">
      <c r="A583">
        <v>2022</v>
      </c>
      <c r="B583" t="s">
        <v>113</v>
      </c>
      <c r="C583" t="s">
        <v>23</v>
      </c>
      <c r="D583" s="1">
        <v>763594</v>
      </c>
      <c r="E583" s="1">
        <v>11366166.807339095</v>
      </c>
      <c r="F583" s="1">
        <v>12129760.807339095</v>
      </c>
      <c r="G583">
        <f>IFERROR(VLOOKUP(C583,Match!$A$2:$B$84,2,FALSE),"")</f>
        <v>5400720</v>
      </c>
    </row>
    <row r="584" spans="1:7" x14ac:dyDescent="0.2">
      <c r="A584">
        <v>2022</v>
      </c>
      <c r="B584" t="s">
        <v>114</v>
      </c>
      <c r="C584" t="s">
        <v>24</v>
      </c>
      <c r="D584" s="1">
        <v>1114370</v>
      </c>
      <c r="E584" s="1">
        <v>16587511.063051216</v>
      </c>
      <c r="F584" s="1">
        <v>17701881.063051216</v>
      </c>
      <c r="G584">
        <f>IFERROR(VLOOKUP(C584,Match!$A$2:$B$84,2,FALSE),"")</f>
        <v>5400750</v>
      </c>
    </row>
    <row r="585" spans="1:7" x14ac:dyDescent="0.2">
      <c r="A585">
        <v>2022</v>
      </c>
      <c r="B585" t="s">
        <v>115</v>
      </c>
      <c r="C585" t="s">
        <v>25</v>
      </c>
      <c r="D585" s="1">
        <v>400159</v>
      </c>
      <c r="E585" s="1">
        <v>5956401.8887483468</v>
      </c>
      <c r="F585" s="1">
        <v>6356560.8887483468</v>
      </c>
      <c r="G585">
        <f>IFERROR(VLOOKUP(C585,Match!$A$2:$B$84,2,FALSE),"")</f>
        <v>5400780</v>
      </c>
    </row>
    <row r="586" spans="1:7" x14ac:dyDescent="0.2">
      <c r="A586">
        <v>2022</v>
      </c>
      <c r="B586" t="s">
        <v>116</v>
      </c>
      <c r="C586" t="s">
        <v>30</v>
      </c>
      <c r="D586" s="1">
        <v>281049</v>
      </c>
      <c r="E586" s="1">
        <v>4183443.132002064</v>
      </c>
      <c r="F586" s="1">
        <v>4464492.132002064</v>
      </c>
      <c r="G586">
        <f>IFERROR(VLOOKUP(C586,Match!$A$2:$B$84,2,FALSE),"")</f>
        <v>5400810</v>
      </c>
    </row>
    <row r="587" spans="1:7" x14ac:dyDescent="0.2">
      <c r="A587">
        <v>2022</v>
      </c>
      <c r="B587" t="s">
        <v>117</v>
      </c>
      <c r="C587" t="s">
        <v>31</v>
      </c>
      <c r="D587" s="1">
        <v>915953</v>
      </c>
      <c r="E587" s="1">
        <v>13634050.059945069</v>
      </c>
      <c r="F587" s="1">
        <v>14550003.059945069</v>
      </c>
      <c r="G587">
        <f>IFERROR(VLOOKUP(C587,Match!$A$2:$B$84,2,FALSE),"")</f>
        <v>5400840</v>
      </c>
    </row>
    <row r="588" spans="1:7" x14ac:dyDescent="0.2">
      <c r="A588">
        <v>2022</v>
      </c>
      <c r="B588" t="s">
        <v>118</v>
      </c>
      <c r="C588" t="s">
        <v>32</v>
      </c>
      <c r="D588" s="1">
        <v>436587</v>
      </c>
      <c r="E588" s="1">
        <v>6498638.9367706571</v>
      </c>
      <c r="F588" s="1">
        <v>6935225.9367706571</v>
      </c>
      <c r="G588">
        <f>IFERROR(VLOOKUP(C588,Match!$A$2:$B$84,2,FALSE),"")</f>
        <v>5400870</v>
      </c>
    </row>
    <row r="589" spans="1:7" x14ac:dyDescent="0.2">
      <c r="A589">
        <v>2022</v>
      </c>
      <c r="B589" t="s">
        <v>119</v>
      </c>
      <c r="C589" t="s">
        <v>33</v>
      </c>
      <c r="D589" s="1">
        <v>333447</v>
      </c>
      <c r="E589" s="1">
        <v>4963386.9412737759</v>
      </c>
      <c r="F589" s="1">
        <v>5296833.9412737759</v>
      </c>
      <c r="G589">
        <f>IFERROR(VLOOKUP(C589,Match!$A$2:$B$84,2,FALSE),"")</f>
        <v>5400900</v>
      </c>
    </row>
    <row r="590" spans="1:7" x14ac:dyDescent="0.2">
      <c r="A590">
        <v>2022</v>
      </c>
      <c r="B590" t="s">
        <v>120</v>
      </c>
      <c r="C590" t="s">
        <v>34</v>
      </c>
      <c r="D590" s="1">
        <v>1623669</v>
      </c>
      <c r="E590" s="1">
        <v>24168482.470048431</v>
      </c>
      <c r="F590" s="1">
        <v>25792151.470048431</v>
      </c>
      <c r="G590">
        <f>IFERROR(VLOOKUP(C590,Match!$A$2:$B$84,2,FALSE),"")</f>
        <v>5400930</v>
      </c>
    </row>
    <row r="591" spans="1:7" x14ac:dyDescent="0.2">
      <c r="A591">
        <v>2022</v>
      </c>
      <c r="B591" t="s">
        <v>121</v>
      </c>
      <c r="C591" t="s">
        <v>35</v>
      </c>
      <c r="D591" s="1">
        <v>183092</v>
      </c>
      <c r="E591" s="1">
        <v>2725346.0750661208</v>
      </c>
      <c r="F591" s="1">
        <v>2908438.0750661208</v>
      </c>
      <c r="G591">
        <f>IFERROR(VLOOKUP(C591,Match!$A$2:$B$84,2,FALSE),"")</f>
        <v>5400960</v>
      </c>
    </row>
    <row r="592" spans="1:7" x14ac:dyDescent="0.2">
      <c r="A592">
        <v>2022</v>
      </c>
      <c r="B592" t="s">
        <v>122</v>
      </c>
      <c r="C592" t="s">
        <v>36</v>
      </c>
      <c r="D592" s="1">
        <v>164787</v>
      </c>
      <c r="E592" s="1">
        <v>2452864.0618980182</v>
      </c>
      <c r="F592" s="1">
        <v>2617651.0618980182</v>
      </c>
      <c r="G592">
        <f>IFERROR(VLOOKUP(C592,Match!$A$2:$B$84,2,FALSE),"")</f>
        <v>5400990</v>
      </c>
    </row>
    <row r="593" spans="1:7" x14ac:dyDescent="0.2">
      <c r="A593">
        <v>2022</v>
      </c>
      <c r="B593" t="s">
        <v>123</v>
      </c>
      <c r="C593" t="s">
        <v>37</v>
      </c>
      <c r="D593" s="1">
        <v>254760</v>
      </c>
      <c r="E593" s="1">
        <v>3792127.5166257876</v>
      </c>
      <c r="F593" s="1">
        <v>4046887.5166257876</v>
      </c>
      <c r="G593">
        <f>IFERROR(VLOOKUP(C593,Match!$A$2:$B$84,2,FALSE),"")</f>
        <v>5401020</v>
      </c>
    </row>
    <row r="594" spans="1:7" x14ac:dyDescent="0.2">
      <c r="A594">
        <v>2022</v>
      </c>
      <c r="B594" t="s">
        <v>124</v>
      </c>
      <c r="C594" t="s">
        <v>38</v>
      </c>
      <c r="D594" s="1">
        <v>769049</v>
      </c>
      <c r="E594" s="1">
        <v>11447371.656537822</v>
      </c>
      <c r="F594" s="1">
        <v>12216420.656537822</v>
      </c>
      <c r="G594">
        <f>IFERROR(VLOOKUP(C594,Match!$A$2:$B$84,2,FALSE),"")</f>
        <v>5401050</v>
      </c>
    </row>
    <row r="595" spans="1:7" x14ac:dyDescent="0.2">
      <c r="A595">
        <v>2022</v>
      </c>
      <c r="B595" t="s">
        <v>126</v>
      </c>
      <c r="C595" t="s">
        <v>40</v>
      </c>
      <c r="D595" s="1">
        <v>180999</v>
      </c>
      <c r="E595" s="1">
        <v>2694193.6086215968</v>
      </c>
      <c r="F595" s="1">
        <v>2875192.6086215968</v>
      </c>
      <c r="G595">
        <f>IFERROR(VLOOKUP(C595,Match!$A$2:$B$84,2,FALSE),"")</f>
        <v>5401110</v>
      </c>
    </row>
    <row r="596" spans="1:7" x14ac:dyDescent="0.2">
      <c r="A596">
        <v>2022</v>
      </c>
      <c r="B596" t="s">
        <v>127</v>
      </c>
      <c r="C596" t="s">
        <v>41</v>
      </c>
      <c r="D596" s="1">
        <v>10445</v>
      </c>
      <c r="E596" s="1">
        <v>155477.58211354486</v>
      </c>
      <c r="F596" s="1">
        <v>165922.58211354486</v>
      </c>
      <c r="G596">
        <f>IFERROR(VLOOKUP(C596,Match!$A$2:$B$84,2,FALSE),"")</f>
        <v>5401140</v>
      </c>
    </row>
    <row r="597" spans="1:7" x14ac:dyDescent="0.2">
      <c r="A597">
        <v>2022</v>
      </c>
      <c r="B597" t="s">
        <v>128</v>
      </c>
      <c r="C597" t="s">
        <v>42</v>
      </c>
      <c r="D597" s="1">
        <v>171875</v>
      </c>
      <c r="E597" s="1">
        <v>2558381.2272011582</v>
      </c>
      <c r="F597" s="1">
        <v>2730256.2272011582</v>
      </c>
      <c r="G597">
        <f>IFERROR(VLOOKUP(C597,Match!$A$2:$B$84,2,FALSE),"")</f>
        <v>5401170</v>
      </c>
    </row>
    <row r="598" spans="1:7" x14ac:dyDescent="0.2">
      <c r="A598">
        <v>2022</v>
      </c>
      <c r="B598" t="s">
        <v>129</v>
      </c>
      <c r="C598" t="s">
        <v>43</v>
      </c>
      <c r="D598" s="1">
        <v>685380</v>
      </c>
      <c r="E598" s="1">
        <v>10201942.317196496</v>
      </c>
      <c r="F598" s="1">
        <v>10887322.317196496</v>
      </c>
      <c r="G598">
        <f>IFERROR(VLOOKUP(C598,Match!$A$2:$B$84,2,FALSE),"")</f>
        <v>5401200</v>
      </c>
    </row>
    <row r="599" spans="1:7" x14ac:dyDescent="0.2">
      <c r="A599">
        <v>2022</v>
      </c>
      <c r="B599" t="s">
        <v>130</v>
      </c>
      <c r="C599" t="s">
        <v>44</v>
      </c>
      <c r="D599" s="1">
        <v>1000869</v>
      </c>
      <c r="E599" s="1">
        <v>14898027.304098571</v>
      </c>
      <c r="F599" s="1">
        <v>15898896.304098571</v>
      </c>
      <c r="G599">
        <f>IFERROR(VLOOKUP(C599,Match!$A$2:$B$84,2,FALSE),"")</f>
        <v>5401230</v>
      </c>
    </row>
    <row r="600" spans="1:7" x14ac:dyDescent="0.2">
      <c r="A600">
        <v>2022</v>
      </c>
      <c r="B600" t="s">
        <v>131</v>
      </c>
      <c r="C600" t="s">
        <v>45</v>
      </c>
      <c r="D600" s="1">
        <v>282005</v>
      </c>
      <c r="E600" s="1">
        <v>4197683.0806227485</v>
      </c>
      <c r="F600" s="1">
        <v>4479688.0806227485</v>
      </c>
      <c r="G600">
        <f>IFERROR(VLOOKUP(C600,Match!$A$2:$B$84,2,FALSE),"")</f>
        <v>5401260</v>
      </c>
    </row>
    <row r="601" spans="1:7" x14ac:dyDescent="0.2">
      <c r="A601">
        <v>2022</v>
      </c>
      <c r="B601" t="s">
        <v>132</v>
      </c>
      <c r="C601" t="s">
        <v>46</v>
      </c>
      <c r="D601" s="1">
        <v>135292</v>
      </c>
      <c r="E601" s="1">
        <v>2013833.4737508795</v>
      </c>
      <c r="F601" s="1">
        <v>2149125.4737508795</v>
      </c>
      <c r="G601">
        <f>IFERROR(VLOOKUP(C601,Match!$A$2:$B$84,2,FALSE),"")</f>
        <v>5401290</v>
      </c>
    </row>
    <row r="602" spans="1:7" x14ac:dyDescent="0.2">
      <c r="A602">
        <v>2022</v>
      </c>
      <c r="B602" t="s">
        <v>133</v>
      </c>
      <c r="C602" t="s">
        <v>47</v>
      </c>
      <c r="D602" s="1">
        <v>200770</v>
      </c>
      <c r="E602" s="1">
        <v>2988481.4483008664</v>
      </c>
      <c r="F602" s="1">
        <v>3189251.4483008664</v>
      </c>
      <c r="G602">
        <f>IFERROR(VLOOKUP(C602,Match!$A$2:$B$84,2,FALSE),"")</f>
        <v>5401320</v>
      </c>
    </row>
    <row r="603" spans="1:7" x14ac:dyDescent="0.2">
      <c r="A603">
        <v>2022</v>
      </c>
      <c r="B603" t="s">
        <v>134</v>
      </c>
      <c r="C603" t="s">
        <v>48</v>
      </c>
      <c r="D603" s="1">
        <v>123067</v>
      </c>
      <c r="E603" s="1">
        <v>1831863.3928818039</v>
      </c>
      <c r="F603" s="1">
        <v>1954930.3928818039</v>
      </c>
      <c r="G603">
        <f>IFERROR(VLOOKUP(C603,Match!$A$2:$B$84,2,FALSE),"")</f>
        <v>5401350</v>
      </c>
    </row>
    <row r="604" spans="1:7" x14ac:dyDescent="0.2">
      <c r="A604">
        <v>2022</v>
      </c>
      <c r="B604" t="s">
        <v>135</v>
      </c>
      <c r="C604" t="s">
        <v>49</v>
      </c>
      <c r="D604" s="1">
        <v>200987</v>
      </c>
      <c r="E604" s="1">
        <v>2991713.6654444858</v>
      </c>
      <c r="F604" s="1">
        <v>3192700.6654444858</v>
      </c>
      <c r="G604">
        <f>IFERROR(VLOOKUP(C604,Match!$A$2:$B$84,2,FALSE),"")</f>
        <v>5401380</v>
      </c>
    </row>
    <row r="605" spans="1:7" x14ac:dyDescent="0.2">
      <c r="A605">
        <v>2022</v>
      </c>
      <c r="B605" t="s">
        <v>136</v>
      </c>
      <c r="C605" t="s">
        <v>50</v>
      </c>
      <c r="D605" s="1">
        <v>10830</v>
      </c>
      <c r="E605" s="1">
        <v>161201.43657272615</v>
      </c>
      <c r="F605" s="1">
        <v>172031.43657272615</v>
      </c>
      <c r="G605">
        <f>IFERROR(VLOOKUP(C605,Match!$A$2:$B$84,2,FALSE),"")</f>
        <v>5401410</v>
      </c>
    </row>
    <row r="606" spans="1:7" x14ac:dyDescent="0.2">
      <c r="A606">
        <v>2022</v>
      </c>
      <c r="B606" t="s">
        <v>137</v>
      </c>
      <c r="C606" t="s">
        <v>51</v>
      </c>
      <c r="D606" s="1">
        <v>233064</v>
      </c>
      <c r="E606" s="1">
        <v>3469178.847817556</v>
      </c>
      <c r="F606" s="1">
        <v>3702242.847817556</v>
      </c>
      <c r="G606">
        <f>IFERROR(VLOOKUP(C606,Match!$A$2:$B$84,2,FALSE),"")</f>
        <v>5401440</v>
      </c>
    </row>
    <row r="607" spans="1:7" x14ac:dyDescent="0.2">
      <c r="A607">
        <v>2022</v>
      </c>
      <c r="B607" t="s">
        <v>138</v>
      </c>
      <c r="C607" t="s">
        <v>52</v>
      </c>
      <c r="D607" s="1">
        <v>314566</v>
      </c>
      <c r="E607" s="1">
        <v>4682352.2771111149</v>
      </c>
      <c r="F607" s="1">
        <v>4996918.2771111149</v>
      </c>
      <c r="G607">
        <f>IFERROR(VLOOKUP(C607,Match!$A$2:$B$84,2,FALSE),"")</f>
        <v>5401470</v>
      </c>
    </row>
    <row r="608" spans="1:7" x14ac:dyDescent="0.2">
      <c r="A608">
        <v>2022</v>
      </c>
      <c r="B608" t="s">
        <v>139</v>
      </c>
      <c r="C608" t="s">
        <v>53</v>
      </c>
      <c r="D608" s="1">
        <v>654862</v>
      </c>
      <c r="E608" s="1">
        <v>9747686.007324595</v>
      </c>
      <c r="F608" s="1">
        <v>10402548.007324595</v>
      </c>
      <c r="G608">
        <f>IFERROR(VLOOKUP(C608,Match!$A$2:$B$84,2,FALSE),"")</f>
        <v>5401500</v>
      </c>
    </row>
    <row r="609" spans="1:7" x14ac:dyDescent="0.2">
      <c r="A609">
        <v>2022</v>
      </c>
      <c r="B609" t="s">
        <v>140</v>
      </c>
      <c r="C609" t="s">
        <v>54</v>
      </c>
      <c r="D609" s="1">
        <v>55438</v>
      </c>
      <c r="E609" s="1">
        <v>825206.70156006864</v>
      </c>
      <c r="F609" s="1">
        <v>880644.70156006864</v>
      </c>
      <c r="G609">
        <f>IFERROR(VLOOKUP(C609,Match!$A$2:$B$84,2,FALSE),"")</f>
        <v>5401530</v>
      </c>
    </row>
    <row r="610" spans="1:7" x14ac:dyDescent="0.2">
      <c r="A610">
        <v>2022</v>
      </c>
      <c r="B610" t="s">
        <v>141</v>
      </c>
      <c r="C610" t="s">
        <v>55</v>
      </c>
      <c r="D610" s="1">
        <v>685005</v>
      </c>
      <c r="E610" s="1">
        <v>10196374.690069536</v>
      </c>
      <c r="F610" s="1">
        <v>10881379.690069536</v>
      </c>
      <c r="G610">
        <f>IFERROR(VLOOKUP(C610,Match!$A$2:$B$84,2,FALSE),"")</f>
        <v>5401560</v>
      </c>
    </row>
    <row r="611" spans="1:7" x14ac:dyDescent="0.2">
      <c r="A611">
        <v>2022</v>
      </c>
      <c r="B611" t="s">
        <v>142</v>
      </c>
      <c r="C611" t="s">
        <v>56</v>
      </c>
      <c r="D611" s="1">
        <v>57253</v>
      </c>
      <c r="E611" s="1">
        <v>852218.29142300796</v>
      </c>
      <c r="F611" s="1">
        <v>909471.29142300796</v>
      </c>
      <c r="G611">
        <f>IFERROR(VLOOKUP(C611,Match!$A$2:$B$84,2,FALSE),"")</f>
        <v>5401590</v>
      </c>
    </row>
    <row r="612" spans="1:7" x14ac:dyDescent="0.2">
      <c r="A612">
        <v>2022</v>
      </c>
      <c r="B612" t="s">
        <v>143</v>
      </c>
      <c r="C612" t="s">
        <v>57</v>
      </c>
      <c r="D612" s="1">
        <v>1062387</v>
      </c>
      <c r="E612" s="1">
        <v>15813745.937957667</v>
      </c>
      <c r="F612" s="1">
        <v>16876132.937957667</v>
      </c>
      <c r="G612">
        <f>IFERROR(VLOOKUP(C612,Match!$A$2:$B$84,2,FALSE),"")</f>
        <v>5401620</v>
      </c>
    </row>
    <row r="613" spans="1:7" x14ac:dyDescent="0.2">
      <c r="A613">
        <v>2022</v>
      </c>
      <c r="B613" t="s">
        <v>144</v>
      </c>
      <c r="C613" t="s">
        <v>58</v>
      </c>
      <c r="D613" s="1">
        <v>386532</v>
      </c>
      <c r="E613" s="1">
        <v>5753573.1976391263</v>
      </c>
      <c r="F613" s="1">
        <v>6140105.1976391263</v>
      </c>
      <c r="G613">
        <f>IFERROR(VLOOKUP(C613,Match!$A$2:$B$84,2,FALSE),"")</f>
        <v>5401650</v>
      </c>
    </row>
    <row r="614" spans="1:7" x14ac:dyDescent="0.2">
      <c r="A614">
        <v>2022</v>
      </c>
      <c r="B614" t="s">
        <v>146</v>
      </c>
      <c r="C614" t="s">
        <v>60</v>
      </c>
      <c r="D614" s="1">
        <v>7721</v>
      </c>
      <c r="E614" s="1">
        <v>114927.06662492288</v>
      </c>
      <c r="F614" s="1">
        <v>122648.06662492288</v>
      </c>
      <c r="G614">
        <f>IFERROR(VLOOKUP(C614,Match!$A$2:$B$84,2,FALSE),"")</f>
        <v>0</v>
      </c>
    </row>
    <row r="615" spans="1:7" x14ac:dyDescent="0.2">
      <c r="A615">
        <v>2022</v>
      </c>
      <c r="B615" t="s">
        <v>150</v>
      </c>
      <c r="C615" t="s">
        <v>64</v>
      </c>
      <c r="D615" s="1">
        <v>29769</v>
      </c>
      <c r="E615" s="1">
        <v>443106.20334029739</v>
      </c>
      <c r="F615" s="1">
        <v>472875.20334029739</v>
      </c>
      <c r="G615">
        <f>IFERROR(VLOOKUP(C615,Match!$A$2:$B$84,2,FALSE),"")</f>
        <v>0</v>
      </c>
    </row>
    <row r="616" spans="1:7" x14ac:dyDescent="0.2">
      <c r="A616">
        <v>2022</v>
      </c>
      <c r="B616" t="s">
        <v>151</v>
      </c>
      <c r="C616" t="s">
        <v>65</v>
      </c>
      <c r="D616" s="1">
        <v>191010</v>
      </c>
      <c r="E616" s="1">
        <v>2843206.7564479029</v>
      </c>
      <c r="F616" s="1">
        <v>3034216.7564479029</v>
      </c>
      <c r="G616">
        <f>IFERROR(VLOOKUP(C616,Match!$A$2:$B$84,2,FALSE),"")</f>
        <v>0</v>
      </c>
    </row>
    <row r="617" spans="1:7" x14ac:dyDescent="0.2">
      <c r="A617">
        <v>2022</v>
      </c>
      <c r="B617" t="s">
        <v>161</v>
      </c>
      <c r="C617" t="s">
        <v>70</v>
      </c>
      <c r="D617" s="1">
        <v>353334</v>
      </c>
      <c r="E617" s="1">
        <v>5259414.9861628655</v>
      </c>
      <c r="F617" s="1">
        <v>5612748.9861628655</v>
      </c>
      <c r="G617">
        <f>IFERROR(VLOOKUP(C617,Match!$A$2:$B$84,2,FALSE),"")</f>
        <v>0</v>
      </c>
    </row>
    <row r="618" spans="1:7" x14ac:dyDescent="0.2">
      <c r="A618">
        <v>2022</v>
      </c>
      <c r="B618" t="s">
        <v>168</v>
      </c>
      <c r="C618" t="s">
        <v>78</v>
      </c>
      <c r="D618" s="1">
        <v>12015</v>
      </c>
      <c r="E618" s="1">
        <v>178855.53422462306</v>
      </c>
      <c r="F618" s="1">
        <v>190870.53422462306</v>
      </c>
      <c r="G618">
        <f>IFERROR(VLOOKUP(C618,Match!$A$2:$B$84,2,FALSE),"")</f>
        <v>0</v>
      </c>
    </row>
    <row r="619" spans="1:7" x14ac:dyDescent="0.2">
      <c r="A619">
        <v>2022</v>
      </c>
      <c r="B619" t="s">
        <v>169</v>
      </c>
      <c r="C619" t="s">
        <v>80</v>
      </c>
      <c r="D619" s="1">
        <v>2405473</v>
      </c>
      <c r="E619" s="1">
        <v>35805702.540010251</v>
      </c>
      <c r="F619" s="1">
        <v>38211175.540010251</v>
      </c>
      <c r="G619">
        <f>IFERROR(VLOOKUP(C619,Match!$A$2:$B$84,2,FALSE),"")</f>
        <v>0</v>
      </c>
    </row>
    <row r="620" spans="1:7" x14ac:dyDescent="0.2">
      <c r="A620">
        <v>2022</v>
      </c>
      <c r="B620" t="s">
        <v>159</v>
      </c>
      <c r="C620" t="s">
        <v>68</v>
      </c>
      <c r="D620" s="1">
        <v>402077</v>
      </c>
      <c r="E620" s="1">
        <v>5984958.8996558273</v>
      </c>
      <c r="F620" s="1">
        <v>6387035.8996558273</v>
      </c>
      <c r="G620">
        <f>IFERROR(VLOOKUP(C620,Match!$A$2:$B$84,2,FALSE),"")</f>
        <v>5401621</v>
      </c>
    </row>
    <row r="621" spans="1:7" x14ac:dyDescent="0.2">
      <c r="A621">
        <v>2022</v>
      </c>
      <c r="B621" t="s">
        <v>173</v>
      </c>
      <c r="C621" t="s">
        <v>172</v>
      </c>
      <c r="D621" s="1">
        <v>44926</v>
      </c>
      <c r="E621" s="1">
        <v>668729.49406476191</v>
      </c>
      <c r="F621" s="1">
        <v>713655.49406476191</v>
      </c>
      <c r="G621">
        <f>IFERROR(VLOOKUP(C621,Match!$A$2:$B$84,2,FALSE),"")</f>
        <v>0</v>
      </c>
    </row>
    <row r="622" spans="1:7" x14ac:dyDescent="0.2">
      <c r="A622">
        <v>2022</v>
      </c>
      <c r="B622" t="s">
        <v>171</v>
      </c>
      <c r="C622" t="s">
        <v>82</v>
      </c>
      <c r="D622" s="1">
        <v>42555</v>
      </c>
      <c r="E622" s="1">
        <v>633436.15103865333</v>
      </c>
      <c r="F622" s="1">
        <v>675991.15103865333</v>
      </c>
      <c r="G622">
        <f>IFERROR(VLOOKUP(C622,Match!$A$2:$B$84,2,FALSE),"")</f>
        <v>0</v>
      </c>
    </row>
    <row r="623" spans="1:7" x14ac:dyDescent="0.2">
      <c r="A623">
        <v>2022</v>
      </c>
      <c r="B623" t="s">
        <v>167</v>
      </c>
      <c r="C623" t="s">
        <v>77</v>
      </c>
      <c r="D623" s="1">
        <v>1390</v>
      </c>
      <c r="E623" s="1">
        <v>20690.530630237983</v>
      </c>
      <c r="F623" s="1">
        <v>22080.530630237983</v>
      </c>
      <c r="G623">
        <f>IFERROR(VLOOKUP(C623,Match!$A$2:$B$84,2,FALSE),"")</f>
        <v>0</v>
      </c>
    </row>
    <row r="624" spans="1:7" x14ac:dyDescent="0.2">
      <c r="A624">
        <v>2022</v>
      </c>
      <c r="B624" t="s">
        <v>166</v>
      </c>
      <c r="C624" t="s">
        <v>75</v>
      </c>
      <c r="D624" s="1">
        <v>26341</v>
      </c>
      <c r="E624" s="1">
        <v>392094.75203738938</v>
      </c>
      <c r="F624" s="1">
        <v>418435.75203738938</v>
      </c>
      <c r="G624">
        <f>IFERROR(VLOOKUP(C624,Match!$A$2:$B$84,2,FALSE),"")</f>
        <v>0</v>
      </c>
    </row>
    <row r="625" spans="1:7" x14ac:dyDescent="0.2">
      <c r="A625">
        <v>2022</v>
      </c>
      <c r="B625" t="s">
        <v>165</v>
      </c>
      <c r="C625" t="s">
        <v>74</v>
      </c>
      <c r="D625" s="1">
        <v>4137</v>
      </c>
      <c r="E625" s="1">
        <v>61578.205338675645</v>
      </c>
      <c r="F625" s="1">
        <v>65715.205338675645</v>
      </c>
      <c r="G625">
        <f>IFERROR(VLOOKUP(C625,Match!$A$2:$B$84,2,FALSE),"")</f>
        <v>0</v>
      </c>
    </row>
    <row r="626" spans="1:7" x14ac:dyDescent="0.2">
      <c r="A626">
        <v>2022</v>
      </c>
      <c r="B626" t="s">
        <v>145</v>
      </c>
      <c r="C626" t="s">
        <v>59</v>
      </c>
      <c r="D626" s="1">
        <v>32400</v>
      </c>
      <c r="E626" s="1">
        <v>482281.37739428616</v>
      </c>
      <c r="F626" s="1">
        <v>514681.37739428616</v>
      </c>
      <c r="G626">
        <f>IFERROR(VLOOKUP(C626,Match!$A$2:$B$84,2,FALSE),"")</f>
        <v>0</v>
      </c>
    </row>
    <row r="627" spans="1:7" x14ac:dyDescent="0.2">
      <c r="A627">
        <v>2022</v>
      </c>
      <c r="B627" t="s">
        <v>147</v>
      </c>
      <c r="C627" t="s">
        <v>61</v>
      </c>
      <c r="D627" s="1">
        <v>23790</v>
      </c>
      <c r="E627" s="1">
        <v>354113.98753044062</v>
      </c>
      <c r="F627" s="1">
        <v>377903.98753044062</v>
      </c>
      <c r="G627">
        <f>IFERROR(VLOOKUP(C627,Match!$A$2:$B$84,2,FALSE),"")</f>
        <v>0</v>
      </c>
    </row>
    <row r="628" spans="1:7" x14ac:dyDescent="0.2">
      <c r="A628">
        <v>2022</v>
      </c>
      <c r="B628" t="s">
        <v>148</v>
      </c>
      <c r="C628" t="s">
        <v>62</v>
      </c>
      <c r="D628" s="1">
        <v>22856</v>
      </c>
      <c r="E628" s="1">
        <v>340212.19812957186</v>
      </c>
      <c r="F628" s="1">
        <v>363068.19812957186</v>
      </c>
      <c r="G628">
        <f>IFERROR(VLOOKUP(C628,Match!$A$2:$B$84,2,FALSE),"")</f>
        <v>0</v>
      </c>
    </row>
    <row r="629" spans="1:7" x14ac:dyDescent="0.2">
      <c r="A629">
        <v>2022</v>
      </c>
      <c r="B629" t="s">
        <v>149</v>
      </c>
      <c r="C629" t="s">
        <v>63</v>
      </c>
      <c r="D629" s="1">
        <v>62852</v>
      </c>
      <c r="E629" s="1">
        <v>935564.76643979468</v>
      </c>
      <c r="F629" s="1">
        <v>998416.76643979468</v>
      </c>
      <c r="G629">
        <f>IFERROR(VLOOKUP(C629,Match!$A$2:$B$84,2,FALSE),"")</f>
        <v>0</v>
      </c>
    </row>
    <row r="630" spans="1:7" x14ac:dyDescent="0.2">
      <c r="A630">
        <v>2022</v>
      </c>
      <c r="B630" t="s">
        <v>152</v>
      </c>
      <c r="C630" t="s">
        <v>66</v>
      </c>
      <c r="D630" s="1">
        <v>8674</v>
      </c>
      <c r="E630" s="1">
        <v>129114.6061348665</v>
      </c>
      <c r="F630" s="1">
        <v>137788.60613486648</v>
      </c>
      <c r="G630">
        <f>IFERROR(VLOOKUP(C630,Match!$A$2:$B$84,2,FALSE),"")</f>
        <v>0</v>
      </c>
    </row>
    <row r="631" spans="1:7" x14ac:dyDescent="0.2">
      <c r="A631">
        <v>2022</v>
      </c>
      <c r="B631" t="s">
        <v>162</v>
      </c>
      <c r="C631" t="s">
        <v>71</v>
      </c>
      <c r="D631" s="1">
        <v>45736</v>
      </c>
      <c r="E631" s="1">
        <v>680788.26003432972</v>
      </c>
      <c r="F631" s="1">
        <v>726524.26003432972</v>
      </c>
      <c r="G631">
        <f>IFERROR(VLOOKUP(C631,Match!$A$2:$B$84,2,FALSE),"")</f>
        <v>0</v>
      </c>
    </row>
    <row r="632" spans="1:7" x14ac:dyDescent="0.2">
      <c r="A632">
        <v>2022</v>
      </c>
      <c r="B632" t="s">
        <v>153</v>
      </c>
      <c r="C632" t="s">
        <v>67</v>
      </c>
      <c r="D632" s="1">
        <v>32190</v>
      </c>
      <c r="E632" s="1">
        <v>479152.97847214853</v>
      </c>
      <c r="F632" s="1">
        <v>511342.97847214853</v>
      </c>
      <c r="G632">
        <f>IFERROR(VLOOKUP(C632,Match!$A$2:$B$84,2,FALSE),"")</f>
        <v>0</v>
      </c>
    </row>
    <row r="633" spans="1:7" x14ac:dyDescent="0.2">
      <c r="A633">
        <v>2022</v>
      </c>
      <c r="B633" t="s">
        <v>163</v>
      </c>
      <c r="C633" t="s">
        <v>72</v>
      </c>
      <c r="D633" s="1">
        <v>19354</v>
      </c>
      <c r="E633" s="1">
        <v>288083.45094573509</v>
      </c>
      <c r="F633" s="1">
        <v>307437.45094573509</v>
      </c>
      <c r="G633">
        <f>IFERROR(VLOOKUP(C633,Match!$A$2:$B$84,2,FALSE),"")</f>
        <v>0</v>
      </c>
    </row>
    <row r="634" spans="1:7" x14ac:dyDescent="0.2">
      <c r="A634">
        <v>2022</v>
      </c>
      <c r="B634" t="s">
        <v>160</v>
      </c>
      <c r="C634" t="s">
        <v>69</v>
      </c>
      <c r="D634" s="1">
        <v>27637</v>
      </c>
      <c r="E634" s="1">
        <v>411383.23667762376</v>
      </c>
      <c r="F634" s="1">
        <v>439020.23667762376</v>
      </c>
      <c r="G634">
        <f>IFERROR(VLOOKUP(C634,Match!$A$2:$B$84,2,FALSE),"")</f>
        <v>0</v>
      </c>
    </row>
    <row r="635" spans="1:7" x14ac:dyDescent="0.2">
      <c r="A635">
        <v>2022</v>
      </c>
      <c r="B635" t="s">
        <v>170</v>
      </c>
      <c r="C635" t="s">
        <v>81</v>
      </c>
      <c r="D635" s="1">
        <v>14991</v>
      </c>
      <c r="E635" s="1">
        <v>223143.50568658792</v>
      </c>
      <c r="F635" s="1">
        <v>238134.50568658792</v>
      </c>
      <c r="G635">
        <f>IFERROR(VLOOKUP(C635,Match!$A$2:$B$84,2,FALSE),"")</f>
        <v>0</v>
      </c>
    </row>
    <row r="636" spans="1:7" x14ac:dyDescent="0.2">
      <c r="A636">
        <v>2022</v>
      </c>
      <c r="B636" t="s">
        <v>154</v>
      </c>
      <c r="C636" t="s">
        <v>87</v>
      </c>
      <c r="D636" s="1">
        <v>500015</v>
      </c>
      <c r="E636" s="1">
        <v>7442770.2064826954</v>
      </c>
      <c r="F636" s="1">
        <v>7942785.2064826954</v>
      </c>
      <c r="G636">
        <f>IFERROR(VLOOKUP(C636,Match!$A$2:$B$84,2,FALSE),"")</f>
        <v>5400058</v>
      </c>
    </row>
    <row r="637" spans="1:7" x14ac:dyDescent="0.2">
      <c r="A637">
        <v>2022</v>
      </c>
      <c r="B637" t="s">
        <v>155</v>
      </c>
      <c r="C637" t="s">
        <v>88</v>
      </c>
      <c r="D637" s="1">
        <v>269034</v>
      </c>
      <c r="E637" s="1">
        <v>4004601.4500551256</v>
      </c>
      <c r="F637" s="1">
        <v>4273635.4500551261</v>
      </c>
      <c r="G637">
        <f>IFERROR(VLOOKUP(C637,Match!$A$2:$B$84,2,FALSE),"")</f>
        <v>5400059</v>
      </c>
    </row>
    <row r="638" spans="1:7" x14ac:dyDescent="0.2">
      <c r="A638">
        <v>2022</v>
      </c>
      <c r="B638" t="s">
        <v>156</v>
      </c>
      <c r="C638" t="s">
        <v>89</v>
      </c>
      <c r="D638" s="1">
        <v>641962</v>
      </c>
      <c r="E638" s="1">
        <v>9555669.2635271624</v>
      </c>
      <c r="F638" s="1">
        <v>10197631.263527162</v>
      </c>
      <c r="G638">
        <f>IFERROR(VLOOKUP(C638,Match!$A$2:$B$84,2,FALSE),"")</f>
        <v>5400061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81B7-D5EC-F944-91ED-40B1720EDE2D}">
  <sheetPr>
    <tabColor rgb="FFFF0000"/>
  </sheetPr>
  <dimension ref="A1"/>
  <sheetViews>
    <sheetView workbookViewId="0">
      <selection activeCell="F35" sqref="F35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2265-2141-A44D-BBAB-8069B41DD1BF}">
  <sheetPr>
    <tabColor rgb="FFFFFF00"/>
  </sheetPr>
  <dimension ref="A1:F770"/>
  <sheetViews>
    <sheetView workbookViewId="0">
      <pane xSplit="3" ySplit="1" topLeftCell="D2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6" x14ac:dyDescent="0.2"/>
  <cols>
    <col min="1" max="1" width="6.1640625" bestFit="1" customWidth="1"/>
    <col min="2" max="2" width="7.5" bestFit="1" customWidth="1"/>
    <col min="3" max="3" width="56.5" bestFit="1" customWidth="1"/>
    <col min="4" max="4" width="20.6640625" bestFit="1" customWidth="1"/>
    <col min="5" max="5" width="21.83203125" bestFit="1" customWidth="1"/>
    <col min="6" max="6" width="17" bestFit="1" customWidth="1"/>
  </cols>
  <sheetData>
    <row r="1" spans="1:6" x14ac:dyDescent="0.2">
      <c r="A1" t="s">
        <v>181</v>
      </c>
      <c r="B1" t="s">
        <v>182</v>
      </c>
      <c r="C1" t="s">
        <v>26</v>
      </c>
      <c r="D1" t="s">
        <v>29</v>
      </c>
      <c r="E1" t="s">
        <v>27</v>
      </c>
      <c r="F1" t="s">
        <v>28</v>
      </c>
    </row>
    <row r="2" spans="1:6" x14ac:dyDescent="0.2">
      <c r="A2">
        <v>2015</v>
      </c>
      <c r="C2" t="s">
        <v>0</v>
      </c>
      <c r="D2">
        <v>72951</v>
      </c>
      <c r="E2">
        <v>5762</v>
      </c>
      <c r="F2">
        <v>78713</v>
      </c>
    </row>
    <row r="3" spans="1:6" x14ac:dyDescent="0.2">
      <c r="A3">
        <v>2015</v>
      </c>
      <c r="C3" t="s">
        <v>1</v>
      </c>
      <c r="D3">
        <v>1783435</v>
      </c>
      <c r="E3">
        <v>140876</v>
      </c>
      <c r="F3">
        <v>1924311</v>
      </c>
    </row>
    <row r="4" spans="1:6" x14ac:dyDescent="0.2">
      <c r="A4">
        <v>2015</v>
      </c>
      <c r="C4" t="s">
        <v>2</v>
      </c>
      <c r="D4">
        <v>659694</v>
      </c>
      <c r="E4">
        <v>52110</v>
      </c>
      <c r="F4">
        <v>711804</v>
      </c>
    </row>
    <row r="5" spans="1:6" x14ac:dyDescent="0.2">
      <c r="A5">
        <v>2015</v>
      </c>
      <c r="C5" t="s">
        <v>3</v>
      </c>
      <c r="D5">
        <v>70962</v>
      </c>
      <c r="E5">
        <v>5606</v>
      </c>
      <c r="F5">
        <v>76568</v>
      </c>
    </row>
    <row r="6" spans="1:6" x14ac:dyDescent="0.2">
      <c r="A6">
        <v>2015</v>
      </c>
      <c r="C6" t="s">
        <v>4</v>
      </c>
      <c r="D6">
        <v>352159</v>
      </c>
      <c r="E6">
        <v>27817</v>
      </c>
      <c r="F6">
        <v>379976</v>
      </c>
    </row>
    <row r="7" spans="1:6" x14ac:dyDescent="0.2">
      <c r="A7">
        <v>2015</v>
      </c>
      <c r="C7" t="s">
        <v>5</v>
      </c>
      <c r="D7">
        <v>1022376</v>
      </c>
      <c r="E7">
        <v>80759</v>
      </c>
      <c r="F7">
        <v>1103135</v>
      </c>
    </row>
    <row r="8" spans="1:6" x14ac:dyDescent="0.2">
      <c r="A8">
        <v>2015</v>
      </c>
      <c r="C8" t="s">
        <v>6</v>
      </c>
      <c r="D8">
        <v>75551</v>
      </c>
      <c r="E8">
        <v>5968</v>
      </c>
      <c r="F8">
        <v>81519</v>
      </c>
    </row>
    <row r="9" spans="1:6" x14ac:dyDescent="0.2">
      <c r="A9">
        <v>2015</v>
      </c>
      <c r="C9" t="s">
        <v>7</v>
      </c>
      <c r="D9">
        <v>129973</v>
      </c>
      <c r="E9">
        <v>10267</v>
      </c>
      <c r="F9">
        <v>140240</v>
      </c>
    </row>
    <row r="10" spans="1:6" x14ac:dyDescent="0.2">
      <c r="A10">
        <v>2015</v>
      </c>
      <c r="C10" t="s">
        <v>8</v>
      </c>
      <c r="D10">
        <v>243417</v>
      </c>
      <c r="E10">
        <v>19228</v>
      </c>
      <c r="F10">
        <v>262645</v>
      </c>
    </row>
    <row r="11" spans="1:6" x14ac:dyDescent="0.2">
      <c r="A11">
        <v>2015</v>
      </c>
      <c r="C11" t="s">
        <v>9</v>
      </c>
      <c r="D11">
        <v>634696</v>
      </c>
      <c r="E11">
        <v>50135</v>
      </c>
      <c r="F11">
        <v>684831</v>
      </c>
    </row>
    <row r="12" spans="1:6" x14ac:dyDescent="0.2">
      <c r="A12">
        <v>2015</v>
      </c>
      <c r="C12" t="s">
        <v>10</v>
      </c>
      <c r="D12">
        <v>80874</v>
      </c>
      <c r="E12">
        <v>6388</v>
      </c>
      <c r="F12">
        <v>87262</v>
      </c>
    </row>
    <row r="13" spans="1:6" x14ac:dyDescent="0.2">
      <c r="A13">
        <v>2015</v>
      </c>
      <c r="C13" t="s">
        <v>11</v>
      </c>
      <c r="D13">
        <v>66550</v>
      </c>
      <c r="E13">
        <v>5257</v>
      </c>
      <c r="F13">
        <v>71807</v>
      </c>
    </row>
    <row r="14" spans="1:6" x14ac:dyDescent="0.2">
      <c r="A14">
        <v>2015</v>
      </c>
      <c r="C14" t="s">
        <v>12</v>
      </c>
      <c r="D14">
        <v>400447</v>
      </c>
      <c r="E14">
        <v>31632</v>
      </c>
      <c r="F14">
        <v>432079</v>
      </c>
    </row>
    <row r="15" spans="1:6" x14ac:dyDescent="0.2">
      <c r="A15">
        <v>2015</v>
      </c>
      <c r="C15" t="s">
        <v>13</v>
      </c>
      <c r="D15">
        <v>196048</v>
      </c>
      <c r="E15">
        <v>15486</v>
      </c>
      <c r="F15">
        <v>211534</v>
      </c>
    </row>
    <row r="16" spans="1:6" x14ac:dyDescent="0.2">
      <c r="A16">
        <v>2015</v>
      </c>
      <c r="C16" t="s">
        <v>14</v>
      </c>
      <c r="D16">
        <v>458098</v>
      </c>
      <c r="E16">
        <v>36186</v>
      </c>
      <c r="F16">
        <v>494284</v>
      </c>
    </row>
    <row r="17" spans="1:6" x14ac:dyDescent="0.2">
      <c r="A17">
        <v>2015</v>
      </c>
      <c r="C17" t="s">
        <v>15</v>
      </c>
      <c r="D17">
        <v>41192</v>
      </c>
      <c r="E17">
        <v>3254</v>
      </c>
      <c r="F17">
        <v>44446</v>
      </c>
    </row>
    <row r="18" spans="1:6" x14ac:dyDescent="0.2">
      <c r="A18">
        <v>2015</v>
      </c>
      <c r="C18" t="s">
        <v>16</v>
      </c>
      <c r="D18">
        <v>1352473</v>
      </c>
      <c r="E18">
        <v>106834</v>
      </c>
      <c r="F18">
        <v>1459307</v>
      </c>
    </row>
    <row r="19" spans="1:6" x14ac:dyDescent="0.2">
      <c r="A19">
        <v>2015</v>
      </c>
      <c r="C19" t="s">
        <v>17</v>
      </c>
      <c r="D19">
        <v>503546</v>
      </c>
      <c r="E19">
        <v>39776</v>
      </c>
      <c r="F19">
        <v>543322</v>
      </c>
    </row>
    <row r="20" spans="1:6" x14ac:dyDescent="0.2">
      <c r="A20">
        <v>2015</v>
      </c>
      <c r="C20" t="s">
        <v>18</v>
      </c>
      <c r="D20">
        <v>1024564</v>
      </c>
      <c r="E20">
        <v>80932</v>
      </c>
      <c r="F20">
        <v>1105496</v>
      </c>
    </row>
    <row r="21" spans="1:6" x14ac:dyDescent="0.2">
      <c r="A21">
        <v>2015</v>
      </c>
      <c r="C21" t="s">
        <v>19</v>
      </c>
      <c r="D21">
        <v>1837706</v>
      </c>
      <c r="E21">
        <v>145163</v>
      </c>
      <c r="F21">
        <v>1982869</v>
      </c>
    </row>
    <row r="22" spans="1:6" x14ac:dyDescent="0.2">
      <c r="A22">
        <v>2015</v>
      </c>
      <c r="C22" t="s">
        <v>20</v>
      </c>
      <c r="D22">
        <v>167516</v>
      </c>
      <c r="E22">
        <v>13232</v>
      </c>
      <c r="F22">
        <v>180748</v>
      </c>
    </row>
    <row r="23" spans="1:6" x14ac:dyDescent="0.2">
      <c r="A23">
        <v>2015</v>
      </c>
      <c r="C23" t="s">
        <v>21</v>
      </c>
      <c r="D23">
        <v>247929</v>
      </c>
      <c r="E23">
        <v>19584</v>
      </c>
      <c r="F23">
        <v>267513</v>
      </c>
    </row>
    <row r="24" spans="1:6" x14ac:dyDescent="0.2">
      <c r="A24">
        <v>2015</v>
      </c>
      <c r="C24" t="s">
        <v>22</v>
      </c>
      <c r="D24">
        <v>456258</v>
      </c>
      <c r="E24">
        <v>36040</v>
      </c>
      <c r="F24">
        <v>492298</v>
      </c>
    </row>
    <row r="25" spans="1:6" x14ac:dyDescent="0.2">
      <c r="A25">
        <v>2015</v>
      </c>
      <c r="C25" t="s">
        <v>23</v>
      </c>
      <c r="D25">
        <v>639563</v>
      </c>
      <c r="E25">
        <v>50520</v>
      </c>
      <c r="F25">
        <v>690083</v>
      </c>
    </row>
    <row r="26" spans="1:6" x14ac:dyDescent="0.2">
      <c r="A26">
        <v>2015</v>
      </c>
      <c r="C26" t="s">
        <v>24</v>
      </c>
      <c r="D26">
        <v>690182</v>
      </c>
      <c r="E26">
        <v>54518</v>
      </c>
      <c r="F26">
        <v>744700</v>
      </c>
    </row>
    <row r="27" spans="1:6" x14ac:dyDescent="0.2">
      <c r="A27">
        <v>2015</v>
      </c>
      <c r="C27" t="s">
        <v>25</v>
      </c>
      <c r="D27">
        <v>299203</v>
      </c>
      <c r="E27">
        <v>23634</v>
      </c>
      <c r="F27">
        <v>322837</v>
      </c>
    </row>
    <row r="28" spans="1:6" x14ac:dyDescent="0.2">
      <c r="A28">
        <v>2015</v>
      </c>
      <c r="C28" t="s">
        <v>30</v>
      </c>
      <c r="D28">
        <v>461646</v>
      </c>
      <c r="E28">
        <v>36466</v>
      </c>
      <c r="F28">
        <v>498112</v>
      </c>
    </row>
    <row r="29" spans="1:6" x14ac:dyDescent="0.2">
      <c r="A29">
        <v>2015</v>
      </c>
      <c r="C29" t="s">
        <v>31</v>
      </c>
      <c r="D29">
        <v>764534</v>
      </c>
      <c r="E29">
        <v>60392</v>
      </c>
      <c r="F29">
        <v>824926</v>
      </c>
    </row>
    <row r="30" spans="1:6" x14ac:dyDescent="0.2">
      <c r="A30">
        <v>2015</v>
      </c>
      <c r="C30" t="s">
        <v>32</v>
      </c>
      <c r="D30">
        <v>395816</v>
      </c>
      <c r="E30">
        <v>31266</v>
      </c>
      <c r="F30">
        <v>427082</v>
      </c>
    </row>
    <row r="31" spans="1:6" x14ac:dyDescent="0.2">
      <c r="A31">
        <v>2015</v>
      </c>
      <c r="C31" t="s">
        <v>33</v>
      </c>
      <c r="D31">
        <v>285140</v>
      </c>
      <c r="E31">
        <v>22524</v>
      </c>
      <c r="F31">
        <v>307664</v>
      </c>
    </row>
    <row r="32" spans="1:6" x14ac:dyDescent="0.2">
      <c r="A32">
        <v>2015</v>
      </c>
      <c r="C32" t="s">
        <v>34</v>
      </c>
      <c r="D32">
        <v>1308604</v>
      </c>
      <c r="E32">
        <v>103368</v>
      </c>
      <c r="F32">
        <v>1411972</v>
      </c>
    </row>
    <row r="33" spans="1:6" x14ac:dyDescent="0.2">
      <c r="A33">
        <v>2015</v>
      </c>
      <c r="C33" t="s">
        <v>35</v>
      </c>
      <c r="D33">
        <v>125414</v>
      </c>
      <c r="E33">
        <v>9906</v>
      </c>
      <c r="F33">
        <v>135320</v>
      </c>
    </row>
    <row r="34" spans="1:6" x14ac:dyDescent="0.2">
      <c r="A34">
        <v>2015</v>
      </c>
      <c r="C34" t="s">
        <v>36</v>
      </c>
      <c r="D34">
        <v>128245</v>
      </c>
      <c r="E34">
        <v>10130</v>
      </c>
      <c r="F34">
        <v>138375</v>
      </c>
    </row>
    <row r="35" spans="1:6" x14ac:dyDescent="0.2">
      <c r="A35">
        <v>2015</v>
      </c>
      <c r="C35" t="s">
        <v>37</v>
      </c>
      <c r="D35">
        <v>279542</v>
      </c>
      <c r="E35">
        <v>22081</v>
      </c>
      <c r="F35">
        <v>301623</v>
      </c>
    </row>
    <row r="36" spans="1:6" x14ac:dyDescent="0.2">
      <c r="A36">
        <v>2015</v>
      </c>
      <c r="C36" t="s">
        <v>38</v>
      </c>
      <c r="D36">
        <v>580235</v>
      </c>
      <c r="E36">
        <v>45833</v>
      </c>
      <c r="F36">
        <v>626068</v>
      </c>
    </row>
    <row r="37" spans="1:6" x14ac:dyDescent="0.2">
      <c r="A37">
        <v>2015</v>
      </c>
      <c r="C37" t="s">
        <v>39</v>
      </c>
      <c r="D37">
        <v>45161</v>
      </c>
      <c r="E37">
        <v>3567</v>
      </c>
      <c r="F37">
        <v>48728</v>
      </c>
    </row>
    <row r="38" spans="1:6" x14ac:dyDescent="0.2">
      <c r="A38">
        <v>2015</v>
      </c>
      <c r="C38" t="s">
        <v>40</v>
      </c>
      <c r="D38">
        <v>191654</v>
      </c>
      <c r="E38">
        <v>15139</v>
      </c>
      <c r="F38">
        <v>206793</v>
      </c>
    </row>
    <row r="39" spans="1:6" x14ac:dyDescent="0.2">
      <c r="A39">
        <v>2015</v>
      </c>
      <c r="C39" t="s">
        <v>41</v>
      </c>
      <c r="D39">
        <v>49077</v>
      </c>
      <c r="E39">
        <v>3877</v>
      </c>
      <c r="F39">
        <v>52954</v>
      </c>
    </row>
    <row r="40" spans="1:6" x14ac:dyDescent="0.2">
      <c r="A40">
        <v>2015</v>
      </c>
      <c r="C40" t="s">
        <v>42</v>
      </c>
      <c r="D40">
        <v>58950</v>
      </c>
      <c r="E40">
        <v>4657</v>
      </c>
      <c r="F40">
        <v>63607</v>
      </c>
    </row>
    <row r="41" spans="1:6" x14ac:dyDescent="0.2">
      <c r="A41">
        <v>2015</v>
      </c>
      <c r="C41" t="s">
        <v>43</v>
      </c>
      <c r="D41">
        <v>877560</v>
      </c>
      <c r="E41">
        <v>69320</v>
      </c>
      <c r="F41">
        <v>946880</v>
      </c>
    </row>
    <row r="42" spans="1:6" x14ac:dyDescent="0.2">
      <c r="A42">
        <v>2015</v>
      </c>
      <c r="C42" t="s">
        <v>44</v>
      </c>
      <c r="D42">
        <v>957315</v>
      </c>
      <c r="E42">
        <v>75620</v>
      </c>
      <c r="F42">
        <v>1032935</v>
      </c>
    </row>
    <row r="43" spans="1:6" x14ac:dyDescent="0.2">
      <c r="A43">
        <v>2015</v>
      </c>
      <c r="C43" t="s">
        <v>45</v>
      </c>
      <c r="D43">
        <v>222314</v>
      </c>
      <c r="E43">
        <v>17561</v>
      </c>
      <c r="F43">
        <v>239875</v>
      </c>
    </row>
    <row r="44" spans="1:6" x14ac:dyDescent="0.2">
      <c r="A44">
        <v>2015</v>
      </c>
      <c r="C44" t="s">
        <v>46</v>
      </c>
      <c r="D44">
        <v>143796</v>
      </c>
      <c r="E44">
        <v>11359</v>
      </c>
      <c r="F44">
        <v>155155</v>
      </c>
    </row>
    <row r="45" spans="1:6" x14ac:dyDescent="0.2">
      <c r="A45">
        <v>2015</v>
      </c>
      <c r="C45" t="s">
        <v>47</v>
      </c>
      <c r="D45">
        <v>99342</v>
      </c>
      <c r="E45">
        <v>7847</v>
      </c>
      <c r="F45">
        <v>107189</v>
      </c>
    </row>
    <row r="46" spans="1:6" x14ac:dyDescent="0.2">
      <c r="A46">
        <v>2015</v>
      </c>
      <c r="C46" t="s">
        <v>48</v>
      </c>
      <c r="D46">
        <v>132010</v>
      </c>
      <c r="E46">
        <v>10428</v>
      </c>
      <c r="F46">
        <v>142438</v>
      </c>
    </row>
    <row r="47" spans="1:6" x14ac:dyDescent="0.2">
      <c r="A47">
        <v>2015</v>
      </c>
      <c r="C47" t="s">
        <v>49</v>
      </c>
      <c r="D47">
        <v>72581</v>
      </c>
      <c r="E47">
        <v>5733</v>
      </c>
      <c r="F47">
        <v>78314</v>
      </c>
    </row>
    <row r="48" spans="1:6" x14ac:dyDescent="0.2">
      <c r="A48">
        <v>2015</v>
      </c>
      <c r="C48" t="s">
        <v>50</v>
      </c>
      <c r="D48">
        <v>25365</v>
      </c>
      <c r="E48">
        <v>2004</v>
      </c>
      <c r="F48">
        <v>27369</v>
      </c>
    </row>
    <row r="49" spans="1:6" x14ac:dyDescent="0.2">
      <c r="A49">
        <v>2015</v>
      </c>
      <c r="C49" t="s">
        <v>51</v>
      </c>
      <c r="D49">
        <v>196125</v>
      </c>
      <c r="E49">
        <v>15492</v>
      </c>
      <c r="F49">
        <v>211617</v>
      </c>
    </row>
    <row r="50" spans="1:6" x14ac:dyDescent="0.2">
      <c r="A50">
        <v>2015</v>
      </c>
      <c r="C50" t="s">
        <v>52</v>
      </c>
      <c r="D50">
        <v>250146</v>
      </c>
      <c r="E50">
        <v>19759</v>
      </c>
      <c r="F50">
        <v>269905</v>
      </c>
    </row>
    <row r="51" spans="1:6" x14ac:dyDescent="0.2">
      <c r="A51">
        <v>2015</v>
      </c>
      <c r="C51" t="s">
        <v>53</v>
      </c>
      <c r="D51">
        <v>312201</v>
      </c>
      <c r="E51">
        <v>24661</v>
      </c>
      <c r="F51">
        <v>336862</v>
      </c>
    </row>
    <row r="52" spans="1:6" x14ac:dyDescent="0.2">
      <c r="A52">
        <v>2015</v>
      </c>
      <c r="C52" t="s">
        <v>54</v>
      </c>
      <c r="D52">
        <v>64865</v>
      </c>
      <c r="E52">
        <v>5124</v>
      </c>
      <c r="F52">
        <v>69989</v>
      </c>
    </row>
    <row r="53" spans="1:6" x14ac:dyDescent="0.2">
      <c r="A53">
        <v>2015</v>
      </c>
      <c r="C53" t="s">
        <v>55</v>
      </c>
      <c r="D53">
        <v>364870</v>
      </c>
      <c r="E53">
        <v>28821</v>
      </c>
      <c r="F53">
        <v>393691</v>
      </c>
    </row>
    <row r="54" spans="1:6" x14ac:dyDescent="0.2">
      <c r="A54">
        <v>2015</v>
      </c>
      <c r="C54" t="s">
        <v>56</v>
      </c>
      <c r="D54">
        <v>51549</v>
      </c>
      <c r="E54">
        <v>4072</v>
      </c>
      <c r="F54">
        <v>55621</v>
      </c>
    </row>
    <row r="55" spans="1:6" x14ac:dyDescent="0.2">
      <c r="A55">
        <v>2015</v>
      </c>
      <c r="C55" t="s">
        <v>57</v>
      </c>
      <c r="D55">
        <v>1285853</v>
      </c>
      <c r="E55">
        <v>101571</v>
      </c>
      <c r="F55">
        <v>1387424</v>
      </c>
    </row>
    <row r="56" spans="1:6" x14ac:dyDescent="0.2">
      <c r="A56">
        <v>2015</v>
      </c>
      <c r="C56" t="s">
        <v>58</v>
      </c>
      <c r="D56">
        <v>398159</v>
      </c>
      <c r="E56">
        <v>31451</v>
      </c>
      <c r="F56">
        <v>429610</v>
      </c>
    </row>
    <row r="57" spans="1:6" x14ac:dyDescent="0.2">
      <c r="A57">
        <v>2015</v>
      </c>
      <c r="C57" t="s">
        <v>59</v>
      </c>
      <c r="D57">
        <v>74936</v>
      </c>
      <c r="E57">
        <v>5919</v>
      </c>
      <c r="F57">
        <v>80855</v>
      </c>
    </row>
    <row r="58" spans="1:6" x14ac:dyDescent="0.2">
      <c r="A58">
        <v>2015</v>
      </c>
      <c r="C58" t="s">
        <v>60</v>
      </c>
      <c r="D58">
        <v>21610</v>
      </c>
      <c r="E58">
        <v>1707</v>
      </c>
      <c r="F58">
        <v>23317</v>
      </c>
    </row>
    <row r="59" spans="1:6" x14ac:dyDescent="0.2">
      <c r="A59">
        <v>2015</v>
      </c>
      <c r="C59" t="s">
        <v>61</v>
      </c>
      <c r="D59">
        <v>150289</v>
      </c>
      <c r="E59">
        <v>11872</v>
      </c>
      <c r="F59">
        <v>162161</v>
      </c>
    </row>
    <row r="60" spans="1:6" x14ac:dyDescent="0.2">
      <c r="A60">
        <v>2015</v>
      </c>
      <c r="C60" t="s">
        <v>62</v>
      </c>
      <c r="D60">
        <v>148605</v>
      </c>
      <c r="E60">
        <v>11738</v>
      </c>
      <c r="F60">
        <v>160343</v>
      </c>
    </row>
    <row r="61" spans="1:6" x14ac:dyDescent="0.2">
      <c r="A61">
        <v>2015</v>
      </c>
      <c r="C61" t="s">
        <v>63</v>
      </c>
      <c r="D61">
        <v>195785</v>
      </c>
      <c r="E61">
        <v>15465</v>
      </c>
      <c r="F61">
        <v>211250</v>
      </c>
    </row>
    <row r="62" spans="1:6" x14ac:dyDescent="0.2">
      <c r="A62">
        <v>2015</v>
      </c>
      <c r="C62" t="s">
        <v>64</v>
      </c>
      <c r="D62">
        <v>17628</v>
      </c>
      <c r="E62">
        <v>1393</v>
      </c>
      <c r="F62">
        <v>19021</v>
      </c>
    </row>
    <row r="63" spans="1:6" x14ac:dyDescent="0.2">
      <c r="A63">
        <v>2015</v>
      </c>
      <c r="C63" t="s">
        <v>65</v>
      </c>
      <c r="D63">
        <v>495861</v>
      </c>
      <c r="E63">
        <v>39169</v>
      </c>
      <c r="F63">
        <v>535030</v>
      </c>
    </row>
    <row r="64" spans="1:6" x14ac:dyDescent="0.2">
      <c r="A64">
        <v>2015</v>
      </c>
      <c r="C64" t="s">
        <v>66</v>
      </c>
      <c r="D64">
        <v>42953</v>
      </c>
      <c r="E64">
        <v>3393</v>
      </c>
      <c r="F64">
        <v>46346</v>
      </c>
    </row>
    <row r="65" spans="1:6" x14ac:dyDescent="0.2">
      <c r="A65">
        <v>2015</v>
      </c>
      <c r="C65" t="s">
        <v>67</v>
      </c>
      <c r="D65">
        <v>86018</v>
      </c>
      <c r="E65">
        <v>6795</v>
      </c>
      <c r="F65">
        <v>92813</v>
      </c>
    </row>
    <row r="66" spans="1:6" x14ac:dyDescent="0.2">
      <c r="A66">
        <v>2015</v>
      </c>
      <c r="C66" t="s">
        <v>68</v>
      </c>
      <c r="D66">
        <v>635221</v>
      </c>
      <c r="E66">
        <v>50177</v>
      </c>
      <c r="F66">
        <v>685398</v>
      </c>
    </row>
    <row r="67" spans="1:6" x14ac:dyDescent="0.2">
      <c r="A67">
        <v>2015</v>
      </c>
      <c r="C67" t="s">
        <v>69</v>
      </c>
      <c r="D67">
        <v>135463</v>
      </c>
      <c r="E67">
        <v>10700</v>
      </c>
      <c r="F67">
        <v>146163</v>
      </c>
    </row>
    <row r="68" spans="1:6" x14ac:dyDescent="0.2">
      <c r="A68">
        <v>2015</v>
      </c>
      <c r="C68" t="s">
        <v>70</v>
      </c>
      <c r="D68">
        <v>1361972</v>
      </c>
      <c r="E68">
        <v>107584</v>
      </c>
      <c r="F68">
        <v>1469556</v>
      </c>
    </row>
    <row r="69" spans="1:6" x14ac:dyDescent="0.2">
      <c r="A69">
        <v>2015</v>
      </c>
      <c r="C69" t="s">
        <v>71</v>
      </c>
      <c r="D69">
        <v>98203</v>
      </c>
      <c r="E69">
        <v>7757</v>
      </c>
      <c r="F69">
        <v>105960</v>
      </c>
    </row>
    <row r="70" spans="1:6" x14ac:dyDescent="0.2">
      <c r="A70">
        <v>2015</v>
      </c>
      <c r="C70" t="s">
        <v>72</v>
      </c>
      <c r="D70">
        <v>38870</v>
      </c>
      <c r="E70">
        <v>3070</v>
      </c>
      <c r="F70">
        <v>41940</v>
      </c>
    </row>
    <row r="71" spans="1:6" x14ac:dyDescent="0.2">
      <c r="A71">
        <v>2015</v>
      </c>
      <c r="C71" t="s">
        <v>73</v>
      </c>
      <c r="D71">
        <v>19599</v>
      </c>
      <c r="E71">
        <v>1548</v>
      </c>
      <c r="F71">
        <v>21147</v>
      </c>
    </row>
    <row r="72" spans="1:6" x14ac:dyDescent="0.2">
      <c r="A72">
        <v>2015</v>
      </c>
      <c r="C72" t="s">
        <v>74</v>
      </c>
      <c r="D72">
        <v>10429</v>
      </c>
      <c r="E72">
        <v>824</v>
      </c>
      <c r="F72">
        <v>11253</v>
      </c>
    </row>
    <row r="73" spans="1:6" x14ac:dyDescent="0.2">
      <c r="A73">
        <v>2015</v>
      </c>
      <c r="C73" t="s">
        <v>75</v>
      </c>
      <c r="D73">
        <v>7477</v>
      </c>
      <c r="E73">
        <v>591</v>
      </c>
      <c r="F73">
        <v>8068</v>
      </c>
    </row>
    <row r="74" spans="1:6" x14ac:dyDescent="0.2">
      <c r="A74">
        <v>2015</v>
      </c>
      <c r="C74" t="s">
        <v>76</v>
      </c>
      <c r="D74">
        <v>27053</v>
      </c>
      <c r="E74">
        <v>2137</v>
      </c>
      <c r="F74">
        <v>29190</v>
      </c>
    </row>
    <row r="75" spans="1:6" x14ac:dyDescent="0.2">
      <c r="A75">
        <v>2015</v>
      </c>
      <c r="C75" t="s">
        <v>77</v>
      </c>
      <c r="D75">
        <v>39374</v>
      </c>
      <c r="E75">
        <v>3110</v>
      </c>
      <c r="F75">
        <v>42484</v>
      </c>
    </row>
    <row r="76" spans="1:6" x14ac:dyDescent="0.2">
      <c r="A76">
        <v>2015</v>
      </c>
      <c r="C76" t="s">
        <v>78</v>
      </c>
      <c r="D76">
        <v>18838</v>
      </c>
      <c r="E76">
        <v>1488</v>
      </c>
      <c r="F76">
        <v>20326</v>
      </c>
    </row>
    <row r="77" spans="1:6" x14ac:dyDescent="0.2">
      <c r="A77">
        <v>2015</v>
      </c>
      <c r="C77" t="s">
        <v>79</v>
      </c>
      <c r="D77">
        <v>10699</v>
      </c>
      <c r="E77">
        <v>845</v>
      </c>
      <c r="F77">
        <v>11544</v>
      </c>
    </row>
    <row r="78" spans="1:6" x14ac:dyDescent="0.2">
      <c r="A78">
        <v>2015</v>
      </c>
      <c r="C78" t="s">
        <v>80</v>
      </c>
      <c r="D78">
        <v>2446102</v>
      </c>
      <c r="E78">
        <v>193221</v>
      </c>
      <c r="F78">
        <v>2639323</v>
      </c>
    </row>
    <row r="79" spans="1:6" x14ac:dyDescent="0.2">
      <c r="A79">
        <v>2015</v>
      </c>
      <c r="C79" t="s">
        <v>81</v>
      </c>
      <c r="D79">
        <v>60479</v>
      </c>
      <c r="E79">
        <v>4777</v>
      </c>
      <c r="F79">
        <v>65256</v>
      </c>
    </row>
    <row r="80" spans="1:6" x14ac:dyDescent="0.2">
      <c r="A80">
        <v>2015</v>
      </c>
      <c r="C80" t="s">
        <v>82</v>
      </c>
      <c r="D80">
        <v>52653</v>
      </c>
      <c r="E80">
        <v>4159</v>
      </c>
      <c r="F80">
        <v>56812</v>
      </c>
    </row>
    <row r="81" spans="1:6" x14ac:dyDescent="0.2">
      <c r="A81">
        <v>2015</v>
      </c>
      <c r="C81" t="s">
        <v>83</v>
      </c>
      <c r="D81">
        <v>108729623</v>
      </c>
      <c r="E81">
        <v>8588694</v>
      </c>
      <c r="F81">
        <v>117318317</v>
      </c>
    </row>
    <row r="82" spans="1:6" x14ac:dyDescent="0.2">
      <c r="A82">
        <v>2015</v>
      </c>
      <c r="C82" t="s">
        <v>84</v>
      </c>
      <c r="D82">
        <v>316159828</v>
      </c>
      <c r="E82">
        <v>24973874</v>
      </c>
      <c r="F82">
        <v>341133702</v>
      </c>
    </row>
    <row r="83" spans="1:6" x14ac:dyDescent="0.2">
      <c r="A83">
        <v>2016</v>
      </c>
      <c r="C83" t="s">
        <v>0</v>
      </c>
      <c r="D83">
        <v>51185</v>
      </c>
      <c r="E83">
        <v>4688</v>
      </c>
      <c r="F83">
        <v>55873</v>
      </c>
    </row>
    <row r="84" spans="1:6" x14ac:dyDescent="0.2">
      <c r="A84">
        <v>2016</v>
      </c>
      <c r="C84" t="s">
        <v>1</v>
      </c>
      <c r="D84">
        <v>1843467</v>
      </c>
      <c r="E84">
        <v>168852</v>
      </c>
      <c r="F84">
        <v>2012319</v>
      </c>
    </row>
    <row r="85" spans="1:6" x14ac:dyDescent="0.2">
      <c r="A85">
        <v>2016</v>
      </c>
      <c r="C85" t="s">
        <v>2</v>
      </c>
      <c r="D85">
        <v>666759</v>
      </c>
      <c r="E85">
        <v>61072</v>
      </c>
      <c r="F85">
        <v>727831</v>
      </c>
    </row>
    <row r="86" spans="1:6" x14ac:dyDescent="0.2">
      <c r="A86">
        <v>2016</v>
      </c>
      <c r="C86" t="s">
        <v>3</v>
      </c>
      <c r="D86">
        <v>65833</v>
      </c>
      <c r="E86">
        <v>6030</v>
      </c>
      <c r="F86">
        <v>71863</v>
      </c>
    </row>
    <row r="87" spans="1:6" x14ac:dyDescent="0.2">
      <c r="A87">
        <v>2016</v>
      </c>
      <c r="C87" t="s">
        <v>4</v>
      </c>
      <c r="D87">
        <v>384241</v>
      </c>
      <c r="E87">
        <v>35195</v>
      </c>
      <c r="F87">
        <v>419436</v>
      </c>
    </row>
    <row r="88" spans="1:6" x14ac:dyDescent="0.2">
      <c r="A88">
        <v>2016</v>
      </c>
      <c r="C88" t="s">
        <v>5</v>
      </c>
      <c r="D88">
        <v>1023770</v>
      </c>
      <c r="E88">
        <v>93772</v>
      </c>
      <c r="F88">
        <v>1117542</v>
      </c>
    </row>
    <row r="89" spans="1:6" x14ac:dyDescent="0.2">
      <c r="A89">
        <v>2016</v>
      </c>
      <c r="C89" t="s">
        <v>6</v>
      </c>
      <c r="D89">
        <v>97462</v>
      </c>
      <c r="E89">
        <v>8927</v>
      </c>
      <c r="F89">
        <v>106389</v>
      </c>
    </row>
    <row r="90" spans="1:6" x14ac:dyDescent="0.2">
      <c r="A90">
        <v>2016</v>
      </c>
      <c r="C90" t="s">
        <v>7</v>
      </c>
      <c r="D90">
        <v>107394</v>
      </c>
      <c r="E90">
        <v>9837</v>
      </c>
      <c r="F90">
        <v>117231</v>
      </c>
    </row>
    <row r="91" spans="1:6" x14ac:dyDescent="0.2">
      <c r="A91">
        <v>2016</v>
      </c>
      <c r="C91" t="s">
        <v>8</v>
      </c>
      <c r="D91">
        <v>230873</v>
      </c>
      <c r="E91">
        <v>21147</v>
      </c>
      <c r="F91">
        <v>252020</v>
      </c>
    </row>
    <row r="92" spans="1:6" x14ac:dyDescent="0.2">
      <c r="A92">
        <v>2016</v>
      </c>
      <c r="C92" t="s">
        <v>9</v>
      </c>
      <c r="D92">
        <v>431788</v>
      </c>
      <c r="E92">
        <v>39550</v>
      </c>
      <c r="F92">
        <v>471338</v>
      </c>
    </row>
    <row r="93" spans="1:6" x14ac:dyDescent="0.2">
      <c r="A93">
        <v>2016</v>
      </c>
      <c r="C93" t="s">
        <v>10</v>
      </c>
      <c r="D93">
        <v>49509</v>
      </c>
      <c r="E93">
        <v>4535</v>
      </c>
      <c r="F93">
        <v>54044</v>
      </c>
    </row>
    <row r="94" spans="1:6" x14ac:dyDescent="0.2">
      <c r="A94">
        <v>2016</v>
      </c>
      <c r="C94" t="s">
        <v>11</v>
      </c>
      <c r="D94">
        <v>117062</v>
      </c>
      <c r="E94">
        <v>10722</v>
      </c>
      <c r="F94">
        <v>127784</v>
      </c>
    </row>
    <row r="95" spans="1:6" x14ac:dyDescent="0.2">
      <c r="A95">
        <v>2016</v>
      </c>
      <c r="C95" t="s">
        <v>12</v>
      </c>
      <c r="D95">
        <v>491375</v>
      </c>
      <c r="E95">
        <v>45008</v>
      </c>
      <c r="F95">
        <v>536383</v>
      </c>
    </row>
    <row r="96" spans="1:6" x14ac:dyDescent="0.2">
      <c r="A96">
        <v>2016</v>
      </c>
      <c r="C96" t="s">
        <v>13</v>
      </c>
      <c r="D96">
        <v>199093</v>
      </c>
      <c r="E96">
        <v>18236</v>
      </c>
      <c r="F96">
        <v>217329</v>
      </c>
    </row>
    <row r="97" spans="1:6" x14ac:dyDescent="0.2">
      <c r="A97">
        <v>2016</v>
      </c>
      <c r="C97" t="s">
        <v>14</v>
      </c>
      <c r="D97">
        <v>384598</v>
      </c>
      <c r="E97">
        <v>35227</v>
      </c>
      <c r="F97">
        <v>419825</v>
      </c>
    </row>
    <row r="98" spans="1:6" x14ac:dyDescent="0.2">
      <c r="A98">
        <v>2016</v>
      </c>
      <c r="C98" t="s">
        <v>15</v>
      </c>
      <c r="D98">
        <v>48698</v>
      </c>
      <c r="E98">
        <v>4460</v>
      </c>
      <c r="F98">
        <v>53158</v>
      </c>
    </row>
    <row r="99" spans="1:6" x14ac:dyDescent="0.2">
      <c r="A99">
        <v>2016</v>
      </c>
      <c r="C99" t="s">
        <v>16</v>
      </c>
      <c r="D99">
        <v>1495797</v>
      </c>
      <c r="E99">
        <v>137008</v>
      </c>
      <c r="F99">
        <v>1632805</v>
      </c>
    </row>
    <row r="100" spans="1:6" x14ac:dyDescent="0.2">
      <c r="A100">
        <v>2016</v>
      </c>
      <c r="C100" t="s">
        <v>17</v>
      </c>
      <c r="D100">
        <v>522829</v>
      </c>
      <c r="E100">
        <v>47888</v>
      </c>
      <c r="F100">
        <v>570717</v>
      </c>
    </row>
    <row r="101" spans="1:6" x14ac:dyDescent="0.2">
      <c r="A101">
        <v>2016</v>
      </c>
      <c r="C101" t="s">
        <v>18</v>
      </c>
      <c r="D101">
        <v>1052395</v>
      </c>
      <c r="E101">
        <v>96394</v>
      </c>
      <c r="F101">
        <v>1148789</v>
      </c>
    </row>
    <row r="102" spans="1:6" x14ac:dyDescent="0.2">
      <c r="A102">
        <v>2016</v>
      </c>
      <c r="C102" t="s">
        <v>19</v>
      </c>
      <c r="D102">
        <v>2206842</v>
      </c>
      <c r="E102">
        <v>202136</v>
      </c>
      <c r="F102">
        <v>2408978</v>
      </c>
    </row>
    <row r="103" spans="1:6" x14ac:dyDescent="0.2">
      <c r="A103">
        <v>2016</v>
      </c>
      <c r="C103" t="s">
        <v>20</v>
      </c>
      <c r="D103">
        <v>198991</v>
      </c>
      <c r="E103">
        <v>18227</v>
      </c>
      <c r="F103">
        <v>217218</v>
      </c>
    </row>
    <row r="104" spans="1:6" x14ac:dyDescent="0.2">
      <c r="A104">
        <v>2016</v>
      </c>
      <c r="C104" t="s">
        <v>21</v>
      </c>
      <c r="D104">
        <v>210499</v>
      </c>
      <c r="E104">
        <v>19281</v>
      </c>
      <c r="F104">
        <v>229780</v>
      </c>
    </row>
    <row r="105" spans="1:6" x14ac:dyDescent="0.2">
      <c r="A105">
        <v>2016</v>
      </c>
      <c r="C105" t="s">
        <v>22</v>
      </c>
      <c r="D105">
        <v>498537</v>
      </c>
      <c r="E105">
        <v>45663</v>
      </c>
      <c r="F105">
        <v>544200</v>
      </c>
    </row>
    <row r="106" spans="1:6" x14ac:dyDescent="0.2">
      <c r="A106">
        <v>2016</v>
      </c>
      <c r="C106" t="s">
        <v>23</v>
      </c>
      <c r="D106">
        <v>636194</v>
      </c>
      <c r="E106">
        <v>58272</v>
      </c>
      <c r="F106">
        <v>694466</v>
      </c>
    </row>
    <row r="107" spans="1:6" x14ac:dyDescent="0.2">
      <c r="A107">
        <v>2016</v>
      </c>
      <c r="C107" t="s">
        <v>24</v>
      </c>
      <c r="D107">
        <v>676708</v>
      </c>
      <c r="E107">
        <v>61983</v>
      </c>
      <c r="F107">
        <v>738691</v>
      </c>
    </row>
    <row r="108" spans="1:6" x14ac:dyDescent="0.2">
      <c r="A108">
        <v>2016</v>
      </c>
      <c r="C108" t="s">
        <v>25</v>
      </c>
      <c r="D108">
        <v>336026</v>
      </c>
      <c r="E108">
        <v>30778</v>
      </c>
      <c r="F108">
        <v>366804</v>
      </c>
    </row>
    <row r="109" spans="1:6" x14ac:dyDescent="0.2">
      <c r="A109">
        <v>2016</v>
      </c>
      <c r="C109" t="s">
        <v>30</v>
      </c>
      <c r="D109">
        <v>454944</v>
      </c>
      <c r="E109">
        <v>41671</v>
      </c>
      <c r="F109">
        <v>496615</v>
      </c>
    </row>
    <row r="110" spans="1:6" x14ac:dyDescent="0.2">
      <c r="A110">
        <v>2016</v>
      </c>
      <c r="C110" t="s">
        <v>31</v>
      </c>
      <c r="D110">
        <v>841963</v>
      </c>
      <c r="E110">
        <v>77120</v>
      </c>
      <c r="F110">
        <v>919083</v>
      </c>
    </row>
    <row r="111" spans="1:6" x14ac:dyDescent="0.2">
      <c r="A111">
        <v>2016</v>
      </c>
      <c r="C111" t="s">
        <v>32</v>
      </c>
      <c r="D111">
        <v>413829</v>
      </c>
      <c r="E111">
        <v>37905</v>
      </c>
      <c r="F111">
        <v>451734</v>
      </c>
    </row>
    <row r="112" spans="1:6" x14ac:dyDescent="0.2">
      <c r="A112">
        <v>2016</v>
      </c>
      <c r="C112" t="s">
        <v>33</v>
      </c>
      <c r="D112">
        <v>273154</v>
      </c>
      <c r="E112">
        <v>25020</v>
      </c>
      <c r="F112">
        <v>298174</v>
      </c>
    </row>
    <row r="113" spans="1:6" x14ac:dyDescent="0.2">
      <c r="A113">
        <v>2016</v>
      </c>
      <c r="C113" t="s">
        <v>34</v>
      </c>
      <c r="D113">
        <v>1279278</v>
      </c>
      <c r="E113">
        <v>117176</v>
      </c>
      <c r="F113">
        <v>1396454</v>
      </c>
    </row>
    <row r="114" spans="1:6" x14ac:dyDescent="0.2">
      <c r="A114">
        <v>2016</v>
      </c>
      <c r="C114" t="s">
        <v>35</v>
      </c>
      <c r="D114">
        <v>117929</v>
      </c>
      <c r="E114">
        <v>10802</v>
      </c>
      <c r="F114">
        <v>128731</v>
      </c>
    </row>
    <row r="115" spans="1:6" x14ac:dyDescent="0.2">
      <c r="A115">
        <v>2016</v>
      </c>
      <c r="C115" t="s">
        <v>36</v>
      </c>
      <c r="D115">
        <v>148519</v>
      </c>
      <c r="E115">
        <v>13604</v>
      </c>
      <c r="F115">
        <v>162123</v>
      </c>
    </row>
    <row r="116" spans="1:6" x14ac:dyDescent="0.2">
      <c r="A116">
        <v>2016</v>
      </c>
      <c r="C116" t="s">
        <v>37</v>
      </c>
      <c r="D116">
        <v>234494</v>
      </c>
      <c r="E116">
        <v>21479</v>
      </c>
      <c r="F116">
        <v>255973</v>
      </c>
    </row>
    <row r="117" spans="1:6" x14ac:dyDescent="0.2">
      <c r="A117">
        <v>2016</v>
      </c>
      <c r="C117" t="s">
        <v>38</v>
      </c>
      <c r="D117">
        <v>656055</v>
      </c>
      <c r="E117">
        <v>60091</v>
      </c>
      <c r="F117">
        <v>716146</v>
      </c>
    </row>
    <row r="118" spans="1:6" x14ac:dyDescent="0.2">
      <c r="A118">
        <v>2016</v>
      </c>
      <c r="C118" t="s">
        <v>39</v>
      </c>
      <c r="D118">
        <v>54255</v>
      </c>
      <c r="E118">
        <v>4970</v>
      </c>
      <c r="F118">
        <v>59225</v>
      </c>
    </row>
    <row r="119" spans="1:6" x14ac:dyDescent="0.2">
      <c r="A119">
        <v>2016</v>
      </c>
      <c r="C119" t="s">
        <v>40</v>
      </c>
      <c r="D119">
        <v>279527</v>
      </c>
      <c r="E119">
        <v>25603</v>
      </c>
      <c r="F119">
        <v>305130</v>
      </c>
    </row>
    <row r="120" spans="1:6" x14ac:dyDescent="0.2">
      <c r="A120">
        <v>2016</v>
      </c>
      <c r="C120" t="s">
        <v>41</v>
      </c>
      <c r="D120">
        <v>49423</v>
      </c>
      <c r="E120">
        <v>4527</v>
      </c>
      <c r="F120">
        <v>53950</v>
      </c>
    </row>
    <row r="121" spans="1:6" x14ac:dyDescent="0.2">
      <c r="A121">
        <v>2016</v>
      </c>
      <c r="C121" t="s">
        <v>42</v>
      </c>
      <c r="D121">
        <v>144388</v>
      </c>
      <c r="E121">
        <v>13225</v>
      </c>
      <c r="F121">
        <v>157613</v>
      </c>
    </row>
    <row r="122" spans="1:6" x14ac:dyDescent="0.2">
      <c r="A122">
        <v>2016</v>
      </c>
      <c r="C122" t="s">
        <v>43</v>
      </c>
      <c r="D122">
        <v>850586</v>
      </c>
      <c r="E122">
        <v>77909</v>
      </c>
      <c r="F122">
        <v>928495</v>
      </c>
    </row>
    <row r="123" spans="1:6" x14ac:dyDescent="0.2">
      <c r="A123">
        <v>2016</v>
      </c>
      <c r="C123" t="s">
        <v>44</v>
      </c>
      <c r="D123">
        <v>1186169</v>
      </c>
      <c r="E123">
        <v>108647</v>
      </c>
      <c r="F123">
        <v>1294816</v>
      </c>
    </row>
    <row r="124" spans="1:6" x14ac:dyDescent="0.2">
      <c r="A124">
        <v>2016</v>
      </c>
      <c r="C124" t="s">
        <v>45</v>
      </c>
      <c r="D124">
        <v>264469</v>
      </c>
      <c r="E124">
        <v>24224</v>
      </c>
      <c r="F124">
        <v>288693</v>
      </c>
    </row>
    <row r="125" spans="1:6" x14ac:dyDescent="0.2">
      <c r="A125">
        <v>2016</v>
      </c>
      <c r="C125" t="s">
        <v>46</v>
      </c>
      <c r="D125">
        <v>159213</v>
      </c>
      <c r="E125">
        <v>14583</v>
      </c>
      <c r="F125">
        <v>173796</v>
      </c>
    </row>
    <row r="126" spans="1:6" x14ac:dyDescent="0.2">
      <c r="A126">
        <v>2016</v>
      </c>
      <c r="C126" t="s">
        <v>47</v>
      </c>
      <c r="D126">
        <v>99893</v>
      </c>
      <c r="E126">
        <v>9150</v>
      </c>
      <c r="F126">
        <v>109043</v>
      </c>
    </row>
    <row r="127" spans="1:6" x14ac:dyDescent="0.2">
      <c r="A127">
        <v>2016</v>
      </c>
      <c r="C127" t="s">
        <v>48</v>
      </c>
      <c r="D127">
        <v>66832</v>
      </c>
      <c r="E127">
        <v>6122</v>
      </c>
      <c r="F127">
        <v>72954</v>
      </c>
    </row>
    <row r="128" spans="1:6" x14ac:dyDescent="0.2">
      <c r="A128">
        <v>2016</v>
      </c>
      <c r="C128" t="s">
        <v>49</v>
      </c>
      <c r="D128">
        <v>114795</v>
      </c>
      <c r="E128">
        <v>10515</v>
      </c>
      <c r="F128">
        <v>125310</v>
      </c>
    </row>
    <row r="129" spans="1:6" x14ac:dyDescent="0.2">
      <c r="A129">
        <v>2016</v>
      </c>
      <c r="C129" t="s">
        <v>50</v>
      </c>
      <c r="D129">
        <v>43513</v>
      </c>
      <c r="E129">
        <v>3986</v>
      </c>
      <c r="F129">
        <v>47499</v>
      </c>
    </row>
    <row r="130" spans="1:6" x14ac:dyDescent="0.2">
      <c r="A130">
        <v>2016</v>
      </c>
      <c r="C130" t="s">
        <v>51</v>
      </c>
      <c r="D130">
        <v>148704</v>
      </c>
      <c r="E130">
        <v>13621</v>
      </c>
      <c r="F130">
        <v>162325</v>
      </c>
    </row>
    <row r="131" spans="1:6" x14ac:dyDescent="0.2">
      <c r="A131">
        <v>2016</v>
      </c>
      <c r="C131" t="s">
        <v>52</v>
      </c>
      <c r="D131">
        <v>326359</v>
      </c>
      <c r="E131">
        <v>29893</v>
      </c>
      <c r="F131">
        <v>356252</v>
      </c>
    </row>
    <row r="132" spans="1:6" x14ac:dyDescent="0.2">
      <c r="A132">
        <v>2016</v>
      </c>
      <c r="C132" t="s">
        <v>53</v>
      </c>
      <c r="D132">
        <v>539969</v>
      </c>
      <c r="E132">
        <v>49458</v>
      </c>
      <c r="F132">
        <v>589427</v>
      </c>
    </row>
    <row r="133" spans="1:6" x14ac:dyDescent="0.2">
      <c r="A133">
        <v>2016</v>
      </c>
      <c r="C133" t="s">
        <v>54</v>
      </c>
      <c r="D133">
        <v>52097</v>
      </c>
      <c r="E133">
        <v>4772</v>
      </c>
      <c r="F133">
        <v>56869</v>
      </c>
    </row>
    <row r="134" spans="1:6" x14ac:dyDescent="0.2">
      <c r="A134">
        <v>2016</v>
      </c>
      <c r="C134" t="s">
        <v>55</v>
      </c>
      <c r="D134">
        <v>469327</v>
      </c>
      <c r="E134">
        <v>42988</v>
      </c>
      <c r="F134">
        <v>512315</v>
      </c>
    </row>
    <row r="135" spans="1:6" x14ac:dyDescent="0.2">
      <c r="A135">
        <v>2016</v>
      </c>
      <c r="C135" t="s">
        <v>56</v>
      </c>
      <c r="D135">
        <v>52035</v>
      </c>
      <c r="E135">
        <v>4766</v>
      </c>
      <c r="F135">
        <v>56801</v>
      </c>
    </row>
    <row r="136" spans="1:6" x14ac:dyDescent="0.2">
      <c r="A136">
        <v>2016</v>
      </c>
      <c r="C136" t="s">
        <v>57</v>
      </c>
      <c r="D136">
        <v>1155728</v>
      </c>
      <c r="E136">
        <v>105859</v>
      </c>
      <c r="F136">
        <v>1261587</v>
      </c>
    </row>
    <row r="137" spans="1:6" x14ac:dyDescent="0.2">
      <c r="A137">
        <v>2016</v>
      </c>
      <c r="C137" t="s">
        <v>58</v>
      </c>
      <c r="D137">
        <v>441786</v>
      </c>
      <c r="E137">
        <v>40465</v>
      </c>
      <c r="F137">
        <v>482251</v>
      </c>
    </row>
    <row r="138" spans="1:6" x14ac:dyDescent="0.2">
      <c r="A138">
        <v>2016</v>
      </c>
      <c r="C138" t="s">
        <v>59</v>
      </c>
      <c r="D138">
        <v>74543</v>
      </c>
      <c r="E138">
        <v>6828</v>
      </c>
      <c r="F138">
        <v>81371</v>
      </c>
    </row>
    <row r="139" spans="1:6" x14ac:dyDescent="0.2">
      <c r="A139">
        <v>2016</v>
      </c>
      <c r="C139" t="s">
        <v>60</v>
      </c>
      <c r="D139">
        <v>21916</v>
      </c>
      <c r="E139">
        <v>2007</v>
      </c>
      <c r="F139">
        <v>23923</v>
      </c>
    </row>
    <row r="140" spans="1:6" x14ac:dyDescent="0.2">
      <c r="A140">
        <v>2016</v>
      </c>
      <c r="C140" t="s">
        <v>61</v>
      </c>
      <c r="D140">
        <v>138548</v>
      </c>
      <c r="E140">
        <v>12690</v>
      </c>
      <c r="F140">
        <v>151238</v>
      </c>
    </row>
    <row r="141" spans="1:6" x14ac:dyDescent="0.2">
      <c r="A141">
        <v>2016</v>
      </c>
      <c r="C141" t="s">
        <v>62</v>
      </c>
      <c r="D141">
        <v>93303</v>
      </c>
      <c r="E141">
        <v>8546</v>
      </c>
      <c r="F141">
        <v>101849</v>
      </c>
    </row>
    <row r="142" spans="1:6" x14ac:dyDescent="0.2">
      <c r="A142">
        <v>2016</v>
      </c>
      <c r="C142" t="s">
        <v>63</v>
      </c>
      <c r="D142">
        <v>154213</v>
      </c>
      <c r="E142">
        <v>14125</v>
      </c>
      <c r="F142">
        <v>168338</v>
      </c>
    </row>
    <row r="143" spans="1:6" x14ac:dyDescent="0.2">
      <c r="A143">
        <v>2016</v>
      </c>
      <c r="C143" t="s">
        <v>64</v>
      </c>
      <c r="D143">
        <v>19933</v>
      </c>
      <c r="E143">
        <v>1826</v>
      </c>
      <c r="F143">
        <v>21759</v>
      </c>
    </row>
    <row r="144" spans="1:6" x14ac:dyDescent="0.2">
      <c r="A144">
        <v>2016</v>
      </c>
      <c r="C144" t="s">
        <v>65</v>
      </c>
      <c r="D144">
        <v>430536</v>
      </c>
      <c r="E144">
        <v>39435</v>
      </c>
      <c r="F144">
        <v>469971</v>
      </c>
    </row>
    <row r="145" spans="1:6" x14ac:dyDescent="0.2">
      <c r="A145">
        <v>2016</v>
      </c>
      <c r="C145" t="s">
        <v>66</v>
      </c>
      <c r="D145">
        <v>36894</v>
      </c>
      <c r="E145">
        <v>3379</v>
      </c>
      <c r="F145">
        <v>40273</v>
      </c>
    </row>
    <row r="146" spans="1:6" x14ac:dyDescent="0.2">
      <c r="A146">
        <v>2016</v>
      </c>
      <c r="C146" t="s">
        <v>67</v>
      </c>
      <c r="D146">
        <v>75199</v>
      </c>
      <c r="E146">
        <v>6888</v>
      </c>
      <c r="F146">
        <v>82087</v>
      </c>
    </row>
    <row r="147" spans="1:6" x14ac:dyDescent="0.2">
      <c r="A147">
        <v>2016</v>
      </c>
      <c r="C147" t="s">
        <v>68</v>
      </c>
      <c r="D147">
        <v>645941</v>
      </c>
      <c r="E147">
        <v>59165</v>
      </c>
      <c r="F147">
        <v>705106</v>
      </c>
    </row>
    <row r="148" spans="1:6" x14ac:dyDescent="0.2">
      <c r="A148">
        <v>2016</v>
      </c>
      <c r="C148" t="s">
        <v>69</v>
      </c>
      <c r="D148">
        <v>121518</v>
      </c>
      <c r="E148">
        <v>11131</v>
      </c>
      <c r="F148">
        <v>132649</v>
      </c>
    </row>
    <row r="149" spans="1:6" x14ac:dyDescent="0.2">
      <c r="A149">
        <v>2016</v>
      </c>
      <c r="C149" t="s">
        <v>70</v>
      </c>
      <c r="D149">
        <v>1197265</v>
      </c>
      <c r="E149">
        <v>109663</v>
      </c>
      <c r="F149">
        <v>1306928</v>
      </c>
    </row>
    <row r="150" spans="1:6" x14ac:dyDescent="0.2">
      <c r="A150">
        <v>2016</v>
      </c>
      <c r="C150" t="s">
        <v>71</v>
      </c>
      <c r="D150">
        <v>72057</v>
      </c>
      <c r="E150">
        <v>6600</v>
      </c>
      <c r="F150">
        <v>78657</v>
      </c>
    </row>
    <row r="151" spans="1:6" x14ac:dyDescent="0.2">
      <c r="A151">
        <v>2016</v>
      </c>
      <c r="C151" t="s">
        <v>72</v>
      </c>
      <c r="D151">
        <v>34801</v>
      </c>
      <c r="E151">
        <v>3188</v>
      </c>
      <c r="F151">
        <v>37989</v>
      </c>
    </row>
    <row r="152" spans="1:6" x14ac:dyDescent="0.2">
      <c r="A152">
        <v>2016</v>
      </c>
      <c r="C152" t="s">
        <v>73</v>
      </c>
      <c r="D152">
        <v>13768</v>
      </c>
      <c r="E152">
        <v>1261</v>
      </c>
      <c r="F152">
        <v>15029</v>
      </c>
    </row>
    <row r="153" spans="1:6" x14ac:dyDescent="0.2">
      <c r="A153">
        <v>2016</v>
      </c>
      <c r="C153" t="s">
        <v>74</v>
      </c>
      <c r="D153">
        <v>10159</v>
      </c>
      <c r="E153">
        <v>930</v>
      </c>
      <c r="F153">
        <v>11089</v>
      </c>
    </row>
    <row r="154" spans="1:6" x14ac:dyDescent="0.2">
      <c r="A154">
        <v>2016</v>
      </c>
      <c r="C154" t="s">
        <v>75</v>
      </c>
      <c r="D154">
        <v>7379</v>
      </c>
      <c r="E154">
        <v>676</v>
      </c>
      <c r="F154">
        <v>8055</v>
      </c>
    </row>
    <row r="155" spans="1:6" x14ac:dyDescent="0.2">
      <c r="A155">
        <v>2016</v>
      </c>
      <c r="C155" t="s">
        <v>76</v>
      </c>
      <c r="D155">
        <v>17184</v>
      </c>
      <c r="E155">
        <v>1574</v>
      </c>
      <c r="F155">
        <v>18758</v>
      </c>
    </row>
    <row r="156" spans="1:6" x14ac:dyDescent="0.2">
      <c r="A156">
        <v>2016</v>
      </c>
      <c r="C156" t="s">
        <v>77</v>
      </c>
      <c r="D156">
        <v>37051</v>
      </c>
      <c r="E156">
        <v>3394</v>
      </c>
      <c r="F156">
        <v>40445</v>
      </c>
    </row>
    <row r="157" spans="1:6" x14ac:dyDescent="0.2">
      <c r="A157">
        <v>2016</v>
      </c>
      <c r="C157" t="s">
        <v>78</v>
      </c>
      <c r="D157">
        <v>18316</v>
      </c>
      <c r="E157">
        <v>1677</v>
      </c>
      <c r="F157">
        <v>19993</v>
      </c>
    </row>
    <row r="158" spans="1:6" x14ac:dyDescent="0.2">
      <c r="A158">
        <v>2016</v>
      </c>
      <c r="C158" t="s">
        <v>79</v>
      </c>
      <c r="D158">
        <v>10641</v>
      </c>
      <c r="E158">
        <v>975</v>
      </c>
      <c r="F158">
        <v>11616</v>
      </c>
    </row>
    <row r="159" spans="1:6" x14ac:dyDescent="0.2">
      <c r="A159">
        <v>2016</v>
      </c>
      <c r="C159" t="s">
        <v>80</v>
      </c>
      <c r="D159">
        <v>2377786</v>
      </c>
      <c r="E159">
        <v>217793</v>
      </c>
      <c r="F159">
        <v>2595579</v>
      </c>
    </row>
    <row r="160" spans="1:6" x14ac:dyDescent="0.2">
      <c r="A160">
        <v>2016</v>
      </c>
      <c r="C160" t="s">
        <v>81</v>
      </c>
      <c r="D160">
        <v>60861</v>
      </c>
      <c r="E160">
        <v>5575</v>
      </c>
      <c r="F160">
        <v>66436</v>
      </c>
    </row>
    <row r="161" spans="1:6" x14ac:dyDescent="0.2">
      <c r="A161">
        <v>2016</v>
      </c>
      <c r="C161" t="s">
        <v>82</v>
      </c>
      <c r="D161">
        <v>46478</v>
      </c>
      <c r="E161">
        <v>4257</v>
      </c>
      <c r="F161">
        <v>50735</v>
      </c>
    </row>
    <row r="162" spans="1:6" x14ac:dyDescent="0.2">
      <c r="A162">
        <v>2016</v>
      </c>
      <c r="C162" t="s">
        <v>83</v>
      </c>
      <c r="D162">
        <v>102803167</v>
      </c>
      <c r="E162">
        <v>9416254</v>
      </c>
      <c r="F162">
        <v>112219421</v>
      </c>
    </row>
    <row r="163" spans="1:6" x14ac:dyDescent="0.2">
      <c r="A163">
        <v>2016</v>
      </c>
      <c r="C163" t="s">
        <v>84</v>
      </c>
      <c r="D163">
        <v>254218385</v>
      </c>
      <c r="E163">
        <v>23285124</v>
      </c>
      <c r="F163">
        <v>277503509</v>
      </c>
    </row>
    <row r="164" spans="1:6" x14ac:dyDescent="0.2">
      <c r="A164">
        <v>2017</v>
      </c>
      <c r="C164" t="s">
        <v>0</v>
      </c>
      <c r="D164">
        <v>67090</v>
      </c>
      <c r="E164">
        <v>6073</v>
      </c>
      <c r="F164">
        <v>73163</v>
      </c>
    </row>
    <row r="165" spans="1:6" x14ac:dyDescent="0.2">
      <c r="A165">
        <v>2017</v>
      </c>
      <c r="C165" t="s">
        <v>1</v>
      </c>
      <c r="D165">
        <v>1840504</v>
      </c>
      <c r="E165">
        <v>166593</v>
      </c>
      <c r="F165">
        <v>2007097</v>
      </c>
    </row>
    <row r="166" spans="1:6" x14ac:dyDescent="0.2">
      <c r="A166">
        <v>2017</v>
      </c>
      <c r="C166" t="s">
        <v>2</v>
      </c>
      <c r="D166">
        <v>123940</v>
      </c>
      <c r="E166">
        <v>11218</v>
      </c>
      <c r="F166">
        <v>135158</v>
      </c>
    </row>
    <row r="167" spans="1:6" x14ac:dyDescent="0.2">
      <c r="A167">
        <v>2017</v>
      </c>
      <c r="C167" t="s">
        <v>3</v>
      </c>
      <c r="D167">
        <v>54535</v>
      </c>
      <c r="E167">
        <v>4936</v>
      </c>
      <c r="F167">
        <v>59471</v>
      </c>
    </row>
    <row r="168" spans="1:6" x14ac:dyDescent="0.2">
      <c r="A168">
        <v>2017</v>
      </c>
      <c r="C168" t="s">
        <v>4</v>
      </c>
      <c r="D168">
        <v>354720</v>
      </c>
      <c r="E168">
        <v>32107</v>
      </c>
      <c r="F168">
        <v>386827</v>
      </c>
    </row>
    <row r="169" spans="1:6" x14ac:dyDescent="0.2">
      <c r="A169">
        <v>2017</v>
      </c>
      <c r="C169" t="s">
        <v>5</v>
      </c>
      <c r="D169">
        <v>1122296</v>
      </c>
      <c r="E169">
        <v>101585</v>
      </c>
      <c r="F169">
        <v>1223881</v>
      </c>
    </row>
    <row r="170" spans="1:6" x14ac:dyDescent="0.2">
      <c r="A170">
        <v>2017</v>
      </c>
      <c r="C170" t="s">
        <v>6</v>
      </c>
      <c r="D170">
        <v>48766</v>
      </c>
      <c r="E170">
        <v>4414</v>
      </c>
      <c r="F170">
        <v>53180</v>
      </c>
    </row>
    <row r="171" spans="1:6" x14ac:dyDescent="0.2">
      <c r="A171">
        <v>2017</v>
      </c>
      <c r="C171" t="s">
        <v>7</v>
      </c>
      <c r="D171">
        <v>130511</v>
      </c>
      <c r="E171">
        <v>11813</v>
      </c>
      <c r="F171">
        <v>142324</v>
      </c>
    </row>
    <row r="172" spans="1:6" x14ac:dyDescent="0.2">
      <c r="A172">
        <v>2017</v>
      </c>
      <c r="C172" t="s">
        <v>8</v>
      </c>
      <c r="D172">
        <v>256555</v>
      </c>
      <c r="E172">
        <v>23222</v>
      </c>
      <c r="F172">
        <v>279777</v>
      </c>
    </row>
    <row r="173" spans="1:6" x14ac:dyDescent="0.2">
      <c r="A173">
        <v>2017</v>
      </c>
      <c r="C173" t="s">
        <v>9</v>
      </c>
      <c r="D173">
        <v>467565</v>
      </c>
      <c r="E173">
        <v>42322</v>
      </c>
      <c r="F173">
        <v>509887</v>
      </c>
    </row>
    <row r="174" spans="1:6" x14ac:dyDescent="0.2">
      <c r="A174">
        <v>2017</v>
      </c>
      <c r="C174" t="s">
        <v>10</v>
      </c>
      <c r="D174">
        <v>50848</v>
      </c>
      <c r="E174">
        <v>4603</v>
      </c>
      <c r="F174">
        <v>55451</v>
      </c>
    </row>
    <row r="175" spans="1:6" x14ac:dyDescent="0.2">
      <c r="A175">
        <v>2017</v>
      </c>
      <c r="C175" t="s">
        <v>11</v>
      </c>
      <c r="D175">
        <v>49858</v>
      </c>
      <c r="E175">
        <v>4513</v>
      </c>
      <c r="F175">
        <v>54371</v>
      </c>
    </row>
    <row r="176" spans="1:6" x14ac:dyDescent="0.2">
      <c r="A176">
        <v>2017</v>
      </c>
      <c r="C176" t="s">
        <v>12</v>
      </c>
      <c r="D176">
        <v>403596</v>
      </c>
      <c r="E176">
        <v>36532</v>
      </c>
      <c r="F176">
        <v>440128</v>
      </c>
    </row>
    <row r="177" spans="1:6" x14ac:dyDescent="0.2">
      <c r="A177">
        <v>2017</v>
      </c>
      <c r="C177" t="s">
        <v>13</v>
      </c>
      <c r="D177">
        <v>168180</v>
      </c>
      <c r="E177">
        <v>15223</v>
      </c>
      <c r="F177">
        <v>183403</v>
      </c>
    </row>
    <row r="178" spans="1:6" x14ac:dyDescent="0.2">
      <c r="A178">
        <v>2017</v>
      </c>
      <c r="C178" t="s">
        <v>14</v>
      </c>
      <c r="D178">
        <v>339968</v>
      </c>
      <c r="E178">
        <v>30772</v>
      </c>
      <c r="F178">
        <v>370740</v>
      </c>
    </row>
    <row r="179" spans="1:6" x14ac:dyDescent="0.2">
      <c r="A179">
        <v>2017</v>
      </c>
      <c r="C179" t="s">
        <v>15</v>
      </c>
      <c r="D179">
        <v>78286</v>
      </c>
      <c r="E179">
        <v>7086</v>
      </c>
      <c r="F179">
        <v>85372</v>
      </c>
    </row>
    <row r="180" spans="1:6" x14ac:dyDescent="0.2">
      <c r="A180">
        <v>2017</v>
      </c>
      <c r="C180" t="s">
        <v>16</v>
      </c>
      <c r="D180">
        <v>1575805</v>
      </c>
      <c r="E180">
        <v>142634</v>
      </c>
      <c r="F180">
        <v>1718439</v>
      </c>
    </row>
    <row r="181" spans="1:6" x14ac:dyDescent="0.2">
      <c r="A181">
        <v>2017</v>
      </c>
      <c r="C181" t="s">
        <v>17</v>
      </c>
      <c r="D181">
        <v>322395</v>
      </c>
      <c r="E181">
        <v>29182</v>
      </c>
      <c r="F181">
        <v>351577</v>
      </c>
    </row>
    <row r="182" spans="1:6" x14ac:dyDescent="0.2">
      <c r="A182">
        <v>2017</v>
      </c>
      <c r="C182" t="s">
        <v>18</v>
      </c>
      <c r="D182">
        <v>882590</v>
      </c>
      <c r="E182">
        <v>79887</v>
      </c>
      <c r="F182">
        <v>962477</v>
      </c>
    </row>
    <row r="183" spans="1:6" x14ac:dyDescent="0.2">
      <c r="A183">
        <v>2017</v>
      </c>
      <c r="C183" t="s">
        <v>19</v>
      </c>
      <c r="D183">
        <v>2647498</v>
      </c>
      <c r="E183">
        <v>239638</v>
      </c>
      <c r="F183">
        <v>2887136</v>
      </c>
    </row>
    <row r="184" spans="1:6" x14ac:dyDescent="0.2">
      <c r="A184">
        <v>2017</v>
      </c>
      <c r="C184" t="s">
        <v>20</v>
      </c>
      <c r="D184">
        <v>244849</v>
      </c>
      <c r="E184">
        <v>22163</v>
      </c>
      <c r="F184">
        <v>267012</v>
      </c>
    </row>
    <row r="185" spans="1:6" x14ac:dyDescent="0.2">
      <c r="A185">
        <v>2017</v>
      </c>
      <c r="C185" t="s">
        <v>21</v>
      </c>
      <c r="D185">
        <v>258161</v>
      </c>
      <c r="E185">
        <v>23367</v>
      </c>
      <c r="F185">
        <v>281528</v>
      </c>
    </row>
    <row r="186" spans="1:6" x14ac:dyDescent="0.2">
      <c r="A186">
        <v>2017</v>
      </c>
      <c r="C186" t="s">
        <v>22</v>
      </c>
      <c r="D186">
        <v>410260</v>
      </c>
      <c r="E186">
        <v>37135</v>
      </c>
      <c r="F186">
        <v>447395</v>
      </c>
    </row>
    <row r="187" spans="1:6" x14ac:dyDescent="0.2">
      <c r="A187">
        <v>2017</v>
      </c>
      <c r="C187" t="s">
        <v>23</v>
      </c>
      <c r="D187">
        <v>651889</v>
      </c>
      <c r="E187">
        <v>59006</v>
      </c>
      <c r="F187">
        <v>710895</v>
      </c>
    </row>
    <row r="188" spans="1:6" x14ac:dyDescent="0.2">
      <c r="A188">
        <v>2017</v>
      </c>
      <c r="C188" t="s">
        <v>24</v>
      </c>
      <c r="D188">
        <v>899708</v>
      </c>
      <c r="E188">
        <v>81437</v>
      </c>
      <c r="F188">
        <v>981145</v>
      </c>
    </row>
    <row r="189" spans="1:6" x14ac:dyDescent="0.2">
      <c r="A189">
        <v>2017</v>
      </c>
      <c r="C189" t="s">
        <v>25</v>
      </c>
      <c r="D189">
        <v>308643</v>
      </c>
      <c r="E189">
        <v>27937</v>
      </c>
      <c r="F189">
        <v>336580</v>
      </c>
    </row>
    <row r="190" spans="1:6" x14ac:dyDescent="0.2">
      <c r="A190">
        <v>2017</v>
      </c>
      <c r="C190" t="s">
        <v>30</v>
      </c>
      <c r="D190">
        <v>422571</v>
      </c>
      <c r="E190">
        <v>38249</v>
      </c>
      <c r="F190">
        <v>460820</v>
      </c>
    </row>
    <row r="191" spans="1:6" x14ac:dyDescent="0.2">
      <c r="A191">
        <v>2017</v>
      </c>
      <c r="C191" t="s">
        <v>31</v>
      </c>
      <c r="D191">
        <v>819869</v>
      </c>
      <c r="E191">
        <v>74210</v>
      </c>
      <c r="F191">
        <v>894079</v>
      </c>
    </row>
    <row r="192" spans="1:6" x14ac:dyDescent="0.2">
      <c r="A192">
        <v>2017</v>
      </c>
      <c r="C192" t="s">
        <v>32</v>
      </c>
      <c r="D192">
        <v>407956</v>
      </c>
      <c r="E192">
        <v>36926</v>
      </c>
      <c r="F192">
        <v>444882</v>
      </c>
    </row>
    <row r="193" spans="1:6" x14ac:dyDescent="0.2">
      <c r="A193">
        <v>2017</v>
      </c>
      <c r="C193" t="s">
        <v>33</v>
      </c>
      <c r="D193">
        <v>214482</v>
      </c>
      <c r="E193">
        <v>19414</v>
      </c>
      <c r="F193">
        <v>233896</v>
      </c>
    </row>
    <row r="194" spans="1:6" x14ac:dyDescent="0.2">
      <c r="A194">
        <v>2017</v>
      </c>
      <c r="C194" t="s">
        <v>34</v>
      </c>
      <c r="D194">
        <v>1296705</v>
      </c>
      <c r="E194">
        <v>117371</v>
      </c>
      <c r="F194">
        <v>1414076</v>
      </c>
    </row>
    <row r="195" spans="1:6" x14ac:dyDescent="0.2">
      <c r="A195">
        <v>2017</v>
      </c>
      <c r="C195" t="s">
        <v>35</v>
      </c>
      <c r="D195">
        <v>112459</v>
      </c>
      <c r="E195">
        <v>10179</v>
      </c>
      <c r="F195">
        <v>122638</v>
      </c>
    </row>
    <row r="196" spans="1:6" x14ac:dyDescent="0.2">
      <c r="A196">
        <v>2017</v>
      </c>
      <c r="C196" t="s">
        <v>36</v>
      </c>
      <c r="D196">
        <v>174758</v>
      </c>
      <c r="E196">
        <v>15818</v>
      </c>
      <c r="F196">
        <v>190576</v>
      </c>
    </row>
    <row r="197" spans="1:6" x14ac:dyDescent="0.2">
      <c r="A197">
        <v>2017</v>
      </c>
      <c r="C197" t="s">
        <v>37</v>
      </c>
      <c r="D197">
        <v>286995</v>
      </c>
      <c r="E197">
        <v>25977</v>
      </c>
      <c r="F197">
        <v>312972</v>
      </c>
    </row>
    <row r="198" spans="1:6" x14ac:dyDescent="0.2">
      <c r="A198">
        <v>2017</v>
      </c>
      <c r="C198" t="s">
        <v>38</v>
      </c>
      <c r="D198">
        <v>705935</v>
      </c>
      <c r="E198">
        <v>63898</v>
      </c>
      <c r="F198">
        <v>769833</v>
      </c>
    </row>
    <row r="199" spans="1:6" x14ac:dyDescent="0.2">
      <c r="A199">
        <v>2017</v>
      </c>
      <c r="C199" t="s">
        <v>39</v>
      </c>
      <c r="D199">
        <v>4930</v>
      </c>
      <c r="E199">
        <v>446</v>
      </c>
      <c r="F199">
        <v>5376</v>
      </c>
    </row>
    <row r="200" spans="1:6" x14ac:dyDescent="0.2">
      <c r="A200">
        <v>2017</v>
      </c>
      <c r="C200" t="s">
        <v>40</v>
      </c>
      <c r="D200">
        <v>250695</v>
      </c>
      <c r="E200">
        <v>22692</v>
      </c>
      <c r="F200">
        <v>273387</v>
      </c>
    </row>
    <row r="201" spans="1:6" x14ac:dyDescent="0.2">
      <c r="A201">
        <v>2017</v>
      </c>
      <c r="C201" t="s">
        <v>41</v>
      </c>
      <c r="D201">
        <v>69004</v>
      </c>
      <c r="E201">
        <v>6246</v>
      </c>
      <c r="F201">
        <v>75250</v>
      </c>
    </row>
    <row r="202" spans="1:6" x14ac:dyDescent="0.2">
      <c r="A202">
        <v>2017</v>
      </c>
      <c r="C202" t="s">
        <v>42</v>
      </c>
      <c r="D202">
        <v>175506</v>
      </c>
      <c r="E202">
        <v>15886</v>
      </c>
      <c r="F202">
        <v>191392</v>
      </c>
    </row>
    <row r="203" spans="1:6" x14ac:dyDescent="0.2">
      <c r="A203">
        <v>2017</v>
      </c>
      <c r="C203" t="s">
        <v>43</v>
      </c>
      <c r="D203">
        <v>813422</v>
      </c>
      <c r="E203">
        <v>73627</v>
      </c>
      <c r="F203">
        <v>887049</v>
      </c>
    </row>
    <row r="204" spans="1:6" x14ac:dyDescent="0.2">
      <c r="A204">
        <v>2017</v>
      </c>
      <c r="C204" t="s">
        <v>44</v>
      </c>
      <c r="D204">
        <v>1146586</v>
      </c>
      <c r="E204">
        <v>103783</v>
      </c>
      <c r="F204">
        <v>1250369</v>
      </c>
    </row>
    <row r="205" spans="1:6" x14ac:dyDescent="0.2">
      <c r="A205">
        <v>2017</v>
      </c>
      <c r="C205" t="s">
        <v>45</v>
      </c>
      <c r="D205">
        <v>215063</v>
      </c>
      <c r="E205">
        <v>19467</v>
      </c>
      <c r="F205">
        <v>234530</v>
      </c>
    </row>
    <row r="206" spans="1:6" x14ac:dyDescent="0.2">
      <c r="A206">
        <v>2017</v>
      </c>
      <c r="C206" t="s">
        <v>46</v>
      </c>
      <c r="D206">
        <v>141445</v>
      </c>
      <c r="E206">
        <v>12803</v>
      </c>
      <c r="F206">
        <v>154248</v>
      </c>
    </row>
    <row r="207" spans="1:6" x14ac:dyDescent="0.2">
      <c r="A207">
        <v>2017</v>
      </c>
      <c r="C207" t="s">
        <v>47</v>
      </c>
      <c r="D207">
        <v>67766</v>
      </c>
      <c r="E207">
        <v>6134</v>
      </c>
      <c r="F207">
        <v>73900</v>
      </c>
    </row>
    <row r="208" spans="1:6" x14ac:dyDescent="0.2">
      <c r="A208">
        <v>2017</v>
      </c>
      <c r="C208" t="s">
        <v>48</v>
      </c>
      <c r="D208">
        <v>48268</v>
      </c>
      <c r="E208">
        <v>4369</v>
      </c>
      <c r="F208">
        <v>52637</v>
      </c>
    </row>
    <row r="209" spans="1:6" x14ac:dyDescent="0.2">
      <c r="A209">
        <v>2017</v>
      </c>
      <c r="C209" t="s">
        <v>49</v>
      </c>
      <c r="D209">
        <v>84618</v>
      </c>
      <c r="E209">
        <v>7659</v>
      </c>
      <c r="F209">
        <v>92277</v>
      </c>
    </row>
    <row r="210" spans="1:6" x14ac:dyDescent="0.2">
      <c r="A210">
        <v>2017</v>
      </c>
      <c r="C210" t="s">
        <v>50</v>
      </c>
      <c r="D210">
        <v>53704</v>
      </c>
      <c r="E210">
        <v>4861</v>
      </c>
      <c r="F210">
        <v>58565</v>
      </c>
    </row>
    <row r="211" spans="1:6" x14ac:dyDescent="0.2">
      <c r="A211">
        <v>2017</v>
      </c>
      <c r="C211" t="s">
        <v>51</v>
      </c>
      <c r="D211">
        <v>180126</v>
      </c>
      <c r="E211">
        <v>16304</v>
      </c>
      <c r="F211">
        <v>196430</v>
      </c>
    </row>
    <row r="212" spans="1:6" x14ac:dyDescent="0.2">
      <c r="A212">
        <v>2017</v>
      </c>
      <c r="C212" t="s">
        <v>52</v>
      </c>
      <c r="D212">
        <v>246967</v>
      </c>
      <c r="E212">
        <v>22354</v>
      </c>
      <c r="F212">
        <v>269321</v>
      </c>
    </row>
    <row r="213" spans="1:6" x14ac:dyDescent="0.2">
      <c r="A213">
        <v>2017</v>
      </c>
      <c r="C213" t="s">
        <v>53</v>
      </c>
      <c r="D213">
        <v>525779</v>
      </c>
      <c r="E213">
        <v>47591</v>
      </c>
      <c r="F213">
        <v>573370</v>
      </c>
    </row>
    <row r="214" spans="1:6" x14ac:dyDescent="0.2">
      <c r="A214">
        <v>2017</v>
      </c>
      <c r="C214" t="s">
        <v>54</v>
      </c>
      <c r="D214">
        <v>87932</v>
      </c>
      <c r="E214">
        <v>7959</v>
      </c>
      <c r="F214">
        <v>95891</v>
      </c>
    </row>
    <row r="215" spans="1:6" x14ac:dyDescent="0.2">
      <c r="A215">
        <v>2017</v>
      </c>
      <c r="C215" t="s">
        <v>55</v>
      </c>
      <c r="D215">
        <v>455801</v>
      </c>
      <c r="E215">
        <v>41257</v>
      </c>
      <c r="F215">
        <v>497058</v>
      </c>
    </row>
    <row r="216" spans="1:6" x14ac:dyDescent="0.2">
      <c r="A216">
        <v>2017</v>
      </c>
      <c r="C216" t="s">
        <v>56</v>
      </c>
      <c r="D216">
        <v>30529</v>
      </c>
      <c r="E216">
        <v>2763</v>
      </c>
      <c r="F216">
        <v>33292</v>
      </c>
    </row>
    <row r="217" spans="1:6" x14ac:dyDescent="0.2">
      <c r="A217">
        <v>2017</v>
      </c>
      <c r="C217" t="s">
        <v>57</v>
      </c>
      <c r="D217">
        <v>1085984</v>
      </c>
      <c r="E217">
        <v>98298</v>
      </c>
      <c r="F217">
        <v>1184282</v>
      </c>
    </row>
    <row r="218" spans="1:6" x14ac:dyDescent="0.2">
      <c r="A218">
        <v>2017</v>
      </c>
      <c r="C218" t="s">
        <v>58</v>
      </c>
      <c r="D218">
        <v>349690</v>
      </c>
      <c r="E218">
        <v>31652</v>
      </c>
      <c r="F218">
        <v>381342</v>
      </c>
    </row>
    <row r="219" spans="1:6" x14ac:dyDescent="0.2">
      <c r="A219">
        <v>2017</v>
      </c>
      <c r="C219" t="s">
        <v>59</v>
      </c>
      <c r="D219">
        <v>59754</v>
      </c>
      <c r="E219">
        <v>5409</v>
      </c>
      <c r="F219">
        <v>65163</v>
      </c>
    </row>
    <row r="220" spans="1:6" x14ac:dyDescent="0.2">
      <c r="A220">
        <v>2017</v>
      </c>
      <c r="C220" t="s">
        <v>60</v>
      </c>
      <c r="D220">
        <v>23227</v>
      </c>
      <c r="E220">
        <v>2102</v>
      </c>
      <c r="F220">
        <v>25329</v>
      </c>
    </row>
    <row r="221" spans="1:6" x14ac:dyDescent="0.2">
      <c r="A221">
        <v>2017</v>
      </c>
      <c r="C221" t="s">
        <v>61</v>
      </c>
      <c r="D221">
        <v>108630</v>
      </c>
      <c r="E221">
        <v>9833</v>
      </c>
      <c r="F221">
        <v>118463</v>
      </c>
    </row>
    <row r="222" spans="1:6" x14ac:dyDescent="0.2">
      <c r="A222">
        <v>2017</v>
      </c>
      <c r="C222" t="s">
        <v>62</v>
      </c>
      <c r="D222">
        <v>89684</v>
      </c>
      <c r="E222">
        <v>8118</v>
      </c>
      <c r="F222">
        <v>97802</v>
      </c>
    </row>
    <row r="223" spans="1:6" x14ac:dyDescent="0.2">
      <c r="A223">
        <v>2017</v>
      </c>
      <c r="C223" t="s">
        <v>63</v>
      </c>
      <c r="D223">
        <v>188146</v>
      </c>
      <c r="E223">
        <v>17030</v>
      </c>
      <c r="F223">
        <v>205176</v>
      </c>
    </row>
    <row r="224" spans="1:6" x14ac:dyDescent="0.2">
      <c r="A224">
        <v>2017</v>
      </c>
      <c r="C224" t="s">
        <v>64</v>
      </c>
      <c r="D224">
        <v>22335</v>
      </c>
      <c r="E224">
        <v>2022</v>
      </c>
      <c r="F224">
        <v>24357</v>
      </c>
    </row>
    <row r="225" spans="1:6" x14ac:dyDescent="0.2">
      <c r="A225">
        <v>2017</v>
      </c>
      <c r="C225" t="s">
        <v>65</v>
      </c>
      <c r="D225">
        <v>355125</v>
      </c>
      <c r="E225">
        <v>32144</v>
      </c>
      <c r="F225">
        <v>387269</v>
      </c>
    </row>
    <row r="226" spans="1:6" x14ac:dyDescent="0.2">
      <c r="A226">
        <v>2017</v>
      </c>
      <c r="C226" t="s">
        <v>66</v>
      </c>
      <c r="D226">
        <v>31988</v>
      </c>
      <c r="E226">
        <v>2895</v>
      </c>
      <c r="F226">
        <v>34883</v>
      </c>
    </row>
    <row r="227" spans="1:6" x14ac:dyDescent="0.2">
      <c r="A227">
        <v>2017</v>
      </c>
      <c r="C227" t="s">
        <v>67</v>
      </c>
      <c r="D227">
        <v>74992</v>
      </c>
      <c r="E227">
        <v>6788</v>
      </c>
      <c r="F227">
        <v>81780</v>
      </c>
    </row>
    <row r="228" spans="1:6" x14ac:dyDescent="0.2">
      <c r="A228">
        <v>2017</v>
      </c>
      <c r="C228" t="s">
        <v>68</v>
      </c>
      <c r="D228">
        <v>652831</v>
      </c>
      <c r="E228">
        <v>59091</v>
      </c>
      <c r="F228">
        <v>711922</v>
      </c>
    </row>
    <row r="229" spans="1:6" x14ac:dyDescent="0.2">
      <c r="A229">
        <v>2017</v>
      </c>
      <c r="C229" t="s">
        <v>69</v>
      </c>
      <c r="D229">
        <v>112444</v>
      </c>
      <c r="E229">
        <v>10178</v>
      </c>
      <c r="F229">
        <v>122622</v>
      </c>
    </row>
    <row r="230" spans="1:6" x14ac:dyDescent="0.2">
      <c r="A230">
        <v>2017</v>
      </c>
      <c r="C230" t="s">
        <v>70</v>
      </c>
      <c r="D230">
        <v>1099773</v>
      </c>
      <c r="E230">
        <v>99546</v>
      </c>
      <c r="F230">
        <v>1199319</v>
      </c>
    </row>
    <row r="231" spans="1:6" x14ac:dyDescent="0.2">
      <c r="A231">
        <v>2017</v>
      </c>
      <c r="C231" t="s">
        <v>71</v>
      </c>
      <c r="D231">
        <v>72625</v>
      </c>
      <c r="E231">
        <v>6574</v>
      </c>
      <c r="F231">
        <v>79199</v>
      </c>
    </row>
    <row r="232" spans="1:6" x14ac:dyDescent="0.2">
      <c r="A232">
        <v>2017</v>
      </c>
      <c r="C232" t="s">
        <v>72</v>
      </c>
      <c r="D232">
        <v>31812</v>
      </c>
      <c r="E232">
        <v>2880</v>
      </c>
      <c r="F232">
        <v>34692</v>
      </c>
    </row>
    <row r="233" spans="1:6" x14ac:dyDescent="0.2">
      <c r="A233">
        <v>2017</v>
      </c>
      <c r="C233" t="s">
        <v>73</v>
      </c>
      <c r="D233">
        <v>13864</v>
      </c>
      <c r="E233">
        <v>1255</v>
      </c>
      <c r="F233">
        <v>15119</v>
      </c>
    </row>
    <row r="234" spans="1:6" x14ac:dyDescent="0.2">
      <c r="A234">
        <v>2017</v>
      </c>
      <c r="C234" t="s">
        <v>74</v>
      </c>
      <c r="D234">
        <v>9940</v>
      </c>
      <c r="E234">
        <v>900</v>
      </c>
      <c r="F234">
        <v>10840</v>
      </c>
    </row>
    <row r="235" spans="1:6" x14ac:dyDescent="0.2">
      <c r="A235">
        <v>2017</v>
      </c>
      <c r="C235" t="s">
        <v>75</v>
      </c>
      <c r="D235">
        <v>7501</v>
      </c>
      <c r="E235">
        <v>679</v>
      </c>
      <c r="F235">
        <v>8180</v>
      </c>
    </row>
    <row r="236" spans="1:6" x14ac:dyDescent="0.2">
      <c r="A236">
        <v>2017</v>
      </c>
      <c r="C236" t="s">
        <v>76</v>
      </c>
      <c r="D236">
        <v>8548</v>
      </c>
      <c r="E236">
        <v>774</v>
      </c>
      <c r="F236">
        <v>9322</v>
      </c>
    </row>
    <row r="237" spans="1:6" x14ac:dyDescent="0.2">
      <c r="A237">
        <v>2017</v>
      </c>
      <c r="C237" t="s">
        <v>77</v>
      </c>
      <c r="D237">
        <v>38569</v>
      </c>
      <c r="E237">
        <v>3491</v>
      </c>
      <c r="F237">
        <v>42060</v>
      </c>
    </row>
    <row r="238" spans="1:6" x14ac:dyDescent="0.2">
      <c r="A238">
        <v>2017</v>
      </c>
      <c r="C238" t="s">
        <v>78</v>
      </c>
      <c r="D238">
        <v>17065</v>
      </c>
      <c r="E238">
        <v>1545</v>
      </c>
      <c r="F238">
        <v>18610</v>
      </c>
    </row>
    <row r="239" spans="1:6" x14ac:dyDescent="0.2">
      <c r="A239">
        <v>2017</v>
      </c>
      <c r="C239" t="s">
        <v>79</v>
      </c>
      <c r="D239">
        <v>10717</v>
      </c>
      <c r="E239">
        <v>970</v>
      </c>
      <c r="F239">
        <v>11687</v>
      </c>
    </row>
    <row r="240" spans="1:6" x14ac:dyDescent="0.2">
      <c r="A240">
        <v>2017</v>
      </c>
      <c r="C240" t="s">
        <v>80</v>
      </c>
      <c r="D240">
        <v>2240596</v>
      </c>
      <c r="E240">
        <v>202807</v>
      </c>
      <c r="F240">
        <v>2443403</v>
      </c>
    </row>
    <row r="241" spans="1:6" x14ac:dyDescent="0.2">
      <c r="A241">
        <v>2017</v>
      </c>
      <c r="C241" t="s">
        <v>81</v>
      </c>
      <c r="D241">
        <v>22918</v>
      </c>
      <c r="E241">
        <v>2074</v>
      </c>
      <c r="F241">
        <v>24992</v>
      </c>
    </row>
    <row r="242" spans="1:6" x14ac:dyDescent="0.2">
      <c r="A242">
        <v>2017</v>
      </c>
      <c r="C242" t="s">
        <v>82</v>
      </c>
      <c r="D242">
        <v>44167</v>
      </c>
      <c r="E242">
        <v>3998</v>
      </c>
      <c r="F242">
        <v>48165</v>
      </c>
    </row>
    <row r="243" spans="1:6" x14ac:dyDescent="0.2">
      <c r="A243">
        <v>2017</v>
      </c>
      <c r="C243" t="s">
        <v>85</v>
      </c>
      <c r="D243">
        <v>99335705</v>
      </c>
      <c r="E243">
        <v>8991362</v>
      </c>
      <c r="F243">
        <v>108327067</v>
      </c>
    </row>
    <row r="244" spans="1:6" x14ac:dyDescent="0.2">
      <c r="A244">
        <v>2017</v>
      </c>
      <c r="C244" t="s">
        <v>86</v>
      </c>
      <c r="D244">
        <v>285068483</v>
      </c>
      <c r="E244">
        <v>25802944</v>
      </c>
      <c r="F244">
        <v>310871427</v>
      </c>
    </row>
    <row r="245" spans="1:6" x14ac:dyDescent="0.2">
      <c r="A245">
        <v>2018</v>
      </c>
      <c r="C245" t="s">
        <v>0</v>
      </c>
      <c r="D245">
        <v>91307</v>
      </c>
      <c r="E245">
        <v>5768</v>
      </c>
      <c r="F245">
        <v>97075</v>
      </c>
    </row>
    <row r="246" spans="1:6" x14ac:dyDescent="0.2">
      <c r="A246">
        <v>2018</v>
      </c>
      <c r="C246" t="s">
        <v>1</v>
      </c>
      <c r="D246">
        <v>2128375</v>
      </c>
      <c r="E246">
        <v>134460</v>
      </c>
      <c r="F246">
        <v>2262835</v>
      </c>
    </row>
    <row r="247" spans="1:6" x14ac:dyDescent="0.2">
      <c r="A247">
        <v>2018</v>
      </c>
      <c r="C247" t="s">
        <v>2</v>
      </c>
      <c r="D247">
        <v>15642</v>
      </c>
      <c r="E247">
        <v>988</v>
      </c>
      <c r="F247">
        <v>16630</v>
      </c>
    </row>
    <row r="248" spans="1:6" x14ac:dyDescent="0.2">
      <c r="A248">
        <v>2018</v>
      </c>
      <c r="C248" t="s">
        <v>3</v>
      </c>
      <c r="D248">
        <v>118410</v>
      </c>
      <c r="E248">
        <v>7481</v>
      </c>
      <c r="F248">
        <v>125891</v>
      </c>
    </row>
    <row r="249" spans="1:6" x14ac:dyDescent="0.2">
      <c r="A249">
        <v>2018</v>
      </c>
      <c r="C249" t="s">
        <v>4</v>
      </c>
      <c r="D249">
        <v>374823</v>
      </c>
      <c r="E249">
        <v>23679</v>
      </c>
      <c r="F249">
        <v>398502</v>
      </c>
    </row>
    <row r="250" spans="1:6" x14ac:dyDescent="0.2">
      <c r="A250">
        <v>2018</v>
      </c>
      <c r="C250" t="s">
        <v>5</v>
      </c>
      <c r="D250">
        <v>1126701</v>
      </c>
      <c r="E250">
        <v>71179</v>
      </c>
      <c r="F250">
        <v>1197880</v>
      </c>
    </row>
    <row r="251" spans="1:6" x14ac:dyDescent="0.2">
      <c r="A251">
        <v>2018</v>
      </c>
      <c r="C251" t="s">
        <v>6</v>
      </c>
      <c r="D251">
        <v>57012</v>
      </c>
      <c r="E251">
        <v>3602</v>
      </c>
      <c r="F251">
        <v>60614</v>
      </c>
    </row>
    <row r="252" spans="1:6" x14ac:dyDescent="0.2">
      <c r="A252">
        <v>2018</v>
      </c>
      <c r="C252" t="s">
        <v>7</v>
      </c>
      <c r="D252">
        <v>135128</v>
      </c>
      <c r="E252">
        <v>8537</v>
      </c>
      <c r="F252">
        <v>143665</v>
      </c>
    </row>
    <row r="253" spans="1:6" x14ac:dyDescent="0.2">
      <c r="A253">
        <v>2018</v>
      </c>
      <c r="C253" t="s">
        <v>8</v>
      </c>
      <c r="D253">
        <v>293778</v>
      </c>
      <c r="E253">
        <v>18559</v>
      </c>
      <c r="F253">
        <v>312337</v>
      </c>
    </row>
    <row r="254" spans="1:6" x14ac:dyDescent="0.2">
      <c r="A254">
        <v>2018</v>
      </c>
      <c r="C254" t="s">
        <v>9</v>
      </c>
      <c r="D254">
        <v>460921</v>
      </c>
      <c r="E254">
        <v>29119</v>
      </c>
      <c r="F254">
        <v>490040</v>
      </c>
    </row>
    <row r="255" spans="1:6" x14ac:dyDescent="0.2">
      <c r="A255">
        <v>2018</v>
      </c>
      <c r="C255" t="s">
        <v>10</v>
      </c>
      <c r="D255">
        <v>53818</v>
      </c>
      <c r="E255">
        <v>3400</v>
      </c>
      <c r="F255">
        <v>57218</v>
      </c>
    </row>
    <row r="256" spans="1:6" x14ac:dyDescent="0.2">
      <c r="A256">
        <v>2018</v>
      </c>
      <c r="C256" t="s">
        <v>11</v>
      </c>
      <c r="D256">
        <v>101376</v>
      </c>
      <c r="E256">
        <v>6404</v>
      </c>
      <c r="F256">
        <v>107780</v>
      </c>
    </row>
    <row r="257" spans="1:6" x14ac:dyDescent="0.2">
      <c r="A257">
        <v>2018</v>
      </c>
      <c r="C257" t="s">
        <v>12</v>
      </c>
      <c r="D257">
        <v>439243</v>
      </c>
      <c r="E257">
        <v>27749</v>
      </c>
      <c r="F257">
        <v>466992</v>
      </c>
    </row>
    <row r="258" spans="1:6" x14ac:dyDescent="0.2">
      <c r="A258">
        <v>2018</v>
      </c>
      <c r="C258" t="s">
        <v>13</v>
      </c>
      <c r="D258">
        <v>105950</v>
      </c>
      <c r="E258">
        <v>6693</v>
      </c>
      <c r="F258">
        <v>112643</v>
      </c>
    </row>
    <row r="259" spans="1:6" x14ac:dyDescent="0.2">
      <c r="A259">
        <v>2018</v>
      </c>
      <c r="C259" t="s">
        <v>14</v>
      </c>
      <c r="D259">
        <v>371981</v>
      </c>
      <c r="E259">
        <v>23500</v>
      </c>
      <c r="F259">
        <v>395481</v>
      </c>
    </row>
    <row r="260" spans="1:6" x14ac:dyDescent="0.2">
      <c r="A260">
        <v>2018</v>
      </c>
      <c r="C260" t="s">
        <v>15</v>
      </c>
      <c r="D260">
        <v>26378</v>
      </c>
      <c r="E260">
        <v>1667</v>
      </c>
      <c r="F260">
        <v>28045</v>
      </c>
    </row>
    <row r="261" spans="1:6" x14ac:dyDescent="0.2">
      <c r="A261">
        <v>2018</v>
      </c>
      <c r="C261" t="s">
        <v>16</v>
      </c>
      <c r="D261">
        <v>1445594</v>
      </c>
      <c r="E261">
        <v>91325</v>
      </c>
      <c r="F261">
        <v>1536919</v>
      </c>
    </row>
    <row r="262" spans="1:6" x14ac:dyDescent="0.2">
      <c r="A262">
        <v>2018</v>
      </c>
      <c r="C262" t="s">
        <v>17</v>
      </c>
      <c r="D262">
        <v>389441</v>
      </c>
      <c r="E262">
        <v>24603</v>
      </c>
      <c r="F262">
        <v>414044</v>
      </c>
    </row>
    <row r="263" spans="1:6" x14ac:dyDescent="0.2">
      <c r="A263">
        <v>2018</v>
      </c>
      <c r="C263" t="s">
        <v>18</v>
      </c>
      <c r="D263">
        <v>880777</v>
      </c>
      <c r="E263">
        <v>55643</v>
      </c>
      <c r="F263">
        <v>936420</v>
      </c>
    </row>
    <row r="264" spans="1:6" x14ac:dyDescent="0.2">
      <c r="A264">
        <v>2018</v>
      </c>
      <c r="C264" t="s">
        <v>19</v>
      </c>
      <c r="D264">
        <v>1679726</v>
      </c>
      <c r="E264">
        <v>106116</v>
      </c>
      <c r="F264">
        <v>1785842</v>
      </c>
    </row>
    <row r="265" spans="1:6" x14ac:dyDescent="0.2">
      <c r="A265">
        <v>2018</v>
      </c>
      <c r="C265" t="s">
        <v>20</v>
      </c>
      <c r="D265">
        <v>166593</v>
      </c>
      <c r="E265">
        <v>10525</v>
      </c>
      <c r="F265">
        <v>177118</v>
      </c>
    </row>
    <row r="266" spans="1:6" x14ac:dyDescent="0.2">
      <c r="A266">
        <v>2018</v>
      </c>
      <c r="C266" t="s">
        <v>21</v>
      </c>
      <c r="D266">
        <v>214372</v>
      </c>
      <c r="E266">
        <v>13543</v>
      </c>
      <c r="F266">
        <v>227915</v>
      </c>
    </row>
    <row r="267" spans="1:6" x14ac:dyDescent="0.2">
      <c r="A267">
        <v>2018</v>
      </c>
      <c r="C267" t="s">
        <v>22</v>
      </c>
      <c r="D267">
        <v>399390</v>
      </c>
      <c r="E267">
        <v>25231</v>
      </c>
      <c r="F267">
        <v>424621</v>
      </c>
    </row>
    <row r="268" spans="1:6" x14ac:dyDescent="0.2">
      <c r="A268">
        <v>2018</v>
      </c>
      <c r="C268" t="s">
        <v>23</v>
      </c>
      <c r="D268">
        <v>794493</v>
      </c>
      <c r="E268">
        <v>50192</v>
      </c>
      <c r="F268">
        <v>844685</v>
      </c>
    </row>
    <row r="269" spans="1:6" x14ac:dyDescent="0.2">
      <c r="A269">
        <v>2018</v>
      </c>
      <c r="C269" t="s">
        <v>24</v>
      </c>
      <c r="D269">
        <v>960303</v>
      </c>
      <c r="E269">
        <v>60667</v>
      </c>
      <c r="F269">
        <v>1020970</v>
      </c>
    </row>
    <row r="270" spans="1:6" x14ac:dyDescent="0.2">
      <c r="A270">
        <v>2018</v>
      </c>
      <c r="C270" t="s">
        <v>25</v>
      </c>
      <c r="D270">
        <v>279136</v>
      </c>
      <c r="E270">
        <v>17634</v>
      </c>
      <c r="F270">
        <v>296770</v>
      </c>
    </row>
    <row r="271" spans="1:6" x14ac:dyDescent="0.2">
      <c r="A271">
        <v>2018</v>
      </c>
      <c r="C271" t="s">
        <v>30</v>
      </c>
      <c r="D271">
        <v>307992</v>
      </c>
      <c r="E271">
        <v>19457</v>
      </c>
      <c r="F271">
        <v>327449</v>
      </c>
    </row>
    <row r="272" spans="1:6" x14ac:dyDescent="0.2">
      <c r="A272">
        <v>2018</v>
      </c>
      <c r="C272" t="s">
        <v>31</v>
      </c>
      <c r="D272">
        <v>622395</v>
      </c>
      <c r="E272">
        <v>39320</v>
      </c>
      <c r="F272">
        <v>661715</v>
      </c>
    </row>
    <row r="273" spans="1:6" x14ac:dyDescent="0.2">
      <c r="A273">
        <v>2018</v>
      </c>
      <c r="C273" t="s">
        <v>32</v>
      </c>
      <c r="D273">
        <v>370887</v>
      </c>
      <c r="E273">
        <v>23431</v>
      </c>
      <c r="F273">
        <v>394318</v>
      </c>
    </row>
    <row r="274" spans="1:6" x14ac:dyDescent="0.2">
      <c r="A274">
        <v>2018</v>
      </c>
      <c r="C274" t="s">
        <v>33</v>
      </c>
      <c r="D274">
        <v>238194</v>
      </c>
      <c r="E274">
        <v>15048</v>
      </c>
      <c r="F274">
        <v>253242</v>
      </c>
    </row>
    <row r="275" spans="1:6" x14ac:dyDescent="0.2">
      <c r="A275">
        <v>2018</v>
      </c>
      <c r="C275" t="s">
        <v>34</v>
      </c>
      <c r="D275">
        <v>1442250</v>
      </c>
      <c r="E275">
        <v>91114</v>
      </c>
      <c r="F275">
        <v>1533364</v>
      </c>
    </row>
    <row r="276" spans="1:6" x14ac:dyDescent="0.2">
      <c r="A276">
        <v>2018</v>
      </c>
      <c r="C276" t="s">
        <v>35</v>
      </c>
      <c r="D276">
        <v>116727</v>
      </c>
      <c r="E276">
        <v>7374</v>
      </c>
      <c r="F276">
        <v>124101</v>
      </c>
    </row>
    <row r="277" spans="1:6" x14ac:dyDescent="0.2">
      <c r="A277">
        <v>2018</v>
      </c>
      <c r="C277" t="s">
        <v>36</v>
      </c>
      <c r="D277">
        <v>180102</v>
      </c>
      <c r="E277">
        <v>11378</v>
      </c>
      <c r="F277">
        <v>191480</v>
      </c>
    </row>
    <row r="278" spans="1:6" x14ac:dyDescent="0.2">
      <c r="A278">
        <v>2018</v>
      </c>
      <c r="C278" t="s">
        <v>37</v>
      </c>
      <c r="D278">
        <v>228705</v>
      </c>
      <c r="E278">
        <v>14448</v>
      </c>
      <c r="F278">
        <v>243153</v>
      </c>
    </row>
    <row r="279" spans="1:6" x14ac:dyDescent="0.2">
      <c r="A279">
        <v>2018</v>
      </c>
      <c r="C279" t="s">
        <v>38</v>
      </c>
      <c r="D279">
        <v>666637</v>
      </c>
      <c r="E279">
        <v>42115</v>
      </c>
      <c r="F279">
        <v>708752</v>
      </c>
    </row>
    <row r="280" spans="1:6" x14ac:dyDescent="0.2">
      <c r="A280">
        <v>2018</v>
      </c>
      <c r="C280" t="s">
        <v>39</v>
      </c>
      <c r="D280">
        <v>18799</v>
      </c>
      <c r="E280">
        <v>1188</v>
      </c>
      <c r="F280">
        <v>19987</v>
      </c>
    </row>
    <row r="281" spans="1:6" x14ac:dyDescent="0.2">
      <c r="A281">
        <v>2018</v>
      </c>
      <c r="C281" t="s">
        <v>40</v>
      </c>
      <c r="D281">
        <v>199721</v>
      </c>
      <c r="E281">
        <v>12617</v>
      </c>
      <c r="F281">
        <v>212338</v>
      </c>
    </row>
    <row r="282" spans="1:6" x14ac:dyDescent="0.2">
      <c r="A282">
        <v>2018</v>
      </c>
      <c r="C282" t="s">
        <v>41</v>
      </c>
      <c r="D282">
        <v>51727</v>
      </c>
      <c r="E282">
        <v>3268</v>
      </c>
      <c r="F282">
        <v>54995</v>
      </c>
    </row>
    <row r="283" spans="1:6" x14ac:dyDescent="0.2">
      <c r="A283">
        <v>2018</v>
      </c>
      <c r="C283" t="s">
        <v>42</v>
      </c>
      <c r="D283">
        <v>78623</v>
      </c>
      <c r="E283">
        <v>4967</v>
      </c>
      <c r="F283">
        <v>83590</v>
      </c>
    </row>
    <row r="284" spans="1:6" x14ac:dyDescent="0.2">
      <c r="A284">
        <v>2018</v>
      </c>
      <c r="C284" t="s">
        <v>43</v>
      </c>
      <c r="D284">
        <v>912366</v>
      </c>
      <c r="E284">
        <v>57638</v>
      </c>
      <c r="F284">
        <v>970004</v>
      </c>
    </row>
    <row r="285" spans="1:6" x14ac:dyDescent="0.2">
      <c r="A285">
        <v>2018</v>
      </c>
      <c r="C285" t="s">
        <v>44</v>
      </c>
      <c r="D285">
        <v>769270</v>
      </c>
      <c r="E285">
        <v>48598</v>
      </c>
      <c r="F285">
        <v>817868</v>
      </c>
    </row>
    <row r="286" spans="1:6" x14ac:dyDescent="0.2">
      <c r="A286">
        <v>2018</v>
      </c>
      <c r="C286" t="s">
        <v>45</v>
      </c>
      <c r="D286">
        <v>194269</v>
      </c>
      <c r="E286">
        <v>12273</v>
      </c>
      <c r="F286">
        <v>206542</v>
      </c>
    </row>
    <row r="287" spans="1:6" x14ac:dyDescent="0.2">
      <c r="A287">
        <v>2018</v>
      </c>
      <c r="C287" t="s">
        <v>46</v>
      </c>
      <c r="D287">
        <v>169377</v>
      </c>
      <c r="E287">
        <v>10700</v>
      </c>
      <c r="F287">
        <v>180077</v>
      </c>
    </row>
    <row r="288" spans="1:6" x14ac:dyDescent="0.2">
      <c r="A288">
        <v>2018</v>
      </c>
      <c r="C288" t="s">
        <v>47</v>
      </c>
      <c r="D288">
        <v>63578</v>
      </c>
      <c r="E288">
        <v>4017</v>
      </c>
      <c r="F288">
        <v>67595</v>
      </c>
    </row>
    <row r="289" spans="1:6" x14ac:dyDescent="0.2">
      <c r="A289">
        <v>2018</v>
      </c>
      <c r="C289" t="s">
        <v>48</v>
      </c>
      <c r="D289">
        <v>16610</v>
      </c>
      <c r="E289">
        <v>1049</v>
      </c>
      <c r="F289">
        <v>17659</v>
      </c>
    </row>
    <row r="290" spans="1:6" x14ac:dyDescent="0.2">
      <c r="A290">
        <v>2018</v>
      </c>
      <c r="C290" t="s">
        <v>49</v>
      </c>
      <c r="D290">
        <v>150309</v>
      </c>
      <c r="E290">
        <v>9496</v>
      </c>
      <c r="F290">
        <v>159805</v>
      </c>
    </row>
    <row r="291" spans="1:6" x14ac:dyDescent="0.2">
      <c r="A291">
        <v>2018</v>
      </c>
      <c r="C291" t="s">
        <v>50</v>
      </c>
      <c r="D291">
        <v>25102</v>
      </c>
      <c r="E291">
        <v>1586</v>
      </c>
      <c r="F291">
        <v>26688</v>
      </c>
    </row>
    <row r="292" spans="1:6" x14ac:dyDescent="0.2">
      <c r="A292">
        <v>2018</v>
      </c>
      <c r="C292" t="s">
        <v>51</v>
      </c>
      <c r="D292">
        <v>151755</v>
      </c>
      <c r="E292">
        <v>9587</v>
      </c>
      <c r="F292">
        <v>161342</v>
      </c>
    </row>
    <row r="293" spans="1:6" x14ac:dyDescent="0.2">
      <c r="A293">
        <v>2018</v>
      </c>
      <c r="C293" t="s">
        <v>52</v>
      </c>
      <c r="D293">
        <v>180153</v>
      </c>
      <c r="E293">
        <v>11381</v>
      </c>
      <c r="F293">
        <v>191534</v>
      </c>
    </row>
    <row r="294" spans="1:6" x14ac:dyDescent="0.2">
      <c r="A294">
        <v>2018</v>
      </c>
      <c r="C294" t="s">
        <v>53</v>
      </c>
      <c r="D294">
        <v>350136</v>
      </c>
      <c r="E294">
        <v>22120</v>
      </c>
      <c r="F294">
        <v>372256</v>
      </c>
    </row>
    <row r="295" spans="1:6" x14ac:dyDescent="0.2">
      <c r="A295">
        <v>2018</v>
      </c>
      <c r="C295" t="s">
        <v>54</v>
      </c>
      <c r="D295">
        <v>106343</v>
      </c>
      <c r="E295">
        <v>6718</v>
      </c>
      <c r="F295">
        <v>113061</v>
      </c>
    </row>
    <row r="296" spans="1:6" x14ac:dyDescent="0.2">
      <c r="A296">
        <v>2018</v>
      </c>
      <c r="C296" t="s">
        <v>55</v>
      </c>
      <c r="D296">
        <v>542474</v>
      </c>
      <c r="E296">
        <v>34271</v>
      </c>
      <c r="F296">
        <v>576745</v>
      </c>
    </row>
    <row r="297" spans="1:6" x14ac:dyDescent="0.2">
      <c r="A297">
        <v>2018</v>
      </c>
      <c r="C297" t="s">
        <v>56</v>
      </c>
      <c r="D297">
        <v>42431</v>
      </c>
      <c r="E297">
        <v>2681</v>
      </c>
      <c r="F297">
        <v>45112</v>
      </c>
    </row>
    <row r="298" spans="1:6" x14ac:dyDescent="0.2">
      <c r="A298">
        <v>2018</v>
      </c>
      <c r="C298" t="s">
        <v>57</v>
      </c>
      <c r="D298">
        <v>1087602</v>
      </c>
      <c r="E298">
        <v>68709</v>
      </c>
      <c r="F298">
        <v>1156311</v>
      </c>
    </row>
    <row r="299" spans="1:6" x14ac:dyDescent="0.2">
      <c r="A299">
        <v>2018</v>
      </c>
      <c r="C299" t="s">
        <v>58</v>
      </c>
      <c r="D299">
        <v>224485</v>
      </c>
      <c r="E299">
        <v>14182</v>
      </c>
      <c r="F299">
        <v>238667</v>
      </c>
    </row>
    <row r="300" spans="1:6" x14ac:dyDescent="0.2">
      <c r="A300">
        <v>2018</v>
      </c>
      <c r="C300" t="s">
        <v>59</v>
      </c>
      <c r="D300">
        <v>53896</v>
      </c>
      <c r="E300">
        <v>3405</v>
      </c>
      <c r="F300">
        <v>57301</v>
      </c>
    </row>
    <row r="301" spans="1:6" x14ac:dyDescent="0.2">
      <c r="A301">
        <v>2018</v>
      </c>
      <c r="C301" t="s">
        <v>60</v>
      </c>
      <c r="D301">
        <v>21144</v>
      </c>
      <c r="E301">
        <v>1336</v>
      </c>
      <c r="F301">
        <v>22480</v>
      </c>
    </row>
    <row r="302" spans="1:6" x14ac:dyDescent="0.2">
      <c r="A302">
        <v>2018</v>
      </c>
      <c r="C302" t="s">
        <v>61</v>
      </c>
      <c r="D302">
        <v>70058</v>
      </c>
      <c r="E302">
        <v>4426</v>
      </c>
      <c r="F302">
        <v>74484</v>
      </c>
    </row>
    <row r="303" spans="1:6" x14ac:dyDescent="0.2">
      <c r="A303">
        <v>2018</v>
      </c>
      <c r="C303" t="s">
        <v>62</v>
      </c>
      <c r="D303">
        <v>87101</v>
      </c>
      <c r="E303">
        <v>5503</v>
      </c>
      <c r="F303">
        <v>92604</v>
      </c>
    </row>
    <row r="304" spans="1:6" x14ac:dyDescent="0.2">
      <c r="A304">
        <v>2018</v>
      </c>
      <c r="C304" t="s">
        <v>63</v>
      </c>
      <c r="D304">
        <v>133576</v>
      </c>
      <c r="E304">
        <v>8439</v>
      </c>
      <c r="F304">
        <v>142015</v>
      </c>
    </row>
    <row r="305" spans="1:6" x14ac:dyDescent="0.2">
      <c r="A305">
        <v>2018</v>
      </c>
      <c r="C305" t="s">
        <v>64</v>
      </c>
      <c r="D305">
        <v>24334</v>
      </c>
      <c r="E305">
        <v>1537</v>
      </c>
      <c r="F305">
        <v>25871</v>
      </c>
    </row>
    <row r="306" spans="1:6" x14ac:dyDescent="0.2">
      <c r="A306">
        <v>2018</v>
      </c>
      <c r="C306" t="s">
        <v>65</v>
      </c>
      <c r="D306">
        <v>329787</v>
      </c>
      <c r="E306">
        <v>20834</v>
      </c>
      <c r="F306">
        <v>350621</v>
      </c>
    </row>
    <row r="307" spans="1:6" x14ac:dyDescent="0.2">
      <c r="A307">
        <v>2018</v>
      </c>
      <c r="C307" t="s">
        <v>66</v>
      </c>
      <c r="D307">
        <v>33914</v>
      </c>
      <c r="E307">
        <v>2143</v>
      </c>
      <c r="F307">
        <v>36057</v>
      </c>
    </row>
    <row r="308" spans="1:6" x14ac:dyDescent="0.2">
      <c r="A308">
        <v>2018</v>
      </c>
      <c r="C308" t="s">
        <v>67</v>
      </c>
      <c r="D308">
        <v>50416</v>
      </c>
      <c r="E308">
        <v>3185</v>
      </c>
      <c r="F308">
        <v>53601</v>
      </c>
    </row>
    <row r="309" spans="1:6" x14ac:dyDescent="0.2">
      <c r="A309">
        <v>2018</v>
      </c>
      <c r="C309" t="s">
        <v>68</v>
      </c>
      <c r="D309">
        <v>570479</v>
      </c>
      <c r="E309">
        <v>36040</v>
      </c>
      <c r="F309">
        <v>606519</v>
      </c>
    </row>
    <row r="310" spans="1:6" x14ac:dyDescent="0.2">
      <c r="A310">
        <v>2018</v>
      </c>
      <c r="C310" t="s">
        <v>69</v>
      </c>
      <c r="D310">
        <v>102179</v>
      </c>
      <c r="E310">
        <v>6455</v>
      </c>
      <c r="F310">
        <v>108634</v>
      </c>
    </row>
    <row r="311" spans="1:6" x14ac:dyDescent="0.2">
      <c r="A311">
        <v>2018</v>
      </c>
      <c r="C311" t="s">
        <v>70</v>
      </c>
      <c r="D311">
        <v>883545</v>
      </c>
      <c r="E311">
        <v>55818</v>
      </c>
      <c r="F311">
        <v>939363</v>
      </c>
    </row>
    <row r="312" spans="1:6" x14ac:dyDescent="0.2">
      <c r="A312">
        <v>2018</v>
      </c>
      <c r="C312" t="s">
        <v>71</v>
      </c>
      <c r="D312">
        <v>61912</v>
      </c>
      <c r="E312">
        <v>3911</v>
      </c>
      <c r="F312">
        <v>65823</v>
      </c>
    </row>
    <row r="313" spans="1:6" x14ac:dyDescent="0.2">
      <c r="A313">
        <v>2018</v>
      </c>
      <c r="C313" t="s">
        <v>72</v>
      </c>
      <c r="D313">
        <v>28228</v>
      </c>
      <c r="E313">
        <v>1783</v>
      </c>
      <c r="F313">
        <v>30011</v>
      </c>
    </row>
    <row r="314" spans="1:6" x14ac:dyDescent="0.2">
      <c r="A314">
        <v>2018</v>
      </c>
      <c r="C314" t="s">
        <v>73</v>
      </c>
      <c r="D314">
        <v>13576</v>
      </c>
      <c r="E314">
        <v>858</v>
      </c>
      <c r="F314">
        <v>14434</v>
      </c>
    </row>
    <row r="315" spans="1:6" x14ac:dyDescent="0.2">
      <c r="A315">
        <v>2018</v>
      </c>
      <c r="C315" t="s">
        <v>74</v>
      </c>
      <c r="D315">
        <v>9831</v>
      </c>
      <c r="E315">
        <v>621</v>
      </c>
      <c r="F315">
        <v>10452</v>
      </c>
    </row>
    <row r="316" spans="1:6" x14ac:dyDescent="0.2">
      <c r="A316">
        <v>2018</v>
      </c>
      <c r="C316" t="s">
        <v>75</v>
      </c>
      <c r="D316">
        <v>7377</v>
      </c>
      <c r="E316">
        <v>466</v>
      </c>
      <c r="F316">
        <v>7843</v>
      </c>
    </row>
    <row r="317" spans="1:6" x14ac:dyDescent="0.2">
      <c r="A317">
        <v>2018</v>
      </c>
      <c r="C317" t="s">
        <v>76</v>
      </c>
      <c r="D317">
        <v>4962</v>
      </c>
      <c r="E317">
        <v>313</v>
      </c>
      <c r="F317">
        <v>5275</v>
      </c>
    </row>
    <row r="318" spans="1:6" x14ac:dyDescent="0.2">
      <c r="A318">
        <v>2018</v>
      </c>
      <c r="C318" t="s">
        <v>77</v>
      </c>
      <c r="D318">
        <v>12693</v>
      </c>
      <c r="E318">
        <v>802</v>
      </c>
      <c r="F318">
        <v>13495</v>
      </c>
    </row>
    <row r="319" spans="1:6" x14ac:dyDescent="0.2">
      <c r="A319">
        <v>2018</v>
      </c>
      <c r="C319" t="s">
        <v>78</v>
      </c>
      <c r="D319">
        <v>10577</v>
      </c>
      <c r="E319">
        <v>668</v>
      </c>
      <c r="F319">
        <v>11245</v>
      </c>
    </row>
    <row r="320" spans="1:6" x14ac:dyDescent="0.2">
      <c r="A320">
        <v>2018</v>
      </c>
      <c r="C320" t="s">
        <v>79</v>
      </c>
      <c r="D320">
        <v>10438</v>
      </c>
      <c r="E320">
        <v>659</v>
      </c>
      <c r="F320">
        <v>11097</v>
      </c>
    </row>
    <row r="321" spans="1:6" x14ac:dyDescent="0.2">
      <c r="A321">
        <v>2018</v>
      </c>
      <c r="C321" t="s">
        <v>80</v>
      </c>
      <c r="D321">
        <v>2179491</v>
      </c>
      <c r="E321">
        <v>137689</v>
      </c>
      <c r="F321">
        <v>2317180</v>
      </c>
    </row>
    <row r="322" spans="1:6" x14ac:dyDescent="0.2">
      <c r="A322">
        <v>2018</v>
      </c>
      <c r="C322" t="s">
        <v>81</v>
      </c>
      <c r="D322">
        <v>14025</v>
      </c>
      <c r="E322">
        <v>886</v>
      </c>
      <c r="F322">
        <v>14911</v>
      </c>
    </row>
    <row r="323" spans="1:6" x14ac:dyDescent="0.2">
      <c r="A323">
        <v>2018</v>
      </c>
      <c r="C323" t="s">
        <v>82</v>
      </c>
      <c r="D323">
        <v>44722</v>
      </c>
      <c r="E323">
        <v>2825</v>
      </c>
      <c r="F323">
        <v>47547</v>
      </c>
    </row>
    <row r="324" spans="1:6" x14ac:dyDescent="0.2">
      <c r="A324">
        <v>2018</v>
      </c>
      <c r="C324" t="s">
        <v>85</v>
      </c>
      <c r="D324">
        <v>96207630</v>
      </c>
      <c r="E324">
        <v>6077903</v>
      </c>
      <c r="F324">
        <v>102285533</v>
      </c>
    </row>
    <row r="325" spans="1:6" x14ac:dyDescent="0.2">
      <c r="A325">
        <v>2018</v>
      </c>
      <c r="C325" t="s">
        <v>86</v>
      </c>
      <c r="D325">
        <v>320214422</v>
      </c>
      <c r="E325">
        <v>20229500</v>
      </c>
      <c r="F325">
        <v>340443922</v>
      </c>
    </row>
    <row r="326" spans="1:6" x14ac:dyDescent="0.2">
      <c r="A326">
        <v>2019</v>
      </c>
      <c r="C326" t="s">
        <v>0</v>
      </c>
      <c r="D326">
        <v>134546</v>
      </c>
      <c r="E326">
        <v>15008</v>
      </c>
      <c r="F326">
        <v>149554</v>
      </c>
    </row>
    <row r="327" spans="1:6" x14ac:dyDescent="0.2">
      <c r="A327">
        <v>2019</v>
      </c>
      <c r="C327" t="s">
        <v>1</v>
      </c>
      <c r="D327">
        <v>1668786</v>
      </c>
      <c r="E327">
        <v>186146</v>
      </c>
      <c r="F327">
        <v>1854932</v>
      </c>
    </row>
    <row r="328" spans="1:6" x14ac:dyDescent="0.2">
      <c r="A328">
        <v>2019</v>
      </c>
      <c r="C328" t="s">
        <v>2</v>
      </c>
      <c r="D328">
        <v>101357</v>
      </c>
      <c r="E328">
        <v>11306</v>
      </c>
      <c r="F328">
        <v>112663</v>
      </c>
    </row>
    <row r="329" spans="1:6" x14ac:dyDescent="0.2">
      <c r="A329">
        <v>2019</v>
      </c>
      <c r="C329" t="s">
        <v>3</v>
      </c>
      <c r="D329">
        <v>99048</v>
      </c>
      <c r="E329">
        <v>11048</v>
      </c>
      <c r="F329">
        <v>110096</v>
      </c>
    </row>
    <row r="330" spans="1:6" x14ac:dyDescent="0.2">
      <c r="A330">
        <v>2019</v>
      </c>
      <c r="C330" t="s">
        <v>4</v>
      </c>
      <c r="D330">
        <v>273831</v>
      </c>
      <c r="E330">
        <v>30545</v>
      </c>
      <c r="F330">
        <v>304376</v>
      </c>
    </row>
    <row r="331" spans="1:6" x14ac:dyDescent="0.2">
      <c r="A331">
        <v>2019</v>
      </c>
      <c r="C331" t="s">
        <v>5</v>
      </c>
      <c r="D331">
        <v>1101830</v>
      </c>
      <c r="E331">
        <v>122905</v>
      </c>
      <c r="F331">
        <v>1224735</v>
      </c>
    </row>
    <row r="332" spans="1:6" x14ac:dyDescent="0.2">
      <c r="A332">
        <v>2019</v>
      </c>
      <c r="C332" t="s">
        <v>6</v>
      </c>
      <c r="D332">
        <v>56557</v>
      </c>
      <c r="E332">
        <v>6309</v>
      </c>
      <c r="F332">
        <v>62866</v>
      </c>
    </row>
    <row r="333" spans="1:6" x14ac:dyDescent="0.2">
      <c r="A333">
        <v>2019</v>
      </c>
      <c r="C333" t="s">
        <v>7</v>
      </c>
      <c r="D333">
        <v>103742</v>
      </c>
      <c r="E333">
        <v>11572</v>
      </c>
      <c r="F333">
        <v>115314</v>
      </c>
    </row>
    <row r="334" spans="1:6" x14ac:dyDescent="0.2">
      <c r="A334">
        <v>2019</v>
      </c>
      <c r="C334" t="s">
        <v>8</v>
      </c>
      <c r="D334">
        <v>363363</v>
      </c>
      <c r="E334">
        <v>40532</v>
      </c>
      <c r="F334">
        <v>403895</v>
      </c>
    </row>
    <row r="335" spans="1:6" x14ac:dyDescent="0.2">
      <c r="A335">
        <v>2019</v>
      </c>
      <c r="C335" t="s">
        <v>9</v>
      </c>
      <c r="D335">
        <v>488731</v>
      </c>
      <c r="E335">
        <v>54516</v>
      </c>
      <c r="F335">
        <v>543247</v>
      </c>
    </row>
    <row r="336" spans="1:6" x14ac:dyDescent="0.2">
      <c r="A336">
        <v>2019</v>
      </c>
      <c r="C336" t="s">
        <v>10</v>
      </c>
      <c r="D336">
        <v>106507</v>
      </c>
      <c r="E336">
        <v>11880</v>
      </c>
      <c r="F336">
        <v>118387</v>
      </c>
    </row>
    <row r="337" spans="1:6" x14ac:dyDescent="0.2">
      <c r="A337">
        <v>2019</v>
      </c>
      <c r="C337" t="s">
        <v>11</v>
      </c>
      <c r="D337">
        <v>109119</v>
      </c>
      <c r="E337">
        <v>12172</v>
      </c>
      <c r="F337">
        <v>121291</v>
      </c>
    </row>
    <row r="338" spans="1:6" x14ac:dyDescent="0.2">
      <c r="A338">
        <v>2019</v>
      </c>
      <c r="C338" t="s">
        <v>12</v>
      </c>
      <c r="D338">
        <v>460885</v>
      </c>
      <c r="E338">
        <v>51410</v>
      </c>
      <c r="F338">
        <v>512295</v>
      </c>
    </row>
    <row r="339" spans="1:6" x14ac:dyDescent="0.2">
      <c r="A339">
        <v>2019</v>
      </c>
      <c r="C339" t="s">
        <v>13</v>
      </c>
      <c r="D339">
        <v>86457</v>
      </c>
      <c r="E339">
        <v>9644</v>
      </c>
      <c r="F339">
        <v>96101</v>
      </c>
    </row>
    <row r="340" spans="1:6" x14ac:dyDescent="0.2">
      <c r="A340">
        <v>2019</v>
      </c>
      <c r="C340" t="s">
        <v>14</v>
      </c>
      <c r="D340">
        <v>391055</v>
      </c>
      <c r="E340">
        <v>43621</v>
      </c>
      <c r="F340">
        <v>434676</v>
      </c>
    </row>
    <row r="341" spans="1:6" x14ac:dyDescent="0.2">
      <c r="A341">
        <v>2019</v>
      </c>
      <c r="C341" t="s">
        <v>15</v>
      </c>
      <c r="D341">
        <v>41224</v>
      </c>
      <c r="E341">
        <v>4598</v>
      </c>
      <c r="F341">
        <v>45822</v>
      </c>
    </row>
    <row r="342" spans="1:6" x14ac:dyDescent="0.2">
      <c r="A342">
        <v>2019</v>
      </c>
      <c r="C342" t="s">
        <v>16</v>
      </c>
      <c r="D342">
        <v>1199792</v>
      </c>
      <c r="E342">
        <v>133832</v>
      </c>
      <c r="F342">
        <v>1333624</v>
      </c>
    </row>
    <row r="343" spans="1:6" x14ac:dyDescent="0.2">
      <c r="A343">
        <v>2019</v>
      </c>
      <c r="C343" t="s">
        <v>17</v>
      </c>
      <c r="D343">
        <v>389192</v>
      </c>
      <c r="E343">
        <v>43413</v>
      </c>
      <c r="F343">
        <v>432605</v>
      </c>
    </row>
    <row r="344" spans="1:6" x14ac:dyDescent="0.2">
      <c r="A344">
        <v>2019</v>
      </c>
      <c r="C344" t="s">
        <v>18</v>
      </c>
      <c r="D344">
        <v>916951</v>
      </c>
      <c r="E344">
        <v>102282</v>
      </c>
      <c r="F344">
        <v>1019233</v>
      </c>
    </row>
    <row r="345" spans="1:6" x14ac:dyDescent="0.2">
      <c r="A345">
        <v>2019</v>
      </c>
      <c r="C345" t="s">
        <v>19</v>
      </c>
      <c r="D345">
        <v>1967365</v>
      </c>
      <c r="E345">
        <v>219452</v>
      </c>
      <c r="F345">
        <v>2186817</v>
      </c>
    </row>
    <row r="346" spans="1:6" x14ac:dyDescent="0.2">
      <c r="A346">
        <v>2019</v>
      </c>
      <c r="C346" t="s">
        <v>20</v>
      </c>
      <c r="D346">
        <v>215172</v>
      </c>
      <c r="E346">
        <v>24002</v>
      </c>
      <c r="F346">
        <v>239174</v>
      </c>
    </row>
    <row r="347" spans="1:6" x14ac:dyDescent="0.2">
      <c r="A347">
        <v>2019</v>
      </c>
      <c r="C347" t="s">
        <v>21</v>
      </c>
      <c r="D347">
        <v>180213</v>
      </c>
      <c r="E347">
        <v>20102</v>
      </c>
      <c r="F347">
        <v>200315</v>
      </c>
    </row>
    <row r="348" spans="1:6" x14ac:dyDescent="0.2">
      <c r="A348">
        <v>2019</v>
      </c>
      <c r="C348" t="s">
        <v>22</v>
      </c>
      <c r="D348">
        <v>345446</v>
      </c>
      <c r="E348">
        <v>38533</v>
      </c>
      <c r="F348">
        <v>383979</v>
      </c>
    </row>
    <row r="349" spans="1:6" x14ac:dyDescent="0.2">
      <c r="A349">
        <v>2019</v>
      </c>
      <c r="C349" t="s">
        <v>23</v>
      </c>
      <c r="D349">
        <v>1292759</v>
      </c>
      <c r="E349">
        <v>144202</v>
      </c>
      <c r="F349">
        <v>1436961</v>
      </c>
    </row>
    <row r="350" spans="1:6" x14ac:dyDescent="0.2">
      <c r="A350">
        <v>2019</v>
      </c>
      <c r="C350" t="s">
        <v>24</v>
      </c>
      <c r="D350">
        <v>973885</v>
      </c>
      <c r="E350">
        <v>108633</v>
      </c>
      <c r="F350">
        <v>1082518</v>
      </c>
    </row>
    <row r="351" spans="1:6" x14ac:dyDescent="0.2">
      <c r="A351">
        <v>2019</v>
      </c>
      <c r="C351" t="s">
        <v>25</v>
      </c>
      <c r="D351">
        <v>426157</v>
      </c>
      <c r="E351">
        <v>47536</v>
      </c>
      <c r="F351">
        <v>473693</v>
      </c>
    </row>
    <row r="352" spans="1:6" x14ac:dyDescent="0.2">
      <c r="A352">
        <v>2019</v>
      </c>
      <c r="C352" t="s">
        <v>30</v>
      </c>
      <c r="D352">
        <v>307747</v>
      </c>
      <c r="E352">
        <v>34328</v>
      </c>
      <c r="F352">
        <v>342075</v>
      </c>
    </row>
    <row r="353" spans="1:6" x14ac:dyDescent="0.2">
      <c r="A353">
        <v>2019</v>
      </c>
      <c r="C353" t="s">
        <v>31</v>
      </c>
      <c r="D353">
        <v>700332</v>
      </c>
      <c r="E353">
        <v>78119</v>
      </c>
      <c r="F353">
        <v>778451</v>
      </c>
    </row>
    <row r="354" spans="1:6" x14ac:dyDescent="0.2">
      <c r="A354">
        <v>2019</v>
      </c>
      <c r="C354" t="s">
        <v>32</v>
      </c>
      <c r="D354">
        <v>387920</v>
      </c>
      <c r="E354">
        <v>43271</v>
      </c>
      <c r="F354">
        <v>431191</v>
      </c>
    </row>
    <row r="355" spans="1:6" x14ac:dyDescent="0.2">
      <c r="A355">
        <v>2019</v>
      </c>
      <c r="C355" t="s">
        <v>33</v>
      </c>
      <c r="D355">
        <v>240115</v>
      </c>
      <c r="E355">
        <v>26784</v>
      </c>
      <c r="F355">
        <v>266899</v>
      </c>
    </row>
    <row r="356" spans="1:6" x14ac:dyDescent="0.2">
      <c r="A356">
        <v>2019</v>
      </c>
      <c r="C356" t="s">
        <v>34</v>
      </c>
      <c r="D356">
        <v>1498271</v>
      </c>
      <c r="E356">
        <v>167126</v>
      </c>
      <c r="F356">
        <v>1665397</v>
      </c>
    </row>
    <row r="357" spans="1:6" x14ac:dyDescent="0.2">
      <c r="A357">
        <v>2019</v>
      </c>
      <c r="C357" t="s">
        <v>35</v>
      </c>
      <c r="D357">
        <v>110956</v>
      </c>
      <c r="E357">
        <v>12377</v>
      </c>
      <c r="F357">
        <v>123333</v>
      </c>
    </row>
    <row r="358" spans="1:6" x14ac:dyDescent="0.2">
      <c r="A358">
        <v>2019</v>
      </c>
      <c r="C358" t="s">
        <v>36</v>
      </c>
      <c r="D358">
        <v>206311</v>
      </c>
      <c r="E358">
        <v>23013</v>
      </c>
      <c r="F358">
        <v>229324</v>
      </c>
    </row>
    <row r="359" spans="1:6" x14ac:dyDescent="0.2">
      <c r="A359">
        <v>2019</v>
      </c>
      <c r="C359" t="s">
        <v>37</v>
      </c>
      <c r="D359">
        <v>181287</v>
      </c>
      <c r="E359">
        <v>20222</v>
      </c>
      <c r="F359">
        <v>201509</v>
      </c>
    </row>
    <row r="360" spans="1:6" x14ac:dyDescent="0.2">
      <c r="A360">
        <v>2019</v>
      </c>
      <c r="C360" t="s">
        <v>38</v>
      </c>
      <c r="D360">
        <v>544053</v>
      </c>
      <c r="E360">
        <v>60687</v>
      </c>
      <c r="F360">
        <v>604740</v>
      </c>
    </row>
    <row r="361" spans="1:6" x14ac:dyDescent="0.2">
      <c r="A361">
        <v>2019</v>
      </c>
      <c r="C361" t="s">
        <v>39</v>
      </c>
      <c r="D361">
        <v>21076</v>
      </c>
      <c r="E361">
        <v>2351</v>
      </c>
      <c r="F361">
        <v>23427</v>
      </c>
    </row>
    <row r="362" spans="1:6" x14ac:dyDescent="0.2">
      <c r="A362">
        <v>2019</v>
      </c>
      <c r="C362" t="s">
        <v>40</v>
      </c>
      <c r="D362">
        <v>188909</v>
      </c>
      <c r="E362">
        <v>21072</v>
      </c>
      <c r="F362">
        <v>209981</v>
      </c>
    </row>
    <row r="363" spans="1:6" x14ac:dyDescent="0.2">
      <c r="A363">
        <v>2019</v>
      </c>
      <c r="C363" t="s">
        <v>41</v>
      </c>
      <c r="D363">
        <v>70854</v>
      </c>
      <c r="E363">
        <v>7904</v>
      </c>
      <c r="F363">
        <v>78758</v>
      </c>
    </row>
    <row r="364" spans="1:6" x14ac:dyDescent="0.2">
      <c r="A364">
        <v>2019</v>
      </c>
      <c r="C364" t="s">
        <v>42</v>
      </c>
      <c r="D364">
        <v>183334</v>
      </c>
      <c r="E364">
        <v>20450</v>
      </c>
      <c r="F364">
        <v>203784</v>
      </c>
    </row>
    <row r="365" spans="1:6" x14ac:dyDescent="0.2">
      <c r="A365">
        <v>2019</v>
      </c>
      <c r="C365" t="s">
        <v>43</v>
      </c>
      <c r="D365">
        <v>907467</v>
      </c>
      <c r="E365">
        <v>101224</v>
      </c>
      <c r="F365">
        <v>1008691</v>
      </c>
    </row>
    <row r="366" spans="1:6" x14ac:dyDescent="0.2">
      <c r="A366">
        <v>2019</v>
      </c>
      <c r="C366" t="s">
        <v>44</v>
      </c>
      <c r="D366">
        <v>710632</v>
      </c>
      <c r="E366">
        <v>79268</v>
      </c>
      <c r="F366">
        <v>789900</v>
      </c>
    </row>
    <row r="367" spans="1:6" x14ac:dyDescent="0.2">
      <c r="A367">
        <v>2019</v>
      </c>
      <c r="C367" t="s">
        <v>45</v>
      </c>
      <c r="D367">
        <v>183908</v>
      </c>
      <c r="E367">
        <v>20514</v>
      </c>
      <c r="F367">
        <v>204422</v>
      </c>
    </row>
    <row r="368" spans="1:6" x14ac:dyDescent="0.2">
      <c r="A368">
        <v>2019</v>
      </c>
      <c r="C368" t="s">
        <v>46</v>
      </c>
      <c r="D368">
        <v>174489</v>
      </c>
      <c r="E368">
        <v>19464</v>
      </c>
      <c r="F368">
        <v>193953</v>
      </c>
    </row>
    <row r="369" spans="1:6" x14ac:dyDescent="0.2">
      <c r="A369">
        <v>2019</v>
      </c>
      <c r="C369" t="s">
        <v>47</v>
      </c>
      <c r="D369">
        <v>60517</v>
      </c>
      <c r="E369">
        <v>6751</v>
      </c>
      <c r="F369">
        <v>67268</v>
      </c>
    </row>
    <row r="370" spans="1:6" x14ac:dyDescent="0.2">
      <c r="A370">
        <v>2019</v>
      </c>
      <c r="C370" t="s">
        <v>48</v>
      </c>
      <c r="D370">
        <v>70511</v>
      </c>
      <c r="E370">
        <v>7865</v>
      </c>
      <c r="F370">
        <v>78376</v>
      </c>
    </row>
    <row r="371" spans="1:6" x14ac:dyDescent="0.2">
      <c r="A371">
        <v>2019</v>
      </c>
      <c r="C371" t="s">
        <v>49</v>
      </c>
      <c r="D371">
        <v>128929</v>
      </c>
      <c r="E371">
        <v>14382</v>
      </c>
      <c r="F371">
        <v>143311</v>
      </c>
    </row>
    <row r="372" spans="1:6" x14ac:dyDescent="0.2">
      <c r="A372">
        <v>2019</v>
      </c>
      <c r="C372" t="s">
        <v>50</v>
      </c>
      <c r="D372">
        <v>34942</v>
      </c>
      <c r="E372">
        <v>3898</v>
      </c>
      <c r="F372">
        <v>38840</v>
      </c>
    </row>
    <row r="373" spans="1:6" x14ac:dyDescent="0.2">
      <c r="A373">
        <v>2019</v>
      </c>
      <c r="C373" t="s">
        <v>51</v>
      </c>
      <c r="D373">
        <v>205858</v>
      </c>
      <c r="E373">
        <v>22963</v>
      </c>
      <c r="F373">
        <v>228821</v>
      </c>
    </row>
    <row r="374" spans="1:6" x14ac:dyDescent="0.2">
      <c r="A374">
        <v>2019</v>
      </c>
      <c r="C374" t="s">
        <v>52</v>
      </c>
      <c r="D374">
        <v>255346</v>
      </c>
      <c r="E374">
        <v>28483</v>
      </c>
      <c r="F374">
        <v>283829</v>
      </c>
    </row>
    <row r="375" spans="1:6" x14ac:dyDescent="0.2">
      <c r="A375">
        <v>2019</v>
      </c>
      <c r="C375" t="s">
        <v>53</v>
      </c>
      <c r="D375">
        <v>347459</v>
      </c>
      <c r="E375">
        <v>38758</v>
      </c>
      <c r="F375">
        <v>386217</v>
      </c>
    </row>
    <row r="376" spans="1:6" x14ac:dyDescent="0.2">
      <c r="A376">
        <v>2019</v>
      </c>
      <c r="C376" t="s">
        <v>54</v>
      </c>
      <c r="D376">
        <v>76774</v>
      </c>
      <c r="E376">
        <v>8564</v>
      </c>
      <c r="F376">
        <v>85338</v>
      </c>
    </row>
    <row r="377" spans="1:6" x14ac:dyDescent="0.2">
      <c r="A377">
        <v>2019</v>
      </c>
      <c r="C377" t="s">
        <v>55</v>
      </c>
      <c r="D377">
        <v>672388</v>
      </c>
      <c r="E377">
        <v>75002</v>
      </c>
      <c r="F377">
        <v>747390</v>
      </c>
    </row>
    <row r="378" spans="1:6" x14ac:dyDescent="0.2">
      <c r="A378">
        <v>2019</v>
      </c>
      <c r="C378" t="s">
        <v>56</v>
      </c>
      <c r="D378">
        <v>69798</v>
      </c>
      <c r="E378">
        <v>7786</v>
      </c>
      <c r="F378">
        <v>77584</v>
      </c>
    </row>
    <row r="379" spans="1:6" x14ac:dyDescent="0.2">
      <c r="A379">
        <v>2019</v>
      </c>
      <c r="C379" t="s">
        <v>57</v>
      </c>
      <c r="D379">
        <v>1283820</v>
      </c>
      <c r="E379">
        <v>143205</v>
      </c>
      <c r="F379">
        <v>1427025</v>
      </c>
    </row>
    <row r="380" spans="1:6" x14ac:dyDescent="0.2">
      <c r="A380">
        <v>2019</v>
      </c>
      <c r="C380" t="s">
        <v>58</v>
      </c>
      <c r="D380">
        <v>305456</v>
      </c>
      <c r="E380">
        <v>34072</v>
      </c>
      <c r="F380">
        <v>339528</v>
      </c>
    </row>
    <row r="381" spans="1:6" x14ac:dyDescent="0.2">
      <c r="A381">
        <v>2019</v>
      </c>
      <c r="C381" t="s">
        <v>59</v>
      </c>
      <c r="D381">
        <v>57177</v>
      </c>
      <c r="E381">
        <v>6378</v>
      </c>
      <c r="F381">
        <v>63555</v>
      </c>
    </row>
    <row r="382" spans="1:6" x14ac:dyDescent="0.2">
      <c r="A382">
        <v>2019</v>
      </c>
      <c r="C382" t="s">
        <v>60</v>
      </c>
      <c r="D382">
        <v>17402</v>
      </c>
      <c r="E382">
        <v>1941</v>
      </c>
      <c r="F382">
        <v>19343</v>
      </c>
    </row>
    <row r="383" spans="1:6" x14ac:dyDescent="0.2">
      <c r="A383">
        <v>2019</v>
      </c>
      <c r="C383" t="s">
        <v>61</v>
      </c>
      <c r="D383">
        <v>59069</v>
      </c>
      <c r="E383">
        <v>6589</v>
      </c>
      <c r="F383">
        <v>65658</v>
      </c>
    </row>
    <row r="384" spans="1:6" x14ac:dyDescent="0.2">
      <c r="A384">
        <v>2019</v>
      </c>
      <c r="C384" t="s">
        <v>62</v>
      </c>
      <c r="D384">
        <v>62247</v>
      </c>
      <c r="E384">
        <v>6943</v>
      </c>
      <c r="F384">
        <v>69190</v>
      </c>
    </row>
    <row r="385" spans="1:6" x14ac:dyDescent="0.2">
      <c r="A385">
        <v>2019</v>
      </c>
      <c r="C385" t="s">
        <v>63</v>
      </c>
      <c r="D385">
        <v>104835</v>
      </c>
      <c r="E385">
        <v>11694</v>
      </c>
      <c r="F385">
        <v>116529</v>
      </c>
    </row>
    <row r="386" spans="1:6" x14ac:dyDescent="0.2">
      <c r="A386">
        <v>2019</v>
      </c>
      <c r="C386" t="s">
        <v>64</v>
      </c>
      <c r="D386">
        <v>17870</v>
      </c>
      <c r="E386">
        <v>1993</v>
      </c>
      <c r="F386">
        <v>19863</v>
      </c>
    </row>
    <row r="387" spans="1:6" x14ac:dyDescent="0.2">
      <c r="A387">
        <v>2019</v>
      </c>
      <c r="C387" t="s">
        <v>65</v>
      </c>
      <c r="D387">
        <v>302529</v>
      </c>
      <c r="E387">
        <v>33746</v>
      </c>
      <c r="F387">
        <v>336275</v>
      </c>
    </row>
    <row r="388" spans="1:6" x14ac:dyDescent="0.2">
      <c r="A388">
        <v>2019</v>
      </c>
      <c r="C388" t="s">
        <v>66</v>
      </c>
      <c r="D388">
        <v>36597</v>
      </c>
      <c r="E388">
        <v>4082</v>
      </c>
      <c r="F388">
        <v>40679</v>
      </c>
    </row>
    <row r="389" spans="1:6" x14ac:dyDescent="0.2">
      <c r="A389">
        <v>2019</v>
      </c>
      <c r="C389" t="s">
        <v>67</v>
      </c>
      <c r="D389">
        <v>45653</v>
      </c>
      <c r="E389">
        <v>5092</v>
      </c>
      <c r="F389">
        <v>50745</v>
      </c>
    </row>
    <row r="390" spans="1:6" x14ac:dyDescent="0.2">
      <c r="A390">
        <v>2019</v>
      </c>
      <c r="C390" t="s">
        <v>68</v>
      </c>
      <c r="D390">
        <v>576536</v>
      </c>
      <c r="E390">
        <v>64310</v>
      </c>
      <c r="F390">
        <v>640846</v>
      </c>
    </row>
    <row r="391" spans="1:6" x14ac:dyDescent="0.2">
      <c r="A391">
        <v>2019</v>
      </c>
      <c r="C391" t="s">
        <v>69</v>
      </c>
      <c r="D391">
        <v>68288</v>
      </c>
      <c r="E391">
        <v>7617</v>
      </c>
      <c r="F391">
        <v>75905</v>
      </c>
    </row>
    <row r="392" spans="1:6" x14ac:dyDescent="0.2">
      <c r="A392">
        <v>2019</v>
      </c>
      <c r="C392" t="s">
        <v>70</v>
      </c>
      <c r="D392">
        <v>701949</v>
      </c>
      <c r="E392">
        <v>78300</v>
      </c>
      <c r="F392">
        <v>780249</v>
      </c>
    </row>
    <row r="393" spans="1:6" x14ac:dyDescent="0.2">
      <c r="A393">
        <v>2019</v>
      </c>
      <c r="C393" t="s">
        <v>71</v>
      </c>
      <c r="D393">
        <v>65693</v>
      </c>
      <c r="E393">
        <v>7328</v>
      </c>
      <c r="F393">
        <v>73021</v>
      </c>
    </row>
    <row r="394" spans="1:6" x14ac:dyDescent="0.2">
      <c r="A394">
        <v>2019</v>
      </c>
      <c r="C394" t="s">
        <v>72</v>
      </c>
      <c r="D394">
        <v>30239</v>
      </c>
      <c r="E394">
        <v>3373</v>
      </c>
      <c r="F394">
        <v>33612</v>
      </c>
    </row>
    <row r="395" spans="1:6" x14ac:dyDescent="0.2">
      <c r="A395">
        <v>2019</v>
      </c>
      <c r="C395" t="s">
        <v>73</v>
      </c>
      <c r="D395">
        <v>14187</v>
      </c>
      <c r="E395">
        <v>1583</v>
      </c>
      <c r="F395">
        <v>15770</v>
      </c>
    </row>
    <row r="396" spans="1:6" x14ac:dyDescent="0.2">
      <c r="A396">
        <v>2019</v>
      </c>
      <c r="C396" t="s">
        <v>74</v>
      </c>
      <c r="D396">
        <v>10473</v>
      </c>
      <c r="E396">
        <v>1168</v>
      </c>
      <c r="F396">
        <v>11641</v>
      </c>
    </row>
    <row r="397" spans="1:6" x14ac:dyDescent="0.2">
      <c r="A397">
        <v>2019</v>
      </c>
      <c r="C397" t="s">
        <v>75</v>
      </c>
      <c r="D397">
        <v>8069</v>
      </c>
      <c r="E397">
        <v>900</v>
      </c>
      <c r="F397">
        <v>8969</v>
      </c>
    </row>
    <row r="398" spans="1:6" x14ac:dyDescent="0.2">
      <c r="A398">
        <v>2019</v>
      </c>
      <c r="C398" t="s">
        <v>77</v>
      </c>
      <c r="D398">
        <v>9086</v>
      </c>
      <c r="E398">
        <v>1013</v>
      </c>
      <c r="F398">
        <v>10099</v>
      </c>
    </row>
    <row r="399" spans="1:6" x14ac:dyDescent="0.2">
      <c r="A399">
        <v>2019</v>
      </c>
      <c r="C399" t="s">
        <v>78</v>
      </c>
      <c r="D399">
        <v>10510</v>
      </c>
      <c r="E399">
        <v>1172</v>
      </c>
      <c r="F399">
        <v>11682</v>
      </c>
    </row>
    <row r="400" spans="1:6" x14ac:dyDescent="0.2">
      <c r="A400">
        <v>2019</v>
      </c>
      <c r="C400" t="s">
        <v>79</v>
      </c>
      <c r="D400">
        <v>3339</v>
      </c>
      <c r="E400">
        <v>373</v>
      </c>
      <c r="F400">
        <v>3712</v>
      </c>
    </row>
    <row r="401" spans="1:6" x14ac:dyDescent="0.2">
      <c r="A401">
        <v>2019</v>
      </c>
      <c r="C401" t="s">
        <v>80</v>
      </c>
      <c r="D401">
        <v>2393453</v>
      </c>
      <c r="E401">
        <v>266980</v>
      </c>
      <c r="F401">
        <v>2660433</v>
      </c>
    </row>
    <row r="402" spans="1:6" x14ac:dyDescent="0.2">
      <c r="A402">
        <v>2019</v>
      </c>
      <c r="C402" t="s">
        <v>81</v>
      </c>
      <c r="D402">
        <v>14645</v>
      </c>
      <c r="E402">
        <v>1634</v>
      </c>
      <c r="F402">
        <v>16279</v>
      </c>
    </row>
    <row r="403" spans="1:6" x14ac:dyDescent="0.2">
      <c r="A403">
        <v>2019</v>
      </c>
      <c r="C403" t="s">
        <v>82</v>
      </c>
      <c r="D403">
        <v>48039</v>
      </c>
      <c r="E403">
        <v>5358</v>
      </c>
      <c r="F403">
        <v>53397</v>
      </c>
    </row>
    <row r="404" spans="1:6" x14ac:dyDescent="0.2">
      <c r="A404">
        <v>2019</v>
      </c>
      <c r="C404" t="s">
        <v>87</v>
      </c>
      <c r="D404">
        <v>408885</v>
      </c>
      <c r="E404">
        <v>45609</v>
      </c>
      <c r="F404">
        <v>454494</v>
      </c>
    </row>
    <row r="405" spans="1:6" x14ac:dyDescent="0.2">
      <c r="A405">
        <v>2019</v>
      </c>
      <c r="C405" t="s">
        <v>88</v>
      </c>
      <c r="D405">
        <v>167167</v>
      </c>
      <c r="E405">
        <v>18647</v>
      </c>
      <c r="F405">
        <v>185814</v>
      </c>
    </row>
    <row r="406" spans="1:6" x14ac:dyDescent="0.2">
      <c r="A406">
        <v>2019</v>
      </c>
      <c r="C406" t="s">
        <v>89</v>
      </c>
      <c r="D406">
        <v>278138</v>
      </c>
      <c r="E406">
        <v>31025</v>
      </c>
      <c r="F406">
        <v>309163</v>
      </c>
    </row>
    <row r="407" spans="1:6" x14ac:dyDescent="0.2">
      <c r="A407">
        <v>2019</v>
      </c>
      <c r="C407" t="s">
        <v>85</v>
      </c>
      <c r="D407">
        <v>97748005</v>
      </c>
      <c r="E407">
        <v>10903385</v>
      </c>
      <c r="F407">
        <v>108651390</v>
      </c>
    </row>
    <row r="408" spans="1:6" x14ac:dyDescent="0.2">
      <c r="A408">
        <v>2019</v>
      </c>
      <c r="C408" t="s">
        <v>86</v>
      </c>
      <c r="D408">
        <v>306319491</v>
      </c>
      <c r="E408">
        <v>34168665</v>
      </c>
      <c r="F408">
        <v>340488156</v>
      </c>
    </row>
    <row r="409" spans="1:6" x14ac:dyDescent="0.2">
      <c r="A409">
        <v>2020</v>
      </c>
      <c r="B409" t="s">
        <v>90</v>
      </c>
      <c r="C409" t="s">
        <v>0</v>
      </c>
      <c r="D409">
        <v>19119</v>
      </c>
      <c r="E409">
        <v>2316</v>
      </c>
      <c r="F409">
        <v>21435</v>
      </c>
    </row>
    <row r="410" spans="1:6" x14ac:dyDescent="0.2">
      <c r="A410">
        <v>2020</v>
      </c>
      <c r="B410" t="s">
        <v>91</v>
      </c>
      <c r="C410" t="s">
        <v>1</v>
      </c>
      <c r="D410">
        <v>886455</v>
      </c>
      <c r="E410">
        <v>107370</v>
      </c>
      <c r="F410">
        <v>993825</v>
      </c>
    </row>
    <row r="411" spans="1:6" x14ac:dyDescent="0.2">
      <c r="A411">
        <v>2020</v>
      </c>
      <c r="B411" t="s">
        <v>92</v>
      </c>
      <c r="C411" t="s">
        <v>2</v>
      </c>
      <c r="D411">
        <v>263280</v>
      </c>
      <c r="E411">
        <v>31889</v>
      </c>
      <c r="F411">
        <v>295169</v>
      </c>
    </row>
    <row r="412" spans="1:6" x14ac:dyDescent="0.2">
      <c r="A412">
        <v>2020</v>
      </c>
      <c r="B412" t="s">
        <v>93</v>
      </c>
      <c r="C412" t="s">
        <v>3</v>
      </c>
      <c r="D412">
        <v>124319</v>
      </c>
      <c r="E412">
        <v>15058</v>
      </c>
      <c r="F412">
        <v>139377</v>
      </c>
    </row>
    <row r="413" spans="1:6" x14ac:dyDescent="0.2">
      <c r="A413">
        <v>2020</v>
      </c>
      <c r="B413" t="s">
        <v>94</v>
      </c>
      <c r="C413" t="s">
        <v>4</v>
      </c>
      <c r="D413">
        <v>481888</v>
      </c>
      <c r="E413">
        <v>58368</v>
      </c>
      <c r="F413">
        <v>540256</v>
      </c>
    </row>
    <row r="414" spans="1:6" x14ac:dyDescent="0.2">
      <c r="A414">
        <v>2020</v>
      </c>
      <c r="B414" t="s">
        <v>95</v>
      </c>
      <c r="C414" t="s">
        <v>5</v>
      </c>
      <c r="D414">
        <v>1225072</v>
      </c>
      <c r="E414">
        <v>148385</v>
      </c>
      <c r="F414">
        <v>1373457</v>
      </c>
    </row>
    <row r="415" spans="1:6" x14ac:dyDescent="0.2">
      <c r="A415">
        <v>2020</v>
      </c>
      <c r="B415" t="s">
        <v>96</v>
      </c>
      <c r="C415" t="s">
        <v>6</v>
      </c>
      <c r="D415">
        <v>11256</v>
      </c>
      <c r="E415">
        <v>1364</v>
      </c>
      <c r="F415">
        <v>12620</v>
      </c>
    </row>
    <row r="416" spans="1:6" x14ac:dyDescent="0.2">
      <c r="A416">
        <v>2020</v>
      </c>
      <c r="B416" t="s">
        <v>97</v>
      </c>
      <c r="C416" t="s">
        <v>7</v>
      </c>
      <c r="D416">
        <v>98782</v>
      </c>
      <c r="E416">
        <v>11965</v>
      </c>
      <c r="F416">
        <v>110747</v>
      </c>
    </row>
    <row r="417" spans="1:6" x14ac:dyDescent="0.2">
      <c r="A417">
        <v>2020</v>
      </c>
      <c r="B417" t="s">
        <v>98</v>
      </c>
      <c r="C417" t="s">
        <v>8</v>
      </c>
      <c r="D417">
        <v>348052</v>
      </c>
      <c r="E417">
        <v>42157</v>
      </c>
      <c r="F417">
        <v>390209</v>
      </c>
    </row>
    <row r="418" spans="1:6" x14ac:dyDescent="0.2">
      <c r="A418">
        <v>2020</v>
      </c>
      <c r="B418" t="s">
        <v>99</v>
      </c>
      <c r="C418" t="s">
        <v>9</v>
      </c>
      <c r="D418">
        <v>469306</v>
      </c>
      <c r="E418">
        <v>56844</v>
      </c>
      <c r="F418">
        <v>526150</v>
      </c>
    </row>
    <row r="419" spans="1:6" x14ac:dyDescent="0.2">
      <c r="A419">
        <v>2020</v>
      </c>
      <c r="B419" t="s">
        <v>100</v>
      </c>
      <c r="C419" t="s">
        <v>10</v>
      </c>
      <c r="D419">
        <v>13725</v>
      </c>
      <c r="E419">
        <v>1662</v>
      </c>
      <c r="F419">
        <v>15387</v>
      </c>
    </row>
    <row r="420" spans="1:6" x14ac:dyDescent="0.2">
      <c r="A420">
        <v>2020</v>
      </c>
      <c r="B420" t="s">
        <v>101</v>
      </c>
      <c r="C420" t="s">
        <v>11</v>
      </c>
      <c r="D420">
        <v>53158</v>
      </c>
      <c r="E420">
        <v>6439</v>
      </c>
      <c r="F420">
        <v>59597</v>
      </c>
    </row>
    <row r="421" spans="1:6" x14ac:dyDescent="0.2">
      <c r="A421">
        <v>2020</v>
      </c>
      <c r="B421" t="s">
        <v>102</v>
      </c>
      <c r="C421" t="s">
        <v>12</v>
      </c>
      <c r="D421">
        <v>546061</v>
      </c>
      <c r="E421">
        <v>66141</v>
      </c>
      <c r="F421">
        <v>612202</v>
      </c>
    </row>
    <row r="422" spans="1:6" x14ac:dyDescent="0.2">
      <c r="A422">
        <v>2020</v>
      </c>
      <c r="B422" t="s">
        <v>103</v>
      </c>
      <c r="C422" t="s">
        <v>13</v>
      </c>
      <c r="D422">
        <v>162791</v>
      </c>
      <c r="E422">
        <v>19718</v>
      </c>
      <c r="F422">
        <v>182509</v>
      </c>
    </row>
    <row r="423" spans="1:6" x14ac:dyDescent="0.2">
      <c r="A423">
        <v>2020</v>
      </c>
      <c r="B423" t="s">
        <v>104</v>
      </c>
      <c r="C423" t="s">
        <v>14</v>
      </c>
      <c r="D423">
        <v>347904</v>
      </c>
      <c r="E423">
        <v>42139</v>
      </c>
      <c r="F423">
        <v>390043</v>
      </c>
    </row>
    <row r="424" spans="1:6" x14ac:dyDescent="0.2">
      <c r="A424">
        <v>2020</v>
      </c>
      <c r="B424" t="s">
        <v>105</v>
      </c>
      <c r="C424" t="s">
        <v>15</v>
      </c>
      <c r="D424">
        <v>116927</v>
      </c>
      <c r="E424">
        <v>14163</v>
      </c>
      <c r="F424">
        <v>131090</v>
      </c>
    </row>
    <row r="425" spans="1:6" x14ac:dyDescent="0.2">
      <c r="A425">
        <v>2020</v>
      </c>
      <c r="B425" t="s">
        <v>106</v>
      </c>
      <c r="C425" t="s">
        <v>16</v>
      </c>
      <c r="D425">
        <v>1075592</v>
      </c>
      <c r="E425">
        <v>130279</v>
      </c>
      <c r="F425">
        <v>1205871</v>
      </c>
    </row>
    <row r="426" spans="1:6" x14ac:dyDescent="0.2">
      <c r="A426">
        <v>2020</v>
      </c>
      <c r="B426" t="s">
        <v>107</v>
      </c>
      <c r="C426" t="s">
        <v>17</v>
      </c>
      <c r="D426">
        <v>447102</v>
      </c>
      <c r="E426">
        <v>54155</v>
      </c>
      <c r="F426">
        <v>501257</v>
      </c>
    </row>
    <row r="427" spans="1:6" x14ac:dyDescent="0.2">
      <c r="A427">
        <v>2020</v>
      </c>
      <c r="B427" t="s">
        <v>108</v>
      </c>
      <c r="C427" t="s">
        <v>18</v>
      </c>
      <c r="D427">
        <v>936223</v>
      </c>
      <c r="E427">
        <v>113398</v>
      </c>
      <c r="F427">
        <v>1049621</v>
      </c>
    </row>
    <row r="428" spans="1:6" x14ac:dyDescent="0.2">
      <c r="A428">
        <v>2020</v>
      </c>
      <c r="B428" t="s">
        <v>109</v>
      </c>
      <c r="C428" t="s">
        <v>19</v>
      </c>
      <c r="D428">
        <v>2102015</v>
      </c>
      <c r="E428">
        <v>254603</v>
      </c>
      <c r="F428">
        <v>2356618</v>
      </c>
    </row>
    <row r="429" spans="1:6" x14ac:dyDescent="0.2">
      <c r="A429">
        <v>2020</v>
      </c>
      <c r="B429" t="s">
        <v>110</v>
      </c>
      <c r="C429" t="s">
        <v>20</v>
      </c>
      <c r="D429">
        <v>194265</v>
      </c>
      <c r="E429">
        <v>23530</v>
      </c>
      <c r="F429">
        <v>217795</v>
      </c>
    </row>
    <row r="430" spans="1:6" x14ac:dyDescent="0.2">
      <c r="A430">
        <v>2020</v>
      </c>
      <c r="B430" t="s">
        <v>111</v>
      </c>
      <c r="C430" t="s">
        <v>21</v>
      </c>
      <c r="D430">
        <v>226138</v>
      </c>
      <c r="E430">
        <v>27391</v>
      </c>
      <c r="F430">
        <v>253529</v>
      </c>
    </row>
    <row r="431" spans="1:6" x14ac:dyDescent="0.2">
      <c r="A431">
        <v>2020</v>
      </c>
      <c r="B431" t="s">
        <v>112</v>
      </c>
      <c r="C431" t="s">
        <v>22</v>
      </c>
      <c r="D431">
        <v>330101</v>
      </c>
      <c r="E431">
        <v>39983</v>
      </c>
      <c r="F431">
        <v>370084</v>
      </c>
    </row>
    <row r="432" spans="1:6" x14ac:dyDescent="0.2">
      <c r="A432">
        <v>2020</v>
      </c>
      <c r="B432" t="s">
        <v>113</v>
      </c>
      <c r="C432" t="s">
        <v>23</v>
      </c>
      <c r="D432">
        <v>1116245</v>
      </c>
      <c r="E432">
        <v>135203</v>
      </c>
      <c r="F432">
        <v>1251448</v>
      </c>
    </row>
    <row r="433" spans="1:6" x14ac:dyDescent="0.2">
      <c r="A433">
        <v>2020</v>
      </c>
      <c r="B433" t="s">
        <v>114</v>
      </c>
      <c r="C433" t="s">
        <v>24</v>
      </c>
      <c r="D433">
        <v>1007601</v>
      </c>
      <c r="E433">
        <v>122044</v>
      </c>
      <c r="F433">
        <v>1129645</v>
      </c>
    </row>
    <row r="434" spans="1:6" x14ac:dyDescent="0.2">
      <c r="A434">
        <v>2020</v>
      </c>
      <c r="B434" t="s">
        <v>115</v>
      </c>
      <c r="C434" t="s">
        <v>25</v>
      </c>
      <c r="D434">
        <v>196547</v>
      </c>
      <c r="E434">
        <v>23806</v>
      </c>
      <c r="F434">
        <v>220353</v>
      </c>
    </row>
    <row r="435" spans="1:6" x14ac:dyDescent="0.2">
      <c r="A435">
        <v>2020</v>
      </c>
      <c r="B435" t="s">
        <v>116</v>
      </c>
      <c r="C435" t="s">
        <v>30</v>
      </c>
      <c r="D435">
        <v>180185</v>
      </c>
      <c r="E435">
        <v>21825</v>
      </c>
      <c r="F435">
        <v>202010</v>
      </c>
    </row>
    <row r="436" spans="1:6" x14ac:dyDescent="0.2">
      <c r="A436">
        <v>2020</v>
      </c>
      <c r="B436" t="s">
        <v>117</v>
      </c>
      <c r="C436" t="s">
        <v>31</v>
      </c>
      <c r="D436">
        <v>618700</v>
      </c>
      <c r="E436">
        <v>74939</v>
      </c>
      <c r="F436">
        <v>693639</v>
      </c>
    </row>
    <row r="437" spans="1:6" x14ac:dyDescent="0.2">
      <c r="A437">
        <v>2020</v>
      </c>
      <c r="B437" t="s">
        <v>118</v>
      </c>
      <c r="C437" t="s">
        <v>32</v>
      </c>
      <c r="D437">
        <v>388664</v>
      </c>
      <c r="E437">
        <v>47076</v>
      </c>
      <c r="F437">
        <v>435740</v>
      </c>
    </row>
    <row r="438" spans="1:6" x14ac:dyDescent="0.2">
      <c r="A438">
        <v>2020</v>
      </c>
      <c r="B438" t="s">
        <v>119</v>
      </c>
      <c r="C438" t="s">
        <v>33</v>
      </c>
      <c r="D438">
        <v>208176</v>
      </c>
      <c r="E438">
        <v>25215</v>
      </c>
      <c r="F438">
        <v>233391</v>
      </c>
    </row>
    <row r="439" spans="1:6" x14ac:dyDescent="0.2">
      <c r="A439">
        <v>2020</v>
      </c>
      <c r="B439" t="s">
        <v>120</v>
      </c>
      <c r="C439" t="s">
        <v>34</v>
      </c>
      <c r="D439">
        <v>1189444</v>
      </c>
      <c r="E439">
        <v>144069</v>
      </c>
      <c r="F439">
        <v>1333513</v>
      </c>
    </row>
    <row r="440" spans="1:6" x14ac:dyDescent="0.2">
      <c r="A440">
        <v>2020</v>
      </c>
      <c r="B440" t="s">
        <v>121</v>
      </c>
      <c r="C440" t="s">
        <v>35</v>
      </c>
      <c r="D440">
        <v>111988</v>
      </c>
      <c r="E440">
        <v>13564</v>
      </c>
      <c r="F440">
        <v>125552</v>
      </c>
    </row>
    <row r="441" spans="1:6" x14ac:dyDescent="0.2">
      <c r="A441">
        <v>2020</v>
      </c>
      <c r="B441" t="s">
        <v>122</v>
      </c>
      <c r="C441" t="s">
        <v>36</v>
      </c>
      <c r="D441">
        <v>130808</v>
      </c>
      <c r="E441">
        <v>15844</v>
      </c>
      <c r="F441">
        <v>146652</v>
      </c>
    </row>
    <row r="442" spans="1:6" x14ac:dyDescent="0.2">
      <c r="A442">
        <v>2020</v>
      </c>
      <c r="B442" t="s">
        <v>123</v>
      </c>
      <c r="C442" t="s">
        <v>37</v>
      </c>
      <c r="D442">
        <v>139614</v>
      </c>
      <c r="E442">
        <v>16910</v>
      </c>
      <c r="F442">
        <v>156524</v>
      </c>
    </row>
    <row r="443" spans="1:6" x14ac:dyDescent="0.2">
      <c r="A443">
        <v>2020</v>
      </c>
      <c r="B443" t="s">
        <v>124</v>
      </c>
      <c r="C443" t="s">
        <v>38</v>
      </c>
      <c r="D443">
        <v>602036</v>
      </c>
      <c r="E443">
        <v>72920</v>
      </c>
      <c r="F443">
        <v>674956</v>
      </c>
    </row>
    <row r="444" spans="1:6" x14ac:dyDescent="0.2">
      <c r="A444">
        <v>2020</v>
      </c>
      <c r="B444" t="s">
        <v>125</v>
      </c>
      <c r="C444" t="s">
        <v>39</v>
      </c>
      <c r="D444">
        <v>0</v>
      </c>
      <c r="E444">
        <v>0</v>
      </c>
      <c r="F444">
        <v>0</v>
      </c>
    </row>
    <row r="445" spans="1:6" x14ac:dyDescent="0.2">
      <c r="A445">
        <v>2020</v>
      </c>
      <c r="B445" t="s">
        <v>126</v>
      </c>
      <c r="C445" t="s">
        <v>40</v>
      </c>
      <c r="D445">
        <v>146431</v>
      </c>
      <c r="E445">
        <v>17736</v>
      </c>
      <c r="F445">
        <v>164167</v>
      </c>
    </row>
    <row r="446" spans="1:6" x14ac:dyDescent="0.2">
      <c r="A446">
        <v>2020</v>
      </c>
      <c r="B446" t="s">
        <v>127</v>
      </c>
      <c r="C446" t="s">
        <v>41</v>
      </c>
      <c r="D446">
        <v>40178</v>
      </c>
      <c r="E446">
        <v>4866</v>
      </c>
      <c r="F446">
        <v>45044</v>
      </c>
    </row>
    <row r="447" spans="1:6" x14ac:dyDescent="0.2">
      <c r="A447">
        <v>2020</v>
      </c>
      <c r="B447" t="s">
        <v>128</v>
      </c>
      <c r="C447" t="s">
        <v>42</v>
      </c>
      <c r="D447">
        <v>143877</v>
      </c>
      <c r="E447">
        <v>17427</v>
      </c>
      <c r="F447">
        <v>161304</v>
      </c>
    </row>
    <row r="448" spans="1:6" x14ac:dyDescent="0.2">
      <c r="A448">
        <v>2020</v>
      </c>
      <c r="B448" t="s">
        <v>129</v>
      </c>
      <c r="C448" t="s">
        <v>43</v>
      </c>
      <c r="D448">
        <v>978197</v>
      </c>
      <c r="E448">
        <v>118482</v>
      </c>
      <c r="F448">
        <v>1096679</v>
      </c>
    </row>
    <row r="449" spans="1:6" x14ac:dyDescent="0.2">
      <c r="A449">
        <v>2020</v>
      </c>
      <c r="B449" t="s">
        <v>130</v>
      </c>
      <c r="C449" t="s">
        <v>44</v>
      </c>
      <c r="D449">
        <v>1013681</v>
      </c>
      <c r="E449">
        <v>122780</v>
      </c>
      <c r="F449">
        <v>1136461</v>
      </c>
    </row>
    <row r="450" spans="1:6" x14ac:dyDescent="0.2">
      <c r="A450">
        <v>2020</v>
      </c>
      <c r="B450" t="s">
        <v>131</v>
      </c>
      <c r="C450" t="s">
        <v>45</v>
      </c>
      <c r="D450">
        <v>135763</v>
      </c>
      <c r="E450">
        <v>16444</v>
      </c>
      <c r="F450">
        <v>152207</v>
      </c>
    </row>
    <row r="451" spans="1:6" x14ac:dyDescent="0.2">
      <c r="A451">
        <v>2020</v>
      </c>
      <c r="B451" t="s">
        <v>132</v>
      </c>
      <c r="C451" t="s">
        <v>46</v>
      </c>
      <c r="D451">
        <v>76392</v>
      </c>
      <c r="E451">
        <v>9253</v>
      </c>
      <c r="F451">
        <v>85645</v>
      </c>
    </row>
    <row r="452" spans="1:6" x14ac:dyDescent="0.2">
      <c r="A452">
        <v>2020</v>
      </c>
      <c r="B452" t="s">
        <v>133</v>
      </c>
      <c r="C452" t="s">
        <v>47</v>
      </c>
      <c r="D452">
        <v>110433</v>
      </c>
      <c r="E452">
        <v>13376</v>
      </c>
      <c r="F452">
        <v>123809</v>
      </c>
    </row>
    <row r="453" spans="1:6" x14ac:dyDescent="0.2">
      <c r="A453">
        <v>2020</v>
      </c>
      <c r="B453" t="s">
        <v>134</v>
      </c>
      <c r="C453" t="s">
        <v>48</v>
      </c>
      <c r="D453">
        <v>28070</v>
      </c>
      <c r="E453">
        <v>3400</v>
      </c>
      <c r="F453">
        <v>31470</v>
      </c>
    </row>
    <row r="454" spans="1:6" x14ac:dyDescent="0.2">
      <c r="A454">
        <v>2020</v>
      </c>
      <c r="B454" t="s">
        <v>135</v>
      </c>
      <c r="C454" t="s">
        <v>49</v>
      </c>
      <c r="D454">
        <v>131589</v>
      </c>
      <c r="E454">
        <v>15939</v>
      </c>
      <c r="F454">
        <v>147528</v>
      </c>
    </row>
    <row r="455" spans="1:6" x14ac:dyDescent="0.2">
      <c r="A455">
        <v>2020</v>
      </c>
      <c r="B455" t="s">
        <v>136</v>
      </c>
      <c r="C455" t="s">
        <v>50</v>
      </c>
      <c r="D455">
        <v>0</v>
      </c>
      <c r="E455">
        <v>0</v>
      </c>
      <c r="F455">
        <v>0</v>
      </c>
    </row>
    <row r="456" spans="1:6" x14ac:dyDescent="0.2">
      <c r="A456">
        <v>2020</v>
      </c>
      <c r="B456" t="s">
        <v>137</v>
      </c>
      <c r="C456" t="s">
        <v>51</v>
      </c>
      <c r="D456">
        <v>160570</v>
      </c>
      <c r="E456">
        <v>19449</v>
      </c>
      <c r="F456">
        <v>180019</v>
      </c>
    </row>
    <row r="457" spans="1:6" x14ac:dyDescent="0.2">
      <c r="A457">
        <v>2020</v>
      </c>
      <c r="B457" t="s">
        <v>138</v>
      </c>
      <c r="C457" t="s">
        <v>52</v>
      </c>
      <c r="D457">
        <v>233247</v>
      </c>
      <c r="E457">
        <v>28252</v>
      </c>
      <c r="F457">
        <v>261499</v>
      </c>
    </row>
    <row r="458" spans="1:6" x14ac:dyDescent="0.2">
      <c r="A458">
        <v>2020</v>
      </c>
      <c r="B458" t="s">
        <v>139</v>
      </c>
      <c r="C458" t="s">
        <v>53</v>
      </c>
      <c r="D458">
        <v>462329</v>
      </c>
      <c r="E458">
        <v>55999</v>
      </c>
      <c r="F458">
        <v>518328</v>
      </c>
    </row>
    <row r="459" spans="1:6" x14ac:dyDescent="0.2">
      <c r="A459">
        <v>2020</v>
      </c>
      <c r="B459" t="s">
        <v>140</v>
      </c>
      <c r="C459" t="s">
        <v>54</v>
      </c>
      <c r="D459">
        <v>16967</v>
      </c>
      <c r="E459">
        <v>2055</v>
      </c>
      <c r="F459">
        <v>19022</v>
      </c>
    </row>
    <row r="460" spans="1:6" x14ac:dyDescent="0.2">
      <c r="A460">
        <v>2020</v>
      </c>
      <c r="B460" t="s">
        <v>141</v>
      </c>
      <c r="C460" t="s">
        <v>55</v>
      </c>
      <c r="D460">
        <v>681057</v>
      </c>
      <c r="E460">
        <v>82492</v>
      </c>
      <c r="F460">
        <v>763549</v>
      </c>
    </row>
    <row r="461" spans="1:6" x14ac:dyDescent="0.2">
      <c r="A461">
        <v>2020</v>
      </c>
      <c r="B461" t="s">
        <v>142</v>
      </c>
      <c r="C461" t="s">
        <v>56</v>
      </c>
      <c r="D461">
        <v>29561</v>
      </c>
      <c r="E461">
        <v>3581</v>
      </c>
      <c r="F461">
        <v>33142</v>
      </c>
    </row>
    <row r="462" spans="1:6" x14ac:dyDescent="0.2">
      <c r="A462">
        <v>2020</v>
      </c>
      <c r="B462" t="s">
        <v>143</v>
      </c>
      <c r="C462" t="s">
        <v>57</v>
      </c>
      <c r="D462">
        <v>1055390</v>
      </c>
      <c r="E462">
        <v>127832</v>
      </c>
      <c r="F462">
        <v>1183222</v>
      </c>
    </row>
    <row r="463" spans="1:6" x14ac:dyDescent="0.2">
      <c r="A463">
        <v>2020</v>
      </c>
      <c r="B463" t="s">
        <v>144</v>
      </c>
      <c r="C463" t="s">
        <v>58</v>
      </c>
      <c r="D463">
        <v>249002</v>
      </c>
      <c r="E463">
        <v>30160</v>
      </c>
      <c r="F463">
        <v>279162</v>
      </c>
    </row>
    <row r="464" spans="1:6" x14ac:dyDescent="0.2">
      <c r="A464">
        <v>2020</v>
      </c>
      <c r="B464" t="s">
        <v>145</v>
      </c>
      <c r="C464" t="s">
        <v>59</v>
      </c>
      <c r="D464">
        <v>55745</v>
      </c>
      <c r="E464">
        <v>6752</v>
      </c>
      <c r="F464">
        <v>62497</v>
      </c>
    </row>
    <row r="465" spans="1:6" x14ac:dyDescent="0.2">
      <c r="A465">
        <v>2020</v>
      </c>
      <c r="B465" t="s">
        <v>146</v>
      </c>
      <c r="C465" t="s">
        <v>60</v>
      </c>
      <c r="D465">
        <v>17415</v>
      </c>
      <c r="E465">
        <v>2109</v>
      </c>
      <c r="F465">
        <v>19524</v>
      </c>
    </row>
    <row r="466" spans="1:6" x14ac:dyDescent="0.2">
      <c r="A466">
        <v>2020</v>
      </c>
      <c r="B466" t="s">
        <v>147</v>
      </c>
      <c r="C466" t="s">
        <v>61</v>
      </c>
      <c r="D466">
        <v>44640</v>
      </c>
      <c r="E466">
        <v>5407</v>
      </c>
      <c r="F466">
        <v>50047</v>
      </c>
    </row>
    <row r="467" spans="1:6" x14ac:dyDescent="0.2">
      <c r="A467">
        <v>2020</v>
      </c>
      <c r="B467" t="s">
        <v>148</v>
      </c>
      <c r="C467" t="s">
        <v>62</v>
      </c>
      <c r="D467">
        <v>57060</v>
      </c>
      <c r="E467">
        <v>6911</v>
      </c>
      <c r="F467">
        <v>63971</v>
      </c>
    </row>
    <row r="468" spans="1:6" x14ac:dyDescent="0.2">
      <c r="A468">
        <v>2020</v>
      </c>
      <c r="B468" t="s">
        <v>149</v>
      </c>
      <c r="C468" t="s">
        <v>63</v>
      </c>
      <c r="D468">
        <v>97347</v>
      </c>
      <c r="E468">
        <v>11791</v>
      </c>
      <c r="F468">
        <v>109138</v>
      </c>
    </row>
    <row r="469" spans="1:6" x14ac:dyDescent="0.2">
      <c r="A469">
        <v>2020</v>
      </c>
      <c r="B469" t="s">
        <v>150</v>
      </c>
      <c r="C469" t="s">
        <v>64</v>
      </c>
      <c r="D469">
        <v>16768</v>
      </c>
      <c r="E469">
        <v>2031</v>
      </c>
      <c r="F469">
        <v>18799</v>
      </c>
    </row>
    <row r="470" spans="1:6" x14ac:dyDescent="0.2">
      <c r="A470">
        <v>2020</v>
      </c>
      <c r="B470" t="s">
        <v>151</v>
      </c>
      <c r="C470" t="s">
        <v>65</v>
      </c>
      <c r="D470">
        <v>281570</v>
      </c>
      <c r="E470">
        <v>34105</v>
      </c>
      <c r="F470">
        <v>315675</v>
      </c>
    </row>
    <row r="471" spans="1:6" x14ac:dyDescent="0.2">
      <c r="A471">
        <v>2020</v>
      </c>
      <c r="B471" t="s">
        <v>152</v>
      </c>
      <c r="C471" t="s">
        <v>66</v>
      </c>
      <c r="D471">
        <v>31598</v>
      </c>
      <c r="E471">
        <v>3827</v>
      </c>
      <c r="F471">
        <v>35425</v>
      </c>
    </row>
    <row r="472" spans="1:6" x14ac:dyDescent="0.2">
      <c r="A472">
        <v>2020</v>
      </c>
      <c r="B472" t="s">
        <v>153</v>
      </c>
      <c r="C472" t="s">
        <v>67</v>
      </c>
      <c r="D472">
        <v>43918</v>
      </c>
      <c r="E472">
        <v>5319</v>
      </c>
      <c r="F472">
        <v>49237</v>
      </c>
    </row>
    <row r="473" spans="1:6" x14ac:dyDescent="0.2">
      <c r="A473">
        <v>2020</v>
      </c>
      <c r="B473" t="s">
        <v>159</v>
      </c>
      <c r="C473" t="s">
        <v>68</v>
      </c>
      <c r="D473">
        <v>573268</v>
      </c>
      <c r="E473">
        <v>69436</v>
      </c>
      <c r="F473">
        <v>642704</v>
      </c>
    </row>
    <row r="474" spans="1:6" x14ac:dyDescent="0.2">
      <c r="A474">
        <v>2020</v>
      </c>
      <c r="B474" t="s">
        <v>160</v>
      </c>
      <c r="C474" t="s">
        <v>69</v>
      </c>
      <c r="D474">
        <v>56952</v>
      </c>
      <c r="E474">
        <v>6898</v>
      </c>
      <c r="F474">
        <v>63850</v>
      </c>
    </row>
    <row r="475" spans="1:6" x14ac:dyDescent="0.2">
      <c r="A475">
        <v>2020</v>
      </c>
      <c r="B475" t="s">
        <v>161</v>
      </c>
      <c r="C475" t="s">
        <v>70</v>
      </c>
      <c r="D475">
        <v>610314</v>
      </c>
      <c r="E475">
        <v>73923</v>
      </c>
      <c r="F475">
        <v>684237</v>
      </c>
    </row>
    <row r="476" spans="1:6" x14ac:dyDescent="0.2">
      <c r="A476">
        <v>2020</v>
      </c>
      <c r="B476" t="s">
        <v>162</v>
      </c>
      <c r="C476" t="s">
        <v>71</v>
      </c>
      <c r="D476">
        <v>63111</v>
      </c>
      <c r="E476">
        <v>7644</v>
      </c>
      <c r="F476">
        <v>70755</v>
      </c>
    </row>
    <row r="477" spans="1:6" x14ac:dyDescent="0.2">
      <c r="A477">
        <v>2020</v>
      </c>
      <c r="B477" t="s">
        <v>163</v>
      </c>
      <c r="C477" t="s">
        <v>72</v>
      </c>
      <c r="D477">
        <v>28757</v>
      </c>
      <c r="E477">
        <v>3483</v>
      </c>
      <c r="F477">
        <v>32240</v>
      </c>
    </row>
    <row r="478" spans="1:6" x14ac:dyDescent="0.2">
      <c r="A478">
        <v>2020</v>
      </c>
      <c r="B478" t="s">
        <v>164</v>
      </c>
      <c r="C478" t="s">
        <v>73</v>
      </c>
      <c r="D478">
        <v>17649</v>
      </c>
      <c r="E478">
        <v>2138</v>
      </c>
      <c r="F478">
        <v>19787</v>
      </c>
    </row>
    <row r="479" spans="1:6" x14ac:dyDescent="0.2">
      <c r="A479">
        <v>2020</v>
      </c>
      <c r="B479" t="s">
        <v>165</v>
      </c>
      <c r="C479" t="s">
        <v>74</v>
      </c>
      <c r="D479">
        <v>10425</v>
      </c>
      <c r="E479">
        <v>1263</v>
      </c>
      <c r="F479">
        <v>11688</v>
      </c>
    </row>
    <row r="480" spans="1:6" x14ac:dyDescent="0.2">
      <c r="A480">
        <v>2020</v>
      </c>
      <c r="B480" t="s">
        <v>166</v>
      </c>
      <c r="C480" t="s">
        <v>75</v>
      </c>
      <c r="D480">
        <v>7587</v>
      </c>
      <c r="E480">
        <v>919</v>
      </c>
      <c r="F480">
        <v>8506</v>
      </c>
    </row>
    <row r="481" spans="1:6" x14ac:dyDescent="0.2">
      <c r="A481">
        <v>2020</v>
      </c>
      <c r="B481" t="s">
        <v>167</v>
      </c>
      <c r="C481" t="s">
        <v>77</v>
      </c>
      <c r="D481">
        <v>10420</v>
      </c>
      <c r="E481">
        <v>1262</v>
      </c>
      <c r="F481">
        <v>11682</v>
      </c>
    </row>
    <row r="482" spans="1:6" x14ac:dyDescent="0.2">
      <c r="A482">
        <v>2020</v>
      </c>
      <c r="B482" t="s">
        <v>168</v>
      </c>
      <c r="C482" t="s">
        <v>78</v>
      </c>
      <c r="D482">
        <v>11247</v>
      </c>
      <c r="E482">
        <v>1362</v>
      </c>
      <c r="F482">
        <v>12609</v>
      </c>
    </row>
    <row r="483" spans="1:6" x14ac:dyDescent="0.2">
      <c r="A483">
        <v>2020</v>
      </c>
      <c r="B483" t="s">
        <v>169</v>
      </c>
      <c r="C483" t="s">
        <v>80</v>
      </c>
      <c r="D483">
        <v>2441560</v>
      </c>
      <c r="E483">
        <v>295729</v>
      </c>
      <c r="F483">
        <v>2737289</v>
      </c>
    </row>
    <row r="484" spans="1:6" x14ac:dyDescent="0.2">
      <c r="A484">
        <v>2020</v>
      </c>
      <c r="B484" t="s">
        <v>170</v>
      </c>
      <c r="C484" t="s">
        <v>81</v>
      </c>
      <c r="D484">
        <v>14632</v>
      </c>
      <c r="E484">
        <v>1772</v>
      </c>
      <c r="F484">
        <v>16404</v>
      </c>
    </row>
    <row r="485" spans="1:6" x14ac:dyDescent="0.2">
      <c r="A485">
        <v>2020</v>
      </c>
      <c r="B485" t="s">
        <v>171</v>
      </c>
      <c r="C485" t="s">
        <v>82</v>
      </c>
      <c r="D485">
        <v>49542</v>
      </c>
      <c r="E485">
        <v>6001</v>
      </c>
      <c r="F485">
        <v>55543</v>
      </c>
    </row>
    <row r="486" spans="1:6" x14ac:dyDescent="0.2">
      <c r="A486">
        <v>2020</v>
      </c>
      <c r="B486" t="s">
        <v>154</v>
      </c>
      <c r="C486" t="s">
        <v>87</v>
      </c>
      <c r="D486">
        <v>454905</v>
      </c>
      <c r="E486">
        <v>55100</v>
      </c>
      <c r="F486">
        <v>510005</v>
      </c>
    </row>
    <row r="487" spans="1:6" x14ac:dyDescent="0.2">
      <c r="A487">
        <v>2020</v>
      </c>
      <c r="B487" t="s">
        <v>155</v>
      </c>
      <c r="C487" t="s">
        <v>88</v>
      </c>
      <c r="D487">
        <v>189811</v>
      </c>
      <c r="E487">
        <v>22990</v>
      </c>
      <c r="F487">
        <v>212801</v>
      </c>
    </row>
    <row r="488" spans="1:6" x14ac:dyDescent="0.2">
      <c r="A488">
        <v>2020</v>
      </c>
      <c r="B488" t="s">
        <v>156</v>
      </c>
      <c r="C488" t="s">
        <v>89</v>
      </c>
      <c r="D488">
        <v>353819</v>
      </c>
      <c r="E488">
        <v>42856</v>
      </c>
      <c r="F488">
        <v>396675</v>
      </c>
    </row>
    <row r="489" spans="1:6" x14ac:dyDescent="0.2">
      <c r="A489">
        <v>2020</v>
      </c>
      <c r="B489" t="s">
        <v>157</v>
      </c>
      <c r="C489" t="s">
        <v>85</v>
      </c>
      <c r="D489">
        <v>102793436</v>
      </c>
      <c r="E489">
        <v>12450655</v>
      </c>
      <c r="F489">
        <v>115244091</v>
      </c>
    </row>
    <row r="490" spans="1:6" x14ac:dyDescent="0.2">
      <c r="A490">
        <v>2020</v>
      </c>
      <c r="B490" t="s">
        <v>158</v>
      </c>
      <c r="C490" t="s">
        <v>86</v>
      </c>
      <c r="D490">
        <v>283332231</v>
      </c>
      <c r="E490">
        <v>34318062</v>
      </c>
      <c r="F490">
        <v>317650293</v>
      </c>
    </row>
    <row r="491" spans="1:6" x14ac:dyDescent="0.2">
      <c r="A491">
        <v>2021</v>
      </c>
      <c r="B491" t="s">
        <v>90</v>
      </c>
      <c r="C491" t="s">
        <v>0</v>
      </c>
      <c r="D491">
        <v>106320</v>
      </c>
    </row>
    <row r="492" spans="1:6" x14ac:dyDescent="0.2">
      <c r="A492">
        <v>2021</v>
      </c>
      <c r="B492" t="s">
        <v>91</v>
      </c>
      <c r="C492" t="s">
        <v>1</v>
      </c>
      <c r="D492">
        <v>1303866</v>
      </c>
    </row>
    <row r="493" spans="1:6" x14ac:dyDescent="0.2">
      <c r="A493">
        <v>2021</v>
      </c>
      <c r="B493" t="s">
        <v>92</v>
      </c>
      <c r="C493" t="s">
        <v>2</v>
      </c>
      <c r="D493">
        <v>236486</v>
      </c>
    </row>
    <row r="494" spans="1:6" x14ac:dyDescent="0.2">
      <c r="A494">
        <v>2021</v>
      </c>
      <c r="B494" t="s">
        <v>93</v>
      </c>
      <c r="C494" t="s">
        <v>3</v>
      </c>
      <c r="D494">
        <v>100618</v>
      </c>
    </row>
    <row r="495" spans="1:6" x14ac:dyDescent="0.2">
      <c r="A495">
        <v>2021</v>
      </c>
      <c r="B495" t="s">
        <v>94</v>
      </c>
      <c r="C495" t="s">
        <v>4</v>
      </c>
      <c r="D495">
        <v>290005</v>
      </c>
    </row>
    <row r="496" spans="1:6" x14ac:dyDescent="0.2">
      <c r="A496">
        <v>2021</v>
      </c>
      <c r="B496" t="s">
        <v>95</v>
      </c>
      <c r="C496" t="s">
        <v>5</v>
      </c>
      <c r="D496">
        <v>1072625</v>
      </c>
    </row>
    <row r="497" spans="1:4" x14ac:dyDescent="0.2">
      <c r="A497">
        <v>2021</v>
      </c>
      <c r="B497" t="s">
        <v>96</v>
      </c>
      <c r="C497" t="s">
        <v>6</v>
      </c>
      <c r="D497">
        <v>19698</v>
      </c>
    </row>
    <row r="498" spans="1:4" x14ac:dyDescent="0.2">
      <c r="A498">
        <v>2021</v>
      </c>
      <c r="B498" t="s">
        <v>97</v>
      </c>
      <c r="C498" t="s">
        <v>7</v>
      </c>
      <c r="D498">
        <v>134848</v>
      </c>
    </row>
    <row r="499" spans="1:4" x14ac:dyDescent="0.2">
      <c r="A499">
        <v>2021</v>
      </c>
      <c r="B499" t="s">
        <v>98</v>
      </c>
      <c r="C499" t="s">
        <v>8</v>
      </c>
      <c r="D499">
        <v>332230</v>
      </c>
    </row>
    <row r="500" spans="1:4" x14ac:dyDescent="0.2">
      <c r="A500">
        <v>2021</v>
      </c>
      <c r="B500" t="s">
        <v>99</v>
      </c>
      <c r="C500" t="s">
        <v>9</v>
      </c>
      <c r="D500">
        <v>515555</v>
      </c>
    </row>
    <row r="501" spans="1:4" x14ac:dyDescent="0.2">
      <c r="A501">
        <v>2021</v>
      </c>
      <c r="B501" t="s">
        <v>100</v>
      </c>
      <c r="C501" t="s">
        <v>10</v>
      </c>
      <c r="D501">
        <v>31609</v>
      </c>
    </row>
    <row r="502" spans="1:4" x14ac:dyDescent="0.2">
      <c r="A502">
        <v>2021</v>
      </c>
      <c r="B502" t="s">
        <v>101</v>
      </c>
      <c r="C502" t="s">
        <v>11</v>
      </c>
      <c r="D502">
        <v>36969</v>
      </c>
    </row>
    <row r="503" spans="1:4" x14ac:dyDescent="0.2">
      <c r="A503">
        <v>2021</v>
      </c>
      <c r="B503" t="s">
        <v>102</v>
      </c>
      <c r="C503" t="s">
        <v>12</v>
      </c>
      <c r="D503">
        <v>408717</v>
      </c>
    </row>
    <row r="504" spans="1:4" x14ac:dyDescent="0.2">
      <c r="A504">
        <v>2021</v>
      </c>
      <c r="B504" t="s">
        <v>103</v>
      </c>
      <c r="C504" t="s">
        <v>13</v>
      </c>
      <c r="D504">
        <v>193931</v>
      </c>
    </row>
    <row r="505" spans="1:4" x14ac:dyDescent="0.2">
      <c r="A505">
        <v>2021</v>
      </c>
      <c r="B505" t="s">
        <v>104</v>
      </c>
      <c r="C505" t="s">
        <v>14</v>
      </c>
      <c r="D505">
        <v>355347</v>
      </c>
    </row>
    <row r="506" spans="1:4" x14ac:dyDescent="0.2">
      <c r="A506">
        <v>2021</v>
      </c>
      <c r="B506" t="s">
        <v>105</v>
      </c>
      <c r="C506" t="s">
        <v>15</v>
      </c>
      <c r="D506">
        <v>115238</v>
      </c>
    </row>
    <row r="507" spans="1:4" x14ac:dyDescent="0.2">
      <c r="A507">
        <v>2021</v>
      </c>
      <c r="B507" t="s">
        <v>106</v>
      </c>
      <c r="C507" t="s">
        <v>16</v>
      </c>
      <c r="D507">
        <v>852169</v>
      </c>
    </row>
    <row r="508" spans="1:4" x14ac:dyDescent="0.2">
      <c r="A508">
        <v>2021</v>
      </c>
      <c r="B508" t="s">
        <v>107</v>
      </c>
      <c r="C508" t="s">
        <v>17</v>
      </c>
      <c r="D508">
        <v>344755</v>
      </c>
    </row>
    <row r="509" spans="1:4" x14ac:dyDescent="0.2">
      <c r="A509">
        <v>2021</v>
      </c>
      <c r="B509" t="s">
        <v>108</v>
      </c>
      <c r="C509" t="s">
        <v>18</v>
      </c>
      <c r="D509">
        <v>822821</v>
      </c>
    </row>
    <row r="510" spans="1:4" x14ac:dyDescent="0.2">
      <c r="A510">
        <v>2021</v>
      </c>
      <c r="B510" t="s">
        <v>109</v>
      </c>
      <c r="C510" t="s">
        <v>19</v>
      </c>
      <c r="D510">
        <v>2246965</v>
      </c>
    </row>
    <row r="511" spans="1:4" x14ac:dyDescent="0.2">
      <c r="A511">
        <v>2021</v>
      </c>
      <c r="B511" t="s">
        <v>110</v>
      </c>
      <c r="C511" t="s">
        <v>20</v>
      </c>
      <c r="D511">
        <v>187361</v>
      </c>
    </row>
    <row r="512" spans="1:4" x14ac:dyDescent="0.2">
      <c r="A512">
        <v>2021</v>
      </c>
      <c r="B512" t="s">
        <v>111</v>
      </c>
      <c r="C512" t="s">
        <v>21</v>
      </c>
      <c r="D512">
        <v>276353</v>
      </c>
    </row>
    <row r="513" spans="1:4" x14ac:dyDescent="0.2">
      <c r="A513">
        <v>2021</v>
      </c>
      <c r="B513" t="s">
        <v>112</v>
      </c>
      <c r="C513" t="s">
        <v>22</v>
      </c>
      <c r="D513">
        <v>412724</v>
      </c>
    </row>
    <row r="514" spans="1:4" x14ac:dyDescent="0.2">
      <c r="A514">
        <v>2021</v>
      </c>
      <c r="B514" t="s">
        <v>113</v>
      </c>
      <c r="C514" t="s">
        <v>23</v>
      </c>
      <c r="D514">
        <v>685831</v>
      </c>
    </row>
    <row r="515" spans="1:4" x14ac:dyDescent="0.2">
      <c r="A515">
        <v>2021</v>
      </c>
      <c r="B515" t="s">
        <v>114</v>
      </c>
      <c r="C515" t="s">
        <v>24</v>
      </c>
      <c r="D515">
        <v>1064444</v>
      </c>
    </row>
    <row r="516" spans="1:4" x14ac:dyDescent="0.2">
      <c r="A516">
        <v>2021</v>
      </c>
      <c r="B516" t="s">
        <v>115</v>
      </c>
      <c r="C516" t="s">
        <v>25</v>
      </c>
      <c r="D516">
        <v>309980</v>
      </c>
    </row>
    <row r="517" spans="1:4" x14ac:dyDescent="0.2">
      <c r="A517">
        <v>2021</v>
      </c>
      <c r="B517" t="s">
        <v>116</v>
      </c>
      <c r="C517" t="s">
        <v>30</v>
      </c>
      <c r="D517">
        <v>240482</v>
      </c>
    </row>
    <row r="518" spans="1:4" x14ac:dyDescent="0.2">
      <c r="A518">
        <v>2021</v>
      </c>
      <c r="B518" t="s">
        <v>117</v>
      </c>
      <c r="C518" t="s">
        <v>31</v>
      </c>
      <c r="D518">
        <v>823839</v>
      </c>
    </row>
    <row r="519" spans="1:4" x14ac:dyDescent="0.2">
      <c r="A519">
        <v>2021</v>
      </c>
      <c r="B519" t="s">
        <v>118</v>
      </c>
      <c r="C519" t="s">
        <v>32</v>
      </c>
      <c r="D519">
        <v>353268</v>
      </c>
    </row>
    <row r="520" spans="1:4" x14ac:dyDescent="0.2">
      <c r="A520">
        <v>2021</v>
      </c>
      <c r="B520" t="s">
        <v>119</v>
      </c>
      <c r="C520" t="s">
        <v>33</v>
      </c>
      <c r="D520">
        <v>290657</v>
      </c>
    </row>
    <row r="521" spans="1:4" x14ac:dyDescent="0.2">
      <c r="A521">
        <v>2021</v>
      </c>
      <c r="B521" t="s">
        <v>120</v>
      </c>
      <c r="C521" t="s">
        <v>34</v>
      </c>
      <c r="D521">
        <v>1212217</v>
      </c>
    </row>
    <row r="522" spans="1:4" x14ac:dyDescent="0.2">
      <c r="A522">
        <v>2021</v>
      </c>
      <c r="B522" t="s">
        <v>121</v>
      </c>
      <c r="C522" t="s">
        <v>35</v>
      </c>
      <c r="D522">
        <v>141835</v>
      </c>
    </row>
    <row r="523" spans="1:4" x14ac:dyDescent="0.2">
      <c r="A523">
        <v>2021</v>
      </c>
      <c r="B523" t="s">
        <v>122</v>
      </c>
      <c r="C523" t="s">
        <v>36</v>
      </c>
      <c r="D523">
        <v>138044</v>
      </c>
    </row>
    <row r="524" spans="1:4" x14ac:dyDescent="0.2">
      <c r="A524">
        <v>2021</v>
      </c>
      <c r="B524" t="s">
        <v>123</v>
      </c>
      <c r="C524" t="s">
        <v>37</v>
      </c>
      <c r="D524">
        <v>201994</v>
      </c>
    </row>
    <row r="525" spans="1:4" x14ac:dyDescent="0.2">
      <c r="A525">
        <v>2021</v>
      </c>
      <c r="B525" t="s">
        <v>124</v>
      </c>
      <c r="C525" t="s">
        <v>38</v>
      </c>
      <c r="D525">
        <v>669312</v>
      </c>
    </row>
    <row r="526" spans="1:4" x14ac:dyDescent="0.2">
      <c r="A526">
        <v>2021</v>
      </c>
      <c r="B526" t="s">
        <v>125</v>
      </c>
      <c r="C526" t="s">
        <v>39</v>
      </c>
      <c r="D526">
        <v>0</v>
      </c>
    </row>
    <row r="527" spans="1:4" x14ac:dyDescent="0.2">
      <c r="A527">
        <v>2021</v>
      </c>
      <c r="B527" t="s">
        <v>126</v>
      </c>
      <c r="C527" t="s">
        <v>40</v>
      </c>
      <c r="D527">
        <v>154715</v>
      </c>
    </row>
    <row r="528" spans="1:4" x14ac:dyDescent="0.2">
      <c r="A528">
        <v>2021</v>
      </c>
      <c r="B528" t="s">
        <v>127</v>
      </c>
      <c r="C528" t="s">
        <v>41</v>
      </c>
      <c r="D528">
        <v>56857</v>
      </c>
    </row>
    <row r="529" spans="1:4" x14ac:dyDescent="0.2">
      <c r="A529">
        <v>2021</v>
      </c>
      <c r="B529" t="s">
        <v>128</v>
      </c>
      <c r="C529" t="s">
        <v>42</v>
      </c>
      <c r="D529">
        <v>215993</v>
      </c>
    </row>
    <row r="530" spans="1:4" x14ac:dyDescent="0.2">
      <c r="A530">
        <v>2021</v>
      </c>
      <c r="B530" t="s">
        <v>129</v>
      </c>
      <c r="C530" t="s">
        <v>43</v>
      </c>
      <c r="D530">
        <v>960899</v>
      </c>
    </row>
    <row r="531" spans="1:4" x14ac:dyDescent="0.2">
      <c r="A531">
        <v>2021</v>
      </c>
      <c r="B531" t="s">
        <v>130</v>
      </c>
      <c r="C531" t="s">
        <v>44</v>
      </c>
      <c r="D531">
        <v>996888</v>
      </c>
    </row>
    <row r="532" spans="1:4" x14ac:dyDescent="0.2">
      <c r="A532">
        <v>2021</v>
      </c>
      <c r="B532" t="s">
        <v>131</v>
      </c>
      <c r="C532" t="s">
        <v>45</v>
      </c>
      <c r="D532">
        <v>201611</v>
      </c>
    </row>
    <row r="533" spans="1:4" x14ac:dyDescent="0.2">
      <c r="A533">
        <v>2021</v>
      </c>
      <c r="B533" t="s">
        <v>132</v>
      </c>
      <c r="C533" t="s">
        <v>46</v>
      </c>
      <c r="D533">
        <v>113257</v>
      </c>
    </row>
    <row r="534" spans="1:4" x14ac:dyDescent="0.2">
      <c r="A534">
        <v>2021</v>
      </c>
      <c r="B534" t="s">
        <v>133</v>
      </c>
      <c r="C534" t="s">
        <v>47</v>
      </c>
      <c r="D534">
        <v>170422</v>
      </c>
    </row>
    <row r="535" spans="1:4" x14ac:dyDescent="0.2">
      <c r="A535">
        <v>2021</v>
      </c>
      <c r="B535" t="s">
        <v>134</v>
      </c>
      <c r="C535" t="s">
        <v>48</v>
      </c>
      <c r="D535">
        <v>64368</v>
      </c>
    </row>
    <row r="536" spans="1:4" x14ac:dyDescent="0.2">
      <c r="A536">
        <v>2021</v>
      </c>
      <c r="B536" t="s">
        <v>135</v>
      </c>
      <c r="C536" t="s">
        <v>49</v>
      </c>
      <c r="D536">
        <v>94052</v>
      </c>
    </row>
    <row r="537" spans="1:4" x14ac:dyDescent="0.2">
      <c r="A537">
        <v>2021</v>
      </c>
      <c r="B537" t="s">
        <v>136</v>
      </c>
      <c r="C537" t="s">
        <v>50</v>
      </c>
      <c r="D537">
        <v>6798</v>
      </c>
    </row>
    <row r="538" spans="1:4" x14ac:dyDescent="0.2">
      <c r="A538">
        <v>2021</v>
      </c>
      <c r="B538" t="s">
        <v>137</v>
      </c>
      <c r="C538" t="s">
        <v>51</v>
      </c>
      <c r="D538">
        <v>217530</v>
      </c>
    </row>
    <row r="539" spans="1:4" x14ac:dyDescent="0.2">
      <c r="A539">
        <v>2021</v>
      </c>
      <c r="B539" t="s">
        <v>138</v>
      </c>
      <c r="C539" t="s">
        <v>52</v>
      </c>
      <c r="D539">
        <v>203242</v>
      </c>
    </row>
    <row r="540" spans="1:4" x14ac:dyDescent="0.2">
      <c r="A540">
        <v>2021</v>
      </c>
      <c r="B540" t="s">
        <v>139</v>
      </c>
      <c r="C540" t="s">
        <v>53</v>
      </c>
      <c r="D540">
        <v>563247</v>
      </c>
    </row>
    <row r="541" spans="1:4" x14ac:dyDescent="0.2">
      <c r="A541">
        <v>2021</v>
      </c>
      <c r="B541" t="s">
        <v>140</v>
      </c>
      <c r="C541" t="s">
        <v>54</v>
      </c>
      <c r="D541">
        <v>38654</v>
      </c>
    </row>
    <row r="542" spans="1:4" x14ac:dyDescent="0.2">
      <c r="A542">
        <v>2021</v>
      </c>
      <c r="B542" t="s">
        <v>141</v>
      </c>
      <c r="C542" t="s">
        <v>55</v>
      </c>
      <c r="D542">
        <v>774627</v>
      </c>
    </row>
    <row r="543" spans="1:4" x14ac:dyDescent="0.2">
      <c r="A543">
        <v>2021</v>
      </c>
      <c r="B543" t="s">
        <v>142</v>
      </c>
      <c r="C543" t="s">
        <v>56</v>
      </c>
      <c r="D543">
        <v>50224</v>
      </c>
    </row>
    <row r="544" spans="1:4" x14ac:dyDescent="0.2">
      <c r="A544">
        <v>2021</v>
      </c>
      <c r="B544" t="s">
        <v>143</v>
      </c>
      <c r="C544" t="s">
        <v>57</v>
      </c>
      <c r="D544">
        <v>1021148</v>
      </c>
    </row>
    <row r="545" spans="1:4" x14ac:dyDescent="0.2">
      <c r="A545">
        <v>2021</v>
      </c>
      <c r="B545" t="s">
        <v>144</v>
      </c>
      <c r="C545" t="s">
        <v>58</v>
      </c>
      <c r="D545">
        <v>255609</v>
      </c>
    </row>
    <row r="546" spans="1:4" x14ac:dyDescent="0.2">
      <c r="A546">
        <v>2021</v>
      </c>
      <c r="B546" t="s">
        <v>146</v>
      </c>
      <c r="C546" t="s">
        <v>60</v>
      </c>
      <c r="D546">
        <v>9506</v>
      </c>
    </row>
    <row r="547" spans="1:4" x14ac:dyDescent="0.2">
      <c r="A547">
        <v>2021</v>
      </c>
      <c r="B547" t="s">
        <v>150</v>
      </c>
      <c r="C547" t="s">
        <v>64</v>
      </c>
      <c r="D547">
        <v>12247</v>
      </c>
    </row>
    <row r="548" spans="1:4" x14ac:dyDescent="0.2">
      <c r="A548">
        <v>2021</v>
      </c>
      <c r="B548" t="s">
        <v>151</v>
      </c>
      <c r="C548" t="s">
        <v>65</v>
      </c>
      <c r="D548">
        <v>253278</v>
      </c>
    </row>
    <row r="549" spans="1:4" x14ac:dyDescent="0.2">
      <c r="A549">
        <v>2021</v>
      </c>
      <c r="B549" t="s">
        <v>161</v>
      </c>
      <c r="C549" t="s">
        <v>70</v>
      </c>
      <c r="D549">
        <v>451429</v>
      </c>
    </row>
    <row r="550" spans="1:4" x14ac:dyDescent="0.2">
      <c r="A550">
        <v>2021</v>
      </c>
      <c r="B550" t="s">
        <v>168</v>
      </c>
      <c r="C550" t="s">
        <v>78</v>
      </c>
      <c r="D550">
        <v>11256</v>
      </c>
    </row>
    <row r="551" spans="1:4" x14ac:dyDescent="0.2">
      <c r="A551">
        <v>2021</v>
      </c>
      <c r="B551" t="s">
        <v>169</v>
      </c>
      <c r="C551" t="s">
        <v>80</v>
      </c>
      <c r="D551">
        <v>2339997</v>
      </c>
    </row>
    <row r="552" spans="1:4" x14ac:dyDescent="0.2">
      <c r="A552">
        <v>2021</v>
      </c>
      <c r="B552" t="s">
        <v>159</v>
      </c>
      <c r="C552" t="s">
        <v>68</v>
      </c>
      <c r="D552">
        <v>542291</v>
      </c>
    </row>
    <row r="553" spans="1:4" x14ac:dyDescent="0.2">
      <c r="A553">
        <v>2021</v>
      </c>
      <c r="B553" t="s">
        <v>173</v>
      </c>
      <c r="C553" t="s">
        <v>172</v>
      </c>
      <c r="D553">
        <v>61095</v>
      </c>
    </row>
    <row r="554" spans="1:4" x14ac:dyDescent="0.2">
      <c r="A554">
        <v>2021</v>
      </c>
      <c r="B554" t="s">
        <v>171</v>
      </c>
      <c r="C554" t="s">
        <v>82</v>
      </c>
      <c r="D554">
        <v>43414</v>
      </c>
    </row>
    <row r="555" spans="1:4" x14ac:dyDescent="0.2">
      <c r="A555">
        <v>2021</v>
      </c>
      <c r="B555" t="s">
        <v>167</v>
      </c>
      <c r="C555" t="s">
        <v>77</v>
      </c>
      <c r="D555">
        <v>9711</v>
      </c>
    </row>
    <row r="556" spans="1:4" x14ac:dyDescent="0.2">
      <c r="A556">
        <v>2021</v>
      </c>
      <c r="B556" t="s">
        <v>166</v>
      </c>
      <c r="C556" t="s">
        <v>75</v>
      </c>
      <c r="D556">
        <v>25928</v>
      </c>
    </row>
    <row r="557" spans="1:4" x14ac:dyDescent="0.2">
      <c r="A557">
        <v>2021</v>
      </c>
      <c r="B557" t="s">
        <v>165</v>
      </c>
      <c r="C557" t="s">
        <v>74</v>
      </c>
      <c r="D557">
        <v>10227</v>
      </c>
    </row>
    <row r="558" spans="1:4" x14ac:dyDescent="0.2">
      <c r="A558">
        <v>2021</v>
      </c>
      <c r="B558" t="s">
        <v>145</v>
      </c>
      <c r="C558" t="s">
        <v>59</v>
      </c>
      <c r="D558">
        <v>33826</v>
      </c>
    </row>
    <row r="559" spans="1:4" x14ac:dyDescent="0.2">
      <c r="A559">
        <v>2021</v>
      </c>
      <c r="B559" t="s">
        <v>147</v>
      </c>
      <c r="C559" t="s">
        <v>61</v>
      </c>
      <c r="D559">
        <v>27979</v>
      </c>
    </row>
    <row r="560" spans="1:4" x14ac:dyDescent="0.2">
      <c r="A560">
        <v>2021</v>
      </c>
      <c r="B560" t="s">
        <v>148</v>
      </c>
      <c r="C560" t="s">
        <v>62</v>
      </c>
      <c r="D560">
        <v>36247</v>
      </c>
    </row>
    <row r="561" spans="1:6" x14ac:dyDescent="0.2">
      <c r="A561">
        <v>2021</v>
      </c>
      <c r="B561" t="s">
        <v>149</v>
      </c>
      <c r="C561" t="s">
        <v>63</v>
      </c>
      <c r="D561">
        <v>84273</v>
      </c>
    </row>
    <row r="562" spans="1:6" x14ac:dyDescent="0.2">
      <c r="A562">
        <v>2021</v>
      </c>
      <c r="B562" t="s">
        <v>152</v>
      </c>
      <c r="C562" t="s">
        <v>66</v>
      </c>
      <c r="D562">
        <v>12763</v>
      </c>
    </row>
    <row r="563" spans="1:6" x14ac:dyDescent="0.2">
      <c r="A563">
        <v>2021</v>
      </c>
      <c r="B563" t="s">
        <v>162</v>
      </c>
      <c r="C563" t="s">
        <v>71</v>
      </c>
      <c r="D563">
        <v>60949</v>
      </c>
    </row>
    <row r="564" spans="1:6" x14ac:dyDescent="0.2">
      <c r="A564">
        <v>2021</v>
      </c>
      <c r="B564" t="s">
        <v>153</v>
      </c>
      <c r="C564" t="s">
        <v>67</v>
      </c>
      <c r="D564">
        <v>43438</v>
      </c>
    </row>
    <row r="565" spans="1:6" x14ac:dyDescent="0.2">
      <c r="A565">
        <v>2021</v>
      </c>
      <c r="B565" t="s">
        <v>163</v>
      </c>
      <c r="C565" t="s">
        <v>72</v>
      </c>
      <c r="D565">
        <v>18506</v>
      </c>
    </row>
    <row r="566" spans="1:6" x14ac:dyDescent="0.2">
      <c r="A566">
        <v>2021</v>
      </c>
      <c r="B566" t="s">
        <v>160</v>
      </c>
      <c r="C566" t="s">
        <v>69</v>
      </c>
      <c r="D566">
        <v>46792</v>
      </c>
    </row>
    <row r="567" spans="1:6" x14ac:dyDescent="0.2">
      <c r="A567">
        <v>2021</v>
      </c>
      <c r="B567" t="s">
        <v>170</v>
      </c>
      <c r="C567" t="s">
        <v>81</v>
      </c>
      <c r="D567">
        <v>14982</v>
      </c>
    </row>
    <row r="568" spans="1:6" x14ac:dyDescent="0.2">
      <c r="A568">
        <v>2021</v>
      </c>
      <c r="B568" t="s">
        <v>164</v>
      </c>
      <c r="C568" t="s">
        <v>73</v>
      </c>
      <c r="D568">
        <v>4116</v>
      </c>
    </row>
    <row r="569" spans="1:6" x14ac:dyDescent="0.2">
      <c r="A569">
        <v>2021</v>
      </c>
      <c r="B569" t="s">
        <v>154</v>
      </c>
      <c r="C569" t="s">
        <v>87</v>
      </c>
      <c r="D569">
        <v>479915</v>
      </c>
    </row>
    <row r="570" spans="1:6" x14ac:dyDescent="0.2">
      <c r="A570">
        <v>2021</v>
      </c>
      <c r="B570" t="s">
        <v>155</v>
      </c>
      <c r="C570" t="s">
        <v>88</v>
      </c>
      <c r="D570">
        <v>208926</v>
      </c>
    </row>
    <row r="571" spans="1:6" x14ac:dyDescent="0.2">
      <c r="A571">
        <v>2021</v>
      </c>
      <c r="B571" t="s">
        <v>156</v>
      </c>
      <c r="C571" t="s">
        <v>89</v>
      </c>
      <c r="D571">
        <v>419482</v>
      </c>
    </row>
    <row r="572" spans="1:6" x14ac:dyDescent="0.2">
      <c r="A572">
        <v>2021</v>
      </c>
      <c r="B572" t="s">
        <v>158</v>
      </c>
      <c r="C572" t="s">
        <v>86</v>
      </c>
      <c r="D572">
        <v>288360024</v>
      </c>
    </row>
    <row r="573" spans="1:6" x14ac:dyDescent="0.2">
      <c r="A573">
        <v>2021</v>
      </c>
      <c r="B573" t="s">
        <v>157</v>
      </c>
      <c r="C573" t="s">
        <v>85</v>
      </c>
      <c r="D573">
        <v>101022149</v>
      </c>
    </row>
    <row r="574" spans="1:6" x14ac:dyDescent="0.2">
      <c r="A574">
        <v>2022</v>
      </c>
      <c r="B574" t="s">
        <v>90</v>
      </c>
      <c r="C574" t="s">
        <v>0</v>
      </c>
      <c r="D574" s="1">
        <v>110665</v>
      </c>
      <c r="E574" s="1">
        <v>16240</v>
      </c>
      <c r="F574" s="1">
        <f>SUM(D574:E574)</f>
        <v>126905</v>
      </c>
    </row>
    <row r="575" spans="1:6" x14ac:dyDescent="0.2">
      <c r="A575">
        <v>2022</v>
      </c>
      <c r="B575" t="s">
        <v>91</v>
      </c>
      <c r="C575" t="s">
        <v>1</v>
      </c>
      <c r="D575" s="1">
        <v>1149570</v>
      </c>
      <c r="E575" s="1">
        <v>168700</v>
      </c>
      <c r="F575" s="1">
        <f t="shared" ref="F575:F638" si="0">SUM(D575:E575)</f>
        <v>1318270</v>
      </c>
    </row>
    <row r="576" spans="1:6" x14ac:dyDescent="0.2">
      <c r="A576">
        <v>2022</v>
      </c>
      <c r="B576" t="s">
        <v>92</v>
      </c>
      <c r="C576" t="s">
        <v>2</v>
      </c>
      <c r="D576" s="1">
        <v>324273</v>
      </c>
      <c r="E576" s="1">
        <v>47587</v>
      </c>
      <c r="F576" s="1">
        <f t="shared" si="0"/>
        <v>371860</v>
      </c>
    </row>
    <row r="577" spans="1:6" x14ac:dyDescent="0.2">
      <c r="A577">
        <v>2022</v>
      </c>
      <c r="B577" t="s">
        <v>93</v>
      </c>
      <c r="C577" t="s">
        <v>3</v>
      </c>
      <c r="D577" s="1">
        <v>146489</v>
      </c>
      <c r="E577" s="1">
        <v>21497</v>
      </c>
      <c r="F577" s="1">
        <f t="shared" si="0"/>
        <v>167986</v>
      </c>
    </row>
    <row r="578" spans="1:6" x14ac:dyDescent="0.2">
      <c r="A578">
        <v>2022</v>
      </c>
      <c r="B578" t="s">
        <v>94</v>
      </c>
      <c r="C578" t="s">
        <v>4</v>
      </c>
      <c r="D578" s="1">
        <v>471494</v>
      </c>
      <c r="E578" s="1">
        <v>69192</v>
      </c>
      <c r="F578" s="1">
        <f t="shared" si="0"/>
        <v>540686</v>
      </c>
    </row>
    <row r="579" spans="1:6" x14ac:dyDescent="0.2">
      <c r="A579">
        <v>2022</v>
      </c>
      <c r="B579" t="s">
        <v>95</v>
      </c>
      <c r="C579" t="s">
        <v>5</v>
      </c>
      <c r="D579" s="1">
        <v>1495028</v>
      </c>
      <c r="E579" s="1">
        <v>219395</v>
      </c>
      <c r="F579" s="1">
        <f t="shared" si="0"/>
        <v>1714423</v>
      </c>
    </row>
    <row r="580" spans="1:6" x14ac:dyDescent="0.2">
      <c r="A580">
        <v>2022</v>
      </c>
      <c r="B580" t="s">
        <v>96</v>
      </c>
      <c r="C580" t="s">
        <v>6</v>
      </c>
      <c r="D580" s="1">
        <v>80698</v>
      </c>
      <c r="E580" s="1">
        <v>11842</v>
      </c>
      <c r="F580" s="1">
        <f t="shared" si="0"/>
        <v>92540</v>
      </c>
    </row>
    <row r="581" spans="1:6" x14ac:dyDescent="0.2">
      <c r="A581">
        <v>2022</v>
      </c>
      <c r="B581" t="s">
        <v>97</v>
      </c>
      <c r="C581" t="s">
        <v>7</v>
      </c>
      <c r="D581" s="1">
        <v>168370</v>
      </c>
      <c r="E581" s="1">
        <v>24708</v>
      </c>
      <c r="F581" s="1">
        <f t="shared" si="0"/>
        <v>193078</v>
      </c>
    </row>
    <row r="582" spans="1:6" x14ac:dyDescent="0.2">
      <c r="A582">
        <v>2022</v>
      </c>
      <c r="B582" t="s">
        <v>98</v>
      </c>
      <c r="C582" t="s">
        <v>8</v>
      </c>
      <c r="D582" s="1">
        <v>358987</v>
      </c>
      <c r="E582" s="1">
        <v>52682</v>
      </c>
      <c r="F582" s="1">
        <f t="shared" si="0"/>
        <v>411669</v>
      </c>
    </row>
    <row r="583" spans="1:6" x14ac:dyDescent="0.2">
      <c r="A583">
        <v>2022</v>
      </c>
      <c r="B583" t="s">
        <v>99</v>
      </c>
      <c r="C583" t="s">
        <v>9</v>
      </c>
      <c r="D583" s="1">
        <v>668147</v>
      </c>
      <c r="E583" s="1">
        <v>98050</v>
      </c>
      <c r="F583" s="1">
        <f t="shared" si="0"/>
        <v>766197</v>
      </c>
    </row>
    <row r="584" spans="1:6" x14ac:dyDescent="0.2">
      <c r="A584">
        <v>2022</v>
      </c>
      <c r="B584" t="s">
        <v>100</v>
      </c>
      <c r="C584" t="s">
        <v>10</v>
      </c>
      <c r="D584" s="1">
        <v>102753</v>
      </c>
      <c r="E584" s="1">
        <v>15079</v>
      </c>
      <c r="F584" s="1">
        <f t="shared" si="0"/>
        <v>117832</v>
      </c>
    </row>
    <row r="585" spans="1:6" x14ac:dyDescent="0.2">
      <c r="A585">
        <v>2022</v>
      </c>
      <c r="B585" t="s">
        <v>101</v>
      </c>
      <c r="C585" t="s">
        <v>11</v>
      </c>
      <c r="D585" s="1">
        <v>112771</v>
      </c>
      <c r="E585" s="1">
        <v>16549</v>
      </c>
      <c r="F585" s="1">
        <f t="shared" si="0"/>
        <v>129320</v>
      </c>
    </row>
    <row r="586" spans="1:6" x14ac:dyDescent="0.2">
      <c r="A586">
        <v>2022</v>
      </c>
      <c r="B586" t="s">
        <v>102</v>
      </c>
      <c r="C586" t="s">
        <v>12</v>
      </c>
      <c r="D586" s="1">
        <v>487348</v>
      </c>
      <c r="E586" s="1">
        <v>71518</v>
      </c>
      <c r="F586" s="1">
        <f t="shared" si="0"/>
        <v>558866</v>
      </c>
    </row>
    <row r="587" spans="1:6" x14ac:dyDescent="0.2">
      <c r="A587">
        <v>2022</v>
      </c>
      <c r="B587" t="s">
        <v>103</v>
      </c>
      <c r="C587" t="s">
        <v>13</v>
      </c>
      <c r="D587" s="1">
        <v>233997</v>
      </c>
      <c r="E587" s="1">
        <v>34339</v>
      </c>
      <c r="F587" s="1">
        <f t="shared" si="0"/>
        <v>268336</v>
      </c>
    </row>
    <row r="588" spans="1:6" x14ac:dyDescent="0.2">
      <c r="A588">
        <v>2022</v>
      </c>
      <c r="B588" t="s">
        <v>104</v>
      </c>
      <c r="C588" t="s">
        <v>14</v>
      </c>
      <c r="D588" s="1">
        <v>439717</v>
      </c>
      <c r="E588" s="1">
        <v>64529</v>
      </c>
      <c r="F588" s="1">
        <f t="shared" si="0"/>
        <v>504246</v>
      </c>
    </row>
    <row r="589" spans="1:6" x14ac:dyDescent="0.2">
      <c r="A589">
        <v>2022</v>
      </c>
      <c r="B589" t="s">
        <v>105</v>
      </c>
      <c r="C589" t="s">
        <v>15</v>
      </c>
      <c r="D589" s="1">
        <v>140818</v>
      </c>
      <c r="E589" s="1">
        <v>20665</v>
      </c>
      <c r="F589" s="1">
        <f t="shared" si="0"/>
        <v>161483</v>
      </c>
    </row>
    <row r="590" spans="1:6" x14ac:dyDescent="0.2">
      <c r="A590">
        <v>2022</v>
      </c>
      <c r="B590" t="s">
        <v>106</v>
      </c>
      <c r="C590" t="s">
        <v>16</v>
      </c>
      <c r="D590" s="1">
        <v>1116725</v>
      </c>
      <c r="E590" s="1">
        <v>163880</v>
      </c>
      <c r="F590" s="1">
        <f t="shared" si="0"/>
        <v>1280605</v>
      </c>
    </row>
    <row r="591" spans="1:6" x14ac:dyDescent="0.2">
      <c r="A591">
        <v>2022</v>
      </c>
      <c r="B591" t="s">
        <v>107</v>
      </c>
      <c r="C591" t="s">
        <v>17</v>
      </c>
      <c r="D591" s="1">
        <v>532074</v>
      </c>
      <c r="E591" s="1">
        <v>78082</v>
      </c>
      <c r="F591" s="1">
        <f t="shared" si="0"/>
        <v>610156</v>
      </c>
    </row>
    <row r="592" spans="1:6" x14ac:dyDescent="0.2">
      <c r="A592">
        <v>2022</v>
      </c>
      <c r="B592" t="s">
        <v>108</v>
      </c>
      <c r="C592" t="s">
        <v>18</v>
      </c>
      <c r="D592" s="1">
        <v>759799</v>
      </c>
      <c r="E592" s="1">
        <v>111501</v>
      </c>
      <c r="F592" s="1">
        <f t="shared" si="0"/>
        <v>871300</v>
      </c>
    </row>
    <row r="593" spans="1:6" x14ac:dyDescent="0.2">
      <c r="A593">
        <v>2022</v>
      </c>
      <c r="B593" t="s">
        <v>109</v>
      </c>
      <c r="C593" t="s">
        <v>19</v>
      </c>
      <c r="D593" s="1">
        <v>1600196</v>
      </c>
      <c r="E593" s="1">
        <v>234829</v>
      </c>
      <c r="F593" s="1">
        <f t="shared" si="0"/>
        <v>1835025</v>
      </c>
    </row>
    <row r="594" spans="1:6" x14ac:dyDescent="0.2">
      <c r="A594">
        <v>2022</v>
      </c>
      <c r="B594" t="s">
        <v>110</v>
      </c>
      <c r="C594" t="s">
        <v>20</v>
      </c>
      <c r="D594" s="1">
        <v>209886</v>
      </c>
      <c r="E594" s="1">
        <v>30801</v>
      </c>
      <c r="F594" s="1">
        <f t="shared" si="0"/>
        <v>240687</v>
      </c>
    </row>
    <row r="595" spans="1:6" x14ac:dyDescent="0.2">
      <c r="A595">
        <v>2022</v>
      </c>
      <c r="B595" t="s">
        <v>111</v>
      </c>
      <c r="C595" t="s">
        <v>21</v>
      </c>
      <c r="D595" s="1">
        <v>280609</v>
      </c>
      <c r="E595" s="1">
        <v>41180</v>
      </c>
      <c r="F595" s="1">
        <f t="shared" si="0"/>
        <v>321789</v>
      </c>
    </row>
    <row r="596" spans="1:6" x14ac:dyDescent="0.2">
      <c r="A596">
        <v>2022</v>
      </c>
      <c r="B596" t="s">
        <v>112</v>
      </c>
      <c r="C596" t="s">
        <v>22</v>
      </c>
      <c r="D596" s="1">
        <v>501367</v>
      </c>
      <c r="E596" s="1">
        <v>73576</v>
      </c>
      <c r="F596" s="1">
        <f t="shared" si="0"/>
        <v>574943</v>
      </c>
    </row>
    <row r="597" spans="1:6" x14ac:dyDescent="0.2">
      <c r="A597">
        <v>2022</v>
      </c>
      <c r="B597" t="s">
        <v>113</v>
      </c>
      <c r="C597" t="s">
        <v>23</v>
      </c>
      <c r="D597" s="1">
        <v>763594</v>
      </c>
      <c r="E597" s="1">
        <v>112057</v>
      </c>
      <c r="F597" s="1">
        <f t="shared" si="0"/>
        <v>875651</v>
      </c>
    </row>
    <row r="598" spans="1:6" x14ac:dyDescent="0.2">
      <c r="A598">
        <v>2022</v>
      </c>
      <c r="B598" t="s">
        <v>114</v>
      </c>
      <c r="C598" t="s">
        <v>24</v>
      </c>
      <c r="D598" s="1">
        <v>1114370</v>
      </c>
      <c r="E598" s="1">
        <v>163534</v>
      </c>
      <c r="F598" s="1">
        <f t="shared" si="0"/>
        <v>1277904</v>
      </c>
    </row>
    <row r="599" spans="1:6" x14ac:dyDescent="0.2">
      <c r="A599">
        <v>2022</v>
      </c>
      <c r="B599" t="s">
        <v>115</v>
      </c>
      <c r="C599" t="s">
        <v>25</v>
      </c>
      <c r="D599" s="1">
        <v>400159</v>
      </c>
      <c r="E599" s="1">
        <v>58723</v>
      </c>
      <c r="F599" s="1">
        <f t="shared" si="0"/>
        <v>458882</v>
      </c>
    </row>
    <row r="600" spans="1:6" x14ac:dyDescent="0.2">
      <c r="A600">
        <v>2022</v>
      </c>
      <c r="B600" t="s">
        <v>116</v>
      </c>
      <c r="C600" t="s">
        <v>30</v>
      </c>
      <c r="D600" s="1">
        <v>281049</v>
      </c>
      <c r="E600" s="1">
        <v>41244</v>
      </c>
      <c r="F600" s="1">
        <f t="shared" si="0"/>
        <v>322293</v>
      </c>
    </row>
    <row r="601" spans="1:6" x14ac:dyDescent="0.2">
      <c r="A601">
        <v>2022</v>
      </c>
      <c r="B601" t="s">
        <v>117</v>
      </c>
      <c r="C601" t="s">
        <v>31</v>
      </c>
      <c r="D601" s="1">
        <v>915953</v>
      </c>
      <c r="E601" s="1">
        <v>134416</v>
      </c>
      <c r="F601" s="1">
        <f t="shared" si="0"/>
        <v>1050369</v>
      </c>
    </row>
    <row r="602" spans="1:6" x14ac:dyDescent="0.2">
      <c r="A602">
        <v>2022</v>
      </c>
      <c r="B602" t="s">
        <v>118</v>
      </c>
      <c r="C602" t="s">
        <v>32</v>
      </c>
      <c r="D602" s="1">
        <v>436587</v>
      </c>
      <c r="E602" s="1">
        <v>64069</v>
      </c>
      <c r="F602" s="1">
        <f t="shared" si="0"/>
        <v>500656</v>
      </c>
    </row>
    <row r="603" spans="1:6" x14ac:dyDescent="0.2">
      <c r="A603">
        <v>2022</v>
      </c>
      <c r="B603" t="s">
        <v>119</v>
      </c>
      <c r="C603" t="s">
        <v>33</v>
      </c>
      <c r="D603" s="1">
        <v>333447</v>
      </c>
      <c r="E603" s="1">
        <v>48933</v>
      </c>
      <c r="F603" s="1">
        <f t="shared" si="0"/>
        <v>382380</v>
      </c>
    </row>
    <row r="604" spans="1:6" x14ac:dyDescent="0.2">
      <c r="A604">
        <v>2022</v>
      </c>
      <c r="B604" t="s">
        <v>120</v>
      </c>
      <c r="C604" t="s">
        <v>34</v>
      </c>
      <c r="D604" s="1">
        <v>1623669</v>
      </c>
      <c r="E604" s="1">
        <v>238274</v>
      </c>
      <c r="F604" s="1">
        <f t="shared" si="0"/>
        <v>1861943</v>
      </c>
    </row>
    <row r="605" spans="1:6" x14ac:dyDescent="0.2">
      <c r="A605">
        <v>2022</v>
      </c>
      <c r="B605" t="s">
        <v>121</v>
      </c>
      <c r="C605" t="s">
        <v>35</v>
      </c>
      <c r="D605" s="1">
        <v>183092</v>
      </c>
      <c r="E605" s="1">
        <v>26869</v>
      </c>
      <c r="F605" s="1">
        <f t="shared" si="0"/>
        <v>209961</v>
      </c>
    </row>
    <row r="606" spans="1:6" x14ac:dyDescent="0.2">
      <c r="A606">
        <v>2022</v>
      </c>
      <c r="B606" t="s">
        <v>122</v>
      </c>
      <c r="C606" t="s">
        <v>36</v>
      </c>
      <c r="D606" s="1">
        <v>164787</v>
      </c>
      <c r="E606" s="1">
        <v>24182</v>
      </c>
      <c r="F606" s="1">
        <f t="shared" si="0"/>
        <v>188969</v>
      </c>
    </row>
    <row r="607" spans="1:6" x14ac:dyDescent="0.2">
      <c r="A607">
        <v>2022</v>
      </c>
      <c r="B607" t="s">
        <v>123</v>
      </c>
      <c r="C607" t="s">
        <v>37</v>
      </c>
      <c r="D607" s="1">
        <v>254760</v>
      </c>
      <c r="E607" s="1">
        <v>37386</v>
      </c>
      <c r="F607" s="1">
        <f t="shared" si="0"/>
        <v>292146</v>
      </c>
    </row>
    <row r="608" spans="1:6" ht="17" customHeight="1" x14ac:dyDescent="0.2">
      <c r="A608">
        <v>2022</v>
      </c>
      <c r="B608" t="s">
        <v>124</v>
      </c>
      <c r="C608" t="s">
        <v>38</v>
      </c>
      <c r="D608" s="1">
        <v>769049</v>
      </c>
      <c r="E608" s="1">
        <v>112858</v>
      </c>
      <c r="F608" s="1">
        <f t="shared" si="0"/>
        <v>881907</v>
      </c>
    </row>
    <row r="609" spans="1:6" x14ac:dyDescent="0.2">
      <c r="A609">
        <v>2022</v>
      </c>
      <c r="B609" t="s">
        <v>126</v>
      </c>
      <c r="C609" t="s">
        <v>40</v>
      </c>
      <c r="D609" s="1">
        <v>180999</v>
      </c>
      <c r="E609" s="1">
        <v>26562</v>
      </c>
      <c r="F609" s="1">
        <f t="shared" si="0"/>
        <v>207561</v>
      </c>
    </row>
    <row r="610" spans="1:6" x14ac:dyDescent="0.2">
      <c r="A610">
        <v>2022</v>
      </c>
      <c r="B610" t="s">
        <v>127</v>
      </c>
      <c r="C610" t="s">
        <v>41</v>
      </c>
      <c r="D610" s="1">
        <v>10445</v>
      </c>
      <c r="E610" s="1">
        <v>1533</v>
      </c>
      <c r="F610" s="1">
        <f t="shared" si="0"/>
        <v>11978</v>
      </c>
    </row>
    <row r="611" spans="1:6" x14ac:dyDescent="0.2">
      <c r="A611">
        <v>2022</v>
      </c>
      <c r="B611" t="s">
        <v>128</v>
      </c>
      <c r="C611" t="s">
        <v>42</v>
      </c>
      <c r="D611" s="1">
        <v>171875</v>
      </c>
      <c r="E611" s="1">
        <v>25223</v>
      </c>
      <c r="F611" s="1">
        <f t="shared" si="0"/>
        <v>197098</v>
      </c>
    </row>
    <row r="612" spans="1:6" x14ac:dyDescent="0.2">
      <c r="A612">
        <v>2022</v>
      </c>
      <c r="B612" t="s">
        <v>129</v>
      </c>
      <c r="C612" t="s">
        <v>43</v>
      </c>
      <c r="D612" s="1">
        <v>685380</v>
      </c>
      <c r="E612" s="1">
        <v>100579</v>
      </c>
      <c r="F612" s="1">
        <f t="shared" si="0"/>
        <v>785959</v>
      </c>
    </row>
    <row r="613" spans="1:6" x14ac:dyDescent="0.2">
      <c r="A613">
        <v>2022</v>
      </c>
      <c r="B613" t="s">
        <v>130</v>
      </c>
      <c r="C613" t="s">
        <v>44</v>
      </c>
      <c r="D613" s="1">
        <v>1000869</v>
      </c>
      <c r="E613" s="1">
        <v>146877</v>
      </c>
      <c r="F613" s="1">
        <f t="shared" si="0"/>
        <v>1147746</v>
      </c>
    </row>
    <row r="614" spans="1:6" x14ac:dyDescent="0.2">
      <c r="A614">
        <v>2022</v>
      </c>
      <c r="B614" t="s">
        <v>131</v>
      </c>
      <c r="C614" t="s">
        <v>45</v>
      </c>
      <c r="D614" s="1">
        <v>282005</v>
      </c>
      <c r="E614" s="1">
        <v>41385</v>
      </c>
      <c r="F614" s="1">
        <f t="shared" si="0"/>
        <v>323390</v>
      </c>
    </row>
    <row r="615" spans="1:6" x14ac:dyDescent="0.2">
      <c r="A615">
        <v>2022</v>
      </c>
      <c r="B615" t="s">
        <v>132</v>
      </c>
      <c r="C615" t="s">
        <v>46</v>
      </c>
      <c r="D615" s="1">
        <v>135292</v>
      </c>
      <c r="E615" s="1">
        <v>19854</v>
      </c>
      <c r="F615" s="1">
        <f t="shared" si="0"/>
        <v>155146</v>
      </c>
    </row>
    <row r="616" spans="1:6" x14ac:dyDescent="0.2">
      <c r="A616">
        <v>2022</v>
      </c>
      <c r="B616" t="s">
        <v>133</v>
      </c>
      <c r="C616" t="s">
        <v>47</v>
      </c>
      <c r="D616" s="1">
        <v>200770</v>
      </c>
      <c r="E616" s="1">
        <v>29463</v>
      </c>
      <c r="F616" s="1">
        <f t="shared" si="0"/>
        <v>230233</v>
      </c>
    </row>
    <row r="617" spans="1:6" x14ac:dyDescent="0.2">
      <c r="A617">
        <v>2022</v>
      </c>
      <c r="B617" t="s">
        <v>134</v>
      </c>
      <c r="C617" t="s">
        <v>48</v>
      </c>
      <c r="D617" s="1">
        <v>123067</v>
      </c>
      <c r="E617" s="1">
        <v>18060</v>
      </c>
      <c r="F617" s="1">
        <f t="shared" si="0"/>
        <v>141127</v>
      </c>
    </row>
    <row r="618" spans="1:6" x14ac:dyDescent="0.2">
      <c r="A618">
        <v>2022</v>
      </c>
      <c r="B618" t="s">
        <v>135</v>
      </c>
      <c r="C618" t="s">
        <v>49</v>
      </c>
      <c r="D618" s="1">
        <v>200987</v>
      </c>
      <c r="E618" s="1">
        <v>29495</v>
      </c>
      <c r="F618" s="1">
        <f t="shared" si="0"/>
        <v>230482</v>
      </c>
    </row>
    <row r="619" spans="1:6" x14ac:dyDescent="0.2">
      <c r="A619">
        <v>2022</v>
      </c>
      <c r="B619" t="s">
        <v>136</v>
      </c>
      <c r="C619" t="s">
        <v>50</v>
      </c>
      <c r="D619" s="1">
        <v>10830</v>
      </c>
      <c r="E619" s="1">
        <v>1589</v>
      </c>
      <c r="F619" s="1">
        <f t="shared" si="0"/>
        <v>12419</v>
      </c>
    </row>
    <row r="620" spans="1:6" x14ac:dyDescent="0.2">
      <c r="A620">
        <v>2022</v>
      </c>
      <c r="B620" t="s">
        <v>137</v>
      </c>
      <c r="C620" t="s">
        <v>51</v>
      </c>
      <c r="D620" s="1">
        <v>233064</v>
      </c>
      <c r="E620" s="1">
        <v>34202</v>
      </c>
      <c r="F620" s="1">
        <f t="shared" si="0"/>
        <v>267266</v>
      </c>
    </row>
    <row r="621" spans="1:6" x14ac:dyDescent="0.2">
      <c r="A621">
        <v>2022</v>
      </c>
      <c r="B621" t="s">
        <v>138</v>
      </c>
      <c r="C621" t="s">
        <v>52</v>
      </c>
      <c r="D621" s="1">
        <v>314566</v>
      </c>
      <c r="E621" s="1">
        <v>46163</v>
      </c>
      <c r="F621" s="1">
        <f t="shared" si="0"/>
        <v>360729</v>
      </c>
    </row>
    <row r="622" spans="1:6" x14ac:dyDescent="0.2">
      <c r="A622">
        <v>2022</v>
      </c>
      <c r="B622" t="s">
        <v>139</v>
      </c>
      <c r="C622" t="s">
        <v>53</v>
      </c>
      <c r="D622" s="1">
        <v>654862</v>
      </c>
      <c r="E622" s="1">
        <v>96101</v>
      </c>
      <c r="F622" s="1">
        <f t="shared" si="0"/>
        <v>750963</v>
      </c>
    </row>
    <row r="623" spans="1:6" x14ac:dyDescent="0.2">
      <c r="A623">
        <v>2022</v>
      </c>
      <c r="B623" t="s">
        <v>140</v>
      </c>
      <c r="C623" t="s">
        <v>54</v>
      </c>
      <c r="D623" s="1">
        <v>55438</v>
      </c>
      <c r="E623" s="1">
        <v>8136</v>
      </c>
      <c r="F623" s="1">
        <f t="shared" si="0"/>
        <v>63574</v>
      </c>
    </row>
    <row r="624" spans="1:6" x14ac:dyDescent="0.2">
      <c r="A624">
        <v>2022</v>
      </c>
      <c r="B624" t="s">
        <v>141</v>
      </c>
      <c r="C624" t="s">
        <v>55</v>
      </c>
      <c r="D624" s="1">
        <v>685005</v>
      </c>
      <c r="E624" s="1">
        <v>100525</v>
      </c>
      <c r="F624" s="1">
        <f t="shared" si="0"/>
        <v>785530</v>
      </c>
    </row>
    <row r="625" spans="1:6" x14ac:dyDescent="0.2">
      <c r="A625">
        <v>2022</v>
      </c>
      <c r="B625" t="s">
        <v>142</v>
      </c>
      <c r="C625" t="s">
        <v>56</v>
      </c>
      <c r="D625" s="1">
        <v>57253</v>
      </c>
      <c r="E625" s="1">
        <v>8402</v>
      </c>
      <c r="F625" s="1">
        <f t="shared" si="0"/>
        <v>65655</v>
      </c>
    </row>
    <row r="626" spans="1:6" x14ac:dyDescent="0.2">
      <c r="A626">
        <v>2022</v>
      </c>
      <c r="B626" t="s">
        <v>143</v>
      </c>
      <c r="C626" t="s">
        <v>57</v>
      </c>
      <c r="D626" s="1">
        <v>1062387</v>
      </c>
      <c r="E626" s="1">
        <v>155906</v>
      </c>
      <c r="F626" s="1">
        <f t="shared" si="0"/>
        <v>1218293</v>
      </c>
    </row>
    <row r="627" spans="1:6" x14ac:dyDescent="0.2">
      <c r="A627">
        <v>2022</v>
      </c>
      <c r="B627" t="s">
        <v>144</v>
      </c>
      <c r="C627" t="s">
        <v>58</v>
      </c>
      <c r="D627" s="1">
        <v>386532</v>
      </c>
      <c r="E627" s="1">
        <v>56724</v>
      </c>
      <c r="F627" s="1">
        <f t="shared" si="0"/>
        <v>443256</v>
      </c>
    </row>
    <row r="628" spans="1:6" x14ac:dyDescent="0.2">
      <c r="A628">
        <v>2022</v>
      </c>
      <c r="B628" t="s">
        <v>146</v>
      </c>
      <c r="C628" t="s">
        <v>60</v>
      </c>
      <c r="D628" s="1">
        <v>7721</v>
      </c>
      <c r="E628" s="1">
        <v>1133</v>
      </c>
      <c r="F628" s="1">
        <f t="shared" si="0"/>
        <v>8854</v>
      </c>
    </row>
    <row r="629" spans="1:6" x14ac:dyDescent="0.2">
      <c r="A629">
        <v>2022</v>
      </c>
      <c r="B629" t="s">
        <v>150</v>
      </c>
      <c r="C629" t="s">
        <v>64</v>
      </c>
      <c r="D629" s="1">
        <v>29769</v>
      </c>
      <c r="E629" s="1">
        <v>4368</v>
      </c>
      <c r="F629" s="1">
        <f t="shared" si="0"/>
        <v>34137</v>
      </c>
    </row>
    <row r="630" spans="1:6" x14ac:dyDescent="0.2">
      <c r="A630">
        <v>2022</v>
      </c>
      <c r="B630" t="s">
        <v>151</v>
      </c>
      <c r="C630" t="s">
        <v>65</v>
      </c>
      <c r="D630" s="1">
        <v>191010</v>
      </c>
      <c r="E630" s="1">
        <v>28031</v>
      </c>
      <c r="F630" s="1">
        <f t="shared" si="0"/>
        <v>219041</v>
      </c>
    </row>
    <row r="631" spans="1:6" x14ac:dyDescent="0.2">
      <c r="A631">
        <v>2022</v>
      </c>
      <c r="B631" t="s">
        <v>161</v>
      </c>
      <c r="C631" t="s">
        <v>70</v>
      </c>
      <c r="D631" s="1">
        <v>353334</v>
      </c>
      <c r="E631" s="1">
        <v>51852</v>
      </c>
      <c r="F631" s="1">
        <f t="shared" si="0"/>
        <v>405186</v>
      </c>
    </row>
    <row r="632" spans="1:6" x14ac:dyDescent="0.2">
      <c r="A632">
        <v>2022</v>
      </c>
      <c r="B632" t="s">
        <v>168</v>
      </c>
      <c r="C632" t="s">
        <v>78</v>
      </c>
      <c r="D632" s="1">
        <v>12015</v>
      </c>
      <c r="E632" s="1">
        <v>1764</v>
      </c>
      <c r="F632" s="1">
        <f t="shared" si="0"/>
        <v>13779</v>
      </c>
    </row>
    <row r="633" spans="1:6" x14ac:dyDescent="0.2">
      <c r="A633">
        <v>2022</v>
      </c>
      <c r="B633" t="s">
        <v>169</v>
      </c>
      <c r="C633" t="s">
        <v>80</v>
      </c>
      <c r="D633" s="1">
        <v>2405473</v>
      </c>
      <c r="E633" s="1">
        <v>353003</v>
      </c>
      <c r="F633" s="1">
        <f t="shared" si="0"/>
        <v>2758476</v>
      </c>
    </row>
    <row r="634" spans="1:6" x14ac:dyDescent="0.2">
      <c r="A634">
        <v>2022</v>
      </c>
      <c r="B634" t="s">
        <v>159</v>
      </c>
      <c r="C634" t="s">
        <v>68</v>
      </c>
      <c r="D634" s="1">
        <v>402077</v>
      </c>
      <c r="E634" s="1">
        <v>59005</v>
      </c>
      <c r="F634" s="1">
        <f t="shared" si="0"/>
        <v>461082</v>
      </c>
    </row>
    <row r="635" spans="1:6" x14ac:dyDescent="0.2">
      <c r="A635">
        <v>2022</v>
      </c>
      <c r="B635" t="s">
        <v>173</v>
      </c>
      <c r="C635" t="s">
        <v>172</v>
      </c>
      <c r="D635" s="1">
        <v>44926</v>
      </c>
      <c r="E635" s="1">
        <v>6593</v>
      </c>
      <c r="F635" s="1">
        <f t="shared" si="0"/>
        <v>51519</v>
      </c>
    </row>
    <row r="636" spans="1:6" x14ac:dyDescent="0.2">
      <c r="A636">
        <v>2022</v>
      </c>
      <c r="B636" t="s">
        <v>171</v>
      </c>
      <c r="C636" t="s">
        <v>82</v>
      </c>
      <c r="D636" s="1">
        <v>42555</v>
      </c>
      <c r="E636" s="1">
        <v>6245</v>
      </c>
      <c r="F636" s="1">
        <f t="shared" si="0"/>
        <v>48800</v>
      </c>
    </row>
    <row r="637" spans="1:6" x14ac:dyDescent="0.2">
      <c r="A637">
        <v>2022</v>
      </c>
      <c r="B637" t="s">
        <v>167</v>
      </c>
      <c r="C637" t="s">
        <v>77</v>
      </c>
      <c r="D637" s="1">
        <v>1390</v>
      </c>
      <c r="E637" s="1">
        <v>204</v>
      </c>
      <c r="F637" s="1">
        <f t="shared" si="0"/>
        <v>1594</v>
      </c>
    </row>
    <row r="638" spans="1:6" x14ac:dyDescent="0.2">
      <c r="A638">
        <v>2022</v>
      </c>
      <c r="B638" t="s">
        <v>166</v>
      </c>
      <c r="C638" t="s">
        <v>75</v>
      </c>
      <c r="D638" s="1">
        <v>26341</v>
      </c>
      <c r="E638" s="1">
        <v>3866</v>
      </c>
      <c r="F638" s="1">
        <f t="shared" si="0"/>
        <v>30207</v>
      </c>
    </row>
    <row r="639" spans="1:6" x14ac:dyDescent="0.2">
      <c r="A639">
        <v>2022</v>
      </c>
      <c r="B639" t="s">
        <v>165</v>
      </c>
      <c r="C639" t="s">
        <v>74</v>
      </c>
      <c r="D639" s="1">
        <v>4137</v>
      </c>
      <c r="E639" s="1">
        <v>607</v>
      </c>
      <c r="F639" s="1">
        <f t="shared" ref="F639:F654" si="1">SUM(D639:E639)</f>
        <v>4744</v>
      </c>
    </row>
    <row r="640" spans="1:6" x14ac:dyDescent="0.2">
      <c r="A640">
        <v>2022</v>
      </c>
      <c r="B640" t="s">
        <v>145</v>
      </c>
      <c r="C640" t="s">
        <v>59</v>
      </c>
      <c r="D640" s="1">
        <v>32400</v>
      </c>
      <c r="E640" s="1">
        <v>4755</v>
      </c>
      <c r="F640" s="1">
        <f t="shared" si="1"/>
        <v>37155</v>
      </c>
    </row>
    <row r="641" spans="1:6" x14ac:dyDescent="0.2">
      <c r="A641">
        <v>2022</v>
      </c>
      <c r="B641" t="s">
        <v>147</v>
      </c>
      <c r="C641" t="s">
        <v>61</v>
      </c>
      <c r="D641" s="1">
        <v>23790</v>
      </c>
      <c r="E641" s="1">
        <v>3491</v>
      </c>
      <c r="F641" s="1">
        <f t="shared" si="1"/>
        <v>27281</v>
      </c>
    </row>
    <row r="642" spans="1:6" x14ac:dyDescent="0.2">
      <c r="A642">
        <v>2022</v>
      </c>
      <c r="B642" t="s">
        <v>148</v>
      </c>
      <c r="C642" t="s">
        <v>62</v>
      </c>
      <c r="D642" s="1">
        <v>22856</v>
      </c>
      <c r="E642" s="1">
        <v>3354</v>
      </c>
      <c r="F642" s="1">
        <f t="shared" si="1"/>
        <v>26210</v>
      </c>
    </row>
    <row r="643" spans="1:6" x14ac:dyDescent="0.2">
      <c r="A643">
        <v>2022</v>
      </c>
      <c r="B643" t="s">
        <v>149</v>
      </c>
      <c r="C643" t="s">
        <v>63</v>
      </c>
      <c r="D643" s="1">
        <v>62852</v>
      </c>
      <c r="E643" s="1">
        <v>9224</v>
      </c>
      <c r="F643" s="1">
        <f t="shared" si="1"/>
        <v>72076</v>
      </c>
    </row>
    <row r="644" spans="1:6" x14ac:dyDescent="0.2">
      <c r="A644">
        <v>2022</v>
      </c>
      <c r="B644" t="s">
        <v>152</v>
      </c>
      <c r="C644" t="s">
        <v>66</v>
      </c>
      <c r="D644" s="1">
        <v>8674</v>
      </c>
      <c r="E644" s="1">
        <v>1273</v>
      </c>
      <c r="F644" s="1">
        <f t="shared" si="1"/>
        <v>9947</v>
      </c>
    </row>
    <row r="645" spans="1:6" x14ac:dyDescent="0.2">
      <c r="A645">
        <v>2022</v>
      </c>
      <c r="B645" t="s">
        <v>162</v>
      </c>
      <c r="C645" t="s">
        <v>71</v>
      </c>
      <c r="D645" s="1">
        <v>45736</v>
      </c>
      <c r="E645" s="1">
        <v>6712</v>
      </c>
      <c r="F645" s="1">
        <f t="shared" si="1"/>
        <v>52448</v>
      </c>
    </row>
    <row r="646" spans="1:6" x14ac:dyDescent="0.2">
      <c r="A646">
        <v>2022</v>
      </c>
      <c r="B646" t="s">
        <v>153</v>
      </c>
      <c r="C646" t="s">
        <v>67</v>
      </c>
      <c r="D646" s="1">
        <v>32190</v>
      </c>
      <c r="E646" s="1">
        <v>4724</v>
      </c>
      <c r="F646" s="1">
        <f t="shared" si="1"/>
        <v>36914</v>
      </c>
    </row>
    <row r="647" spans="1:6" x14ac:dyDescent="0.2">
      <c r="A647">
        <v>2022</v>
      </c>
      <c r="B647" t="s">
        <v>163</v>
      </c>
      <c r="C647" t="s">
        <v>72</v>
      </c>
      <c r="D647" s="1">
        <v>19354</v>
      </c>
      <c r="E647" s="1">
        <v>2840</v>
      </c>
      <c r="F647" s="1">
        <f t="shared" si="1"/>
        <v>22194</v>
      </c>
    </row>
    <row r="648" spans="1:6" x14ac:dyDescent="0.2">
      <c r="A648">
        <v>2022</v>
      </c>
      <c r="B648" t="s">
        <v>160</v>
      </c>
      <c r="C648" t="s">
        <v>69</v>
      </c>
      <c r="D648" s="1">
        <v>27637</v>
      </c>
      <c r="E648" s="1">
        <v>4056</v>
      </c>
      <c r="F648" s="1">
        <f t="shared" si="1"/>
        <v>31693</v>
      </c>
    </row>
    <row r="649" spans="1:6" x14ac:dyDescent="0.2">
      <c r="A649">
        <v>2022</v>
      </c>
      <c r="B649" t="s">
        <v>170</v>
      </c>
      <c r="C649" t="s">
        <v>81</v>
      </c>
      <c r="D649" s="1">
        <v>14991</v>
      </c>
      <c r="E649" s="1">
        <v>2200</v>
      </c>
      <c r="F649" s="1">
        <f t="shared" si="1"/>
        <v>17191</v>
      </c>
    </row>
    <row r="650" spans="1:6" x14ac:dyDescent="0.2">
      <c r="A650">
        <v>2022</v>
      </c>
      <c r="B650" t="s">
        <v>154</v>
      </c>
      <c r="C650" t="s">
        <v>87</v>
      </c>
      <c r="D650" s="1">
        <v>500015</v>
      </c>
      <c r="E650" s="1">
        <v>73377</v>
      </c>
      <c r="F650" s="1">
        <f t="shared" si="1"/>
        <v>573392</v>
      </c>
    </row>
    <row r="651" spans="1:6" x14ac:dyDescent="0.2">
      <c r="A651">
        <v>2022</v>
      </c>
      <c r="B651" t="s">
        <v>155</v>
      </c>
      <c r="C651" t="s">
        <v>88</v>
      </c>
      <c r="D651" s="1">
        <v>269034</v>
      </c>
      <c r="E651" s="1">
        <v>39481</v>
      </c>
      <c r="F651" s="1">
        <f t="shared" si="1"/>
        <v>308515</v>
      </c>
    </row>
    <row r="652" spans="1:6" x14ac:dyDescent="0.2">
      <c r="A652">
        <v>2022</v>
      </c>
      <c r="B652" t="s">
        <v>156</v>
      </c>
      <c r="C652" t="s">
        <v>89</v>
      </c>
      <c r="D652" s="1">
        <v>641962</v>
      </c>
      <c r="E652" s="1">
        <v>94208</v>
      </c>
      <c r="F652" s="1">
        <f t="shared" si="1"/>
        <v>736170</v>
      </c>
    </row>
    <row r="653" spans="1:6" x14ac:dyDescent="0.2">
      <c r="A653">
        <v>2022</v>
      </c>
      <c r="B653" t="s">
        <v>158</v>
      </c>
      <c r="C653" t="s">
        <v>86</v>
      </c>
      <c r="D653" s="1">
        <v>281632070</v>
      </c>
      <c r="E653" s="1">
        <v>51731299</v>
      </c>
      <c r="F653" s="1">
        <f t="shared" si="1"/>
        <v>333363369</v>
      </c>
    </row>
    <row r="654" spans="1:6" x14ac:dyDescent="0.2">
      <c r="A654">
        <v>2022</v>
      </c>
      <c r="B654" t="s">
        <v>157</v>
      </c>
      <c r="C654" t="s">
        <v>85</v>
      </c>
      <c r="D654" s="1">
        <v>100085768</v>
      </c>
      <c r="E654" s="1">
        <v>14687590</v>
      </c>
      <c r="F654" s="1">
        <f t="shared" si="1"/>
        <v>114773358</v>
      </c>
    </row>
    <row r="655" spans="1:6" x14ac:dyDescent="0.2">
      <c r="A655">
        <v>2023</v>
      </c>
      <c r="B655" t="s">
        <v>90</v>
      </c>
      <c r="C655" t="s">
        <v>0</v>
      </c>
      <c r="D655">
        <v>100118</v>
      </c>
      <c r="E655">
        <v>10031</v>
      </c>
      <c r="F655">
        <v>110149</v>
      </c>
    </row>
    <row r="656" spans="1:6" x14ac:dyDescent="0.2">
      <c r="A656">
        <v>2023</v>
      </c>
      <c r="B656" t="s">
        <v>91</v>
      </c>
      <c r="C656" t="s">
        <v>1</v>
      </c>
      <c r="D656">
        <v>1478183</v>
      </c>
      <c r="E656">
        <v>148099</v>
      </c>
      <c r="F656">
        <v>1626282</v>
      </c>
    </row>
    <row r="657" spans="1:6" x14ac:dyDescent="0.2">
      <c r="A657">
        <v>2023</v>
      </c>
      <c r="B657" t="s">
        <v>92</v>
      </c>
      <c r="C657" t="s">
        <v>2</v>
      </c>
      <c r="D657">
        <v>359421</v>
      </c>
      <c r="E657">
        <v>36010</v>
      </c>
      <c r="F657">
        <v>395431</v>
      </c>
    </row>
    <row r="658" spans="1:6" x14ac:dyDescent="0.2">
      <c r="A658">
        <v>2023</v>
      </c>
      <c r="B658" t="s">
        <v>93</v>
      </c>
      <c r="C658" t="s">
        <v>3</v>
      </c>
      <c r="D658">
        <v>151614</v>
      </c>
      <c r="E658">
        <v>15190</v>
      </c>
      <c r="F658">
        <v>166804</v>
      </c>
    </row>
    <row r="659" spans="1:6" x14ac:dyDescent="0.2">
      <c r="A659">
        <v>2023</v>
      </c>
      <c r="B659" t="s">
        <v>94</v>
      </c>
      <c r="C659" t="s">
        <v>4</v>
      </c>
      <c r="D659">
        <v>497450</v>
      </c>
      <c r="E659">
        <v>49840</v>
      </c>
      <c r="F659">
        <v>547290</v>
      </c>
    </row>
    <row r="660" spans="1:6" x14ac:dyDescent="0.2">
      <c r="A660">
        <v>2023</v>
      </c>
      <c r="B660" t="s">
        <v>95</v>
      </c>
      <c r="C660" t="s">
        <v>5</v>
      </c>
      <c r="D660">
        <v>1704809</v>
      </c>
      <c r="E660">
        <v>170805</v>
      </c>
      <c r="F660">
        <v>1875614</v>
      </c>
    </row>
    <row r="661" spans="1:6" x14ac:dyDescent="0.2">
      <c r="A661">
        <v>2023</v>
      </c>
      <c r="B661" t="s">
        <v>96</v>
      </c>
      <c r="C661" t="s">
        <v>6</v>
      </c>
      <c r="D661">
        <v>93817</v>
      </c>
      <c r="E661">
        <v>9399</v>
      </c>
      <c r="F661">
        <v>103216</v>
      </c>
    </row>
    <row r="662" spans="1:6" x14ac:dyDescent="0.2">
      <c r="A662">
        <v>2023</v>
      </c>
      <c r="B662" t="s">
        <v>97</v>
      </c>
      <c r="C662" t="s">
        <v>7</v>
      </c>
      <c r="D662">
        <v>167663</v>
      </c>
      <c r="E662">
        <v>16798</v>
      </c>
      <c r="F662">
        <v>184461</v>
      </c>
    </row>
    <row r="663" spans="1:6" x14ac:dyDescent="0.2">
      <c r="A663">
        <v>2023</v>
      </c>
      <c r="B663" t="s">
        <v>98</v>
      </c>
      <c r="C663" t="s">
        <v>8</v>
      </c>
      <c r="D663">
        <v>343925</v>
      </c>
      <c r="E663">
        <v>34458</v>
      </c>
      <c r="F663">
        <v>378383</v>
      </c>
    </row>
    <row r="664" spans="1:6" x14ac:dyDescent="0.2">
      <c r="A664">
        <v>2023</v>
      </c>
      <c r="B664" t="s">
        <v>99</v>
      </c>
      <c r="C664" t="s">
        <v>9</v>
      </c>
      <c r="D664">
        <v>625092</v>
      </c>
      <c r="E664">
        <v>62628</v>
      </c>
      <c r="F664">
        <v>687720</v>
      </c>
    </row>
    <row r="665" spans="1:6" x14ac:dyDescent="0.2">
      <c r="A665">
        <v>2023</v>
      </c>
      <c r="B665" t="s">
        <v>100</v>
      </c>
      <c r="C665" t="s">
        <v>10</v>
      </c>
      <c r="D665">
        <v>84275</v>
      </c>
      <c r="E665">
        <v>8443</v>
      </c>
      <c r="F665">
        <v>92718</v>
      </c>
    </row>
    <row r="666" spans="1:6" x14ac:dyDescent="0.2">
      <c r="A666">
        <v>2023</v>
      </c>
      <c r="B666" t="s">
        <v>101</v>
      </c>
      <c r="C666" t="s">
        <v>11</v>
      </c>
      <c r="D666">
        <v>122420</v>
      </c>
      <c r="E666">
        <v>12265</v>
      </c>
      <c r="F666">
        <v>134685</v>
      </c>
    </row>
    <row r="667" spans="1:6" x14ac:dyDescent="0.2">
      <c r="A667">
        <v>2023</v>
      </c>
      <c r="B667" t="s">
        <v>102</v>
      </c>
      <c r="C667" t="s">
        <v>12</v>
      </c>
      <c r="D667">
        <v>588805</v>
      </c>
      <c r="E667">
        <v>58992</v>
      </c>
      <c r="F667">
        <v>647797</v>
      </c>
    </row>
    <row r="668" spans="1:6" x14ac:dyDescent="0.2">
      <c r="A668">
        <v>2023</v>
      </c>
      <c r="B668" t="s">
        <v>103</v>
      </c>
      <c r="C668" t="s">
        <v>13</v>
      </c>
      <c r="D668">
        <v>233923</v>
      </c>
      <c r="E668">
        <v>23437</v>
      </c>
      <c r="F668">
        <v>257360</v>
      </c>
    </row>
    <row r="669" spans="1:6" x14ac:dyDescent="0.2">
      <c r="A669">
        <v>2023</v>
      </c>
      <c r="B669" t="s">
        <v>104</v>
      </c>
      <c r="C669" t="s">
        <v>14</v>
      </c>
      <c r="D669">
        <v>486307</v>
      </c>
      <c r="E669">
        <v>48723</v>
      </c>
      <c r="F669">
        <v>535030</v>
      </c>
    </row>
    <row r="670" spans="1:6" x14ac:dyDescent="0.2">
      <c r="A670">
        <v>2023</v>
      </c>
      <c r="B670" t="s">
        <v>105</v>
      </c>
      <c r="C670" t="s">
        <v>15</v>
      </c>
      <c r="D670">
        <v>209047</v>
      </c>
      <c r="E670">
        <v>20944</v>
      </c>
      <c r="F670">
        <v>229991</v>
      </c>
    </row>
    <row r="671" spans="1:6" x14ac:dyDescent="0.2">
      <c r="A671">
        <v>2023</v>
      </c>
      <c r="B671" t="s">
        <v>106</v>
      </c>
      <c r="C671" t="s">
        <v>16</v>
      </c>
      <c r="D671">
        <v>1252633</v>
      </c>
      <c r="E671">
        <v>125501</v>
      </c>
      <c r="F671">
        <v>1378134</v>
      </c>
    </row>
    <row r="672" spans="1:6" x14ac:dyDescent="0.2">
      <c r="A672">
        <v>2023</v>
      </c>
      <c r="B672" t="s">
        <v>107</v>
      </c>
      <c r="C672" t="s">
        <v>17</v>
      </c>
      <c r="D672">
        <v>575911</v>
      </c>
      <c r="E672">
        <v>57700</v>
      </c>
      <c r="F672">
        <v>633611</v>
      </c>
    </row>
    <row r="673" spans="1:6" x14ac:dyDescent="0.2">
      <c r="A673">
        <v>2023</v>
      </c>
      <c r="B673" t="s">
        <v>108</v>
      </c>
      <c r="C673" t="s">
        <v>18</v>
      </c>
      <c r="D673">
        <v>870096</v>
      </c>
      <c r="E673">
        <v>87175</v>
      </c>
      <c r="F673">
        <v>957271</v>
      </c>
    </row>
    <row r="674" spans="1:6" x14ac:dyDescent="0.2">
      <c r="A674">
        <v>2023</v>
      </c>
      <c r="B674" t="s">
        <v>109</v>
      </c>
      <c r="C674" t="s">
        <v>19</v>
      </c>
      <c r="D674">
        <v>2296020</v>
      </c>
      <c r="E674">
        <v>230038</v>
      </c>
      <c r="F674">
        <v>2526058</v>
      </c>
    </row>
    <row r="675" spans="1:6" x14ac:dyDescent="0.2">
      <c r="A675">
        <v>2023</v>
      </c>
      <c r="B675" t="s">
        <v>110</v>
      </c>
      <c r="C675" t="s">
        <v>20</v>
      </c>
      <c r="D675">
        <v>161442</v>
      </c>
      <c r="E675">
        <v>16175</v>
      </c>
      <c r="F675">
        <v>177617</v>
      </c>
    </row>
    <row r="676" spans="1:6" x14ac:dyDescent="0.2">
      <c r="A676">
        <v>2023</v>
      </c>
      <c r="B676" t="s">
        <v>111</v>
      </c>
      <c r="C676" t="s">
        <v>21</v>
      </c>
      <c r="D676">
        <v>211092</v>
      </c>
      <c r="E676">
        <v>21149</v>
      </c>
      <c r="F676">
        <v>232241</v>
      </c>
    </row>
    <row r="677" spans="1:6" x14ac:dyDescent="0.2">
      <c r="A677">
        <v>2023</v>
      </c>
      <c r="B677" t="s">
        <v>112</v>
      </c>
      <c r="C677" t="s">
        <v>22</v>
      </c>
      <c r="D677">
        <v>358647</v>
      </c>
      <c r="E677">
        <v>35933</v>
      </c>
      <c r="F677">
        <v>394580</v>
      </c>
    </row>
    <row r="678" spans="1:6" x14ac:dyDescent="0.2">
      <c r="A678">
        <v>2023</v>
      </c>
      <c r="B678" t="s">
        <v>113</v>
      </c>
      <c r="C678" t="s">
        <v>23</v>
      </c>
      <c r="D678">
        <v>873376</v>
      </c>
      <c r="E678">
        <v>87503</v>
      </c>
      <c r="F678">
        <v>960879</v>
      </c>
    </row>
    <row r="679" spans="1:6" x14ac:dyDescent="0.2">
      <c r="A679">
        <v>2023</v>
      </c>
      <c r="B679" t="s">
        <v>114</v>
      </c>
      <c r="C679" t="s">
        <v>24</v>
      </c>
      <c r="D679">
        <v>1214824</v>
      </c>
      <c r="E679">
        <v>121713</v>
      </c>
      <c r="F679">
        <v>1336537</v>
      </c>
    </row>
    <row r="680" spans="1:6" x14ac:dyDescent="0.2">
      <c r="A680">
        <v>2023</v>
      </c>
      <c r="B680" t="s">
        <v>115</v>
      </c>
      <c r="C680" t="s">
        <v>25</v>
      </c>
      <c r="D680">
        <v>407071</v>
      </c>
      <c r="E680">
        <v>40784</v>
      </c>
      <c r="F680">
        <v>447855</v>
      </c>
    </row>
    <row r="681" spans="1:6" x14ac:dyDescent="0.2">
      <c r="A681">
        <v>2023</v>
      </c>
      <c r="B681" t="s">
        <v>116</v>
      </c>
      <c r="C681" t="s">
        <v>30</v>
      </c>
      <c r="D681">
        <v>267299</v>
      </c>
      <c r="E681">
        <v>26781</v>
      </c>
      <c r="F681">
        <v>294080</v>
      </c>
    </row>
    <row r="682" spans="1:6" x14ac:dyDescent="0.2">
      <c r="A682">
        <v>2023</v>
      </c>
      <c r="B682" t="s">
        <v>117</v>
      </c>
      <c r="C682" t="s">
        <v>31</v>
      </c>
      <c r="D682">
        <v>1070951</v>
      </c>
      <c r="E682">
        <v>107298</v>
      </c>
      <c r="F682">
        <v>1178249</v>
      </c>
    </row>
    <row r="683" spans="1:6" x14ac:dyDescent="0.2">
      <c r="A683">
        <v>2023</v>
      </c>
      <c r="B683" t="s">
        <v>118</v>
      </c>
      <c r="C683" t="s">
        <v>32</v>
      </c>
      <c r="D683">
        <v>494876</v>
      </c>
      <c r="E683">
        <v>49582</v>
      </c>
      <c r="F683">
        <v>544458</v>
      </c>
    </row>
    <row r="684" spans="1:6" x14ac:dyDescent="0.2">
      <c r="A684">
        <v>2023</v>
      </c>
      <c r="B684" t="s">
        <v>119</v>
      </c>
      <c r="C684" t="s">
        <v>33</v>
      </c>
      <c r="D684">
        <v>339272</v>
      </c>
      <c r="E684">
        <v>33992</v>
      </c>
      <c r="F684">
        <v>373264</v>
      </c>
    </row>
    <row r="685" spans="1:6" x14ac:dyDescent="0.2">
      <c r="A685">
        <v>2023</v>
      </c>
      <c r="B685" t="s">
        <v>120</v>
      </c>
      <c r="C685" t="s">
        <v>34</v>
      </c>
      <c r="D685">
        <v>1812162</v>
      </c>
      <c r="E685">
        <v>181560</v>
      </c>
      <c r="F685">
        <v>1993722</v>
      </c>
    </row>
    <row r="686" spans="1:6" x14ac:dyDescent="0.2">
      <c r="A686">
        <v>2023</v>
      </c>
      <c r="B686" t="s">
        <v>121</v>
      </c>
      <c r="C686" t="s">
        <v>35</v>
      </c>
      <c r="D686">
        <v>199809</v>
      </c>
      <c r="E686">
        <v>20019</v>
      </c>
      <c r="F686">
        <v>219828</v>
      </c>
    </row>
    <row r="687" spans="1:6" x14ac:dyDescent="0.2">
      <c r="A687">
        <v>2023</v>
      </c>
      <c r="B687" t="s">
        <v>122</v>
      </c>
      <c r="C687" t="s">
        <v>36</v>
      </c>
      <c r="D687">
        <v>105794</v>
      </c>
      <c r="E687">
        <v>10600</v>
      </c>
      <c r="F687">
        <v>116394</v>
      </c>
    </row>
    <row r="688" spans="1:6" x14ac:dyDescent="0.2">
      <c r="A688">
        <v>2023</v>
      </c>
      <c r="B688" t="s">
        <v>123</v>
      </c>
      <c r="C688" t="s">
        <v>37</v>
      </c>
      <c r="D688">
        <v>312304</v>
      </c>
      <c r="E688">
        <v>31290</v>
      </c>
      <c r="F688">
        <v>343594</v>
      </c>
    </row>
    <row r="689" spans="1:6" x14ac:dyDescent="0.2">
      <c r="A689">
        <v>2023</v>
      </c>
      <c r="B689" t="s">
        <v>124</v>
      </c>
      <c r="C689" t="s">
        <v>38</v>
      </c>
      <c r="D689">
        <v>767306</v>
      </c>
      <c r="E689">
        <v>76876</v>
      </c>
      <c r="F689">
        <v>844182</v>
      </c>
    </row>
    <row r="690" spans="1:6" x14ac:dyDescent="0.2">
      <c r="A690">
        <v>2023</v>
      </c>
      <c r="B690" t="s">
        <v>125</v>
      </c>
      <c r="C690" t="s">
        <v>39</v>
      </c>
      <c r="D690">
        <v>24799</v>
      </c>
      <c r="E690">
        <v>2485</v>
      </c>
      <c r="F690">
        <v>27284</v>
      </c>
    </row>
    <row r="691" spans="1:6" x14ac:dyDescent="0.2">
      <c r="A691">
        <v>2023</v>
      </c>
      <c r="B691" t="s">
        <v>126</v>
      </c>
      <c r="C691" t="s">
        <v>40</v>
      </c>
      <c r="D691">
        <v>194572</v>
      </c>
      <c r="E691">
        <v>19494</v>
      </c>
      <c r="F691">
        <v>214066</v>
      </c>
    </row>
    <row r="692" spans="1:6" x14ac:dyDescent="0.2">
      <c r="A692">
        <v>2023</v>
      </c>
      <c r="B692" t="s">
        <v>127</v>
      </c>
      <c r="C692" t="s">
        <v>41</v>
      </c>
      <c r="D692">
        <v>55992</v>
      </c>
      <c r="E692">
        <v>5610</v>
      </c>
      <c r="F692">
        <v>61602</v>
      </c>
    </row>
    <row r="693" spans="1:6" x14ac:dyDescent="0.2">
      <c r="A693">
        <v>2023</v>
      </c>
      <c r="B693" t="s">
        <v>128</v>
      </c>
      <c r="C693" t="s">
        <v>42</v>
      </c>
      <c r="D693">
        <v>90094</v>
      </c>
      <c r="E693">
        <v>9026</v>
      </c>
      <c r="F693">
        <v>99120</v>
      </c>
    </row>
    <row r="694" spans="1:6" x14ac:dyDescent="0.2">
      <c r="A694">
        <v>2023</v>
      </c>
      <c r="B694" t="s">
        <v>129</v>
      </c>
      <c r="C694" t="s">
        <v>43</v>
      </c>
      <c r="D694">
        <v>1299651</v>
      </c>
      <c r="E694">
        <v>130212</v>
      </c>
      <c r="F694">
        <v>1429863</v>
      </c>
    </row>
    <row r="695" spans="1:6" x14ac:dyDescent="0.2">
      <c r="A695">
        <v>2023</v>
      </c>
      <c r="B695" t="s">
        <v>130</v>
      </c>
      <c r="C695" t="s">
        <v>44</v>
      </c>
      <c r="D695">
        <v>978659</v>
      </c>
      <c r="E695">
        <v>98052</v>
      </c>
      <c r="F695">
        <v>1076711</v>
      </c>
    </row>
    <row r="696" spans="1:6" x14ac:dyDescent="0.2">
      <c r="A696">
        <v>2023</v>
      </c>
      <c r="B696" t="s">
        <v>131</v>
      </c>
      <c r="C696" t="s">
        <v>45</v>
      </c>
      <c r="D696">
        <v>340350</v>
      </c>
      <c r="E696">
        <v>34100</v>
      </c>
      <c r="F696">
        <v>374450</v>
      </c>
    </row>
    <row r="697" spans="1:6" x14ac:dyDescent="0.2">
      <c r="A697">
        <v>2023</v>
      </c>
      <c r="B697" t="s">
        <v>132</v>
      </c>
      <c r="C697" t="s">
        <v>46</v>
      </c>
      <c r="D697">
        <v>136592</v>
      </c>
      <c r="E697">
        <v>13685</v>
      </c>
      <c r="F697">
        <v>150277</v>
      </c>
    </row>
    <row r="698" spans="1:6" x14ac:dyDescent="0.2">
      <c r="A698">
        <v>2023</v>
      </c>
      <c r="B698" t="s">
        <v>133</v>
      </c>
      <c r="C698" t="s">
        <v>47</v>
      </c>
      <c r="D698">
        <v>218634</v>
      </c>
      <c r="E698">
        <v>21905</v>
      </c>
      <c r="F698">
        <v>240539</v>
      </c>
    </row>
    <row r="699" spans="1:6" x14ac:dyDescent="0.2">
      <c r="A699">
        <v>2023</v>
      </c>
      <c r="B699" t="s">
        <v>134</v>
      </c>
      <c r="C699" t="s">
        <v>48</v>
      </c>
      <c r="D699">
        <v>107622</v>
      </c>
      <c r="E699">
        <v>10783</v>
      </c>
      <c r="F699">
        <v>118405</v>
      </c>
    </row>
    <row r="700" spans="1:6" x14ac:dyDescent="0.2">
      <c r="A700">
        <v>2023</v>
      </c>
      <c r="B700" t="s">
        <v>135</v>
      </c>
      <c r="C700" t="s">
        <v>49</v>
      </c>
      <c r="D700">
        <v>259605</v>
      </c>
      <c r="E700">
        <v>26010</v>
      </c>
      <c r="F700">
        <v>285615</v>
      </c>
    </row>
    <row r="701" spans="1:6" x14ac:dyDescent="0.2">
      <c r="A701">
        <v>2023</v>
      </c>
      <c r="B701" t="s">
        <v>136</v>
      </c>
      <c r="C701" t="s">
        <v>50</v>
      </c>
      <c r="D701">
        <v>26522</v>
      </c>
      <c r="E701">
        <v>2657</v>
      </c>
      <c r="F701">
        <v>29179</v>
      </c>
    </row>
    <row r="702" spans="1:6" x14ac:dyDescent="0.2">
      <c r="A702">
        <v>2023</v>
      </c>
      <c r="B702" t="s">
        <v>137</v>
      </c>
      <c r="C702" t="s">
        <v>51</v>
      </c>
      <c r="D702">
        <v>301174</v>
      </c>
      <c r="E702">
        <v>30175</v>
      </c>
      <c r="F702">
        <v>331349</v>
      </c>
    </row>
    <row r="703" spans="1:6" x14ac:dyDescent="0.2">
      <c r="A703">
        <v>2023</v>
      </c>
      <c r="B703" t="s">
        <v>138</v>
      </c>
      <c r="C703" t="s">
        <v>52</v>
      </c>
      <c r="D703">
        <v>150383</v>
      </c>
      <c r="E703">
        <v>15067</v>
      </c>
      <c r="F703">
        <v>165450</v>
      </c>
    </row>
    <row r="704" spans="1:6" x14ac:dyDescent="0.2">
      <c r="A704">
        <v>2023</v>
      </c>
      <c r="B704" t="s">
        <v>139</v>
      </c>
      <c r="C704" t="s">
        <v>53</v>
      </c>
      <c r="D704">
        <v>785206</v>
      </c>
      <c r="E704">
        <v>78670</v>
      </c>
      <c r="F704">
        <v>863876</v>
      </c>
    </row>
    <row r="705" spans="1:6" x14ac:dyDescent="0.2">
      <c r="A705">
        <v>2023</v>
      </c>
      <c r="B705" t="s">
        <v>140</v>
      </c>
      <c r="C705" t="s">
        <v>54</v>
      </c>
      <c r="D705">
        <v>53150</v>
      </c>
      <c r="E705">
        <v>5325</v>
      </c>
      <c r="F705">
        <v>58475</v>
      </c>
    </row>
    <row r="706" spans="1:6" x14ac:dyDescent="0.2">
      <c r="A706">
        <v>2023</v>
      </c>
      <c r="B706" t="s">
        <v>141</v>
      </c>
      <c r="C706" t="s">
        <v>55</v>
      </c>
      <c r="D706">
        <v>722965</v>
      </c>
      <c r="E706">
        <v>72434</v>
      </c>
      <c r="F706">
        <v>795399</v>
      </c>
    </row>
    <row r="707" spans="1:6" x14ac:dyDescent="0.2">
      <c r="A707">
        <v>2023</v>
      </c>
      <c r="B707" t="s">
        <v>142</v>
      </c>
      <c r="C707" t="s">
        <v>56</v>
      </c>
      <c r="D707">
        <v>71679</v>
      </c>
      <c r="E707">
        <v>7182</v>
      </c>
      <c r="F707">
        <v>78861</v>
      </c>
    </row>
    <row r="708" spans="1:6" x14ac:dyDescent="0.2">
      <c r="A708">
        <v>2023</v>
      </c>
      <c r="B708" t="s">
        <v>143</v>
      </c>
      <c r="C708" t="s">
        <v>57</v>
      </c>
      <c r="D708">
        <v>1419030</v>
      </c>
      <c r="E708">
        <v>142172</v>
      </c>
      <c r="F708">
        <v>1561202</v>
      </c>
    </row>
    <row r="709" spans="1:6" x14ac:dyDescent="0.2">
      <c r="A709">
        <v>2023</v>
      </c>
      <c r="B709" t="s">
        <v>144</v>
      </c>
      <c r="C709" t="s">
        <v>58</v>
      </c>
      <c r="D709">
        <v>398924</v>
      </c>
      <c r="E709">
        <v>39968</v>
      </c>
      <c r="F709">
        <v>438892</v>
      </c>
    </row>
    <row r="710" spans="1:6" x14ac:dyDescent="0.2">
      <c r="A710">
        <v>2023</v>
      </c>
      <c r="B710" t="s">
        <v>146</v>
      </c>
      <c r="C710" t="s">
        <v>60</v>
      </c>
      <c r="D710">
        <v>8443</v>
      </c>
      <c r="E710">
        <v>846</v>
      </c>
      <c r="F710">
        <v>9289</v>
      </c>
    </row>
    <row r="711" spans="1:6" x14ac:dyDescent="0.2">
      <c r="A711">
        <v>2023</v>
      </c>
      <c r="B711" t="s">
        <v>150</v>
      </c>
      <c r="C711" t="s">
        <v>64</v>
      </c>
      <c r="D711">
        <v>36661</v>
      </c>
      <c r="E711">
        <v>3673</v>
      </c>
      <c r="F711">
        <v>40334</v>
      </c>
    </row>
    <row r="712" spans="1:6" x14ac:dyDescent="0.2">
      <c r="A712">
        <v>2023</v>
      </c>
      <c r="B712" t="s">
        <v>151</v>
      </c>
      <c r="C712" t="s">
        <v>65</v>
      </c>
      <c r="D712">
        <v>187318</v>
      </c>
      <c r="E712">
        <v>18767</v>
      </c>
      <c r="F712">
        <v>206085</v>
      </c>
    </row>
    <row r="713" spans="1:6" x14ac:dyDescent="0.2">
      <c r="A713">
        <v>2023</v>
      </c>
      <c r="B713" t="s">
        <v>161</v>
      </c>
      <c r="C713" t="s">
        <v>70</v>
      </c>
      <c r="D713">
        <v>280973</v>
      </c>
      <c r="E713">
        <v>28151</v>
      </c>
      <c r="F713">
        <v>309124</v>
      </c>
    </row>
    <row r="714" spans="1:6" x14ac:dyDescent="0.2">
      <c r="A714">
        <v>2023</v>
      </c>
      <c r="B714" t="s">
        <v>168</v>
      </c>
      <c r="C714" t="s">
        <v>78</v>
      </c>
      <c r="D714">
        <v>11619</v>
      </c>
      <c r="E714">
        <v>1164</v>
      </c>
      <c r="F714">
        <v>12783</v>
      </c>
    </row>
    <row r="715" spans="1:6" x14ac:dyDescent="0.2">
      <c r="A715">
        <v>2023</v>
      </c>
      <c r="B715" t="s">
        <v>154</v>
      </c>
      <c r="C715" t="s">
        <v>87</v>
      </c>
      <c r="D715">
        <v>501179</v>
      </c>
      <c r="E715">
        <v>50213</v>
      </c>
      <c r="F715">
        <v>551392</v>
      </c>
    </row>
    <row r="716" spans="1:6" x14ac:dyDescent="0.2">
      <c r="A716">
        <v>2023</v>
      </c>
      <c r="B716" t="s">
        <v>155</v>
      </c>
      <c r="C716" t="s">
        <v>88</v>
      </c>
      <c r="D716">
        <v>286681</v>
      </c>
      <c r="E716">
        <v>28723</v>
      </c>
      <c r="F716">
        <v>315404</v>
      </c>
    </row>
    <row r="717" spans="1:6" x14ac:dyDescent="0.2">
      <c r="A717">
        <v>2023</v>
      </c>
      <c r="B717" t="s">
        <v>156</v>
      </c>
      <c r="C717" t="s">
        <v>89</v>
      </c>
      <c r="D717">
        <v>719556</v>
      </c>
      <c r="E717">
        <v>72092</v>
      </c>
      <c r="F717">
        <v>791648</v>
      </c>
    </row>
    <row r="718" spans="1:6" x14ac:dyDescent="0.2">
      <c r="A718">
        <v>2023</v>
      </c>
      <c r="B718" t="s">
        <v>169</v>
      </c>
      <c r="C718" t="s">
        <v>80</v>
      </c>
      <c r="D718">
        <v>2673121</v>
      </c>
      <c r="E718">
        <v>267820</v>
      </c>
      <c r="F718">
        <v>2940941</v>
      </c>
    </row>
    <row r="719" spans="1:6" x14ac:dyDescent="0.2">
      <c r="A719">
        <v>2023</v>
      </c>
      <c r="B719" t="s">
        <v>159</v>
      </c>
      <c r="C719" t="s">
        <v>68</v>
      </c>
      <c r="D719">
        <v>440531</v>
      </c>
      <c r="E719">
        <v>44137</v>
      </c>
      <c r="F719">
        <v>484668</v>
      </c>
    </row>
    <row r="720" spans="1:6" x14ac:dyDescent="0.2">
      <c r="A720">
        <v>2023</v>
      </c>
      <c r="B720" t="s">
        <v>173</v>
      </c>
      <c r="C720" t="s">
        <v>172</v>
      </c>
      <c r="D720">
        <v>49120</v>
      </c>
      <c r="E720">
        <v>4921</v>
      </c>
      <c r="F720">
        <v>54041</v>
      </c>
    </row>
    <row r="721" spans="1:6" x14ac:dyDescent="0.2">
      <c r="A721">
        <v>2023</v>
      </c>
      <c r="B721" t="s">
        <v>176</v>
      </c>
      <c r="C721" t="s">
        <v>79</v>
      </c>
      <c r="D721">
        <v>0</v>
      </c>
      <c r="E721">
        <v>0</v>
      </c>
      <c r="F721">
        <v>0</v>
      </c>
    </row>
    <row r="722" spans="1:6" x14ac:dyDescent="0.2">
      <c r="A722">
        <v>2023</v>
      </c>
      <c r="B722" t="s">
        <v>171</v>
      </c>
      <c r="C722" t="s">
        <v>82</v>
      </c>
      <c r="D722">
        <v>45662</v>
      </c>
      <c r="E722">
        <v>4575</v>
      </c>
      <c r="F722">
        <v>50237</v>
      </c>
    </row>
    <row r="723" spans="1:6" x14ac:dyDescent="0.2">
      <c r="A723">
        <v>2023</v>
      </c>
      <c r="B723" t="s">
        <v>177</v>
      </c>
      <c r="C723" t="s">
        <v>76</v>
      </c>
      <c r="D723">
        <v>0</v>
      </c>
      <c r="E723">
        <v>0</v>
      </c>
      <c r="F723">
        <v>0</v>
      </c>
    </row>
    <row r="724" spans="1:6" x14ac:dyDescent="0.2">
      <c r="A724">
        <v>2023</v>
      </c>
      <c r="B724" t="s">
        <v>167</v>
      </c>
      <c r="C724" t="s">
        <v>77</v>
      </c>
      <c r="D724">
        <v>0</v>
      </c>
      <c r="E724">
        <v>0</v>
      </c>
      <c r="F724">
        <v>0</v>
      </c>
    </row>
    <row r="725" spans="1:6" x14ac:dyDescent="0.2">
      <c r="A725">
        <v>2023</v>
      </c>
      <c r="B725" t="s">
        <v>166</v>
      </c>
      <c r="C725" t="s">
        <v>75</v>
      </c>
      <c r="D725">
        <v>8453</v>
      </c>
      <c r="E725">
        <v>847</v>
      </c>
      <c r="F725">
        <v>9300</v>
      </c>
    </row>
    <row r="726" spans="1:6" x14ac:dyDescent="0.2">
      <c r="A726">
        <v>2023</v>
      </c>
      <c r="B726" t="s">
        <v>165</v>
      </c>
      <c r="C726" t="s">
        <v>74</v>
      </c>
      <c r="D726">
        <v>0</v>
      </c>
      <c r="E726">
        <v>0</v>
      </c>
      <c r="F726">
        <v>0</v>
      </c>
    </row>
    <row r="727" spans="1:6" x14ac:dyDescent="0.2">
      <c r="A727">
        <v>2023</v>
      </c>
      <c r="B727" t="s">
        <v>145</v>
      </c>
      <c r="C727" t="s">
        <v>59</v>
      </c>
      <c r="D727">
        <v>33639</v>
      </c>
      <c r="E727">
        <v>3370</v>
      </c>
      <c r="F727">
        <v>37009</v>
      </c>
    </row>
    <row r="728" spans="1:6" x14ac:dyDescent="0.2">
      <c r="A728">
        <v>2023</v>
      </c>
      <c r="B728" t="s">
        <v>147</v>
      </c>
      <c r="C728" t="s">
        <v>61</v>
      </c>
      <c r="D728">
        <v>27263</v>
      </c>
      <c r="E728">
        <v>2732</v>
      </c>
      <c r="F728">
        <v>29995</v>
      </c>
    </row>
    <row r="729" spans="1:6" x14ac:dyDescent="0.2">
      <c r="A729">
        <v>2023</v>
      </c>
      <c r="B729" t="s">
        <v>148</v>
      </c>
      <c r="C729" t="s">
        <v>62</v>
      </c>
      <c r="D729">
        <v>24670</v>
      </c>
      <c r="E729">
        <v>2472</v>
      </c>
      <c r="F729">
        <v>27142</v>
      </c>
    </row>
    <row r="730" spans="1:6" x14ac:dyDescent="0.2">
      <c r="A730">
        <v>2023</v>
      </c>
      <c r="B730" t="s">
        <v>149</v>
      </c>
      <c r="C730" t="s">
        <v>63</v>
      </c>
      <c r="D730">
        <v>24436</v>
      </c>
      <c r="E730">
        <v>2448</v>
      </c>
      <c r="F730">
        <v>26884</v>
      </c>
    </row>
    <row r="731" spans="1:6" x14ac:dyDescent="0.2">
      <c r="A731">
        <v>2023</v>
      </c>
      <c r="B731" t="s">
        <v>152</v>
      </c>
      <c r="C731" t="s">
        <v>66</v>
      </c>
      <c r="D731">
        <v>1458</v>
      </c>
      <c r="E731">
        <v>146</v>
      </c>
      <c r="F731">
        <v>1604</v>
      </c>
    </row>
    <row r="732" spans="1:6" x14ac:dyDescent="0.2">
      <c r="A732">
        <v>2023</v>
      </c>
      <c r="B732" t="s">
        <v>162</v>
      </c>
      <c r="C732" t="s">
        <v>71</v>
      </c>
      <c r="D732">
        <v>49157</v>
      </c>
      <c r="E732">
        <v>4925</v>
      </c>
      <c r="F732">
        <v>54082</v>
      </c>
    </row>
    <row r="733" spans="1:6" x14ac:dyDescent="0.2">
      <c r="A733">
        <v>2023</v>
      </c>
      <c r="B733" t="s">
        <v>153</v>
      </c>
      <c r="C733" t="s">
        <v>67</v>
      </c>
      <c r="D733">
        <v>3092</v>
      </c>
      <c r="E733">
        <v>310</v>
      </c>
      <c r="F733">
        <v>3402</v>
      </c>
    </row>
    <row r="734" spans="1:6" x14ac:dyDescent="0.2">
      <c r="A734">
        <v>2023</v>
      </c>
      <c r="B734" t="s">
        <v>163</v>
      </c>
      <c r="C734" t="s">
        <v>72</v>
      </c>
      <c r="D734">
        <v>14410</v>
      </c>
      <c r="E734">
        <v>1444</v>
      </c>
      <c r="F734">
        <v>15854</v>
      </c>
    </row>
    <row r="735" spans="1:6" x14ac:dyDescent="0.2">
      <c r="A735">
        <v>2023</v>
      </c>
      <c r="B735" t="s">
        <v>160</v>
      </c>
      <c r="C735" t="s">
        <v>69</v>
      </c>
      <c r="D735">
        <v>23181</v>
      </c>
      <c r="E735">
        <v>2323</v>
      </c>
      <c r="F735">
        <v>25504</v>
      </c>
    </row>
    <row r="736" spans="1:6" x14ac:dyDescent="0.2">
      <c r="A736">
        <v>2023</v>
      </c>
      <c r="B736" t="s">
        <v>170</v>
      </c>
      <c r="C736" t="s">
        <v>81</v>
      </c>
      <c r="D736">
        <v>16129</v>
      </c>
      <c r="E736">
        <v>1616</v>
      </c>
      <c r="F736">
        <v>17745</v>
      </c>
    </row>
    <row r="737" spans="1:6" x14ac:dyDescent="0.2">
      <c r="A737">
        <v>2023</v>
      </c>
      <c r="B737" t="s">
        <v>164</v>
      </c>
      <c r="C737" t="s">
        <v>73</v>
      </c>
      <c r="D737">
        <v>0</v>
      </c>
      <c r="E737">
        <v>0</v>
      </c>
      <c r="F737">
        <v>0</v>
      </c>
    </row>
    <row r="738" spans="1:6" x14ac:dyDescent="0.2">
      <c r="A738">
        <v>2023</v>
      </c>
      <c r="B738" t="s">
        <v>174</v>
      </c>
      <c r="C738" t="s">
        <v>175</v>
      </c>
      <c r="D738">
        <v>8920</v>
      </c>
      <c r="E738">
        <v>894</v>
      </c>
      <c r="F738">
        <v>9814</v>
      </c>
    </row>
    <row r="739" spans="1:6" x14ac:dyDescent="0.2">
      <c r="A739">
        <v>2023</v>
      </c>
      <c r="B739" t="s">
        <v>157</v>
      </c>
      <c r="C739" t="s">
        <v>85</v>
      </c>
      <c r="D739">
        <v>101255002</v>
      </c>
      <c r="E739">
        <v>10144721</v>
      </c>
      <c r="F739">
        <v>111399723</v>
      </c>
    </row>
    <row r="740" spans="1:6" x14ac:dyDescent="0.2">
      <c r="A740">
        <v>2023</v>
      </c>
      <c r="B740" t="s">
        <v>158</v>
      </c>
      <c r="C740" t="s">
        <v>86</v>
      </c>
      <c r="D740">
        <v>271978964</v>
      </c>
      <c r="E740">
        <v>31791932</v>
      </c>
      <c r="F740">
        <v>303770896</v>
      </c>
    </row>
    <row r="742" spans="1:6" x14ac:dyDescent="0.2">
      <c r="C742" t="s">
        <v>178</v>
      </c>
    </row>
    <row r="743" spans="1:6" x14ac:dyDescent="0.2">
      <c r="C743">
        <v>2015</v>
      </c>
      <c r="D743" s="1">
        <f>SUMIF($A$2:$A$740,$C743,D$2:D$740)</f>
        <v>454721000</v>
      </c>
      <c r="E743" s="1">
        <f t="shared" ref="E743:F750" si="2">SUMIF($A$2:$A$740,$C743,E$2:E$740)</f>
        <v>35919000</v>
      </c>
      <c r="F743" s="1">
        <f>SUMIF($A$2:$A$740,$C743,F$2:F$740)</f>
        <v>490640000</v>
      </c>
    </row>
    <row r="744" spans="1:6" x14ac:dyDescent="0.2">
      <c r="C744">
        <v>2016</v>
      </c>
      <c r="D744" s="1">
        <f t="shared" ref="D744:D750" si="3">SUMIF($A$2:$A$740,$C744,D$2:D$740)</f>
        <v>387685000</v>
      </c>
      <c r="E744" s="1">
        <f t="shared" si="2"/>
        <v>35510000</v>
      </c>
      <c r="F744" s="1">
        <f t="shared" si="2"/>
        <v>423195000</v>
      </c>
    </row>
    <row r="745" spans="1:6" x14ac:dyDescent="0.2">
      <c r="C745">
        <v>2017</v>
      </c>
      <c r="D745" s="1">
        <f t="shared" si="3"/>
        <v>413976000</v>
      </c>
      <c r="E745" s="1">
        <f t="shared" si="2"/>
        <v>37471000</v>
      </c>
      <c r="F745" s="1">
        <f t="shared" si="2"/>
        <v>451447000</v>
      </c>
    </row>
    <row r="746" spans="1:6" x14ac:dyDescent="0.2">
      <c r="C746">
        <v>2018</v>
      </c>
      <c r="D746" s="1">
        <f t="shared" si="3"/>
        <v>443800000</v>
      </c>
      <c r="E746" s="1">
        <f t="shared" si="2"/>
        <v>28037000</v>
      </c>
      <c r="F746" s="1">
        <f t="shared" si="2"/>
        <v>471837000</v>
      </c>
    </row>
    <row r="747" spans="1:6" x14ac:dyDescent="0.2">
      <c r="C747">
        <v>2019</v>
      </c>
      <c r="D747" s="1">
        <f t="shared" si="3"/>
        <v>433203000</v>
      </c>
      <c r="E747" s="1">
        <f t="shared" si="2"/>
        <v>48322000</v>
      </c>
      <c r="F747" s="1">
        <f t="shared" si="2"/>
        <v>481525000</v>
      </c>
    </row>
    <row r="748" spans="1:6" x14ac:dyDescent="0.2">
      <c r="C748">
        <v>2020</v>
      </c>
      <c r="D748" s="1">
        <f t="shared" si="3"/>
        <v>413728000</v>
      </c>
      <c r="E748" s="1">
        <f t="shared" si="2"/>
        <v>50112000</v>
      </c>
      <c r="F748" s="1">
        <f t="shared" si="2"/>
        <v>463840000</v>
      </c>
    </row>
    <row r="749" spans="1:6" x14ac:dyDescent="0.2">
      <c r="C749">
        <v>2021</v>
      </c>
      <c r="D749" s="1">
        <f t="shared" si="3"/>
        <v>417334000</v>
      </c>
      <c r="E749" s="1">
        <f t="shared" si="2"/>
        <v>0</v>
      </c>
      <c r="F749" s="1">
        <f>D749</f>
        <v>417334000</v>
      </c>
    </row>
    <row r="750" spans="1:6" x14ac:dyDescent="0.2">
      <c r="C750">
        <v>2022</v>
      </c>
      <c r="D750" s="1">
        <f t="shared" si="3"/>
        <v>412124000</v>
      </c>
      <c r="E750" s="1">
        <f t="shared" si="2"/>
        <v>70881000</v>
      </c>
      <c r="F750" s="1">
        <f t="shared" si="2"/>
        <v>483005000</v>
      </c>
    </row>
    <row r="752" spans="1:6" x14ac:dyDescent="0.2">
      <c r="C752" t="s">
        <v>179</v>
      </c>
    </row>
    <row r="753" spans="3:6" x14ac:dyDescent="0.2">
      <c r="C753">
        <v>2015</v>
      </c>
      <c r="D753" s="1">
        <v>454721000</v>
      </c>
      <c r="E753" s="1">
        <v>35919000</v>
      </c>
      <c r="F753" s="1">
        <v>490640000</v>
      </c>
    </row>
    <row r="754" spans="3:6" x14ac:dyDescent="0.2">
      <c r="C754">
        <v>2016</v>
      </c>
      <c r="D754" s="1">
        <v>387685000</v>
      </c>
      <c r="E754" s="1">
        <v>35510000</v>
      </c>
      <c r="F754" s="1">
        <v>423195000</v>
      </c>
    </row>
    <row r="755" spans="3:6" x14ac:dyDescent="0.2">
      <c r="C755">
        <v>2017</v>
      </c>
      <c r="D755" s="1">
        <v>413976000</v>
      </c>
      <c r="E755" s="1">
        <v>37471000</v>
      </c>
      <c r="F755" s="1">
        <v>451447000</v>
      </c>
    </row>
    <row r="756" spans="3:6" x14ac:dyDescent="0.2">
      <c r="C756">
        <v>2018</v>
      </c>
      <c r="D756" s="1">
        <v>443800000</v>
      </c>
      <c r="E756" s="1">
        <v>28037000</v>
      </c>
      <c r="F756" s="1">
        <v>471837000</v>
      </c>
    </row>
    <row r="757" spans="3:6" x14ac:dyDescent="0.2">
      <c r="C757">
        <v>2019</v>
      </c>
      <c r="D757" s="1">
        <v>433203000</v>
      </c>
      <c r="E757" s="1">
        <v>48322000</v>
      </c>
      <c r="F757" s="1">
        <v>481525000</v>
      </c>
    </row>
    <row r="758" spans="3:6" x14ac:dyDescent="0.2">
      <c r="C758">
        <v>2020</v>
      </c>
      <c r="D758" s="1">
        <v>413728000</v>
      </c>
      <c r="E758" s="1">
        <v>50112000</v>
      </c>
      <c r="F758" s="1">
        <v>463840000</v>
      </c>
    </row>
    <row r="759" spans="3:6" x14ac:dyDescent="0.2">
      <c r="C759">
        <v>2021</v>
      </c>
      <c r="D759" s="1">
        <v>417334000</v>
      </c>
      <c r="E759" s="1">
        <v>0</v>
      </c>
      <c r="F759" s="1">
        <v>417334000</v>
      </c>
    </row>
    <row r="760" spans="3:6" x14ac:dyDescent="0.2">
      <c r="C760">
        <v>2022</v>
      </c>
      <c r="D760" s="1">
        <v>412124000</v>
      </c>
      <c r="E760" s="1">
        <v>70881000</v>
      </c>
      <c r="F760" s="1">
        <v>483005000</v>
      </c>
    </row>
    <row r="762" spans="3:6" x14ac:dyDescent="0.2">
      <c r="C762" s="2" t="s">
        <v>180</v>
      </c>
      <c r="D762" s="2"/>
      <c r="E762" s="2"/>
      <c r="F762" s="2"/>
    </row>
    <row r="763" spans="3:6" x14ac:dyDescent="0.2">
      <c r="C763" s="2">
        <v>2015</v>
      </c>
      <c r="D763" s="3">
        <f>D743-D753</f>
        <v>0</v>
      </c>
      <c r="E763" s="3">
        <f t="shared" ref="E763:F763" si="4">E743-E753</f>
        <v>0</v>
      </c>
      <c r="F763" s="3">
        <f t="shared" si="4"/>
        <v>0</v>
      </c>
    </row>
    <row r="764" spans="3:6" x14ac:dyDescent="0.2">
      <c r="C764" s="2">
        <v>2016</v>
      </c>
      <c r="D764" s="3">
        <f t="shared" ref="D764:F770" si="5">D744-D754</f>
        <v>0</v>
      </c>
      <c r="E764" s="3">
        <f t="shared" si="5"/>
        <v>0</v>
      </c>
      <c r="F764" s="3">
        <f t="shared" si="5"/>
        <v>0</v>
      </c>
    </row>
    <row r="765" spans="3:6" x14ac:dyDescent="0.2">
      <c r="C765" s="2">
        <v>2017</v>
      </c>
      <c r="D765" s="3">
        <f t="shared" si="5"/>
        <v>0</v>
      </c>
      <c r="E765" s="3">
        <f t="shared" si="5"/>
        <v>0</v>
      </c>
      <c r="F765" s="3">
        <f t="shared" si="5"/>
        <v>0</v>
      </c>
    </row>
    <row r="766" spans="3:6" x14ac:dyDescent="0.2">
      <c r="C766" s="2">
        <v>2018</v>
      </c>
      <c r="D766" s="3">
        <f t="shared" si="5"/>
        <v>0</v>
      </c>
      <c r="E766" s="3">
        <f t="shared" si="5"/>
        <v>0</v>
      </c>
      <c r="F766" s="3">
        <f t="shared" si="5"/>
        <v>0</v>
      </c>
    </row>
    <row r="767" spans="3:6" x14ac:dyDescent="0.2">
      <c r="C767" s="2">
        <v>2019</v>
      </c>
      <c r="D767" s="3">
        <f t="shared" si="5"/>
        <v>0</v>
      </c>
      <c r="E767" s="3">
        <f t="shared" si="5"/>
        <v>0</v>
      </c>
      <c r="F767" s="3">
        <f t="shared" si="5"/>
        <v>0</v>
      </c>
    </row>
    <row r="768" spans="3:6" x14ac:dyDescent="0.2">
      <c r="C768" s="2">
        <v>2020</v>
      </c>
      <c r="D768" s="3">
        <f t="shared" si="5"/>
        <v>0</v>
      </c>
      <c r="E768" s="3">
        <f t="shared" si="5"/>
        <v>0</v>
      </c>
      <c r="F768" s="3">
        <f t="shared" si="5"/>
        <v>0</v>
      </c>
    </row>
    <row r="769" spans="3:6" x14ac:dyDescent="0.2">
      <c r="C769" s="2">
        <v>2021</v>
      </c>
      <c r="D769" s="3">
        <f t="shared" si="5"/>
        <v>0</v>
      </c>
      <c r="E769" s="3">
        <f t="shared" si="5"/>
        <v>0</v>
      </c>
      <c r="F769" s="3">
        <f t="shared" si="5"/>
        <v>0</v>
      </c>
    </row>
    <row r="770" spans="3:6" x14ac:dyDescent="0.2">
      <c r="C770" s="2">
        <v>2022</v>
      </c>
      <c r="D770" s="3">
        <f t="shared" si="5"/>
        <v>0</v>
      </c>
      <c r="E770" s="3">
        <f t="shared" si="5"/>
        <v>0</v>
      </c>
      <c r="F770" s="3">
        <f>F750-F760</f>
        <v>0</v>
      </c>
    </row>
  </sheetData>
  <autoFilter ref="A1:F740" xr:uid="{FB022265-2141-A44D-BBAB-8069B41DD1B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D4BC-B77D-E843-A0B5-FF16F39A3510}">
  <sheetPr>
    <tabColor rgb="FFFFFF00"/>
  </sheetPr>
  <dimension ref="A1:R647"/>
  <sheetViews>
    <sheetView workbookViewId="0">
      <selection activeCell="I1" activeCellId="2" sqref="A1:D1048576 J1:J1048576 I1:I1048576"/>
    </sheetView>
  </sheetViews>
  <sheetFormatPr baseColWidth="10" defaultRowHeight="16" x14ac:dyDescent="0.2"/>
  <cols>
    <col min="3" max="3" width="36" customWidth="1"/>
    <col min="4" max="4" width="20.33203125" bestFit="1" customWidth="1"/>
    <col min="5" max="5" width="21.1640625" bestFit="1" customWidth="1"/>
    <col min="6" max="6" width="16.83203125" bestFit="1" customWidth="1"/>
    <col min="9" max="9" width="17.1640625" bestFit="1" customWidth="1"/>
    <col min="10" max="10" width="17.1640625" customWidth="1"/>
    <col min="13" max="13" width="40.5" bestFit="1" customWidth="1"/>
    <col min="15" max="15" width="20.33203125" bestFit="1" customWidth="1"/>
    <col min="16" max="16" width="21.1640625" bestFit="1" customWidth="1"/>
    <col min="17" max="17" width="16.83203125" bestFit="1" customWidth="1"/>
  </cols>
  <sheetData>
    <row r="1" spans="1:17" s="4" customFormat="1" x14ac:dyDescent="0.2">
      <c r="A1" s="4" t="s">
        <v>181</v>
      </c>
      <c r="B1" s="4" t="s">
        <v>182</v>
      </c>
      <c r="C1" s="4" t="s">
        <v>26</v>
      </c>
      <c r="D1" s="4" t="s">
        <v>184</v>
      </c>
      <c r="E1" s="4" t="s">
        <v>27</v>
      </c>
      <c r="F1" s="4" t="s">
        <v>187</v>
      </c>
      <c r="H1" s="4" t="s">
        <v>188</v>
      </c>
      <c r="I1" s="4" t="s">
        <v>185</v>
      </c>
      <c r="J1" s="4" t="s">
        <v>186</v>
      </c>
      <c r="L1" s="4" t="s">
        <v>181</v>
      </c>
      <c r="M1" s="4" t="s">
        <v>182</v>
      </c>
      <c r="N1" s="4" t="s">
        <v>26</v>
      </c>
      <c r="O1" s="4" t="s">
        <v>29</v>
      </c>
      <c r="P1" s="4" t="s">
        <v>27</v>
      </c>
      <c r="Q1" s="4" t="s">
        <v>28</v>
      </c>
    </row>
    <row r="2" spans="1:17" x14ac:dyDescent="0.2">
      <c r="A2">
        <v>2015</v>
      </c>
      <c r="C2" t="s">
        <v>0</v>
      </c>
      <c r="D2">
        <v>72951</v>
      </c>
      <c r="E2">
        <v>5762</v>
      </c>
      <c r="F2">
        <v>78713</v>
      </c>
      <c r="G2" cm="1">
        <f t="array" ref="G2">_xlfn.IFS(A2=$E$640,F2/$F$640,A2=$E$641,F2/$F$641,A2=$E$641,F2/$F$641,A2=$E$642,F2/$F$642,A2=$E$643,F2/$F$643,A2=$E$644,F2/$F$644,A2=$E$645,F2/$F$645,A2=$E$646,F2/$F$646,A2=$E$647,F2/$F$647)</f>
        <v>2.4454158836492417E-3</v>
      </c>
      <c r="H2" cm="1">
        <f t="array" ref="H2">_xlfn.IFS(A2=$P$24,G2*$Q$24,A2=$P$25,G2*$Q$25,A2=$P$26,G2*$Q$26,A2=$P$27,G2*$Q$27,A2=$P$28,G2*$Q$28,A2=$P$29,G2*$Q$29,A2=$P$30,G2*$Q$30,A2=$P$31,G2*$Q$31)</f>
        <v>1121105.849153664</v>
      </c>
      <c r="I2">
        <f>SUM(H2,E2)</f>
        <v>1126867.849153664</v>
      </c>
      <c r="J2" s="1">
        <f>SUM(I2,D2)</f>
        <v>1199818.849153664</v>
      </c>
      <c r="L2">
        <v>2015</v>
      </c>
      <c r="N2" t="s">
        <v>83</v>
      </c>
      <c r="O2">
        <v>108729623</v>
      </c>
      <c r="P2">
        <v>8588694</v>
      </c>
      <c r="Q2">
        <v>117318317</v>
      </c>
    </row>
    <row r="3" spans="1:17" x14ac:dyDescent="0.2">
      <c r="A3">
        <v>2015</v>
      </c>
      <c r="C3" t="s">
        <v>1</v>
      </c>
      <c r="D3">
        <v>1783435</v>
      </c>
      <c r="E3">
        <v>140876</v>
      </c>
      <c r="F3">
        <v>1924311</v>
      </c>
      <c r="G3" cm="1">
        <f t="array" ref="G3">_xlfn.IFS(A3=$E$640,F3/$F$640,A3=$E$641,F3/$F$641,A3=$E$641,F3/$F$641,A3=$E$642,F3/$F$642,A3=$E$643,F3/$F$643,A3=$E$644,F3/$F$644,A3=$E$645,F3/$F$645,A3=$E$646,F3/$F$646,A3=$E$647,F3/$F$647)</f>
        <v>5.978352603103624E-2</v>
      </c>
      <c r="H3" cm="1">
        <f t="array" ref="H3">_xlfn.IFS(A3=$P$24,G3*$Q$24,A3=$P$25,G3*$Q$25,A3=$P$26,G3*$Q$26,A3=$P$27,G3*$Q$27,A3=$P$28,G3*$Q$28,A3=$P$29,G3*$Q$29,A3=$P$30,G3*$Q$30,A3=$P$31,G3*$Q$31)</f>
        <v>27407878.211867619</v>
      </c>
      <c r="I3">
        <f t="shared" ref="I3:I66" si="0">SUM(H3,E3)</f>
        <v>27548754.211867619</v>
      </c>
      <c r="J3" s="1">
        <f t="shared" ref="J3:J66" si="1">SUM(I3,D3)</f>
        <v>29332189.211867619</v>
      </c>
      <c r="L3">
        <v>2016</v>
      </c>
      <c r="N3" t="s">
        <v>83</v>
      </c>
      <c r="O3">
        <v>102803167</v>
      </c>
      <c r="P3">
        <v>9416254</v>
      </c>
      <c r="Q3">
        <v>112219421</v>
      </c>
    </row>
    <row r="4" spans="1:17" x14ac:dyDescent="0.2">
      <c r="A4">
        <v>2015</v>
      </c>
      <c r="C4" t="s">
        <v>2</v>
      </c>
      <c r="D4">
        <v>659694</v>
      </c>
      <c r="E4">
        <v>52110</v>
      </c>
      <c r="F4">
        <v>711804</v>
      </c>
      <c r="G4" cm="1">
        <f t="array" ref="G4">_xlfn.IFS(A4=$E$640,F4/$F$640,A4=$E$641,F4/$F$641,A4=$E$641,F4/$F$641,A4=$E$642,F4/$F$642,A4=$E$643,F4/$F$643,A4=$E$644,F4/$F$644,A4=$E$645,F4/$F$645,A4=$E$646,F4/$F$646,A4=$E$647,F4/$F$647)</f>
        <v>2.2113968564850341E-2</v>
      </c>
      <c r="H4" cm="1">
        <f t="array" ref="H4">_xlfn.IFS(A4=$P$24,G4*$Q$24,A4=$P$25,G4*$Q$25,A4=$P$26,G4*$Q$26,A4=$P$27,G4*$Q$27,A4=$P$28,G4*$Q$28,A4=$P$29,G4*$Q$29,A4=$P$30,G4*$Q$30,A4=$P$31,G4*$Q$31)</f>
        <v>10138193.536658172</v>
      </c>
      <c r="I4">
        <f t="shared" si="0"/>
        <v>10190303.536658172</v>
      </c>
      <c r="J4" s="1">
        <f t="shared" si="1"/>
        <v>10849997.536658172</v>
      </c>
      <c r="L4">
        <v>2017</v>
      </c>
      <c r="N4" t="s">
        <v>85</v>
      </c>
      <c r="O4">
        <v>99335705</v>
      </c>
      <c r="P4">
        <v>8991362</v>
      </c>
      <c r="Q4">
        <v>108327067</v>
      </c>
    </row>
    <row r="5" spans="1:17" x14ac:dyDescent="0.2">
      <c r="A5">
        <v>2015</v>
      </c>
      <c r="C5" t="s">
        <v>3</v>
      </c>
      <c r="D5">
        <v>70962</v>
      </c>
      <c r="E5">
        <v>5606</v>
      </c>
      <c r="F5">
        <v>76568</v>
      </c>
      <c r="G5" cm="1">
        <f t="array" ref="G5">_xlfn.IFS(A5=$E$640,F5/$F$640,A5=$E$641,F5/$F$641,A5=$E$641,F5/$F$641,A5=$E$642,F5/$F$642,A5=$E$643,F5/$F$643,A5=$E$644,F5/$F$644,A5=$E$645,F5/$F$645,A5=$E$646,F5/$F$646,A5=$E$647,F5/$F$647)</f>
        <v>2.3787761027943941E-3</v>
      </c>
      <c r="H5" cm="1">
        <f t="array" ref="H5">_xlfn.IFS(A5=$P$24,G5*$Q$24,A5=$P$25,G5*$Q$25,A5=$P$26,G5*$Q$26,A5=$P$27,G5*$Q$27,A5=$P$28,G5*$Q$28,A5=$P$29,G5*$Q$29,A5=$P$30,G5*$Q$30,A5=$P$31,G5*$Q$31)</f>
        <v>1090554.7070750415</v>
      </c>
      <c r="I5">
        <f t="shared" si="0"/>
        <v>1096160.7070750415</v>
      </c>
      <c r="J5" s="1">
        <f t="shared" si="1"/>
        <v>1167122.7070750415</v>
      </c>
      <c r="L5">
        <v>2018</v>
      </c>
      <c r="N5" t="s">
        <v>85</v>
      </c>
      <c r="O5">
        <v>96207630</v>
      </c>
      <c r="P5">
        <v>6077903</v>
      </c>
      <c r="Q5">
        <v>102285533</v>
      </c>
    </row>
    <row r="6" spans="1:17" x14ac:dyDescent="0.2">
      <c r="A6">
        <v>2015</v>
      </c>
      <c r="C6" t="s">
        <v>4</v>
      </c>
      <c r="D6">
        <v>352159</v>
      </c>
      <c r="E6">
        <v>27817</v>
      </c>
      <c r="F6">
        <v>379976</v>
      </c>
      <c r="G6" cm="1">
        <f t="array" ref="G6">_xlfn.IFS(A6=$E$640,F6/$F$640,A6=$E$641,F6/$F$641,A6=$E$641,F6/$F$641,A6=$E$642,F6/$F$642,A6=$E$643,F6/$F$643,A6=$E$644,F6/$F$644,A6=$E$645,F6/$F$645,A6=$E$646,F6/$F$646,A6=$E$647,F6/$F$647)</f>
        <v>1.1804903202844564E-2</v>
      </c>
      <c r="H6" cm="1">
        <f t="array" ref="H6">_xlfn.IFS(A6=$P$24,G6*$Q$24,A6=$P$25,G6*$Q$25,A6=$P$26,G6*$Q$26,A6=$P$27,G6*$Q$27,A6=$P$28,G6*$Q$28,A6=$P$29,G6*$Q$29,A6=$P$30,G6*$Q$30,A6=$P$31,G6*$Q$31)</f>
        <v>5411981.7074436573</v>
      </c>
      <c r="I6">
        <f t="shared" si="0"/>
        <v>5439798.7074436573</v>
      </c>
      <c r="J6" s="1">
        <f t="shared" si="1"/>
        <v>5791957.7074436573</v>
      </c>
      <c r="L6">
        <v>2019</v>
      </c>
      <c r="N6" t="s">
        <v>85</v>
      </c>
      <c r="O6">
        <v>97748005</v>
      </c>
      <c r="P6">
        <v>10903385</v>
      </c>
      <c r="Q6">
        <v>108651390</v>
      </c>
    </row>
    <row r="7" spans="1:17" x14ac:dyDescent="0.2">
      <c r="A7">
        <v>2015</v>
      </c>
      <c r="C7" t="s">
        <v>5</v>
      </c>
      <c r="D7">
        <v>1022376</v>
      </c>
      <c r="E7">
        <v>80759</v>
      </c>
      <c r="F7">
        <v>1103135</v>
      </c>
      <c r="G7" cm="1">
        <f t="array" ref="G7">_xlfn.IFS(A7=$E$640,F7/$F$640,A7=$E$641,F7/$F$641,A7=$E$641,F7/$F$641,A7=$E$642,F7/$F$642,A7=$E$643,F7/$F$643,A7=$E$644,F7/$F$644,A7=$E$645,F7/$F$645,A7=$E$646,F7/$F$646,A7=$E$647,F7/$F$647)</f>
        <v>3.4271643195017416E-2</v>
      </c>
      <c r="H7" cm="1">
        <f t="array" ref="H7">_xlfn.IFS(A7=$P$24,G7*$Q$24,A7=$P$25,G7*$Q$25,A7=$P$26,G7*$Q$26,A7=$P$27,G7*$Q$27,A7=$P$28,G7*$Q$28,A7=$P$29,G7*$Q$29,A7=$P$30,G7*$Q$30,A7=$P$31,G7*$Q$31)</f>
        <v>15711904.017203346</v>
      </c>
      <c r="I7">
        <f t="shared" si="0"/>
        <v>15792663.017203346</v>
      </c>
      <c r="J7" s="1">
        <f t="shared" si="1"/>
        <v>16815039.017203346</v>
      </c>
      <c r="L7">
        <v>2020</v>
      </c>
      <c r="M7" t="s">
        <v>157</v>
      </c>
      <c r="N7" t="s">
        <v>85</v>
      </c>
      <c r="O7">
        <v>102793436</v>
      </c>
      <c r="P7">
        <v>12450655</v>
      </c>
      <c r="Q7">
        <v>115244091</v>
      </c>
    </row>
    <row r="8" spans="1:17" x14ac:dyDescent="0.2">
      <c r="A8">
        <v>2015</v>
      </c>
      <c r="C8" t="s">
        <v>6</v>
      </c>
      <c r="D8">
        <v>75551</v>
      </c>
      <c r="E8">
        <v>5968</v>
      </c>
      <c r="F8">
        <v>81519</v>
      </c>
      <c r="G8" cm="1">
        <f t="array" ref="G8">_xlfn.IFS(A8=$E$640,F8/$F$640,A8=$E$641,F8/$F$641,A8=$E$641,F8/$F$641,A8=$E$642,F8/$F$642,A8=$E$643,F8/$F$643,A8=$E$644,F8/$F$644,A8=$E$645,F8/$F$645,A8=$E$646,F8/$F$646,A8=$E$647,F8/$F$647)</f>
        <v>2.5325912799563292E-3</v>
      </c>
      <c r="H8" cm="1">
        <f t="array" ref="H8">_xlfn.IFS(A8=$P$24,G8*$Q$24,A8=$P$25,G8*$Q$25,A8=$P$26,G8*$Q$26,A8=$P$27,G8*$Q$27,A8=$P$28,G8*$Q$28,A8=$P$29,G8*$Q$29,A8=$P$30,G8*$Q$30,A8=$P$31,G8*$Q$31)</f>
        <v>1161071.5855977733</v>
      </c>
      <c r="I8">
        <f t="shared" si="0"/>
        <v>1167039.5855977733</v>
      </c>
      <c r="J8" s="1">
        <f t="shared" si="1"/>
        <v>1242590.5855977733</v>
      </c>
      <c r="L8">
        <v>2021</v>
      </c>
      <c r="M8" t="s">
        <v>157</v>
      </c>
      <c r="N8" t="s">
        <v>85</v>
      </c>
      <c r="O8">
        <v>101022149</v>
      </c>
      <c r="Q8">
        <f>O8</f>
        <v>101022149</v>
      </c>
    </row>
    <row r="9" spans="1:17" x14ac:dyDescent="0.2">
      <c r="A9">
        <v>2015</v>
      </c>
      <c r="C9" t="s">
        <v>7</v>
      </c>
      <c r="D9">
        <v>129973</v>
      </c>
      <c r="E9">
        <v>10267</v>
      </c>
      <c r="F9">
        <v>140240</v>
      </c>
      <c r="G9" cm="1">
        <f t="array" ref="G9">_xlfn.IFS(A9=$E$640,F9/$F$640,A9=$E$641,F9/$F$641,A9=$E$641,F9/$F$641,A9=$E$642,F9/$F$642,A9=$E$643,F9/$F$643,A9=$E$644,F9/$F$644,A9=$E$645,F9/$F$645,A9=$E$646,F9/$F$646,A9=$E$647,F9/$F$647)</f>
        <v>4.3569057655402496E-3</v>
      </c>
      <c r="H9" cm="1">
        <f t="array" ref="H9">_xlfn.IFS(A9=$P$24,G9*$Q$24,A9=$P$25,G9*$Q$25,A9=$P$26,G9*$Q$26,A9=$P$27,G9*$Q$27,A9=$P$28,G9*$Q$28,A9=$P$29,G9*$Q$29,A9=$P$30,G9*$Q$30,A9=$P$31,G9*$Q$31)</f>
        <v>1997432.244804668</v>
      </c>
      <c r="I9">
        <f t="shared" si="0"/>
        <v>2007699.244804668</v>
      </c>
      <c r="J9" s="1">
        <f t="shared" si="1"/>
        <v>2137672.2448046682</v>
      </c>
      <c r="L9">
        <v>2022</v>
      </c>
      <c r="M9" t="s">
        <v>157</v>
      </c>
      <c r="N9" t="s">
        <v>85</v>
      </c>
      <c r="O9">
        <v>100085768</v>
      </c>
      <c r="P9">
        <v>14687590</v>
      </c>
      <c r="Q9">
        <v>114773358</v>
      </c>
    </row>
    <row r="10" spans="1:17" x14ac:dyDescent="0.2">
      <c r="A10">
        <v>2015</v>
      </c>
      <c r="C10" t="s">
        <v>8</v>
      </c>
      <c r="D10">
        <v>243417</v>
      </c>
      <c r="E10">
        <v>19228</v>
      </c>
      <c r="F10">
        <v>262645</v>
      </c>
      <c r="G10" cm="1">
        <f t="array" ref="G10">_xlfn.IFS(A10=$E$640,F10/$F$640,A10=$E$641,F10/$F$641,A10=$E$641,F10/$F$641,A10=$E$642,F10/$F$642,A10=$E$643,F10/$F$643,A10=$E$644,F10/$F$644,A10=$E$645,F10/$F$645,A10=$E$646,F10/$F$646,A10=$E$647,F10/$F$647)</f>
        <v>8.159722723832849E-3</v>
      </c>
      <c r="H10" cm="1">
        <f t="array" ref="H10">_xlfn.IFS(A10=$P$24,G10*$Q$24,A10=$P$25,G10*$Q$25,A10=$P$26,G10*$Q$26,A10=$P$27,G10*$Q$27,A10=$P$28,G10*$Q$28,A10=$P$29,G10*$Q$29,A10=$P$30,G10*$Q$30,A10=$P$31,G10*$Q$31)</f>
        <v>3740841.3572213491</v>
      </c>
      <c r="I10">
        <f t="shared" si="0"/>
        <v>3760069.3572213491</v>
      </c>
      <c r="J10" s="1">
        <f t="shared" si="1"/>
        <v>4003486.3572213491</v>
      </c>
      <c r="L10">
        <v>2023</v>
      </c>
      <c r="M10" t="s">
        <v>157</v>
      </c>
      <c r="N10" t="s">
        <v>85</v>
      </c>
      <c r="O10">
        <v>101255002</v>
      </c>
      <c r="P10">
        <v>10144721</v>
      </c>
      <c r="Q10">
        <v>111399723</v>
      </c>
    </row>
    <row r="11" spans="1:17" x14ac:dyDescent="0.2">
      <c r="A11">
        <v>2015</v>
      </c>
      <c r="C11" t="s">
        <v>9</v>
      </c>
      <c r="D11">
        <v>634696</v>
      </c>
      <c r="E11">
        <v>50135</v>
      </c>
      <c r="F11">
        <v>684831</v>
      </c>
      <c r="G11" cm="1">
        <f t="array" ref="G11">_xlfn.IFS(A11=$E$640,F11/$F$640,A11=$E$641,F11/$F$641,A11=$E$641,F11/$F$641,A11=$E$642,F11/$F$642,A11=$E$643,F11/$F$643,A11=$E$644,F11/$F$644,A11=$E$645,F11/$F$645,A11=$E$646,F11/$F$646,A11=$E$647,F11/$F$647)</f>
        <v>2.127598497091197E-2</v>
      </c>
      <c r="H11" cm="1">
        <f t="array" ref="H11">_xlfn.IFS(A11=$P$24,G11*$Q$24,A11=$P$25,G11*$Q$25,A11=$P$26,G11*$Q$26,A11=$P$27,G11*$Q$27,A11=$P$28,G11*$Q$28,A11=$P$29,G11*$Q$29,A11=$P$30,G11*$Q$30,A11=$P$31,G11*$Q$31)</f>
        <v>9754018.2661282495</v>
      </c>
      <c r="I11">
        <f t="shared" si="0"/>
        <v>9804153.2661282495</v>
      </c>
      <c r="J11" s="1">
        <f t="shared" si="1"/>
        <v>10438849.266128249</v>
      </c>
    </row>
    <row r="12" spans="1:17" x14ac:dyDescent="0.2">
      <c r="A12">
        <v>2015</v>
      </c>
      <c r="C12" t="s">
        <v>10</v>
      </c>
      <c r="D12">
        <v>80874</v>
      </c>
      <c r="E12">
        <v>6388</v>
      </c>
      <c r="F12">
        <v>87262</v>
      </c>
      <c r="G12" cm="1">
        <f t="array" ref="G12">_xlfn.IFS(A12=$E$640,F12/$F$640,A12=$E$641,F12/$F$641,A12=$E$641,F12/$F$641,A12=$E$642,F12/$F$642,A12=$E$643,F12/$F$643,A12=$E$644,F12/$F$644,A12=$E$645,F12/$F$645,A12=$E$646,F12/$F$646,A12=$E$647,F12/$F$647)</f>
        <v>2.7110119146646692E-3</v>
      </c>
      <c r="H12" cm="1">
        <f t="array" ref="H12">_xlfn.IFS(A12=$P$24,G12*$Q$24,A12=$P$25,G12*$Q$25,A12=$P$26,G12*$Q$26,A12=$P$27,G12*$Q$27,A12=$P$28,G12*$Q$28,A12=$P$29,G12*$Q$29,A12=$P$30,G12*$Q$30,A12=$P$31,G12*$Q$31)</f>
        <v>1242868.8858110732</v>
      </c>
      <c r="I12">
        <f t="shared" si="0"/>
        <v>1249256.8858110732</v>
      </c>
      <c r="J12" s="1">
        <f t="shared" si="1"/>
        <v>1330130.8858110732</v>
      </c>
    </row>
    <row r="13" spans="1:17" x14ac:dyDescent="0.2">
      <c r="A13">
        <v>2015</v>
      </c>
      <c r="C13" t="s">
        <v>11</v>
      </c>
      <c r="D13">
        <v>66550</v>
      </c>
      <c r="E13">
        <v>5257</v>
      </c>
      <c r="F13">
        <v>71807</v>
      </c>
      <c r="G13" cm="1">
        <f t="array" ref="G13">_xlfn.IFS(A13=$E$640,F13/$F$640,A13=$E$641,F13/$F$641,A13=$E$641,F13/$F$641,A13=$E$642,F13/$F$642,A13=$E$643,F13/$F$643,A13=$E$644,F13/$F$644,A13=$E$645,F13/$F$645,A13=$E$646,F13/$F$646,A13=$E$647,F13/$F$647)</f>
        <v>2.2308637500438439E-3</v>
      </c>
      <c r="H13" cm="1">
        <f t="array" ref="H13">_xlfn.IFS(A13=$P$24,G13*$Q$24,A13=$P$25,G13*$Q$25,A13=$P$26,G13*$Q$26,A13=$P$27,G13*$Q$27,A13=$P$28,G13*$Q$28,A13=$P$29,G13*$Q$29,A13=$P$30,G13*$Q$30,A13=$P$31,G13*$Q$31)</f>
        <v>1022743.9903215115</v>
      </c>
      <c r="I13">
        <f t="shared" si="0"/>
        <v>1028000.9903215115</v>
      </c>
      <c r="J13" s="1">
        <f t="shared" si="1"/>
        <v>1094550.9903215114</v>
      </c>
      <c r="L13">
        <v>2015</v>
      </c>
      <c r="N13" t="s">
        <v>84</v>
      </c>
      <c r="O13">
        <v>316159828</v>
      </c>
      <c r="P13">
        <v>24973874</v>
      </c>
      <c r="Q13">
        <v>341133702</v>
      </c>
    </row>
    <row r="14" spans="1:17" x14ac:dyDescent="0.2">
      <c r="A14">
        <v>2015</v>
      </c>
      <c r="C14" t="s">
        <v>12</v>
      </c>
      <c r="D14">
        <v>400447</v>
      </c>
      <c r="E14">
        <v>31632</v>
      </c>
      <c r="F14">
        <v>432079</v>
      </c>
      <c r="G14" cm="1">
        <f t="array" ref="G14">_xlfn.IFS(A14=$E$640,F14/$F$640,A14=$E$641,F14/$F$641,A14=$E$641,F14/$F$641,A14=$E$642,F14/$F$642,A14=$E$643,F14/$F$643,A14=$E$644,F14/$F$644,A14=$E$645,F14/$F$645,A14=$E$646,F14/$F$646,A14=$E$647,F14/$F$647)</f>
        <v>1.3423612993930871E-2</v>
      </c>
      <c r="H14" cm="1">
        <f t="array" ref="H14">_xlfn.IFS(A14=$P$24,G14*$Q$24,A14=$P$25,G14*$Q$25,A14=$P$26,G14*$Q$26,A14=$P$27,G14*$Q$27,A14=$P$28,G14*$Q$28,A14=$P$29,G14*$Q$29,A14=$P$30,G14*$Q$30,A14=$P$31,G14*$Q$31)</f>
        <v>6154082.4793422427</v>
      </c>
      <c r="I14">
        <f t="shared" si="0"/>
        <v>6185714.4793422427</v>
      </c>
      <c r="J14" s="1">
        <f t="shared" si="1"/>
        <v>6586161.4793422427</v>
      </c>
      <c r="L14">
        <v>2016</v>
      </c>
      <c r="N14" t="s">
        <v>84</v>
      </c>
      <c r="O14">
        <v>254218385</v>
      </c>
      <c r="P14">
        <v>23285124</v>
      </c>
      <c r="Q14">
        <v>277503509</v>
      </c>
    </row>
    <row r="15" spans="1:17" x14ac:dyDescent="0.2">
      <c r="A15">
        <v>2015</v>
      </c>
      <c r="C15" t="s">
        <v>13</v>
      </c>
      <c r="D15">
        <v>196048</v>
      </c>
      <c r="E15">
        <v>15486</v>
      </c>
      <c r="F15">
        <v>211534</v>
      </c>
      <c r="G15" cm="1">
        <f t="array" ref="G15">_xlfn.IFS(A15=$E$640,F15/$F$640,A15=$E$641,F15/$F$641,A15=$E$641,F15/$F$641,A15=$E$642,F15/$F$642,A15=$E$643,F15/$F$643,A15=$E$644,F15/$F$644,A15=$E$645,F15/$F$645,A15=$E$646,F15/$F$646,A15=$E$647,F15/$F$647)</f>
        <v>6.5718318896733534E-3</v>
      </c>
      <c r="H15" cm="1">
        <f t="array" ref="H15">_xlfn.IFS(A15=$P$24,G15*$Q$24,A15=$P$25,G15*$Q$25,A15=$P$26,G15*$Q$26,A15=$P$27,G15*$Q$27,A15=$P$28,G15*$Q$28,A15=$P$29,G15*$Q$29,A15=$P$30,G15*$Q$30,A15=$P$31,G15*$Q$31)</f>
        <v>3012869.5983493342</v>
      </c>
      <c r="I15">
        <f t="shared" si="0"/>
        <v>3028355.5983493342</v>
      </c>
      <c r="J15" s="1">
        <f t="shared" si="1"/>
        <v>3224403.5983493342</v>
      </c>
      <c r="L15">
        <v>2017</v>
      </c>
      <c r="N15" t="s">
        <v>86</v>
      </c>
      <c r="O15">
        <v>285068483</v>
      </c>
      <c r="P15">
        <v>25802944</v>
      </c>
      <c r="Q15">
        <v>310871427</v>
      </c>
    </row>
    <row r="16" spans="1:17" x14ac:dyDescent="0.2">
      <c r="A16">
        <v>2015</v>
      </c>
      <c r="C16" t="s">
        <v>14</v>
      </c>
      <c r="D16">
        <v>458098</v>
      </c>
      <c r="E16">
        <v>36186</v>
      </c>
      <c r="F16">
        <v>494284</v>
      </c>
      <c r="G16" cm="1">
        <f t="array" ref="G16">_xlfn.IFS(A16=$E$640,F16/$F$640,A16=$E$641,F16/$F$641,A16=$E$641,F16/$F$641,A16=$E$642,F16/$F$642,A16=$E$643,F16/$F$643,A16=$E$644,F16/$F$644,A16=$E$645,F16/$F$645,A16=$E$646,F16/$F$646,A16=$E$647,F16/$F$647)</f>
        <v>1.5356166638721453E-2</v>
      </c>
      <c r="H16" cm="1">
        <f t="array" ref="H16">_xlfn.IFS(A16=$P$24,G16*$Q$24,A16=$P$25,G16*$Q$25,A16=$P$26,G16*$Q$26,A16=$P$27,G16*$Q$27,A16=$P$28,G16*$Q$28,A16=$P$29,G16*$Q$29,A16=$P$30,G16*$Q$30,A16=$P$31,G16*$Q$31)</f>
        <v>7040065.5996222943</v>
      </c>
      <c r="I16">
        <f t="shared" si="0"/>
        <v>7076251.5996222943</v>
      </c>
      <c r="J16" s="1">
        <f t="shared" si="1"/>
        <v>7534349.5996222943</v>
      </c>
      <c r="L16">
        <v>2018</v>
      </c>
      <c r="N16" t="s">
        <v>86</v>
      </c>
      <c r="O16">
        <v>320214422</v>
      </c>
      <c r="P16">
        <v>20229500</v>
      </c>
      <c r="Q16">
        <v>340443922</v>
      </c>
    </row>
    <row r="17" spans="1:18" x14ac:dyDescent="0.2">
      <c r="A17">
        <v>2015</v>
      </c>
      <c r="C17" t="s">
        <v>15</v>
      </c>
      <c r="D17">
        <v>41192</v>
      </c>
      <c r="E17">
        <v>3254</v>
      </c>
      <c r="F17">
        <v>44446</v>
      </c>
      <c r="G17" cm="1">
        <f t="array" ref="G17">_xlfn.IFS(A17=$E$640,F17/$F$640,A17=$E$641,F17/$F$641,A17=$E$641,F17/$F$641,A17=$E$642,F17/$F$642,A17=$E$643,F17/$F$643,A17=$E$644,F17/$F$644,A17=$E$645,F17/$F$645,A17=$E$646,F17/$F$646,A17=$E$647,F17/$F$647)</f>
        <v>1.3808259673074865E-3</v>
      </c>
      <c r="H17" cm="1">
        <f t="array" ref="H17">_xlfn.IFS(A17=$P$24,G17*$Q$24,A17=$P$25,G17*$Q$25,A17=$P$26,G17*$Q$26,A17=$P$27,G17*$Q$27,A17=$P$28,G17*$Q$28,A17=$P$29,G17*$Q$29,A17=$P$30,G17*$Q$30,A17=$P$31,G17*$Q$31)</f>
        <v>633042.45259974524</v>
      </c>
      <c r="I17">
        <f t="shared" si="0"/>
        <v>636296.45259974524</v>
      </c>
      <c r="J17" s="1">
        <f t="shared" si="1"/>
        <v>677488.45259974524</v>
      </c>
      <c r="L17">
        <v>2019</v>
      </c>
      <c r="N17" t="s">
        <v>86</v>
      </c>
      <c r="O17">
        <v>306319491</v>
      </c>
      <c r="P17">
        <v>34168665</v>
      </c>
      <c r="Q17">
        <v>340488156</v>
      </c>
    </row>
    <row r="18" spans="1:18" x14ac:dyDescent="0.2">
      <c r="A18">
        <v>2015</v>
      </c>
      <c r="C18" t="s">
        <v>16</v>
      </c>
      <c r="D18">
        <v>1352473</v>
      </c>
      <c r="E18">
        <v>106834</v>
      </c>
      <c r="F18">
        <v>1459307</v>
      </c>
      <c r="G18" cm="1">
        <f t="array" ref="G18">_xlfn.IFS(A18=$E$640,F18/$F$640,A18=$E$641,F18/$F$641,A18=$E$641,F18/$F$641,A18=$E$642,F18/$F$642,A18=$E$643,F18/$F$643,A18=$E$644,F18/$F$644,A18=$E$645,F18/$F$645,A18=$E$646,F18/$F$646,A18=$E$647,F18/$F$647)</f>
        <v>4.5337015701606136E-2</v>
      </c>
      <c r="H18" cm="1">
        <f t="array" ref="H18">_xlfn.IFS(A18=$P$24,G18*$Q$24,A18=$P$25,G18*$Q$25,A18=$P$26,G18*$Q$26,A18=$P$27,G18*$Q$27,A18=$P$28,G18*$Q$28,A18=$P$29,G18*$Q$29,A18=$P$30,G18*$Q$30,A18=$P$31,G18*$Q$31)</f>
        <v>20784846.383836035</v>
      </c>
      <c r="I18">
        <f t="shared" si="0"/>
        <v>20891680.383836035</v>
      </c>
      <c r="J18" s="1">
        <f t="shared" si="1"/>
        <v>22244153.383836035</v>
      </c>
      <c r="L18">
        <v>2020</v>
      </c>
      <c r="M18" t="s">
        <v>158</v>
      </c>
      <c r="N18" t="s">
        <v>86</v>
      </c>
      <c r="O18">
        <v>283332231</v>
      </c>
      <c r="P18">
        <v>34318062</v>
      </c>
      <c r="Q18">
        <v>317650293</v>
      </c>
    </row>
    <row r="19" spans="1:18" x14ac:dyDescent="0.2">
      <c r="A19">
        <v>2015</v>
      </c>
      <c r="C19" t="s">
        <v>17</v>
      </c>
      <c r="D19">
        <v>503546</v>
      </c>
      <c r="E19">
        <v>39776</v>
      </c>
      <c r="F19">
        <v>543322</v>
      </c>
      <c r="G19" cm="1">
        <f t="array" ref="G19">_xlfn.IFS(A19=$E$640,F19/$F$640,A19=$E$641,F19/$F$641,A19=$E$641,F19/$F$641,A19=$E$642,F19/$F$642,A19=$E$643,F19/$F$643,A19=$E$644,F19/$F$644,A19=$E$645,F19/$F$645,A19=$E$646,F19/$F$646,A19=$E$647,F19/$F$647)</f>
        <v>1.6879654551803049E-2</v>
      </c>
      <c r="H19" cm="1">
        <f t="array" ref="H19">_xlfn.IFS(A19=$P$24,G19*$Q$24,A19=$P$25,G19*$Q$25,A19=$P$26,G19*$Q$26,A19=$P$27,G19*$Q$27,A19=$P$28,G19*$Q$28,A19=$P$29,G19*$Q$29,A19=$P$30,G19*$Q$30,A19=$P$31,G19*$Q$31)</f>
        <v>7738511.7092966475</v>
      </c>
      <c r="I19">
        <f t="shared" si="0"/>
        <v>7778287.7092966475</v>
      </c>
      <c r="J19" s="1">
        <f t="shared" si="1"/>
        <v>8281833.7092966475</v>
      </c>
      <c r="L19">
        <v>2021</v>
      </c>
      <c r="M19" t="s">
        <v>158</v>
      </c>
      <c r="N19" t="s">
        <v>86</v>
      </c>
      <c r="O19">
        <v>288360024</v>
      </c>
      <c r="Q19">
        <f>O19</f>
        <v>288360024</v>
      </c>
    </row>
    <row r="20" spans="1:18" x14ac:dyDescent="0.2">
      <c r="A20">
        <v>2015</v>
      </c>
      <c r="C20" t="s">
        <v>18</v>
      </c>
      <c r="D20">
        <v>1024564</v>
      </c>
      <c r="E20">
        <v>80932</v>
      </c>
      <c r="F20">
        <v>1105496</v>
      </c>
      <c r="G20" cm="1">
        <f t="array" ref="G20">_xlfn.IFS(A20=$E$640,F20/$F$640,A20=$E$641,F20/$F$641,A20=$E$641,F20/$F$641,A20=$E$642,F20/$F$642,A20=$E$643,F20/$F$643,A20=$E$644,F20/$F$644,A20=$E$645,F20/$F$645,A20=$E$646,F20/$F$646,A20=$E$647,F20/$F$647)</f>
        <v>3.4344993555203103E-2</v>
      </c>
      <c r="H20" cm="1">
        <f t="array" ref="H20">_xlfn.IFS(A20=$P$24,G20*$Q$24,A20=$P$25,G20*$Q$25,A20=$P$26,G20*$Q$26,A20=$P$27,G20*$Q$27,A20=$P$28,G20*$Q$28,A20=$P$29,G20*$Q$29,A20=$P$30,G20*$Q$30,A20=$P$31,G20*$Q$31)</f>
        <v>15745531.63792485</v>
      </c>
      <c r="I20">
        <f t="shared" si="0"/>
        <v>15826463.63792485</v>
      </c>
      <c r="J20" s="1">
        <f t="shared" si="1"/>
        <v>16851027.63792485</v>
      </c>
      <c r="L20">
        <v>2022</v>
      </c>
      <c r="M20" t="s">
        <v>158</v>
      </c>
      <c r="N20" t="s">
        <v>86</v>
      </c>
      <c r="O20">
        <v>281632070</v>
      </c>
      <c r="P20">
        <v>51731299</v>
      </c>
      <c r="Q20">
        <v>333363369</v>
      </c>
    </row>
    <row r="21" spans="1:18" x14ac:dyDescent="0.2">
      <c r="A21">
        <v>2015</v>
      </c>
      <c r="C21" t="s">
        <v>19</v>
      </c>
      <c r="D21">
        <v>1837706</v>
      </c>
      <c r="E21">
        <v>145163</v>
      </c>
      <c r="F21">
        <v>1982869</v>
      </c>
      <c r="G21" cm="1">
        <f t="array" ref="G21">_xlfn.IFS(A21=$E$640,F21/$F$640,A21=$E$641,F21/$F$641,A21=$E$641,F21/$F$641,A21=$E$642,F21/$F$642,A21=$E$643,F21/$F$643,A21=$E$644,F21/$F$644,A21=$E$645,F21/$F$645,A21=$E$646,F21/$F$646,A21=$E$647,F21/$F$647)</f>
        <v>6.1602776514625132E-2</v>
      </c>
      <c r="H21" cm="1">
        <f t="array" ref="H21">_xlfn.IFS(A21=$P$24,G21*$Q$24,A21=$P$25,G21*$Q$25,A21=$P$26,G21*$Q$26,A21=$P$27,G21*$Q$27,A21=$P$28,G21*$Q$28,A21=$P$29,G21*$Q$29,A21=$P$30,G21*$Q$30,A21=$P$31,G21*$Q$31)</f>
        <v>28241917.269135676</v>
      </c>
      <c r="I21">
        <f t="shared" si="0"/>
        <v>28387080.269135676</v>
      </c>
      <c r="J21" s="1">
        <f t="shared" si="1"/>
        <v>30224786.269135676</v>
      </c>
      <c r="L21">
        <v>2023</v>
      </c>
      <c r="M21" t="s">
        <v>158</v>
      </c>
      <c r="N21" t="s">
        <v>86</v>
      </c>
      <c r="O21">
        <v>271978964</v>
      </c>
      <c r="P21">
        <v>31791932</v>
      </c>
      <c r="Q21">
        <v>303770896</v>
      </c>
    </row>
    <row r="22" spans="1:18" x14ac:dyDescent="0.2">
      <c r="A22">
        <v>2015</v>
      </c>
      <c r="C22" t="s">
        <v>20</v>
      </c>
      <c r="D22">
        <v>167516</v>
      </c>
      <c r="E22">
        <v>13232</v>
      </c>
      <c r="F22">
        <v>180748</v>
      </c>
      <c r="G22" cm="1">
        <f t="array" ref="G22">_xlfn.IFS(A22=$E$640,F22/$F$640,A22=$E$641,F22/$F$641,A22=$E$641,F22/$F$641,A22=$E$642,F22/$F$642,A22=$E$643,F22/$F$643,A22=$E$644,F22/$F$644,A22=$E$645,F22/$F$645,A22=$E$646,F22/$F$646,A22=$E$647,F22/$F$647)</f>
        <v>5.6153879300475541E-3</v>
      </c>
      <c r="H22" cm="1">
        <f t="array" ref="H22">_xlfn.IFS(A22=$P$24,G22*$Q$24,A22=$P$25,G22*$Q$25,A22=$P$26,G22*$Q$26,A22=$P$27,G22*$Q$27,A22=$P$28,G22*$Q$28,A22=$P$29,G22*$Q$29,A22=$P$30,G22*$Q$30,A22=$P$31,G22*$Q$31)</f>
        <v>2574385.9339985321</v>
      </c>
      <c r="I22">
        <f t="shared" si="0"/>
        <v>2587617.9339985321</v>
      </c>
      <c r="J22" s="1">
        <f t="shared" si="1"/>
        <v>2755133.9339985321</v>
      </c>
    </row>
    <row r="23" spans="1:18" x14ac:dyDescent="0.2">
      <c r="A23">
        <v>2015</v>
      </c>
      <c r="C23" t="s">
        <v>21</v>
      </c>
      <c r="D23">
        <v>247929</v>
      </c>
      <c r="E23">
        <v>19584</v>
      </c>
      <c r="F23">
        <v>267513</v>
      </c>
      <c r="G23" cm="1">
        <f t="array" ref="G23">_xlfn.IFS(A23=$E$640,F23/$F$640,A23=$E$641,F23/$F$641,A23=$E$641,F23/$F$641,A23=$E$642,F23/$F$642,A23=$E$643,F23/$F$643,A23=$E$644,F23/$F$644,A23=$E$645,F23/$F$645,A23=$E$646,F23/$F$646,A23=$E$647,F23/$F$647)</f>
        <v>8.3109592987519153E-3</v>
      </c>
      <c r="H23" cm="1">
        <f t="array" ref="H23">_xlfn.IFS(A23=$P$24,G23*$Q$24,A23=$P$25,G23*$Q$25,A23=$P$26,G23*$Q$26,A23=$P$27,G23*$Q$27,A23=$P$28,G23*$Q$28,A23=$P$29,G23*$Q$29,A23=$P$30,G23*$Q$30,A23=$P$31,G23*$Q$31)</f>
        <v>3810176.0703396397</v>
      </c>
      <c r="I23">
        <f t="shared" si="0"/>
        <v>3829760.0703396397</v>
      </c>
      <c r="J23" s="1">
        <f t="shared" si="1"/>
        <v>4077689.0703396397</v>
      </c>
      <c r="N23" s="2" t="s">
        <v>183</v>
      </c>
    </row>
    <row r="24" spans="1:18" x14ac:dyDescent="0.2">
      <c r="A24">
        <v>2015</v>
      </c>
      <c r="C24" t="s">
        <v>22</v>
      </c>
      <c r="D24">
        <v>456258</v>
      </c>
      <c r="E24">
        <v>36040</v>
      </c>
      <c r="F24">
        <v>492298</v>
      </c>
      <c r="G24" cm="1">
        <f t="array" ref="G24">_xlfn.IFS(A24=$E$640,F24/$F$640,A24=$E$641,F24/$F$641,A24=$E$641,F24/$F$641,A24=$E$642,F24/$F$642,A24=$E$643,F24/$F$643,A24=$E$644,F24/$F$644,A24=$E$645,F24/$F$645,A24=$E$646,F24/$F$646,A24=$E$647,F24/$F$647)</f>
        <v>1.5294466589874028E-2</v>
      </c>
      <c r="H24" cm="1">
        <f t="array" ref="H24">_xlfn.IFS(A24=$P$24,G24*$Q$24,A24=$P$25,G24*$Q$25,A24=$P$26,G24*$Q$26,A24=$P$27,G24*$Q$27,A24=$P$28,G24*$Q$28,A24=$P$29,G24*$Q$29,A24=$P$30,G24*$Q$30,A24=$P$31,G24*$Q$31)</f>
        <v>7011779.0876557929</v>
      </c>
      <c r="I24">
        <f t="shared" si="0"/>
        <v>7047819.0876557929</v>
      </c>
      <c r="J24" s="1">
        <f t="shared" si="1"/>
        <v>7504077.0876557929</v>
      </c>
      <c r="N24" s="2">
        <v>2015</v>
      </c>
      <c r="O24" s="2">
        <f>SUMIF($A$2:$A$638,N24,$H$2:$H$638)</f>
        <v>458452019</v>
      </c>
      <c r="P24" s="2">
        <v>2015</v>
      </c>
      <c r="Q24" s="2">
        <f>SUM(Q2,Q13)</f>
        <v>458452019</v>
      </c>
      <c r="R24" s="2" t="b">
        <f>O24=Q24</f>
        <v>1</v>
      </c>
    </row>
    <row r="25" spans="1:18" x14ac:dyDescent="0.2">
      <c r="A25">
        <v>2015</v>
      </c>
      <c r="C25" t="s">
        <v>23</v>
      </c>
      <c r="D25">
        <v>639563</v>
      </c>
      <c r="E25">
        <v>50520</v>
      </c>
      <c r="F25">
        <v>690083</v>
      </c>
      <c r="G25" cm="1">
        <f t="array" ref="G25">_xlfn.IFS(A25=$E$640,F25/$F$640,A25=$E$641,F25/$F$641,A25=$E$641,F25/$F$641,A25=$E$642,F25/$F$642,A25=$E$643,F25/$F$643,A25=$E$644,F25/$F$644,A25=$E$645,F25/$F$645,A25=$E$646,F25/$F$646,A25=$E$647,F25/$F$647)</f>
        <v>2.1439151464641412E-2</v>
      </c>
      <c r="H25" cm="1">
        <f t="array" ref="H25">_xlfn.IFS(A25=$P$24,G25*$Q$24,A25=$P$25,G25*$Q$25,A25=$P$26,G25*$Q$26,A25=$P$27,G25*$Q$27,A25=$P$28,G25*$Q$28,A25=$P$29,G25*$Q$29,A25=$P$30,G25*$Q$30,A25=$P$31,G25*$Q$31)</f>
        <v>9828822.2746116631</v>
      </c>
      <c r="I25">
        <f t="shared" si="0"/>
        <v>9879342.2746116631</v>
      </c>
      <c r="J25" s="1">
        <f t="shared" si="1"/>
        <v>10518905.274611663</v>
      </c>
      <c r="N25" s="2">
        <v>2016</v>
      </c>
      <c r="O25" s="2">
        <f t="shared" ref="O25:O31" si="2">SUMIF($A$2:$A$638,N25,$H$2:$H$638)</f>
        <v>389722929.99999988</v>
      </c>
      <c r="P25" s="2">
        <v>2016</v>
      </c>
      <c r="Q25" s="2">
        <f>SUM(Q3,Q14)</f>
        <v>389722930</v>
      </c>
      <c r="R25" s="2" t="b">
        <f t="shared" ref="R25:R31" si="3">O25=Q25</f>
        <v>1</v>
      </c>
    </row>
    <row r="26" spans="1:18" x14ac:dyDescent="0.2">
      <c r="A26">
        <v>2015</v>
      </c>
      <c r="C26" t="s">
        <v>24</v>
      </c>
      <c r="D26">
        <v>690182</v>
      </c>
      <c r="E26">
        <v>54518</v>
      </c>
      <c r="F26">
        <v>744700</v>
      </c>
      <c r="G26" cm="1">
        <f t="array" ref="G26">_xlfn.IFS(A26=$E$640,F26/$F$640,A26=$E$641,F26/$F$641,A26=$E$641,F26/$F$641,A26=$E$642,F26/$F$642,A26=$E$643,F26/$F$643,A26=$E$644,F26/$F$644,A26=$E$645,F26/$F$645,A26=$E$646,F26/$F$646,A26=$E$647,F26/$F$647)</f>
        <v>2.3135964942939416E-2</v>
      </c>
      <c r="H26" cm="1">
        <f t="array" ref="H26">_xlfn.IFS(A26=$P$24,G26*$Q$24,A26=$P$25,G26*$Q$25,A26=$P$26,G26*$Q$26,A26=$P$27,G26*$Q$27,A26=$P$28,G26*$Q$28,A26=$P$29,G26*$Q$29,A26=$P$30,G26*$Q$30,A26=$P$31,G26*$Q$31)</f>
        <v>10606729.839603795</v>
      </c>
      <c r="I26">
        <f t="shared" si="0"/>
        <v>10661247.839603795</v>
      </c>
      <c r="J26" s="1">
        <f t="shared" si="1"/>
        <v>11351429.839603795</v>
      </c>
      <c r="N26" s="2">
        <v>2017</v>
      </c>
      <c r="O26" s="2">
        <f t="shared" si="2"/>
        <v>419198494</v>
      </c>
      <c r="P26" s="2">
        <v>2017</v>
      </c>
      <c r="Q26" s="2">
        <f>SUM(Q4,Q15)</f>
        <v>419198494</v>
      </c>
      <c r="R26" s="2" t="b">
        <f t="shared" si="3"/>
        <v>1</v>
      </c>
    </row>
    <row r="27" spans="1:18" x14ac:dyDescent="0.2">
      <c r="A27">
        <v>2015</v>
      </c>
      <c r="C27" t="s">
        <v>25</v>
      </c>
      <c r="D27">
        <v>299203</v>
      </c>
      <c r="E27">
        <v>23634</v>
      </c>
      <c r="F27">
        <v>322837</v>
      </c>
      <c r="G27" cm="1">
        <f t="array" ref="G27">_xlfn.IFS(A27=$E$640,F27/$F$640,A27=$E$641,F27/$F$641,A27=$E$641,F27/$F$641,A27=$E$642,F27/$F$642,A27=$E$643,F27/$F$643,A27=$E$644,F27/$F$644,A27=$E$645,F27/$F$645,A27=$E$646,F27/$F$646,A27=$E$647,F27/$F$647)</f>
        <v>1.002973749735965E-2</v>
      </c>
      <c r="H27" cm="1">
        <f t="array" ref="H27">_xlfn.IFS(A27=$P$24,G27*$Q$24,A27=$P$25,G27*$Q$25,A27=$P$26,G27*$Q$26,A27=$P$27,G27*$Q$27,A27=$P$28,G27*$Q$28,A27=$P$29,G27*$Q$29,A27=$P$30,G27*$Q$30,A27=$P$31,G27*$Q$31)</f>
        <v>4598153.4057045393</v>
      </c>
      <c r="I27">
        <f t="shared" si="0"/>
        <v>4621787.4057045393</v>
      </c>
      <c r="J27" s="1">
        <f t="shared" si="1"/>
        <v>4920990.4057045393</v>
      </c>
      <c r="N27" s="2">
        <v>2018</v>
      </c>
      <c r="O27" s="2">
        <f t="shared" si="2"/>
        <v>442729455.00000012</v>
      </c>
      <c r="P27" s="2">
        <v>2018</v>
      </c>
      <c r="Q27" s="2">
        <f>SUM(Q5,Q16)</f>
        <v>442729455</v>
      </c>
      <c r="R27" s="2" t="b">
        <f t="shared" si="3"/>
        <v>1</v>
      </c>
    </row>
    <row r="28" spans="1:18" x14ac:dyDescent="0.2">
      <c r="A28">
        <v>2015</v>
      </c>
      <c r="C28" t="s">
        <v>30</v>
      </c>
      <c r="D28">
        <v>461646</v>
      </c>
      <c r="E28">
        <v>36466</v>
      </c>
      <c r="F28">
        <v>498112</v>
      </c>
      <c r="G28" cm="1">
        <f t="array" ref="G28">_xlfn.IFS(A28=$E$640,F28/$F$640,A28=$E$641,F28/$F$641,A28=$E$641,F28/$F$641,A28=$E$642,F28/$F$642,A28=$E$643,F28/$F$643,A28=$E$644,F28/$F$644,A28=$E$645,F28/$F$645,A28=$E$646,F28/$F$646,A28=$E$647,F28/$F$647)</f>
        <v>1.5475093016862411E-2</v>
      </c>
      <c r="H28" cm="1">
        <f t="array" ref="H28">_xlfn.IFS(A28=$P$24,G28*$Q$24,A28=$P$25,G28*$Q$25,A28=$P$26,G28*$Q$26,A28=$P$27,G28*$Q$27,A28=$P$28,G28*$Q$28,A28=$P$29,G28*$Q$29,A28=$P$30,G28*$Q$30,A28=$P$31,G28*$Q$31)</f>
        <v>7094587.6377933733</v>
      </c>
      <c r="I28">
        <f t="shared" si="0"/>
        <v>7131053.6377933733</v>
      </c>
      <c r="J28" s="1">
        <f t="shared" si="1"/>
        <v>7592699.6377933733</v>
      </c>
      <c r="N28" s="2">
        <v>2019</v>
      </c>
      <c r="O28" s="2">
        <f t="shared" si="2"/>
        <v>449139546</v>
      </c>
      <c r="P28" s="2">
        <v>2019</v>
      </c>
      <c r="Q28" s="2">
        <f>SUM(Q6,Q17)</f>
        <v>449139546</v>
      </c>
      <c r="R28" s="2" t="b">
        <f t="shared" si="3"/>
        <v>1</v>
      </c>
    </row>
    <row r="29" spans="1:18" x14ac:dyDescent="0.2">
      <c r="A29">
        <v>2015</v>
      </c>
      <c r="C29" t="s">
        <v>31</v>
      </c>
      <c r="D29">
        <v>764534</v>
      </c>
      <c r="E29">
        <v>60392</v>
      </c>
      <c r="F29">
        <v>824926</v>
      </c>
      <c r="G29" cm="1">
        <f t="array" ref="G29">_xlfn.IFS(A29=$E$640,F29/$F$640,A29=$E$641,F29/$F$641,A29=$E$641,F29/$F$641,A29=$E$642,F29/$F$642,A29=$E$643,F29/$F$643,A29=$E$644,F29/$F$644,A29=$E$645,F29/$F$645,A29=$E$646,F29/$F$646,A29=$E$647,F29/$F$647)</f>
        <v>2.5628385949401426E-2</v>
      </c>
      <c r="H29" cm="1">
        <f t="array" ref="H29">_xlfn.IFS(A29=$P$24,G29*$Q$24,A29=$P$25,G29*$Q$25,A29=$P$26,G29*$Q$26,A29=$P$27,G29*$Q$27,A29=$P$28,G29*$Q$28,A29=$P$29,G29*$Q$29,A29=$P$30,G29*$Q$30,A29=$P$31,G29*$Q$31)</f>
        <v>11749385.282214316</v>
      </c>
      <c r="I29">
        <f t="shared" si="0"/>
        <v>11809777.282214316</v>
      </c>
      <c r="J29" s="1">
        <f t="shared" si="1"/>
        <v>12574311.282214316</v>
      </c>
      <c r="N29" s="2">
        <v>2020</v>
      </c>
      <c r="O29" s="2">
        <f t="shared" si="2"/>
        <v>432894384.00000024</v>
      </c>
      <c r="P29" s="2">
        <v>2020</v>
      </c>
      <c r="Q29" s="2">
        <f>SUM(Q7,Q18)</f>
        <v>432894384</v>
      </c>
      <c r="R29" s="2" t="b">
        <f t="shared" si="3"/>
        <v>1</v>
      </c>
    </row>
    <row r="30" spans="1:18" x14ac:dyDescent="0.2">
      <c r="A30">
        <v>2015</v>
      </c>
      <c r="C30" t="s">
        <v>32</v>
      </c>
      <c r="D30">
        <v>395816</v>
      </c>
      <c r="E30">
        <v>31266</v>
      </c>
      <c r="F30">
        <v>427082</v>
      </c>
      <c r="G30" cm="1">
        <f t="array" ref="G30">_xlfn.IFS(A30=$E$640,F30/$F$640,A30=$E$641,F30/$F$641,A30=$E$641,F30/$F$641,A30=$E$642,F30/$F$642,A30=$E$643,F30/$F$643,A30=$E$644,F30/$F$644,A30=$E$645,F30/$F$645,A30=$E$646,F30/$F$646,A30=$E$647,F30/$F$647)</f>
        <v>1.3268368711911442E-2</v>
      </c>
      <c r="H30" cm="1">
        <f t="array" ref="H30">_xlfn.IFS(A30=$P$24,G30*$Q$24,A30=$P$25,G30*$Q$25,A30=$P$26,G30*$Q$26,A30=$P$27,G30*$Q$27,A30=$P$28,G30*$Q$28,A30=$P$29,G30*$Q$29,A30=$P$30,G30*$Q$30,A30=$P$31,G30*$Q$31)</f>
        <v>6082910.4248122303</v>
      </c>
      <c r="I30">
        <f t="shared" si="0"/>
        <v>6114176.4248122303</v>
      </c>
      <c r="J30" s="1">
        <f t="shared" si="1"/>
        <v>6509992.4248122303</v>
      </c>
      <c r="N30" s="2">
        <v>2021</v>
      </c>
      <c r="O30" s="2">
        <f t="shared" si="2"/>
        <v>389382173</v>
      </c>
      <c r="P30" s="2">
        <v>2021</v>
      </c>
      <c r="Q30" s="2">
        <f>SUM(Q8,Q19)</f>
        <v>389382173</v>
      </c>
      <c r="R30" s="2" t="b">
        <f t="shared" si="3"/>
        <v>1</v>
      </c>
    </row>
    <row r="31" spans="1:18" x14ac:dyDescent="0.2">
      <c r="A31">
        <v>2015</v>
      </c>
      <c r="C31" t="s">
        <v>33</v>
      </c>
      <c r="D31">
        <v>285140</v>
      </c>
      <c r="E31">
        <v>22524</v>
      </c>
      <c r="F31">
        <v>307664</v>
      </c>
      <c r="G31" cm="1">
        <f t="array" ref="G31">_xlfn.IFS(A31=$E$640,F31/$F$640,A31=$E$641,F31/$F$641,A31=$E$641,F31/$F$641,A31=$E$642,F31/$F$642,A31=$E$643,F31/$F$643,A31=$E$644,F31/$F$644,A31=$E$645,F31/$F$645,A31=$E$646,F31/$F$646,A31=$E$647,F31/$F$647)</f>
        <v>9.5583503668651981E-3</v>
      </c>
      <c r="H31" cm="1">
        <f t="array" ref="H31">_xlfn.IFS(A31=$P$24,G31*$Q$24,A31=$P$25,G31*$Q$25,A31=$P$26,G31*$Q$26,A31=$P$27,G31*$Q$27,A31=$P$28,G31*$Q$28,A31=$P$29,G31*$Q$29,A31=$P$30,G31*$Q$30,A31=$P$31,G31*$Q$31)</f>
        <v>4382045.0239987411</v>
      </c>
      <c r="I31">
        <f t="shared" si="0"/>
        <v>4404569.0239987411</v>
      </c>
      <c r="J31" s="1">
        <f t="shared" si="1"/>
        <v>4689709.0239987411</v>
      </c>
      <c r="N31" s="2">
        <v>2022</v>
      </c>
      <c r="O31" s="2">
        <f t="shared" si="2"/>
        <v>448136727</v>
      </c>
      <c r="P31" s="2">
        <v>2022</v>
      </c>
      <c r="Q31" s="2">
        <f>SUM(Q9,Q20)</f>
        <v>448136727</v>
      </c>
      <c r="R31" s="2" t="b">
        <f t="shared" si="3"/>
        <v>1</v>
      </c>
    </row>
    <row r="32" spans="1:18" x14ac:dyDescent="0.2">
      <c r="A32">
        <v>2015</v>
      </c>
      <c r="C32" t="s">
        <v>34</v>
      </c>
      <c r="D32">
        <v>1308604</v>
      </c>
      <c r="E32">
        <v>103368</v>
      </c>
      <c r="F32">
        <v>1411972</v>
      </c>
      <c r="G32" cm="1">
        <f t="array" ref="G32">_xlfn.IFS(A32=$E$640,F32/$F$640,A32=$E$641,F32/$F$641,A32=$E$641,F32/$F$641,A32=$E$642,F32/$F$642,A32=$E$643,F32/$F$643,A32=$E$644,F32/$F$644,A32=$E$645,F32/$F$645,A32=$E$646,F32/$F$646,A32=$E$647,F32/$F$647)</f>
        <v>4.3866435735748693E-2</v>
      </c>
      <c r="H32" cm="1">
        <f t="array" ref="H32">_xlfn.IFS(A32=$P$24,G32*$Q$24,A32=$P$25,G32*$Q$25,A32=$P$26,G32*$Q$26,A32=$P$27,G32*$Q$27,A32=$P$28,G32*$Q$28,A32=$P$29,G32*$Q$29,A32=$P$30,G32*$Q$30,A32=$P$31,G32*$Q$31)</f>
        <v>20110656.029387739</v>
      </c>
      <c r="I32">
        <f t="shared" si="0"/>
        <v>20214024.029387739</v>
      </c>
      <c r="J32" s="1">
        <f t="shared" si="1"/>
        <v>21522628.029387739</v>
      </c>
    </row>
    <row r="33" spans="1:10" x14ac:dyDescent="0.2">
      <c r="A33">
        <v>2015</v>
      </c>
      <c r="C33" t="s">
        <v>35</v>
      </c>
      <c r="D33">
        <v>125414</v>
      </c>
      <c r="E33">
        <v>9906</v>
      </c>
      <c r="F33">
        <v>135320</v>
      </c>
      <c r="G33" cm="1">
        <f t="array" ref="G33">_xlfn.IFS(A33=$E$640,F33/$F$640,A33=$E$641,F33/$F$641,A33=$E$641,F33/$F$641,A33=$E$642,F33/$F$642,A33=$E$643,F33/$F$643,A33=$E$644,F33/$F$644,A33=$E$645,F33/$F$645,A33=$E$646,F33/$F$646,A33=$E$647,F33/$F$647)</f>
        <v>4.204053680782277E-3</v>
      </c>
      <c r="H33" cm="1">
        <f t="array" ref="H33">_xlfn.IFS(A33=$P$24,G33*$Q$24,A33=$P$25,G33*$Q$25,A33=$P$26,G33*$Q$26,A33=$P$27,G33*$Q$27,A33=$P$28,G33*$Q$28,A33=$P$29,G33*$Q$29,A33=$P$30,G33*$Q$30,A33=$P$31,G33*$Q$31)</f>
        <v>1927356.8979390163</v>
      </c>
      <c r="I33">
        <f t="shared" si="0"/>
        <v>1937262.8979390163</v>
      </c>
      <c r="J33" s="1">
        <f t="shared" si="1"/>
        <v>2062676.8979390163</v>
      </c>
    </row>
    <row r="34" spans="1:10" x14ac:dyDescent="0.2">
      <c r="A34">
        <v>2015</v>
      </c>
      <c r="C34" t="s">
        <v>36</v>
      </c>
      <c r="D34">
        <v>128245</v>
      </c>
      <c r="E34">
        <v>10130</v>
      </c>
      <c r="F34">
        <v>138375</v>
      </c>
      <c r="G34" cm="1">
        <f t="array" ref="G34">_xlfn.IFS(A34=$E$640,F34/$F$640,A34=$E$641,F34/$F$641,A34=$E$641,F34/$F$641,A34=$E$642,F34/$F$642,A34=$E$643,F34/$F$643,A34=$E$644,F34/$F$644,A34=$E$645,F34/$F$645,A34=$E$646,F34/$F$646,A34=$E$647,F34/$F$647)</f>
        <v>4.2989648838179691E-3</v>
      </c>
      <c r="H34" cm="1">
        <f t="array" ref="H34">_xlfn.IFS(A34=$P$24,G34*$Q$24,A34=$P$25,G34*$Q$25,A34=$P$26,G34*$Q$26,A34=$P$27,G34*$Q$27,A34=$P$28,G34*$Q$28,A34=$P$29,G34*$Q$29,A34=$P$30,G34*$Q$30,A34=$P$31,G34*$Q$31)</f>
        <v>1970869.1305964484</v>
      </c>
      <c r="I34">
        <f t="shared" si="0"/>
        <v>1980999.1305964484</v>
      </c>
      <c r="J34" s="1">
        <f t="shared" si="1"/>
        <v>2109244.1305964487</v>
      </c>
    </row>
    <row r="35" spans="1:10" x14ac:dyDescent="0.2">
      <c r="A35">
        <v>2015</v>
      </c>
      <c r="C35" t="s">
        <v>37</v>
      </c>
      <c r="D35">
        <v>279542</v>
      </c>
      <c r="E35">
        <v>22081</v>
      </c>
      <c r="F35">
        <v>301623</v>
      </c>
      <c r="G35" cm="1">
        <f t="array" ref="G35">_xlfn.IFS(A35=$E$640,F35/$F$640,A35=$E$641,F35/$F$641,A35=$E$641,F35/$F$641,A35=$E$642,F35/$F$642,A35=$E$643,F35/$F$643,A35=$E$644,F35/$F$644,A35=$E$645,F35/$F$645,A35=$E$646,F35/$F$646,A35=$E$647,F35/$F$647)</f>
        <v>9.370671618080053E-3</v>
      </c>
      <c r="H35" cm="1">
        <f t="array" ref="H35">_xlfn.IFS(A35=$P$24,G35*$Q$24,A35=$P$25,G35*$Q$25,A35=$P$26,G35*$Q$26,A35=$P$27,G35*$Q$27,A35=$P$28,G35*$Q$28,A35=$P$29,G35*$Q$29,A35=$P$30,G35*$Q$30,A35=$P$31,G35*$Q$31)</f>
        <v>4296003.3226947971</v>
      </c>
      <c r="I35">
        <f t="shared" si="0"/>
        <v>4318084.3226947971</v>
      </c>
      <c r="J35" s="1">
        <f t="shared" si="1"/>
        <v>4597626.3226947971</v>
      </c>
    </row>
    <row r="36" spans="1:10" x14ac:dyDescent="0.2">
      <c r="A36">
        <v>2015</v>
      </c>
      <c r="C36" t="s">
        <v>38</v>
      </c>
      <c r="D36">
        <v>580235</v>
      </c>
      <c r="E36">
        <v>45833</v>
      </c>
      <c r="F36">
        <v>626068</v>
      </c>
      <c r="G36" cm="1">
        <f t="array" ref="G36">_xlfn.IFS(A36=$E$640,F36/$F$640,A36=$E$641,F36/$F$641,A36=$E$641,F36/$F$641,A36=$E$642,F36/$F$642,A36=$E$643,F36/$F$643,A36=$E$644,F36/$F$644,A36=$E$645,F36/$F$645,A36=$E$646,F36/$F$646,A36=$E$647,F36/$F$647)</f>
        <v>1.9450365650458164E-2</v>
      </c>
      <c r="H36" cm="1">
        <f t="array" ref="H36">_xlfn.IFS(A36=$P$24,G36*$Q$24,A36=$P$25,G36*$Q$25,A36=$P$26,G36*$Q$26,A36=$P$27,G36*$Q$27,A36=$P$28,G36*$Q$28,A36=$P$29,G36*$Q$29,A36=$P$30,G36*$Q$30,A36=$P$31,G36*$Q$31)</f>
        <v>8917059.4027407933</v>
      </c>
      <c r="I36">
        <f t="shared" si="0"/>
        <v>8962892.4027407933</v>
      </c>
      <c r="J36" s="1">
        <f t="shared" si="1"/>
        <v>9543127.4027407933</v>
      </c>
    </row>
    <row r="37" spans="1:10" x14ac:dyDescent="0.2">
      <c r="A37">
        <v>2015</v>
      </c>
      <c r="C37" t="s">
        <v>39</v>
      </c>
      <c r="D37">
        <v>45161</v>
      </c>
      <c r="E37">
        <v>3567</v>
      </c>
      <c r="F37">
        <v>48728</v>
      </c>
      <c r="G37" cm="1">
        <f t="array" ref="G37">_xlfn.IFS(A37=$E$640,F37/$F$640,A37=$E$641,F37/$F$641,A37=$E$641,F37/$F$641,A37=$E$642,F37/$F$642,A37=$E$643,F37/$F$643,A37=$E$644,F37/$F$644,A37=$E$645,F37/$F$645,A37=$E$646,F37/$F$646,A37=$E$647,F37/$F$647)</f>
        <v>1.5138569890419658E-3</v>
      </c>
      <c r="H37" cm="1">
        <f t="array" ref="H37">_xlfn.IFS(A37=$P$24,G37*$Q$24,A37=$P$25,G37*$Q$25,A37=$P$26,G37*$Q$26,A37=$P$27,G37*$Q$27,A37=$P$28,G37*$Q$28,A37=$P$29,G37*$Q$29,A37=$P$30,G37*$Q$30,A37=$P$31,G37*$Q$31)</f>
        <v>694030.7931035501</v>
      </c>
      <c r="I37">
        <f t="shared" si="0"/>
        <v>697597.7931035501</v>
      </c>
      <c r="J37" s="1">
        <f t="shared" si="1"/>
        <v>742758.7931035501</v>
      </c>
    </row>
    <row r="38" spans="1:10" x14ac:dyDescent="0.2">
      <c r="A38">
        <v>2015</v>
      </c>
      <c r="C38" t="s">
        <v>40</v>
      </c>
      <c r="D38">
        <v>191654</v>
      </c>
      <c r="E38">
        <v>15139</v>
      </c>
      <c r="F38">
        <v>206793</v>
      </c>
      <c r="G38" cm="1">
        <f t="array" ref="G38">_xlfn.IFS(A38=$E$640,F38/$F$640,A38=$E$641,F38/$F$641,A38=$E$641,F38/$F$641,A38=$E$642,F38/$F$642,A38=$E$643,F38/$F$643,A38=$E$644,F38/$F$644,A38=$E$645,F38/$F$645,A38=$E$646,F38/$F$646,A38=$E$647,F38/$F$647)</f>
        <v>6.4245408868608437E-3</v>
      </c>
      <c r="H38" cm="1">
        <f t="array" ref="H38">_xlfn.IFS(A38=$P$24,G38*$Q$24,A38=$P$25,G38*$Q$25,A38=$P$26,G38*$Q$26,A38=$P$27,G38*$Q$27,A38=$P$28,G38*$Q$28,A38=$P$29,G38*$Q$29,A38=$P$30,G38*$Q$30,A38=$P$31,G38*$Q$31)</f>
        <v>2945343.7407294041</v>
      </c>
      <c r="I38">
        <f t="shared" si="0"/>
        <v>2960482.7407294041</v>
      </c>
      <c r="J38" s="1">
        <f t="shared" si="1"/>
        <v>3152136.7407294041</v>
      </c>
    </row>
    <row r="39" spans="1:10" x14ac:dyDescent="0.2">
      <c r="A39">
        <v>2015</v>
      </c>
      <c r="C39" t="s">
        <v>41</v>
      </c>
      <c r="D39">
        <v>49077</v>
      </c>
      <c r="E39">
        <v>3877</v>
      </c>
      <c r="F39">
        <v>52954</v>
      </c>
      <c r="G39" cm="1">
        <f t="array" ref="G39">_xlfn.IFS(A39=$E$640,F39/$F$640,A39=$E$641,F39/$F$641,A39=$E$641,F39/$F$641,A39=$E$642,F39/$F$642,A39=$E$643,F39/$F$643,A39=$E$644,F39/$F$644,A39=$E$645,F39/$F$645,A39=$E$646,F39/$F$646,A39=$E$647,F39/$F$647)</f>
        <v>1.6451482309499312E-3</v>
      </c>
      <c r="H39" cm="1">
        <f t="array" ref="H39">_xlfn.IFS(A39=$P$24,G39*$Q$24,A39=$P$25,G39*$Q$25,A39=$P$26,G39*$Q$26,A39=$P$27,G39*$Q$27,A39=$P$28,G39*$Q$28,A39=$P$29,G39*$Q$29,A39=$P$30,G39*$Q$30,A39=$P$31,G39*$Q$31)</f>
        <v>754221.52803327423</v>
      </c>
      <c r="I39">
        <f t="shared" si="0"/>
        <v>758098.52803327423</v>
      </c>
      <c r="J39" s="1">
        <f t="shared" si="1"/>
        <v>807175.52803327423</v>
      </c>
    </row>
    <row r="40" spans="1:10" x14ac:dyDescent="0.2">
      <c r="A40">
        <v>2015</v>
      </c>
      <c r="C40" t="s">
        <v>42</v>
      </c>
      <c r="D40">
        <v>58950</v>
      </c>
      <c r="E40">
        <v>4657</v>
      </c>
      <c r="F40">
        <v>63607</v>
      </c>
      <c r="G40" cm="1">
        <f t="array" ref="G40">_xlfn.IFS(A40=$E$640,F40/$F$640,A40=$E$641,F40/$F$641,A40=$E$641,F40/$F$641,A40=$E$642,F40/$F$642,A40=$E$643,F40/$F$643,A40=$E$644,F40/$F$644,A40=$E$645,F40/$F$645,A40=$E$646,F40/$F$646,A40=$E$647,F40/$F$647)</f>
        <v>1.9761102754472237E-3</v>
      </c>
      <c r="H40" cm="1">
        <f t="array" ref="H40">_xlfn.IFS(A40=$P$24,G40*$Q$24,A40=$P$25,G40*$Q$25,A40=$P$26,G40*$Q$26,A40=$P$27,G40*$Q$27,A40=$P$28,G40*$Q$28,A40=$P$29,G40*$Q$29,A40=$P$30,G40*$Q$30,A40=$P$31,G40*$Q$31)</f>
        <v>905951.7455454258</v>
      </c>
      <c r="I40">
        <f t="shared" si="0"/>
        <v>910608.7455454258</v>
      </c>
      <c r="J40" s="1">
        <f t="shared" si="1"/>
        <v>969558.7455454258</v>
      </c>
    </row>
    <row r="41" spans="1:10" x14ac:dyDescent="0.2">
      <c r="A41">
        <v>2015</v>
      </c>
      <c r="C41" t="s">
        <v>43</v>
      </c>
      <c r="D41">
        <v>877560</v>
      </c>
      <c r="E41">
        <v>69320</v>
      </c>
      <c r="F41">
        <v>946880</v>
      </c>
      <c r="G41" cm="1">
        <f t="array" ref="G41">_xlfn.IFS(A41=$E$640,F41/$F$640,A41=$E$641,F41/$F$641,A41=$E$641,F41/$F$641,A41=$E$642,F41/$F$642,A41=$E$643,F41/$F$643,A41=$E$644,F41/$F$644,A41=$E$645,F41/$F$645,A41=$E$646,F41/$F$646,A41=$E$647,F41/$F$647)</f>
        <v>2.9417191466591209E-2</v>
      </c>
      <c r="H41" cm="1">
        <f t="array" ref="H41">_xlfn.IFS(A41=$P$24,G41*$Q$24,A41=$P$25,G41*$Q$25,A41=$P$26,G41*$Q$26,A41=$P$27,G41*$Q$27,A41=$P$28,G41*$Q$28,A41=$P$29,G41*$Q$29,A41=$P$30,G41*$Q$30,A41=$P$31,G41*$Q$31)</f>
        <v>13486370.821168311</v>
      </c>
      <c r="I41">
        <f t="shared" si="0"/>
        <v>13555690.821168311</v>
      </c>
      <c r="J41" s="1">
        <f t="shared" si="1"/>
        <v>14433250.821168311</v>
      </c>
    </row>
    <row r="42" spans="1:10" x14ac:dyDescent="0.2">
      <c r="A42">
        <v>2015</v>
      </c>
      <c r="C42" t="s">
        <v>44</v>
      </c>
      <c r="D42">
        <v>957315</v>
      </c>
      <c r="E42">
        <v>75620</v>
      </c>
      <c r="F42">
        <v>1032935</v>
      </c>
      <c r="G42" cm="1">
        <f t="array" ref="G42">_xlfn.IFS(A42=$E$640,F42/$F$640,A42=$E$641,F42/$F$641,A42=$E$641,F42/$F$641,A42=$E$642,F42/$F$642,A42=$E$643,F42/$F$643,A42=$E$644,F42/$F$644,A42=$E$645,F42/$F$645,A42=$E$646,F42/$F$646,A42=$E$647,F42/$F$647)</f>
        <v>3.2090704912495133E-2</v>
      </c>
      <c r="H42" cm="1">
        <f t="array" ref="H42">_xlfn.IFS(A42=$P$24,G42*$Q$24,A42=$P$25,G42*$Q$25,A42=$P$26,G42*$Q$26,A42=$P$27,G42*$Q$27,A42=$P$28,G42*$Q$28,A42=$P$29,G42*$Q$29,A42=$P$30,G42*$Q$30,A42=$P$31,G42*$Q$31)</f>
        <v>14712048.458266612</v>
      </c>
      <c r="I42">
        <f t="shared" si="0"/>
        <v>14787668.458266612</v>
      </c>
      <c r="J42" s="1">
        <f t="shared" si="1"/>
        <v>15744983.458266612</v>
      </c>
    </row>
    <row r="43" spans="1:10" x14ac:dyDescent="0.2">
      <c r="A43">
        <v>2015</v>
      </c>
      <c r="C43" t="s">
        <v>45</v>
      </c>
      <c r="D43">
        <v>222314</v>
      </c>
      <c r="E43">
        <v>17561</v>
      </c>
      <c r="F43">
        <v>239875</v>
      </c>
      <c r="G43" cm="1">
        <f t="array" ref="G43">_xlfn.IFS(A43=$E$640,F43/$F$640,A43=$E$641,F43/$F$641,A43=$E$641,F43/$F$641,A43=$E$642,F43/$F$642,A43=$E$643,F43/$F$643,A43=$E$644,F43/$F$644,A43=$E$645,F43/$F$645,A43=$E$646,F43/$F$646,A43=$E$647,F43/$F$647)</f>
        <v>7.4523158193736975E-3</v>
      </c>
      <c r="H43" cm="1">
        <f t="array" ref="H43">_xlfn.IFS(A43=$P$24,G43*$Q$24,A43=$P$25,G43*$Q$25,A43=$P$26,G43*$Q$26,A43=$P$27,G43*$Q$27,A43=$P$28,G43*$Q$28,A43=$P$29,G43*$Q$29,A43=$P$30,G43*$Q$30,A43=$P$31,G43*$Q$31)</f>
        <v>3416529.2336175111</v>
      </c>
      <c r="I43">
        <f t="shared" si="0"/>
        <v>3434090.2336175111</v>
      </c>
      <c r="J43" s="1">
        <f t="shared" si="1"/>
        <v>3656404.2336175111</v>
      </c>
    </row>
    <row r="44" spans="1:10" x14ac:dyDescent="0.2">
      <c r="A44">
        <v>2015</v>
      </c>
      <c r="C44" t="s">
        <v>46</v>
      </c>
      <c r="D44">
        <v>143796</v>
      </c>
      <c r="E44">
        <v>11359</v>
      </c>
      <c r="F44">
        <v>155155</v>
      </c>
      <c r="G44" cm="1">
        <f t="array" ref="G44">_xlfn.IFS(A44=$E$640,F44/$F$640,A44=$E$641,F44/$F$641,A44=$E$641,F44/$F$641,A44=$E$642,F44/$F$642,A44=$E$643,F44/$F$643,A44=$E$644,F44/$F$644,A44=$E$645,F44/$F$645,A44=$E$646,F44/$F$646,A44=$E$647,F44/$F$647)</f>
        <v>4.8202774818339802E-3</v>
      </c>
      <c r="H44" cm="1">
        <f t="array" ref="H44">_xlfn.IFS(A44=$P$24,G44*$Q$24,A44=$P$25,G44*$Q$25,A44=$P$26,G44*$Q$26,A44=$P$27,G44*$Q$27,A44=$P$28,G44*$Q$28,A44=$P$29,G44*$Q$29,A44=$P$30,G44*$Q$30,A44=$P$31,G44*$Q$31)</f>
        <v>2209865.9436870241</v>
      </c>
      <c r="I44">
        <f t="shared" si="0"/>
        <v>2221224.9436870241</v>
      </c>
      <c r="J44" s="1">
        <f t="shared" si="1"/>
        <v>2365020.9436870241</v>
      </c>
    </row>
    <row r="45" spans="1:10" x14ac:dyDescent="0.2">
      <c r="A45">
        <v>2015</v>
      </c>
      <c r="C45" t="s">
        <v>47</v>
      </c>
      <c r="D45">
        <v>99342</v>
      </c>
      <c r="E45">
        <v>7847</v>
      </c>
      <c r="F45">
        <v>107189</v>
      </c>
      <c r="G45" cm="1">
        <f t="array" ref="G45">_xlfn.IFS(A45=$E$640,F45/$F$640,A45=$E$641,F45/$F$641,A45=$E$641,F45/$F$641,A45=$E$642,F45/$F$642,A45=$E$643,F45/$F$643,A45=$E$644,F45/$F$644,A45=$E$645,F45/$F$645,A45=$E$646,F45/$F$646,A45=$E$647,F45/$F$647)</f>
        <v>3.3300939254313588E-3</v>
      </c>
      <c r="H45" cm="1">
        <f t="array" ref="H45">_xlfn.IFS(A45=$P$24,G45*$Q$24,A45=$P$25,G45*$Q$25,A45=$P$26,G45*$Q$26,A45=$P$27,G45*$Q$27,A45=$P$28,G45*$Q$28,A45=$P$29,G45*$Q$29,A45=$P$30,G45*$Q$30,A45=$P$31,G45*$Q$31)</f>
        <v>1526688.2835736419</v>
      </c>
      <c r="I45">
        <f t="shared" si="0"/>
        <v>1534535.2835736419</v>
      </c>
      <c r="J45" s="1">
        <f t="shared" si="1"/>
        <v>1633877.2835736419</v>
      </c>
    </row>
    <row r="46" spans="1:10" x14ac:dyDescent="0.2">
      <c r="A46">
        <v>2015</v>
      </c>
      <c r="C46" t="s">
        <v>48</v>
      </c>
      <c r="D46">
        <v>132010</v>
      </c>
      <c r="E46">
        <v>10428</v>
      </c>
      <c r="F46">
        <v>142438</v>
      </c>
      <c r="G46" cm="1">
        <f t="array" ref="G46">_xlfn.IFS(A46=$E$640,F46/$F$640,A46=$E$641,F46/$F$641,A46=$E$641,F46/$F$641,A46=$E$642,F46/$F$642,A46=$E$643,F46/$F$643,A46=$E$644,F46/$F$644,A46=$E$645,F46/$F$645,A46=$E$646,F46/$F$646,A46=$E$647,F46/$F$647)</f>
        <v>4.4251921237309045E-3</v>
      </c>
      <c r="H46" cm="1">
        <f t="array" ref="H46">_xlfn.IFS(A46=$P$24,G46*$Q$24,A46=$P$25,G46*$Q$25,A46=$P$26,G46*$Q$26,A46=$P$27,G46*$Q$27,A46=$P$28,G46*$Q$28,A46=$P$29,G46*$Q$29,A46=$P$30,G46*$Q$30,A46=$P$31,G46*$Q$31)</f>
        <v>2028738.2635873309</v>
      </c>
      <c r="I46">
        <f t="shared" si="0"/>
        <v>2039166.2635873309</v>
      </c>
      <c r="J46" s="1">
        <f t="shared" si="1"/>
        <v>2171176.2635873309</v>
      </c>
    </row>
    <row r="47" spans="1:10" x14ac:dyDescent="0.2">
      <c r="A47">
        <v>2015</v>
      </c>
      <c r="C47" t="s">
        <v>49</v>
      </c>
      <c r="D47">
        <v>72581</v>
      </c>
      <c r="E47">
        <v>5733</v>
      </c>
      <c r="F47">
        <v>78314</v>
      </c>
      <c r="G47" cm="1">
        <f t="array" ref="G47">_xlfn.IFS(A47=$E$640,F47/$F$640,A47=$E$641,F47/$F$641,A47=$E$641,F47/$F$641,A47=$E$642,F47/$F$642,A47=$E$643,F47/$F$643,A47=$E$644,F47/$F$644,A47=$E$645,F47/$F$645,A47=$E$646,F47/$F$646,A47=$E$647,F47/$F$647)</f>
        <v>2.4330199523853327E-3</v>
      </c>
      <c r="H47" cm="1">
        <f t="array" ref="H47">_xlfn.IFS(A47=$P$24,G47*$Q$24,A47=$P$25,G47*$Q$25,A47=$P$26,G47*$Q$26,A47=$P$27,G47*$Q$27,A47=$P$28,G47*$Q$28,A47=$P$29,G47*$Q$29,A47=$P$30,G47*$Q$30,A47=$P$31,G47*$Q$31)</f>
        <v>1115422.9094383398</v>
      </c>
      <c r="I47">
        <f t="shared" si="0"/>
        <v>1121155.9094383398</v>
      </c>
      <c r="J47" s="1">
        <f t="shared" si="1"/>
        <v>1193736.9094383398</v>
      </c>
    </row>
    <row r="48" spans="1:10" x14ac:dyDescent="0.2">
      <c r="A48">
        <v>2015</v>
      </c>
      <c r="C48" t="s">
        <v>50</v>
      </c>
      <c r="D48">
        <v>25365</v>
      </c>
      <c r="E48">
        <v>2004</v>
      </c>
      <c r="F48">
        <v>27369</v>
      </c>
      <c r="G48" cm="1">
        <f t="array" ref="G48">_xlfn.IFS(A48=$E$640,F48/$F$640,A48=$E$641,F48/$F$641,A48=$E$641,F48/$F$641,A48=$E$642,F48/$F$642,A48=$E$643,F48/$F$643,A48=$E$644,F48/$F$644,A48=$E$645,F48/$F$645,A48=$E$646,F48/$F$646,A48=$E$647,F48/$F$647)</f>
        <v>8.5028632271157362E-4</v>
      </c>
      <c r="H48" cm="1">
        <f t="array" ref="H48">_xlfn.IFS(A48=$P$24,G48*$Q$24,A48=$P$25,G48*$Q$25,A48=$P$26,G48*$Q$26,A48=$P$27,G48*$Q$27,A48=$P$28,G48*$Q$28,A48=$P$29,G48*$Q$29,A48=$P$30,G48*$Q$30,A48=$P$31,G48*$Q$31)</f>
        <v>389815.48137520649</v>
      </c>
      <c r="I48">
        <f t="shared" si="0"/>
        <v>391819.48137520649</v>
      </c>
      <c r="J48" s="1">
        <f t="shared" si="1"/>
        <v>417184.48137520649</v>
      </c>
    </row>
    <row r="49" spans="1:10" x14ac:dyDescent="0.2">
      <c r="A49">
        <v>2015</v>
      </c>
      <c r="C49" t="s">
        <v>51</v>
      </c>
      <c r="D49">
        <v>196125</v>
      </c>
      <c r="E49">
        <v>15492</v>
      </c>
      <c r="F49">
        <v>211617</v>
      </c>
      <c r="G49" cm="1">
        <f t="array" ref="G49">_xlfn.IFS(A49=$E$640,F49/$F$640,A49=$E$641,F49/$F$641,A49=$E$641,F49/$F$641,A49=$E$642,F49/$F$642,A49=$E$643,F49/$F$643,A49=$E$644,F49/$F$644,A49=$E$645,F49/$F$645,A49=$E$646,F49/$F$646,A49=$E$647,F49/$F$647)</f>
        <v>6.5744104919162214E-3</v>
      </c>
      <c r="H49" cm="1">
        <f t="array" ref="H49">_xlfn.IFS(A49=$P$24,G49*$Q$24,A49=$P$25,G49*$Q$25,A49=$P$26,G49*$Q$26,A49=$P$27,G49*$Q$27,A49=$P$28,G49*$Q$28,A49=$P$29,G49*$Q$29,A49=$P$30,G49*$Q$30,A49=$P$31,G49*$Q$31)</f>
        <v>3014051.763753775</v>
      </c>
      <c r="I49">
        <f t="shared" si="0"/>
        <v>3029543.763753775</v>
      </c>
      <c r="J49" s="1">
        <f t="shared" si="1"/>
        <v>3225668.763753775</v>
      </c>
    </row>
    <row r="50" spans="1:10" x14ac:dyDescent="0.2">
      <c r="A50">
        <v>2015</v>
      </c>
      <c r="C50" t="s">
        <v>52</v>
      </c>
      <c r="D50">
        <v>250146</v>
      </c>
      <c r="E50">
        <v>19759</v>
      </c>
      <c r="F50">
        <v>269905</v>
      </c>
      <c r="G50" cm="1">
        <f t="array" ref="G50">_xlfn.IFS(A50=$E$640,F50/$F$640,A50=$E$641,F50/$F$641,A50=$E$641,F50/$F$641,A50=$E$642,F50/$F$642,A50=$E$643,F50/$F$643,A50=$E$644,F50/$F$644,A50=$E$645,F50/$F$645,A50=$E$646,F50/$F$646,A50=$E$647,F50/$F$647)</f>
        <v>8.3852727513415645E-3</v>
      </c>
      <c r="H50" cm="1">
        <f t="array" ref="H50">_xlfn.IFS(A50=$P$24,G50*$Q$24,A50=$P$25,G50*$Q$25,A50=$P$26,G50*$Q$26,A50=$P$27,G50*$Q$27,A50=$P$28,G50*$Q$28,A50=$P$29,G50*$Q$29,A50=$P$30,G50*$Q$30,A50=$P$31,G50*$Q$31)</f>
        <v>3844245.2227182253</v>
      </c>
      <c r="I50">
        <f t="shared" si="0"/>
        <v>3864004.2227182253</v>
      </c>
      <c r="J50" s="1">
        <f t="shared" si="1"/>
        <v>4114150.2227182253</v>
      </c>
    </row>
    <row r="51" spans="1:10" x14ac:dyDescent="0.2">
      <c r="A51">
        <v>2015</v>
      </c>
      <c r="C51" t="s">
        <v>53</v>
      </c>
      <c r="D51">
        <v>312201</v>
      </c>
      <c r="E51">
        <v>24661</v>
      </c>
      <c r="F51">
        <v>336862</v>
      </c>
      <c r="G51" cm="1">
        <f t="array" ref="G51">_xlfn.IFS(A51=$E$640,F51/$F$640,A51=$E$641,F51/$F$641,A51=$E$641,F51/$F$641,A51=$E$642,F51/$F$642,A51=$E$643,F51/$F$643,A51=$E$644,F51/$F$644,A51=$E$645,F51/$F$645,A51=$E$646,F51/$F$646,A51=$E$647,F51/$F$647)</f>
        <v>1.0465459141410578E-2</v>
      </c>
      <c r="H51" cm="1">
        <f t="array" ref="H51">_xlfn.IFS(A51=$P$24,G51*$Q$24,A51=$P$25,G51*$Q$25,A51=$P$26,G51*$Q$26,A51=$P$27,G51*$Q$27,A51=$P$28,G51*$Q$28,A51=$P$29,G51*$Q$29,A51=$P$30,G51*$Q$30,A51=$P$31,G51*$Q$31)</f>
        <v>4797910.8731416855</v>
      </c>
      <c r="I51">
        <f t="shared" si="0"/>
        <v>4822571.8731416855</v>
      </c>
      <c r="J51" s="1">
        <f t="shared" si="1"/>
        <v>5134772.8731416855</v>
      </c>
    </row>
    <row r="52" spans="1:10" x14ac:dyDescent="0.2">
      <c r="A52">
        <v>2015</v>
      </c>
      <c r="C52" t="s">
        <v>54</v>
      </c>
      <c r="D52">
        <v>64865</v>
      </c>
      <c r="E52">
        <v>5124</v>
      </c>
      <c r="F52">
        <v>69989</v>
      </c>
      <c r="G52" cm="1">
        <f t="array" ref="G52">_xlfn.IFS(A52=$E$640,F52/$F$640,A52=$E$641,F52/$F$641,A52=$E$641,F52/$F$641,A52=$E$642,F52/$F$642,A52=$E$643,F52/$F$643,A52=$E$644,F52/$F$644,A52=$E$645,F52/$F$645,A52=$E$646,F52/$F$646,A52=$E$647,F52/$F$647)</f>
        <v>2.1743830406759593E-3</v>
      </c>
      <c r="H52" cm="1">
        <f t="array" ref="H52">_xlfn.IFS(A52=$P$24,G52*$Q$24,A52=$P$25,G52*$Q$25,A52=$P$26,G52*$Q$26,A52=$P$27,G52*$Q$27,A52=$P$28,G52*$Q$28,A52=$P$29,G52*$Q$29,A52=$P$30,G52*$Q$30,A52=$P$31,G52*$Q$31)</f>
        <v>996850.29507725267</v>
      </c>
      <c r="I52">
        <f t="shared" si="0"/>
        <v>1001974.2950772527</v>
      </c>
      <c r="J52" s="1">
        <f t="shared" si="1"/>
        <v>1066839.2950772527</v>
      </c>
    </row>
    <row r="53" spans="1:10" x14ac:dyDescent="0.2">
      <c r="A53">
        <v>2015</v>
      </c>
      <c r="C53" t="s">
        <v>55</v>
      </c>
      <c r="D53">
        <v>364870</v>
      </c>
      <c r="E53">
        <v>28821</v>
      </c>
      <c r="F53">
        <v>393691</v>
      </c>
      <c r="G53" cm="1">
        <f t="array" ref="G53">_xlfn.IFS(A53=$E$640,F53/$F$640,A53=$E$641,F53/$F$641,A53=$E$641,F53/$F$641,A53=$E$642,F53/$F$642,A53=$E$643,F53/$F$643,A53=$E$644,F53/$F$644,A53=$E$645,F53/$F$645,A53=$E$646,F53/$F$646,A53=$E$647,F53/$F$647)</f>
        <v>1.2230993922855864E-2</v>
      </c>
      <c r="H53" cm="1">
        <f t="array" ref="H53">_xlfn.IFS(A53=$P$24,G53*$Q$24,A53=$P$25,G53*$Q$25,A53=$P$26,G53*$Q$26,A53=$P$27,G53*$Q$27,A53=$P$28,G53*$Q$28,A53=$P$29,G53*$Q$29,A53=$P$30,G53*$Q$30,A53=$P$31,G53*$Q$31)</f>
        <v>5607323.858310001</v>
      </c>
      <c r="I53">
        <f t="shared" si="0"/>
        <v>5636144.858310001</v>
      </c>
      <c r="J53" s="1">
        <f t="shared" si="1"/>
        <v>6001014.858310001</v>
      </c>
    </row>
    <row r="54" spans="1:10" x14ac:dyDescent="0.2">
      <c r="A54">
        <v>2015</v>
      </c>
      <c r="C54" t="s">
        <v>56</v>
      </c>
      <c r="D54">
        <v>51549</v>
      </c>
      <c r="E54">
        <v>4072</v>
      </c>
      <c r="F54">
        <v>55621</v>
      </c>
      <c r="G54" cm="1">
        <f t="array" ref="G54">_xlfn.IFS(A54=$E$640,F54/$F$640,A54=$E$641,F54/$F$641,A54=$E$641,F54/$F$641,A54=$E$642,F54/$F$642,A54=$E$643,F54/$F$643,A54=$E$644,F54/$F$644,A54=$E$645,F54/$F$645,A54=$E$646,F54/$F$646,A54=$E$647,F54/$F$647)</f>
        <v>1.728005245187637E-3</v>
      </c>
      <c r="H54" cm="1">
        <f t="array" ref="H54">_xlfn.IFS(A54=$P$24,G54*$Q$24,A54=$P$25,G54*$Q$25,A54=$P$26,G54*$Q$26,A54=$P$27,G54*$Q$27,A54=$P$28,G54*$Q$28,A54=$P$29,G54*$Q$29,A54=$P$30,G54*$Q$30,A54=$P$31,G54*$Q$31)</f>
        <v>792207.49349886226</v>
      </c>
      <c r="I54">
        <f t="shared" si="0"/>
        <v>796279.49349886226</v>
      </c>
      <c r="J54" s="1">
        <f t="shared" si="1"/>
        <v>847828.49349886226</v>
      </c>
    </row>
    <row r="55" spans="1:10" x14ac:dyDescent="0.2">
      <c r="A55">
        <v>2015</v>
      </c>
      <c r="C55" t="s">
        <v>57</v>
      </c>
      <c r="D55">
        <v>1285853</v>
      </c>
      <c r="E55">
        <v>101571</v>
      </c>
      <c r="F55">
        <v>1387424</v>
      </c>
      <c r="G55" cm="1">
        <f t="array" ref="G55">_xlfn.IFS(A55=$E$640,F55/$F$640,A55=$E$641,F55/$F$641,A55=$E$641,F55/$F$641,A55=$E$642,F55/$F$642,A55=$E$643,F55/$F$643,A55=$E$644,F55/$F$644,A55=$E$645,F55/$F$645,A55=$E$646,F55/$F$646,A55=$E$647,F55/$F$647)</f>
        <v>4.3103790821797737E-2</v>
      </c>
      <c r="H55" cm="1">
        <f t="array" ref="H55">_xlfn.IFS(A55=$P$24,G55*$Q$24,A55=$P$25,G55*$Q$25,A55=$P$26,G55*$Q$26,A55=$P$27,G55*$Q$27,A55=$P$28,G55*$Q$28,A55=$P$29,G55*$Q$29,A55=$P$30,G55*$Q$30,A55=$P$31,G55*$Q$31)</f>
        <v>19761019.928806841</v>
      </c>
      <c r="I55">
        <f t="shared" si="0"/>
        <v>19862590.928806841</v>
      </c>
      <c r="J55" s="1">
        <f t="shared" si="1"/>
        <v>21148443.928806841</v>
      </c>
    </row>
    <row r="56" spans="1:10" x14ac:dyDescent="0.2">
      <c r="A56">
        <v>2015</v>
      </c>
      <c r="C56" t="s">
        <v>58</v>
      </c>
      <c r="D56">
        <v>398159</v>
      </c>
      <c r="E56">
        <v>31451</v>
      </c>
      <c r="F56">
        <v>429610</v>
      </c>
      <c r="G56" cm="1">
        <f t="array" ref="G56">_xlfn.IFS(A56=$E$640,F56/$F$640,A56=$E$641,F56/$F$641,A56=$E$641,F56/$F$641,A56=$E$642,F56/$F$642,A56=$E$643,F56/$F$643,A56=$E$644,F56/$F$644,A56=$E$645,F56/$F$645,A56=$E$646,F56/$F$646,A56=$E$647,F56/$F$647)</f>
        <v>1.3346907344079766E-2</v>
      </c>
      <c r="H56" cm="1">
        <f t="array" ref="H56">_xlfn.IFS(A56=$P$24,G56*$Q$24,A56=$P$25,G56*$Q$25,A56=$P$26,G56*$Q$26,A56=$P$27,G56*$Q$27,A56=$P$28,G56*$Q$28,A56=$P$29,G56*$Q$29,A56=$P$30,G56*$Q$30,A56=$P$31,G56*$Q$31)</f>
        <v>6118916.6192992963</v>
      </c>
      <c r="I56">
        <f t="shared" si="0"/>
        <v>6150367.6192992963</v>
      </c>
      <c r="J56" s="1">
        <f t="shared" si="1"/>
        <v>6548526.6192992963</v>
      </c>
    </row>
    <row r="57" spans="1:10" x14ac:dyDescent="0.2">
      <c r="A57">
        <v>2015</v>
      </c>
      <c r="C57" t="s">
        <v>59</v>
      </c>
      <c r="D57">
        <v>74936</v>
      </c>
      <c r="E57">
        <v>5919</v>
      </c>
      <c r="F57">
        <v>80855</v>
      </c>
      <c r="G57" cm="1">
        <f t="array" ref="G57">_xlfn.IFS(A57=$E$640,F57/$F$640,A57=$E$641,F57/$F$641,A57=$E$641,F57/$F$641,A57=$E$642,F57/$F$642,A57=$E$643,F57/$F$643,A57=$E$644,F57/$F$644,A57=$E$645,F57/$F$645,A57=$E$646,F57/$F$646,A57=$E$647,F57/$F$647)</f>
        <v>2.5119624620133832E-3</v>
      </c>
      <c r="H57" cm="1">
        <f t="array" ref="H57">_xlfn.IFS(A57=$P$24,G57*$Q$24,A57=$P$25,G57*$Q$25,A57=$P$26,G57*$Q$26,A57=$P$27,G57*$Q$27,A57=$P$28,G57*$Q$28,A57=$P$29,G57*$Q$29,A57=$P$30,G57*$Q$30,A57=$P$31,G57*$Q$31)</f>
        <v>1151614.2623622464</v>
      </c>
      <c r="I57">
        <f t="shared" si="0"/>
        <v>1157533.2623622464</v>
      </c>
      <c r="J57" s="1">
        <f t="shared" si="1"/>
        <v>1232469.2623622464</v>
      </c>
    </row>
    <row r="58" spans="1:10" x14ac:dyDescent="0.2">
      <c r="A58">
        <v>2015</v>
      </c>
      <c r="C58" t="s">
        <v>60</v>
      </c>
      <c r="D58">
        <v>21610</v>
      </c>
      <c r="E58">
        <v>1707</v>
      </c>
      <c r="F58">
        <v>23317</v>
      </c>
      <c r="G58" cm="1">
        <f t="array" ref="G58">_xlfn.IFS(A58=$E$640,F58/$F$640,A58=$E$641,F58/$F$641,A58=$E$641,F58/$F$641,A58=$E$642,F58/$F$642,A58=$E$643,F58/$F$643,A58=$E$644,F58/$F$644,A58=$E$645,F58/$F$645,A58=$E$646,F58/$F$646,A58=$E$647,F58/$F$647)</f>
        <v>7.2440082526456073E-4</v>
      </c>
      <c r="H58" cm="1">
        <f t="array" ref="H58">_xlfn.IFS(A58=$P$24,G58*$Q$24,A58=$P$25,G58*$Q$25,A58=$P$26,G58*$Q$26,A58=$P$27,G58*$Q$27,A58=$P$28,G58*$Q$28,A58=$P$29,G58*$Q$29,A58=$P$30,G58*$Q$30,A58=$P$31,G58*$Q$31)</f>
        <v>332103.02090780408</v>
      </c>
      <c r="I58">
        <f t="shared" si="0"/>
        <v>333810.02090780408</v>
      </c>
      <c r="J58" s="1">
        <f t="shared" si="1"/>
        <v>355420.02090780408</v>
      </c>
    </row>
    <row r="59" spans="1:10" x14ac:dyDescent="0.2">
      <c r="A59">
        <v>2015</v>
      </c>
      <c r="C59" t="s">
        <v>61</v>
      </c>
      <c r="D59">
        <v>150289</v>
      </c>
      <c r="E59">
        <v>11872</v>
      </c>
      <c r="F59">
        <v>162161</v>
      </c>
      <c r="G59" cm="1">
        <f t="array" ref="G59">_xlfn.IFS(A59=$E$640,F59/$F$640,A59=$E$641,F59/$F$641,A59=$E$641,F59/$F$641,A59=$E$642,F59/$F$642,A59=$E$643,F59/$F$643,A59=$E$644,F59/$F$644,A59=$E$645,F59/$F$645,A59=$E$646,F59/$F$646,A59=$E$647,F59/$F$647)</f>
        <v>5.0379363651295809E-3</v>
      </c>
      <c r="H59" cm="1">
        <f t="array" ref="H59">_xlfn.IFS(A59=$P$24,G59*$Q$24,A59=$P$25,G59*$Q$25,A59=$P$26,G59*$Q$26,A59=$P$27,G59*$Q$27,A59=$P$28,G59*$Q$28,A59=$P$29,G59*$Q$29,A59=$P$30,G59*$Q$30,A59=$P$31,G59*$Q$31)</f>
        <v>2309652.0981871774</v>
      </c>
      <c r="I59">
        <f t="shared" si="0"/>
        <v>2321524.0981871774</v>
      </c>
      <c r="J59" s="1">
        <f t="shared" si="1"/>
        <v>2471813.0981871774</v>
      </c>
    </row>
    <row r="60" spans="1:10" x14ac:dyDescent="0.2">
      <c r="A60">
        <v>2015</v>
      </c>
      <c r="C60" t="s">
        <v>62</v>
      </c>
      <c r="D60">
        <v>148605</v>
      </c>
      <c r="E60">
        <v>11738</v>
      </c>
      <c r="F60">
        <v>160343</v>
      </c>
      <c r="G60" cm="1">
        <f t="array" ref="G60">_xlfn.IFS(A60=$E$640,F60/$F$640,A60=$E$641,F60/$F$641,A60=$E$641,F60/$F$641,A60=$E$642,F60/$F$642,A60=$E$643,F60/$F$643,A60=$E$644,F60/$F$644,A60=$E$645,F60/$F$645,A60=$E$646,F60/$F$646,A60=$E$647,F60/$F$647)</f>
        <v>4.9814556557616959E-3</v>
      </c>
      <c r="H60" cm="1">
        <f t="array" ref="H60">_xlfn.IFS(A60=$P$24,G60*$Q$24,A60=$P$25,G60*$Q$25,A60=$P$26,G60*$Q$26,A60=$P$27,G60*$Q$27,A60=$P$28,G60*$Q$28,A60=$P$29,G60*$Q$29,A60=$P$30,G60*$Q$30,A60=$P$31,G60*$Q$31)</f>
        <v>2283758.4029429182</v>
      </c>
      <c r="I60">
        <f t="shared" si="0"/>
        <v>2295496.4029429182</v>
      </c>
      <c r="J60" s="1">
        <f t="shared" si="1"/>
        <v>2444101.4029429182</v>
      </c>
    </row>
    <row r="61" spans="1:10" x14ac:dyDescent="0.2">
      <c r="A61">
        <v>2015</v>
      </c>
      <c r="C61" t="s">
        <v>63</v>
      </c>
      <c r="D61">
        <v>195785</v>
      </c>
      <c r="E61">
        <v>15465</v>
      </c>
      <c r="F61">
        <v>211250</v>
      </c>
      <c r="G61" cm="1">
        <f t="array" ref="G61">_xlfn.IFS(A61=$E$640,F61/$F$640,A61=$E$641,F61/$F$641,A61=$E$641,F61/$F$641,A61=$E$642,F61/$F$642,A61=$E$643,F61/$F$643,A61=$E$644,F61/$F$644,A61=$E$645,F61/$F$645,A61=$E$646,F61/$F$646,A61=$E$647,F61/$F$647)</f>
        <v>6.5630087205531783E-3</v>
      </c>
      <c r="H61" cm="1">
        <f t="array" ref="H61">_xlfn.IFS(A61=$P$24,G61*$Q$24,A61=$P$25,G61*$Q$25,A61=$P$26,G61*$Q$26,A61=$P$27,G61*$Q$27,A61=$P$28,G61*$Q$28,A61=$P$29,G61*$Q$29,A61=$P$30,G61*$Q$30,A61=$P$31,G61*$Q$31)</f>
        <v>3008824.5986522115</v>
      </c>
      <c r="I61">
        <f t="shared" si="0"/>
        <v>3024289.5986522115</v>
      </c>
      <c r="J61" s="1">
        <f t="shared" si="1"/>
        <v>3220074.5986522115</v>
      </c>
    </row>
    <row r="62" spans="1:10" x14ac:dyDescent="0.2">
      <c r="A62">
        <v>2015</v>
      </c>
      <c r="C62" t="s">
        <v>64</v>
      </c>
      <c r="D62">
        <v>17628</v>
      </c>
      <c r="E62">
        <v>1393</v>
      </c>
      <c r="F62">
        <v>19021</v>
      </c>
      <c r="G62" cm="1">
        <f t="array" ref="G62">_xlfn.IFS(A62=$E$640,F62/$F$640,A62=$E$641,F62/$F$641,A62=$E$641,F62/$F$641,A62=$E$642,F62/$F$642,A62=$E$643,F62/$F$643,A62=$E$644,F62/$F$644,A62=$E$645,F62/$F$645,A62=$E$646,F62/$F$646,A62=$E$647,F62/$F$647)</f>
        <v>5.9093485857345321E-4</v>
      </c>
      <c r="H62" cm="1">
        <f t="array" ref="H62">_xlfn.IFS(A62=$P$24,G62*$Q$24,A62=$P$25,G62*$Q$25,A62=$P$26,G62*$Q$26,A62=$P$27,G62*$Q$27,A62=$P$28,G62*$Q$28,A62=$P$29,G62*$Q$29,A62=$P$30,G62*$Q$30,A62=$P$31,G62*$Q$31)</f>
        <v>270915.27901047911</v>
      </c>
      <c r="I62">
        <f t="shared" si="0"/>
        <v>272308.27901047911</v>
      </c>
      <c r="J62" s="1">
        <f t="shared" si="1"/>
        <v>289936.27901047911</v>
      </c>
    </row>
    <row r="63" spans="1:10" x14ac:dyDescent="0.2">
      <c r="A63">
        <v>2015</v>
      </c>
      <c r="C63" t="s">
        <v>65</v>
      </c>
      <c r="D63">
        <v>495861</v>
      </c>
      <c r="E63">
        <v>39169</v>
      </c>
      <c r="F63">
        <v>535030</v>
      </c>
      <c r="G63" cm="1">
        <f t="array" ref="G63">_xlfn.IFS(A63=$E$640,F63/$F$640,A63=$E$641,F63/$F$641,A63=$E$641,F63/$F$641,A63=$E$642,F63/$F$642,A63=$E$643,F63/$F$643,A63=$E$644,F63/$F$644,A63=$E$645,F63/$F$645,A63=$E$646,F63/$F$646,A63=$E$647,F63/$F$647)</f>
        <v>1.662204286749144E-2</v>
      </c>
      <c r="H63" cm="1">
        <f t="array" ref="H63">_xlfn.IFS(A63=$P$24,G63*$Q$24,A63=$P$25,G63*$Q$25,A63=$P$26,G63*$Q$26,A63=$P$27,G63*$Q$27,A63=$P$28,G63*$Q$28,A63=$P$29,G63*$Q$29,A63=$P$30,G63*$Q$30,A63=$P$31,G63*$Q$31)</f>
        <v>7620409.1125060003</v>
      </c>
      <c r="I63">
        <f t="shared" si="0"/>
        <v>7659578.1125060003</v>
      </c>
      <c r="J63" s="1">
        <f t="shared" si="1"/>
        <v>8155439.1125060003</v>
      </c>
    </row>
    <row r="64" spans="1:10" x14ac:dyDescent="0.2">
      <c r="A64">
        <v>2015</v>
      </c>
      <c r="C64" t="s">
        <v>66</v>
      </c>
      <c r="D64">
        <v>42953</v>
      </c>
      <c r="E64">
        <v>3393</v>
      </c>
      <c r="F64">
        <v>46346</v>
      </c>
      <c r="G64" cm="1">
        <f t="array" ref="G64">_xlfn.IFS(A64=$E$640,F64/$F$640,A64=$E$641,F64/$F$641,A64=$E$641,F64/$F$641,A64=$E$642,F64/$F$642,A64=$E$643,F64/$F$643,A64=$E$644,F64/$F$644,A64=$E$645,F64/$F$645,A64=$E$646,F64/$F$646,A64=$E$647,F64/$F$647)</f>
        <v>1.4398542114213376E-3</v>
      </c>
      <c r="H64" cm="1">
        <f t="array" ref="H64">_xlfn.IFS(A64=$P$24,G64*$Q$24,A64=$P$25,G64*$Q$25,A64=$P$26,G64*$Q$26,A64=$P$27,G64*$Q$27,A64=$P$28,G64*$Q$28,A64=$P$29,G64*$Q$29,A64=$P$30,G64*$Q$30,A64=$P$31,G64*$Q$31)</f>
        <v>660104.07029176515</v>
      </c>
      <c r="I64">
        <f t="shared" si="0"/>
        <v>663497.07029176515</v>
      </c>
      <c r="J64" s="1">
        <f t="shared" si="1"/>
        <v>706450.07029176515</v>
      </c>
    </row>
    <row r="65" spans="1:10" x14ac:dyDescent="0.2">
      <c r="A65">
        <v>2015</v>
      </c>
      <c r="C65" t="s">
        <v>67</v>
      </c>
      <c r="D65">
        <v>86018</v>
      </c>
      <c r="E65">
        <v>6795</v>
      </c>
      <c r="F65">
        <v>92813</v>
      </c>
      <c r="G65" cm="1">
        <f t="array" ref="G65">_xlfn.IFS(A65=$E$640,F65/$F$640,A65=$E$641,F65/$F$641,A65=$E$641,F65/$F$641,A65=$E$642,F65/$F$642,A65=$E$643,F65/$F$643,A65=$E$644,F65/$F$644,A65=$E$645,F65/$F$645,A65=$E$646,F65/$F$646,A65=$E$647,F65/$F$647)</f>
        <v>2.8834675899678205E-3</v>
      </c>
      <c r="H65" cm="1">
        <f t="array" ref="H65">_xlfn.IFS(A65=$P$24,G65*$Q$24,A65=$P$25,G65*$Q$25,A65=$P$26,G65*$Q$26,A65=$P$27,G65*$Q$27,A65=$P$28,G65*$Q$28,A65=$P$29,G65*$Q$29,A65=$P$30,G65*$Q$30,A65=$P$31,G65*$Q$31)</f>
        <v>1321931.5383418114</v>
      </c>
      <c r="I65">
        <f t="shared" si="0"/>
        <v>1328726.5383418114</v>
      </c>
      <c r="J65" s="1">
        <f t="shared" si="1"/>
        <v>1414744.5383418114</v>
      </c>
    </row>
    <row r="66" spans="1:10" x14ac:dyDescent="0.2">
      <c r="A66">
        <v>2015</v>
      </c>
      <c r="C66" t="s">
        <v>68</v>
      </c>
      <c r="D66">
        <v>635221</v>
      </c>
      <c r="E66">
        <v>50177</v>
      </c>
      <c r="F66">
        <v>685398</v>
      </c>
      <c r="G66" cm="1">
        <f t="array" ref="G66">_xlfn.IFS(A66=$E$640,F66/$F$640,A66=$E$641,F66/$F$641,A66=$E$641,F66/$F$641,A66=$E$642,F66/$F$642,A66=$E$643,F66/$F$643,A66=$E$644,F66/$F$644,A66=$E$645,F66/$F$645,A66=$E$646,F66/$F$646,A66=$E$647,F66/$F$647)</f>
        <v>2.1293600241655417E-2</v>
      </c>
      <c r="H66" cm="1">
        <f t="array" ref="H66">_xlfn.IFS(A66=$P$24,G66*$Q$24,A66=$P$25,G66*$Q$25,A66=$P$26,G66*$Q$26,A66=$P$27,G66*$Q$27,A66=$P$28,G66*$Q$28,A66=$P$29,G66*$Q$29,A66=$P$30,G66*$Q$30,A66=$P$31,G66*$Q$31)</f>
        <v>9762094.0225658137</v>
      </c>
      <c r="I66">
        <f t="shared" si="0"/>
        <v>9812271.0225658137</v>
      </c>
      <c r="J66" s="1">
        <f t="shared" si="1"/>
        <v>10447492.022565814</v>
      </c>
    </row>
    <row r="67" spans="1:10" x14ac:dyDescent="0.2">
      <c r="A67">
        <v>2015</v>
      </c>
      <c r="C67" t="s">
        <v>69</v>
      </c>
      <c r="D67">
        <v>135463</v>
      </c>
      <c r="E67">
        <v>10700</v>
      </c>
      <c r="F67">
        <v>146163</v>
      </c>
      <c r="G67" cm="1">
        <f t="array" ref="G67">_xlfn.IFS(A67=$E$640,F67/$F$640,A67=$E$641,F67/$F$641,A67=$E$641,F67/$F$641,A67=$E$642,F67/$F$642,A67=$E$643,F67/$F$643,A67=$E$644,F67/$F$644,A67=$E$645,F67/$F$645,A67=$E$646,F67/$F$646,A67=$E$647,F67/$F$647)</f>
        <v>4.5409185496909548E-3</v>
      </c>
      <c r="H67" cm="1">
        <f t="array" ref="H67">_xlfn.IFS(A67=$P$24,G67*$Q$24,A67=$P$25,G67*$Q$25,A67=$P$26,G67*$Q$26,A67=$P$27,G67*$Q$27,A67=$P$28,G67*$Q$28,A67=$P$29,G67*$Q$29,A67=$P$30,G67*$Q$30,A67=$P$31,G67*$Q$31)</f>
        <v>2081793.27722037</v>
      </c>
      <c r="I67">
        <f t="shared" ref="I67:I130" si="4">SUM(H67,E67)</f>
        <v>2092493.27722037</v>
      </c>
      <c r="J67" s="1">
        <f t="shared" ref="J67:J130" si="5">SUM(I67,D67)</f>
        <v>2227956.2772203702</v>
      </c>
    </row>
    <row r="68" spans="1:10" x14ac:dyDescent="0.2">
      <c r="A68">
        <v>2015</v>
      </c>
      <c r="C68" t="s">
        <v>70</v>
      </c>
      <c r="D68">
        <v>1361972</v>
      </c>
      <c r="E68">
        <v>107584</v>
      </c>
      <c r="F68">
        <v>1469556</v>
      </c>
      <c r="G68" cm="1">
        <f t="array" ref="G68">_xlfn.IFS(A68=$E$640,F68/$F$640,A68=$E$641,F68/$F$641,A68=$E$641,F68/$F$641,A68=$E$642,F68/$F$642,A68=$E$643,F68/$F$643,A68=$E$644,F68/$F$644,A68=$E$645,F68/$F$645,A68=$E$646,F68/$F$646,A68=$E$647,F68/$F$647)</f>
        <v>4.5655426477355009E-2</v>
      </c>
      <c r="H68" cm="1">
        <f t="array" ref="H68">_xlfn.IFS(A68=$P$24,G68*$Q$24,A68=$P$25,G68*$Q$25,A68=$P$26,G68*$Q$26,A68=$P$27,G68*$Q$27,A68=$P$28,G68*$Q$28,A68=$P$29,G68*$Q$29,A68=$P$30,G68*$Q$30,A68=$P$31,G68*$Q$31)</f>
        <v>20930822.446849462</v>
      </c>
      <c r="I68">
        <f t="shared" si="4"/>
        <v>21038406.446849462</v>
      </c>
      <c r="J68" s="1">
        <f t="shared" si="5"/>
        <v>22400378.446849462</v>
      </c>
    </row>
    <row r="69" spans="1:10" x14ac:dyDescent="0.2">
      <c r="A69">
        <v>2015</v>
      </c>
      <c r="C69" t="s">
        <v>71</v>
      </c>
      <c r="D69">
        <v>98203</v>
      </c>
      <c r="E69">
        <v>7757</v>
      </c>
      <c r="F69">
        <v>105960</v>
      </c>
      <c r="G69" cm="1">
        <f t="array" ref="G69">_xlfn.IFS(A69=$E$640,F69/$F$640,A69=$E$641,F69/$F$641,A69=$E$641,F69/$F$641,A69=$E$642,F69/$F$642,A69=$E$643,F69/$F$643,A69=$E$644,F69/$F$644,A69=$E$645,F69/$F$645,A69=$E$646,F69/$F$646,A69=$E$647,F69/$F$647)</f>
        <v>3.2919119717387678E-3</v>
      </c>
      <c r="H69" cm="1">
        <f t="array" ref="H69">_xlfn.IFS(A69=$P$24,G69*$Q$24,A69=$P$25,G69*$Q$25,A69=$P$26,G69*$Q$26,A69=$P$27,G69*$Q$27,A69=$P$28,G69*$Q$28,A69=$P$29,G69*$Q$29,A69=$P$30,G69*$Q$30,A69=$P$31,G69*$Q$31)</f>
        <v>1509183.6898139091</v>
      </c>
      <c r="I69">
        <f t="shared" si="4"/>
        <v>1516940.6898139091</v>
      </c>
      <c r="J69" s="1">
        <f t="shared" si="5"/>
        <v>1615143.6898139091</v>
      </c>
    </row>
    <row r="70" spans="1:10" x14ac:dyDescent="0.2">
      <c r="A70">
        <v>2015</v>
      </c>
      <c r="C70" t="s">
        <v>72</v>
      </c>
      <c r="D70">
        <v>38870</v>
      </c>
      <c r="E70">
        <v>3070</v>
      </c>
      <c r="F70">
        <v>41940</v>
      </c>
      <c r="G70" cm="1">
        <f t="array" ref="G70">_xlfn.IFS(A70=$E$640,F70/$F$640,A70=$E$641,F70/$F$641,A70=$E$641,F70/$F$641,A70=$E$642,F70/$F$642,A70=$E$643,F70/$F$643,A70=$E$644,F70/$F$644,A70=$E$645,F70/$F$645,A70=$E$646,F70/$F$646,A70=$E$647,F70/$F$647)</f>
        <v>1.3029708200710073E-3</v>
      </c>
      <c r="H70" cm="1">
        <f t="array" ref="H70">_xlfn.IFS(A70=$P$24,G70*$Q$24,A70=$P$25,G70*$Q$25,A70=$P$26,G70*$Q$26,A70=$P$27,G70*$Q$27,A70=$P$28,G70*$Q$28,A70=$P$29,G70*$Q$29,A70=$P$30,G70*$Q$30,A70=$P$31,G70*$Q$31)</f>
        <v>597349.60315963905</v>
      </c>
      <c r="I70">
        <f t="shared" si="4"/>
        <v>600419.60315963905</v>
      </c>
      <c r="J70" s="1">
        <f t="shared" si="5"/>
        <v>639289.60315963905</v>
      </c>
    </row>
    <row r="71" spans="1:10" x14ac:dyDescent="0.2">
      <c r="A71">
        <v>2015</v>
      </c>
      <c r="C71" t="s">
        <v>73</v>
      </c>
      <c r="D71">
        <v>19599</v>
      </c>
      <c r="E71">
        <v>1548</v>
      </c>
      <c r="F71">
        <v>21147</v>
      </c>
      <c r="G71" cm="1">
        <f t="array" ref="G71">_xlfn.IFS(A71=$E$640,F71/$F$640,A71=$E$641,F71/$F$641,A71=$E$641,F71/$F$641,A71=$E$642,F71/$F$642,A71=$E$643,F71/$F$643,A71=$E$644,F71/$F$644,A71=$E$645,F71/$F$645,A71=$E$646,F71/$F$646,A71=$E$647,F71/$F$647)</f>
        <v>6.5698435698716238E-4</v>
      </c>
      <c r="H71" cm="1">
        <f t="array" ref="H71">_xlfn.IFS(A71=$P$24,G71*$Q$24,A71=$P$25,G71*$Q$25,A71=$P$26,G71*$Q$26,A71=$P$27,G71*$Q$27,A71=$P$28,G71*$Q$28,A71=$P$29,G71*$Q$29,A71=$P$30,G71*$Q$30,A71=$P$31,G71*$Q$31)</f>
        <v>301195.80491218134</v>
      </c>
      <c r="I71">
        <f t="shared" si="4"/>
        <v>302743.80491218134</v>
      </c>
      <c r="J71" s="1">
        <f t="shared" si="5"/>
        <v>322342.80491218134</v>
      </c>
    </row>
    <row r="72" spans="1:10" x14ac:dyDescent="0.2">
      <c r="A72">
        <v>2015</v>
      </c>
      <c r="C72" t="s">
        <v>74</v>
      </c>
      <c r="D72">
        <v>10429</v>
      </c>
      <c r="E72">
        <v>824</v>
      </c>
      <c r="F72">
        <v>11253</v>
      </c>
      <c r="G72" cm="1">
        <f t="array" ref="G72">_xlfn.IFS(A72=$E$640,F72/$F$640,A72=$E$641,F72/$F$641,A72=$E$641,F72/$F$641,A72=$E$642,F72/$F$642,A72=$E$643,F72/$F$643,A72=$E$644,F72/$F$644,A72=$E$645,F72/$F$645,A72=$E$646,F72/$F$646,A72=$E$647,F72/$F$647)</f>
        <v>3.4960254263850847E-4</v>
      </c>
      <c r="H72" cm="1">
        <f t="array" ref="H72">_xlfn.IFS(A72=$P$24,G72*$Q$24,A72=$P$25,G72*$Q$25,A72=$P$26,G72*$Q$26,A72=$P$27,G72*$Q$27,A72=$P$28,G72*$Q$28,A72=$P$29,G72*$Q$29,A72=$P$30,G72*$Q$30,A72=$P$31,G72*$Q$31)</f>
        <v>160275.99152015778</v>
      </c>
      <c r="I72">
        <f t="shared" si="4"/>
        <v>161099.99152015778</v>
      </c>
      <c r="J72" s="1">
        <f t="shared" si="5"/>
        <v>171528.99152015778</v>
      </c>
    </row>
    <row r="73" spans="1:10" x14ac:dyDescent="0.2">
      <c r="A73">
        <v>2015</v>
      </c>
      <c r="C73" t="s">
        <v>75</v>
      </c>
      <c r="D73">
        <v>7477</v>
      </c>
      <c r="E73">
        <v>591</v>
      </c>
      <c r="F73">
        <v>8068</v>
      </c>
      <c r="G73" cm="1">
        <f t="array" ref="G73">_xlfn.IFS(A73=$E$640,F73/$F$640,A73=$E$641,F73/$F$641,A73=$E$641,F73/$F$641,A73=$E$642,F73/$F$642,A73=$E$643,F73/$F$643,A73=$E$644,F73/$F$644,A73=$E$645,F73/$F$645,A73=$E$646,F73/$F$646,A73=$E$647,F73/$F$647)</f>
        <v>2.5065256500555284E-4</v>
      </c>
      <c r="H73" cm="1">
        <f t="array" ref="H73">_xlfn.IFS(A73=$P$24,G73*$Q$24,A73=$P$25,G73*$Q$25,A73=$P$26,G73*$Q$26,A73=$P$27,G73*$Q$27,A73=$P$28,G73*$Q$28,A73=$P$29,G73*$Q$29,A73=$P$30,G73*$Q$30,A73=$P$31,G73*$Q$31)</f>
        <v>114912.17449432444</v>
      </c>
      <c r="I73">
        <f t="shared" si="4"/>
        <v>115503.17449432444</v>
      </c>
      <c r="J73" s="1">
        <f t="shared" si="5"/>
        <v>122980.17449432444</v>
      </c>
    </row>
    <row r="74" spans="1:10" x14ac:dyDescent="0.2">
      <c r="A74">
        <v>2015</v>
      </c>
      <c r="C74" t="s">
        <v>76</v>
      </c>
      <c r="D74">
        <v>27053</v>
      </c>
      <c r="E74">
        <v>2137</v>
      </c>
      <c r="F74">
        <v>29190</v>
      </c>
      <c r="G74" cm="1">
        <f t="array" ref="G74">_xlfn.IFS(A74=$E$640,F74/$F$640,A74=$E$641,F74/$F$641,A74=$E$641,F74/$F$641,A74=$E$642,F74/$F$642,A74=$E$643,F74/$F$643,A74=$E$644,F74/$F$644,A74=$E$645,F74/$F$645,A74=$E$646,F74/$F$646,A74=$E$647,F74/$F$647)</f>
        <v>9.0686023457016451E-4</v>
      </c>
      <c r="H74" cm="1">
        <f t="array" ref="H74">_xlfn.IFS(A74=$P$24,G74*$Q$24,A74=$P$25,G74*$Q$25,A74=$P$26,G74*$Q$26,A74=$P$27,G74*$Q$27,A74=$P$28,G74*$Q$28,A74=$P$29,G74*$Q$29,A74=$P$30,G74*$Q$30,A74=$P$31,G74*$Q$31)</f>
        <v>415751.9054895055</v>
      </c>
      <c r="I74">
        <f t="shared" si="4"/>
        <v>417888.9054895055</v>
      </c>
      <c r="J74" s="1">
        <f t="shared" si="5"/>
        <v>444941.9054895055</v>
      </c>
    </row>
    <row r="75" spans="1:10" x14ac:dyDescent="0.2">
      <c r="A75">
        <v>2015</v>
      </c>
      <c r="C75" t="s">
        <v>77</v>
      </c>
      <c r="D75">
        <v>39374</v>
      </c>
      <c r="E75">
        <v>3110</v>
      </c>
      <c r="F75">
        <v>42484</v>
      </c>
      <c r="G75" cm="1">
        <f t="array" ref="G75">_xlfn.IFS(A75=$E$640,F75/$F$640,A75=$E$641,F75/$F$641,A75=$E$641,F75/$F$641,A75=$E$642,F75/$F$642,A75=$E$643,F75/$F$643,A75=$E$644,F75/$F$644,A75=$E$645,F75/$F$645,A75=$E$646,F75/$F$646,A75=$E$647,F75/$F$647)</f>
        <v>1.31987153838571E-3</v>
      </c>
      <c r="H75" cm="1">
        <f t="array" ref="H75">_xlfn.IFS(A75=$P$24,G75*$Q$24,A75=$P$25,G75*$Q$25,A75=$P$26,G75*$Q$26,A75=$P$27,G75*$Q$27,A75=$P$28,G75*$Q$28,A75=$P$29,G75*$Q$29,A75=$P$30,G75*$Q$30,A75=$P$31,G75*$Q$31)</f>
        <v>605097.77159356477</v>
      </c>
      <c r="I75">
        <f t="shared" si="4"/>
        <v>608207.77159356477</v>
      </c>
      <c r="J75" s="1">
        <f t="shared" si="5"/>
        <v>647581.77159356477</v>
      </c>
    </row>
    <row r="76" spans="1:10" x14ac:dyDescent="0.2">
      <c r="A76">
        <v>2015</v>
      </c>
      <c r="C76" t="s">
        <v>78</v>
      </c>
      <c r="D76">
        <v>18838</v>
      </c>
      <c r="E76">
        <v>1488</v>
      </c>
      <c r="F76">
        <v>20326</v>
      </c>
      <c r="G76" cm="1">
        <f t="array" ref="G76">_xlfn.IFS(A76=$E$640,F76/$F$640,A76=$E$641,F76/$F$641,A76=$E$641,F76/$F$641,A76=$E$642,F76/$F$642,A76=$E$643,F76/$F$643,A76=$E$644,F76/$F$644,A76=$E$645,F76/$F$645,A76=$E$646,F76/$F$646,A76=$E$647,F76/$F$647)</f>
        <v>6.3147794203059836E-4</v>
      </c>
      <c r="H76" cm="1">
        <f t="array" ref="H76">_xlfn.IFS(A76=$P$24,G76*$Q$24,A76=$P$25,G76*$Q$25,A76=$P$26,G76*$Q$26,A76=$P$27,G76*$Q$27,A76=$P$28,G76*$Q$28,A76=$P$29,G76*$Q$29,A76=$P$30,G76*$Q$30,A76=$P$31,G76*$Q$31)</f>
        <v>289502.33747789275</v>
      </c>
      <c r="I76">
        <f t="shared" si="4"/>
        <v>290990.33747789275</v>
      </c>
      <c r="J76" s="1">
        <f t="shared" si="5"/>
        <v>309828.33747789275</v>
      </c>
    </row>
    <row r="77" spans="1:10" x14ac:dyDescent="0.2">
      <c r="A77">
        <v>2015</v>
      </c>
      <c r="C77" t="s">
        <v>79</v>
      </c>
      <c r="D77">
        <v>10699</v>
      </c>
      <c r="E77">
        <v>845</v>
      </c>
      <c r="F77">
        <v>11544</v>
      </c>
      <c r="G77" cm="1">
        <f t="array" ref="G77">_xlfn.IFS(A77=$E$640,F77/$F$640,A77=$E$641,F77/$F$641,A77=$E$641,F77/$F$641,A77=$E$642,F77/$F$642,A77=$E$643,F77/$F$643,A77=$E$644,F77/$F$644,A77=$E$645,F77/$F$645,A77=$E$646,F77/$F$646,A77=$E$647,F77/$F$647)</f>
        <v>3.5864318423699829E-4</v>
      </c>
      <c r="H77" cm="1">
        <f t="array" ref="H77">_xlfn.IFS(A77=$P$24,G77*$Q$24,A77=$P$25,G77*$Q$25,A77=$P$26,G77*$Q$26,A77=$P$27,G77*$Q$27,A77=$P$28,G77*$Q$28,A77=$P$29,G77*$Q$29,A77=$P$30,G77*$Q$30,A77=$P$31,G77*$Q$31)</f>
        <v>164420.69191404083</v>
      </c>
      <c r="I77">
        <f t="shared" si="4"/>
        <v>165265.69191404083</v>
      </c>
      <c r="J77" s="1">
        <f t="shared" si="5"/>
        <v>175964.69191404083</v>
      </c>
    </row>
    <row r="78" spans="1:10" x14ac:dyDescent="0.2">
      <c r="A78">
        <v>2015</v>
      </c>
      <c r="C78" t="s">
        <v>80</v>
      </c>
      <c r="D78">
        <v>2446102</v>
      </c>
      <c r="E78">
        <v>193221</v>
      </c>
      <c r="F78">
        <v>2639323</v>
      </c>
      <c r="G78" cm="1">
        <f t="array" ref="G78">_xlfn.IFS(A78=$E$640,F78/$F$640,A78=$E$641,F78/$F$641,A78=$E$641,F78/$F$641,A78=$E$642,F78/$F$642,A78=$E$643,F78/$F$643,A78=$E$644,F78/$F$644,A78=$E$645,F78/$F$645,A78=$E$646,F78/$F$646,A78=$E$647,F78/$F$647)</f>
        <v>8.199715912594828E-2</v>
      </c>
      <c r="H78" cm="1">
        <f t="array" ref="H78">_xlfn.IFS(A78=$P$24,G78*$Q$24,A78=$P$25,G78*$Q$25,A78=$P$26,G78*$Q$26,A78=$P$27,G78*$Q$27,A78=$P$28,G78*$Q$28,A78=$P$29,G78*$Q$29,A78=$P$30,G78*$Q$30,A78=$P$31,G78*$Q$31)</f>
        <v>37591763.153555267</v>
      </c>
      <c r="I78">
        <f t="shared" si="4"/>
        <v>37784984.153555267</v>
      </c>
      <c r="J78" s="1">
        <f t="shared" si="5"/>
        <v>40231086.153555267</v>
      </c>
    </row>
    <row r="79" spans="1:10" x14ac:dyDescent="0.2">
      <c r="A79">
        <v>2015</v>
      </c>
      <c r="C79" t="s">
        <v>81</v>
      </c>
      <c r="D79">
        <v>60479</v>
      </c>
      <c r="E79">
        <v>4777</v>
      </c>
      <c r="F79">
        <v>65256</v>
      </c>
      <c r="G79" cm="1">
        <f t="array" ref="G79">_xlfn.IFS(A79=$E$640,F79/$F$640,A79=$E$641,F79/$F$641,A79=$E$641,F79/$F$641,A79=$E$642,F79/$F$642,A79=$E$643,F79/$F$643,A79=$E$644,F79/$F$644,A79=$E$645,F79/$F$645,A79=$E$646,F79/$F$646,A79=$E$647,F79/$F$647)</f>
        <v>2.0273405778386661E-3</v>
      </c>
      <c r="H79" cm="1">
        <f t="array" ref="H79">_xlfn.IFS(A79=$P$24,G79*$Q$24,A79=$P$25,G79*$Q$25,A79=$P$26,G79*$Q$26,A79=$P$27,G79*$Q$27,A79=$P$28,G79*$Q$28,A79=$P$29,G79*$Q$29,A79=$P$30,G79*$Q$30,A79=$P$31,G79*$Q$31)</f>
        <v>929438.38111076318</v>
      </c>
      <c r="I79">
        <f t="shared" si="4"/>
        <v>934215.38111076318</v>
      </c>
      <c r="J79" s="1">
        <f t="shared" si="5"/>
        <v>994694.38111076318</v>
      </c>
    </row>
    <row r="80" spans="1:10" x14ac:dyDescent="0.2">
      <c r="A80">
        <v>2015</v>
      </c>
      <c r="C80" t="s">
        <v>82</v>
      </c>
      <c r="D80">
        <v>52653</v>
      </c>
      <c r="E80">
        <v>4159</v>
      </c>
      <c r="F80">
        <v>56812</v>
      </c>
      <c r="G80" cm="1">
        <f t="array" ref="G80">_xlfn.IFS(A80=$E$640,F80/$F$640,A80=$E$641,F80/$F$641,A80=$E$641,F80/$F$641,A80=$E$642,F80/$F$642,A80=$E$643,F80/$F$643,A80=$E$644,F80/$F$644,A80=$E$645,F80/$F$645,A80=$E$646,F80/$F$646,A80=$E$647,F80/$F$647)</f>
        <v>1.7650066339979509E-3</v>
      </c>
      <c r="H80" cm="1">
        <f t="array" ref="H80">_xlfn.IFS(A80=$P$24,G80*$Q$24,A80=$P$25,G80*$Q$25,A80=$P$26,G80*$Q$26,A80=$P$27,G80*$Q$27,A80=$P$28,G80*$Q$28,A80=$P$29,G80*$Q$29,A80=$P$30,G80*$Q$30,A80=$P$31,G80*$Q$31)</f>
        <v>809170.85490475467</v>
      </c>
      <c r="I80">
        <f t="shared" si="4"/>
        <v>813329.85490475467</v>
      </c>
      <c r="J80" s="1">
        <f t="shared" si="5"/>
        <v>865982.85490475467</v>
      </c>
    </row>
    <row r="81" spans="1:10" x14ac:dyDescent="0.2">
      <c r="A81">
        <v>2016</v>
      </c>
      <c r="C81" t="s">
        <v>0</v>
      </c>
      <c r="D81">
        <v>51185</v>
      </c>
      <c r="E81">
        <v>4688</v>
      </c>
      <c r="F81">
        <v>55873</v>
      </c>
      <c r="G81" cm="1">
        <f t="array" ref="G81">_xlfn.IFS(A81=$E$640,F81/$F$640,A81=$E$641,F81/$F$641,A81=$E$641,F81/$F$641,A81=$E$642,F81/$F$642,A81=$E$643,F81/$F$643,A81=$E$644,F81/$F$644,A81=$E$645,F81/$F$645,A81=$E$646,F81/$F$646,A81=$E$647,F81/$F$647)</f>
        <v>1.6692424460154392E-3</v>
      </c>
      <c r="H81" cm="1">
        <f t="array" ref="H81">_xlfn.IFS(A81=$P$24,G81*$Q$24,A81=$P$25,G81*$Q$25,A81=$P$26,G81*$Q$26,A81=$P$27,G81*$Q$27,A81=$P$28,G81*$Q$28,A81=$P$29,G81*$Q$29,A81=$P$30,G81*$Q$30,A81=$P$31,G81*$Q$31)</f>
        <v>650542.05694150378</v>
      </c>
      <c r="I81">
        <f t="shared" si="4"/>
        <v>655230.05694150378</v>
      </c>
      <c r="J81" s="1">
        <f t="shared" si="5"/>
        <v>706415.05694150378</v>
      </c>
    </row>
    <row r="82" spans="1:10" x14ac:dyDescent="0.2">
      <c r="A82">
        <v>2016</v>
      </c>
      <c r="C82" t="s">
        <v>1</v>
      </c>
      <c r="D82">
        <v>1843467</v>
      </c>
      <c r="E82">
        <v>168852</v>
      </c>
      <c r="F82">
        <v>2012319</v>
      </c>
      <c r="G82" cm="1">
        <f t="array" ref="G82">_xlfn.IFS(A82=$E$640,F82/$F$640,A82=$E$641,F82/$F$641,A82=$E$641,F82/$F$641,A82=$E$642,F82/$F$642,A82=$E$643,F82/$F$643,A82=$E$644,F82/$F$644,A82=$E$645,F82/$F$645,A82=$E$646,F82/$F$646,A82=$E$647,F82/$F$647)</f>
        <v>6.0119347264749386E-2</v>
      </c>
      <c r="H82" cm="1">
        <f t="array" ref="H82">_xlfn.IFS(A82=$P$24,G82*$Q$24,A82=$P$25,G82*$Q$25,A82=$P$26,G82*$Q$26,A82=$P$27,G82*$Q$27,A82=$P$28,G82*$Q$28,A82=$P$29,G82*$Q$29,A82=$P$30,G82*$Q$30,A82=$P$31,G82*$Q$31)</f>
        <v>23429888.165705618</v>
      </c>
      <c r="I82">
        <f t="shared" si="4"/>
        <v>23598740.165705618</v>
      </c>
      <c r="J82" s="1">
        <f t="shared" si="5"/>
        <v>25442207.165705618</v>
      </c>
    </row>
    <row r="83" spans="1:10" x14ac:dyDescent="0.2">
      <c r="A83">
        <v>2016</v>
      </c>
      <c r="C83" t="s">
        <v>2</v>
      </c>
      <c r="D83">
        <v>666759</v>
      </c>
      <c r="E83">
        <v>61072</v>
      </c>
      <c r="F83">
        <v>727831</v>
      </c>
      <c r="G83" cm="1">
        <f t="array" ref="G83">_xlfn.IFS(A83=$E$640,F83/$F$640,A83=$E$641,F83/$F$641,A83=$E$641,F83/$F$641,A83=$E$642,F83/$F$642,A83=$E$643,F83/$F$643,A83=$E$644,F83/$F$644,A83=$E$645,F83/$F$645,A83=$E$646,F83/$F$646,A83=$E$647,F83/$F$647)</f>
        <v>2.1744427518226389E-2</v>
      </c>
      <c r="H83" cm="1">
        <f t="array" ref="H83">_xlfn.IFS(A83=$P$24,G83*$Q$24,A83=$P$25,G83*$Q$25,A83=$P$26,G83*$Q$26,A83=$P$27,G83*$Q$27,A83=$P$28,G83*$Q$28,A83=$P$29,G83*$Q$29,A83=$P$30,G83*$Q$30,A83=$P$31,G83*$Q$31)</f>
        <v>8474302.0035758168</v>
      </c>
      <c r="I83">
        <f t="shared" si="4"/>
        <v>8535374.0035758168</v>
      </c>
      <c r="J83" s="1">
        <f t="shared" si="5"/>
        <v>9202133.0035758168</v>
      </c>
    </row>
    <row r="84" spans="1:10" x14ac:dyDescent="0.2">
      <c r="A84">
        <v>2016</v>
      </c>
      <c r="C84" t="s">
        <v>3</v>
      </c>
      <c r="D84">
        <v>65833</v>
      </c>
      <c r="E84">
        <v>6030</v>
      </c>
      <c r="F84">
        <v>71863</v>
      </c>
      <c r="G84" cm="1">
        <f t="array" ref="G84">_xlfn.IFS(A84=$E$640,F84/$F$640,A84=$E$641,F84/$F$641,A84=$E$641,F84/$F$641,A84=$E$642,F84/$F$642,A84=$E$643,F84/$F$643,A84=$E$644,F84/$F$644,A84=$E$645,F84/$F$645,A84=$E$646,F84/$F$646,A84=$E$647,F84/$F$647)</f>
        <v>2.1469541620819984E-3</v>
      </c>
      <c r="H84" cm="1">
        <f t="array" ref="H84">_xlfn.IFS(A84=$P$24,G84*$Q$24,A84=$P$25,G84*$Q$25,A84=$P$26,G84*$Q$26,A84=$P$27,G84*$Q$27,A84=$P$28,G84*$Q$28,A84=$P$29,G84*$Q$29,A84=$P$30,G84*$Q$30,A84=$P$31,G84*$Q$31)</f>
        <v>836717.2666222913</v>
      </c>
      <c r="I84">
        <f t="shared" si="4"/>
        <v>842747.2666222913</v>
      </c>
      <c r="J84" s="1">
        <f t="shared" si="5"/>
        <v>908580.2666222913</v>
      </c>
    </row>
    <row r="85" spans="1:10" x14ac:dyDescent="0.2">
      <c r="A85">
        <v>2016</v>
      </c>
      <c r="C85" t="s">
        <v>4</v>
      </c>
      <c r="D85">
        <v>384241</v>
      </c>
      <c r="E85">
        <v>35195</v>
      </c>
      <c r="F85">
        <v>419436</v>
      </c>
      <c r="G85" cm="1">
        <f t="array" ref="G85">_xlfn.IFS(A85=$E$640,F85/$F$640,A85=$E$641,F85/$F$641,A85=$E$641,F85/$F$641,A85=$E$642,F85/$F$642,A85=$E$643,F85/$F$643,A85=$E$644,F85/$F$644,A85=$E$645,F85/$F$645,A85=$E$646,F85/$F$646,A85=$E$647,F85/$F$647)</f>
        <v>1.2530925036903902E-2</v>
      </c>
      <c r="H85" cm="1">
        <f t="array" ref="H85">_xlfn.IFS(A85=$P$24,G85*$Q$24,A85=$P$25,G85*$Q$25,A85=$P$26,G85*$Q$26,A85=$P$27,G85*$Q$27,A85=$P$28,G85*$Q$28,A85=$P$29,G85*$Q$29,A85=$P$30,G85*$Q$30,A85=$P$31,G85*$Q$31)</f>
        <v>4883588.8209925471</v>
      </c>
      <c r="I85">
        <f t="shared" si="4"/>
        <v>4918783.8209925471</v>
      </c>
      <c r="J85" s="1">
        <f t="shared" si="5"/>
        <v>5303024.8209925471</v>
      </c>
    </row>
    <row r="86" spans="1:10" x14ac:dyDescent="0.2">
      <c r="A86">
        <v>2016</v>
      </c>
      <c r="C86" t="s">
        <v>5</v>
      </c>
      <c r="D86">
        <v>1023770</v>
      </c>
      <c r="E86">
        <v>93772</v>
      </c>
      <c r="F86">
        <v>1117542</v>
      </c>
      <c r="G86" cm="1">
        <f t="array" ref="G86">_xlfn.IFS(A86=$E$640,F86/$F$640,A86=$E$641,F86/$F$641,A86=$E$641,F86/$F$641,A86=$E$642,F86/$F$642,A86=$E$643,F86/$F$643,A86=$E$644,F86/$F$644,A86=$E$645,F86/$F$645,A86=$E$646,F86/$F$646,A86=$E$647,F86/$F$647)</f>
        <v>3.338729872398092E-2</v>
      </c>
      <c r="H86" cm="1">
        <f t="array" ref="H86">_xlfn.IFS(A86=$P$24,G86*$Q$24,A86=$P$25,G86*$Q$25,A86=$P$26,G86*$Q$26,A86=$P$27,G86*$Q$27,A86=$P$28,G86*$Q$28,A86=$P$29,G86*$Q$29,A86=$P$30,G86*$Q$30,A86=$P$31,G86*$Q$31)</f>
        <v>13011795.883495105</v>
      </c>
      <c r="I86">
        <f t="shared" si="4"/>
        <v>13105567.883495105</v>
      </c>
      <c r="J86" s="1">
        <f t="shared" si="5"/>
        <v>14129337.883495105</v>
      </c>
    </row>
    <row r="87" spans="1:10" x14ac:dyDescent="0.2">
      <c r="A87">
        <v>2016</v>
      </c>
      <c r="C87" t="s">
        <v>6</v>
      </c>
      <c r="D87">
        <v>97462</v>
      </c>
      <c r="E87">
        <v>8927</v>
      </c>
      <c r="F87">
        <v>106389</v>
      </c>
      <c r="G87" cm="1">
        <f t="array" ref="G87">_xlfn.IFS(A87=$E$640,F87/$F$640,A87=$E$641,F87/$F$641,A87=$E$641,F87/$F$641,A87=$E$642,F87/$F$642,A87=$E$643,F87/$F$643,A87=$E$644,F87/$F$644,A87=$E$645,F87/$F$645,A87=$E$646,F87/$F$646,A87=$E$647,F87/$F$647)</f>
        <v>3.1784410106694924E-3</v>
      </c>
      <c r="H87" cm="1">
        <f t="array" ref="H87">_xlfn.IFS(A87=$P$24,G87*$Q$24,A87=$P$25,G87*$Q$25,A87=$P$26,G87*$Q$26,A87=$P$27,G87*$Q$27,A87=$P$28,G87*$Q$28,A87=$P$29,G87*$Q$29,A87=$P$30,G87*$Q$30,A87=$P$31,G87*$Q$31)</f>
        <v>1238711.3435102759</v>
      </c>
      <c r="I87">
        <f t="shared" si="4"/>
        <v>1247638.3435102759</v>
      </c>
      <c r="J87" s="1">
        <f t="shared" si="5"/>
        <v>1345100.3435102759</v>
      </c>
    </row>
    <row r="88" spans="1:10" x14ac:dyDescent="0.2">
      <c r="A88">
        <v>2016</v>
      </c>
      <c r="C88" t="s">
        <v>7</v>
      </c>
      <c r="D88">
        <v>107394</v>
      </c>
      <c r="E88">
        <v>9837</v>
      </c>
      <c r="F88">
        <v>117231</v>
      </c>
      <c r="G88" cm="1">
        <f t="array" ref="G88">_xlfn.IFS(A88=$E$640,F88/$F$640,A88=$E$641,F88/$F$641,A88=$E$641,F88/$F$641,A88=$E$642,F88/$F$642,A88=$E$643,F88/$F$643,A88=$E$644,F88/$F$644,A88=$E$645,F88/$F$645,A88=$E$646,F88/$F$646,A88=$E$647,F88/$F$647)</f>
        <v>3.5023528571731595E-3</v>
      </c>
      <c r="H88" cm="1">
        <f t="array" ref="H88">_xlfn.IFS(A88=$P$24,G88*$Q$24,A88=$P$25,G88*$Q$25,A88=$P$26,G88*$Q$26,A88=$P$27,G88*$Q$27,A88=$P$28,G88*$Q$28,A88=$P$29,G88*$Q$29,A88=$P$30,G88*$Q$30,A88=$P$31,G88*$Q$31)</f>
        <v>1364947.2173913952</v>
      </c>
      <c r="I88">
        <f t="shared" si="4"/>
        <v>1374784.2173913952</v>
      </c>
      <c r="J88" s="1">
        <f t="shared" si="5"/>
        <v>1482178.2173913952</v>
      </c>
    </row>
    <row r="89" spans="1:10" x14ac:dyDescent="0.2">
      <c r="A89">
        <v>2016</v>
      </c>
      <c r="C89" t="s">
        <v>8</v>
      </c>
      <c r="D89">
        <v>230873</v>
      </c>
      <c r="E89">
        <v>21147</v>
      </c>
      <c r="F89">
        <v>252020</v>
      </c>
      <c r="G89" cm="1">
        <f t="array" ref="G89">_xlfn.IFS(A89=$E$640,F89/$F$640,A89=$E$641,F89/$F$641,A89=$E$641,F89/$F$641,A89=$E$642,F89/$F$642,A89=$E$643,F89/$F$643,A89=$E$644,F89/$F$644,A89=$E$645,F89/$F$645,A89=$E$646,F89/$F$646,A89=$E$647,F89/$F$647)</f>
        <v>7.5292624567288484E-3</v>
      </c>
      <c r="H89" cm="1">
        <f t="array" ref="H89">_xlfn.IFS(A89=$P$24,G89*$Q$24,A89=$P$25,G89*$Q$25,A89=$P$26,G89*$Q$26,A89=$P$27,G89*$Q$27,A89=$P$28,G89*$Q$28,A89=$P$29,G89*$Q$29,A89=$P$30,G89*$Q$30,A89=$P$31,G89*$Q$31)</f>
        <v>2934326.225375365</v>
      </c>
      <c r="I89">
        <f t="shared" si="4"/>
        <v>2955473.225375365</v>
      </c>
      <c r="J89" s="1">
        <f t="shared" si="5"/>
        <v>3186346.225375365</v>
      </c>
    </row>
    <row r="90" spans="1:10" x14ac:dyDescent="0.2">
      <c r="A90">
        <v>2016</v>
      </c>
      <c r="C90" t="s">
        <v>9</v>
      </c>
      <c r="D90">
        <v>431788</v>
      </c>
      <c r="E90">
        <v>39550</v>
      </c>
      <c r="F90">
        <v>471338</v>
      </c>
      <c r="G90" cm="1">
        <f t="array" ref="G90">_xlfn.IFS(A90=$E$640,F90/$F$640,A90=$E$641,F90/$F$641,A90=$E$641,F90/$F$641,A90=$E$642,F90/$F$642,A90=$E$643,F90/$F$643,A90=$E$644,F90/$F$644,A90=$E$645,F90/$F$645,A90=$E$646,F90/$F$646,A90=$E$647,F90/$F$647)</f>
        <v>1.4081531258747965E-2</v>
      </c>
      <c r="H90" cm="1">
        <f t="array" ref="H90">_xlfn.IFS(A90=$P$24,G90*$Q$24,A90=$P$25,G90*$Q$25,A90=$P$26,G90*$Q$26,A90=$P$27,G90*$Q$27,A90=$P$28,G90*$Q$28,A90=$P$29,G90*$Q$29,A90=$P$30,G90*$Q$30,A90=$P$31,G90*$Q$31)</f>
        <v>5487895.6210458456</v>
      </c>
      <c r="I90">
        <f t="shared" si="4"/>
        <v>5527445.6210458456</v>
      </c>
      <c r="J90" s="1">
        <f t="shared" si="5"/>
        <v>5959233.6210458456</v>
      </c>
    </row>
    <row r="91" spans="1:10" x14ac:dyDescent="0.2">
      <c r="A91">
        <v>2016</v>
      </c>
      <c r="C91" t="s">
        <v>10</v>
      </c>
      <c r="D91">
        <v>49509</v>
      </c>
      <c r="E91">
        <v>4535</v>
      </c>
      <c r="F91">
        <v>54044</v>
      </c>
      <c r="G91" cm="1">
        <f t="array" ref="G91">_xlfn.IFS(A91=$E$640,F91/$F$640,A91=$E$641,F91/$F$641,A91=$E$641,F91/$F$641,A91=$E$642,F91/$F$642,A91=$E$643,F91/$F$643,A91=$E$644,F91/$F$644,A91=$E$645,F91/$F$645,A91=$E$646,F91/$F$646,A91=$E$647,F91/$F$647)</f>
        <v>1.6145998738649864E-3</v>
      </c>
      <c r="H91" cm="1">
        <f t="array" ref="H91">_xlfn.IFS(A91=$P$24,G91*$Q$24,A91=$P$25,G91*$Q$25,A91=$P$26,G91*$Q$26,A91=$P$27,G91*$Q$27,A91=$P$28,G91*$Q$28,A91=$P$29,G91*$Q$29,A91=$P$30,G91*$Q$30,A91=$P$31,G91*$Q$31)</f>
        <v>629246.59362029296</v>
      </c>
      <c r="I91">
        <f t="shared" si="4"/>
        <v>633781.59362029296</v>
      </c>
      <c r="J91" s="1">
        <f t="shared" si="5"/>
        <v>683290.59362029296</v>
      </c>
    </row>
    <row r="92" spans="1:10" x14ac:dyDescent="0.2">
      <c r="A92">
        <v>2016</v>
      </c>
      <c r="C92" t="s">
        <v>11</v>
      </c>
      <c r="D92">
        <v>117062</v>
      </c>
      <c r="E92">
        <v>10722</v>
      </c>
      <c r="F92">
        <v>127784</v>
      </c>
      <c r="G92" cm="1">
        <f t="array" ref="G92">_xlfn.IFS(A92=$E$640,F92/$F$640,A92=$E$641,F92/$F$641,A92=$E$641,F92/$F$641,A92=$E$642,F92/$F$642,A92=$E$643,F92/$F$643,A92=$E$644,F92/$F$644,A92=$E$645,F92/$F$645,A92=$E$646,F92/$F$646,A92=$E$647,F92/$F$647)</f>
        <v>3.8176306395152734E-3</v>
      </c>
      <c r="H92" cm="1">
        <f t="array" ref="H92">_xlfn.IFS(A92=$P$24,G92*$Q$24,A92=$P$25,G92*$Q$25,A92=$P$26,G92*$Q$26,A92=$P$27,G92*$Q$27,A92=$P$28,G92*$Q$28,A92=$P$29,G92*$Q$29,A92=$P$30,G92*$Q$30,A92=$P$31,G92*$Q$31)</f>
        <v>1487818.1984896662</v>
      </c>
      <c r="I92">
        <f t="shared" si="4"/>
        <v>1498540.1984896662</v>
      </c>
      <c r="J92" s="1">
        <f t="shared" si="5"/>
        <v>1615602.1984896662</v>
      </c>
    </row>
    <row r="93" spans="1:10" x14ac:dyDescent="0.2">
      <c r="A93">
        <v>2016</v>
      </c>
      <c r="C93" t="s">
        <v>12</v>
      </c>
      <c r="D93">
        <v>491375</v>
      </c>
      <c r="E93">
        <v>45008</v>
      </c>
      <c r="F93">
        <v>536383</v>
      </c>
      <c r="G93" cm="1">
        <f t="array" ref="G93">_xlfn.IFS(A93=$E$640,F93/$F$640,A93=$E$641,F93/$F$641,A93=$E$641,F93/$F$641,A93=$E$642,F93/$F$642,A93=$E$643,F93/$F$643,A93=$E$644,F93/$F$644,A93=$E$645,F93/$F$645,A93=$E$646,F93/$F$646,A93=$E$647,F93/$F$647)</f>
        <v>1.6024793208188198E-2</v>
      </c>
      <c r="H93" cm="1">
        <f t="array" ref="H93">_xlfn.IFS(A93=$P$24,G93*$Q$24,A93=$P$25,G93*$Q$25,A93=$P$26,G93*$Q$26,A93=$P$27,G93*$Q$27,A93=$P$28,G93*$Q$28,A93=$P$29,G93*$Q$29,A93=$P$30,G93*$Q$30,A93=$P$31,G93*$Q$31)</f>
        <v>6245229.3617392043</v>
      </c>
      <c r="I93">
        <f t="shared" si="4"/>
        <v>6290237.3617392043</v>
      </c>
      <c r="J93" s="1">
        <f t="shared" si="5"/>
        <v>6781612.3617392043</v>
      </c>
    </row>
    <row r="94" spans="1:10" x14ac:dyDescent="0.2">
      <c r="A94">
        <v>2016</v>
      </c>
      <c r="C94" t="s">
        <v>13</v>
      </c>
      <c r="D94">
        <v>199093</v>
      </c>
      <c r="E94">
        <v>18236</v>
      </c>
      <c r="F94">
        <v>217329</v>
      </c>
      <c r="G94" cm="1">
        <f t="array" ref="G94">_xlfn.IFS(A94=$E$640,F94/$F$640,A94=$E$641,F94/$F$641,A94=$E$641,F94/$F$641,A94=$E$642,F94/$F$642,A94=$E$643,F94/$F$643,A94=$E$644,F94/$F$644,A94=$E$645,F94/$F$645,A94=$E$646,F94/$F$646,A94=$E$647,F94/$F$647)</f>
        <v>6.4928461251425439E-3</v>
      </c>
      <c r="H94" cm="1">
        <f t="array" ref="H94">_xlfn.IFS(A94=$P$24,G94*$Q$24,A94=$P$25,G94*$Q$25,A94=$P$26,G94*$Q$26,A94=$P$27,G94*$Q$27,A94=$P$28,G94*$Q$28,A94=$P$29,G94*$Q$29,A94=$P$30,G94*$Q$30,A94=$P$31,G94*$Q$31)</f>
        <v>2530411.0159296989</v>
      </c>
      <c r="I94">
        <f t="shared" si="4"/>
        <v>2548647.0159296989</v>
      </c>
      <c r="J94" s="1">
        <f t="shared" si="5"/>
        <v>2747740.0159296989</v>
      </c>
    </row>
    <row r="95" spans="1:10" x14ac:dyDescent="0.2">
      <c r="A95">
        <v>2016</v>
      </c>
      <c r="C95" t="s">
        <v>14</v>
      </c>
      <c r="D95">
        <v>384598</v>
      </c>
      <c r="E95">
        <v>35227</v>
      </c>
      <c r="F95">
        <v>419825</v>
      </c>
      <c r="G95" cm="1">
        <f t="array" ref="G95">_xlfn.IFS(A95=$E$640,F95/$F$640,A95=$E$641,F95/$F$641,A95=$E$641,F95/$F$641,A95=$E$642,F95/$F$642,A95=$E$643,F95/$F$643,A95=$E$644,F95/$F$644,A95=$E$645,F95/$F$645,A95=$E$646,F95/$F$646,A95=$E$647,F95/$F$647)</f>
        <v>1.2542546666519281E-2</v>
      </c>
      <c r="H95" cm="1">
        <f t="array" ref="H95">_xlfn.IFS(A95=$P$24,G95*$Q$24,A95=$P$25,G95*$Q$25,A95=$P$26,G95*$Q$26,A95=$P$27,G95*$Q$27,A95=$P$28,G95*$Q$28,A95=$P$29,G95*$Q$29,A95=$P$30,G95*$Q$30,A95=$P$31,G95*$Q$31)</f>
        <v>4888118.0365376268</v>
      </c>
      <c r="I95">
        <f t="shared" si="4"/>
        <v>4923345.0365376268</v>
      </c>
      <c r="J95" s="1">
        <f t="shared" si="5"/>
        <v>5307943.0365376268</v>
      </c>
    </row>
    <row r="96" spans="1:10" x14ac:dyDescent="0.2">
      <c r="A96">
        <v>2016</v>
      </c>
      <c r="C96" t="s">
        <v>15</v>
      </c>
      <c r="D96">
        <v>48698</v>
      </c>
      <c r="E96">
        <v>4460</v>
      </c>
      <c r="F96">
        <v>53158</v>
      </c>
      <c r="G96" cm="1">
        <f t="array" ref="G96">_xlfn.IFS(A96=$E$640,F96/$F$640,A96=$E$641,F96/$F$641,A96=$E$641,F96/$F$641,A96=$E$642,F96/$F$642,A96=$E$643,F96/$F$643,A96=$E$644,F96/$F$644,A96=$E$645,F96/$F$645,A96=$E$646,F96/$F$646,A96=$E$647,F96/$F$647)</f>
        <v>1.5881300439441002E-3</v>
      </c>
      <c r="H96" cm="1">
        <f t="array" ref="H96">_xlfn.IFS(A96=$P$24,G96*$Q$24,A96=$P$25,G96*$Q$25,A96=$P$26,G96*$Q$26,A96=$P$27,G96*$Q$27,A96=$P$28,G96*$Q$28,A96=$P$29,G96*$Q$29,A96=$P$30,G96*$Q$30,A96=$P$31,G96*$Q$31)</f>
        <v>618930.69394692348</v>
      </c>
      <c r="I96">
        <f t="shared" si="4"/>
        <v>623390.69394692348</v>
      </c>
      <c r="J96" s="1">
        <f t="shared" si="5"/>
        <v>672088.69394692348</v>
      </c>
    </row>
    <row r="97" spans="1:10" x14ac:dyDescent="0.2">
      <c r="A97">
        <v>2016</v>
      </c>
      <c r="C97" t="s">
        <v>16</v>
      </c>
      <c r="D97">
        <v>1495797</v>
      </c>
      <c r="E97">
        <v>137008</v>
      </c>
      <c r="F97">
        <v>1632805</v>
      </c>
      <c r="G97" cm="1">
        <f t="array" ref="G97">_xlfn.IFS(A97=$E$640,F97/$F$640,A97=$E$641,F97/$F$641,A97=$E$641,F97/$F$641,A97=$E$642,F97/$F$642,A97=$E$643,F97/$F$643,A97=$E$644,F97/$F$644,A97=$E$645,F97/$F$645,A97=$E$646,F97/$F$646,A97=$E$647,F97/$F$647)</f>
        <v>4.8781118108321357E-2</v>
      </c>
      <c r="H97" cm="1">
        <f t="array" ref="H97">_xlfn.IFS(A97=$P$24,G97*$Q$24,A97=$P$25,G97*$Q$25,A97=$P$26,G97*$Q$26,A97=$P$27,G97*$Q$27,A97=$P$28,G97*$Q$28,A97=$P$29,G97*$Q$29,A97=$P$30,G97*$Q$30,A97=$P$31,G97*$Q$31)</f>
        <v>19011120.277851056</v>
      </c>
      <c r="I97">
        <f t="shared" si="4"/>
        <v>19148128.277851056</v>
      </c>
      <c r="J97" s="1">
        <f t="shared" si="5"/>
        <v>20643925.277851056</v>
      </c>
    </row>
    <row r="98" spans="1:10" x14ac:dyDescent="0.2">
      <c r="A98">
        <v>2016</v>
      </c>
      <c r="C98" t="s">
        <v>17</v>
      </c>
      <c r="D98">
        <v>522829</v>
      </c>
      <c r="E98">
        <v>47888</v>
      </c>
      <c r="F98">
        <v>570717</v>
      </c>
      <c r="G98" cm="1">
        <f t="array" ref="G98">_xlfn.IFS(A98=$E$640,F98/$F$640,A98=$E$641,F98/$F$641,A98=$E$641,F98/$F$641,A98=$E$642,F98/$F$642,A98=$E$643,F98/$F$643,A98=$E$644,F98/$F$644,A98=$E$645,F98/$F$645,A98=$E$646,F98/$F$646,A98=$E$647,F98/$F$647)</f>
        <v>1.7050543931104351E-2</v>
      </c>
      <c r="H98" cm="1">
        <f t="array" ref="H98">_xlfn.IFS(A98=$P$24,G98*$Q$24,A98=$P$25,G98*$Q$25,A98=$P$26,G98*$Q$26,A98=$P$27,G98*$Q$27,A98=$P$28,G98*$Q$28,A98=$P$29,G98*$Q$29,A98=$P$30,G98*$Q$30,A98=$P$31,G98*$Q$31)</f>
        <v>6644987.9389237063</v>
      </c>
      <c r="I98">
        <f t="shared" si="4"/>
        <v>6692875.9389237063</v>
      </c>
      <c r="J98" s="1">
        <f t="shared" si="5"/>
        <v>7215704.9389237063</v>
      </c>
    </row>
    <row r="99" spans="1:10" x14ac:dyDescent="0.2">
      <c r="A99">
        <v>2016</v>
      </c>
      <c r="C99" t="s">
        <v>18</v>
      </c>
      <c r="D99">
        <v>1052395</v>
      </c>
      <c r="E99">
        <v>96394</v>
      </c>
      <c r="F99">
        <v>1148789</v>
      </c>
      <c r="G99" cm="1">
        <f t="array" ref="G99">_xlfn.IFS(A99=$E$640,F99/$F$640,A99=$E$641,F99/$F$641,A99=$E$641,F99/$F$641,A99=$E$642,F99/$F$642,A99=$E$643,F99/$F$643,A99=$E$644,F99/$F$644,A99=$E$645,F99/$F$645,A99=$E$646,F99/$F$646,A99=$E$647,F99/$F$647)</f>
        <v>3.4320823301337504E-2</v>
      </c>
      <c r="H99" cm="1">
        <f t="array" ref="H99">_xlfn.IFS(A99=$P$24,G99*$Q$24,A99=$P$25,G99*$Q$25,A99=$P$26,G99*$Q$26,A99=$P$27,G99*$Q$27,A99=$P$28,G99*$Q$28,A99=$P$29,G99*$Q$29,A99=$P$30,G99*$Q$30,A99=$P$31,G99*$Q$31)</f>
        <v>13375611.817009525</v>
      </c>
      <c r="I99">
        <f t="shared" si="4"/>
        <v>13472005.817009525</v>
      </c>
      <c r="J99" s="1">
        <f t="shared" si="5"/>
        <v>14524400.817009525</v>
      </c>
    </row>
    <row r="100" spans="1:10" x14ac:dyDescent="0.2">
      <c r="A100">
        <v>2016</v>
      </c>
      <c r="C100" t="s">
        <v>19</v>
      </c>
      <c r="D100">
        <v>2206842</v>
      </c>
      <c r="E100">
        <v>202136</v>
      </c>
      <c r="F100">
        <v>2408978</v>
      </c>
      <c r="G100" cm="1">
        <f t="array" ref="G100">_xlfn.IFS(A100=$E$640,F100/$F$640,A100=$E$641,F100/$F$641,A100=$E$641,F100/$F$641,A100=$E$642,F100/$F$642,A100=$E$643,F100/$F$643,A100=$E$644,F100/$F$644,A100=$E$645,F100/$F$645,A100=$E$646,F100/$F$646,A100=$E$647,F100/$F$647)</f>
        <v>7.1969794518235652E-2</v>
      </c>
      <c r="H100" cm="1">
        <f t="array" ref="H100">_xlfn.IFS(A100=$P$24,G100*$Q$24,A100=$P$25,G100*$Q$25,A100=$P$26,G100*$Q$26,A100=$P$27,G100*$Q$27,A100=$P$28,G100*$Q$28,A100=$P$29,G100*$Q$29,A100=$P$30,G100*$Q$30,A100=$P$31,G100*$Q$31)</f>
        <v>28048279.191144738</v>
      </c>
      <c r="I100">
        <f t="shared" si="4"/>
        <v>28250415.191144738</v>
      </c>
      <c r="J100" s="1">
        <f t="shared" si="5"/>
        <v>30457257.191144738</v>
      </c>
    </row>
    <row r="101" spans="1:10" x14ac:dyDescent="0.2">
      <c r="A101">
        <v>2016</v>
      </c>
      <c r="C101" t="s">
        <v>20</v>
      </c>
      <c r="D101">
        <v>198991</v>
      </c>
      <c r="E101">
        <v>18227</v>
      </c>
      <c r="F101">
        <v>217218</v>
      </c>
      <c r="G101" cm="1">
        <f t="array" ref="G101">_xlfn.IFS(A101=$E$640,F101/$F$640,A101=$E$641,F101/$F$641,A101=$E$641,F101/$F$641,A101=$E$642,F101/$F$642,A101=$E$643,F101/$F$643,A101=$E$644,F101/$F$644,A101=$E$645,F101/$F$645,A101=$E$646,F101/$F$646,A101=$E$647,F101/$F$647)</f>
        <v>6.4895299274887993E-3</v>
      </c>
      <c r="H101" cm="1">
        <f t="array" ref="H101">_xlfn.IFS(A101=$P$24,G101*$Q$24,A101=$P$25,G101*$Q$25,A101=$P$26,G101*$Q$26,A101=$P$27,G101*$Q$27,A101=$P$28,G101*$Q$28,A101=$P$29,G101*$Q$29,A101=$P$30,G101*$Q$30,A101=$P$31,G101*$Q$31)</f>
        <v>2529118.6176636224</v>
      </c>
      <c r="I101">
        <f t="shared" si="4"/>
        <v>2547345.6176636224</v>
      </c>
      <c r="J101" s="1">
        <f t="shared" si="5"/>
        <v>2746336.6176636224</v>
      </c>
    </row>
    <row r="102" spans="1:10" x14ac:dyDescent="0.2">
      <c r="A102">
        <v>2016</v>
      </c>
      <c r="C102" t="s">
        <v>21</v>
      </c>
      <c r="D102">
        <v>210499</v>
      </c>
      <c r="E102">
        <v>19281</v>
      </c>
      <c r="F102">
        <v>229780</v>
      </c>
      <c r="G102" cm="1">
        <f t="array" ref="G102">_xlfn.IFS(A102=$E$640,F102/$F$640,A102=$E$641,F102/$F$641,A102=$E$641,F102/$F$641,A102=$E$642,F102/$F$642,A102=$E$643,F102/$F$643,A102=$E$644,F102/$F$644,A102=$E$645,F102/$F$645,A102=$E$646,F102/$F$646,A102=$E$647,F102/$F$647)</f>
        <v>6.8648278997982494E-3</v>
      </c>
      <c r="H102" cm="1">
        <f t="array" ref="H102">_xlfn.IFS(A102=$P$24,G102*$Q$24,A102=$P$25,G102*$Q$25,A102=$P$26,G102*$Q$26,A102=$P$27,G102*$Q$27,A102=$P$28,G102*$Q$28,A102=$P$29,G102*$Q$29,A102=$P$30,G102*$Q$30,A102=$P$31,G102*$Q$31)</f>
        <v>2675380.8430551202</v>
      </c>
      <c r="I102">
        <f t="shared" si="4"/>
        <v>2694661.8430551202</v>
      </c>
      <c r="J102" s="1">
        <f t="shared" si="5"/>
        <v>2905160.8430551202</v>
      </c>
    </row>
    <row r="103" spans="1:10" x14ac:dyDescent="0.2">
      <c r="A103">
        <v>2016</v>
      </c>
      <c r="C103" t="s">
        <v>22</v>
      </c>
      <c r="D103">
        <v>498537</v>
      </c>
      <c r="E103">
        <v>45663</v>
      </c>
      <c r="F103">
        <v>544200</v>
      </c>
      <c r="G103" cm="1">
        <f t="array" ref="G103">_xlfn.IFS(A103=$E$640,F103/$F$640,A103=$E$641,F103/$F$641,A103=$E$641,F103/$F$641,A103=$E$642,F103/$F$642,A103=$E$643,F103/$F$643,A103=$E$644,F103/$F$644,A103=$E$645,F103/$F$645,A103=$E$646,F103/$F$646,A103=$E$647,F103/$F$647)</f>
        <v>1.625833119971367E-2</v>
      </c>
      <c r="H103" cm="1">
        <f t="array" ref="H103">_xlfn.IFS(A103=$P$24,G103*$Q$24,A103=$P$25,G103*$Q$25,A103=$P$26,G103*$Q$26,A103=$P$27,G103*$Q$27,A103=$P$28,G103*$Q$28,A103=$P$29,G103*$Q$29,A103=$P$30,G103*$Q$30,A103=$P$31,G103*$Q$31)</f>
        <v>6336244.4720628271</v>
      </c>
      <c r="I103">
        <f t="shared" si="4"/>
        <v>6381907.4720628271</v>
      </c>
      <c r="J103" s="1">
        <f t="shared" si="5"/>
        <v>6880444.4720628271</v>
      </c>
    </row>
    <row r="104" spans="1:10" x14ac:dyDescent="0.2">
      <c r="A104">
        <v>2016</v>
      </c>
      <c r="C104" t="s">
        <v>23</v>
      </c>
      <c r="D104">
        <v>636194</v>
      </c>
      <c r="E104">
        <v>58272</v>
      </c>
      <c r="F104">
        <v>694466</v>
      </c>
      <c r="G104" cm="1">
        <f t="array" ref="G104">_xlfn.IFS(A104=$E$640,F104/$F$640,A104=$E$641,F104/$F$641,A104=$E$641,F104/$F$641,A104=$E$642,F104/$F$642,A104=$E$643,F104/$F$643,A104=$E$644,F104/$F$644,A104=$E$645,F104/$F$645,A104=$E$646,F104/$F$646,A104=$E$647,F104/$F$647)</f>
        <v>2.0747626304557801E-2</v>
      </c>
      <c r="H104" cm="1">
        <f t="array" ref="H104">_xlfn.IFS(A104=$P$24,G104*$Q$24,A104=$P$25,G104*$Q$25,A104=$P$26,G104*$Q$26,A104=$P$27,G104*$Q$27,A104=$P$28,G104*$Q$28,A104=$P$29,G104*$Q$29,A104=$P$30,G104*$Q$30,A104=$P$31,G104*$Q$31)</f>
        <v>8085825.7139573386</v>
      </c>
      <c r="I104">
        <f t="shared" si="4"/>
        <v>8144097.7139573386</v>
      </c>
      <c r="J104" s="1">
        <f t="shared" si="5"/>
        <v>8780291.7139573395</v>
      </c>
    </row>
    <row r="105" spans="1:10" x14ac:dyDescent="0.2">
      <c r="A105">
        <v>2016</v>
      </c>
      <c r="C105" t="s">
        <v>24</v>
      </c>
      <c r="D105">
        <v>676708</v>
      </c>
      <c r="E105">
        <v>61983</v>
      </c>
      <c r="F105">
        <v>738691</v>
      </c>
      <c r="G105" cm="1">
        <f t="array" ref="G105">_xlfn.IFS(A105=$E$640,F105/$F$640,A105=$E$641,F105/$F$641,A105=$E$641,F105/$F$641,A105=$E$642,F105/$F$642,A105=$E$643,F105/$F$643,A105=$E$644,F105/$F$644,A105=$E$645,F105/$F$645,A105=$E$646,F105/$F$646,A105=$E$647,F105/$F$647)</f>
        <v>2.2068877126511746E-2</v>
      </c>
      <c r="H105" cm="1">
        <f t="array" ref="H105">_xlfn.IFS(A105=$P$24,G105*$Q$24,A105=$P$25,G105*$Q$25,A105=$P$26,G105*$Q$26,A105=$P$27,G105*$Q$27,A105=$P$28,G105*$Q$28,A105=$P$29,G105*$Q$29,A105=$P$30,G105*$Q$30,A105=$P$31,G105*$Q$31)</f>
        <v>8600747.4555541389</v>
      </c>
      <c r="I105">
        <f t="shared" si="4"/>
        <v>8662730.4555541389</v>
      </c>
      <c r="J105" s="1">
        <f t="shared" si="5"/>
        <v>9339438.4555541389</v>
      </c>
    </row>
    <row r="106" spans="1:10" x14ac:dyDescent="0.2">
      <c r="A106">
        <v>2016</v>
      </c>
      <c r="C106" t="s">
        <v>25</v>
      </c>
      <c r="D106">
        <v>336026</v>
      </c>
      <c r="E106">
        <v>30778</v>
      </c>
      <c r="F106">
        <v>366804</v>
      </c>
      <c r="G106" cm="1">
        <f t="array" ref="G106">_xlfn.IFS(A106=$E$640,F106/$F$640,A106=$E$641,F106/$F$641,A106=$E$641,F106/$F$641,A106=$E$642,F106/$F$642,A106=$E$643,F106/$F$643,A106=$E$644,F106/$F$644,A106=$E$645,F106/$F$645,A106=$E$646,F106/$F$646,A106=$E$647,F106/$F$647)</f>
        <v>1.0958509587246919E-2</v>
      </c>
      <c r="H106" cm="1">
        <f t="array" ref="H106">_xlfn.IFS(A106=$P$24,G106*$Q$24,A106=$P$25,G106*$Q$25,A106=$P$26,G106*$Q$26,A106=$P$27,G106*$Q$27,A106=$P$28,G106*$Q$28,A106=$P$29,G106*$Q$29,A106=$P$30,G106*$Q$30,A106=$P$31,G106*$Q$31)</f>
        <v>4270782.4647749597</v>
      </c>
      <c r="I106">
        <f t="shared" si="4"/>
        <v>4301560.4647749597</v>
      </c>
      <c r="J106" s="1">
        <f t="shared" si="5"/>
        <v>4637586.4647749597</v>
      </c>
    </row>
    <row r="107" spans="1:10" x14ac:dyDescent="0.2">
      <c r="A107">
        <v>2016</v>
      </c>
      <c r="C107" t="s">
        <v>30</v>
      </c>
      <c r="D107">
        <v>454944</v>
      </c>
      <c r="E107">
        <v>41671</v>
      </c>
      <c r="F107">
        <v>496615</v>
      </c>
      <c r="G107" cm="1">
        <f t="array" ref="G107">_xlfn.IFS(A107=$E$640,F107/$F$640,A107=$E$641,F107/$F$641,A107=$E$641,F107/$F$641,A107=$E$642,F107/$F$642,A107=$E$643,F107/$F$643,A107=$E$644,F107/$F$644,A107=$E$645,F107/$F$645,A107=$E$646,F107/$F$646,A107=$E$647,F107/$F$647)</f>
        <v>1.4836698178511219E-2</v>
      </c>
      <c r="H107" cm="1">
        <f t="array" ref="H107">_xlfn.IFS(A107=$P$24,G107*$Q$24,A107=$P$25,G107*$Q$25,A107=$P$26,G107*$Q$26,A107=$P$27,G107*$Q$27,A107=$P$28,G107*$Q$28,A107=$P$29,G107*$Q$29,A107=$P$30,G107*$Q$30,A107=$P$31,G107*$Q$31)</f>
        <v>5782201.4856550554</v>
      </c>
      <c r="I107">
        <f t="shared" si="4"/>
        <v>5823872.4856550554</v>
      </c>
      <c r="J107" s="1">
        <f t="shared" si="5"/>
        <v>6278816.4856550554</v>
      </c>
    </row>
    <row r="108" spans="1:10" x14ac:dyDescent="0.2">
      <c r="A108">
        <v>2016</v>
      </c>
      <c r="C108" t="s">
        <v>31</v>
      </c>
      <c r="D108">
        <v>841963</v>
      </c>
      <c r="E108">
        <v>77120</v>
      </c>
      <c r="F108">
        <v>919083</v>
      </c>
      <c r="G108" cm="1">
        <f t="array" ref="G108">_xlfn.IFS(A108=$E$640,F108/$F$640,A108=$E$641,F108/$F$641,A108=$E$641,F108/$F$641,A108=$E$642,F108/$F$642,A108=$E$643,F108/$F$643,A108=$E$644,F108/$F$644,A108=$E$645,F108/$F$645,A108=$E$646,F108/$F$646,A108=$E$647,F108/$F$647)</f>
        <v>2.7458206199975084E-2</v>
      </c>
      <c r="H108" cm="1">
        <f t="array" ref="H108">_xlfn.IFS(A108=$P$24,G108*$Q$24,A108=$P$25,G108*$Q$25,A108=$P$26,G108*$Q$26,A108=$P$27,G108*$Q$27,A108=$P$28,G108*$Q$28,A108=$P$29,G108*$Q$29,A108=$P$30,G108*$Q$30,A108=$P$31,G108*$Q$31)</f>
        <v>10701092.572798455</v>
      </c>
      <c r="I108">
        <f t="shared" si="4"/>
        <v>10778212.572798455</v>
      </c>
      <c r="J108" s="1">
        <f t="shared" si="5"/>
        <v>11620175.572798455</v>
      </c>
    </row>
    <row r="109" spans="1:10" x14ac:dyDescent="0.2">
      <c r="A109">
        <v>2016</v>
      </c>
      <c r="C109" t="s">
        <v>32</v>
      </c>
      <c r="D109">
        <v>413829</v>
      </c>
      <c r="E109">
        <v>37905</v>
      </c>
      <c r="F109">
        <v>451734</v>
      </c>
      <c r="G109" cm="1">
        <f t="array" ref="G109">_xlfn.IFS(A109=$E$640,F109/$F$640,A109=$E$641,F109/$F$641,A109=$E$641,F109/$F$641,A109=$E$642,F109/$F$642,A109=$E$643,F109/$F$643,A109=$E$644,F109/$F$644,A109=$E$645,F109/$F$645,A109=$E$646,F109/$F$646,A109=$E$647,F109/$F$647)</f>
        <v>1.3495848927180183E-2</v>
      </c>
      <c r="H109" cm="1">
        <f t="array" ref="H109">_xlfn.IFS(A109=$P$24,G109*$Q$24,A109=$P$25,G109*$Q$25,A109=$P$26,G109*$Q$26,A109=$P$27,G109*$Q$27,A109=$P$28,G109*$Q$28,A109=$P$29,G109*$Q$29,A109=$P$30,G109*$Q$30,A109=$P$31,G109*$Q$31)</f>
        <v>5259641.7867380176</v>
      </c>
      <c r="I109">
        <f t="shared" si="4"/>
        <v>5297546.7867380176</v>
      </c>
      <c r="J109" s="1">
        <f t="shared" si="5"/>
        <v>5711375.7867380176</v>
      </c>
    </row>
    <row r="110" spans="1:10" x14ac:dyDescent="0.2">
      <c r="A110">
        <v>2016</v>
      </c>
      <c r="C110" t="s">
        <v>33</v>
      </c>
      <c r="D110">
        <v>273154</v>
      </c>
      <c r="E110">
        <v>25020</v>
      </c>
      <c r="F110">
        <v>298174</v>
      </c>
      <c r="G110" cm="1">
        <f t="array" ref="G110">_xlfn.IFS(A110=$E$640,F110/$F$640,A110=$E$641,F110/$F$641,A110=$E$641,F110/$F$641,A110=$E$642,F110/$F$642,A110=$E$643,F110/$F$643,A110=$E$644,F110/$F$644,A110=$E$645,F110/$F$645,A110=$E$646,F110/$F$646,A110=$E$647,F110/$F$647)</f>
        <v>8.9081434162870711E-3</v>
      </c>
      <c r="H110" cm="1">
        <f t="array" ref="H110">_xlfn.IFS(A110=$P$24,G110*$Q$24,A110=$P$25,G110*$Q$25,A110=$P$26,G110*$Q$26,A110=$P$27,G110*$Q$27,A110=$P$28,G110*$Q$28,A110=$P$29,G110*$Q$29,A110=$P$30,G110*$Q$30,A110=$P$31,G110*$Q$31)</f>
        <v>3471707.753055607</v>
      </c>
      <c r="I110">
        <f t="shared" si="4"/>
        <v>3496727.753055607</v>
      </c>
      <c r="J110" s="1">
        <f t="shared" si="5"/>
        <v>3769881.753055607</v>
      </c>
    </row>
    <row r="111" spans="1:10" x14ac:dyDescent="0.2">
      <c r="A111">
        <v>2016</v>
      </c>
      <c r="C111" t="s">
        <v>34</v>
      </c>
      <c r="D111">
        <v>1279278</v>
      </c>
      <c r="E111">
        <v>117176</v>
      </c>
      <c r="F111">
        <v>1396454</v>
      </c>
      <c r="G111" cm="1">
        <f t="array" ref="G111">_xlfn.IFS(A111=$E$640,F111/$F$640,A111=$E$641,F111/$F$641,A111=$E$641,F111/$F$641,A111=$E$642,F111/$F$642,A111=$E$643,F111/$F$643,A111=$E$644,F111/$F$644,A111=$E$645,F111/$F$645,A111=$E$646,F111/$F$646,A111=$E$647,F111/$F$647)</f>
        <v>4.1719977282552292E-2</v>
      </c>
      <c r="H111" cm="1">
        <f t="array" ref="H111">_xlfn.IFS(A111=$P$24,G111*$Q$24,A111=$P$25,G111*$Q$25,A111=$P$26,G111*$Q$26,A111=$P$27,G111*$Q$27,A111=$P$28,G111*$Q$28,A111=$P$29,G111*$Q$29,A111=$P$30,G111*$Q$30,A111=$P$31,G111*$Q$31)</f>
        <v>16259231.786089716</v>
      </c>
      <c r="I111">
        <f t="shared" si="4"/>
        <v>16376407.786089716</v>
      </c>
      <c r="J111" s="1">
        <f t="shared" si="5"/>
        <v>17655685.786089718</v>
      </c>
    </row>
    <row r="112" spans="1:10" x14ac:dyDescent="0.2">
      <c r="A112">
        <v>2016</v>
      </c>
      <c r="C112" t="s">
        <v>35</v>
      </c>
      <c r="D112">
        <v>117929</v>
      </c>
      <c r="E112">
        <v>10802</v>
      </c>
      <c r="F112">
        <v>128731</v>
      </c>
      <c r="G112" cm="1">
        <f t="array" ref="G112">_xlfn.IFS(A112=$E$640,F112/$F$640,A112=$E$641,F112/$F$641,A112=$E$641,F112/$F$641,A112=$E$642,F112/$F$642,A112=$E$643,F112/$F$643,A112=$E$644,F112/$F$644,A112=$E$645,F112/$F$645,A112=$E$646,F112/$F$646,A112=$E$647,F112/$F$647)</f>
        <v>3.8459228843629929E-3</v>
      </c>
      <c r="H112" cm="1">
        <f t="array" ref="H112">_xlfn.IFS(A112=$P$24,G112*$Q$24,A112=$P$25,G112*$Q$25,A112=$P$26,G112*$Q$26,A112=$P$27,G112*$Q$27,A112=$P$28,G112*$Q$28,A112=$P$29,G112*$Q$29,A112=$P$30,G112*$Q$30,A112=$P$31,G112*$Q$31)</f>
        <v>1498844.3350479968</v>
      </c>
      <c r="I112">
        <f t="shared" si="4"/>
        <v>1509646.3350479968</v>
      </c>
      <c r="J112" s="1">
        <f t="shared" si="5"/>
        <v>1627575.3350479968</v>
      </c>
    </row>
    <row r="113" spans="1:10" x14ac:dyDescent="0.2">
      <c r="A113">
        <v>2016</v>
      </c>
      <c r="C113" t="s">
        <v>36</v>
      </c>
      <c r="D113">
        <v>148519</v>
      </c>
      <c r="E113">
        <v>13604</v>
      </c>
      <c r="F113">
        <v>162123</v>
      </c>
      <c r="G113" cm="1">
        <f t="array" ref="G113">_xlfn.IFS(A113=$E$640,F113/$F$640,A113=$E$641,F113/$F$641,A113=$E$641,F113/$F$641,A113=$E$642,F113/$F$642,A113=$E$643,F113/$F$643,A113=$E$644,F113/$F$644,A113=$E$645,F113/$F$645,A113=$E$646,F113/$F$646,A113=$E$647,F113/$F$647)</f>
        <v>4.8435307407041156E-3</v>
      </c>
      <c r="H113" cm="1">
        <f t="array" ref="H113">_xlfn.IFS(A113=$P$24,G113*$Q$24,A113=$P$25,G113*$Q$25,A113=$P$26,G113*$Q$26,A113=$P$27,G113*$Q$27,A113=$P$28,G113*$Q$28,A113=$P$29,G113*$Q$29,A113=$P$30,G113*$Q$30,A113=$P$31,G113*$Q$31)</f>
        <v>1887634.9918122783</v>
      </c>
      <c r="I113">
        <f t="shared" si="4"/>
        <v>1901238.9918122783</v>
      </c>
      <c r="J113" s="1">
        <f t="shared" si="5"/>
        <v>2049757.9918122783</v>
      </c>
    </row>
    <row r="114" spans="1:10" x14ac:dyDescent="0.2">
      <c r="A114">
        <v>2016</v>
      </c>
      <c r="C114" t="s">
        <v>37</v>
      </c>
      <c r="D114">
        <v>234494</v>
      </c>
      <c r="E114">
        <v>21479</v>
      </c>
      <c r="F114">
        <v>255973</v>
      </c>
      <c r="G114" cm="1">
        <f t="array" ref="G114">_xlfn.IFS(A114=$E$640,F114/$F$640,A114=$E$641,F114/$F$641,A114=$E$641,F114/$F$641,A114=$E$642,F114/$F$642,A114=$E$643,F114/$F$643,A114=$E$644,F114/$F$644,A114=$E$645,F114/$F$645,A114=$E$646,F114/$F$646,A114=$E$647,F114/$F$647)</f>
        <v>7.6473609191185371E-3</v>
      </c>
      <c r="H114" cm="1">
        <f t="array" ref="H114">_xlfn.IFS(A114=$P$24,G114*$Q$24,A114=$P$25,G114*$Q$25,A114=$P$26,G114*$Q$26,A114=$P$27,G114*$Q$27,A114=$P$28,G114*$Q$28,A114=$P$29,G114*$Q$29,A114=$P$30,G114*$Q$30,A114=$P$31,G114*$Q$31)</f>
        <v>2980351.9041663692</v>
      </c>
      <c r="I114">
        <f t="shared" si="4"/>
        <v>3001830.9041663692</v>
      </c>
      <c r="J114" s="1">
        <f t="shared" si="5"/>
        <v>3236324.9041663692</v>
      </c>
    </row>
    <row r="115" spans="1:10" x14ac:dyDescent="0.2">
      <c r="A115">
        <v>2016</v>
      </c>
      <c r="C115" t="s">
        <v>38</v>
      </c>
      <c r="D115">
        <v>656055</v>
      </c>
      <c r="E115">
        <v>60091</v>
      </c>
      <c r="F115">
        <v>716146</v>
      </c>
      <c r="G115" cm="1">
        <f t="array" ref="G115">_xlfn.IFS(A115=$E$640,F115/$F$640,A115=$E$641,F115/$F$641,A115=$E$641,F115/$F$641,A115=$E$642,F115/$F$642,A115=$E$643,F115/$F$643,A115=$E$644,F115/$F$644,A115=$E$645,F115/$F$645,A115=$E$646,F115/$F$646,A115=$E$647,F115/$F$647)</f>
        <v>2.139533049494698E-2</v>
      </c>
      <c r="H115" cm="1">
        <f t="array" ref="H115">_xlfn.IFS(A115=$P$24,G115*$Q$24,A115=$P$25,G115*$Q$25,A115=$P$26,G115*$Q$26,A115=$P$27,G115*$Q$27,A115=$P$28,G115*$Q$28,A115=$P$29,G115*$Q$29,A115=$P$30,G115*$Q$30,A115=$P$31,G115*$Q$31)</f>
        <v>8338250.8888090868</v>
      </c>
      <c r="I115">
        <f t="shared" si="4"/>
        <v>8398341.8888090868</v>
      </c>
      <c r="J115" s="1">
        <f t="shared" si="5"/>
        <v>9054396.8888090868</v>
      </c>
    </row>
    <row r="116" spans="1:10" x14ac:dyDescent="0.2">
      <c r="A116">
        <v>2016</v>
      </c>
      <c r="C116" t="s">
        <v>39</v>
      </c>
      <c r="D116">
        <v>54255</v>
      </c>
      <c r="E116">
        <v>4970</v>
      </c>
      <c r="F116">
        <v>59225</v>
      </c>
      <c r="G116" cm="1">
        <f t="array" ref="G116">_xlfn.IFS(A116=$E$640,F116/$F$640,A116=$E$641,F116/$F$641,A116=$E$641,F116/$F$641,A116=$E$642,F116/$F$642,A116=$E$643,F116/$F$643,A116=$E$644,F116/$F$644,A116=$E$645,F116/$F$645,A116=$E$646,F116/$F$646,A116=$E$647,F116/$F$647)</f>
        <v>1.769385640027641E-3</v>
      </c>
      <c r="H116" cm="1">
        <f t="array" ref="H116">_xlfn.IFS(A116=$P$24,G116*$Q$24,A116=$P$25,G116*$Q$25,A116=$P$26,G116*$Q$26,A116=$P$27,G116*$Q$27,A116=$P$28,G116*$Q$28,A116=$P$29,G116*$Q$29,A116=$P$30,G116*$Q$30,A116=$P$31,G116*$Q$31)</f>
        <v>689570.15593149757</v>
      </c>
      <c r="I116">
        <f t="shared" si="4"/>
        <v>694540.15593149757</v>
      </c>
      <c r="J116" s="1">
        <f t="shared" si="5"/>
        <v>748795.15593149757</v>
      </c>
    </row>
    <row r="117" spans="1:10" x14ac:dyDescent="0.2">
      <c r="A117">
        <v>2016</v>
      </c>
      <c r="C117" t="s">
        <v>40</v>
      </c>
      <c r="D117">
        <v>279527</v>
      </c>
      <c r="E117">
        <v>25603</v>
      </c>
      <c r="F117">
        <v>305130</v>
      </c>
      <c r="G117" cm="1">
        <f t="array" ref="G117">_xlfn.IFS(A117=$E$640,F117/$F$640,A117=$E$641,F117/$F$641,A117=$E$641,F117/$F$641,A117=$E$642,F117/$F$642,A117=$E$643,F117/$F$643,A117=$E$644,F117/$F$644,A117=$E$645,F117/$F$645,A117=$E$646,F117/$F$646,A117=$E$647,F117/$F$647)</f>
        <v>9.1159584692551126E-3</v>
      </c>
      <c r="H117" cm="1">
        <f t="array" ref="H117">_xlfn.IFS(A117=$P$24,G117*$Q$24,A117=$P$25,G117*$Q$25,A117=$P$26,G117*$Q$26,A117=$P$27,G117*$Q$27,A117=$P$28,G117*$Q$28,A117=$P$29,G117*$Q$29,A117=$P$30,G117*$Q$30,A117=$P$31,G117*$Q$31)</f>
        <v>3552698.0443964172</v>
      </c>
      <c r="I117">
        <f t="shared" si="4"/>
        <v>3578301.0443964172</v>
      </c>
      <c r="J117" s="1">
        <f t="shared" si="5"/>
        <v>3857828.0443964172</v>
      </c>
    </row>
    <row r="118" spans="1:10" x14ac:dyDescent="0.2">
      <c r="A118">
        <v>2016</v>
      </c>
      <c r="C118" t="s">
        <v>41</v>
      </c>
      <c r="D118">
        <v>49423</v>
      </c>
      <c r="E118">
        <v>4527</v>
      </c>
      <c r="F118">
        <v>53950</v>
      </c>
      <c r="G118" cm="1">
        <f t="array" ref="G118">_xlfn.IFS(A118=$E$640,F118/$F$640,A118=$E$641,F118/$F$641,A118=$E$641,F118/$F$641,A118=$E$642,F118/$F$642,A118=$E$643,F118/$F$643,A118=$E$644,F118/$F$644,A118=$E$645,F118/$F$645,A118=$E$646,F118/$F$646,A118=$E$647,F118/$F$647)</f>
        <v>1.6117915623383914E-3</v>
      </c>
      <c r="H118" cm="1">
        <f t="array" ref="H118">_xlfn.IFS(A118=$P$24,G118*$Q$24,A118=$P$25,G118*$Q$25,A118=$P$26,G118*$Q$26,A118=$P$27,G118*$Q$27,A118=$P$28,G118*$Q$28,A118=$P$29,G118*$Q$29,A118=$P$30,G118*$Q$30,A118=$P$31,G118*$Q$31)</f>
        <v>628152.13022379554</v>
      </c>
      <c r="I118">
        <f t="shared" si="4"/>
        <v>632679.13022379554</v>
      </c>
      <c r="J118" s="1">
        <f t="shared" si="5"/>
        <v>682102.13022379554</v>
      </c>
    </row>
    <row r="119" spans="1:10" x14ac:dyDescent="0.2">
      <c r="A119">
        <v>2016</v>
      </c>
      <c r="C119" t="s">
        <v>42</v>
      </c>
      <c r="D119">
        <v>144388</v>
      </c>
      <c r="E119">
        <v>13225</v>
      </c>
      <c r="F119">
        <v>157613</v>
      </c>
      <c r="G119" cm="1">
        <f t="array" ref="G119">_xlfn.IFS(A119=$E$640,F119/$F$640,A119=$E$641,F119/$F$641,A119=$E$641,F119/$F$641,A119=$E$642,F119/$F$642,A119=$E$643,F119/$F$643,A119=$E$644,F119/$F$644,A119=$E$645,F119/$F$645,A119=$E$646,F119/$F$646,A119=$E$647,F119/$F$647)</f>
        <v>4.7087915387366243E-3</v>
      </c>
      <c r="H119" cm="1">
        <f t="array" ref="H119">_xlfn.IFS(A119=$P$24,G119*$Q$24,A119=$P$25,G119*$Q$25,A119=$P$26,G119*$Q$26,A119=$P$27,G119*$Q$27,A119=$P$28,G119*$Q$28,A119=$P$29,G119*$Q$29,A119=$P$30,G119*$Q$30,A119=$P$31,G119*$Q$31)</f>
        <v>1835124.0352356457</v>
      </c>
      <c r="I119">
        <f t="shared" si="4"/>
        <v>1848349.0352356457</v>
      </c>
      <c r="J119" s="1">
        <f t="shared" si="5"/>
        <v>1992737.0352356457</v>
      </c>
    </row>
    <row r="120" spans="1:10" x14ac:dyDescent="0.2">
      <c r="A120">
        <v>2016</v>
      </c>
      <c r="C120" t="s">
        <v>43</v>
      </c>
      <c r="D120">
        <v>850586</v>
      </c>
      <c r="E120">
        <v>77909</v>
      </c>
      <c r="F120">
        <v>928495</v>
      </c>
      <c r="G120" cm="1">
        <f t="array" ref="G120">_xlfn.IFS(A120=$E$640,F120/$F$640,A120=$E$641,F120/$F$641,A120=$E$641,F120/$F$641,A120=$E$642,F120/$F$642,A120=$E$643,F120/$F$643,A120=$E$644,F120/$F$644,A120=$E$645,F120/$F$645,A120=$E$646,F120/$F$646,A120=$E$647,F120/$F$647)</f>
        <v>2.7739395860489059E-2</v>
      </c>
      <c r="H120" cm="1">
        <f t="array" ref="H120">_xlfn.IFS(A120=$P$24,G120*$Q$24,A120=$P$25,G120*$Q$25,A120=$P$26,G120*$Q$26,A120=$P$27,G120*$Q$27,A120=$P$28,G120*$Q$28,A120=$P$29,G120*$Q$29,A120=$P$30,G120*$Q$30,A120=$P$31,G120*$Q$31)</f>
        <v>10810678.631179668</v>
      </c>
      <c r="I120">
        <f t="shared" si="4"/>
        <v>10888587.631179668</v>
      </c>
      <c r="J120" s="1">
        <f t="shared" si="5"/>
        <v>11739173.631179668</v>
      </c>
    </row>
    <row r="121" spans="1:10" x14ac:dyDescent="0.2">
      <c r="A121">
        <v>2016</v>
      </c>
      <c r="C121" t="s">
        <v>44</v>
      </c>
      <c r="D121">
        <v>1186169</v>
      </c>
      <c r="E121">
        <v>108647</v>
      </c>
      <c r="F121">
        <v>1294816</v>
      </c>
      <c r="G121" cm="1">
        <f t="array" ref="G121">_xlfn.IFS(A121=$E$640,F121/$F$640,A121=$E$641,F121/$F$641,A121=$E$641,F121/$F$641,A121=$E$642,F121/$F$642,A121=$E$643,F121/$F$643,A121=$E$644,F121/$F$644,A121=$E$645,F121/$F$645,A121=$E$646,F121/$F$646,A121=$E$647,F121/$F$647)</f>
        <v>3.8683475506594005E-2</v>
      </c>
      <c r="H121" cm="1">
        <f t="array" ref="H121">_xlfn.IFS(A121=$P$24,G121*$Q$24,A121=$P$25,G121*$Q$25,A121=$P$26,G121*$Q$26,A121=$P$27,G121*$Q$27,A121=$P$28,G121*$Q$28,A121=$P$29,G121*$Q$29,A121=$P$30,G121*$Q$30,A121=$P$31,G121*$Q$31)</f>
        <v>15075837.417013049</v>
      </c>
      <c r="I121">
        <f t="shared" si="4"/>
        <v>15184484.417013049</v>
      </c>
      <c r="J121" s="1">
        <f t="shared" si="5"/>
        <v>16370653.417013049</v>
      </c>
    </row>
    <row r="122" spans="1:10" x14ac:dyDescent="0.2">
      <c r="A122">
        <v>2016</v>
      </c>
      <c r="C122" t="s">
        <v>45</v>
      </c>
      <c r="D122">
        <v>264469</v>
      </c>
      <c r="E122">
        <v>24224</v>
      </c>
      <c r="F122">
        <v>288693</v>
      </c>
      <c r="G122" cm="1">
        <f t="array" ref="G122">_xlfn.IFS(A122=$E$640,F122/$F$640,A122=$E$641,F122/$F$641,A122=$E$641,F122/$F$641,A122=$E$642,F122/$F$642,A122=$E$643,F122/$F$643,A122=$E$644,F122/$F$644,A122=$E$645,F122/$F$645,A122=$E$646,F122/$F$646,A122=$E$647,F122/$F$647)</f>
        <v>8.6248923356099585E-3</v>
      </c>
      <c r="H122" cm="1">
        <f t="array" ref="H122">_xlfn.IFS(A122=$P$24,G122*$Q$24,A122=$P$25,G122*$Q$25,A122=$P$26,G122*$Q$26,A122=$P$27,G122*$Q$27,A122=$P$28,G122*$Q$28,A122=$P$29,G122*$Q$29,A122=$P$30,G122*$Q$30,A122=$P$31,G122*$Q$31)</f>
        <v>3361318.3119684565</v>
      </c>
      <c r="I122">
        <f t="shared" si="4"/>
        <v>3385542.3119684565</v>
      </c>
      <c r="J122" s="1">
        <f t="shared" si="5"/>
        <v>3650011.3119684565</v>
      </c>
    </row>
    <row r="123" spans="1:10" x14ac:dyDescent="0.2">
      <c r="A123">
        <v>2016</v>
      </c>
      <c r="C123" t="s">
        <v>46</v>
      </c>
      <c r="D123">
        <v>159213</v>
      </c>
      <c r="E123">
        <v>14583</v>
      </c>
      <c r="F123">
        <v>173796</v>
      </c>
      <c r="G123" cm="1">
        <f t="array" ref="G123">_xlfn.IFS(A123=$E$640,F123/$F$640,A123=$E$641,F123/$F$641,A123=$E$641,F123/$F$641,A123=$E$642,F123/$F$642,A123=$E$643,F123/$F$643,A123=$E$644,F123/$F$644,A123=$E$645,F123/$F$645,A123=$E$646,F123/$F$646,A123=$E$647,F123/$F$647)</f>
        <v>5.1922692561290652E-3</v>
      </c>
      <c r="H123" cm="1">
        <f t="array" ref="H123">_xlfn.IFS(A123=$P$24,G123*$Q$24,A123=$P$25,G123*$Q$25,A123=$P$26,G123*$Q$26,A123=$P$27,G123*$Q$27,A123=$P$28,G123*$Q$28,A123=$P$29,G123*$Q$29,A123=$P$30,G123*$Q$30,A123=$P$31,G123*$Q$31)</f>
        <v>2023546.3878475397</v>
      </c>
      <c r="I123">
        <f t="shared" si="4"/>
        <v>2038129.3878475397</v>
      </c>
      <c r="J123" s="1">
        <f t="shared" si="5"/>
        <v>2197342.38784754</v>
      </c>
    </row>
    <row r="124" spans="1:10" x14ac:dyDescent="0.2">
      <c r="A124">
        <v>2016</v>
      </c>
      <c r="C124" t="s">
        <v>47</v>
      </c>
      <c r="D124">
        <v>99893</v>
      </c>
      <c r="E124">
        <v>9150</v>
      </c>
      <c r="F124">
        <v>109043</v>
      </c>
      <c r="G124" cm="1">
        <f t="array" ref="G124">_xlfn.IFS(A124=$E$640,F124/$F$640,A124=$E$641,F124/$F$641,A124=$E$641,F124/$F$641,A124=$E$642,F124/$F$642,A124=$E$643,F124/$F$643,A124=$E$644,F124/$F$644,A124=$E$645,F124/$F$645,A124=$E$646,F124/$F$646,A124=$E$647,F124/$F$647)</f>
        <v>3.2577309978139984E-3</v>
      </c>
      <c r="H124" cm="1">
        <f t="array" ref="H124">_xlfn.IFS(A124=$P$24,G124*$Q$24,A124=$P$25,G124*$Q$25,A124=$P$26,G124*$Q$26,A124=$P$27,G124*$Q$27,A124=$P$28,G124*$Q$28,A124=$P$29,G124*$Q$29,A124=$P$30,G124*$Q$30,A124=$P$31,G124*$Q$31)</f>
        <v>1269612.4696198951</v>
      </c>
      <c r="I124">
        <f t="shared" si="4"/>
        <v>1278762.4696198951</v>
      </c>
      <c r="J124" s="1">
        <f t="shared" si="5"/>
        <v>1378655.4696198951</v>
      </c>
    </row>
    <row r="125" spans="1:10" x14ac:dyDescent="0.2">
      <c r="A125">
        <v>2016</v>
      </c>
      <c r="C125" t="s">
        <v>48</v>
      </c>
      <c r="D125">
        <v>66832</v>
      </c>
      <c r="E125">
        <v>6122</v>
      </c>
      <c r="F125">
        <v>72954</v>
      </c>
      <c r="G125" cm="1">
        <f t="array" ref="G125">_xlfn.IFS(A125=$E$640,F125/$F$640,A125=$E$641,F125/$F$641,A125=$E$641,F125/$F$641,A125=$E$642,F125/$F$642,A125=$E$643,F125/$F$643,A125=$E$644,F125/$F$644,A125=$E$645,F125/$F$645,A125=$E$646,F125/$F$646,A125=$E$647,F125/$F$647)</f>
        <v>2.1795485011832255E-3</v>
      </c>
      <c r="H125" cm="1">
        <f t="array" ref="H125">_xlfn.IFS(A125=$P$24,G125*$Q$24,A125=$P$25,G125*$Q$25,A125=$P$26,G125*$Q$26,A125=$P$27,G125*$Q$27,A125=$P$28,G125*$Q$28,A125=$P$29,G125*$Q$29,A125=$P$30,G125*$Q$30,A125=$P$31,G125*$Q$31)</f>
        <v>849420.02795823512</v>
      </c>
      <c r="I125">
        <f t="shared" si="4"/>
        <v>855542.02795823512</v>
      </c>
      <c r="J125" s="1">
        <f t="shared" si="5"/>
        <v>922374.02795823512</v>
      </c>
    </row>
    <row r="126" spans="1:10" x14ac:dyDescent="0.2">
      <c r="A126">
        <v>2016</v>
      </c>
      <c r="C126" t="s">
        <v>49</v>
      </c>
      <c r="D126">
        <v>114795</v>
      </c>
      <c r="E126">
        <v>10515</v>
      </c>
      <c r="F126">
        <v>125310</v>
      </c>
      <c r="G126" cm="1">
        <f t="array" ref="G126">_xlfn.IFS(A126=$E$640,F126/$F$640,A126=$E$641,F126/$F$641,A126=$E$641,F126/$F$641,A126=$E$642,F126/$F$642,A126=$E$643,F126/$F$643,A126=$E$644,F126/$F$644,A126=$E$645,F126/$F$645,A126=$E$646,F126/$F$646,A126=$E$647,F126/$F$647)</f>
        <v>3.7437182701876518E-3</v>
      </c>
      <c r="H126" cm="1">
        <f t="array" ref="H126">_xlfn.IFS(A126=$P$24,G126*$Q$24,A126=$P$25,G126*$Q$25,A126=$P$26,G126*$Q$26,A126=$P$27,G126*$Q$27,A126=$P$28,G126*$Q$28,A126=$P$29,G126*$Q$29,A126=$P$30,G126*$Q$30,A126=$P$31,G126*$Q$31)</f>
        <v>1459012.8533520633</v>
      </c>
      <c r="I126">
        <f t="shared" si="4"/>
        <v>1469527.8533520633</v>
      </c>
      <c r="J126" s="1">
        <f t="shared" si="5"/>
        <v>1584322.8533520633</v>
      </c>
    </row>
    <row r="127" spans="1:10" x14ac:dyDescent="0.2">
      <c r="A127">
        <v>2016</v>
      </c>
      <c r="C127" t="s">
        <v>50</v>
      </c>
      <c r="D127">
        <v>43513</v>
      </c>
      <c r="E127">
        <v>3986</v>
      </c>
      <c r="F127">
        <v>47499</v>
      </c>
      <c r="G127" cm="1">
        <f t="array" ref="G127">_xlfn.IFS(A127=$E$640,F127/$F$640,A127=$E$641,F127/$F$641,A127=$E$641,F127/$F$641,A127=$E$642,F127/$F$642,A127=$E$643,F127/$F$643,A127=$E$644,F127/$F$644,A127=$E$645,F127/$F$645,A127=$E$646,F127/$F$646,A127=$E$647,F127/$F$647)</f>
        <v>1.4190637149121641E-3</v>
      </c>
      <c r="H127" cm="1">
        <f t="array" ref="H127">_xlfn.IFS(A127=$P$24,G127*$Q$24,A127=$P$25,G127*$Q$25,A127=$P$26,G127*$Q$26,A127=$P$27,G127*$Q$27,A127=$P$28,G127*$Q$28,A127=$P$29,G127*$Q$29,A127=$P$30,G127*$Q$30,A127=$P$31,G127*$Q$31)</f>
        <v>553041.66883225332</v>
      </c>
      <c r="I127">
        <f t="shared" si="4"/>
        <v>557027.66883225332</v>
      </c>
      <c r="J127" s="1">
        <f t="shared" si="5"/>
        <v>600540.66883225332</v>
      </c>
    </row>
    <row r="128" spans="1:10" x14ac:dyDescent="0.2">
      <c r="A128">
        <v>2016</v>
      </c>
      <c r="C128" t="s">
        <v>51</v>
      </c>
      <c r="D128">
        <v>148704</v>
      </c>
      <c r="E128">
        <v>13621</v>
      </c>
      <c r="F128">
        <v>162325</v>
      </c>
      <c r="G128" cm="1">
        <f t="array" ref="G128">_xlfn.IFS(A128=$E$640,F128/$F$640,A128=$E$641,F128/$F$641,A128=$E$641,F128/$F$641,A128=$E$642,F128/$F$642,A128=$E$643,F128/$F$643,A128=$E$644,F128/$F$644,A128=$E$645,F128/$F$645,A128=$E$646,F128/$F$646,A128=$E$647,F128/$F$647)</f>
        <v>4.8495656229208409E-3</v>
      </c>
      <c r="H128" cm="1">
        <f t="array" ref="H128">_xlfn.IFS(A128=$P$24,G128*$Q$24,A128=$P$25,G128*$Q$25,A128=$P$26,G128*$Q$26,A128=$P$27,G128*$Q$27,A128=$P$28,G128*$Q$28,A128=$P$29,G128*$Q$29,A128=$P$30,G128*$Q$30,A128=$P$31,G128*$Q$31)</f>
        <v>1889986.9237919853</v>
      </c>
      <c r="I128">
        <f t="shared" si="4"/>
        <v>1903607.9237919853</v>
      </c>
      <c r="J128" s="1">
        <f t="shared" si="5"/>
        <v>2052311.9237919853</v>
      </c>
    </row>
    <row r="129" spans="1:10" x14ac:dyDescent="0.2">
      <c r="A129">
        <v>2016</v>
      </c>
      <c r="C129" t="s">
        <v>52</v>
      </c>
      <c r="D129">
        <v>326359</v>
      </c>
      <c r="E129">
        <v>29893</v>
      </c>
      <c r="F129">
        <v>356252</v>
      </c>
      <c r="G129" cm="1">
        <f t="array" ref="G129">_xlfn.IFS(A129=$E$640,F129/$F$640,A129=$E$641,F129/$F$641,A129=$E$641,F129/$F$641,A129=$E$642,F129/$F$642,A129=$E$643,F129/$F$643,A129=$E$644,F129/$F$644,A129=$E$645,F129/$F$645,A129=$E$646,F129/$F$646,A129=$E$647,F129/$F$647)</f>
        <v>1.0643261680559344E-2</v>
      </c>
      <c r="H129" cm="1">
        <f t="array" ref="H129">_xlfn.IFS(A129=$P$24,G129*$Q$24,A129=$P$25,G129*$Q$25,A129=$P$26,G129*$Q$26,A129=$P$27,G129*$Q$27,A129=$P$28,G129*$Q$28,A129=$P$29,G129*$Q$29,A129=$P$30,G129*$Q$30,A129=$P$31,G129*$Q$31)</f>
        <v>4147923.1269043116</v>
      </c>
      <c r="I129">
        <f t="shared" si="4"/>
        <v>4177816.1269043116</v>
      </c>
      <c r="J129" s="1">
        <f t="shared" si="5"/>
        <v>4504175.1269043116</v>
      </c>
    </row>
    <row r="130" spans="1:10" x14ac:dyDescent="0.2">
      <c r="A130">
        <v>2016</v>
      </c>
      <c r="C130" t="s">
        <v>53</v>
      </c>
      <c r="D130">
        <v>539969</v>
      </c>
      <c r="E130">
        <v>49458</v>
      </c>
      <c r="F130">
        <v>589427</v>
      </c>
      <c r="G130" cm="1">
        <f t="array" ref="G130">_xlfn.IFS(A130=$E$640,F130/$F$640,A130=$E$641,F130/$F$641,A130=$E$641,F130/$F$641,A130=$E$642,F130/$F$642,A130=$E$643,F130/$F$643,A130=$E$644,F130/$F$644,A130=$E$645,F130/$F$645,A130=$E$646,F130/$F$646,A130=$E$647,F130/$F$647)</f>
        <v>1.7609517427514942E-2</v>
      </c>
      <c r="H130" cm="1">
        <f t="array" ref="H130">_xlfn.IFS(A130=$P$24,G130*$Q$24,A130=$P$25,G130*$Q$25,A130=$P$26,G130*$Q$26,A130=$P$27,G130*$Q$27,A130=$P$28,G130*$Q$28,A130=$P$29,G130*$Q$29,A130=$P$30,G130*$Q$30,A130=$P$31,G130*$Q$31)</f>
        <v>6862832.7277371855</v>
      </c>
      <c r="I130">
        <f t="shared" si="4"/>
        <v>6912290.7277371855</v>
      </c>
      <c r="J130" s="1">
        <f t="shared" si="5"/>
        <v>7452259.7277371855</v>
      </c>
    </row>
    <row r="131" spans="1:10" x14ac:dyDescent="0.2">
      <c r="A131">
        <v>2016</v>
      </c>
      <c r="C131" t="s">
        <v>54</v>
      </c>
      <c r="D131">
        <v>52097</v>
      </c>
      <c r="E131">
        <v>4772</v>
      </c>
      <c r="F131">
        <v>56869</v>
      </c>
      <c r="G131" cm="1">
        <f t="array" ref="G131">_xlfn.IFS(A131=$E$640,F131/$F$640,A131=$E$641,F131/$F$641,A131=$E$641,F131/$F$641,A131=$E$642,F131/$F$642,A131=$E$643,F131/$F$643,A131=$E$644,F131/$F$644,A131=$E$645,F131/$F$645,A131=$E$646,F131/$F$646,A131=$E$647,F131/$F$647)</f>
        <v>1.6989985979355324E-3</v>
      </c>
      <c r="H131" cm="1">
        <f t="array" ref="H131">_xlfn.IFS(A131=$P$24,G131*$Q$24,A131=$P$25,G131*$Q$25,A131=$P$26,G131*$Q$26,A131=$P$27,G131*$Q$27,A131=$P$28,G131*$Q$28,A131=$P$29,G131*$Q$29,A131=$P$30,G131*$Q$30,A131=$P$31,G131*$Q$31)</f>
        <v>662138.71165332769</v>
      </c>
      <c r="I131">
        <f t="shared" ref="I131:I194" si="6">SUM(H131,E131)</f>
        <v>666910.71165332769</v>
      </c>
      <c r="J131" s="1">
        <f t="shared" ref="J131:J194" si="7">SUM(I131,D131)</f>
        <v>719007.71165332769</v>
      </c>
    </row>
    <row r="132" spans="1:10" x14ac:dyDescent="0.2">
      <c r="A132">
        <v>2016</v>
      </c>
      <c r="C132" t="s">
        <v>55</v>
      </c>
      <c r="D132">
        <v>469327</v>
      </c>
      <c r="E132">
        <v>42988</v>
      </c>
      <c r="F132">
        <v>512315</v>
      </c>
      <c r="G132" cm="1">
        <f t="array" ref="G132">_xlfn.IFS(A132=$E$640,F132/$F$640,A132=$E$641,F132/$F$641,A132=$E$641,F132/$F$641,A132=$E$642,F132/$F$642,A132=$E$643,F132/$F$643,A132=$E$644,F132/$F$644,A132=$E$645,F132/$F$645,A132=$E$646,F132/$F$646,A132=$E$647,F132/$F$647)</f>
        <v>1.5305745954761687E-2</v>
      </c>
      <c r="H132" cm="1">
        <f t="array" ref="H132">_xlfn.IFS(A132=$P$24,G132*$Q$24,A132=$P$25,G132*$Q$25,A132=$P$26,G132*$Q$26,A132=$P$27,G132*$Q$27,A132=$P$28,G132*$Q$28,A132=$P$29,G132*$Q$29,A132=$P$30,G132*$Q$30,A132=$P$31,G132*$Q$31)</f>
        <v>5965000.1593253724</v>
      </c>
      <c r="I132">
        <f t="shared" si="6"/>
        <v>6007988.1593253724</v>
      </c>
      <c r="J132" s="1">
        <f t="shared" si="7"/>
        <v>6477315.1593253724</v>
      </c>
    </row>
    <row r="133" spans="1:10" x14ac:dyDescent="0.2">
      <c r="A133">
        <v>2016</v>
      </c>
      <c r="C133" t="s">
        <v>56</v>
      </c>
      <c r="D133">
        <v>52035</v>
      </c>
      <c r="E133">
        <v>4766</v>
      </c>
      <c r="F133">
        <v>56801</v>
      </c>
      <c r="G133" cm="1">
        <f t="array" ref="G133">_xlfn.IFS(A133=$E$640,F133/$F$640,A133=$E$641,F133/$F$641,A133=$E$641,F133/$F$641,A133=$E$642,F133/$F$642,A133=$E$643,F133/$F$643,A133=$E$644,F133/$F$644,A133=$E$645,F133/$F$645,A133=$E$646,F133/$F$646,A133=$E$647,F133/$F$647)</f>
        <v>1.6969670534269317E-3</v>
      </c>
      <c r="H133" cm="1">
        <f t="array" ref="H133">_xlfn.IFS(A133=$P$24,G133*$Q$24,A133=$P$25,G133*$Q$25,A133=$P$26,G133*$Q$26,A133=$P$27,G133*$Q$27,A133=$P$28,G133*$Q$28,A133=$P$29,G133*$Q$29,A133=$P$30,G133*$Q$30,A133=$P$31,G133*$Q$31)</f>
        <v>661346.97217501036</v>
      </c>
      <c r="I133">
        <f t="shared" si="6"/>
        <v>666112.97217501036</v>
      </c>
      <c r="J133" s="1">
        <f t="shared" si="7"/>
        <v>718147.97217501036</v>
      </c>
    </row>
    <row r="134" spans="1:10" x14ac:dyDescent="0.2">
      <c r="A134">
        <v>2016</v>
      </c>
      <c r="C134" t="s">
        <v>57</v>
      </c>
      <c r="D134">
        <v>1155728</v>
      </c>
      <c r="E134">
        <v>105859</v>
      </c>
      <c r="F134">
        <v>1261587</v>
      </c>
      <c r="G134" cm="1">
        <f t="array" ref="G134">_xlfn.IFS(A134=$E$640,F134/$F$640,A134=$E$641,F134/$F$641,A134=$E$641,F134/$F$641,A134=$E$642,F134/$F$642,A134=$E$643,F134/$F$643,A134=$E$644,F134/$F$644,A134=$E$645,F134/$F$645,A134=$E$646,F134/$F$646,A134=$E$647,F134/$F$647)</f>
        <v>3.7690737381942618E-2</v>
      </c>
      <c r="H134" cm="1">
        <f t="array" ref="H134">_xlfn.IFS(A134=$P$24,G134*$Q$24,A134=$P$25,G134*$Q$25,A134=$P$26,G134*$Q$26,A134=$P$27,G134*$Q$27,A134=$P$28,G134*$Q$28,A134=$P$29,G134*$Q$29,A134=$P$30,G134*$Q$30,A134=$P$31,G134*$Q$31)</f>
        <v>14688944.606351206</v>
      </c>
      <c r="I134">
        <f t="shared" si="6"/>
        <v>14794803.606351206</v>
      </c>
      <c r="J134" s="1">
        <f t="shared" si="7"/>
        <v>15950531.606351206</v>
      </c>
    </row>
    <row r="135" spans="1:10" x14ac:dyDescent="0.2">
      <c r="A135">
        <v>2016</v>
      </c>
      <c r="C135" t="s">
        <v>58</v>
      </c>
      <c r="D135">
        <v>441786</v>
      </c>
      <c r="E135">
        <v>40465</v>
      </c>
      <c r="F135">
        <v>482251</v>
      </c>
      <c r="G135" cm="1">
        <f t="array" ref="G135">_xlfn.IFS(A135=$E$640,F135/$F$640,A135=$E$641,F135/$F$641,A135=$E$641,F135/$F$641,A135=$E$642,F135/$F$642,A135=$E$643,F135/$F$643,A135=$E$644,F135/$F$644,A135=$E$645,F135/$F$645,A135=$E$646,F135/$F$646,A135=$E$647,F135/$F$647)</f>
        <v>1.4407564276723848E-2</v>
      </c>
      <c r="H135" cm="1">
        <f t="array" ref="H135">_xlfn.IFS(A135=$P$24,G135*$Q$24,A135=$P$25,G135*$Q$25,A135=$P$26,G135*$Q$26,A135=$P$27,G135*$Q$27,A135=$P$28,G135*$Q$28,A135=$P$29,G135*$Q$29,A135=$P$30,G135*$Q$30,A135=$P$31,G135*$Q$31)</f>
        <v>5614958.1640881486</v>
      </c>
      <c r="I135">
        <f t="shared" si="6"/>
        <v>5655423.1640881486</v>
      </c>
      <c r="J135" s="1">
        <f t="shared" si="7"/>
        <v>6097209.1640881486</v>
      </c>
    </row>
    <row r="136" spans="1:10" x14ac:dyDescent="0.2">
      <c r="A136">
        <v>2016</v>
      </c>
      <c r="C136" t="s">
        <v>59</v>
      </c>
      <c r="D136">
        <v>74543</v>
      </c>
      <c r="E136">
        <v>6828</v>
      </c>
      <c r="F136">
        <v>81371</v>
      </c>
      <c r="G136" cm="1">
        <f t="array" ref="G136">_xlfn.IFS(A136=$E$640,F136/$F$640,A136=$E$641,F136/$F$641,A136=$E$641,F136/$F$641,A136=$E$642,F136/$F$642,A136=$E$643,F136/$F$643,A136=$E$644,F136/$F$644,A136=$E$645,F136/$F$645,A136=$E$646,F136/$F$646,A136=$E$647,F136/$F$647)</f>
        <v>2.431011885431645E-3</v>
      </c>
      <c r="H136" cm="1">
        <f t="array" ref="H136">_xlfn.IFS(A136=$P$24,G136*$Q$24,A136=$P$25,G136*$Q$25,A136=$P$26,G136*$Q$26,A136=$P$27,G136*$Q$27,A136=$P$28,G136*$Q$28,A136=$P$29,G136*$Q$29,A136=$P$30,G136*$Q$30,A136=$P$31,G136*$Q$31)</f>
        <v>947421.07485524495</v>
      </c>
      <c r="I136">
        <f t="shared" si="6"/>
        <v>954249.07485524495</v>
      </c>
      <c r="J136" s="1">
        <f t="shared" si="7"/>
        <v>1028792.074855245</v>
      </c>
    </row>
    <row r="137" spans="1:10" x14ac:dyDescent="0.2">
      <c r="A137">
        <v>2016</v>
      </c>
      <c r="C137" t="s">
        <v>60</v>
      </c>
      <c r="D137">
        <v>21916</v>
      </c>
      <c r="E137">
        <v>2007</v>
      </c>
      <c r="F137">
        <v>23923</v>
      </c>
      <c r="G137" cm="1">
        <f t="array" ref="G137">_xlfn.IFS(A137=$E$640,F137/$F$640,A137=$E$641,F137/$F$641,A137=$E$641,F137/$F$641,A137=$E$642,F137/$F$642,A137=$E$643,F137/$F$643,A137=$E$644,F137/$F$644,A137=$E$645,F137/$F$645,A137=$E$646,F137/$F$646,A137=$E$647,F137/$F$647)</f>
        <v>7.1471528351846781E-4</v>
      </c>
      <c r="H137" cm="1">
        <f t="array" ref="H137">_xlfn.IFS(A137=$P$24,G137*$Q$24,A137=$P$25,G137*$Q$25,A137=$P$26,G137*$Q$26,A137=$P$27,G137*$Q$27,A137=$P$28,G137*$Q$28,A137=$P$29,G137*$Q$29,A137=$P$30,G137*$Q$30,A137=$P$31,G137*$Q$31)</f>
        <v>278540.934408598</v>
      </c>
      <c r="I137">
        <f t="shared" si="6"/>
        <v>280547.934408598</v>
      </c>
      <c r="J137" s="1">
        <f t="shared" si="7"/>
        <v>302463.934408598</v>
      </c>
    </row>
    <row r="138" spans="1:10" x14ac:dyDescent="0.2">
      <c r="A138">
        <v>2016</v>
      </c>
      <c r="C138" t="s">
        <v>61</v>
      </c>
      <c r="D138">
        <v>138548</v>
      </c>
      <c r="E138">
        <v>12690</v>
      </c>
      <c r="F138">
        <v>151238</v>
      </c>
      <c r="G138" cm="1">
        <f t="array" ref="G138">_xlfn.IFS(A138=$E$640,F138/$F$640,A138=$E$641,F138/$F$641,A138=$E$641,F138/$F$641,A138=$E$642,F138/$F$642,A138=$E$643,F138/$F$643,A138=$E$644,F138/$F$644,A138=$E$645,F138/$F$645,A138=$E$646,F138/$F$646,A138=$E$647,F138/$F$647)</f>
        <v>4.5183342410553039E-3</v>
      </c>
      <c r="H138" cm="1">
        <f t="array" ref="H138">_xlfn.IFS(A138=$P$24,G138*$Q$24,A138=$P$25,G138*$Q$25,A138=$P$26,G138*$Q$26,A138=$P$27,G138*$Q$27,A138=$P$28,G138*$Q$28,A138=$P$29,G138*$Q$29,A138=$P$30,G138*$Q$30,A138=$P$31,G138*$Q$31)</f>
        <v>1760898.4591433993</v>
      </c>
      <c r="I138">
        <f t="shared" si="6"/>
        <v>1773588.4591433993</v>
      </c>
      <c r="J138" s="1">
        <f t="shared" si="7"/>
        <v>1912136.4591433993</v>
      </c>
    </row>
    <row r="139" spans="1:10" x14ac:dyDescent="0.2">
      <c r="A139">
        <v>2016</v>
      </c>
      <c r="C139" t="s">
        <v>62</v>
      </c>
      <c r="D139">
        <v>93303</v>
      </c>
      <c r="E139">
        <v>8546</v>
      </c>
      <c r="F139">
        <v>101849</v>
      </c>
      <c r="G139" cm="1">
        <f t="array" ref="G139">_xlfn.IFS(A139=$E$640,F139/$F$640,A139=$E$641,F139/$F$641,A139=$E$641,F139/$F$641,A139=$E$642,F139/$F$642,A139=$E$643,F139/$F$643,A139=$E$644,F139/$F$644,A139=$E$645,F139/$F$645,A139=$E$646,F139/$F$646,A139=$E$647,F139/$F$647)</f>
        <v>3.042805539065854E-3</v>
      </c>
      <c r="H139" cm="1">
        <f t="array" ref="H139">_xlfn.IFS(A139=$P$24,G139*$Q$24,A139=$P$25,G139*$Q$25,A139=$P$26,G139*$Q$26,A139=$P$27,G139*$Q$27,A139=$P$28,G139*$Q$28,A139=$P$29,G139*$Q$29,A139=$P$30,G139*$Q$30,A139=$P$31,G139*$Q$31)</f>
        <v>1185851.0901049741</v>
      </c>
      <c r="I139">
        <f t="shared" si="6"/>
        <v>1194397.0901049741</v>
      </c>
      <c r="J139" s="1">
        <f t="shared" si="7"/>
        <v>1287700.0901049741</v>
      </c>
    </row>
    <row r="140" spans="1:10" x14ac:dyDescent="0.2">
      <c r="A140">
        <v>2016</v>
      </c>
      <c r="C140" t="s">
        <v>63</v>
      </c>
      <c r="D140">
        <v>154213</v>
      </c>
      <c r="E140">
        <v>14125</v>
      </c>
      <c r="F140">
        <v>168338</v>
      </c>
      <c r="G140" cm="1">
        <f t="array" ref="G140">_xlfn.IFS(A140=$E$640,F140/$F$640,A140=$E$641,F140/$F$641,A140=$E$641,F140/$F$641,A140=$E$642,F140/$F$642,A140=$E$643,F140/$F$643,A140=$E$644,F140/$F$644,A140=$E$645,F140/$F$645,A140=$E$646,F140/$F$646,A140=$E$647,F140/$F$647)</f>
        <v>5.0292079336593165E-3</v>
      </c>
      <c r="H140" cm="1">
        <f t="array" ref="H140">_xlfn.IFS(A140=$P$24,G140*$Q$24,A140=$P$25,G140*$Q$25,A140=$P$26,G140*$Q$26,A140=$P$27,G140*$Q$27,A140=$P$28,G140*$Q$28,A140=$P$29,G140*$Q$29,A140=$P$30,G140*$Q$30,A140=$P$31,G140*$Q$31)</f>
        <v>1959997.6514849544</v>
      </c>
      <c r="I140">
        <f t="shared" si="6"/>
        <v>1974122.6514849544</v>
      </c>
      <c r="J140" s="1">
        <f t="shared" si="7"/>
        <v>2128335.6514849542</v>
      </c>
    </row>
    <row r="141" spans="1:10" x14ac:dyDescent="0.2">
      <c r="A141">
        <v>2016</v>
      </c>
      <c r="C141" t="s">
        <v>64</v>
      </c>
      <c r="D141">
        <v>19933</v>
      </c>
      <c r="E141">
        <v>1826</v>
      </c>
      <c r="F141">
        <v>21759</v>
      </c>
      <c r="G141" cm="1">
        <f t="array" ref="G141">_xlfn.IFS(A141=$E$640,F141/$F$640,A141=$E$641,F141/$F$641,A141=$E$641,F141/$F$641,A141=$E$642,F141/$F$642,A141=$E$643,F141/$F$643,A141=$E$644,F141/$F$644,A141=$E$645,F141/$F$645,A141=$E$646,F141/$F$646,A141=$E$647,F141/$F$647)</f>
        <v>6.5006436709770261E-4</v>
      </c>
      <c r="H141" cm="1">
        <f t="array" ref="H141">_xlfn.IFS(A141=$P$24,G141*$Q$24,A141=$P$25,G141*$Q$25,A141=$P$26,G141*$Q$26,A141=$P$27,G141*$Q$27,A141=$P$28,G141*$Q$28,A141=$P$29,G141*$Q$29,A141=$P$30,G141*$Q$30,A141=$P$31,G141*$Q$31)</f>
        <v>253344.98983391226</v>
      </c>
      <c r="I141">
        <f t="shared" si="6"/>
        <v>255170.98983391226</v>
      </c>
      <c r="J141" s="1">
        <f t="shared" si="7"/>
        <v>275103.98983391223</v>
      </c>
    </row>
    <row r="142" spans="1:10" x14ac:dyDescent="0.2">
      <c r="A142">
        <v>2016</v>
      </c>
      <c r="C142" t="s">
        <v>65</v>
      </c>
      <c r="D142">
        <v>430536</v>
      </c>
      <c r="E142">
        <v>39435</v>
      </c>
      <c r="F142">
        <v>469971</v>
      </c>
      <c r="G142" cm="1">
        <f t="array" ref="G142">_xlfn.IFS(A142=$E$640,F142/$F$640,A142=$E$641,F142/$F$641,A142=$E$641,F142/$F$641,A142=$E$642,F142/$F$642,A142=$E$643,F142/$F$643,A142=$E$644,F142/$F$644,A142=$E$645,F142/$F$645,A142=$E$646,F142/$F$646,A142=$E$647,F142/$F$647)</f>
        <v>1.4040691238994183E-2</v>
      </c>
      <c r="H142" cm="1">
        <f t="array" ref="H142">_xlfn.IFS(A142=$P$24,G142*$Q$24,A142=$P$25,G142*$Q$25,A142=$P$26,G142*$Q$26,A142=$P$27,G142*$Q$27,A142=$P$28,G142*$Q$28,A142=$P$29,G142*$Q$29,A142=$P$30,G142*$Q$30,A142=$P$31,G142*$Q$31)</f>
        <v>5471979.3288861429</v>
      </c>
      <c r="I142">
        <f t="shared" si="6"/>
        <v>5511414.3288861429</v>
      </c>
      <c r="J142" s="1">
        <f t="shared" si="7"/>
        <v>5941950.3288861429</v>
      </c>
    </row>
    <row r="143" spans="1:10" x14ac:dyDescent="0.2">
      <c r="A143">
        <v>2016</v>
      </c>
      <c r="C143" t="s">
        <v>66</v>
      </c>
      <c r="D143">
        <v>36894</v>
      </c>
      <c r="E143">
        <v>3379</v>
      </c>
      <c r="F143">
        <v>40273</v>
      </c>
      <c r="G143" cm="1">
        <f t="array" ref="G143">_xlfn.IFS(A143=$E$640,F143/$F$640,A143=$E$641,F143/$F$641,A143=$E$641,F143/$F$641,A143=$E$642,F143/$F$642,A143=$E$643,F143/$F$643,A143=$E$644,F143/$F$644,A143=$E$645,F143/$F$645,A143=$E$646,F143/$F$646,A143=$E$647,F143/$F$647)</f>
        <v>1.203182235218796E-3</v>
      </c>
      <c r="H143" cm="1">
        <f t="array" ref="H143">_xlfn.IFS(A143=$P$24,G143*$Q$24,A143=$P$25,G143*$Q$25,A143=$P$26,G143*$Q$26,A143=$P$27,G143*$Q$27,A143=$P$28,G143*$Q$28,A143=$P$29,G143*$Q$29,A143=$P$30,G143*$Q$30,A143=$P$31,G143*$Q$31)</f>
        <v>468907.70603341836</v>
      </c>
      <c r="I143">
        <f t="shared" si="6"/>
        <v>472286.70603341836</v>
      </c>
      <c r="J143" s="1">
        <f t="shared" si="7"/>
        <v>509180.70603341836</v>
      </c>
    </row>
    <row r="144" spans="1:10" x14ac:dyDescent="0.2">
      <c r="A144">
        <v>2016</v>
      </c>
      <c r="C144" t="s">
        <v>67</v>
      </c>
      <c r="D144">
        <v>75199</v>
      </c>
      <c r="E144">
        <v>6888</v>
      </c>
      <c r="F144">
        <v>82087</v>
      </c>
      <c r="G144" cm="1">
        <f t="array" ref="G144">_xlfn.IFS(A144=$E$640,F144/$F$640,A144=$E$641,F144/$F$641,A144=$E$641,F144/$F$641,A144=$E$642,F144/$F$642,A144=$E$643,F144/$F$643,A144=$E$644,F144/$F$644,A144=$E$645,F144/$F$645,A144=$E$646,F144/$F$646,A144=$E$647,F144/$F$647)</f>
        <v>2.4524028540810292E-3</v>
      </c>
      <c r="H144" cm="1">
        <f t="array" ref="H144">_xlfn.IFS(A144=$P$24,G144*$Q$24,A144=$P$25,G144*$Q$25,A144=$P$26,G144*$Q$26,A144=$P$27,G144*$Q$27,A144=$P$28,G144*$Q$28,A144=$P$29,G144*$Q$29,A144=$P$30,G144*$Q$30,A144=$P$31,G144*$Q$31)</f>
        <v>955757.62583282113</v>
      </c>
      <c r="I144">
        <f t="shared" si="6"/>
        <v>962645.62583282113</v>
      </c>
      <c r="J144" s="1">
        <f t="shared" si="7"/>
        <v>1037844.6258328211</v>
      </c>
    </row>
    <row r="145" spans="1:10" x14ac:dyDescent="0.2">
      <c r="A145">
        <v>2016</v>
      </c>
      <c r="C145" t="s">
        <v>68</v>
      </c>
      <c r="D145">
        <v>645941</v>
      </c>
      <c r="E145">
        <v>59165</v>
      </c>
      <c r="F145">
        <v>705106</v>
      </c>
      <c r="G145" cm="1">
        <f t="array" ref="G145">_xlfn.IFS(A145=$E$640,F145/$F$640,A145=$E$641,F145/$F$641,A145=$E$641,F145/$F$641,A145=$E$642,F145/$F$642,A145=$E$643,F145/$F$643,A145=$E$644,F145/$F$644,A145=$E$645,F145/$F$645,A145=$E$646,F145/$F$646,A145=$E$647,F145/$F$647)</f>
        <v>2.1065503268844741E-2</v>
      </c>
      <c r="H145" cm="1">
        <f t="array" ref="H145">_xlfn.IFS(A145=$P$24,G145*$Q$24,A145=$P$25,G145*$Q$25,A145=$P$26,G145*$Q$26,A145=$P$27,G145*$Q$27,A145=$P$28,G145*$Q$28,A145=$P$29,G145*$Q$29,A145=$P$30,G145*$Q$30,A145=$P$31,G145*$Q$31)</f>
        <v>8209709.6558587505</v>
      </c>
      <c r="I145">
        <f t="shared" si="6"/>
        <v>8268874.6558587505</v>
      </c>
      <c r="J145" s="1">
        <f t="shared" si="7"/>
        <v>8914815.6558587514</v>
      </c>
    </row>
    <row r="146" spans="1:10" x14ac:dyDescent="0.2">
      <c r="A146">
        <v>2016</v>
      </c>
      <c r="C146" t="s">
        <v>69</v>
      </c>
      <c r="D146">
        <v>121518</v>
      </c>
      <c r="E146">
        <v>11131</v>
      </c>
      <c r="F146">
        <v>132649</v>
      </c>
      <c r="G146" cm="1">
        <f t="array" ref="G146">_xlfn.IFS(A146=$E$640,F146/$F$640,A146=$E$641,F146/$F$641,A146=$E$641,F146/$F$641,A146=$E$642,F146/$F$642,A146=$E$643,F146/$F$643,A146=$E$644,F146/$F$644,A146=$E$645,F146/$F$645,A146=$E$646,F146/$F$646,A146=$E$647,F146/$F$647)</f>
        <v>3.9629756988438418E-3</v>
      </c>
      <c r="H146" cm="1">
        <f t="array" ref="H146">_xlfn.IFS(A146=$P$24,G146*$Q$24,A146=$P$25,G146*$Q$25,A146=$P$26,G146*$Q$26,A146=$P$27,G146*$Q$27,A146=$P$28,G146*$Q$28,A146=$P$29,G146*$Q$29,A146=$P$30,G146*$Q$30,A146=$P$31,G146*$Q$31)</f>
        <v>1544462.5008722197</v>
      </c>
      <c r="I146">
        <f t="shared" si="6"/>
        <v>1555593.5008722197</v>
      </c>
      <c r="J146" s="1">
        <f t="shared" si="7"/>
        <v>1677111.5008722197</v>
      </c>
    </row>
    <row r="147" spans="1:10" x14ac:dyDescent="0.2">
      <c r="A147">
        <v>2016</v>
      </c>
      <c r="C147" t="s">
        <v>70</v>
      </c>
      <c r="D147">
        <v>1197265</v>
      </c>
      <c r="E147">
        <v>109663</v>
      </c>
      <c r="F147">
        <v>1306928</v>
      </c>
      <c r="G147" cm="1">
        <f t="array" ref="G147">_xlfn.IFS(A147=$E$640,F147/$F$640,A147=$E$641,F147/$F$641,A147=$E$641,F147/$F$641,A147=$E$642,F147/$F$642,A147=$E$643,F147/$F$643,A147=$E$644,F147/$F$644,A147=$E$645,F147/$F$645,A147=$E$646,F147/$F$646,A147=$E$647,F147/$F$647)</f>
        <v>3.9045329434361245E-2</v>
      </c>
      <c r="H147" cm="1">
        <f t="array" ref="H147">_xlfn.IFS(A147=$P$24,G147*$Q$24,A147=$P$25,G147*$Q$25,A147=$P$26,G147*$Q$26,A147=$P$27,G147*$Q$27,A147=$P$28,G147*$Q$28,A147=$P$29,G147*$Q$29,A147=$P$30,G147*$Q$30,A147=$P$31,G147*$Q$31)</f>
        <v>15216860.189974507</v>
      </c>
      <c r="I147">
        <f t="shared" si="6"/>
        <v>15326523.189974507</v>
      </c>
      <c r="J147" s="1">
        <f t="shared" si="7"/>
        <v>16523788.189974507</v>
      </c>
    </row>
    <row r="148" spans="1:10" x14ac:dyDescent="0.2">
      <c r="A148">
        <v>2016</v>
      </c>
      <c r="C148" t="s">
        <v>71</v>
      </c>
      <c r="D148">
        <v>72057</v>
      </c>
      <c r="E148">
        <v>6600</v>
      </c>
      <c r="F148">
        <v>78657</v>
      </c>
      <c r="G148" cm="1">
        <f t="array" ref="G148">_xlfn.IFS(A148=$E$640,F148/$F$640,A148=$E$641,F148/$F$641,A148=$E$641,F148/$F$641,A148=$E$642,F148/$F$642,A148=$E$643,F148/$F$643,A148=$E$644,F148/$F$644,A148=$E$645,F148/$F$645,A148=$E$646,F148/$F$646,A148=$E$647,F148/$F$647)</f>
        <v>2.3499293590148445E-3</v>
      </c>
      <c r="H148" cm="1">
        <f t="array" ref="H148">_xlfn.IFS(A148=$P$24,G148*$Q$24,A148=$P$25,G148*$Q$25,A148=$P$26,G148*$Q$26,A148=$P$27,G148*$Q$27,A148=$P$28,G148*$Q$28,A148=$P$29,G148*$Q$29,A148=$P$30,G148*$Q$30,A148=$P$31,G148*$Q$31)</f>
        <v>915821.35508828715</v>
      </c>
      <c r="I148">
        <f t="shared" si="6"/>
        <v>922421.35508828715</v>
      </c>
      <c r="J148" s="1">
        <f t="shared" si="7"/>
        <v>994478.35508828715</v>
      </c>
    </row>
    <row r="149" spans="1:10" x14ac:dyDescent="0.2">
      <c r="A149">
        <v>2016</v>
      </c>
      <c r="C149" t="s">
        <v>72</v>
      </c>
      <c r="D149">
        <v>34801</v>
      </c>
      <c r="E149">
        <v>3188</v>
      </c>
      <c r="F149">
        <v>37989</v>
      </c>
      <c r="G149" cm="1">
        <f t="array" ref="G149">_xlfn.IFS(A149=$E$640,F149/$F$640,A149=$E$641,F149/$F$641,A149=$E$641,F149/$F$641,A149=$E$642,F149/$F$642,A149=$E$643,F149/$F$643,A149=$E$644,F149/$F$644,A149=$E$645,F149/$F$645,A149=$E$646,F149/$F$646,A149=$E$647,F149/$F$647)</f>
        <v>1.1349462402534412E-3</v>
      </c>
      <c r="H149" cm="1">
        <f t="array" ref="H149">_xlfn.IFS(A149=$P$24,G149*$Q$24,A149=$P$25,G149*$Q$25,A149=$P$26,G149*$Q$26,A149=$P$27,G149*$Q$27,A149=$P$28,G149*$Q$28,A149=$P$29,G149*$Q$29,A149=$P$30,G149*$Q$30,A149=$P$31,G149*$Q$31)</f>
        <v>442314.57414405508</v>
      </c>
      <c r="I149">
        <f t="shared" si="6"/>
        <v>445502.57414405508</v>
      </c>
      <c r="J149" s="1">
        <f t="shared" si="7"/>
        <v>480303.57414405508</v>
      </c>
    </row>
    <row r="150" spans="1:10" x14ac:dyDescent="0.2">
      <c r="A150">
        <v>2016</v>
      </c>
      <c r="C150" t="s">
        <v>73</v>
      </c>
      <c r="D150">
        <v>13768</v>
      </c>
      <c r="E150">
        <v>1261</v>
      </c>
      <c r="F150">
        <v>15029</v>
      </c>
      <c r="G150" cm="1">
        <f t="array" ref="G150">_xlfn.IFS(A150=$E$640,F150/$F$640,A150=$E$641,F150/$F$641,A150=$E$641,F150/$F$641,A150=$E$642,F150/$F$642,A150=$E$643,F150/$F$643,A150=$E$644,F150/$F$644,A150=$E$645,F150/$F$645,A150=$E$646,F150/$F$646,A150=$E$647,F150/$F$647)</f>
        <v>4.4900121205530461E-4</v>
      </c>
      <c r="H150" cm="1">
        <f t="array" ref="H150">_xlfn.IFS(A150=$P$24,G150*$Q$24,A150=$P$25,G150*$Q$25,A150=$P$26,G150*$Q$26,A150=$P$27,G150*$Q$27,A150=$P$28,G150*$Q$28,A150=$P$29,G150*$Q$29,A150=$P$30,G150*$Q$30,A150=$P$31,G150*$Q$31)</f>
        <v>174986.06793574462</v>
      </c>
      <c r="I150">
        <f t="shared" si="6"/>
        <v>176247.06793574462</v>
      </c>
      <c r="J150" s="1">
        <f t="shared" si="7"/>
        <v>190015.06793574462</v>
      </c>
    </row>
    <row r="151" spans="1:10" x14ac:dyDescent="0.2">
      <c r="A151">
        <v>2016</v>
      </c>
      <c r="C151" t="s">
        <v>74</v>
      </c>
      <c r="D151">
        <v>10159</v>
      </c>
      <c r="E151">
        <v>930</v>
      </c>
      <c r="F151">
        <v>11089</v>
      </c>
      <c r="G151" cm="1">
        <f t="array" ref="G151">_xlfn.IFS(A151=$E$640,F151/$F$640,A151=$E$641,F151/$F$641,A151=$E$641,F151/$F$641,A151=$E$642,F151/$F$642,A151=$E$643,F151/$F$643,A151=$E$644,F151/$F$644,A151=$E$645,F151/$F$645,A151=$E$646,F151/$F$646,A151=$E$647,F151/$F$647)</f>
        <v>3.3129113317461397E-4</v>
      </c>
      <c r="H151" cm="1">
        <f t="array" ref="H151">_xlfn.IFS(A151=$P$24,G151*$Q$24,A151=$P$25,G151*$Q$25,A151=$P$26,G151*$Q$26,A151=$P$27,G151*$Q$27,A151=$P$28,G151*$Q$28,A151=$P$29,G151*$Q$29,A151=$P$30,G151*$Q$30,A151=$P$31,G151*$Q$31)</f>
        <v>129111.75110383076</v>
      </c>
      <c r="I151">
        <f t="shared" si="6"/>
        <v>130041.75110383076</v>
      </c>
      <c r="J151" s="1">
        <f t="shared" si="7"/>
        <v>140200.75110383076</v>
      </c>
    </row>
    <row r="152" spans="1:10" x14ac:dyDescent="0.2">
      <c r="A152">
        <v>2016</v>
      </c>
      <c r="C152" t="s">
        <v>75</v>
      </c>
      <c r="D152">
        <v>7379</v>
      </c>
      <c r="E152">
        <v>676</v>
      </c>
      <c r="F152">
        <v>8055</v>
      </c>
      <c r="G152" cm="1">
        <f t="array" ref="G152">_xlfn.IFS(A152=$E$640,F152/$F$640,A152=$E$641,F152/$F$641,A152=$E$641,F152/$F$641,A152=$E$642,F152/$F$642,A152=$E$643,F152/$F$643,A152=$E$644,F152/$F$644,A152=$E$645,F152/$F$645,A152=$E$646,F152/$F$646,A152=$E$647,F152/$F$647)</f>
        <v>2.4064839730557447E-4</v>
      </c>
      <c r="H152" cm="1">
        <f t="array" ref="H152">_xlfn.IFS(A152=$P$24,G152*$Q$24,A152=$P$25,G152*$Q$25,A152=$P$26,G152*$Q$26,A152=$P$27,G152*$Q$27,A152=$P$28,G152*$Q$28,A152=$P$29,G152*$Q$29,A152=$P$30,G152*$Q$30,A152=$P$31,G152*$Q$31)</f>
        <v>93786.198497732592</v>
      </c>
      <c r="I152">
        <f t="shared" si="6"/>
        <v>94462.198497732592</v>
      </c>
      <c r="J152" s="1">
        <f t="shared" si="7"/>
        <v>101841.19849773259</v>
      </c>
    </row>
    <row r="153" spans="1:10" x14ac:dyDescent="0.2">
      <c r="A153">
        <v>2016</v>
      </c>
      <c r="C153" t="s">
        <v>76</v>
      </c>
      <c r="D153">
        <v>17184</v>
      </c>
      <c r="E153">
        <v>1574</v>
      </c>
      <c r="F153">
        <v>18758</v>
      </c>
      <c r="G153" cm="1">
        <f t="array" ref="G153">_xlfn.IFS(A153=$E$640,F153/$F$640,A153=$E$641,F153/$F$641,A153=$E$641,F153/$F$641,A153=$E$642,F153/$F$642,A153=$E$643,F153/$F$643,A153=$E$644,F153/$F$644,A153=$E$645,F153/$F$645,A153=$E$646,F153/$F$646,A153=$E$647,F153/$F$647)</f>
        <v>5.6040752782842535E-4</v>
      </c>
      <c r="H153" cm="1">
        <f t="array" ref="H153">_xlfn.IFS(A153=$P$24,G153*$Q$24,A153=$P$25,G153*$Q$25,A153=$P$26,G153*$Q$26,A153=$P$27,G153*$Q$27,A153=$P$28,G153*$Q$28,A153=$P$29,G153*$Q$29,A153=$P$30,G153*$Q$30,A153=$P$31,G153*$Q$31)</f>
        <v>218403.66373935048</v>
      </c>
      <c r="I153">
        <f t="shared" si="6"/>
        <v>219977.66373935048</v>
      </c>
      <c r="J153" s="1">
        <f t="shared" si="7"/>
        <v>237161.66373935048</v>
      </c>
    </row>
    <row r="154" spans="1:10" x14ac:dyDescent="0.2">
      <c r="A154">
        <v>2016</v>
      </c>
      <c r="C154" t="s">
        <v>77</v>
      </c>
      <c r="D154">
        <v>37051</v>
      </c>
      <c r="E154">
        <v>3394</v>
      </c>
      <c r="F154">
        <v>40445</v>
      </c>
      <c r="G154" cm="1">
        <f t="array" ref="G154">_xlfn.IFS(A154=$E$640,F154/$F$640,A154=$E$641,F154/$F$641,A154=$E$641,F154/$F$641,A154=$E$642,F154/$F$642,A154=$E$643,F154/$F$643,A154=$E$644,F154/$F$644,A154=$E$645,F154/$F$645,A154=$E$646,F154/$F$646,A154=$E$647,F154/$F$647)</f>
        <v>1.2083208477993742E-3</v>
      </c>
      <c r="H154" cm="1">
        <f t="array" ref="H154">_xlfn.IFS(A154=$P$24,G154*$Q$24,A154=$P$25,G154*$Q$25,A154=$P$26,G154*$Q$26,A154=$P$27,G154*$Q$27,A154=$P$28,G154*$Q$28,A154=$P$29,G154*$Q$29,A154=$P$30,G154*$Q$30,A154=$P$31,G154*$Q$31)</f>
        <v>470910.34118445619</v>
      </c>
      <c r="I154">
        <f t="shared" si="6"/>
        <v>474304.34118445619</v>
      </c>
      <c r="J154" s="1">
        <f t="shared" si="7"/>
        <v>511355.34118445619</v>
      </c>
    </row>
    <row r="155" spans="1:10" x14ac:dyDescent="0.2">
      <c r="A155">
        <v>2016</v>
      </c>
      <c r="C155" t="s">
        <v>78</v>
      </c>
      <c r="D155">
        <v>18316</v>
      </c>
      <c r="E155">
        <v>1677</v>
      </c>
      <c r="F155">
        <v>19993</v>
      </c>
      <c r="G155" cm="1">
        <f t="array" ref="G155">_xlfn.IFS(A155=$E$640,F155/$F$640,A155=$E$641,F155/$F$641,A155=$E$641,F155/$F$641,A155=$E$642,F155/$F$642,A155=$E$643,F155/$F$643,A155=$E$644,F155/$F$644,A155=$E$645,F155/$F$645,A155=$E$646,F155/$F$646,A155=$E$647,F155/$F$647)</f>
        <v>5.9730396118315952E-4</v>
      </c>
      <c r="H155" cm="1">
        <f t="array" ref="H155">_xlfn.IFS(A155=$P$24,G155*$Q$24,A155=$P$25,G155*$Q$25,A155=$P$26,G155*$Q$26,A155=$P$27,G155*$Q$27,A155=$P$28,G155*$Q$28,A155=$P$29,G155*$Q$29,A155=$P$30,G155*$Q$30,A155=$P$31,G155*$Q$31)</f>
        <v>232783.04985290719</v>
      </c>
      <c r="I155">
        <f t="shared" si="6"/>
        <v>234460.04985290719</v>
      </c>
      <c r="J155" s="1">
        <f t="shared" si="7"/>
        <v>252776.04985290719</v>
      </c>
    </row>
    <row r="156" spans="1:10" x14ac:dyDescent="0.2">
      <c r="A156">
        <v>2016</v>
      </c>
      <c r="C156" t="s">
        <v>79</v>
      </c>
      <c r="D156">
        <v>10641</v>
      </c>
      <c r="E156">
        <v>975</v>
      </c>
      <c r="F156">
        <v>11616</v>
      </c>
      <c r="G156" cm="1">
        <f t="array" ref="G156">_xlfn.IFS(A156=$E$640,F156/$F$640,A156=$E$641,F156/$F$641,A156=$E$641,F156/$F$641,A156=$E$642,F156/$F$642,A156=$E$643,F156/$F$643,A156=$E$644,F156/$F$644,A156=$E$645,F156/$F$645,A156=$E$646,F156/$F$646,A156=$E$647,F156/$F$647)</f>
        <v>3.4703560311626975E-4</v>
      </c>
      <c r="H156" cm="1">
        <f t="array" ref="H156">_xlfn.IFS(A156=$P$24,G156*$Q$24,A156=$P$25,G156*$Q$25,A156=$P$26,G156*$Q$26,A156=$P$27,G156*$Q$27,A156=$P$28,G156*$Q$28,A156=$P$29,G156*$Q$29,A156=$P$30,G156*$Q$30,A156=$P$31,G156*$Q$31)</f>
        <v>135247.73206078977</v>
      </c>
      <c r="I156">
        <f t="shared" si="6"/>
        <v>136222.73206078977</v>
      </c>
      <c r="J156" s="1">
        <f t="shared" si="7"/>
        <v>146863.73206078977</v>
      </c>
    </row>
    <row r="157" spans="1:10" x14ac:dyDescent="0.2">
      <c r="A157">
        <v>2016</v>
      </c>
      <c r="C157" t="s">
        <v>80</v>
      </c>
      <c r="D157">
        <v>2377786</v>
      </c>
      <c r="E157">
        <v>217793</v>
      </c>
      <c r="F157">
        <v>2595579</v>
      </c>
      <c r="G157" cm="1">
        <f t="array" ref="G157">_xlfn.IFS(A157=$E$640,F157/$F$640,A157=$E$641,F157/$F$641,A157=$E$641,F157/$F$641,A157=$E$642,F157/$F$642,A157=$E$643,F157/$F$643,A157=$E$644,F157/$F$644,A157=$E$645,F157/$F$645,A157=$E$646,F157/$F$646,A157=$E$647,F157/$F$647)</f>
        <v>7.7544621530726957E-2</v>
      </c>
      <c r="H157" cm="1">
        <f t="array" ref="H157">_xlfn.IFS(A157=$P$24,G157*$Q$24,A157=$P$25,G157*$Q$25,A157=$P$26,G157*$Q$26,A157=$P$27,G157*$Q$27,A157=$P$28,G157*$Q$28,A157=$P$29,G157*$Q$29,A157=$P$30,G157*$Q$30,A157=$P$31,G157*$Q$31)</f>
        <v>30220917.108695995</v>
      </c>
      <c r="I157">
        <f t="shared" si="6"/>
        <v>30438710.108695995</v>
      </c>
      <c r="J157" s="1">
        <f t="shared" si="7"/>
        <v>32816496.108695995</v>
      </c>
    </row>
    <row r="158" spans="1:10" x14ac:dyDescent="0.2">
      <c r="A158">
        <v>2016</v>
      </c>
      <c r="C158" t="s">
        <v>81</v>
      </c>
      <c r="D158">
        <v>60861</v>
      </c>
      <c r="E158">
        <v>5575</v>
      </c>
      <c r="F158">
        <v>66436</v>
      </c>
      <c r="G158" cm="1">
        <f t="array" ref="G158">_xlfn.IFS(A158=$E$640,F158/$F$640,A158=$E$641,F158/$F$641,A158=$E$641,F158/$F$641,A158=$E$642,F158/$F$642,A158=$E$643,F158/$F$643,A158=$E$644,F158/$F$644,A158=$E$645,F158/$F$645,A158=$E$646,F158/$F$646,A158=$E$647,F158/$F$647)</f>
        <v>1.9848189849029354E-3</v>
      </c>
      <c r="H158" cm="1">
        <f t="array" ref="H158">_xlfn.IFS(A158=$P$24,G158*$Q$24,A158=$P$25,G158*$Q$25,A158=$P$26,G158*$Q$26,A158=$P$27,G158*$Q$27,A158=$P$28,G158*$Q$28,A158=$P$29,G158*$Q$29,A158=$P$30,G158*$Q$30,A158=$P$31,G158*$Q$31)</f>
        <v>773529.47031599772</v>
      </c>
      <c r="I158">
        <f t="shared" si="6"/>
        <v>779104.47031599772</v>
      </c>
      <c r="J158" s="1">
        <f t="shared" si="7"/>
        <v>839965.47031599772</v>
      </c>
    </row>
    <row r="159" spans="1:10" x14ac:dyDescent="0.2">
      <c r="A159">
        <v>2016</v>
      </c>
      <c r="C159" t="s">
        <v>82</v>
      </c>
      <c r="D159">
        <v>46478</v>
      </c>
      <c r="E159">
        <v>4257</v>
      </c>
      <c r="F159">
        <v>50735</v>
      </c>
      <c r="G159" cm="1">
        <f t="array" ref="G159">_xlfn.IFS(A159=$E$640,F159/$F$640,A159=$E$641,F159/$F$641,A159=$E$641,F159/$F$641,A159=$E$642,F159/$F$642,A159=$E$643,F159/$F$643,A159=$E$644,F159/$F$644,A159=$E$645,F159/$F$645,A159=$E$646,F159/$F$646,A159=$E$647,F159/$F$647)</f>
        <v>1.5157413329979293E-3</v>
      </c>
      <c r="H159" cm="1">
        <f t="array" ref="H159">_xlfn.IFS(A159=$P$24,G159*$Q$24,A159=$P$25,G159*$Q$25,A159=$P$26,G159*$Q$26,A159=$P$27,G159*$Q$27,A159=$P$28,G159*$Q$28,A159=$P$29,G159*$Q$29,A159=$P$30,G159*$Q$30,A159=$P$31,G159*$Q$31)</f>
        <v>590719.15341805865</v>
      </c>
      <c r="I159">
        <f t="shared" si="6"/>
        <v>594976.15341805865</v>
      </c>
      <c r="J159" s="1">
        <f t="shared" si="7"/>
        <v>641454.15341805865</v>
      </c>
    </row>
    <row r="160" spans="1:10" x14ac:dyDescent="0.2">
      <c r="A160">
        <v>2017</v>
      </c>
      <c r="C160" t="s">
        <v>0</v>
      </c>
      <c r="D160">
        <v>67090</v>
      </c>
      <c r="E160">
        <v>6073</v>
      </c>
      <c r="F160">
        <v>73163</v>
      </c>
      <c r="G160" cm="1">
        <f t="array" ref="G160">_xlfn.IFS(A160=$E$640,F160/$F$640,A160=$E$641,F160/$F$641,A160=$E$641,F160/$F$641,A160=$E$642,F160/$F$642,A160=$E$643,F160/$F$643,A160=$E$644,F160/$F$644,A160=$E$645,F160/$F$645,A160=$E$646,F160/$F$646,A160=$E$647,F160/$F$647)</f>
        <v>2.2687252550552266E-3</v>
      </c>
      <c r="H160" cm="1">
        <f t="array" ref="H160">_xlfn.IFS(A160=$P$24,G160*$Q$24,A160=$P$25,G160*$Q$25,A160=$P$26,G160*$Q$26,A160=$P$27,G160*$Q$27,A160=$P$28,G160*$Q$28,A160=$P$29,G160*$Q$29,A160=$P$30,G160*$Q$30,A160=$P$31,G160*$Q$31)</f>
        <v>951046.21021891688</v>
      </c>
      <c r="I160">
        <f t="shared" si="6"/>
        <v>957119.21021891688</v>
      </c>
      <c r="J160" s="1">
        <f t="shared" si="7"/>
        <v>1024209.2102189169</v>
      </c>
    </row>
    <row r="161" spans="1:10" x14ac:dyDescent="0.2">
      <c r="A161">
        <v>2017</v>
      </c>
      <c r="C161" t="s">
        <v>1</v>
      </c>
      <c r="D161">
        <v>1840504</v>
      </c>
      <c r="E161">
        <v>166593</v>
      </c>
      <c r="F161">
        <v>2007097</v>
      </c>
      <c r="G161" cm="1">
        <f t="array" ref="G161">_xlfn.IFS(A161=$E$640,F161/$F$640,A161=$E$641,F161/$F$641,A161=$E$641,F161/$F$641,A161=$E$642,F161/$F$642,A161=$E$643,F161/$F$643,A161=$E$644,F161/$F$644,A161=$E$645,F161/$F$645,A161=$E$646,F161/$F$646,A161=$E$647,F161/$F$647)</f>
        <v>6.2238449123813676E-2</v>
      </c>
      <c r="H161" cm="1">
        <f t="array" ref="H161">_xlfn.IFS(A161=$P$24,G161*$Q$24,A161=$P$25,G161*$Q$25,A161=$P$26,G161*$Q$26,A161=$P$27,G161*$Q$27,A161=$P$28,G161*$Q$28,A161=$P$29,G161*$Q$29,A161=$P$30,G161*$Q$30,A161=$P$31,G161*$Q$31)</f>
        <v>26090264.141598314</v>
      </c>
      <c r="I161">
        <f t="shared" si="6"/>
        <v>26256857.141598314</v>
      </c>
      <c r="J161" s="1">
        <f t="shared" si="7"/>
        <v>28097361.141598314</v>
      </c>
    </row>
    <row r="162" spans="1:10" x14ac:dyDescent="0.2">
      <c r="A162">
        <v>2017</v>
      </c>
      <c r="C162" t="s">
        <v>2</v>
      </c>
      <c r="D162">
        <v>123940</v>
      </c>
      <c r="E162">
        <v>11218</v>
      </c>
      <c r="F162">
        <v>135158</v>
      </c>
      <c r="G162" cm="1">
        <f t="array" ref="G162">_xlfn.IFS(A162=$E$640,F162/$F$640,A162=$E$641,F162/$F$641,A162=$E$641,F162/$F$641,A162=$E$642,F162/$F$642,A162=$E$643,F162/$F$643,A162=$E$644,F162/$F$644,A162=$E$645,F162/$F$645,A162=$E$646,F162/$F$646,A162=$E$647,F162/$F$647)</f>
        <v>4.1911398934263806E-3</v>
      </c>
      <c r="H162" cm="1">
        <f t="array" ref="H162">_xlfn.IFS(A162=$P$24,G162*$Q$24,A162=$P$25,G162*$Q$25,A162=$P$26,G162*$Q$26,A162=$P$27,G162*$Q$27,A162=$P$28,G162*$Q$28,A162=$P$29,G162*$Q$29,A162=$P$30,G162*$Q$30,A162=$P$31,G162*$Q$31)</f>
        <v>1756919.5314676592</v>
      </c>
      <c r="I162">
        <f t="shared" si="6"/>
        <v>1768137.5314676592</v>
      </c>
      <c r="J162" s="1">
        <f t="shared" si="7"/>
        <v>1892077.5314676592</v>
      </c>
    </row>
    <row r="163" spans="1:10" x14ac:dyDescent="0.2">
      <c r="A163">
        <v>2017</v>
      </c>
      <c r="C163" t="s">
        <v>3</v>
      </c>
      <c r="D163">
        <v>54535</v>
      </c>
      <c r="E163">
        <v>4936</v>
      </c>
      <c r="F163">
        <v>59471</v>
      </c>
      <c r="G163" cm="1">
        <f t="array" ref="G163">_xlfn.IFS(A163=$E$640,F163/$F$640,A163=$E$641,F163/$F$641,A163=$E$641,F163/$F$641,A163=$E$642,F163/$F$642,A163=$E$643,F163/$F$643,A163=$E$644,F163/$F$644,A163=$E$645,F163/$F$645,A163=$E$646,F163/$F$646,A163=$E$647,F163/$F$647)</f>
        <v>1.8441474467065233E-3</v>
      </c>
      <c r="H163" cm="1">
        <f t="array" ref="H163">_xlfn.IFS(A163=$P$24,G163*$Q$24,A163=$P$25,G163*$Q$25,A163=$P$26,G163*$Q$26,A163=$P$27,G163*$Q$27,A163=$P$28,G163*$Q$28,A163=$P$29,G163*$Q$29,A163=$P$30,G163*$Q$30,A163=$P$31,G163*$Q$31)</f>
        <v>773063.83237331978</v>
      </c>
      <c r="I163">
        <f t="shared" si="6"/>
        <v>777999.83237331978</v>
      </c>
      <c r="J163" s="1">
        <f t="shared" si="7"/>
        <v>832534.83237331978</v>
      </c>
    </row>
    <row r="164" spans="1:10" x14ac:dyDescent="0.2">
      <c r="A164">
        <v>2017</v>
      </c>
      <c r="C164" t="s">
        <v>4</v>
      </c>
      <c r="D164">
        <v>354720</v>
      </c>
      <c r="E164">
        <v>32107</v>
      </c>
      <c r="F164">
        <v>386827</v>
      </c>
      <c r="G164" cm="1">
        <f t="array" ref="G164">_xlfn.IFS(A164=$E$640,F164/$F$640,A164=$E$641,F164/$F$641,A164=$E$641,F164/$F$641,A164=$E$642,F164/$F$642,A164=$E$643,F164/$F$643,A164=$E$644,F164/$F$644,A164=$E$645,F164/$F$645,A164=$E$646,F164/$F$646,A164=$E$647,F164/$F$647)</f>
        <v>1.1995191343127648E-2</v>
      </c>
      <c r="H164" cm="1">
        <f t="array" ref="H164">_xlfn.IFS(A164=$P$24,G164*$Q$24,A164=$P$25,G164*$Q$25,A164=$P$26,G164*$Q$26,A164=$P$27,G164*$Q$27,A164=$P$28,G164*$Q$28,A164=$P$29,G164*$Q$29,A164=$P$30,G164*$Q$30,A164=$P$31,G164*$Q$31)</f>
        <v>5028366.1462809471</v>
      </c>
      <c r="I164">
        <f t="shared" si="6"/>
        <v>5060473.1462809471</v>
      </c>
      <c r="J164" s="1">
        <f t="shared" si="7"/>
        <v>5415193.1462809471</v>
      </c>
    </row>
    <row r="165" spans="1:10" x14ac:dyDescent="0.2">
      <c r="A165">
        <v>2017</v>
      </c>
      <c r="C165" t="s">
        <v>5</v>
      </c>
      <c r="D165">
        <v>1122296</v>
      </c>
      <c r="E165">
        <v>101585</v>
      </c>
      <c r="F165">
        <v>1223881</v>
      </c>
      <c r="G165" cm="1">
        <f t="array" ref="G165">_xlfn.IFS(A165=$E$640,F165/$F$640,A165=$E$641,F165/$F$641,A165=$E$641,F165/$F$641,A165=$E$642,F165/$F$642,A165=$E$643,F165/$F$643,A165=$E$644,F165/$F$644,A165=$E$645,F165/$F$645,A165=$E$646,F165/$F$646,A165=$E$647,F165/$F$647)</f>
        <v>3.7951556577535718E-2</v>
      </c>
      <c r="H165" cm="1">
        <f t="array" ref="H165">_xlfn.IFS(A165=$P$24,G165*$Q$24,A165=$P$25,G165*$Q$25,A165=$P$26,G165*$Q$26,A165=$P$27,G165*$Q$27,A165=$P$28,G165*$Q$28,A165=$P$29,G165*$Q$29,A165=$P$30,G165*$Q$30,A165=$P$31,G165*$Q$31)</f>
        <v>15909235.362258768</v>
      </c>
      <c r="I165">
        <f t="shared" si="6"/>
        <v>16010820.362258768</v>
      </c>
      <c r="J165" s="1">
        <f t="shared" si="7"/>
        <v>17133116.36225877</v>
      </c>
    </row>
    <row r="166" spans="1:10" x14ac:dyDescent="0.2">
      <c r="A166">
        <v>2017</v>
      </c>
      <c r="C166" t="s">
        <v>6</v>
      </c>
      <c r="D166">
        <v>48766</v>
      </c>
      <c r="E166">
        <v>4414</v>
      </c>
      <c r="F166">
        <v>53180</v>
      </c>
      <c r="G166" cm="1">
        <f t="array" ref="G166">_xlfn.IFS(A166=$E$640,F166/$F$640,A166=$E$641,F166/$F$641,A166=$E$641,F166/$F$641,A166=$E$642,F166/$F$642,A166=$E$643,F166/$F$643,A166=$E$644,F166/$F$644,A166=$E$645,F166/$F$645,A166=$E$646,F166/$F$646,A166=$E$647,F166/$F$647)</f>
        <v>1.6490686421256229E-3</v>
      </c>
      <c r="H166" cm="1">
        <f t="array" ref="H166">_xlfn.IFS(A166=$P$24,G166*$Q$24,A166=$P$25,G166*$Q$25,A166=$P$26,G166*$Q$26,A166=$P$27,G166*$Q$27,A166=$P$28,G166*$Q$28,A166=$P$29,G166*$Q$29,A166=$P$30,G166*$Q$30,A166=$P$31,G166*$Q$31)</f>
        <v>691287.09128168609</v>
      </c>
      <c r="I166">
        <f t="shared" si="6"/>
        <v>695701.09128168609</v>
      </c>
      <c r="J166" s="1">
        <f t="shared" si="7"/>
        <v>744467.09128168609</v>
      </c>
    </row>
    <row r="167" spans="1:10" x14ac:dyDescent="0.2">
      <c r="A167">
        <v>2017</v>
      </c>
      <c r="C167" t="s">
        <v>7</v>
      </c>
      <c r="D167">
        <v>130511</v>
      </c>
      <c r="E167">
        <v>11813</v>
      </c>
      <c r="F167">
        <v>142324</v>
      </c>
      <c r="G167" cm="1">
        <f t="array" ref="G167">_xlfn.IFS(A167=$E$640,F167/$F$640,A167=$E$641,F167/$F$641,A167=$E$641,F167/$F$641,A167=$E$642,F167/$F$642,A167=$E$643,F167/$F$643,A167=$E$644,F167/$F$644,A167=$E$645,F167/$F$645,A167=$E$646,F167/$F$646,A167=$E$647,F167/$F$647)</f>
        <v>4.4133517379068661E-3</v>
      </c>
      <c r="H167" cm="1">
        <f t="array" ref="H167">_xlfn.IFS(A167=$P$24,G167*$Q$24,A167=$P$25,G167*$Q$25,A167=$P$26,G167*$Q$26,A167=$P$27,G167*$Q$27,A167=$P$28,G167*$Q$28,A167=$P$29,G167*$Q$29,A167=$P$30,G167*$Q$30,A167=$P$31,G167*$Q$31)</f>
        <v>1850070.4020228409</v>
      </c>
      <c r="I167">
        <f t="shared" si="6"/>
        <v>1861883.4020228409</v>
      </c>
      <c r="J167" s="1">
        <f t="shared" si="7"/>
        <v>1992394.4020228409</v>
      </c>
    </row>
    <row r="168" spans="1:10" x14ac:dyDescent="0.2">
      <c r="A168">
        <v>2017</v>
      </c>
      <c r="C168" t="s">
        <v>8</v>
      </c>
      <c r="D168">
        <v>256555</v>
      </c>
      <c r="E168">
        <v>23222</v>
      </c>
      <c r="F168">
        <v>279777</v>
      </c>
      <c r="G168" cm="1">
        <f t="array" ref="G168">_xlfn.IFS(A168=$E$640,F168/$F$640,A168=$E$641,F168/$F$641,A168=$E$641,F168/$F$641,A168=$E$642,F168/$F$642,A168=$E$643,F168/$F$643,A168=$E$644,F168/$F$644,A168=$E$645,F168/$F$645,A168=$E$646,F168/$F$646,A168=$E$647,F168/$F$647)</f>
        <v>8.6756577188413005E-3</v>
      </c>
      <c r="H168" cm="1">
        <f t="array" ref="H168">_xlfn.IFS(A168=$P$24,G168*$Q$24,A168=$P$25,G168*$Q$25,A168=$P$26,G168*$Q$26,A168=$P$27,G168*$Q$27,A168=$P$28,G168*$Q$28,A168=$P$29,G168*$Q$29,A168=$P$30,G168*$Q$30,A168=$P$31,G168*$Q$31)</f>
        <v>3636822.6501977486</v>
      </c>
      <c r="I168">
        <f t="shared" si="6"/>
        <v>3660044.6501977486</v>
      </c>
      <c r="J168" s="1">
        <f t="shared" si="7"/>
        <v>3916599.6501977486</v>
      </c>
    </row>
    <row r="169" spans="1:10" x14ac:dyDescent="0.2">
      <c r="A169">
        <v>2017</v>
      </c>
      <c r="C169" t="s">
        <v>9</v>
      </c>
      <c r="D169">
        <v>467565</v>
      </c>
      <c r="E169">
        <v>42322</v>
      </c>
      <c r="F169">
        <v>509887</v>
      </c>
      <c r="G169" cm="1">
        <f t="array" ref="G169">_xlfn.IFS(A169=$E$640,F169/$F$640,A169=$E$641,F169/$F$641,A169=$E$641,F169/$F$641,A169=$E$642,F169/$F$642,A169=$E$643,F169/$F$643,A169=$E$644,F169/$F$644,A169=$E$645,F169/$F$645,A169=$E$646,F169/$F$646,A169=$E$647,F169/$F$647)</f>
        <v>1.5811182074605256E-2</v>
      </c>
      <c r="H169" cm="1">
        <f t="array" ref="H169">_xlfn.IFS(A169=$P$24,G169*$Q$24,A169=$P$25,G169*$Q$25,A169=$P$26,G169*$Q$26,A169=$P$27,G169*$Q$27,A169=$P$28,G169*$Q$28,A169=$P$29,G169*$Q$29,A169=$P$30,G169*$Q$30,A169=$P$31,G169*$Q$31)</f>
        <v>6628023.7140343189</v>
      </c>
      <c r="I169">
        <f t="shared" si="6"/>
        <v>6670345.7140343189</v>
      </c>
      <c r="J169" s="1">
        <f t="shared" si="7"/>
        <v>7137910.7140343189</v>
      </c>
    </row>
    <row r="170" spans="1:10" x14ac:dyDescent="0.2">
      <c r="A170">
        <v>2017</v>
      </c>
      <c r="C170" t="s">
        <v>10</v>
      </c>
      <c r="D170">
        <v>50848</v>
      </c>
      <c r="E170">
        <v>4603</v>
      </c>
      <c r="F170">
        <v>55451</v>
      </c>
      <c r="G170" cm="1">
        <f t="array" ref="G170">_xlfn.IFS(A170=$E$640,F170/$F$640,A170=$E$641,F170/$F$641,A170=$E$641,F170/$F$641,A170=$E$642,F170/$F$642,A170=$E$643,F170/$F$643,A170=$E$644,F170/$F$644,A170=$E$645,F170/$F$645,A170=$E$646,F170/$F$646,A170=$E$647,F170/$F$647)</f>
        <v>1.7194905091107166E-3</v>
      </c>
      <c r="H170" cm="1">
        <f t="array" ref="H170">_xlfn.IFS(A170=$P$24,G170*$Q$24,A170=$P$25,G170*$Q$25,A170=$P$26,G170*$Q$26,A170=$P$27,G170*$Q$27,A170=$P$28,G170*$Q$28,A170=$P$29,G170*$Q$29,A170=$P$30,G170*$Q$30,A170=$P$31,G170*$Q$31)</f>
        <v>720807.83186650567</v>
      </c>
      <c r="I170">
        <f t="shared" si="6"/>
        <v>725410.83186650567</v>
      </c>
      <c r="J170" s="1">
        <f t="shared" si="7"/>
        <v>776258.83186650567</v>
      </c>
    </row>
    <row r="171" spans="1:10" x14ac:dyDescent="0.2">
      <c r="A171">
        <v>2017</v>
      </c>
      <c r="C171" t="s">
        <v>11</v>
      </c>
      <c r="D171">
        <v>49858</v>
      </c>
      <c r="E171">
        <v>4513</v>
      </c>
      <c r="F171">
        <v>54371</v>
      </c>
      <c r="G171" cm="1">
        <f t="array" ref="G171">_xlfn.IFS(A171=$E$640,F171/$F$640,A171=$E$641,F171/$F$641,A171=$E$641,F171/$F$641,A171=$E$642,F171/$F$642,A171=$E$643,F171/$F$643,A171=$E$644,F171/$F$644,A171=$E$645,F171/$F$645,A171=$E$646,F171/$F$646,A171=$E$647,F171/$F$647)</f>
        <v>1.6860005855775149E-3</v>
      </c>
      <c r="H171" cm="1">
        <f t="array" ref="H171">_xlfn.IFS(A171=$P$24,G171*$Q$24,A171=$P$25,G171*$Q$25,A171=$P$26,G171*$Q$26,A171=$P$27,G171*$Q$27,A171=$P$28,G171*$Q$28,A171=$P$29,G171*$Q$29,A171=$P$30,G171*$Q$30,A171=$P$31,G171*$Q$31)</f>
        <v>706768.90635721234</v>
      </c>
      <c r="I171">
        <f t="shared" si="6"/>
        <v>711281.90635721234</v>
      </c>
      <c r="J171" s="1">
        <f t="shared" si="7"/>
        <v>761139.90635721234</v>
      </c>
    </row>
    <row r="172" spans="1:10" x14ac:dyDescent="0.2">
      <c r="A172">
        <v>2017</v>
      </c>
      <c r="C172" t="s">
        <v>12</v>
      </c>
      <c r="D172">
        <v>403596</v>
      </c>
      <c r="E172">
        <v>36532</v>
      </c>
      <c r="F172">
        <v>440128</v>
      </c>
      <c r="G172" cm="1">
        <f t="array" ref="G172">_xlfn.IFS(A172=$E$640,F172/$F$640,A172=$E$641,F172/$F$641,A172=$E$641,F172/$F$641,A172=$E$642,F172/$F$642,A172=$E$643,F172/$F$643,A172=$E$644,F172/$F$644,A172=$E$645,F172/$F$645,A172=$E$646,F172/$F$646,A172=$E$647,F172/$F$647)</f>
        <v>1.3648012097056527E-2</v>
      </c>
      <c r="H172" cm="1">
        <f t="array" ref="H172">_xlfn.IFS(A172=$P$24,G172*$Q$24,A172=$P$25,G172*$Q$25,A172=$P$26,G172*$Q$26,A172=$P$27,G172*$Q$27,A172=$P$28,G172*$Q$28,A172=$P$29,G172*$Q$29,A172=$P$30,G172*$Q$30,A172=$P$31,G172*$Q$31)</f>
        <v>5721226.1171798781</v>
      </c>
      <c r="I172">
        <f t="shared" si="6"/>
        <v>5757758.1171798781</v>
      </c>
      <c r="J172" s="1">
        <f t="shared" si="7"/>
        <v>6161354.1171798781</v>
      </c>
    </row>
    <row r="173" spans="1:10" x14ac:dyDescent="0.2">
      <c r="A173">
        <v>2017</v>
      </c>
      <c r="C173" t="s">
        <v>13</v>
      </c>
      <c r="D173">
        <v>168180</v>
      </c>
      <c r="E173">
        <v>15223</v>
      </c>
      <c r="F173">
        <v>183403</v>
      </c>
      <c r="G173" cm="1">
        <f t="array" ref="G173">_xlfn.IFS(A173=$E$640,F173/$F$640,A173=$E$641,F173/$F$641,A173=$E$641,F173/$F$641,A173=$E$642,F173/$F$642,A173=$E$643,F173/$F$643,A173=$E$644,F173/$F$644,A173=$E$645,F173/$F$645,A173=$E$646,F173/$F$646,A173=$E$647,F173/$F$647)</f>
        <v>5.6871781905183452E-3</v>
      </c>
      <c r="H173" cm="1">
        <f t="array" ref="H173">_xlfn.IFS(A173=$P$24,G173*$Q$24,A173=$P$25,G173*$Q$25,A173=$P$26,G173*$Q$26,A173=$P$27,G173*$Q$27,A173=$P$28,G173*$Q$28,A173=$P$29,G173*$Q$29,A173=$P$30,G173*$Q$30,A173=$P$31,G173*$Q$31)</f>
        <v>2384056.5325749354</v>
      </c>
      <c r="I173">
        <f t="shared" si="6"/>
        <v>2399279.5325749354</v>
      </c>
      <c r="J173" s="1">
        <f t="shared" si="7"/>
        <v>2567459.5325749354</v>
      </c>
    </row>
    <row r="174" spans="1:10" x14ac:dyDescent="0.2">
      <c r="A174">
        <v>2017</v>
      </c>
      <c r="C174" t="s">
        <v>14</v>
      </c>
      <c r="D174">
        <v>339968</v>
      </c>
      <c r="E174">
        <v>30772</v>
      </c>
      <c r="F174">
        <v>370740</v>
      </c>
      <c r="G174" cm="1">
        <f t="array" ref="G174">_xlfn.IFS(A174=$E$640,F174/$F$640,A174=$E$641,F174/$F$641,A174=$E$641,F174/$F$641,A174=$E$642,F174/$F$642,A174=$E$643,F174/$F$643,A174=$E$644,F174/$F$644,A174=$E$645,F174/$F$645,A174=$E$646,F174/$F$646,A174=$E$647,F174/$F$647)</f>
        <v>1.1496346528425223E-2</v>
      </c>
      <c r="H174" cm="1">
        <f t="array" ref="H174">_xlfn.IFS(A174=$P$24,G174*$Q$24,A174=$P$25,G174*$Q$25,A174=$P$26,G174*$Q$26,A174=$P$27,G174*$Q$27,A174=$P$28,G174*$Q$28,A174=$P$29,G174*$Q$29,A174=$P$30,G174*$Q$30,A174=$P$31,G174*$Q$31)</f>
        <v>4819251.1512179812</v>
      </c>
      <c r="I174">
        <f t="shared" si="6"/>
        <v>4850023.1512179812</v>
      </c>
      <c r="J174" s="1">
        <f t="shared" si="7"/>
        <v>5189991.1512179812</v>
      </c>
    </row>
    <row r="175" spans="1:10" x14ac:dyDescent="0.2">
      <c r="A175">
        <v>2017</v>
      </c>
      <c r="C175" t="s">
        <v>15</v>
      </c>
      <c r="D175">
        <v>78286</v>
      </c>
      <c r="E175">
        <v>7086</v>
      </c>
      <c r="F175">
        <v>85372</v>
      </c>
      <c r="G175" cm="1">
        <f t="array" ref="G175">_xlfn.IFS(A175=$E$640,F175/$F$640,A175=$E$641,F175/$F$641,A175=$E$641,F175/$F$641,A175=$E$642,F175/$F$642,A175=$E$643,F175/$F$643,A175=$E$644,F175/$F$644,A175=$E$645,F175/$F$645,A175=$E$646,F175/$F$646,A175=$E$647,F175/$F$647)</f>
        <v>2.6473164369226901E-3</v>
      </c>
      <c r="H175" cm="1">
        <f t="array" ref="H175">_xlfn.IFS(A175=$P$24,G175*$Q$24,A175=$P$25,G175*$Q$25,A175=$P$26,G175*$Q$26,A175=$P$27,G175*$Q$27,A175=$P$28,G175*$Q$28,A175=$P$29,G175*$Q$29,A175=$P$30,G175*$Q$30,A175=$P$31,G175*$Q$31)</f>
        <v>1109751.0634994376</v>
      </c>
      <c r="I175">
        <f t="shared" si="6"/>
        <v>1116837.0634994376</v>
      </c>
      <c r="J175" s="1">
        <f t="shared" si="7"/>
        <v>1195123.0634994376</v>
      </c>
    </row>
    <row r="176" spans="1:10" x14ac:dyDescent="0.2">
      <c r="A176">
        <v>2017</v>
      </c>
      <c r="C176" t="s">
        <v>16</v>
      </c>
      <c r="D176">
        <v>1575805</v>
      </c>
      <c r="E176">
        <v>142634</v>
      </c>
      <c r="F176">
        <v>1718439</v>
      </c>
      <c r="G176" cm="1">
        <f t="array" ref="G176">_xlfn.IFS(A176=$E$640,F176/$F$640,A176=$E$641,F176/$F$641,A176=$E$641,F176/$F$641,A176=$E$642,F176/$F$642,A176=$E$643,F176/$F$643,A176=$E$644,F176/$F$644,A176=$E$645,F176/$F$645,A176=$E$646,F176/$F$646,A176=$E$647,F176/$F$647)</f>
        <v>5.32873988022887E-2</v>
      </c>
      <c r="H176" cm="1">
        <f t="array" ref="H176">_xlfn.IFS(A176=$P$24,G176*$Q$24,A176=$P$25,G176*$Q$25,A176=$P$26,G176*$Q$26,A176=$P$27,G176*$Q$27,A176=$P$28,G176*$Q$28,A176=$P$29,G176*$Q$29,A176=$P$30,G176*$Q$30,A176=$P$31,G176*$Q$31)</f>
        <v>22337997.327096827</v>
      </c>
      <c r="I176">
        <f t="shared" si="6"/>
        <v>22480631.327096827</v>
      </c>
      <c r="J176" s="1">
        <f t="shared" si="7"/>
        <v>24056436.327096827</v>
      </c>
    </row>
    <row r="177" spans="1:10" x14ac:dyDescent="0.2">
      <c r="A177">
        <v>2017</v>
      </c>
      <c r="C177" t="s">
        <v>17</v>
      </c>
      <c r="D177">
        <v>322395</v>
      </c>
      <c r="E177">
        <v>29182</v>
      </c>
      <c r="F177">
        <v>351577</v>
      </c>
      <c r="G177" cm="1">
        <f t="array" ref="G177">_xlfn.IFS(A177=$E$640,F177/$F$640,A177=$E$641,F177/$F$641,A177=$E$641,F177/$F$641,A177=$E$642,F177/$F$642,A177=$E$643,F177/$F$643,A177=$E$644,F177/$F$644,A177=$E$645,F177/$F$645,A177=$E$646,F177/$F$646,A177=$E$647,F177/$F$647)</f>
        <v>1.0902117450030089E-2</v>
      </c>
      <c r="H177" cm="1">
        <f t="array" ref="H177">_xlfn.IFS(A177=$P$24,G177*$Q$24,A177=$P$25,G177*$Q$25,A177=$P$26,G177*$Q$26,A177=$P$27,G177*$Q$27,A177=$P$28,G177*$Q$28,A177=$P$29,G177*$Q$29,A177=$P$30,G177*$Q$30,A177=$P$31,G177*$Q$31)</f>
        <v>4570151.2164637335</v>
      </c>
      <c r="I177">
        <f t="shared" si="6"/>
        <v>4599333.2164637335</v>
      </c>
      <c r="J177" s="1">
        <f t="shared" si="7"/>
        <v>4921728.2164637335</v>
      </c>
    </row>
    <row r="178" spans="1:10" x14ac:dyDescent="0.2">
      <c r="A178">
        <v>2017</v>
      </c>
      <c r="C178" t="s">
        <v>18</v>
      </c>
      <c r="D178">
        <v>882590</v>
      </c>
      <c r="E178">
        <v>79887</v>
      </c>
      <c r="F178">
        <v>962477</v>
      </c>
      <c r="G178" cm="1">
        <f t="array" ref="G178">_xlfn.IFS(A178=$E$640,F178/$F$640,A178=$E$641,F178/$F$641,A178=$E$641,F178/$F$641,A178=$E$642,F178/$F$642,A178=$E$643,F178/$F$643,A178=$E$644,F178/$F$644,A178=$E$645,F178/$F$645,A178=$E$646,F178/$F$646,A178=$E$647,F178/$F$647)</f>
        <v>2.9845630678208782E-2</v>
      </c>
      <c r="H178" cm="1">
        <f t="array" ref="H178">_xlfn.IFS(A178=$P$24,G178*$Q$24,A178=$P$25,G178*$Q$25,A178=$P$26,G178*$Q$26,A178=$P$27,G178*$Q$27,A178=$P$28,G178*$Q$28,A178=$P$29,G178*$Q$29,A178=$P$30,G178*$Q$30,A178=$P$31,G178*$Q$31)</f>
        <v>12511243.432785321</v>
      </c>
      <c r="I178">
        <f t="shared" si="6"/>
        <v>12591130.432785321</v>
      </c>
      <c r="J178" s="1">
        <f t="shared" si="7"/>
        <v>13473720.432785321</v>
      </c>
    </row>
    <row r="179" spans="1:10" x14ac:dyDescent="0.2">
      <c r="A179">
        <v>2017</v>
      </c>
      <c r="C179" t="s">
        <v>19</v>
      </c>
      <c r="D179">
        <v>2647498</v>
      </c>
      <c r="E179">
        <v>239638</v>
      </c>
      <c r="F179">
        <v>2887136</v>
      </c>
      <c r="G179" cm="1">
        <f t="array" ref="G179">_xlfn.IFS(A179=$E$640,F179/$F$640,A179=$E$641,F179/$F$641,A179=$E$641,F179/$F$641,A179=$E$642,F179/$F$642,A179=$E$643,F179/$F$643,A179=$E$644,F179/$F$644,A179=$E$645,F179/$F$645,A179=$E$646,F179/$F$646,A179=$E$647,F179/$F$647)</f>
        <v>8.9527744324031627E-2</v>
      </c>
      <c r="H179" cm="1">
        <f t="array" ref="H179">_xlfn.IFS(A179=$P$24,G179*$Q$24,A179=$P$25,G179*$Q$25,A179=$P$26,G179*$Q$26,A179=$P$27,G179*$Q$27,A179=$P$28,G179*$Q$28,A179=$P$29,G179*$Q$29,A179=$P$30,G179*$Q$30,A179=$P$31,G179*$Q$31)</f>
        <v>37529895.591851108</v>
      </c>
      <c r="I179">
        <f t="shared" si="6"/>
        <v>37769533.591851108</v>
      </c>
      <c r="J179" s="1">
        <f t="shared" si="7"/>
        <v>40417031.591851108</v>
      </c>
    </row>
    <row r="180" spans="1:10" x14ac:dyDescent="0.2">
      <c r="A180">
        <v>2017</v>
      </c>
      <c r="C180" t="s">
        <v>20</v>
      </c>
      <c r="D180">
        <v>244849</v>
      </c>
      <c r="E180">
        <v>22163</v>
      </c>
      <c r="F180">
        <v>267012</v>
      </c>
      <c r="G180" cm="1">
        <f t="array" ref="G180">_xlfn.IFS(A180=$E$640,F180/$F$640,A180=$E$641,F180/$F$641,A180=$E$641,F180/$F$641,A180=$E$642,F180/$F$642,A180=$E$643,F180/$F$643,A180=$E$644,F180/$F$644,A180=$E$645,F180/$F$645,A180=$E$646,F180/$F$646,A180=$E$647,F180/$F$647)</f>
        <v>8.2798254281919292E-3</v>
      </c>
      <c r="H180" cm="1">
        <f t="array" ref="H180">_xlfn.IFS(A180=$P$24,G180*$Q$24,A180=$P$25,G180*$Q$25,A180=$P$26,G180*$Q$26,A180=$P$27,G180*$Q$27,A180=$P$28,G180*$Q$28,A180=$P$29,G180*$Q$29,A180=$P$30,G180*$Q$30,A180=$P$31,G180*$Q$31)</f>
        <v>3470890.3500809618</v>
      </c>
      <c r="I180">
        <f t="shared" si="6"/>
        <v>3493053.3500809618</v>
      </c>
      <c r="J180" s="1">
        <f t="shared" si="7"/>
        <v>3737902.3500809618</v>
      </c>
    </row>
    <row r="181" spans="1:10" x14ac:dyDescent="0.2">
      <c r="A181">
        <v>2017</v>
      </c>
      <c r="C181" t="s">
        <v>21</v>
      </c>
      <c r="D181">
        <v>258161</v>
      </c>
      <c r="E181">
        <v>23367</v>
      </c>
      <c r="F181">
        <v>281528</v>
      </c>
      <c r="G181" cm="1">
        <f t="array" ref="G181">_xlfn.IFS(A181=$E$640,F181/$F$640,A181=$E$641,F181/$F$641,A181=$E$641,F181/$F$641,A181=$E$642,F181/$F$642,A181=$E$643,F181/$F$643,A181=$E$644,F181/$F$644,A181=$E$645,F181/$F$645,A181=$E$646,F181/$F$646,A181=$E$647,F181/$F$647)</f>
        <v>8.7299548078289269E-3</v>
      </c>
      <c r="H181" cm="1">
        <f t="array" ref="H181">_xlfn.IFS(A181=$P$24,G181*$Q$24,A181=$P$25,G181*$Q$25,A181=$P$26,G181*$Q$26,A181=$P$27,G181*$Q$27,A181=$P$28,G181*$Q$28,A181=$P$29,G181*$Q$29,A181=$P$30,G181*$Q$30,A181=$P$31,G181*$Q$31)</f>
        <v>3659583.9081299454</v>
      </c>
      <c r="I181">
        <f t="shared" si="6"/>
        <v>3682950.9081299454</v>
      </c>
      <c r="J181" s="1">
        <f t="shared" si="7"/>
        <v>3941111.9081299454</v>
      </c>
    </row>
    <row r="182" spans="1:10" x14ac:dyDescent="0.2">
      <c r="A182">
        <v>2017</v>
      </c>
      <c r="C182" t="s">
        <v>22</v>
      </c>
      <c r="D182">
        <v>410260</v>
      </c>
      <c r="E182">
        <v>37135</v>
      </c>
      <c r="F182">
        <v>447395</v>
      </c>
      <c r="G182" cm="1">
        <f t="array" ref="G182">_xlfn.IFS(A182=$E$640,F182/$F$640,A182=$E$641,F182/$F$641,A182=$E$641,F182/$F$641,A182=$E$642,F182/$F$642,A182=$E$643,F182/$F$643,A182=$E$644,F182/$F$644,A182=$E$645,F182/$F$645,A182=$E$646,F182/$F$646,A182=$E$647,F182/$F$647)</f>
        <v>1.3873355869571136E-2</v>
      </c>
      <c r="H182" cm="1">
        <f t="array" ref="H182">_xlfn.IFS(A182=$P$24,G182*$Q$24,A182=$P$25,G182*$Q$25,A182=$P$26,G182*$Q$26,A182=$P$27,G182*$Q$27,A182=$P$28,G182*$Q$28,A182=$P$29,G182*$Q$29,A182=$P$30,G182*$Q$30,A182=$P$31,G182*$Q$31)</f>
        <v>5815689.8872502809</v>
      </c>
      <c r="I182">
        <f t="shared" si="6"/>
        <v>5852824.8872502809</v>
      </c>
      <c r="J182" s="1">
        <f t="shared" si="7"/>
        <v>6263084.8872502809</v>
      </c>
    </row>
    <row r="183" spans="1:10" x14ac:dyDescent="0.2">
      <c r="A183">
        <v>2017</v>
      </c>
      <c r="C183" t="s">
        <v>23</v>
      </c>
      <c r="D183">
        <v>651889</v>
      </c>
      <c r="E183">
        <v>59006</v>
      </c>
      <c r="F183">
        <v>710895</v>
      </c>
      <c r="G183" cm="1">
        <f t="array" ref="G183">_xlfn.IFS(A183=$E$640,F183/$F$640,A183=$E$641,F183/$F$641,A183=$E$641,F183/$F$641,A183=$E$642,F183/$F$642,A183=$E$643,F183/$F$643,A183=$E$644,F183/$F$644,A183=$E$645,F183/$F$645,A183=$E$646,F183/$F$646,A183=$E$647,F183/$F$647)</f>
        <v>2.2044277027903247E-2</v>
      </c>
      <c r="H183" cm="1">
        <f t="array" ref="H183">_xlfn.IFS(A183=$P$24,G183*$Q$24,A183=$P$25,G183*$Q$25,A183=$P$26,G183*$Q$26,A183=$P$27,G183*$Q$27,A183=$P$28,G183*$Q$28,A183=$P$29,G183*$Q$29,A183=$P$30,G183*$Q$30,A183=$P$31,G183*$Q$31)</f>
        <v>9240927.7314158361</v>
      </c>
      <c r="I183">
        <f t="shared" si="6"/>
        <v>9299933.7314158361</v>
      </c>
      <c r="J183" s="1">
        <f t="shared" si="7"/>
        <v>9951822.7314158361</v>
      </c>
    </row>
    <row r="184" spans="1:10" x14ac:dyDescent="0.2">
      <c r="A184">
        <v>2017</v>
      </c>
      <c r="C184" t="s">
        <v>24</v>
      </c>
      <c r="D184">
        <v>899708</v>
      </c>
      <c r="E184">
        <v>81437</v>
      </c>
      <c r="F184">
        <v>981145</v>
      </c>
      <c r="G184" cm="1">
        <f t="array" ref="G184">_xlfn.IFS(A184=$E$640,F184/$F$640,A184=$E$641,F184/$F$641,A184=$E$641,F184/$F$641,A184=$E$642,F184/$F$642,A184=$E$643,F184/$F$643,A184=$E$644,F184/$F$644,A184=$E$645,F184/$F$645,A184=$E$646,F184/$F$646,A184=$E$647,F184/$F$647)</f>
        <v>3.0424510208317868E-2</v>
      </c>
      <c r="H184" cm="1">
        <f t="array" ref="H184">_xlfn.IFS(A184=$P$24,G184*$Q$24,A184=$P$25,G184*$Q$25,A184=$P$26,G184*$Q$26,A184=$P$27,G184*$Q$27,A184=$P$28,G184*$Q$28,A184=$P$29,G184*$Q$29,A184=$P$30,G184*$Q$30,A184=$P$31,G184*$Q$31)</f>
        <v>12753908.860014476</v>
      </c>
      <c r="I184">
        <f t="shared" si="6"/>
        <v>12835345.860014476</v>
      </c>
      <c r="J184" s="1">
        <f t="shared" si="7"/>
        <v>13735053.860014476</v>
      </c>
    </row>
    <row r="185" spans="1:10" x14ac:dyDescent="0.2">
      <c r="A185">
        <v>2017</v>
      </c>
      <c r="C185" t="s">
        <v>25</v>
      </c>
      <c r="D185">
        <v>308643</v>
      </c>
      <c r="E185">
        <v>27937</v>
      </c>
      <c r="F185">
        <v>336580</v>
      </c>
      <c r="G185" cm="1">
        <f t="array" ref="G185">_xlfn.IFS(A185=$E$640,F185/$F$640,A185=$E$641,F185/$F$641,A185=$E$641,F185/$F$641,A185=$E$642,F185/$F$642,A185=$E$643,F185/$F$643,A185=$E$644,F185/$F$644,A185=$E$645,F185/$F$645,A185=$E$646,F185/$F$646,A185=$E$647,F185/$F$647)</f>
        <v>1.0437072650745434E-2</v>
      </c>
      <c r="H185" cm="1">
        <f t="array" ref="H185">_xlfn.IFS(A185=$P$24,G185*$Q$24,A185=$P$25,G185*$Q$25,A185=$P$26,G185*$Q$26,A185=$P$27,G185*$Q$27,A185=$P$28,G185*$Q$28,A185=$P$29,G185*$Q$29,A185=$P$30,G185*$Q$30,A185=$P$31,G185*$Q$31)</f>
        <v>4375205.1369610736</v>
      </c>
      <c r="I185">
        <f t="shared" si="6"/>
        <v>4403142.1369610736</v>
      </c>
      <c r="J185" s="1">
        <f t="shared" si="7"/>
        <v>4711785.1369610736</v>
      </c>
    </row>
    <row r="186" spans="1:10" x14ac:dyDescent="0.2">
      <c r="A186">
        <v>2017</v>
      </c>
      <c r="C186" t="s">
        <v>30</v>
      </c>
      <c r="D186">
        <v>422571</v>
      </c>
      <c r="E186">
        <v>38249</v>
      </c>
      <c r="F186">
        <v>460820</v>
      </c>
      <c r="G186" cm="1">
        <f t="array" ref="G186">_xlfn.IFS(A186=$E$640,F186/$F$640,A186=$E$641,F186/$F$641,A186=$E$641,F186/$F$641,A186=$E$642,F186/$F$642,A186=$E$643,F186/$F$643,A186=$E$644,F186/$F$644,A186=$E$645,F186/$F$645,A186=$E$646,F186/$F$646,A186=$E$647,F186/$F$647)</f>
        <v>1.4289654224601909E-2</v>
      </c>
      <c r="H186" cm="1">
        <f t="array" ref="H186">_xlfn.IFS(A186=$P$24,G186*$Q$24,A186=$P$25,G186*$Q$25,A186=$P$26,G186*$Q$26,A186=$P$27,G186*$Q$27,A186=$P$28,G186*$Q$28,A186=$P$29,G186*$Q$29,A186=$P$30,G186*$Q$30,A186=$P$31,G186*$Q$31)</f>
        <v>5990201.5307338582</v>
      </c>
      <c r="I186">
        <f t="shared" si="6"/>
        <v>6028450.5307338582</v>
      </c>
      <c r="J186" s="1">
        <f t="shared" si="7"/>
        <v>6451021.5307338582</v>
      </c>
    </row>
    <row r="187" spans="1:10" x14ac:dyDescent="0.2">
      <c r="A187">
        <v>2017</v>
      </c>
      <c r="C187" t="s">
        <v>31</v>
      </c>
      <c r="D187">
        <v>819869</v>
      </c>
      <c r="E187">
        <v>74210</v>
      </c>
      <c r="F187">
        <v>894079</v>
      </c>
      <c r="G187" cm="1">
        <f t="array" ref="G187">_xlfn.IFS(A187=$E$640,F187/$F$640,A187=$E$641,F187/$F$641,A187=$E$641,F187/$F$641,A187=$E$642,F187/$F$642,A187=$E$643,F187/$F$643,A187=$E$644,F187/$F$644,A187=$E$645,F187/$F$645,A187=$E$646,F187/$F$646,A187=$E$647,F187/$F$647)</f>
        <v>2.772466420614958E-2</v>
      </c>
      <c r="H187" cm="1">
        <f t="array" ref="H187">_xlfn.IFS(A187=$P$24,G187*$Q$24,A187=$P$25,G187*$Q$25,A187=$P$26,G187*$Q$26,A187=$P$27,G187*$Q$27,A187=$P$28,G187*$Q$28,A187=$P$29,G187*$Q$29,A187=$P$30,G187*$Q$30,A187=$P$31,G187*$Q$31)</f>
        <v>11622137.481873609</v>
      </c>
      <c r="I187">
        <f t="shared" si="6"/>
        <v>11696347.481873609</v>
      </c>
      <c r="J187" s="1">
        <f t="shared" si="7"/>
        <v>12516216.481873609</v>
      </c>
    </row>
    <row r="188" spans="1:10" x14ac:dyDescent="0.2">
      <c r="A188">
        <v>2017</v>
      </c>
      <c r="C188" t="s">
        <v>32</v>
      </c>
      <c r="D188">
        <v>407956</v>
      </c>
      <c r="E188">
        <v>36926</v>
      </c>
      <c r="F188">
        <v>444882</v>
      </c>
      <c r="G188" cm="1">
        <f t="array" ref="G188">_xlfn.IFS(A188=$E$640,F188/$F$640,A188=$E$641,F188/$F$641,A188=$E$641,F188/$F$641,A188=$E$642,F188/$F$642,A188=$E$643,F188/$F$643,A188=$E$644,F188/$F$644,A188=$E$645,F188/$F$645,A188=$E$646,F188/$F$646,A188=$E$647,F188/$F$647)</f>
        <v>1.3795429778979528E-2</v>
      </c>
      <c r="H188" cm="1">
        <f t="array" ref="H188">_xlfn.IFS(A188=$P$24,G188*$Q$24,A188=$P$25,G188*$Q$25,A188=$P$26,G188*$Q$26,A188=$P$27,G188*$Q$27,A188=$P$28,G188*$Q$28,A188=$P$29,G188*$Q$29,A188=$P$30,G188*$Q$30,A188=$P$31,G188*$Q$31)</f>
        <v>5783023.3874309715</v>
      </c>
      <c r="I188">
        <f t="shared" si="6"/>
        <v>5819949.3874309715</v>
      </c>
      <c r="J188" s="1">
        <f t="shared" si="7"/>
        <v>6227905.3874309715</v>
      </c>
    </row>
    <row r="189" spans="1:10" x14ac:dyDescent="0.2">
      <c r="A189">
        <v>2017</v>
      </c>
      <c r="C189" t="s">
        <v>33</v>
      </c>
      <c r="D189">
        <v>214482</v>
      </c>
      <c r="E189">
        <v>19414</v>
      </c>
      <c r="F189">
        <v>233896</v>
      </c>
      <c r="G189" cm="1">
        <f t="array" ref="G189">_xlfn.IFS(A189=$E$640,F189/$F$640,A189=$E$641,F189/$F$641,A189=$E$641,F189/$F$641,A189=$E$642,F189/$F$642,A189=$E$643,F189/$F$643,A189=$E$644,F189/$F$644,A189=$E$645,F189/$F$645,A189=$E$646,F189/$F$646,A189=$E$647,F189/$F$647)</f>
        <v>7.2529251432609E-3</v>
      </c>
      <c r="H189" cm="1">
        <f t="array" ref="H189">_xlfn.IFS(A189=$P$24,G189*$Q$24,A189=$P$25,G189*$Q$25,A189=$P$26,G189*$Q$26,A189=$P$27,G189*$Q$27,A189=$P$28,G189*$Q$28,A189=$P$29,G189*$Q$29,A189=$P$30,G189*$Q$30,A189=$P$31,G189*$Q$31)</f>
        <v>3040415.2971497034</v>
      </c>
      <c r="I189">
        <f t="shared" si="6"/>
        <v>3059829.2971497034</v>
      </c>
      <c r="J189" s="1">
        <f t="shared" si="7"/>
        <v>3274311.2971497034</v>
      </c>
    </row>
    <row r="190" spans="1:10" x14ac:dyDescent="0.2">
      <c r="A190">
        <v>2017</v>
      </c>
      <c r="C190" t="s">
        <v>34</v>
      </c>
      <c r="D190">
        <v>1296705</v>
      </c>
      <c r="E190">
        <v>117371</v>
      </c>
      <c r="F190">
        <v>1414076</v>
      </c>
      <c r="G190" cm="1">
        <f t="array" ref="G190">_xlfn.IFS(A190=$E$640,F190/$F$640,A190=$E$641,F190/$F$641,A190=$E$641,F190/$F$641,A190=$E$642,F190/$F$642,A190=$E$643,F190/$F$643,A190=$E$644,F190/$F$644,A190=$E$645,F190/$F$645,A190=$E$646,F190/$F$646,A190=$E$647,F190/$F$647)</f>
        <v>4.3849349176051752E-2</v>
      </c>
      <c r="H190" cm="1">
        <f t="array" ref="H190">_xlfn.IFS(A190=$P$24,G190*$Q$24,A190=$P$25,G190*$Q$25,A190=$P$26,G190*$Q$26,A190=$P$27,G190*$Q$27,A190=$P$28,G190*$Q$28,A190=$P$29,G190*$Q$29,A190=$P$30,G190*$Q$30,A190=$P$31,G190*$Q$31)</f>
        <v>18381581.137481034</v>
      </c>
      <c r="I190">
        <f t="shared" si="6"/>
        <v>18498952.137481034</v>
      </c>
      <c r="J190" s="1">
        <f t="shared" si="7"/>
        <v>19795657.137481034</v>
      </c>
    </row>
    <row r="191" spans="1:10" x14ac:dyDescent="0.2">
      <c r="A191">
        <v>2017</v>
      </c>
      <c r="C191" t="s">
        <v>35</v>
      </c>
      <c r="D191">
        <v>112459</v>
      </c>
      <c r="E191">
        <v>10179</v>
      </c>
      <c r="F191">
        <v>122638</v>
      </c>
      <c r="G191" cm="1">
        <f t="array" ref="G191">_xlfn.IFS(A191=$E$640,F191/$F$640,A191=$E$641,F191/$F$641,A191=$E$641,F191/$F$641,A191=$E$642,F191/$F$642,A191=$E$643,F191/$F$643,A191=$E$644,F191/$F$644,A191=$E$645,F191/$F$645,A191=$E$646,F191/$F$646,A191=$E$647,F191/$F$647)</f>
        <v>3.8029048539488931E-3</v>
      </c>
      <c r="H191" cm="1">
        <f t="array" ref="H191">_xlfn.IFS(A191=$P$24,G191*$Q$24,A191=$P$25,G191*$Q$25,A191=$P$26,G191*$Q$26,A191=$P$27,G191*$Q$27,A191=$P$28,G191*$Q$28,A191=$P$29,G191*$Q$29,A191=$P$30,G191*$Q$30,A191=$P$31,G191*$Q$31)</f>
        <v>1594171.987600666</v>
      </c>
      <c r="I191">
        <f t="shared" si="6"/>
        <v>1604350.987600666</v>
      </c>
      <c r="J191" s="1">
        <f t="shared" si="7"/>
        <v>1716809.987600666</v>
      </c>
    </row>
    <row r="192" spans="1:10" x14ac:dyDescent="0.2">
      <c r="A192">
        <v>2017</v>
      </c>
      <c r="C192" t="s">
        <v>36</v>
      </c>
      <c r="D192">
        <v>174758</v>
      </c>
      <c r="E192">
        <v>15818</v>
      </c>
      <c r="F192">
        <v>190576</v>
      </c>
      <c r="G192" cm="1">
        <f t="array" ref="G192">_xlfn.IFS(A192=$E$640,F192/$F$640,A192=$E$641,F192/$F$641,A192=$E$641,F192/$F$641,A192=$E$642,F192/$F$642,A192=$E$643,F192/$F$643,A192=$E$644,F192/$F$644,A192=$E$645,F192/$F$645,A192=$E$646,F192/$F$646,A192=$E$647,F192/$F$647)</f>
        <v>5.9096070993180276E-3</v>
      </c>
      <c r="H192" cm="1">
        <f t="array" ref="H192">_xlfn.IFS(A192=$P$24,G192*$Q$24,A192=$P$25,G192*$Q$25,A192=$P$26,G192*$Q$26,A192=$P$27,G192*$Q$27,A192=$P$28,G192*$Q$28,A192=$P$29,G192*$Q$29,A192=$P$30,G192*$Q$30,A192=$P$31,G192*$Q$31)</f>
        <v>2477298.3961658254</v>
      </c>
      <c r="I192">
        <f t="shared" si="6"/>
        <v>2493116.3961658254</v>
      </c>
      <c r="J192" s="1">
        <f t="shared" si="7"/>
        <v>2667874.3961658254</v>
      </c>
    </row>
    <row r="193" spans="1:10" x14ac:dyDescent="0.2">
      <c r="A193">
        <v>2017</v>
      </c>
      <c r="C193" t="s">
        <v>37</v>
      </c>
      <c r="D193">
        <v>286995</v>
      </c>
      <c r="E193">
        <v>25977</v>
      </c>
      <c r="F193">
        <v>312972</v>
      </c>
      <c r="G193" cm="1">
        <f t="array" ref="G193">_xlfn.IFS(A193=$E$640,F193/$F$640,A193=$E$641,F193/$F$641,A193=$E$641,F193/$F$641,A193=$E$642,F193/$F$642,A193=$E$643,F193/$F$643,A193=$E$644,F193/$F$644,A193=$E$645,F193/$F$645,A193=$E$646,F193/$F$646,A193=$E$647,F193/$F$647)</f>
        <v>9.7050077296604066E-3</v>
      </c>
      <c r="H193" cm="1">
        <f t="array" ref="H193">_xlfn.IFS(A193=$P$24,G193*$Q$24,A193=$P$25,G193*$Q$25,A193=$P$26,G193*$Q$26,A193=$P$27,G193*$Q$27,A193=$P$28,G193*$Q$28,A193=$P$29,G193*$Q$29,A193=$P$30,G193*$Q$30,A193=$P$31,G193*$Q$31)</f>
        <v>4068324.6245320016</v>
      </c>
      <c r="I193">
        <f t="shared" si="6"/>
        <v>4094301.6245320016</v>
      </c>
      <c r="J193" s="1">
        <f t="shared" si="7"/>
        <v>4381296.6245320011</v>
      </c>
    </row>
    <row r="194" spans="1:10" x14ac:dyDescent="0.2">
      <c r="A194">
        <v>2017</v>
      </c>
      <c r="C194" t="s">
        <v>38</v>
      </c>
      <c r="D194">
        <v>705935</v>
      </c>
      <c r="E194">
        <v>63898</v>
      </c>
      <c r="F194">
        <v>769833</v>
      </c>
      <c r="G194" cm="1">
        <f t="array" ref="G194">_xlfn.IFS(A194=$E$640,F194/$F$640,A194=$E$641,F194/$F$641,A194=$E$641,F194/$F$641,A194=$E$642,F194/$F$642,A194=$E$643,F194/$F$643,A194=$E$644,F194/$F$644,A194=$E$645,F194/$F$645,A194=$E$646,F194/$F$646,A194=$E$647,F194/$F$647)</f>
        <v>2.3871896577162367E-2</v>
      </c>
      <c r="H194" cm="1">
        <f t="array" ref="H194">_xlfn.IFS(A194=$P$24,G194*$Q$24,A194=$P$25,G194*$Q$25,A194=$P$26,G194*$Q$26,A194=$P$27,G194*$Q$27,A194=$P$28,G194*$Q$28,A194=$P$29,G194*$Q$29,A194=$P$30,G194*$Q$30,A194=$P$31,G194*$Q$31)</f>
        <v>10007063.094070219</v>
      </c>
      <c r="I194">
        <f t="shared" si="6"/>
        <v>10070961.094070219</v>
      </c>
      <c r="J194" s="1">
        <f t="shared" si="7"/>
        <v>10776896.094070219</v>
      </c>
    </row>
    <row r="195" spans="1:10" x14ac:dyDescent="0.2">
      <c r="A195">
        <v>2017</v>
      </c>
      <c r="C195" t="s">
        <v>39</v>
      </c>
      <c r="D195">
        <v>4930</v>
      </c>
      <c r="E195">
        <v>446</v>
      </c>
      <c r="F195">
        <v>5376</v>
      </c>
      <c r="G195" cm="1">
        <f t="array" ref="G195">_xlfn.IFS(A195=$E$640,F195/$F$640,A195=$E$641,F195/$F$641,A195=$E$641,F195/$F$641,A195=$E$642,F195/$F$642,A195=$E$643,F195/$F$643,A195=$E$644,F195/$F$644,A195=$E$645,F195/$F$645,A195=$E$646,F195/$F$646,A195=$E$647,F195/$F$647)</f>
        <v>1.6670539714304903E-4</v>
      </c>
      <c r="H195" cm="1">
        <f t="array" ref="H195">_xlfn.IFS(A195=$P$24,G195*$Q$24,A195=$P$25,G195*$Q$25,A195=$P$26,G195*$Q$26,A195=$P$27,G195*$Q$27,A195=$P$28,G195*$Q$28,A195=$P$29,G195*$Q$29,A195=$P$30,G195*$Q$30,A195=$P$31,G195*$Q$31)</f>
        <v>69882.651424038064</v>
      </c>
      <c r="I195">
        <f t="shared" ref="I195:I258" si="8">SUM(H195,E195)</f>
        <v>70328.651424038064</v>
      </c>
      <c r="J195" s="1">
        <f t="shared" ref="J195:J258" si="9">SUM(I195,D195)</f>
        <v>75258.651424038064</v>
      </c>
    </row>
    <row r="196" spans="1:10" x14ac:dyDescent="0.2">
      <c r="A196">
        <v>2017</v>
      </c>
      <c r="C196" t="s">
        <v>40</v>
      </c>
      <c r="D196">
        <v>250695</v>
      </c>
      <c r="E196">
        <v>22692</v>
      </c>
      <c r="F196">
        <v>273387</v>
      </c>
      <c r="G196" cm="1">
        <f t="array" ref="G196">_xlfn.IFS(A196=$E$640,F196/$F$640,A196=$E$641,F196/$F$641,A196=$E$641,F196/$F$641,A196=$E$642,F196/$F$642,A196=$E$643,F196/$F$643,A196=$E$644,F196/$F$644,A196=$E$645,F196/$F$645,A196=$E$646,F196/$F$646,A196=$E$647,F196/$F$647)</f>
        <v>8.4775090046031905E-3</v>
      </c>
      <c r="H196" cm="1">
        <f t="array" ref="H196">_xlfn.IFS(A196=$P$24,G196*$Q$24,A196=$P$25,G196*$Q$25,A196=$P$26,G196*$Q$26,A196=$P$27,G196*$Q$27,A196=$P$28,G196*$Q$28,A196=$P$29,G196*$Q$29,A196=$P$30,G196*$Q$30,A196=$P$31,G196*$Q$31)</f>
        <v>3553759.0076010963</v>
      </c>
      <c r="I196">
        <f t="shared" si="8"/>
        <v>3576451.0076010963</v>
      </c>
      <c r="J196" s="1">
        <f t="shared" si="9"/>
        <v>3827146.0076010963</v>
      </c>
    </row>
    <row r="197" spans="1:10" x14ac:dyDescent="0.2">
      <c r="A197">
        <v>2017</v>
      </c>
      <c r="C197" t="s">
        <v>41</v>
      </c>
      <c r="D197">
        <v>69004</v>
      </c>
      <c r="E197">
        <v>6246</v>
      </c>
      <c r="F197">
        <v>75250</v>
      </c>
      <c r="G197" cm="1">
        <f t="array" ref="G197">_xlfn.IFS(A197=$E$640,F197/$F$640,A197=$E$641,F197/$F$641,A197=$E$641,F197/$F$641,A197=$E$642,F197/$F$642,A197=$E$643,F197/$F$643,A197=$E$644,F197/$F$644,A197=$E$645,F197/$F$645,A197=$E$646,F197/$F$646,A197=$E$647,F197/$F$647)</f>
        <v>2.3334414313642931E-3</v>
      </c>
      <c r="H197" cm="1">
        <f t="array" ref="H197">_xlfn.IFS(A197=$P$24,G197*$Q$24,A197=$P$25,G197*$Q$25,A197=$P$26,G197*$Q$26,A197=$P$27,G197*$Q$27,A197=$P$28,G197*$Q$28,A197=$P$29,G197*$Q$29,A197=$P$30,G197*$Q$30,A197=$P$31,G197*$Q$31)</f>
        <v>978175.13386511605</v>
      </c>
      <c r="I197">
        <f t="shared" si="8"/>
        <v>984421.13386511605</v>
      </c>
      <c r="J197" s="1">
        <f t="shared" si="9"/>
        <v>1053425.1338651162</v>
      </c>
    </row>
    <row r="198" spans="1:10" x14ac:dyDescent="0.2">
      <c r="A198">
        <v>2017</v>
      </c>
      <c r="C198" t="s">
        <v>42</v>
      </c>
      <c r="D198">
        <v>175506</v>
      </c>
      <c r="E198">
        <v>15886</v>
      </c>
      <c r="F198">
        <v>191392</v>
      </c>
      <c r="G198" cm="1">
        <f t="array" ref="G198">_xlfn.IFS(A198=$E$640,F198/$F$640,A198=$E$641,F198/$F$641,A198=$E$641,F198/$F$641,A198=$E$642,F198/$F$642,A198=$E$643,F198/$F$643,A198=$E$644,F198/$F$644,A198=$E$645,F198/$F$645,A198=$E$646,F198/$F$646,A198=$E$647,F198/$F$647)</f>
        <v>5.934910597098669E-3</v>
      </c>
      <c r="H198" cm="1">
        <f t="array" ref="H198">_xlfn.IFS(A198=$P$24,G198*$Q$24,A198=$P$25,G198*$Q$25,A198=$P$26,G198*$Q$26,A198=$P$27,G198*$Q$27,A198=$P$28,G198*$Q$28,A198=$P$29,G198*$Q$29,A198=$P$30,G198*$Q$30,A198=$P$31,G198*$Q$31)</f>
        <v>2487905.5843284028</v>
      </c>
      <c r="I198">
        <f t="shared" si="8"/>
        <v>2503791.5843284028</v>
      </c>
      <c r="J198" s="1">
        <f t="shared" si="9"/>
        <v>2679297.5843284028</v>
      </c>
    </row>
    <row r="199" spans="1:10" x14ac:dyDescent="0.2">
      <c r="A199">
        <v>2017</v>
      </c>
      <c r="C199" t="s">
        <v>43</v>
      </c>
      <c r="D199">
        <v>813422</v>
      </c>
      <c r="E199">
        <v>73627</v>
      </c>
      <c r="F199">
        <v>887049</v>
      </c>
      <c r="G199" cm="1">
        <f t="array" ref="G199">_xlfn.IFS(A199=$E$640,F199/$F$640,A199=$E$641,F199/$F$641,A199=$E$641,F199/$F$641,A199=$E$642,F199/$F$642,A199=$E$643,F199/$F$643,A199=$E$644,F199/$F$644,A199=$E$645,F199/$F$645,A199=$E$646,F199/$F$646,A199=$E$647,F199/$F$647)</f>
        <v>2.7506669611299203E-2</v>
      </c>
      <c r="H199" cm="1">
        <f t="array" ref="H199">_xlfn.IFS(A199=$P$24,G199*$Q$24,A199=$P$25,G199*$Q$25,A199=$P$26,G199*$Q$26,A199=$P$27,G199*$Q$27,A199=$P$28,G199*$Q$28,A199=$P$29,G199*$Q$29,A199=$P$30,G199*$Q$30,A199=$P$31,G199*$Q$31)</f>
        <v>11530754.476012191</v>
      </c>
      <c r="I199">
        <f t="shared" si="8"/>
        <v>11604381.476012191</v>
      </c>
      <c r="J199" s="1">
        <f t="shared" si="9"/>
        <v>12417803.476012191</v>
      </c>
    </row>
    <row r="200" spans="1:10" x14ac:dyDescent="0.2">
      <c r="A200">
        <v>2017</v>
      </c>
      <c r="C200" t="s">
        <v>44</v>
      </c>
      <c r="D200">
        <v>1146586</v>
      </c>
      <c r="E200">
        <v>103783</v>
      </c>
      <c r="F200">
        <v>1250369</v>
      </c>
      <c r="G200" cm="1">
        <f t="array" ref="G200">_xlfn.IFS(A200=$E$640,F200/$F$640,A200=$E$641,F200/$F$641,A200=$E$641,F200/$F$641,A200=$E$642,F200/$F$642,A200=$E$643,F200/$F$643,A200=$E$644,F200/$F$644,A200=$E$645,F200/$F$645,A200=$E$646,F200/$F$646,A200=$E$647,F200/$F$647)</f>
        <v>3.877292796137595E-2</v>
      </c>
      <c r="H200" cm="1">
        <f t="array" ref="H200">_xlfn.IFS(A200=$P$24,G200*$Q$24,A200=$P$25,G200*$Q$25,A200=$P$26,G200*$Q$26,A200=$P$27,G200*$Q$27,A200=$P$28,G200*$Q$28,A200=$P$29,G200*$Q$29,A200=$P$30,G200*$Q$30,A200=$P$31,G200*$Q$31)</f>
        <v>16253553.009379288</v>
      </c>
      <c r="I200">
        <f t="shared" si="8"/>
        <v>16357336.009379288</v>
      </c>
      <c r="J200" s="1">
        <f t="shared" si="9"/>
        <v>17503922.00937929</v>
      </c>
    </row>
    <row r="201" spans="1:10" x14ac:dyDescent="0.2">
      <c r="A201">
        <v>2017</v>
      </c>
      <c r="C201" t="s">
        <v>45</v>
      </c>
      <c r="D201">
        <v>215063</v>
      </c>
      <c r="E201">
        <v>19467</v>
      </c>
      <c r="F201">
        <v>234530</v>
      </c>
      <c r="G201" cm="1">
        <f t="array" ref="G201">_xlfn.IFS(A201=$E$640,F201/$F$640,A201=$E$641,F201/$F$641,A201=$E$641,F201/$F$641,A201=$E$642,F201/$F$642,A201=$E$643,F201/$F$643,A201=$E$644,F201/$F$644,A201=$E$645,F201/$F$645,A201=$E$646,F201/$F$646,A201=$E$647,F201/$F$647)</f>
        <v>7.2725849687424278E-3</v>
      </c>
      <c r="H201" cm="1">
        <f t="array" ref="H201">_xlfn.IFS(A201=$P$24,G201*$Q$24,A201=$P$25,G201*$Q$25,A201=$P$26,G201*$Q$26,A201=$P$27,G201*$Q$27,A201=$P$28,G201*$Q$28,A201=$P$29,G201*$Q$29,A201=$P$30,G201*$Q$30,A201=$P$31,G201*$Q$31)</f>
        <v>3048656.666383863</v>
      </c>
      <c r="I201">
        <f t="shared" si="8"/>
        <v>3068123.666383863</v>
      </c>
      <c r="J201" s="1">
        <f t="shared" si="9"/>
        <v>3283186.666383863</v>
      </c>
    </row>
    <row r="202" spans="1:10" x14ac:dyDescent="0.2">
      <c r="A202">
        <v>2017</v>
      </c>
      <c r="C202" t="s">
        <v>46</v>
      </c>
      <c r="D202">
        <v>141445</v>
      </c>
      <c r="E202">
        <v>12803</v>
      </c>
      <c r="F202">
        <v>154248</v>
      </c>
      <c r="G202" cm="1">
        <f t="array" ref="G202">_xlfn.IFS(A202=$E$640,F202/$F$640,A202=$E$641,F202/$F$641,A202=$E$641,F202/$F$641,A202=$E$642,F202/$F$642,A202=$E$643,F202/$F$643,A202=$E$644,F202/$F$644,A202=$E$645,F202/$F$645,A202=$E$646,F202/$F$646,A202=$E$647,F202/$F$647)</f>
        <v>4.7831053010641798E-3</v>
      </c>
      <c r="H202" cm="1">
        <f t="array" ref="H202">_xlfn.IFS(A202=$P$24,G202*$Q$24,A202=$P$25,G202*$Q$25,A202=$P$26,G202*$Q$26,A202=$P$27,G202*$Q$27,A202=$P$28,G202*$Q$28,A202=$P$29,G202*$Q$29,A202=$P$30,G202*$Q$30,A202=$P$31,G202*$Q$31)</f>
        <v>2005070.5388495207</v>
      </c>
      <c r="I202">
        <f t="shared" si="8"/>
        <v>2017873.5388495207</v>
      </c>
      <c r="J202" s="1">
        <f t="shared" si="9"/>
        <v>2159318.5388495205</v>
      </c>
    </row>
    <row r="203" spans="1:10" x14ac:dyDescent="0.2">
      <c r="A203">
        <v>2017</v>
      </c>
      <c r="C203" t="s">
        <v>47</v>
      </c>
      <c r="D203">
        <v>67766</v>
      </c>
      <c r="E203">
        <v>6134</v>
      </c>
      <c r="F203">
        <v>73900</v>
      </c>
      <c r="G203" cm="1">
        <f t="array" ref="G203">_xlfn.IFS(A203=$E$640,F203/$F$640,A203=$E$641,F203/$F$641,A203=$E$641,F203/$F$641,A203=$E$642,F203/$F$642,A203=$E$643,F203/$F$643,A203=$E$644,F203/$F$644,A203=$E$645,F203/$F$645,A203=$E$646,F203/$F$646,A203=$E$647,F203/$F$647)</f>
        <v>2.291579026947791E-3</v>
      </c>
      <c r="H203" cm="1">
        <f t="array" ref="H203">_xlfn.IFS(A203=$P$24,G203*$Q$24,A203=$P$25,G203*$Q$25,A203=$P$26,G203*$Q$26,A203=$P$27,G203*$Q$27,A203=$P$28,G203*$Q$28,A203=$P$29,G203*$Q$29,A203=$P$30,G203*$Q$30,A203=$P$31,G203*$Q$31)</f>
        <v>960626.47697849944</v>
      </c>
      <c r="I203">
        <f t="shared" si="8"/>
        <v>966760.47697849944</v>
      </c>
      <c r="J203" s="1">
        <f t="shared" si="9"/>
        <v>1034526.4769784994</v>
      </c>
    </row>
    <row r="204" spans="1:10" x14ac:dyDescent="0.2">
      <c r="A204">
        <v>2017</v>
      </c>
      <c r="C204" t="s">
        <v>48</v>
      </c>
      <c r="D204">
        <v>48268</v>
      </c>
      <c r="E204">
        <v>4369</v>
      </c>
      <c r="F204">
        <v>52637</v>
      </c>
      <c r="G204" cm="1">
        <f t="array" ref="G204">_xlfn.IFS(A204=$E$640,F204/$F$640,A204=$E$641,F204/$F$641,A204=$E$641,F204/$F$641,A204=$E$642,F204/$F$642,A204=$E$643,F204/$F$643,A204=$E$644,F204/$F$644,A204=$E$645,F204/$F$645,A204=$E$646,F204/$F$646,A204=$E$647,F204/$F$647)</f>
        <v>1.632230652793652E-3</v>
      </c>
      <c r="H204" cm="1">
        <f t="array" ref="H204">_xlfn.IFS(A204=$P$24,G204*$Q$24,A204=$P$25,G204*$Q$25,A204=$P$26,G204*$Q$26,A204=$P$27,G204*$Q$27,A204=$P$28,G204*$Q$28,A204=$P$29,G204*$Q$29,A204=$P$30,G204*$Q$30,A204=$P$31,G204*$Q$31)</f>
        <v>684228.63151173585</v>
      </c>
      <c r="I204">
        <f t="shared" si="8"/>
        <v>688597.63151173585</v>
      </c>
      <c r="J204" s="1">
        <f t="shared" si="9"/>
        <v>736865.63151173585</v>
      </c>
    </row>
    <row r="205" spans="1:10" x14ac:dyDescent="0.2">
      <c r="A205">
        <v>2017</v>
      </c>
      <c r="C205" t="s">
        <v>49</v>
      </c>
      <c r="D205">
        <v>84618</v>
      </c>
      <c r="E205">
        <v>7659</v>
      </c>
      <c r="F205">
        <v>92277</v>
      </c>
      <c r="G205" cm="1">
        <f t="array" ref="G205">_xlfn.IFS(A205=$E$640,F205/$F$640,A205=$E$641,F205/$F$641,A205=$E$641,F205/$F$641,A205=$E$642,F205/$F$642,A205=$E$643,F205/$F$643,A205=$E$644,F205/$F$644,A205=$E$645,F205/$F$645,A205=$E$646,F205/$F$646,A205=$E$647,F205/$F$647)</f>
        <v>2.8614348832159851E-3</v>
      </c>
      <c r="H205" cm="1">
        <f t="array" ref="H205">_xlfn.IFS(A205=$P$24,G205*$Q$24,A205=$P$25,G205*$Q$25,A205=$P$26,G205*$Q$26,A205=$P$27,G205*$Q$27,A205=$P$28,G205*$Q$28,A205=$P$29,G205*$Q$29,A205=$P$30,G205*$Q$30,A205=$P$31,G205*$Q$31)</f>
        <v>1199509.1937232069</v>
      </c>
      <c r="I205">
        <f t="shared" si="8"/>
        <v>1207168.1937232069</v>
      </c>
      <c r="J205" s="1">
        <f t="shared" si="9"/>
        <v>1291786.1937232069</v>
      </c>
    </row>
    <row r="206" spans="1:10" x14ac:dyDescent="0.2">
      <c r="A206">
        <v>2017</v>
      </c>
      <c r="C206" t="s">
        <v>50</v>
      </c>
      <c r="D206">
        <v>53704</v>
      </c>
      <c r="E206">
        <v>4861</v>
      </c>
      <c r="F206">
        <v>58565</v>
      </c>
      <c r="G206" cm="1">
        <f t="array" ref="G206">_xlfn.IFS(A206=$E$640,F206/$F$640,A206=$E$641,F206/$F$641,A206=$E$641,F206/$F$641,A206=$E$642,F206/$F$642,A206=$E$643,F206/$F$643,A206=$E$644,F206/$F$644,A206=$E$645,F206/$F$645,A206=$E$646,F206/$F$646,A206=$E$647,F206/$F$647)</f>
        <v>1.8160531219647818E-3</v>
      </c>
      <c r="H206" cm="1">
        <f t="array" ref="H206">_xlfn.IFS(A206=$P$24,G206*$Q$24,A206=$P$25,G206*$Q$25,A206=$P$26,G206*$Q$26,A206=$P$27,G206*$Q$27,A206=$P$28,G206*$Q$28,A206=$P$29,G206*$Q$29,A206=$P$30,G206*$Q$30,A206=$P$31,G206*$Q$31)</f>
        <v>761286.73375163483</v>
      </c>
      <c r="I206">
        <f t="shared" si="8"/>
        <v>766147.73375163483</v>
      </c>
      <c r="J206" s="1">
        <f t="shared" si="9"/>
        <v>819851.73375163483</v>
      </c>
    </row>
    <row r="207" spans="1:10" x14ac:dyDescent="0.2">
      <c r="A207">
        <v>2017</v>
      </c>
      <c r="C207" t="s">
        <v>51</v>
      </c>
      <c r="D207">
        <v>180126</v>
      </c>
      <c r="E207">
        <v>16304</v>
      </c>
      <c r="F207">
        <v>196430</v>
      </c>
      <c r="G207" cm="1">
        <f t="array" ref="G207">_xlfn.IFS(A207=$E$640,F207/$F$640,A207=$E$641,F207/$F$641,A207=$E$641,F207/$F$641,A207=$E$642,F207/$F$642,A207=$E$643,F207/$F$643,A207=$E$644,F207/$F$644,A207=$E$645,F207/$F$645,A207=$E$646,F207/$F$646,A207=$E$647,F207/$F$647)</f>
        <v>6.0911348885433637E-3</v>
      </c>
      <c r="H207" cm="1">
        <f t="array" ref="H207">_xlfn.IFS(A207=$P$24,G207*$Q$24,A207=$P$25,G207*$Q$25,A207=$P$26,G207*$Q$26,A207=$P$27,G207*$Q$27,A207=$P$28,G207*$Q$28,A207=$P$29,G207*$Q$29,A207=$P$30,G207*$Q$30,A207=$P$31,G207*$Q$31)</f>
        <v>2553394.572028236</v>
      </c>
      <c r="I207">
        <f t="shared" si="8"/>
        <v>2569698.572028236</v>
      </c>
      <c r="J207" s="1">
        <f t="shared" si="9"/>
        <v>2749824.572028236</v>
      </c>
    </row>
    <row r="208" spans="1:10" x14ac:dyDescent="0.2">
      <c r="A208">
        <v>2017</v>
      </c>
      <c r="C208" t="s">
        <v>52</v>
      </c>
      <c r="D208">
        <v>246967</v>
      </c>
      <c r="E208">
        <v>22354</v>
      </c>
      <c r="F208">
        <v>269321</v>
      </c>
      <c r="G208" cm="1">
        <f t="array" ref="G208">_xlfn.IFS(A208=$E$640,F208/$F$640,A208=$E$641,F208/$F$641,A208=$E$641,F208/$F$641,A208=$E$642,F208/$F$642,A208=$E$643,F208/$F$643,A208=$E$644,F208/$F$644,A208=$E$645,F208/$F$645,A208=$E$646,F208/$F$646,A208=$E$647,F208/$F$647)</f>
        <v>8.3514256443383769E-3</v>
      </c>
      <c r="H208" cm="1">
        <f t="array" ref="H208">_xlfn.IFS(A208=$P$24,G208*$Q$24,A208=$P$25,G208*$Q$25,A208=$P$26,G208*$Q$26,A208=$P$27,G208*$Q$27,A208=$P$28,G208*$Q$28,A208=$P$29,G208*$Q$29,A208=$P$30,G208*$Q$30,A208=$P$31,G208*$Q$31)</f>
        <v>3500905.0528596272</v>
      </c>
      <c r="I208">
        <f t="shared" si="8"/>
        <v>3523259.0528596272</v>
      </c>
      <c r="J208" s="1">
        <f t="shared" si="9"/>
        <v>3770226.0528596272</v>
      </c>
    </row>
    <row r="209" spans="1:10" x14ac:dyDescent="0.2">
      <c r="A209">
        <v>2017</v>
      </c>
      <c r="C209" t="s">
        <v>53</v>
      </c>
      <c r="D209">
        <v>525779</v>
      </c>
      <c r="E209">
        <v>47591</v>
      </c>
      <c r="F209">
        <v>573370</v>
      </c>
      <c r="G209" cm="1">
        <f t="array" ref="G209">_xlfn.IFS(A209=$E$640,F209/$F$640,A209=$E$641,F209/$F$641,A209=$E$641,F209/$F$641,A209=$E$642,F209/$F$642,A209=$E$643,F209/$F$643,A209=$E$644,F209/$F$644,A209=$E$645,F209/$F$645,A209=$E$646,F209/$F$646,A209=$E$647,F209/$F$647)</f>
        <v>1.7779738385399931E-2</v>
      </c>
      <c r="H209" cm="1">
        <f t="array" ref="H209">_xlfn.IFS(A209=$P$24,G209*$Q$24,A209=$P$25,G209*$Q$25,A209=$P$26,G209*$Q$26,A209=$P$27,G209*$Q$27,A209=$P$28,G209*$Q$28,A209=$P$29,G209*$Q$29,A209=$P$30,G209*$Q$30,A209=$P$31,G209*$Q$31)</f>
        <v>7453239.5548736425</v>
      </c>
      <c r="I209">
        <f t="shared" si="8"/>
        <v>7500830.5548736425</v>
      </c>
      <c r="J209" s="1">
        <f t="shared" si="9"/>
        <v>8026609.5548736425</v>
      </c>
    </row>
    <row r="210" spans="1:10" x14ac:dyDescent="0.2">
      <c r="A210">
        <v>2017</v>
      </c>
      <c r="C210" t="s">
        <v>54</v>
      </c>
      <c r="D210">
        <v>87932</v>
      </c>
      <c r="E210">
        <v>7959</v>
      </c>
      <c r="F210">
        <v>95891</v>
      </c>
      <c r="G210" cm="1">
        <f t="array" ref="G210">_xlfn.IFS(A210=$E$640,F210/$F$640,A210=$E$641,F210/$F$641,A210=$E$641,F210/$F$641,A210=$E$642,F210/$F$642,A210=$E$643,F210/$F$643,A210=$E$644,F210/$F$644,A210=$E$645,F210/$F$645,A210=$E$646,F210/$F$646,A210=$E$647,F210/$F$647)</f>
        <v>2.9735020902983845E-3</v>
      </c>
      <c r="H210" cm="1">
        <f t="array" ref="H210">_xlfn.IFS(A210=$P$24,G210*$Q$24,A210=$P$25,G210*$Q$25,A210=$P$26,G210*$Q$26,A210=$P$27,G210*$Q$27,A210=$P$28,G210*$Q$28,A210=$P$29,G210*$Q$29,A210=$P$30,G210*$Q$30,A210=$P$31,G210*$Q$31)</f>
        <v>1246487.5981589349</v>
      </c>
      <c r="I210">
        <f t="shared" si="8"/>
        <v>1254446.5981589349</v>
      </c>
      <c r="J210" s="1">
        <f t="shared" si="9"/>
        <v>1342378.5981589349</v>
      </c>
    </row>
    <row r="211" spans="1:10" x14ac:dyDescent="0.2">
      <c r="A211">
        <v>2017</v>
      </c>
      <c r="C211" t="s">
        <v>55</v>
      </c>
      <c r="D211">
        <v>455801</v>
      </c>
      <c r="E211">
        <v>41257</v>
      </c>
      <c r="F211">
        <v>497058</v>
      </c>
      <c r="G211" cm="1">
        <f t="array" ref="G211">_xlfn.IFS(A211=$E$640,F211/$F$640,A211=$E$641,F211/$F$641,A211=$E$641,F211/$F$641,A211=$E$642,F211/$F$642,A211=$E$643,F211/$F$643,A211=$E$644,F211/$F$644,A211=$E$645,F211/$F$645,A211=$E$646,F211/$F$646,A211=$E$647,F211/$F$647)</f>
        <v>1.5413365195894656E-2</v>
      </c>
      <c r="H211" cm="1">
        <f t="array" ref="H211">_xlfn.IFS(A211=$P$24,G211*$Q$24,A211=$P$25,G211*$Q$25,A211=$P$26,G211*$Q$26,A211=$P$27,G211*$Q$27,A211=$P$28,G211*$Q$28,A211=$P$29,G211*$Q$29,A211=$P$30,G211*$Q$30,A211=$P$31,G211*$Q$31)</f>
        <v>6461259.4775910545</v>
      </c>
      <c r="I211">
        <f t="shared" si="8"/>
        <v>6502516.4775910545</v>
      </c>
      <c r="J211" s="1">
        <f t="shared" si="9"/>
        <v>6958317.4775910545</v>
      </c>
    </row>
    <row r="212" spans="1:10" x14ac:dyDescent="0.2">
      <c r="A212">
        <v>2017</v>
      </c>
      <c r="C212" t="s">
        <v>56</v>
      </c>
      <c r="D212">
        <v>30529</v>
      </c>
      <c r="E212">
        <v>2763</v>
      </c>
      <c r="F212">
        <v>33292</v>
      </c>
      <c r="G212" cm="1">
        <f t="array" ref="G212">_xlfn.IFS(A212=$E$640,F212/$F$640,A212=$E$641,F212/$F$641,A212=$E$641,F212/$F$641,A212=$E$642,F212/$F$642,A212=$E$643,F212/$F$643,A212=$E$644,F212/$F$644,A212=$E$645,F212/$F$645,A212=$E$646,F212/$F$646,A212=$E$647,F212/$F$647)</f>
        <v>1.0323579020994026E-3</v>
      </c>
      <c r="H212" cm="1">
        <f t="array" ref="H212">_xlfn.IFS(A212=$P$24,G212*$Q$24,A212=$P$25,G212*$Q$25,A212=$P$26,G212*$Q$26,A212=$P$27,G212*$Q$27,A212=$P$28,G212*$Q$28,A212=$P$29,G212*$Q$29,A212=$P$30,G212*$Q$30,A212=$P$31,G212*$Q$31)</f>
        <v>432762.87782906898</v>
      </c>
      <c r="I212">
        <f t="shared" si="8"/>
        <v>435525.87782906898</v>
      </c>
      <c r="J212" s="1">
        <f t="shared" si="9"/>
        <v>466054.87782906898</v>
      </c>
    </row>
    <row r="213" spans="1:10" x14ac:dyDescent="0.2">
      <c r="A213">
        <v>2017</v>
      </c>
      <c r="C213" t="s">
        <v>57</v>
      </c>
      <c r="D213">
        <v>1085984</v>
      </c>
      <c r="E213">
        <v>98298</v>
      </c>
      <c r="F213">
        <v>1184282</v>
      </c>
      <c r="G213" cm="1">
        <f t="array" ref="G213">_xlfn.IFS(A213=$E$640,F213/$F$640,A213=$E$641,F213/$F$641,A213=$E$641,F213/$F$641,A213=$E$642,F213/$F$642,A213=$E$643,F213/$F$643,A213=$E$644,F213/$F$644,A213=$E$645,F213/$F$645,A213=$E$646,F213/$F$646,A213=$E$647,F213/$F$647)</f>
        <v>3.6723623723840103E-2</v>
      </c>
      <c r="H213" cm="1">
        <f t="array" ref="H213">_xlfn.IFS(A213=$P$24,G213*$Q$24,A213=$P$25,G213*$Q$25,A213=$P$26,G213*$Q$26,A213=$P$27,G213*$Q$27,A213=$P$28,G213*$Q$28,A213=$P$29,G213*$Q$29,A213=$P$30,G213*$Q$30,A213=$P$31,G213*$Q$31)</f>
        <v>15394487.759256443</v>
      </c>
      <c r="I213">
        <f t="shared" si="8"/>
        <v>15492785.759256443</v>
      </c>
      <c r="J213" s="1">
        <f t="shared" si="9"/>
        <v>16578769.759256443</v>
      </c>
    </row>
    <row r="214" spans="1:10" x14ac:dyDescent="0.2">
      <c r="A214">
        <v>2017</v>
      </c>
      <c r="C214" t="s">
        <v>58</v>
      </c>
      <c r="D214">
        <v>349690</v>
      </c>
      <c r="E214">
        <v>31652</v>
      </c>
      <c r="F214">
        <v>381342</v>
      </c>
      <c r="G214" cm="1">
        <f t="array" ref="G214">_xlfn.IFS(A214=$E$640,F214/$F$640,A214=$E$641,F214/$F$641,A214=$E$641,F214/$F$641,A214=$E$642,F214/$F$642,A214=$E$643,F214/$F$643,A214=$E$644,F214/$F$644,A214=$E$645,F214/$F$645,A214=$E$646,F214/$F$646,A214=$E$647,F214/$F$647)</f>
        <v>1.1825105944442822E-2</v>
      </c>
      <c r="H214" cm="1">
        <f t="array" ref="H214">_xlfn.IFS(A214=$P$24,G214*$Q$24,A214=$P$25,G214*$Q$25,A214=$P$26,G214*$Q$26,A214=$P$27,G214*$Q$27,A214=$P$28,G214*$Q$28,A214=$P$29,G214*$Q$29,A214=$P$30,G214*$Q$30,A214=$P$31,G214*$Q$31)</f>
        <v>4957066.6033008788</v>
      </c>
      <c r="I214">
        <f t="shared" si="8"/>
        <v>4988718.6033008788</v>
      </c>
      <c r="J214" s="1">
        <f t="shared" si="9"/>
        <v>5338408.6033008788</v>
      </c>
    </row>
    <row r="215" spans="1:10" x14ac:dyDescent="0.2">
      <c r="A215">
        <v>2017</v>
      </c>
      <c r="C215" t="s">
        <v>59</v>
      </c>
      <c r="D215">
        <v>59754</v>
      </c>
      <c r="E215">
        <v>5409</v>
      </c>
      <c r="F215">
        <v>65163</v>
      </c>
      <c r="G215" cm="1">
        <f t="array" ref="G215">_xlfn.IFS(A215=$E$640,F215/$F$640,A215=$E$641,F215/$F$641,A215=$E$641,F215/$F$641,A215=$E$642,F215/$F$642,A215=$E$643,F215/$F$643,A215=$E$644,F215/$F$644,A215=$E$645,F215/$F$645,A215=$E$646,F215/$F$646,A215=$E$647,F215/$F$647)</f>
        <v>2.0206517474018796E-3</v>
      </c>
      <c r="H215" cm="1">
        <f t="array" ref="H215">_xlfn.IFS(A215=$P$24,G215*$Q$24,A215=$P$25,G215*$Q$25,A215=$P$26,G215*$Q$26,A215=$P$27,G215*$Q$27,A215=$P$28,G215*$Q$28,A215=$P$29,G215*$Q$29,A215=$P$30,G215*$Q$30,A215=$P$31,G215*$Q$31)</f>
        <v>847054.16940933629</v>
      </c>
      <c r="I215">
        <f t="shared" si="8"/>
        <v>852463.16940933629</v>
      </c>
      <c r="J215" s="1">
        <f t="shared" si="9"/>
        <v>912217.16940933629</v>
      </c>
    </row>
    <row r="216" spans="1:10" x14ac:dyDescent="0.2">
      <c r="A216">
        <v>2017</v>
      </c>
      <c r="C216" t="s">
        <v>60</v>
      </c>
      <c r="D216">
        <v>23227</v>
      </c>
      <c r="E216">
        <v>2102</v>
      </c>
      <c r="F216">
        <v>25329</v>
      </c>
      <c r="G216" cm="1">
        <f t="array" ref="G216">_xlfn.IFS(A216=$E$640,F216/$F$640,A216=$E$641,F216/$F$641,A216=$E$641,F216/$F$641,A216=$E$642,F216/$F$642,A216=$E$643,F216/$F$643,A216=$E$644,F216/$F$644,A216=$E$645,F216/$F$645,A216=$E$646,F216/$F$646,A216=$E$647,F216/$F$647)</f>
        <v>7.8543173441895258E-4</v>
      </c>
      <c r="H216" cm="1">
        <f t="array" ref="H216">_xlfn.IFS(A216=$P$24,G216*$Q$24,A216=$P$25,G216*$Q$25,A216=$P$26,G216*$Q$26,A216=$P$27,G216*$Q$27,A216=$P$28,G216*$Q$28,A216=$P$29,G216*$Q$29,A216=$P$30,G216*$Q$30,A216=$P$31,G216*$Q$31)</f>
        <v>329251.80020823289</v>
      </c>
      <c r="I216">
        <f t="shared" si="8"/>
        <v>331353.80020823289</v>
      </c>
      <c r="J216" s="1">
        <f t="shared" si="9"/>
        <v>354580.80020823289</v>
      </c>
    </row>
    <row r="217" spans="1:10" x14ac:dyDescent="0.2">
      <c r="A217">
        <v>2017</v>
      </c>
      <c r="C217" t="s">
        <v>61</v>
      </c>
      <c r="D217">
        <v>108630</v>
      </c>
      <c r="E217">
        <v>9833</v>
      </c>
      <c r="F217">
        <v>118463</v>
      </c>
      <c r="G217" cm="1">
        <f t="array" ref="G217">_xlfn.IFS(A217=$E$640,F217/$F$640,A217=$E$641,F217/$F$641,A217=$E$641,F217/$F$641,A217=$E$642,F217/$F$642,A217=$E$643,F217/$F$643,A217=$E$644,F217/$F$644,A217=$E$645,F217/$F$645,A217=$E$646,F217/$F$646,A217=$E$647,F217/$F$647)</f>
        <v>3.6734414921423026E-3</v>
      </c>
      <c r="H217" cm="1">
        <f t="array" ref="H217">_xlfn.IFS(A217=$P$24,G217*$Q$24,A217=$P$25,G217*$Q$25,A217=$P$26,G217*$Q$26,A217=$P$27,G217*$Q$27,A217=$P$28,G217*$Q$28,A217=$P$29,G217*$Q$29,A217=$P$30,G217*$Q$30,A217=$P$31,G217*$Q$31)</f>
        <v>1539901.141303166</v>
      </c>
      <c r="I217">
        <f t="shared" si="8"/>
        <v>1549734.141303166</v>
      </c>
      <c r="J217" s="1">
        <f t="shared" si="9"/>
        <v>1658364.141303166</v>
      </c>
    </row>
    <row r="218" spans="1:10" x14ac:dyDescent="0.2">
      <c r="A218">
        <v>2017</v>
      </c>
      <c r="C218" t="s">
        <v>62</v>
      </c>
      <c r="D218">
        <v>89684</v>
      </c>
      <c r="E218">
        <v>8118</v>
      </c>
      <c r="F218">
        <v>97802</v>
      </c>
      <c r="G218" cm="1">
        <f t="array" ref="G218">_xlfn.IFS(A218=$E$640,F218/$F$640,A218=$E$641,F218/$F$641,A218=$E$641,F218/$F$641,A218=$E$642,F218/$F$642,A218=$E$643,F218/$F$643,A218=$E$644,F218/$F$644,A218=$E$645,F218/$F$645,A218=$E$646,F218/$F$646,A218=$E$647,F218/$F$647)</f>
        <v>3.0327606494390778E-3</v>
      </c>
      <c r="H218" cm="1">
        <f t="array" ref="H218">_xlfn.IFS(A218=$P$24,G218*$Q$24,A218=$P$25,G218*$Q$25,A218=$P$26,G218*$Q$26,A218=$P$27,G218*$Q$27,A218=$P$28,G218*$Q$28,A218=$P$29,G218*$Q$29,A218=$P$30,G218*$Q$30,A218=$P$31,G218*$Q$31)</f>
        <v>1271328.6969073233</v>
      </c>
      <c r="I218">
        <f t="shared" si="8"/>
        <v>1279446.6969073233</v>
      </c>
      <c r="J218" s="1">
        <f t="shared" si="9"/>
        <v>1369130.6969073233</v>
      </c>
    </row>
    <row r="219" spans="1:10" x14ac:dyDescent="0.2">
      <c r="A219">
        <v>2017</v>
      </c>
      <c r="C219" t="s">
        <v>63</v>
      </c>
      <c r="D219">
        <v>188146</v>
      </c>
      <c r="E219">
        <v>17030</v>
      </c>
      <c r="F219">
        <v>205176</v>
      </c>
      <c r="G219" cm="1">
        <f t="array" ref="G219">_xlfn.IFS(A219=$E$640,F219/$F$640,A219=$E$641,F219/$F$641,A219=$E$641,F219/$F$641,A219=$E$642,F219/$F$642,A219=$E$643,F219/$F$643,A219=$E$644,F219/$F$644,A219=$E$645,F219/$F$645,A219=$E$646,F219/$F$646,A219=$E$647,F219/$F$647)</f>
        <v>6.3623412507853852E-3</v>
      </c>
      <c r="H219" cm="1">
        <f t="array" ref="H219">_xlfn.IFS(A219=$P$24,G219*$Q$24,A219=$P$25,G219*$Q$25,A219=$P$26,G219*$Q$26,A219=$P$27,G219*$Q$27,A219=$P$28,G219*$Q$28,A219=$P$29,G219*$Q$29,A219=$P$30,G219*$Q$30,A219=$P$31,G219*$Q$31)</f>
        <v>2667083.8706433098</v>
      </c>
      <c r="I219">
        <f t="shared" si="8"/>
        <v>2684113.8706433098</v>
      </c>
      <c r="J219" s="1">
        <f t="shared" si="9"/>
        <v>2872259.8706433098</v>
      </c>
    </row>
    <row r="220" spans="1:10" x14ac:dyDescent="0.2">
      <c r="A220">
        <v>2017</v>
      </c>
      <c r="C220" t="s">
        <v>64</v>
      </c>
      <c r="D220">
        <v>22335</v>
      </c>
      <c r="E220">
        <v>2022</v>
      </c>
      <c r="F220">
        <v>24357</v>
      </c>
      <c r="G220" cm="1">
        <f t="array" ref="G220">_xlfn.IFS(A220=$E$640,F220/$F$640,A220=$E$641,F220/$F$641,A220=$E$641,F220/$F$641,A220=$E$642,F220/$F$642,A220=$E$643,F220/$F$643,A220=$E$644,F220/$F$644,A220=$E$645,F220/$F$645,A220=$E$646,F220/$F$646,A220=$E$647,F220/$F$647)</f>
        <v>7.55290803239071E-4</v>
      </c>
      <c r="H220" cm="1">
        <f t="array" ref="H220">_xlfn.IFS(A220=$P$24,G220*$Q$24,A220=$P$25,G220*$Q$25,A220=$P$26,G220*$Q$26,A220=$P$27,G220*$Q$27,A220=$P$28,G220*$Q$28,A220=$P$29,G220*$Q$29,A220=$P$30,G220*$Q$30,A220=$P$31,G220*$Q$31)</f>
        <v>316616.76724986889</v>
      </c>
      <c r="I220">
        <f t="shared" si="8"/>
        <v>318638.76724986889</v>
      </c>
      <c r="J220" s="1">
        <f t="shared" si="9"/>
        <v>340973.76724986889</v>
      </c>
    </row>
    <row r="221" spans="1:10" x14ac:dyDescent="0.2">
      <c r="A221">
        <v>2017</v>
      </c>
      <c r="C221" t="s">
        <v>65</v>
      </c>
      <c r="D221">
        <v>355125</v>
      </c>
      <c r="E221">
        <v>32144</v>
      </c>
      <c r="F221">
        <v>387269</v>
      </c>
      <c r="G221" cm="1">
        <f t="array" ref="G221">_xlfn.IFS(A221=$E$640,F221/$F$640,A221=$E$641,F221/$F$641,A221=$E$641,F221/$F$641,A221=$E$642,F221/$F$642,A221=$E$643,F221/$F$643,A221=$E$644,F221/$F$644,A221=$E$645,F221/$F$645,A221=$E$646,F221/$F$646,A221=$E$647,F221/$F$647)</f>
        <v>1.2008897404425494E-2</v>
      </c>
      <c r="H221" cm="1">
        <f t="array" ref="H221">_xlfn.IFS(A221=$P$24,G221*$Q$24,A221=$P$25,G221*$Q$25,A221=$P$26,G221*$Q$26,A221=$P$27,G221*$Q$27,A221=$P$28,G221*$Q$28,A221=$P$29,G221*$Q$29,A221=$P$30,G221*$Q$30,A221=$P$31,G221*$Q$31)</f>
        <v>5034111.7065356765</v>
      </c>
      <c r="I221">
        <f t="shared" si="8"/>
        <v>5066255.7065356765</v>
      </c>
      <c r="J221" s="1">
        <f t="shared" si="9"/>
        <v>5421380.7065356765</v>
      </c>
    </row>
    <row r="222" spans="1:10" x14ac:dyDescent="0.2">
      <c r="A222">
        <v>2017</v>
      </c>
      <c r="C222" t="s">
        <v>66</v>
      </c>
      <c r="D222">
        <v>31988</v>
      </c>
      <c r="E222">
        <v>2895</v>
      </c>
      <c r="F222">
        <v>34883</v>
      </c>
      <c r="G222" cm="1">
        <f t="array" ref="G222">_xlfn.IFS(A222=$E$640,F222/$F$640,A222=$E$641,F222/$F$641,A222=$E$641,F222/$F$641,A222=$E$642,F222/$F$642,A222=$E$643,F222/$F$643,A222=$E$644,F222/$F$644,A222=$E$645,F222/$F$645,A222=$E$646,F222/$F$646,A222=$E$647,F222/$F$647)</f>
        <v>1.0816935209339621E-3</v>
      </c>
      <c r="H222" cm="1">
        <f t="array" ref="H222">_xlfn.IFS(A222=$P$24,G222*$Q$24,A222=$P$25,G222*$Q$25,A222=$P$26,G222*$Q$26,A222=$P$27,G222*$Q$27,A222=$P$28,G222*$Q$28,A222=$P$29,G222*$Q$29,A222=$P$30,G222*$Q$30,A222=$P$31,G222*$Q$31)</f>
        <v>453444.29494507436</v>
      </c>
      <c r="I222">
        <f t="shared" si="8"/>
        <v>456339.29494507436</v>
      </c>
      <c r="J222" s="1">
        <f t="shared" si="9"/>
        <v>488327.29494507436</v>
      </c>
    </row>
    <row r="223" spans="1:10" x14ac:dyDescent="0.2">
      <c r="A223">
        <v>2017</v>
      </c>
      <c r="C223" t="s">
        <v>67</v>
      </c>
      <c r="D223">
        <v>74992</v>
      </c>
      <c r="E223">
        <v>6788</v>
      </c>
      <c r="F223">
        <v>81780</v>
      </c>
      <c r="G223" cm="1">
        <f t="array" ref="G223">_xlfn.IFS(A223=$E$640,F223/$F$640,A223=$E$641,F223/$F$641,A223=$E$641,F223/$F$641,A223=$E$642,F223/$F$642,A223=$E$643,F223/$F$643,A223=$E$644,F223/$F$644,A223=$E$645,F223/$F$645,A223=$E$646,F223/$F$646,A223=$E$647,F223/$F$647)</f>
        <v>2.5359314319863377E-3</v>
      </c>
      <c r="H223" cm="1">
        <f t="array" ref="H223">_xlfn.IFS(A223=$P$24,G223*$Q$24,A223=$P$25,G223*$Q$25,A223=$P$26,G223*$Q$26,A223=$P$27,G223*$Q$27,A223=$P$28,G223*$Q$28,A223=$P$29,G223*$Q$29,A223=$P$30,G223*$Q$30,A223=$P$31,G223*$Q$31)</f>
        <v>1063058.6371759363</v>
      </c>
      <c r="I223">
        <f t="shared" si="8"/>
        <v>1069846.6371759363</v>
      </c>
      <c r="J223" s="1">
        <f t="shared" si="9"/>
        <v>1144838.6371759363</v>
      </c>
    </row>
    <row r="224" spans="1:10" x14ac:dyDescent="0.2">
      <c r="A224">
        <v>2017</v>
      </c>
      <c r="C224" t="s">
        <v>68</v>
      </c>
      <c r="D224">
        <v>652831</v>
      </c>
      <c r="E224">
        <v>59091</v>
      </c>
      <c r="F224">
        <v>711922</v>
      </c>
      <c r="G224" cm="1">
        <f t="array" ref="G224">_xlfn.IFS(A224=$E$640,F224/$F$640,A224=$E$641,F224/$F$641,A224=$E$641,F224/$F$641,A224=$E$642,F224/$F$642,A224=$E$643,F224/$F$643,A224=$E$644,F224/$F$644,A224=$E$645,F224/$F$645,A224=$E$646,F224/$F$646,A224=$E$647,F224/$F$647)</f>
        <v>2.2076123464448243E-2</v>
      </c>
      <c r="H224" cm="1">
        <f t="array" ref="H224">_xlfn.IFS(A224=$P$24,G224*$Q$24,A224=$P$25,G224*$Q$25,A224=$P$26,G224*$Q$26,A224=$P$27,G224*$Q$27,A224=$P$28,G224*$Q$28,A224=$P$29,G224*$Q$29,A224=$P$30,G224*$Q$30,A224=$P$31,G224*$Q$31)</f>
        <v>9254277.7096547671</v>
      </c>
      <c r="I224">
        <f t="shared" si="8"/>
        <v>9313368.7096547671</v>
      </c>
      <c r="J224" s="1">
        <f t="shared" si="9"/>
        <v>9966199.7096547671</v>
      </c>
    </row>
    <row r="225" spans="1:10" x14ac:dyDescent="0.2">
      <c r="A225">
        <v>2017</v>
      </c>
      <c r="C225" t="s">
        <v>69</v>
      </c>
      <c r="D225">
        <v>112444</v>
      </c>
      <c r="E225">
        <v>10178</v>
      </c>
      <c r="F225">
        <v>122622</v>
      </c>
      <c r="G225" cm="1">
        <f t="array" ref="G225">_xlfn.IFS(A225=$E$640,F225/$F$640,A225=$E$641,F225/$F$641,A225=$E$641,F225/$F$641,A225=$E$642,F225/$F$642,A225=$E$643,F225/$F$643,A225=$E$644,F225/$F$644,A225=$E$645,F225/$F$645,A225=$E$646,F225/$F$646,A225=$E$647,F225/$F$647)</f>
        <v>3.8024087069335865E-3</v>
      </c>
      <c r="H225" cm="1">
        <f t="array" ref="H225">_xlfn.IFS(A225=$P$24,G225*$Q$24,A225=$P$25,G225*$Q$25,A225=$P$26,G225*$Q$26,A225=$P$27,G225*$Q$27,A225=$P$28,G225*$Q$28,A225=$P$29,G225*$Q$29,A225=$P$30,G225*$Q$30,A225=$P$31,G225*$Q$31)</f>
        <v>1593964.0035190468</v>
      </c>
      <c r="I225">
        <f t="shared" si="8"/>
        <v>1604142.0035190468</v>
      </c>
      <c r="J225" s="1">
        <f t="shared" si="9"/>
        <v>1716586.0035190468</v>
      </c>
    </row>
    <row r="226" spans="1:10" x14ac:dyDescent="0.2">
      <c r="A226">
        <v>2017</v>
      </c>
      <c r="C226" t="s">
        <v>70</v>
      </c>
      <c r="D226">
        <v>1099773</v>
      </c>
      <c r="E226">
        <v>99546</v>
      </c>
      <c r="F226">
        <v>1199319</v>
      </c>
      <c r="G226" cm="1">
        <f t="array" ref="G226">_xlfn.IFS(A226=$E$640,F226/$F$640,A226=$E$641,F226/$F$641,A226=$E$641,F226/$F$641,A226=$E$642,F226/$F$642,A226=$E$643,F226/$F$643,A226=$E$644,F226/$F$644,A226=$E$645,F226/$F$645,A226=$E$646,F226/$F$646,A226=$E$647,F226/$F$647)</f>
        <v>3.718990889066303E-2</v>
      </c>
      <c r="H226" cm="1">
        <f t="array" ref="H226">_xlfn.IFS(A226=$P$24,G226*$Q$24,A226=$P$25,G226*$Q$25,A226=$P$26,G226*$Q$26,A226=$P$27,G226*$Q$27,A226=$P$28,G226*$Q$28,A226=$P$29,G226*$Q$29,A226=$P$30,G226*$Q$30,A226=$P$31,G226*$Q$31)</f>
        <v>15589953.798963154</v>
      </c>
      <c r="I226">
        <f t="shared" si="8"/>
        <v>15689499.798963154</v>
      </c>
      <c r="J226" s="1">
        <f t="shared" si="9"/>
        <v>16789272.798963152</v>
      </c>
    </row>
    <row r="227" spans="1:10" x14ac:dyDescent="0.2">
      <c r="A227">
        <v>2017</v>
      </c>
      <c r="C227" t="s">
        <v>71</v>
      </c>
      <c r="D227">
        <v>72625</v>
      </c>
      <c r="E227">
        <v>6574</v>
      </c>
      <c r="F227">
        <v>79199</v>
      </c>
      <c r="G227" cm="1">
        <f t="array" ref="G227">_xlfn.IFS(A227=$E$640,F227/$F$640,A227=$E$641,F227/$F$641,A227=$E$641,F227/$F$641,A227=$E$642,F227/$F$642,A227=$E$643,F227/$F$643,A227=$E$644,F227/$F$644,A227=$E$645,F227/$F$645,A227=$E$646,F227/$F$646,A227=$E$647,F227/$F$647)</f>
        <v>2.4558967165796766E-3</v>
      </c>
      <c r="H227" cm="1">
        <f t="array" ref="H227">_xlfn.IFS(A227=$P$24,G227*$Q$24,A227=$P$25,G227*$Q$25,A227=$P$26,G227*$Q$26,A227=$P$27,G227*$Q$27,A227=$P$28,G227*$Q$28,A227=$P$29,G227*$Q$29,A227=$P$30,G227*$Q$30,A227=$P$31,G227*$Q$31)</f>
        <v>1029508.2050097453</v>
      </c>
      <c r="I227">
        <f t="shared" si="8"/>
        <v>1036082.2050097453</v>
      </c>
      <c r="J227" s="1">
        <f t="shared" si="9"/>
        <v>1108707.2050097454</v>
      </c>
    </row>
    <row r="228" spans="1:10" x14ac:dyDescent="0.2">
      <c r="A228">
        <v>2017</v>
      </c>
      <c r="C228" t="s">
        <v>72</v>
      </c>
      <c r="D228">
        <v>31812</v>
      </c>
      <c r="E228">
        <v>2880</v>
      </c>
      <c r="F228">
        <v>34692</v>
      </c>
      <c r="G228" cm="1">
        <f t="array" ref="G228">_xlfn.IFS(A228=$E$640,F228/$F$640,A228=$E$641,F228/$F$641,A228=$E$641,F228/$F$641,A228=$E$642,F228/$F$642,A228=$E$643,F228/$F$643,A228=$E$644,F228/$F$644,A228=$E$645,F228/$F$645,A228=$E$646,F228/$F$646,A228=$E$647,F228/$F$647)</f>
        <v>1.0757707659387384E-3</v>
      </c>
      <c r="H228" cm="1">
        <f t="array" ref="H228">_xlfn.IFS(A228=$P$24,G228*$Q$24,A228=$P$25,G228*$Q$25,A228=$P$26,G228*$Q$26,A228=$P$27,G228*$Q$27,A228=$P$28,G228*$Q$28,A228=$P$29,G228*$Q$29,A228=$P$30,G228*$Q$30,A228=$P$31,G228*$Q$31)</f>
        <v>450961.48497074563</v>
      </c>
      <c r="I228">
        <f t="shared" si="8"/>
        <v>453841.48497074563</v>
      </c>
      <c r="J228" s="1">
        <f t="shared" si="9"/>
        <v>485653.48497074563</v>
      </c>
    </row>
    <row r="229" spans="1:10" x14ac:dyDescent="0.2">
      <c r="A229">
        <v>2017</v>
      </c>
      <c r="C229" t="s">
        <v>73</v>
      </c>
      <c r="D229">
        <v>13864</v>
      </c>
      <c r="E229">
        <v>1255</v>
      </c>
      <c r="F229">
        <v>15119</v>
      </c>
      <c r="G229" cm="1">
        <f t="array" ref="G229">_xlfn.IFS(A229=$E$640,F229/$F$640,A229=$E$641,F229/$F$641,A229=$E$641,F229/$F$641,A229=$E$642,F229/$F$642,A229=$E$643,F229/$F$643,A229=$E$644,F229/$F$644,A229=$E$645,F229/$F$645,A229=$E$646,F229/$F$646,A229=$E$647,F229/$F$647)</f>
        <v>4.6882792027636878E-4</v>
      </c>
      <c r="H229" cm="1">
        <f t="array" ref="H229">_xlfn.IFS(A229=$P$24,G229*$Q$24,A229=$P$25,G229*$Q$25,A229=$P$26,G229*$Q$26,A229=$P$27,G229*$Q$27,A229=$P$28,G229*$Q$28,A229=$P$29,G229*$Q$29,A229=$P$30,G229*$Q$30,A229=$P$31,G229*$Q$31)</f>
        <v>196531.95812500585</v>
      </c>
      <c r="I229">
        <f t="shared" si="8"/>
        <v>197786.95812500585</v>
      </c>
      <c r="J229" s="1">
        <f t="shared" si="9"/>
        <v>211650.95812500585</v>
      </c>
    </row>
    <row r="230" spans="1:10" x14ac:dyDescent="0.2">
      <c r="A230">
        <v>2017</v>
      </c>
      <c r="C230" t="s">
        <v>74</v>
      </c>
      <c r="D230">
        <v>9940</v>
      </c>
      <c r="E230">
        <v>900</v>
      </c>
      <c r="F230">
        <v>10840</v>
      </c>
      <c r="G230" cm="1">
        <f t="array" ref="G230">_xlfn.IFS(A230=$E$640,F230/$F$640,A230=$E$641,F230/$F$641,A230=$E$641,F230/$F$641,A230=$E$642,F230/$F$642,A230=$E$643,F230/$F$643,A230=$E$644,F230/$F$644,A230=$E$645,F230/$F$645,A230=$E$646,F230/$F$646,A230=$E$647,F230/$F$647)</f>
        <v>3.3613960287028489E-4</v>
      </c>
      <c r="H230" cm="1">
        <f t="array" ref="H230">_xlfn.IFS(A230=$P$24,G230*$Q$24,A230=$P$25,G230*$Q$25,A230=$P$26,G230*$Q$26,A230=$P$27,G230*$Q$27,A230=$P$28,G230*$Q$28,A230=$P$29,G230*$Q$29,A230=$P$30,G230*$Q$30,A230=$P$31,G230*$Q$31)</f>
        <v>140909.21529698151</v>
      </c>
      <c r="I230">
        <f t="shared" si="8"/>
        <v>141809.21529698151</v>
      </c>
      <c r="J230" s="1">
        <f t="shared" si="9"/>
        <v>151749.21529698151</v>
      </c>
    </row>
    <row r="231" spans="1:10" x14ac:dyDescent="0.2">
      <c r="A231">
        <v>2017</v>
      </c>
      <c r="C231" t="s">
        <v>75</v>
      </c>
      <c r="D231">
        <v>7501</v>
      </c>
      <c r="E231">
        <v>679</v>
      </c>
      <c r="F231">
        <v>8180</v>
      </c>
      <c r="G231" cm="1">
        <f t="array" ref="G231">_xlfn.IFS(A231=$E$640,F231/$F$640,A231=$E$641,F231/$F$641,A231=$E$641,F231/$F$641,A231=$E$642,F231/$F$642,A231=$E$643,F231/$F$643,A231=$E$644,F231/$F$644,A231=$E$645,F231/$F$645,A231=$E$646,F231/$F$646,A231=$E$647,F231/$F$647)</f>
        <v>2.5365516157554709E-4</v>
      </c>
      <c r="H231" cm="1">
        <f t="array" ref="H231">_xlfn.IFS(A231=$P$24,G231*$Q$24,A231=$P$25,G231*$Q$25,A231=$P$26,G231*$Q$26,A231=$P$27,G231*$Q$27,A231=$P$28,G231*$Q$28,A231=$P$29,G231*$Q$29,A231=$P$30,G231*$Q$30,A231=$P$31,G231*$Q$31)</f>
        <v>106331.861727796</v>
      </c>
      <c r="I231">
        <f t="shared" si="8"/>
        <v>107010.861727796</v>
      </c>
      <c r="J231" s="1">
        <f t="shared" si="9"/>
        <v>114511.861727796</v>
      </c>
    </row>
    <row r="232" spans="1:10" x14ac:dyDescent="0.2">
      <c r="A232">
        <v>2017</v>
      </c>
      <c r="C232" t="s">
        <v>76</v>
      </c>
      <c r="D232">
        <v>8548</v>
      </c>
      <c r="E232">
        <v>774</v>
      </c>
      <c r="F232">
        <v>9322</v>
      </c>
      <c r="G232" cm="1">
        <f t="array" ref="G232">_xlfn.IFS(A232=$E$640,F232/$F$640,A232=$E$641,F232/$F$641,A232=$E$641,F232/$F$641,A232=$E$642,F232/$F$642,A232=$E$643,F232/$F$643,A232=$E$644,F232/$F$644,A232=$E$645,F232/$F$645,A232=$E$646,F232/$F$646,A232=$E$647,F232/$F$647)</f>
        <v>2.8906765479306233E-4</v>
      </c>
      <c r="H232" cm="1">
        <f t="array" ref="H232">_xlfn.IFS(A232=$P$24,G232*$Q$24,A232=$P$25,G232*$Q$25,A232=$P$26,G232*$Q$26,A232=$P$27,G232*$Q$27,A232=$P$28,G232*$Q$28,A232=$P$29,G232*$Q$29,A232=$P$30,G232*$Q$30,A232=$P$31,G232*$Q$31)</f>
        <v>121176.72555336361</v>
      </c>
      <c r="I232">
        <f t="shared" si="8"/>
        <v>121950.72555336361</v>
      </c>
      <c r="J232" s="1">
        <f t="shared" si="9"/>
        <v>130498.72555336361</v>
      </c>
    </row>
    <row r="233" spans="1:10" x14ac:dyDescent="0.2">
      <c r="A233">
        <v>2017</v>
      </c>
      <c r="C233" t="s">
        <v>77</v>
      </c>
      <c r="D233">
        <v>38569</v>
      </c>
      <c r="E233">
        <v>3491</v>
      </c>
      <c r="F233">
        <v>42060</v>
      </c>
      <c r="G233" cm="1">
        <f t="array" ref="G233">_xlfn.IFS(A233=$E$640,F233/$F$640,A233=$E$641,F233/$F$641,A233=$E$641,F233/$F$641,A233=$E$642,F233/$F$642,A233=$E$643,F233/$F$643,A233=$E$644,F233/$F$644,A233=$E$645,F233/$F$645,A233=$E$646,F233/$F$646,A233=$E$647,F233/$F$647)</f>
        <v>1.3042464664874708E-3</v>
      </c>
      <c r="H233" cm="1">
        <f t="array" ref="H233">_xlfn.IFS(A233=$P$24,G233*$Q$24,A233=$P$25,G233*$Q$25,A233=$P$26,G233*$Q$26,A233=$P$27,G233*$Q$27,A233=$P$28,G233*$Q$28,A233=$P$29,G233*$Q$29,A233=$P$30,G233*$Q$30,A233=$P$31,G233*$Q$31)</f>
        <v>546738.15455636929</v>
      </c>
      <c r="I233">
        <f t="shared" si="8"/>
        <v>550229.15455636929</v>
      </c>
      <c r="J233" s="1">
        <f t="shared" si="9"/>
        <v>588798.15455636929</v>
      </c>
    </row>
    <row r="234" spans="1:10" x14ac:dyDescent="0.2">
      <c r="A234">
        <v>2017</v>
      </c>
      <c r="C234" t="s">
        <v>78</v>
      </c>
      <c r="D234">
        <v>17065</v>
      </c>
      <c r="E234">
        <v>1545</v>
      </c>
      <c r="F234">
        <v>18610</v>
      </c>
      <c r="G234" cm="1">
        <f t="array" ref="G234">_xlfn.IFS(A234=$E$640,F234/$F$640,A234=$E$641,F234/$F$641,A234=$E$641,F234/$F$641,A234=$E$642,F234/$F$642,A234=$E$643,F234/$F$643,A234=$E$644,F234/$F$644,A234=$E$645,F234/$F$645,A234=$E$646,F234/$F$646,A234=$E$647,F234/$F$647)</f>
        <v>5.7708099717859794E-4</v>
      </c>
      <c r="H234" cm="1">
        <f t="array" ref="H234">_xlfn.IFS(A234=$P$24,G234*$Q$24,A234=$P$25,G234*$Q$25,A234=$P$26,G234*$Q$26,A234=$P$27,G234*$Q$27,A234=$P$28,G234*$Q$28,A234=$P$29,G234*$Q$29,A234=$P$30,G234*$Q$30,A234=$P$31,G234*$Q$31)</f>
        <v>241911.4849332865</v>
      </c>
      <c r="I234">
        <f t="shared" si="8"/>
        <v>243456.4849332865</v>
      </c>
      <c r="J234" s="1">
        <f t="shared" si="9"/>
        <v>260521.4849332865</v>
      </c>
    </row>
    <row r="235" spans="1:10" x14ac:dyDescent="0.2">
      <c r="A235">
        <v>2017</v>
      </c>
      <c r="C235" t="s">
        <v>79</v>
      </c>
      <c r="D235">
        <v>10717</v>
      </c>
      <c r="E235">
        <v>970</v>
      </c>
      <c r="F235">
        <v>11687</v>
      </c>
      <c r="G235" cm="1">
        <f t="array" ref="G235">_xlfn.IFS(A235=$E$640,F235/$F$640,A235=$E$641,F235/$F$641,A235=$E$641,F235/$F$641,A235=$E$642,F235/$F$642,A235=$E$643,F235/$F$643,A235=$E$644,F235/$F$644,A235=$E$645,F235/$F$645,A235=$E$646,F235/$F$646,A235=$E$647,F235/$F$647)</f>
        <v>3.6240438549308302E-4</v>
      </c>
      <c r="H235" cm="1">
        <f t="array" ref="H235">_xlfn.IFS(A235=$P$24,G235*$Q$24,A235=$P$25,G235*$Q$25,A235=$P$26,G235*$Q$26,A235=$P$27,G235*$Q$27,A235=$P$28,G235*$Q$28,A235=$P$29,G235*$Q$29,A235=$P$30,G235*$Q$30,A235=$P$31,G235*$Q$31)</f>
        <v>151919.37261769586</v>
      </c>
      <c r="I235">
        <f t="shared" si="8"/>
        <v>152889.37261769586</v>
      </c>
      <c r="J235" s="1">
        <f t="shared" si="9"/>
        <v>163606.37261769586</v>
      </c>
    </row>
    <row r="236" spans="1:10" x14ac:dyDescent="0.2">
      <c r="A236">
        <v>2017</v>
      </c>
      <c r="C236" t="s">
        <v>80</v>
      </c>
      <c r="D236">
        <v>2240596</v>
      </c>
      <c r="E236">
        <v>202807</v>
      </c>
      <c r="F236">
        <v>2443403</v>
      </c>
      <c r="G236" cm="1">
        <f t="array" ref="G236">_xlfn.IFS(A236=$E$640,F236/$F$640,A236=$E$641,F236/$F$641,A236=$E$641,F236/$F$641,A236=$E$642,F236/$F$642,A236=$E$643,F236/$F$643,A236=$E$644,F236/$F$644,A236=$E$645,F236/$F$645,A236=$E$646,F236/$F$646,A236=$E$647,F236/$F$647)</f>
        <v>7.5767944102588816E-2</v>
      </c>
      <c r="H236" cm="1">
        <f t="array" ref="H236">_xlfn.IFS(A236=$P$24,G236*$Q$24,A236=$P$25,G236*$Q$25,A236=$P$26,G236*$Q$26,A236=$P$27,G236*$Q$27,A236=$P$28,G236*$Q$28,A236=$P$29,G236*$Q$29,A236=$P$30,G236*$Q$30,A236=$P$31,G236*$Q$31)</f>
        <v>31761808.061281413</v>
      </c>
      <c r="I236">
        <f t="shared" si="8"/>
        <v>31964615.061281413</v>
      </c>
      <c r="J236" s="1">
        <f t="shared" si="9"/>
        <v>34205211.061281413</v>
      </c>
    </row>
    <row r="237" spans="1:10" x14ac:dyDescent="0.2">
      <c r="A237">
        <v>2017</v>
      </c>
      <c r="C237" t="s">
        <v>81</v>
      </c>
      <c r="D237">
        <v>22918</v>
      </c>
      <c r="E237">
        <v>2074</v>
      </c>
      <c r="F237">
        <v>24992</v>
      </c>
      <c r="G237" cm="1">
        <f t="array" ref="G237">_xlfn.IFS(A237=$E$640,F237/$F$640,A237=$E$641,F237/$F$641,A237=$E$641,F237/$F$641,A237=$E$642,F237/$F$642,A237=$E$643,F237/$F$643,A237=$E$644,F237/$F$644,A237=$E$645,F237/$F$645,A237=$E$646,F237/$F$646,A237=$E$647,F237/$F$647)</f>
        <v>7.7498163790905533E-4</v>
      </c>
      <c r="H237" cm="1">
        <f t="array" ref="H237">_xlfn.IFS(A237=$P$24,G237*$Q$24,A237=$P$25,G237*$Q$25,A237=$P$26,G237*$Q$26,A237=$P$27,G237*$Q$27,A237=$P$28,G237*$Q$28,A237=$P$29,G237*$Q$29,A237=$P$30,G237*$Q$30,A237=$P$31,G237*$Q$31)</f>
        <v>324871.13548912929</v>
      </c>
      <c r="I237">
        <f t="shared" si="8"/>
        <v>326945.13548912929</v>
      </c>
      <c r="J237" s="1">
        <f t="shared" si="9"/>
        <v>349863.13548912929</v>
      </c>
    </row>
    <row r="238" spans="1:10" x14ac:dyDescent="0.2">
      <c r="A238">
        <v>2017</v>
      </c>
      <c r="C238" t="s">
        <v>82</v>
      </c>
      <c r="D238">
        <v>44167</v>
      </c>
      <c r="E238">
        <v>3998</v>
      </c>
      <c r="F238">
        <v>48165</v>
      </c>
      <c r="G238" cm="1">
        <f t="array" ref="G238">_xlfn.IFS(A238=$E$640,F238/$F$640,A238=$E$641,F238/$F$641,A238=$E$641,F238/$F$641,A238=$E$642,F238/$F$642,A238=$E$643,F238/$F$643,A238=$E$644,F238/$F$644,A238=$E$645,F238/$F$645,A238=$E$646,F238/$F$646,A238=$E$647,F238/$F$647)</f>
        <v>1.4935575620154311E-3</v>
      </c>
      <c r="H238" cm="1">
        <f t="array" ref="H238">_xlfn.IFS(A238=$P$24,G238*$Q$24,A238=$P$25,G238*$Q$25,A238=$P$26,G238*$Q$26,A238=$P$27,G238*$Q$27,A238=$P$28,G238*$Q$28,A238=$P$29,G238*$Q$29,A238=$P$30,G238*$Q$30,A238=$P$31,G238*$Q$31)</f>
        <v>626097.08069918037</v>
      </c>
      <c r="I238">
        <f t="shared" si="8"/>
        <v>630095.08069918037</v>
      </c>
      <c r="J238" s="1">
        <f t="shared" si="9"/>
        <v>674262.08069918037</v>
      </c>
    </row>
    <row r="239" spans="1:10" x14ac:dyDescent="0.2">
      <c r="A239">
        <v>2018</v>
      </c>
      <c r="C239" t="s">
        <v>0</v>
      </c>
      <c r="D239">
        <v>91307</v>
      </c>
      <c r="E239">
        <v>5768</v>
      </c>
      <c r="F239">
        <v>97075</v>
      </c>
      <c r="G239" cm="1">
        <f t="array" ref="G239">_xlfn.IFS(A239=$E$640,F239/$F$640,A239=$E$641,F239/$F$641,A239=$E$641,F239/$F$641,A239=$E$642,F239/$F$642,A239=$E$643,F239/$F$643,A239=$E$644,F239/$F$644,A239=$E$645,F239/$F$645,A239=$E$646,F239/$F$646,A239=$E$647,F239/$F$647)</f>
        <v>3.335045947708747E-3</v>
      </c>
      <c r="H239" cm="1">
        <f t="array" ref="H239">_xlfn.IFS(A239=$P$24,G239*$Q$24,A239=$P$25,G239*$Q$25,A239=$P$26,G239*$Q$26,A239=$P$27,G239*$Q$27,A239=$P$28,G239*$Q$28,A239=$P$29,G239*$Q$29,A239=$P$30,G239*$Q$30,A239=$P$31,G239*$Q$31)</f>
        <v>1476523.074829052</v>
      </c>
      <c r="I239">
        <f t="shared" si="8"/>
        <v>1482291.074829052</v>
      </c>
      <c r="J239" s="1">
        <f t="shared" si="9"/>
        <v>1573598.074829052</v>
      </c>
    </row>
    <row r="240" spans="1:10" x14ac:dyDescent="0.2">
      <c r="A240">
        <v>2018</v>
      </c>
      <c r="C240" t="s">
        <v>1</v>
      </c>
      <c r="D240">
        <v>2128375</v>
      </c>
      <c r="E240">
        <v>134460</v>
      </c>
      <c r="F240">
        <v>2262835</v>
      </c>
      <c r="G240" cm="1">
        <f t="array" ref="G240">_xlfn.IFS(A240=$E$640,F240/$F$640,A240=$E$641,F240/$F$641,A240=$E$641,F240/$F$641,A240=$E$642,F240/$F$642,A240=$E$643,F240/$F$643,A240=$E$644,F240/$F$644,A240=$E$645,F240/$F$645,A240=$E$646,F240/$F$646,A240=$E$647,F240/$F$647)</f>
        <v>7.7740496493263173E-2</v>
      </c>
      <c r="H240" cm="1">
        <f t="array" ref="H240">_xlfn.IFS(A240=$P$24,G240*$Q$24,A240=$P$25,G240*$Q$25,A240=$P$26,G240*$Q$26,A240=$P$27,G240*$Q$27,A240=$P$28,G240*$Q$28,A240=$P$29,G240*$Q$29,A240=$P$30,G240*$Q$30,A240=$P$31,G240*$Q$31)</f>
        <v>34418007.643891819</v>
      </c>
      <c r="I240">
        <f t="shared" si="8"/>
        <v>34552467.643891819</v>
      </c>
      <c r="J240" s="1">
        <f t="shared" si="9"/>
        <v>36680842.643891819</v>
      </c>
    </row>
    <row r="241" spans="1:10" x14ac:dyDescent="0.2">
      <c r="A241">
        <v>2018</v>
      </c>
      <c r="C241" t="s">
        <v>2</v>
      </c>
      <c r="D241">
        <v>15642</v>
      </c>
      <c r="E241">
        <v>988</v>
      </c>
      <c r="F241">
        <v>16630</v>
      </c>
      <c r="G241" cm="1">
        <f t="array" ref="G241">_xlfn.IFS(A241=$E$640,F241/$F$640,A241=$E$641,F241/$F$641,A241=$E$641,F241/$F$641,A241=$E$642,F241/$F$642,A241=$E$643,F241/$F$643,A241=$E$644,F241/$F$644,A241=$E$645,F241/$F$645,A241=$E$646,F241/$F$646,A241=$E$647,F241/$F$647)</f>
        <v>5.7132952985213968E-4</v>
      </c>
      <c r="H241" cm="1">
        <f t="array" ref="H241">_xlfn.IFS(A241=$P$24,G241*$Q$24,A241=$P$25,G241*$Q$25,A241=$P$26,G241*$Q$26,A241=$P$27,G241*$Q$27,A241=$P$28,G241*$Q$28,A241=$P$29,G241*$Q$29,A241=$P$30,G241*$Q$30,A241=$P$31,G241*$Q$31)</f>
        <v>252944.41137684404</v>
      </c>
      <c r="I241">
        <f t="shared" si="8"/>
        <v>253932.41137684404</v>
      </c>
      <c r="J241" s="1">
        <f t="shared" si="9"/>
        <v>269574.41137684404</v>
      </c>
    </row>
    <row r="242" spans="1:10" x14ac:dyDescent="0.2">
      <c r="A242">
        <v>2018</v>
      </c>
      <c r="C242" t="s">
        <v>3</v>
      </c>
      <c r="D242">
        <v>118410</v>
      </c>
      <c r="E242">
        <v>7481</v>
      </c>
      <c r="F242">
        <v>125891</v>
      </c>
      <c r="G242" cm="1">
        <f t="array" ref="G242">_xlfn.IFS(A242=$E$640,F242/$F$640,A242=$E$641,F242/$F$641,A242=$E$641,F242/$F$641,A242=$E$642,F242/$F$642,A242=$E$643,F242/$F$643,A242=$E$644,F242/$F$644,A242=$E$645,F242/$F$645,A242=$E$646,F242/$F$646,A242=$E$647,F242/$F$647)</f>
        <v>4.3250298161524783E-3</v>
      </c>
      <c r="H242" cm="1">
        <f t="array" ref="H242">_xlfn.IFS(A242=$P$24,G242*$Q$24,A242=$P$25,G242*$Q$25,A242=$P$26,G242*$Q$26,A242=$P$27,G242*$Q$27,A242=$P$28,G242*$Q$28,A242=$P$29,G242*$Q$29,A242=$P$30,G242*$Q$30,A242=$P$31,G242*$Q$31)</f>
        <v>1914818.093363937</v>
      </c>
      <c r="I242">
        <f t="shared" si="8"/>
        <v>1922299.093363937</v>
      </c>
      <c r="J242" s="1">
        <f t="shared" si="9"/>
        <v>2040709.093363937</v>
      </c>
    </row>
    <row r="243" spans="1:10" x14ac:dyDescent="0.2">
      <c r="A243">
        <v>2018</v>
      </c>
      <c r="C243" t="s">
        <v>4</v>
      </c>
      <c r="D243">
        <v>374823</v>
      </c>
      <c r="E243">
        <v>23679</v>
      </c>
      <c r="F243">
        <v>398502</v>
      </c>
      <c r="G243" cm="1">
        <f t="array" ref="G243">_xlfn.IFS(A243=$E$640,F243/$F$640,A243=$E$641,F243/$F$641,A243=$E$641,F243/$F$641,A243=$E$642,F243/$F$642,A243=$E$643,F243/$F$643,A243=$E$644,F243/$F$644,A243=$E$645,F243/$F$645,A243=$E$646,F243/$F$646,A243=$E$647,F243/$F$647)</f>
        <v>1.3690677107945724E-2</v>
      </c>
      <c r="H243" cm="1">
        <f t="array" ref="H243">_xlfn.IFS(A243=$P$24,G243*$Q$24,A243=$P$25,G243*$Q$25,A243=$P$26,G243*$Q$26,A243=$P$27,G243*$Q$27,A243=$P$28,G243*$Q$28,A243=$P$29,G243*$Q$29,A243=$P$30,G243*$Q$30,A243=$P$31,G243*$Q$31)</f>
        <v>6061266.0145817865</v>
      </c>
      <c r="I243">
        <f t="shared" si="8"/>
        <v>6084945.0145817865</v>
      </c>
      <c r="J243" s="1">
        <f t="shared" si="9"/>
        <v>6459768.0145817865</v>
      </c>
    </row>
    <row r="244" spans="1:10" x14ac:dyDescent="0.2">
      <c r="A244">
        <v>2018</v>
      </c>
      <c r="C244" t="s">
        <v>5</v>
      </c>
      <c r="D244">
        <v>1126701</v>
      </c>
      <c r="E244">
        <v>71179</v>
      </c>
      <c r="F244">
        <v>1197880</v>
      </c>
      <c r="G244" cm="1">
        <f t="array" ref="G244">_xlfn.IFS(A244=$E$640,F244/$F$640,A244=$E$641,F244/$F$641,A244=$E$641,F244/$F$641,A244=$E$642,F244/$F$642,A244=$E$643,F244/$F$643,A244=$E$644,F244/$F$644,A244=$E$645,F244/$F$645,A244=$E$646,F244/$F$646,A244=$E$647,F244/$F$647)</f>
        <v>4.115359093320993E-2</v>
      </c>
      <c r="H244" cm="1">
        <f t="array" ref="H244">_xlfn.IFS(A244=$P$24,G244*$Q$24,A244=$P$25,G244*$Q$25,A244=$P$26,G244*$Q$26,A244=$P$27,G244*$Q$27,A244=$P$28,G244*$Q$28,A244=$P$29,G244*$Q$29,A244=$P$30,G244*$Q$30,A244=$P$31,G244*$Q$31)</f>
        <v>18219906.885152973</v>
      </c>
      <c r="I244">
        <f t="shared" si="8"/>
        <v>18291085.885152973</v>
      </c>
      <c r="J244" s="1">
        <f t="shared" si="9"/>
        <v>19417786.885152973</v>
      </c>
    </row>
    <row r="245" spans="1:10" x14ac:dyDescent="0.2">
      <c r="A245">
        <v>2018</v>
      </c>
      <c r="C245" t="s">
        <v>6</v>
      </c>
      <c r="D245">
        <v>57012</v>
      </c>
      <c r="E245">
        <v>3602</v>
      </c>
      <c r="F245">
        <v>60614</v>
      </c>
      <c r="G245" cm="1">
        <f t="array" ref="G245">_xlfn.IFS(A245=$E$640,F245/$F$640,A245=$E$641,F245/$F$641,A245=$E$641,F245/$F$641,A245=$E$642,F245/$F$642,A245=$E$643,F245/$F$643,A245=$E$644,F245/$F$644,A245=$E$645,F245/$F$645,A245=$E$646,F245/$F$646,A245=$E$647,F245/$F$647)</f>
        <v>2.0824154012301622E-3</v>
      </c>
      <c r="H245" cm="1">
        <f t="array" ref="H245">_xlfn.IFS(A245=$P$24,G245*$Q$24,A245=$P$25,G245*$Q$25,A245=$P$26,G245*$Q$26,A245=$P$27,G245*$Q$27,A245=$P$28,G245*$Q$28,A245=$P$29,G245*$Q$29,A245=$P$30,G245*$Q$30,A245=$P$31,G245*$Q$31)</f>
        <v>921946.63567023608</v>
      </c>
      <c r="I245">
        <f t="shared" si="8"/>
        <v>925548.63567023608</v>
      </c>
      <c r="J245" s="1">
        <f t="shared" si="9"/>
        <v>982560.63567023608</v>
      </c>
    </row>
    <row r="246" spans="1:10" x14ac:dyDescent="0.2">
      <c r="A246">
        <v>2018</v>
      </c>
      <c r="C246" t="s">
        <v>7</v>
      </c>
      <c r="D246">
        <v>135128</v>
      </c>
      <c r="E246">
        <v>8537</v>
      </c>
      <c r="F246">
        <v>143665</v>
      </c>
      <c r="G246" cm="1">
        <f t="array" ref="G246">_xlfn.IFS(A246=$E$640,F246/$F$640,A246=$E$641,F246/$F$641,A246=$E$641,F246/$F$641,A246=$E$642,F246/$F$642,A246=$E$643,F246/$F$643,A246=$E$644,F246/$F$644,A246=$E$645,F246/$F$645,A246=$E$646,F246/$F$646,A246=$E$647,F246/$F$647)</f>
        <v>4.9356618704875319E-3</v>
      </c>
      <c r="H246" cm="1">
        <f t="array" ref="H246">_xlfn.IFS(A246=$P$24,G246*$Q$24,A246=$P$25,G246*$Q$25,A246=$P$26,G246*$Q$26,A246=$P$27,G246*$Q$27,A246=$P$28,G246*$Q$28,A246=$P$29,G246*$Q$29,A246=$P$30,G246*$Q$30,A246=$P$31,G246*$Q$31)</f>
        <v>2185162.8899852256</v>
      </c>
      <c r="I246">
        <f t="shared" si="8"/>
        <v>2193699.8899852256</v>
      </c>
      <c r="J246" s="1">
        <f t="shared" si="9"/>
        <v>2328827.8899852256</v>
      </c>
    </row>
    <row r="247" spans="1:10" x14ac:dyDescent="0.2">
      <c r="A247">
        <v>2018</v>
      </c>
      <c r="C247" t="s">
        <v>8</v>
      </c>
      <c r="D247">
        <v>293778</v>
      </c>
      <c r="E247">
        <v>18559</v>
      </c>
      <c r="F247">
        <v>312337</v>
      </c>
      <c r="G247" cm="1">
        <f t="array" ref="G247">_xlfn.IFS(A247=$E$640,F247/$F$640,A247=$E$641,F247/$F$641,A247=$E$641,F247/$F$641,A247=$E$642,F247/$F$642,A247=$E$643,F247/$F$643,A247=$E$644,F247/$F$644,A247=$E$645,F247/$F$645,A247=$E$646,F247/$F$646,A247=$E$647,F247/$F$647)</f>
        <v>1.073044806767455E-2</v>
      </c>
      <c r="H247" cm="1">
        <f t="array" ref="H247">_xlfn.IFS(A247=$P$24,G247*$Q$24,A247=$P$25,G247*$Q$25,A247=$P$26,G247*$Q$26,A247=$P$27,G247*$Q$27,A247=$P$28,G247*$Q$28,A247=$P$29,G247*$Q$29,A247=$P$30,G247*$Q$30,A247=$P$31,G247*$Q$31)</f>
        <v>4750685.4249073565</v>
      </c>
      <c r="I247">
        <f t="shared" si="8"/>
        <v>4769244.4249073565</v>
      </c>
      <c r="J247" s="1">
        <f t="shared" si="9"/>
        <v>5063022.4249073565</v>
      </c>
    </row>
    <row r="248" spans="1:10" x14ac:dyDescent="0.2">
      <c r="A248">
        <v>2018</v>
      </c>
      <c r="C248" t="s">
        <v>9</v>
      </c>
      <c r="D248">
        <v>460921</v>
      </c>
      <c r="E248">
        <v>29119</v>
      </c>
      <c r="F248">
        <v>490040</v>
      </c>
      <c r="G248" cm="1">
        <f t="array" ref="G248">_xlfn.IFS(A248=$E$640,F248/$F$640,A248=$E$641,F248/$F$641,A248=$E$641,F248/$F$641,A248=$E$642,F248/$F$642,A248=$E$643,F248/$F$643,A248=$E$644,F248/$F$644,A248=$E$645,F248/$F$645,A248=$E$646,F248/$F$646,A248=$E$647,F248/$F$647)</f>
        <v>1.6835497462943029E-2</v>
      </c>
      <c r="H248" cm="1">
        <f t="array" ref="H248">_xlfn.IFS(A248=$P$24,G248*$Q$24,A248=$P$25,G248*$Q$25,A248=$P$26,G248*$Q$26,A248=$P$27,G248*$Q$27,A248=$P$28,G248*$Q$28,A248=$P$29,G248*$Q$29,A248=$P$30,G248*$Q$30,A248=$P$31,G248*$Q$31)</f>
        <v>7453570.6164226495</v>
      </c>
      <c r="I248">
        <f t="shared" si="8"/>
        <v>7482689.6164226495</v>
      </c>
      <c r="J248" s="1">
        <f t="shared" si="9"/>
        <v>7943610.6164226495</v>
      </c>
    </row>
    <row r="249" spans="1:10" x14ac:dyDescent="0.2">
      <c r="A249">
        <v>2018</v>
      </c>
      <c r="C249" t="s">
        <v>10</v>
      </c>
      <c r="D249">
        <v>53818</v>
      </c>
      <c r="E249">
        <v>3400</v>
      </c>
      <c r="F249">
        <v>57218</v>
      </c>
      <c r="G249" cm="1">
        <f t="array" ref="G249">_xlfn.IFS(A249=$E$640,F249/$F$640,A249=$E$641,F249/$F$641,A249=$E$641,F249/$F$641,A249=$E$642,F249/$F$642,A249=$E$643,F249/$F$643,A249=$E$644,F249/$F$644,A249=$E$645,F249/$F$645,A249=$E$646,F249/$F$646,A249=$E$647,F249/$F$647)</f>
        <v>1.9657446205099058E-3</v>
      </c>
      <c r="H249" cm="1">
        <f t="array" ref="H249">_xlfn.IFS(A249=$P$24,G249*$Q$24,A249=$P$25,G249*$Q$25,A249=$P$26,G249*$Q$26,A249=$P$27,G249*$Q$27,A249=$P$28,G249*$Q$28,A249=$P$29,G249*$Q$29,A249=$P$30,G249*$Q$30,A249=$P$31,G249*$Q$31)</f>
        <v>870293.04450753238</v>
      </c>
      <c r="I249">
        <f t="shared" si="8"/>
        <v>873693.04450753238</v>
      </c>
      <c r="J249" s="1">
        <f t="shared" si="9"/>
        <v>927511.04450753238</v>
      </c>
    </row>
    <row r="250" spans="1:10" x14ac:dyDescent="0.2">
      <c r="A250">
        <v>2018</v>
      </c>
      <c r="C250" t="s">
        <v>11</v>
      </c>
      <c r="D250">
        <v>101376</v>
      </c>
      <c r="E250">
        <v>6404</v>
      </c>
      <c r="F250">
        <v>107780</v>
      </c>
      <c r="G250" cm="1">
        <f t="array" ref="G250">_xlfn.IFS(A250=$E$640,F250/$F$640,A250=$E$641,F250/$F$641,A250=$E$641,F250/$F$641,A250=$E$642,F250/$F$642,A250=$E$643,F250/$F$643,A250=$E$644,F250/$F$644,A250=$E$645,F250/$F$645,A250=$E$646,F250/$F$646,A250=$E$647,F250/$F$647)</f>
        <v>3.7028200076646796E-3</v>
      </c>
      <c r="H250" cm="1">
        <f t="array" ref="H250">_xlfn.IFS(A250=$P$24,G250*$Q$24,A250=$P$25,G250*$Q$25,A250=$P$26,G250*$Q$26,A250=$P$27,G250*$Q$27,A250=$P$28,G250*$Q$28,A250=$P$29,G250*$Q$29,A250=$P$30,G250*$Q$30,A250=$P$31,G250*$Q$31)</f>
        <v>1639347.4839564795</v>
      </c>
      <c r="I250">
        <f t="shared" si="8"/>
        <v>1645751.4839564795</v>
      </c>
      <c r="J250" s="1">
        <f t="shared" si="9"/>
        <v>1747127.4839564795</v>
      </c>
    </row>
    <row r="251" spans="1:10" x14ac:dyDescent="0.2">
      <c r="A251">
        <v>2018</v>
      </c>
      <c r="C251" t="s">
        <v>12</v>
      </c>
      <c r="D251">
        <v>439243</v>
      </c>
      <c r="E251">
        <v>27749</v>
      </c>
      <c r="F251">
        <v>466992</v>
      </c>
      <c r="G251" cm="1">
        <f t="array" ref="G251">_xlfn.IFS(A251=$E$640,F251/$F$640,A251=$E$641,F251/$F$641,A251=$E$641,F251/$F$641,A251=$E$642,F251/$F$642,A251=$E$643,F251/$F$643,A251=$E$644,F251/$F$644,A251=$E$645,F251/$F$645,A251=$E$646,F251/$F$646,A251=$E$647,F251/$F$647)</f>
        <v>1.6043675273885172E-2</v>
      </c>
      <c r="H251" cm="1">
        <f t="array" ref="H251">_xlfn.IFS(A251=$P$24,G251*$Q$24,A251=$P$25,G251*$Q$25,A251=$P$26,G251*$Q$26,A251=$P$27,G251*$Q$27,A251=$P$28,G251*$Q$28,A251=$P$29,G251*$Q$29,A251=$P$30,G251*$Q$30,A251=$P$31,G251*$Q$31)</f>
        <v>7103007.6102041574</v>
      </c>
      <c r="I251">
        <f t="shared" si="8"/>
        <v>7130756.6102041574</v>
      </c>
      <c r="J251" s="1">
        <f t="shared" si="9"/>
        <v>7569999.6102041574</v>
      </c>
    </row>
    <row r="252" spans="1:10" x14ac:dyDescent="0.2">
      <c r="A252">
        <v>2018</v>
      </c>
      <c r="C252" t="s">
        <v>13</v>
      </c>
      <c r="D252">
        <v>105950</v>
      </c>
      <c r="E252">
        <v>6693</v>
      </c>
      <c r="F252">
        <v>112643</v>
      </c>
      <c r="G252" cm="1">
        <f t="array" ref="G252">_xlfn.IFS(A252=$E$640,F252/$F$640,A252=$E$641,F252/$F$641,A252=$E$641,F252/$F$641,A252=$E$642,F252/$F$642,A252=$E$643,F252/$F$643,A252=$E$644,F252/$F$644,A252=$E$645,F252/$F$645,A252=$E$646,F252/$F$646,A252=$E$647,F252/$F$647)</f>
        <v>3.8698900920706297E-3</v>
      </c>
      <c r="H252" cm="1">
        <f t="array" ref="H252">_xlfn.IFS(A252=$P$24,G252*$Q$24,A252=$P$25,G252*$Q$25,A252=$P$26,G252*$Q$26,A252=$P$27,G252*$Q$27,A252=$P$28,G252*$Q$28,A252=$P$29,G252*$Q$29,A252=$P$30,G252*$Q$30,A252=$P$31,G252*$Q$31)</f>
        <v>1713314.3313723297</v>
      </c>
      <c r="I252">
        <f t="shared" si="8"/>
        <v>1720007.3313723297</v>
      </c>
      <c r="J252" s="1">
        <f t="shared" si="9"/>
        <v>1825957.3313723297</v>
      </c>
    </row>
    <row r="253" spans="1:10" x14ac:dyDescent="0.2">
      <c r="A253">
        <v>2018</v>
      </c>
      <c r="C253" t="s">
        <v>14</v>
      </c>
      <c r="D253">
        <v>371981</v>
      </c>
      <c r="E253">
        <v>23500</v>
      </c>
      <c r="F253">
        <v>395481</v>
      </c>
      <c r="G253" cm="1">
        <f t="array" ref="G253">_xlfn.IFS(A253=$E$640,F253/$F$640,A253=$E$641,F253/$F$641,A253=$E$641,F253/$F$641,A253=$E$642,F253/$F$642,A253=$E$643,F253/$F$643,A253=$E$644,F253/$F$644,A253=$E$645,F253/$F$645,A253=$E$646,F253/$F$646,A253=$E$647,F253/$F$647)</f>
        <v>1.3586889584813834E-2</v>
      </c>
      <c r="H253" cm="1">
        <f t="array" ref="H253">_xlfn.IFS(A253=$P$24,G253*$Q$24,A253=$P$25,G253*$Q$25,A253=$P$26,G253*$Q$26,A253=$P$27,G253*$Q$27,A253=$P$28,G253*$Q$28,A253=$P$29,G253*$Q$29,A253=$P$30,G253*$Q$30,A253=$P$31,G253*$Q$31)</f>
        <v>6015316.221029805</v>
      </c>
      <c r="I253">
        <f t="shared" si="8"/>
        <v>6038816.221029805</v>
      </c>
      <c r="J253" s="1">
        <f t="shared" si="9"/>
        <v>6410797.221029805</v>
      </c>
    </row>
    <row r="254" spans="1:10" x14ac:dyDescent="0.2">
      <c r="A254">
        <v>2018</v>
      </c>
      <c r="C254" t="s">
        <v>15</v>
      </c>
      <c r="D254">
        <v>26378</v>
      </c>
      <c r="E254">
        <v>1667</v>
      </c>
      <c r="F254">
        <v>28045</v>
      </c>
      <c r="G254" cm="1">
        <f t="array" ref="G254">_xlfn.IFS(A254=$E$640,F254/$F$640,A254=$E$641,F254/$F$641,A254=$E$641,F254/$F$641,A254=$E$642,F254/$F$642,A254=$E$643,F254/$F$643,A254=$E$644,F254/$F$644,A254=$E$645,F254/$F$645,A254=$E$646,F254/$F$646,A254=$E$647,F254/$F$647)</f>
        <v>9.63495890842048E-4</v>
      </c>
      <c r="H254" cm="1">
        <f t="array" ref="H254">_xlfn.IFS(A254=$P$24,G254*$Q$24,A254=$P$25,G254*$Q$25,A254=$P$26,G254*$Q$26,A254=$P$27,G254*$Q$27,A254=$P$28,G254*$Q$28,A254=$P$29,G254*$Q$29,A254=$P$30,G254*$Q$30,A254=$P$31,G254*$Q$31)</f>
        <v>426568.0106472394</v>
      </c>
      <c r="I254">
        <f t="shared" si="8"/>
        <v>428235.0106472394</v>
      </c>
      <c r="J254" s="1">
        <f t="shared" si="9"/>
        <v>454613.0106472394</v>
      </c>
    </row>
    <row r="255" spans="1:10" x14ac:dyDescent="0.2">
      <c r="A255">
        <v>2018</v>
      </c>
      <c r="C255" t="s">
        <v>16</v>
      </c>
      <c r="D255">
        <v>1445594</v>
      </c>
      <c r="E255">
        <v>91325</v>
      </c>
      <c r="F255">
        <v>1536919</v>
      </c>
      <c r="G255" cm="1">
        <f t="array" ref="G255">_xlfn.IFS(A255=$E$640,F255/$F$640,A255=$E$641,F255/$F$641,A255=$E$641,F255/$F$641,A255=$E$642,F255/$F$642,A255=$E$643,F255/$F$643,A255=$E$644,F255/$F$644,A255=$E$645,F255/$F$645,A255=$E$646,F255/$F$646,A255=$E$647,F255/$F$647)</f>
        <v>5.2801395651883389E-2</v>
      </c>
      <c r="H255" cm="1">
        <f t="array" ref="H255">_xlfn.IFS(A255=$P$24,G255*$Q$24,A255=$P$25,G255*$Q$25,A255=$P$26,G255*$Q$26,A255=$P$27,G255*$Q$27,A255=$P$28,G255*$Q$28,A255=$P$29,G255*$Q$29,A255=$P$30,G255*$Q$30,A255=$P$31,G255*$Q$31)</f>
        <v>23376733.120197702</v>
      </c>
      <c r="I255">
        <f t="shared" si="8"/>
        <v>23468058.120197702</v>
      </c>
      <c r="J255" s="1">
        <f t="shared" si="9"/>
        <v>24913652.120197702</v>
      </c>
    </row>
    <row r="256" spans="1:10" x14ac:dyDescent="0.2">
      <c r="A256">
        <v>2018</v>
      </c>
      <c r="C256" t="s">
        <v>17</v>
      </c>
      <c r="D256">
        <v>389441</v>
      </c>
      <c r="E256">
        <v>24603</v>
      </c>
      <c r="F256">
        <v>414044</v>
      </c>
      <c r="G256" cm="1">
        <f t="array" ref="G256">_xlfn.IFS(A256=$E$640,F256/$F$640,A256=$E$641,F256/$F$641,A256=$E$641,F256/$F$641,A256=$E$642,F256/$F$642,A256=$E$643,F256/$F$643,A256=$E$644,F256/$F$644,A256=$E$645,F256/$F$645,A256=$E$646,F256/$F$646,A256=$E$647,F256/$F$647)</f>
        <v>1.4224628013114813E-2</v>
      </c>
      <c r="H256" cm="1">
        <f t="array" ref="H256">_xlfn.IFS(A256=$P$24,G256*$Q$24,A256=$P$25,G256*$Q$25,A256=$P$26,G256*$Q$26,A256=$P$27,G256*$Q$27,A256=$P$28,G256*$Q$28,A256=$P$29,G256*$Q$29,A256=$P$30,G256*$Q$30,A256=$P$31,G256*$Q$31)</f>
        <v>6297661.8078240538</v>
      </c>
      <c r="I256">
        <f t="shared" si="8"/>
        <v>6322264.8078240538</v>
      </c>
      <c r="J256" s="1">
        <f t="shared" si="9"/>
        <v>6711705.8078240538</v>
      </c>
    </row>
    <row r="257" spans="1:10" x14ac:dyDescent="0.2">
      <c r="A257">
        <v>2018</v>
      </c>
      <c r="C257" t="s">
        <v>18</v>
      </c>
      <c r="D257">
        <v>880777</v>
      </c>
      <c r="E257">
        <v>55643</v>
      </c>
      <c r="F257">
        <v>936420</v>
      </c>
      <c r="G257" cm="1">
        <f t="array" ref="G257">_xlfn.IFS(A257=$E$640,F257/$F$640,A257=$E$641,F257/$F$641,A257=$E$641,F257/$F$641,A257=$E$642,F257/$F$642,A257=$E$643,F257/$F$643,A257=$E$644,F257/$F$644,A257=$E$645,F257/$F$645,A257=$E$646,F257/$F$646,A257=$E$647,F257/$F$647)</f>
        <v>3.217104018906438E-2</v>
      </c>
      <c r="H257" cm="1">
        <f t="array" ref="H257">_xlfn.IFS(A257=$P$24,G257*$Q$24,A257=$P$25,G257*$Q$25,A257=$P$26,G257*$Q$26,A257=$P$27,G257*$Q$27,A257=$P$28,G257*$Q$28,A257=$P$29,G257*$Q$29,A257=$P$30,G257*$Q$30,A257=$P$31,G257*$Q$31)</f>
        <v>14243067.089687569</v>
      </c>
      <c r="I257">
        <f t="shared" si="8"/>
        <v>14298710.089687569</v>
      </c>
      <c r="J257" s="1">
        <f t="shared" si="9"/>
        <v>15179487.089687569</v>
      </c>
    </row>
    <row r="258" spans="1:10" x14ac:dyDescent="0.2">
      <c r="A258">
        <v>2018</v>
      </c>
      <c r="C258" t="s">
        <v>19</v>
      </c>
      <c r="D258">
        <v>1679726</v>
      </c>
      <c r="E258">
        <v>106116</v>
      </c>
      <c r="F258">
        <v>1785842</v>
      </c>
      <c r="G258" cm="1">
        <f t="array" ref="G258">_xlfn.IFS(A258=$E$640,F258/$F$640,A258=$E$641,F258/$F$641,A258=$E$641,F258/$F$641,A258=$E$642,F258/$F$642,A258=$E$643,F258/$F$643,A258=$E$644,F258/$F$644,A258=$E$645,F258/$F$645,A258=$E$646,F258/$F$646,A258=$E$647,F258/$F$647)</f>
        <v>6.135323332833463E-2</v>
      </c>
      <c r="H258" cm="1">
        <f t="array" ref="H258">_xlfn.IFS(A258=$P$24,G258*$Q$24,A258=$P$25,G258*$Q$25,A258=$P$26,G258*$Q$26,A258=$P$27,G258*$Q$27,A258=$P$28,G258*$Q$28,A258=$P$29,G258*$Q$29,A258=$P$30,G258*$Q$30,A258=$P$31,G258*$Q$31)</f>
        <v>27162883.553941429</v>
      </c>
      <c r="I258">
        <f t="shared" si="8"/>
        <v>27268999.553941429</v>
      </c>
      <c r="J258" s="1">
        <f t="shared" si="9"/>
        <v>28948725.553941429</v>
      </c>
    </row>
    <row r="259" spans="1:10" x14ac:dyDescent="0.2">
      <c r="A259">
        <v>2018</v>
      </c>
      <c r="C259" t="s">
        <v>20</v>
      </c>
      <c r="D259">
        <v>166593</v>
      </c>
      <c r="E259">
        <v>10525</v>
      </c>
      <c r="F259">
        <v>177118</v>
      </c>
      <c r="G259" cm="1">
        <f t="array" ref="G259">_xlfn.IFS(A259=$E$640,F259/$F$640,A259=$E$641,F259/$F$641,A259=$E$641,F259/$F$641,A259=$E$642,F259/$F$642,A259=$E$643,F259/$F$643,A259=$E$644,F259/$F$644,A259=$E$645,F259/$F$645,A259=$E$646,F259/$F$646,A259=$E$647,F259/$F$647)</f>
        <v>6.0849515134306243E-3</v>
      </c>
      <c r="H259" cm="1">
        <f t="array" ref="H259">_xlfn.IFS(A259=$P$24,G259*$Q$24,A259=$P$25,G259*$Q$25,A259=$P$26,G259*$Q$26,A259=$P$27,G259*$Q$27,A259=$P$28,G259*$Q$28,A259=$P$29,G259*$Q$29,A259=$P$30,G259*$Q$30,A259=$P$31,G259*$Q$31)</f>
        <v>2693987.2672425653</v>
      </c>
      <c r="I259">
        <f t="shared" ref="I259:I322" si="10">SUM(H259,E259)</f>
        <v>2704512.2672425653</v>
      </c>
      <c r="J259" s="1">
        <f t="shared" ref="J259:J322" si="11">SUM(I259,D259)</f>
        <v>2871105.2672425653</v>
      </c>
    </row>
    <row r="260" spans="1:10" x14ac:dyDescent="0.2">
      <c r="A260">
        <v>2018</v>
      </c>
      <c r="C260" t="s">
        <v>21</v>
      </c>
      <c r="D260">
        <v>214372</v>
      </c>
      <c r="E260">
        <v>13543</v>
      </c>
      <c r="F260">
        <v>227915</v>
      </c>
      <c r="G260" cm="1">
        <f t="array" ref="G260">_xlfn.IFS(A260=$E$640,F260/$F$640,A260=$E$641,F260/$F$641,A260=$E$641,F260/$F$641,A260=$E$642,F260/$F$642,A260=$E$643,F260/$F$643,A260=$E$644,F260/$F$644,A260=$E$645,F260/$F$645,A260=$E$646,F260/$F$646,A260=$E$647,F260/$F$647)</f>
        <v>7.830100408674108E-3</v>
      </c>
      <c r="H260" cm="1">
        <f t="array" ref="H260">_xlfn.IFS(A260=$P$24,G260*$Q$24,A260=$P$25,G260*$Q$25,A260=$P$26,G260*$Q$26,A260=$P$27,G260*$Q$27,A260=$P$28,G260*$Q$28,A260=$P$29,G260*$Q$29,A260=$P$30,G260*$Q$30,A260=$P$31,G260*$Q$31)</f>
        <v>3466616.086527565</v>
      </c>
      <c r="I260">
        <f t="shared" si="10"/>
        <v>3480159.086527565</v>
      </c>
      <c r="J260" s="1">
        <f t="shared" si="11"/>
        <v>3694531.086527565</v>
      </c>
    </row>
    <row r="261" spans="1:10" x14ac:dyDescent="0.2">
      <c r="A261">
        <v>2018</v>
      </c>
      <c r="C261" t="s">
        <v>22</v>
      </c>
      <c r="D261">
        <v>399390</v>
      </c>
      <c r="E261">
        <v>25231</v>
      </c>
      <c r="F261">
        <v>424621</v>
      </c>
      <c r="G261" cm="1">
        <f t="array" ref="G261">_xlfn.IFS(A261=$E$640,F261/$F$640,A261=$E$641,F261/$F$641,A261=$E$641,F261/$F$641,A261=$E$642,F261/$F$642,A261=$E$643,F261/$F$643,A261=$E$644,F261/$F$644,A261=$E$645,F261/$F$645,A261=$E$646,F261/$F$646,A261=$E$647,F261/$F$647)</f>
        <v>1.4588004587813915E-2</v>
      </c>
      <c r="H261" cm="1">
        <f t="array" ref="H261">_xlfn.IFS(A261=$P$24,G261*$Q$24,A261=$P$25,G261*$Q$25,A261=$P$26,G261*$Q$26,A261=$P$27,G261*$Q$27,A261=$P$28,G261*$Q$28,A261=$P$29,G261*$Q$29,A261=$P$30,G261*$Q$30,A261=$P$31,G261*$Q$31)</f>
        <v>6458539.3207003549</v>
      </c>
      <c r="I261">
        <f t="shared" si="10"/>
        <v>6483770.3207003549</v>
      </c>
      <c r="J261" s="1">
        <f t="shared" si="11"/>
        <v>6883160.3207003549</v>
      </c>
    </row>
    <row r="262" spans="1:10" x14ac:dyDescent="0.2">
      <c r="A262">
        <v>2018</v>
      </c>
      <c r="C262" t="s">
        <v>23</v>
      </c>
      <c r="D262">
        <v>794493</v>
      </c>
      <c r="E262">
        <v>50192</v>
      </c>
      <c r="F262">
        <v>844685</v>
      </c>
      <c r="G262" cm="1">
        <f t="array" ref="G262">_xlfn.IFS(A262=$E$640,F262/$F$640,A262=$E$641,F262/$F$641,A262=$E$641,F262/$F$641,A262=$E$642,F262/$F$642,A262=$E$643,F262/$F$643,A262=$E$644,F262/$F$644,A262=$E$645,F262/$F$645,A262=$E$646,F262/$F$646,A262=$E$647,F262/$F$647)</f>
        <v>2.9019451829413987E-2</v>
      </c>
      <c r="H262" cm="1">
        <f t="array" ref="H262">_xlfn.IFS(A262=$P$24,G262*$Q$24,A262=$P$25,G262*$Q$25,A262=$P$26,G262*$Q$26,A262=$P$27,G262*$Q$27,A262=$P$28,G262*$Q$28,A262=$P$29,G262*$Q$29,A262=$P$30,G262*$Q$30,A262=$P$31,G262*$Q$31)</f>
        <v>12847766.092835207</v>
      </c>
      <c r="I262">
        <f t="shared" si="10"/>
        <v>12897958.092835207</v>
      </c>
      <c r="J262" s="1">
        <f t="shared" si="11"/>
        <v>13692451.092835207</v>
      </c>
    </row>
    <row r="263" spans="1:10" x14ac:dyDescent="0.2">
      <c r="A263">
        <v>2018</v>
      </c>
      <c r="C263" t="s">
        <v>24</v>
      </c>
      <c r="D263">
        <v>960303</v>
      </c>
      <c r="E263">
        <v>60667</v>
      </c>
      <c r="F263">
        <v>1020970</v>
      </c>
      <c r="G263" cm="1">
        <f t="array" ref="G263">_xlfn.IFS(A263=$E$640,F263/$F$640,A263=$E$641,F263/$F$641,A263=$E$641,F263/$F$641,A263=$E$642,F263/$F$642,A263=$E$643,F263/$F$643,A263=$E$644,F263/$F$644,A263=$E$645,F263/$F$645,A263=$E$646,F263/$F$646,A263=$E$647,F263/$F$647)</f>
        <v>3.5075785333321653E-2</v>
      </c>
      <c r="H263" cm="1">
        <f t="array" ref="H263">_xlfn.IFS(A263=$P$24,G263*$Q$24,A263=$P$25,G263*$Q$25,A263=$P$26,G263*$Q$26,A263=$P$27,G263*$Q$27,A263=$P$28,G263*$Q$28,A263=$P$29,G263*$Q$29,A263=$P$30,G263*$Q$30,A263=$P$31,G263*$Q$31)</f>
        <v>15529083.324318489</v>
      </c>
      <c r="I263">
        <f t="shared" si="10"/>
        <v>15589750.324318489</v>
      </c>
      <c r="J263" s="1">
        <f t="shared" si="11"/>
        <v>16550053.324318489</v>
      </c>
    </row>
    <row r="264" spans="1:10" x14ac:dyDescent="0.2">
      <c r="A264">
        <v>2018</v>
      </c>
      <c r="C264" t="s">
        <v>25</v>
      </c>
      <c r="D264">
        <v>279136</v>
      </c>
      <c r="E264">
        <v>17634</v>
      </c>
      <c r="F264">
        <v>296770</v>
      </c>
      <c r="G264" cm="1">
        <f t="array" ref="G264">_xlfn.IFS(A264=$E$640,F264/$F$640,A264=$E$641,F264/$F$641,A264=$E$641,F264/$F$641,A264=$E$642,F264/$F$642,A264=$E$643,F264/$F$643,A264=$E$644,F264/$F$644,A264=$E$645,F264/$F$645,A264=$E$646,F264/$F$646,A264=$E$647,F264/$F$647)</f>
        <v>1.0195638278666236E-2</v>
      </c>
      <c r="H264" cm="1">
        <f t="array" ref="H264">_xlfn.IFS(A264=$P$24,G264*$Q$24,A264=$P$25,G264*$Q$25,A264=$P$26,G264*$Q$26,A264=$P$27,G264*$Q$27,A264=$P$28,G264*$Q$28,A264=$P$29,G264*$Q$29,A264=$P$30,G264*$Q$30,A264=$P$31,G264*$Q$31)</f>
        <v>4513909.3784910403</v>
      </c>
      <c r="I264">
        <f t="shared" si="10"/>
        <v>4531543.3784910403</v>
      </c>
      <c r="J264" s="1">
        <f t="shared" si="11"/>
        <v>4810679.3784910403</v>
      </c>
    </row>
    <row r="265" spans="1:10" x14ac:dyDescent="0.2">
      <c r="A265">
        <v>2018</v>
      </c>
      <c r="C265" t="s">
        <v>30</v>
      </c>
      <c r="D265">
        <v>307992</v>
      </c>
      <c r="E265">
        <v>19457</v>
      </c>
      <c r="F265">
        <v>327449</v>
      </c>
      <c r="G265" cm="1">
        <f t="array" ref="G265">_xlfn.IFS(A265=$E$640,F265/$F$640,A265=$E$641,F265/$F$641,A265=$E$641,F265/$F$641,A265=$E$642,F265/$F$642,A265=$E$643,F265/$F$643,A265=$E$644,F265/$F$644,A265=$E$645,F265/$F$645,A265=$E$646,F265/$F$646,A265=$E$647,F265/$F$647)</f>
        <v>1.1249626170808977E-2</v>
      </c>
      <c r="H265" cm="1">
        <f t="array" ref="H265">_xlfn.IFS(A265=$P$24,G265*$Q$24,A265=$P$25,G265*$Q$25,A265=$P$26,G265*$Q$26,A265=$P$27,G265*$Q$27,A265=$P$28,G265*$Q$28,A265=$P$29,G265*$Q$29,A265=$P$30,G265*$Q$30,A265=$P$31,G265*$Q$31)</f>
        <v>4980540.8635559948</v>
      </c>
      <c r="I265">
        <f t="shared" si="10"/>
        <v>4999997.8635559948</v>
      </c>
      <c r="J265" s="1">
        <f t="shared" si="11"/>
        <v>5307989.8635559948</v>
      </c>
    </row>
    <row r="266" spans="1:10" x14ac:dyDescent="0.2">
      <c r="A266">
        <v>2018</v>
      </c>
      <c r="C266" t="s">
        <v>31</v>
      </c>
      <c r="D266">
        <v>622395</v>
      </c>
      <c r="E266">
        <v>39320</v>
      </c>
      <c r="F266">
        <v>661715</v>
      </c>
      <c r="G266" cm="1">
        <f t="array" ref="G266">_xlfn.IFS(A266=$E$640,F266/$F$640,A266=$E$641,F266/$F$641,A266=$E$641,F266/$F$641,A266=$E$642,F266/$F$642,A266=$E$643,F266/$F$643,A266=$E$644,F266/$F$644,A266=$E$645,F266/$F$645,A266=$E$646,F266/$F$646,A266=$E$647,F266/$F$647)</f>
        <v>2.2733452786897694E-2</v>
      </c>
      <c r="H266" cm="1">
        <f t="array" ref="H266">_xlfn.IFS(A266=$P$24,G266*$Q$24,A266=$P$25,G266*$Q$25,A266=$P$26,G266*$Q$26,A266=$P$27,G266*$Q$27,A266=$P$28,G266*$Q$28,A266=$P$29,G266*$Q$29,A266=$P$30,G266*$Q$30,A266=$P$31,G266*$Q$31)</f>
        <v>10064769.162611447</v>
      </c>
      <c r="I266">
        <f t="shared" si="10"/>
        <v>10104089.162611447</v>
      </c>
      <c r="J266" s="1">
        <f t="shared" si="11"/>
        <v>10726484.162611447</v>
      </c>
    </row>
    <row r="267" spans="1:10" x14ac:dyDescent="0.2">
      <c r="A267">
        <v>2018</v>
      </c>
      <c r="C267" t="s">
        <v>32</v>
      </c>
      <c r="D267">
        <v>370887</v>
      </c>
      <c r="E267">
        <v>23431</v>
      </c>
      <c r="F267">
        <v>394318</v>
      </c>
      <c r="G267" cm="1">
        <f t="array" ref="G267">_xlfn.IFS(A267=$E$640,F267/$F$640,A267=$E$641,F267/$F$641,A267=$E$641,F267/$F$641,A267=$E$642,F267/$F$642,A267=$E$643,F267/$F$643,A267=$E$644,F267/$F$644,A267=$E$645,F267/$F$645,A267=$E$646,F267/$F$646,A267=$E$647,F267/$F$647)</f>
        <v>1.3546934308613111E-2</v>
      </c>
      <c r="H267" cm="1">
        <f t="array" ref="H267">_xlfn.IFS(A267=$P$24,G267*$Q$24,A267=$P$25,G267*$Q$25,A267=$P$26,G267*$Q$26,A267=$P$27,G267*$Q$27,A267=$P$28,G267*$Q$28,A267=$P$29,G267*$Q$29,A267=$P$30,G267*$Q$30,A267=$P$31,G267*$Q$31)</f>
        <v>5997626.8433730844</v>
      </c>
      <c r="I267">
        <f t="shared" si="10"/>
        <v>6021057.8433730844</v>
      </c>
      <c r="J267" s="1">
        <f t="shared" si="11"/>
        <v>6391944.8433730844</v>
      </c>
    </row>
    <row r="268" spans="1:10" x14ac:dyDescent="0.2">
      <c r="A268">
        <v>2018</v>
      </c>
      <c r="C268" t="s">
        <v>33</v>
      </c>
      <c r="D268">
        <v>238194</v>
      </c>
      <c r="E268">
        <v>15048</v>
      </c>
      <c r="F268">
        <v>253242</v>
      </c>
      <c r="G268" cm="1">
        <f t="array" ref="G268">_xlfn.IFS(A268=$E$640,F268/$F$640,A268=$E$641,F268/$F$641,A268=$E$641,F268/$F$641,A268=$E$642,F268/$F$642,A268=$E$643,F268/$F$643,A268=$E$644,F268/$F$644,A268=$E$645,F268/$F$645,A268=$E$646,F268/$F$646,A268=$E$647,F268/$F$647)</f>
        <v>8.7002184485156682E-3</v>
      </c>
      <c r="H268" cm="1">
        <f t="array" ref="H268">_xlfn.IFS(A268=$P$24,G268*$Q$24,A268=$P$25,G268*$Q$25,A268=$P$26,G268*$Q$26,A268=$P$27,G268*$Q$27,A268=$P$28,G268*$Q$28,A268=$P$29,G268*$Q$29,A268=$P$30,G268*$Q$30,A268=$P$31,G268*$Q$31)</f>
        <v>3851842.9720922871</v>
      </c>
      <c r="I268">
        <f t="shared" si="10"/>
        <v>3866890.9720922871</v>
      </c>
      <c r="J268" s="1">
        <f t="shared" si="11"/>
        <v>4105084.9720922871</v>
      </c>
    </row>
    <row r="269" spans="1:10" x14ac:dyDescent="0.2">
      <c r="A269">
        <v>2018</v>
      </c>
      <c r="C269" t="s">
        <v>34</v>
      </c>
      <c r="D269">
        <v>1442250</v>
      </c>
      <c r="E269">
        <v>91114</v>
      </c>
      <c r="F269">
        <v>1533364</v>
      </c>
      <c r="G269" cm="1">
        <f t="array" ref="G269">_xlfn.IFS(A269=$E$640,F269/$F$640,A269=$E$641,F269/$F$641,A269=$E$641,F269/$F$641,A269=$E$642,F269/$F$642,A269=$E$643,F269/$F$643,A269=$E$644,F269/$F$644,A269=$E$645,F269/$F$645,A269=$E$646,F269/$F$646,A269=$E$647,F269/$F$647)</f>
        <v>5.2679262369945662E-2</v>
      </c>
      <c r="H269" cm="1">
        <f t="array" ref="H269">_xlfn.IFS(A269=$P$24,G269*$Q$24,A269=$P$25,G269*$Q$25,A269=$P$26,G269*$Q$26,A269=$P$27,G269*$Q$27,A269=$P$28,G269*$Q$28,A269=$P$29,G269*$Q$29,A269=$P$30,G269*$Q$30,A269=$P$31,G269*$Q$31)</f>
        <v>23322661.118848052</v>
      </c>
      <c r="I269">
        <f t="shared" si="10"/>
        <v>23413775.118848052</v>
      </c>
      <c r="J269" s="1">
        <f t="shared" si="11"/>
        <v>24856025.118848052</v>
      </c>
    </row>
    <row r="270" spans="1:10" x14ac:dyDescent="0.2">
      <c r="A270">
        <v>2018</v>
      </c>
      <c r="C270" t="s">
        <v>35</v>
      </c>
      <c r="D270">
        <v>116727</v>
      </c>
      <c r="E270">
        <v>7374</v>
      </c>
      <c r="F270">
        <v>124101</v>
      </c>
      <c r="G270" cm="1">
        <f t="array" ref="G270">_xlfn.IFS(A270=$E$640,F270/$F$640,A270=$E$641,F270/$F$641,A270=$E$641,F270/$F$641,A270=$E$642,F270/$F$642,A270=$E$643,F270/$F$643,A270=$E$644,F270/$F$644,A270=$E$645,F270/$F$645,A270=$E$646,F270/$F$646,A270=$E$647,F270/$F$647)</f>
        <v>4.2635337332640041E-3</v>
      </c>
      <c r="H270" cm="1">
        <f t="array" ref="H270">_xlfn.IFS(A270=$P$24,G270*$Q$24,A270=$P$25,G270*$Q$25,A270=$P$26,G270*$Q$26,A270=$P$27,G270*$Q$27,A270=$P$28,G270*$Q$28,A270=$P$29,G270*$Q$29,A270=$P$30,G270*$Q$30,A270=$P$31,G270*$Q$31)</f>
        <v>1887591.9661020879</v>
      </c>
      <c r="I270">
        <f t="shared" si="10"/>
        <v>1894965.9661020879</v>
      </c>
      <c r="J270" s="1">
        <f t="shared" si="11"/>
        <v>2011692.9661020879</v>
      </c>
    </row>
    <row r="271" spans="1:10" x14ac:dyDescent="0.2">
      <c r="A271">
        <v>2018</v>
      </c>
      <c r="C271" t="s">
        <v>36</v>
      </c>
      <c r="D271">
        <v>180102</v>
      </c>
      <c r="E271">
        <v>11378</v>
      </c>
      <c r="F271">
        <v>191480</v>
      </c>
      <c r="G271" cm="1">
        <f t="array" ref="G271">_xlfn.IFS(A271=$E$640,F271/$F$640,A271=$E$641,F271/$F$641,A271=$E$641,F271/$F$641,A271=$E$642,F271/$F$642,A271=$E$643,F271/$F$643,A271=$E$644,F271/$F$644,A271=$E$645,F271/$F$645,A271=$E$646,F271/$F$646,A271=$E$647,F271/$F$647)</f>
        <v>6.5783631013883173E-3</v>
      </c>
      <c r="H271" cm="1">
        <f t="array" ref="H271">_xlfn.IFS(A271=$P$24,G271*$Q$24,A271=$P$25,G271*$Q$25,A271=$P$26,G271*$Q$26,A271=$P$27,G271*$Q$27,A271=$P$28,G271*$Q$28,A271=$P$29,G271*$Q$29,A271=$P$30,G271*$Q$30,A271=$P$31,G271*$Q$31)</f>
        <v>2912435.1106697596</v>
      </c>
      <c r="I271">
        <f t="shared" si="10"/>
        <v>2923813.1106697596</v>
      </c>
      <c r="J271" s="1">
        <f t="shared" si="11"/>
        <v>3103915.1106697596</v>
      </c>
    </row>
    <row r="272" spans="1:10" x14ac:dyDescent="0.2">
      <c r="A272">
        <v>2018</v>
      </c>
      <c r="C272" t="s">
        <v>37</v>
      </c>
      <c r="D272">
        <v>228705</v>
      </c>
      <c r="E272">
        <v>14448</v>
      </c>
      <c r="F272">
        <v>243153</v>
      </c>
      <c r="G272" cm="1">
        <f t="array" ref="G272">_xlfn.IFS(A272=$E$640,F272/$F$640,A272=$E$641,F272/$F$641,A272=$E$641,F272/$F$641,A272=$E$642,F272/$F$642,A272=$E$643,F272/$F$643,A272=$E$644,F272/$F$644,A272=$E$645,F272/$F$645,A272=$E$646,F272/$F$646,A272=$E$647,F272/$F$647)</f>
        <v>8.3536072863582278E-3</v>
      </c>
      <c r="H272" cm="1">
        <f t="array" ref="H272">_xlfn.IFS(A272=$P$24,G272*$Q$24,A272=$P$25,G272*$Q$25,A272=$P$26,G272*$Q$26,A272=$P$27,G272*$Q$27,A272=$P$28,G272*$Q$28,A272=$P$29,G272*$Q$29,A272=$P$30,G272*$Q$30,A272=$P$31,G272*$Q$31)</f>
        <v>3698388.0011734073</v>
      </c>
      <c r="I272">
        <f t="shared" si="10"/>
        <v>3712836.0011734073</v>
      </c>
      <c r="J272" s="1">
        <f t="shared" si="11"/>
        <v>3941541.0011734073</v>
      </c>
    </row>
    <row r="273" spans="1:10" x14ac:dyDescent="0.2">
      <c r="A273">
        <v>2018</v>
      </c>
      <c r="C273" t="s">
        <v>38</v>
      </c>
      <c r="D273">
        <v>666637</v>
      </c>
      <c r="E273">
        <v>42115</v>
      </c>
      <c r="F273">
        <v>708752</v>
      </c>
      <c r="G273" cm="1">
        <f t="array" ref="G273">_xlfn.IFS(A273=$E$640,F273/$F$640,A273=$E$641,F273/$F$641,A273=$E$641,F273/$F$641,A273=$E$642,F273/$F$642,A273=$E$643,F273/$F$643,A273=$E$644,F273/$F$644,A273=$E$645,F273/$F$645,A273=$E$646,F273/$F$646,A273=$E$647,F273/$F$647)</f>
        <v>2.434942555272181E-2</v>
      </c>
      <c r="H273" cm="1">
        <f t="array" ref="H273">_xlfn.IFS(A273=$P$24,G273*$Q$24,A273=$P$25,G273*$Q$25,A273=$P$26,G273*$Q$26,A273=$P$27,G273*$Q$27,A273=$P$28,G273*$Q$28,A273=$P$29,G273*$Q$29,A273=$P$30,G273*$Q$30,A273=$P$31,G273*$Q$31)</f>
        <v>10780207.904519601</v>
      </c>
      <c r="I273">
        <f t="shared" si="10"/>
        <v>10822322.904519601</v>
      </c>
      <c r="J273" s="1">
        <f t="shared" si="11"/>
        <v>11488959.904519601</v>
      </c>
    </row>
    <row r="274" spans="1:10" x14ac:dyDescent="0.2">
      <c r="A274">
        <v>2018</v>
      </c>
      <c r="C274" t="s">
        <v>39</v>
      </c>
      <c r="D274">
        <v>18799</v>
      </c>
      <c r="E274">
        <v>1188</v>
      </c>
      <c r="F274">
        <v>19987</v>
      </c>
      <c r="G274" cm="1">
        <f t="array" ref="G274">_xlfn.IFS(A274=$E$640,F274/$F$640,A274=$E$641,F274/$F$641,A274=$E$641,F274/$F$641,A274=$E$642,F274/$F$642,A274=$E$643,F274/$F$643,A274=$E$644,F274/$F$644,A274=$E$645,F274/$F$645,A274=$E$646,F274/$F$646,A274=$E$647,F274/$F$647)</f>
        <v>6.8666045178320608E-4</v>
      </c>
      <c r="H274" cm="1">
        <f t="array" ref="H274">_xlfn.IFS(A274=$P$24,G274*$Q$24,A274=$P$25,G274*$Q$25,A274=$P$26,G274*$Q$26,A274=$P$27,G274*$Q$27,A274=$P$28,G274*$Q$28,A274=$P$29,G274*$Q$29,A274=$P$30,G274*$Q$30,A274=$P$31,G274*$Q$31)</f>
        <v>304004.80758803262</v>
      </c>
      <c r="I274">
        <f t="shared" si="10"/>
        <v>305192.80758803262</v>
      </c>
      <c r="J274" s="1">
        <f t="shared" si="11"/>
        <v>323991.80758803262</v>
      </c>
    </row>
    <row r="275" spans="1:10" x14ac:dyDescent="0.2">
      <c r="A275">
        <v>2018</v>
      </c>
      <c r="C275" t="s">
        <v>40</v>
      </c>
      <c r="D275">
        <v>199721</v>
      </c>
      <c r="E275">
        <v>12617</v>
      </c>
      <c r="F275">
        <v>212338</v>
      </c>
      <c r="G275" cm="1">
        <f t="array" ref="G275">_xlfn.IFS(A275=$E$640,F275/$F$640,A275=$E$641,F275/$F$641,A275=$E$641,F275/$F$641,A275=$E$642,F275/$F$642,A275=$E$643,F275/$F$643,A275=$E$644,F275/$F$644,A275=$E$645,F275/$F$645,A275=$E$646,F275/$F$646,A275=$E$647,F275/$F$647)</f>
        <v>7.2949470661301044E-3</v>
      </c>
      <c r="H275" cm="1">
        <f t="array" ref="H275">_xlfn.IFS(A275=$P$24,G275*$Q$24,A275=$P$25,G275*$Q$25,A275=$P$26,G275*$Q$26,A275=$P$27,G275*$Q$27,A275=$P$28,G275*$Q$28,A275=$P$29,G275*$Q$29,A275=$P$30,G275*$Q$30,A275=$P$31,G275*$Q$31)</f>
        <v>3229687.9388416302</v>
      </c>
      <c r="I275">
        <f t="shared" si="10"/>
        <v>3242304.9388416302</v>
      </c>
      <c r="J275" s="1">
        <f t="shared" si="11"/>
        <v>3442025.9388416302</v>
      </c>
    </row>
    <row r="276" spans="1:10" x14ac:dyDescent="0.2">
      <c r="A276">
        <v>2018</v>
      </c>
      <c r="C276" t="s">
        <v>41</v>
      </c>
      <c r="D276">
        <v>51727</v>
      </c>
      <c r="E276">
        <v>3268</v>
      </c>
      <c r="F276">
        <v>54995</v>
      </c>
      <c r="G276" cm="1">
        <f t="array" ref="G276">_xlfn.IFS(A276=$E$640,F276/$F$640,A276=$E$641,F276/$F$641,A276=$E$641,F276/$F$641,A276=$E$642,F276/$F$642,A276=$E$643,F276/$F$643,A276=$E$644,F276/$F$644,A276=$E$645,F276/$F$645,A276=$E$646,F276/$F$646,A276=$E$647,F276/$F$647)</f>
        <v>1.8893726695260627E-3</v>
      </c>
      <c r="H276" cm="1">
        <f t="array" ref="H276">_xlfn.IFS(A276=$P$24,G276*$Q$24,A276=$P$25,G276*$Q$25,A276=$P$26,G276*$Q$26,A276=$P$27,G276*$Q$27,A276=$P$28,G276*$Q$28,A276=$P$29,G276*$Q$29,A276=$P$30,G276*$Q$30,A276=$P$31,G276*$Q$31)</f>
        <v>836480.9322711688</v>
      </c>
      <c r="I276">
        <f t="shared" si="10"/>
        <v>839748.9322711688</v>
      </c>
      <c r="J276" s="1">
        <f t="shared" si="11"/>
        <v>891475.9322711688</v>
      </c>
    </row>
    <row r="277" spans="1:10" x14ac:dyDescent="0.2">
      <c r="A277">
        <v>2018</v>
      </c>
      <c r="C277" t="s">
        <v>42</v>
      </c>
      <c r="D277">
        <v>78623</v>
      </c>
      <c r="E277">
        <v>4967</v>
      </c>
      <c r="F277">
        <v>83590</v>
      </c>
      <c r="G277" cm="1">
        <f t="array" ref="G277">_xlfn.IFS(A277=$E$640,F277/$F$640,A277=$E$641,F277/$F$641,A277=$E$641,F277/$F$641,A277=$E$642,F277/$F$642,A277=$E$643,F277/$F$643,A277=$E$644,F277/$F$644,A277=$E$645,F277/$F$645,A277=$E$646,F277/$F$646,A277=$E$647,F277/$F$647)</f>
        <v>2.8717640048310498E-3</v>
      </c>
      <c r="H277" cm="1">
        <f t="array" ref="H277">_xlfn.IFS(A277=$P$24,G277*$Q$24,A277=$P$25,G277*$Q$25,A277=$P$26,G277*$Q$26,A277=$P$27,G277*$Q$27,A277=$P$28,G277*$Q$28,A277=$P$29,G277*$Q$29,A277=$P$30,G277*$Q$30,A277=$P$31,G277*$Q$31)</f>
        <v>1271414.512747468</v>
      </c>
      <c r="I277">
        <f t="shared" si="10"/>
        <v>1276381.512747468</v>
      </c>
      <c r="J277" s="1">
        <f t="shared" si="11"/>
        <v>1355004.512747468</v>
      </c>
    </row>
    <row r="278" spans="1:10" x14ac:dyDescent="0.2">
      <c r="A278">
        <v>2018</v>
      </c>
      <c r="C278" t="s">
        <v>43</v>
      </c>
      <c r="D278">
        <v>912366</v>
      </c>
      <c r="E278">
        <v>57638</v>
      </c>
      <c r="F278">
        <v>970004</v>
      </c>
      <c r="G278" cm="1">
        <f t="array" ref="G278">_xlfn.IFS(A278=$E$640,F278/$F$640,A278=$E$641,F278/$F$641,A278=$E$641,F278/$F$641,A278=$E$642,F278/$F$642,A278=$E$643,F278/$F$643,A278=$E$644,F278/$F$644,A278=$E$645,F278/$F$645,A278=$E$646,F278/$F$646,A278=$E$647,F278/$F$647)</f>
        <v>3.332483038332501E-2</v>
      </c>
      <c r="H278" cm="1">
        <f t="array" ref="H278">_xlfn.IFS(A278=$P$24,G278*$Q$24,A278=$P$25,G278*$Q$25,A278=$P$26,G278*$Q$26,A278=$P$27,G278*$Q$27,A278=$P$28,G278*$Q$28,A278=$P$29,G278*$Q$29,A278=$P$30,G278*$Q$30,A278=$P$31,G278*$Q$31)</f>
        <v>14753883.993576923</v>
      </c>
      <c r="I278">
        <f t="shared" si="10"/>
        <v>14811521.993576923</v>
      </c>
      <c r="J278" s="1">
        <f t="shared" si="11"/>
        <v>15723887.993576923</v>
      </c>
    </row>
    <row r="279" spans="1:10" x14ac:dyDescent="0.2">
      <c r="A279">
        <v>2018</v>
      </c>
      <c r="C279" t="s">
        <v>44</v>
      </c>
      <c r="D279">
        <v>769270</v>
      </c>
      <c r="E279">
        <v>48598</v>
      </c>
      <c r="F279">
        <v>817868</v>
      </c>
      <c r="G279" cm="1">
        <f t="array" ref="G279">_xlfn.IFS(A279=$E$640,F279/$F$640,A279=$E$641,F279/$F$641,A279=$E$641,F279/$F$641,A279=$E$642,F279/$F$642,A279=$E$643,F279/$F$643,A279=$E$644,F279/$F$644,A279=$E$645,F279/$F$645,A279=$E$646,F279/$F$646,A279=$E$647,F279/$F$647)</f>
        <v>2.8098144312754647E-2</v>
      </c>
      <c r="H279" cm="1">
        <f t="array" ref="H279">_xlfn.IFS(A279=$P$24,G279*$Q$24,A279=$P$25,G279*$Q$25,A279=$P$26,G279*$Q$26,A279=$P$27,G279*$Q$27,A279=$P$28,G279*$Q$28,A279=$P$29,G279*$Q$29,A279=$P$30,G279*$Q$30,A279=$P$31,G279*$Q$31)</f>
        <v>12439876.118097214</v>
      </c>
      <c r="I279">
        <f t="shared" si="10"/>
        <v>12488474.118097214</v>
      </c>
      <c r="J279" s="1">
        <f t="shared" si="11"/>
        <v>13257744.118097214</v>
      </c>
    </row>
    <row r="280" spans="1:10" x14ac:dyDescent="0.2">
      <c r="A280">
        <v>2018</v>
      </c>
      <c r="C280" t="s">
        <v>45</v>
      </c>
      <c r="D280">
        <v>194269</v>
      </c>
      <c r="E280">
        <v>12273</v>
      </c>
      <c r="F280">
        <v>206542</v>
      </c>
      <c r="G280" cm="1">
        <f t="array" ref="G280">_xlfn.IFS(A280=$E$640,F280/$F$640,A280=$E$641,F280/$F$641,A280=$E$641,F280/$F$641,A280=$E$642,F280/$F$642,A280=$E$643,F280/$F$643,A280=$E$644,F280/$F$644,A280=$E$645,F280/$F$645,A280=$E$646,F280/$F$646,A280=$E$647,F280/$F$647)</f>
        <v>7.0958234368442962E-3</v>
      </c>
      <c r="H280" cm="1">
        <f t="array" ref="H280">_xlfn.IFS(A280=$P$24,G280*$Q$24,A280=$P$25,G280*$Q$25,A280=$P$26,G280*$Q$26,A280=$P$27,G280*$Q$27,A280=$P$28,G280*$Q$28,A280=$P$29,G280*$Q$29,A280=$P$30,G280*$Q$30,A280=$P$31,G280*$Q$31)</f>
        <v>3141530.042970302</v>
      </c>
      <c r="I280">
        <f t="shared" si="10"/>
        <v>3153803.042970302</v>
      </c>
      <c r="J280" s="1">
        <f t="shared" si="11"/>
        <v>3348072.042970302</v>
      </c>
    </row>
    <row r="281" spans="1:10" x14ac:dyDescent="0.2">
      <c r="A281">
        <v>2018</v>
      </c>
      <c r="C281" t="s">
        <v>46</v>
      </c>
      <c r="D281">
        <v>169377</v>
      </c>
      <c r="E281">
        <v>10700</v>
      </c>
      <c r="F281">
        <v>180077</v>
      </c>
      <c r="G281" cm="1">
        <f t="array" ref="G281">_xlfn.IFS(A281=$E$640,F281/$F$640,A281=$E$641,F281/$F$641,A281=$E$641,F281/$F$641,A281=$E$642,F281/$F$642,A281=$E$643,F281/$F$643,A281=$E$644,F281/$F$644,A281=$E$645,F281/$F$645,A281=$E$646,F281/$F$646,A281=$E$647,F281/$F$647)</f>
        <v>6.1866090046412362E-3</v>
      </c>
      <c r="H281" cm="1">
        <f t="array" ref="H281">_xlfn.IFS(A281=$P$24,G281*$Q$24,A281=$P$25,G281*$Q$25,A281=$P$26,G281*$Q$26,A281=$P$27,G281*$Q$27,A281=$P$28,G281*$Q$28,A281=$P$29,G281*$Q$29,A281=$P$30,G281*$Q$30,A281=$P$31,G281*$Q$31)</f>
        <v>2738994.0329229068</v>
      </c>
      <c r="I281">
        <f t="shared" si="10"/>
        <v>2749694.0329229068</v>
      </c>
      <c r="J281" s="1">
        <f t="shared" si="11"/>
        <v>2919071.0329229068</v>
      </c>
    </row>
    <row r="282" spans="1:10" x14ac:dyDescent="0.2">
      <c r="A282">
        <v>2018</v>
      </c>
      <c r="C282" t="s">
        <v>47</v>
      </c>
      <c r="D282">
        <v>63578</v>
      </c>
      <c r="E282">
        <v>4017</v>
      </c>
      <c r="F282">
        <v>67595</v>
      </c>
      <c r="G282" cm="1">
        <f t="array" ref="G282">_xlfn.IFS(A282=$E$640,F282/$F$640,A282=$E$641,F282/$F$641,A282=$E$641,F282/$F$641,A282=$E$642,F282/$F$642,A282=$E$643,F282/$F$643,A282=$E$644,F282/$F$644,A282=$E$645,F282/$F$645,A282=$E$646,F282/$F$646,A282=$E$647,F282/$F$647)</f>
        <v>2.3222501244952124E-3</v>
      </c>
      <c r="H282" cm="1">
        <f t="array" ref="H282">_xlfn.IFS(A282=$P$24,G282*$Q$24,A282=$P$25,G282*$Q$25,A282=$P$26,G282*$Q$26,A282=$P$27,G282*$Q$27,A282=$P$28,G282*$Q$28,A282=$P$29,G282*$Q$29,A282=$P$30,G282*$Q$30,A282=$P$31,G282*$Q$31)</f>
        <v>1028128.5319914476</v>
      </c>
      <c r="I282">
        <f t="shared" si="10"/>
        <v>1032145.5319914476</v>
      </c>
      <c r="J282" s="1">
        <f t="shared" si="11"/>
        <v>1095723.5319914476</v>
      </c>
    </row>
    <row r="283" spans="1:10" x14ac:dyDescent="0.2">
      <c r="A283">
        <v>2018</v>
      </c>
      <c r="C283" t="s">
        <v>48</v>
      </c>
      <c r="D283">
        <v>16610</v>
      </c>
      <c r="E283">
        <v>1049</v>
      </c>
      <c r="F283">
        <v>17659</v>
      </c>
      <c r="G283" cm="1">
        <f t="array" ref="G283">_xlfn.IFS(A283=$E$640,F283/$F$640,A283=$E$641,F283/$F$641,A283=$E$641,F283/$F$641,A283=$E$642,F283/$F$642,A283=$E$643,F283/$F$643,A283=$E$644,F283/$F$644,A283=$E$645,F283/$F$645,A283=$E$646,F283/$F$646,A283=$E$647,F283/$F$647)</f>
        <v>6.0668118867462028E-4</v>
      </c>
      <c r="H283" cm="1">
        <f t="array" ref="H283">_xlfn.IFS(A283=$P$24,G283*$Q$24,A283=$P$25,G283*$Q$25,A283=$P$26,G283*$Q$26,A283=$P$27,G283*$Q$27,A283=$P$28,G283*$Q$28,A283=$P$29,G283*$Q$29,A283=$P$30,G283*$Q$30,A283=$P$31,G283*$Q$31)</f>
        <v>268595.63202066679</v>
      </c>
      <c r="I283">
        <f t="shared" si="10"/>
        <v>269644.63202066679</v>
      </c>
      <c r="J283" s="1">
        <f t="shared" si="11"/>
        <v>286254.63202066679</v>
      </c>
    </row>
    <row r="284" spans="1:10" x14ac:dyDescent="0.2">
      <c r="A284">
        <v>2018</v>
      </c>
      <c r="C284" t="s">
        <v>49</v>
      </c>
      <c r="D284">
        <v>150309</v>
      </c>
      <c r="E284">
        <v>9496</v>
      </c>
      <c r="F284">
        <v>159805</v>
      </c>
      <c r="G284" cm="1">
        <f t="array" ref="G284">_xlfn.IFS(A284=$E$640,F284/$F$640,A284=$E$641,F284/$F$641,A284=$E$641,F284/$F$641,A284=$E$642,F284/$F$642,A284=$E$643,F284/$F$643,A284=$E$644,F284/$F$644,A284=$E$645,F284/$F$645,A284=$E$646,F284/$F$646,A284=$E$647,F284/$F$647)</f>
        <v>5.4901572770908709E-3</v>
      </c>
      <c r="H284" cm="1">
        <f t="array" ref="H284">_xlfn.IFS(A284=$P$24,G284*$Q$24,A284=$P$25,G284*$Q$25,A284=$P$26,G284*$Q$26,A284=$P$27,G284*$Q$27,A284=$P$28,G284*$Q$28,A284=$P$29,G284*$Q$29,A284=$P$30,G284*$Q$30,A284=$P$31,G284*$Q$31)</f>
        <v>2430654.3391507254</v>
      </c>
      <c r="I284">
        <f t="shared" si="10"/>
        <v>2440150.3391507254</v>
      </c>
      <c r="J284" s="1">
        <f t="shared" si="11"/>
        <v>2590459.3391507254</v>
      </c>
    </row>
    <row r="285" spans="1:10" x14ac:dyDescent="0.2">
      <c r="A285">
        <v>2018</v>
      </c>
      <c r="C285" t="s">
        <v>50</v>
      </c>
      <c r="D285">
        <v>25102</v>
      </c>
      <c r="E285">
        <v>1586</v>
      </c>
      <c r="F285">
        <v>26688</v>
      </c>
      <c r="G285" cm="1">
        <f t="array" ref="G285">_xlfn.IFS(A285=$E$640,F285/$F$640,A285=$E$641,F285/$F$641,A285=$E$641,F285/$F$641,A285=$E$642,F285/$F$642,A285=$E$643,F285/$F$643,A285=$E$644,F285/$F$644,A285=$E$645,F285/$F$645,A285=$E$646,F285/$F$646,A285=$E$647,F285/$F$647)</f>
        <v>9.1687567604894192E-4</v>
      </c>
      <c r="H285" cm="1">
        <f t="array" ref="H285">_xlfn.IFS(A285=$P$24,G285*$Q$24,A285=$P$25,G285*$Q$25,A285=$P$26,G285*$Q$26,A285=$P$27,G285*$Q$27,A285=$P$28,G285*$Q$28,A285=$P$29,G285*$Q$29,A285=$P$30,G285*$Q$30,A285=$P$31,G285*$Q$31)</f>
        <v>405927.86835990462</v>
      </c>
      <c r="I285">
        <f t="shared" si="10"/>
        <v>407513.86835990462</v>
      </c>
      <c r="J285" s="1">
        <f t="shared" si="11"/>
        <v>432615.86835990462</v>
      </c>
    </row>
    <row r="286" spans="1:10" x14ac:dyDescent="0.2">
      <c r="A286">
        <v>2018</v>
      </c>
      <c r="C286" t="s">
        <v>51</v>
      </c>
      <c r="D286">
        <v>151755</v>
      </c>
      <c r="E286">
        <v>9587</v>
      </c>
      <c r="F286">
        <v>161342</v>
      </c>
      <c r="G286" cm="1">
        <f t="array" ref="G286">_xlfn.IFS(A286=$E$640,F286/$F$640,A286=$E$641,F286/$F$641,A286=$E$641,F286/$F$641,A286=$E$642,F286/$F$642,A286=$E$643,F286/$F$643,A286=$E$644,F286/$F$644,A286=$E$645,F286/$F$645,A286=$E$646,F286/$F$646,A286=$E$647,F286/$F$647)</f>
        <v>5.5429614555263934E-3</v>
      </c>
      <c r="H286" cm="1">
        <f t="array" ref="H286">_xlfn.IFS(A286=$P$24,G286*$Q$24,A286=$P$25,G286*$Q$25,A286=$P$26,G286*$Q$26,A286=$P$27,G286*$Q$27,A286=$P$28,G286*$Q$28,A286=$P$29,G286*$Q$29,A286=$P$30,G286*$Q$30,A286=$P$31,G286*$Q$31)</f>
        <v>2454032.3042912069</v>
      </c>
      <c r="I286">
        <f t="shared" si="10"/>
        <v>2463619.3042912069</v>
      </c>
      <c r="J286" s="1">
        <f t="shared" si="11"/>
        <v>2615374.3042912069</v>
      </c>
    </row>
    <row r="287" spans="1:10" x14ac:dyDescent="0.2">
      <c r="A287">
        <v>2018</v>
      </c>
      <c r="C287" t="s">
        <v>52</v>
      </c>
      <c r="D287">
        <v>180153</v>
      </c>
      <c r="E287">
        <v>11381</v>
      </c>
      <c r="F287">
        <v>191534</v>
      </c>
      <c r="G287" cm="1">
        <f t="array" ref="G287">_xlfn.IFS(A287=$E$640,F287/$F$640,A287=$E$641,F287/$F$641,A287=$E$641,F287/$F$641,A287=$E$642,F287/$F$642,A287=$E$643,F287/$F$643,A287=$E$644,F287/$F$644,A287=$E$645,F287/$F$645,A287=$E$646,F287/$F$646,A287=$E$647,F287/$F$647)</f>
        <v>6.5802182904810417E-3</v>
      </c>
      <c r="H287" cm="1">
        <f t="array" ref="H287">_xlfn.IFS(A287=$P$24,G287*$Q$24,A287=$P$25,G287*$Q$25,A287=$P$26,G287*$Q$26,A287=$P$27,G287*$Q$27,A287=$P$28,G287*$Q$28,A287=$P$29,G287*$Q$29,A287=$P$30,G287*$Q$30,A287=$P$31,G287*$Q$31)</f>
        <v>2913256.4575257031</v>
      </c>
      <c r="I287">
        <f t="shared" si="10"/>
        <v>2924637.4575257031</v>
      </c>
      <c r="J287" s="1">
        <f t="shared" si="11"/>
        <v>3104790.4575257031</v>
      </c>
    </row>
    <row r="288" spans="1:10" x14ac:dyDescent="0.2">
      <c r="A288">
        <v>2018</v>
      </c>
      <c r="C288" t="s">
        <v>53</v>
      </c>
      <c r="D288">
        <v>350136</v>
      </c>
      <c r="E288">
        <v>22120</v>
      </c>
      <c r="F288">
        <v>372256</v>
      </c>
      <c r="G288" cm="1">
        <f t="array" ref="G288">_xlfn.IFS(A288=$E$640,F288/$F$640,A288=$E$641,F288/$F$641,A288=$E$641,F288/$F$641,A288=$E$642,F288/$F$642,A288=$E$643,F288/$F$643,A288=$E$644,F288/$F$644,A288=$E$645,F288/$F$645,A288=$E$646,F288/$F$646,A288=$E$647,F288/$F$647)</f>
        <v>1.2788986498174271E-2</v>
      </c>
      <c r="H288" cm="1">
        <f t="array" ref="H288">_xlfn.IFS(A288=$P$24,G288*$Q$24,A288=$P$25,G288*$Q$25,A288=$P$26,G288*$Q$26,A288=$P$27,G288*$Q$27,A288=$P$28,G288*$Q$28,A288=$P$29,G288*$Q$29,A288=$P$30,G288*$Q$30,A288=$P$31,G288*$Q$31)</f>
        <v>5662061.0223390535</v>
      </c>
      <c r="I288">
        <f t="shared" si="10"/>
        <v>5684181.0223390535</v>
      </c>
      <c r="J288" s="1">
        <f t="shared" si="11"/>
        <v>6034317.0223390535</v>
      </c>
    </row>
    <row r="289" spans="1:10" x14ac:dyDescent="0.2">
      <c r="A289">
        <v>2018</v>
      </c>
      <c r="C289" t="s">
        <v>54</v>
      </c>
      <c r="D289">
        <v>106343</v>
      </c>
      <c r="E289">
        <v>6718</v>
      </c>
      <c r="F289">
        <v>113061</v>
      </c>
      <c r="G289" cm="1">
        <f t="array" ref="G289">_xlfn.IFS(A289=$E$640,F289/$F$640,A289=$E$641,F289/$F$641,A289=$E$641,F289/$F$641,A289=$E$642,F289/$F$642,A289=$E$643,F289/$F$643,A289=$E$644,F289/$F$644,A289=$E$645,F289/$F$645,A289=$E$646,F289/$F$646,A289=$E$647,F289/$F$647)</f>
        <v>3.8842506298624635E-3</v>
      </c>
      <c r="H289" cm="1">
        <f t="array" ref="H289">_xlfn.IFS(A289=$P$24,G289*$Q$24,A289=$P$25,G289*$Q$25,A289=$P$26,G289*$Q$26,A289=$P$27,G289*$Q$27,A289=$P$28,G289*$Q$28,A289=$P$29,G289*$Q$29,A289=$P$30,G289*$Q$30,A289=$P$31,G289*$Q$31)</f>
        <v>1719672.1644424151</v>
      </c>
      <c r="I289">
        <f t="shared" si="10"/>
        <v>1726390.1644424151</v>
      </c>
      <c r="J289" s="1">
        <f t="shared" si="11"/>
        <v>1832733.1644424151</v>
      </c>
    </row>
    <row r="290" spans="1:10" x14ac:dyDescent="0.2">
      <c r="A290">
        <v>2018</v>
      </c>
      <c r="C290" t="s">
        <v>55</v>
      </c>
      <c r="D290">
        <v>542474</v>
      </c>
      <c r="E290">
        <v>34271</v>
      </c>
      <c r="F290">
        <v>576745</v>
      </c>
      <c r="G290" cm="1">
        <f t="array" ref="G290">_xlfn.IFS(A290=$E$640,F290/$F$640,A290=$E$641,F290/$F$641,A290=$E$641,F290/$F$641,A290=$E$642,F290/$F$642,A290=$E$643,F290/$F$643,A290=$E$644,F290/$F$644,A290=$E$645,F290/$F$645,A290=$E$646,F290/$F$646,A290=$E$647,F290/$F$647)</f>
        <v>1.981427839414145E-2</v>
      </c>
      <c r="H290" cm="1">
        <f t="array" ref="H290">_xlfn.IFS(A290=$P$24,G290*$Q$24,A290=$P$25,G290*$Q$25,A290=$P$26,G290*$Q$26,A290=$P$27,G290*$Q$27,A290=$P$28,G290*$Q$28,A290=$P$29,G290*$Q$29,A290=$P$30,G290*$Q$30,A290=$P$31,G290*$Q$31)</f>
        <v>8772364.6746565197</v>
      </c>
      <c r="I290">
        <f t="shared" si="10"/>
        <v>8806635.6746565197</v>
      </c>
      <c r="J290" s="1">
        <f t="shared" si="11"/>
        <v>9349109.6746565197</v>
      </c>
    </row>
    <row r="291" spans="1:10" x14ac:dyDescent="0.2">
      <c r="A291">
        <v>2018</v>
      </c>
      <c r="C291" t="s">
        <v>56</v>
      </c>
      <c r="D291">
        <v>42431</v>
      </c>
      <c r="E291">
        <v>2681</v>
      </c>
      <c r="F291">
        <v>45112</v>
      </c>
      <c r="G291" cm="1">
        <f t="array" ref="G291">_xlfn.IFS(A291=$E$640,F291/$F$640,A291=$E$641,F291/$F$641,A291=$E$641,F291/$F$641,A291=$E$642,F291/$F$642,A291=$E$643,F291/$F$643,A291=$E$644,F291/$F$644,A291=$E$645,F291/$F$645,A291=$E$646,F291/$F$646,A291=$E$647,F291/$F$647)</f>
        <v>1.5498387102038319E-3</v>
      </c>
      <c r="H291" cm="1">
        <f t="array" ref="H291">_xlfn.IFS(A291=$P$24,G291*$Q$24,A291=$P$25,G291*$Q$25,A291=$P$26,G291*$Q$26,A291=$P$27,G291*$Q$27,A291=$P$28,G291*$Q$28,A291=$P$29,G291*$Q$29,A291=$P$30,G291*$Q$30,A291=$P$31,G291*$Q$31)</f>
        <v>686159.24750644551</v>
      </c>
      <c r="I291">
        <f t="shared" si="10"/>
        <v>688840.24750644551</v>
      </c>
      <c r="J291" s="1">
        <f t="shared" si="11"/>
        <v>731271.24750644551</v>
      </c>
    </row>
    <row r="292" spans="1:10" x14ac:dyDescent="0.2">
      <c r="A292">
        <v>2018</v>
      </c>
      <c r="C292" t="s">
        <v>57</v>
      </c>
      <c r="D292">
        <v>1087602</v>
      </c>
      <c r="E292">
        <v>68709</v>
      </c>
      <c r="F292">
        <v>1156311</v>
      </c>
      <c r="G292" cm="1">
        <f t="array" ref="G292">_xlfn.IFS(A292=$E$640,F292/$F$640,A292=$E$641,F292/$F$641,A292=$E$641,F292/$F$641,A292=$E$642,F292/$F$642,A292=$E$643,F292/$F$643,A292=$E$644,F292/$F$644,A292=$E$645,F292/$F$645,A292=$E$646,F292/$F$646,A292=$E$647,F292/$F$647)</f>
        <v>3.9725473240700991E-2</v>
      </c>
      <c r="H292" cm="1">
        <f t="array" ref="H292">_xlfn.IFS(A292=$P$24,G292*$Q$24,A292=$P$25,G292*$Q$25,A292=$P$26,G292*$Q$26,A292=$P$27,G292*$Q$27,A292=$P$28,G292*$Q$28,A292=$P$29,G292*$Q$29,A292=$P$30,G292*$Q$30,A292=$P$31,G292*$Q$31)</f>
        <v>17587637.117472634</v>
      </c>
      <c r="I292">
        <f t="shared" si="10"/>
        <v>17656346.117472634</v>
      </c>
      <c r="J292" s="1">
        <f t="shared" si="11"/>
        <v>18743948.117472634</v>
      </c>
    </row>
    <row r="293" spans="1:10" x14ac:dyDescent="0.2">
      <c r="A293">
        <v>2018</v>
      </c>
      <c r="C293" t="s">
        <v>58</v>
      </c>
      <c r="D293">
        <v>224485</v>
      </c>
      <c r="E293">
        <v>14182</v>
      </c>
      <c r="F293">
        <v>238667</v>
      </c>
      <c r="G293" cm="1">
        <f t="array" ref="G293">_xlfn.IFS(A293=$E$640,F293/$F$640,A293=$E$641,F293/$F$641,A293=$E$641,F293/$F$641,A293=$E$642,F293/$F$642,A293=$E$643,F293/$F$643,A293=$E$644,F293/$F$644,A293=$E$645,F293/$F$645,A293=$E$646,F293/$F$646,A293=$E$647,F293/$F$647)</f>
        <v>8.1994891702477837E-3</v>
      </c>
      <c r="H293" cm="1">
        <f t="array" ref="H293">_xlfn.IFS(A293=$P$24,G293*$Q$24,A293=$P$25,G293*$Q$25,A293=$P$26,G293*$Q$26,A293=$P$27,G293*$Q$27,A293=$P$28,G293*$Q$28,A293=$P$29,G293*$Q$29,A293=$P$30,G293*$Q$30,A293=$P$31,G293*$Q$31)</f>
        <v>3630155.3716222034</v>
      </c>
      <c r="I293">
        <f t="shared" si="10"/>
        <v>3644337.3716222034</v>
      </c>
      <c r="J293" s="1">
        <f t="shared" si="11"/>
        <v>3868822.3716222034</v>
      </c>
    </row>
    <row r="294" spans="1:10" x14ac:dyDescent="0.2">
      <c r="A294">
        <v>2018</v>
      </c>
      <c r="C294" t="s">
        <v>59</v>
      </c>
      <c r="D294">
        <v>53896</v>
      </c>
      <c r="E294">
        <v>3405</v>
      </c>
      <c r="F294">
        <v>57301</v>
      </c>
      <c r="G294" cm="1">
        <f t="array" ref="G294">_xlfn.IFS(A294=$E$640,F294/$F$640,A294=$E$641,F294/$F$641,A294=$E$641,F294/$F$641,A294=$E$642,F294/$F$642,A294=$E$643,F294/$F$643,A294=$E$644,F294/$F$644,A294=$E$645,F294/$F$645,A294=$E$646,F294/$F$646,A294=$E$647,F294/$F$647)</f>
        <v>1.9685961148561311E-3</v>
      </c>
      <c r="H294" cm="1">
        <f t="array" ref="H294">_xlfn.IFS(A294=$P$24,G294*$Q$24,A294=$P$25,G294*$Q$25,A294=$P$26,G294*$Q$26,A294=$P$27,G294*$Q$27,A294=$P$28,G294*$Q$28,A294=$P$29,G294*$Q$29,A294=$P$30,G294*$Q$30,A294=$P$31,G294*$Q$31)</f>
        <v>871555.48504537228</v>
      </c>
      <c r="I294">
        <f t="shared" si="10"/>
        <v>874960.48504537228</v>
      </c>
      <c r="J294" s="1">
        <f t="shared" si="11"/>
        <v>928856.48504537228</v>
      </c>
    </row>
    <row r="295" spans="1:10" x14ac:dyDescent="0.2">
      <c r="A295">
        <v>2018</v>
      </c>
      <c r="C295" t="s">
        <v>60</v>
      </c>
      <c r="D295">
        <v>21144</v>
      </c>
      <c r="E295">
        <v>1336</v>
      </c>
      <c r="F295">
        <v>22480</v>
      </c>
      <c r="G295" cm="1">
        <f t="array" ref="G295">_xlfn.IFS(A295=$E$640,F295/$F$640,A295=$E$641,F295/$F$641,A295=$E$641,F295/$F$641,A295=$E$642,F295/$F$642,A295=$E$643,F295/$F$643,A295=$E$644,F295/$F$644,A295=$E$645,F295/$F$645,A295=$E$646,F295/$F$646,A295=$E$647,F295/$F$647)</f>
        <v>7.7230834823067355E-4</v>
      </c>
      <c r="H295" cm="1">
        <f t="array" ref="H295">_xlfn.IFS(A295=$P$24,G295*$Q$24,A295=$P$25,G295*$Q$25,A295=$P$26,G295*$Q$26,A295=$P$27,G295*$Q$27,A295=$P$28,G295*$Q$28,A295=$P$29,G295*$Q$29,A295=$P$30,G295*$Q$30,A295=$P$31,G295*$Q$31)</f>
        <v>341923.65410411631</v>
      </c>
      <c r="I295">
        <f t="shared" si="10"/>
        <v>343259.65410411631</v>
      </c>
      <c r="J295" s="1">
        <f t="shared" si="11"/>
        <v>364403.65410411631</v>
      </c>
    </row>
    <row r="296" spans="1:10" x14ac:dyDescent="0.2">
      <c r="A296">
        <v>2018</v>
      </c>
      <c r="C296" t="s">
        <v>61</v>
      </c>
      <c r="D296">
        <v>70058</v>
      </c>
      <c r="E296">
        <v>4426</v>
      </c>
      <c r="F296">
        <v>74484</v>
      </c>
      <c r="G296" cm="1">
        <f t="array" ref="G296">_xlfn.IFS(A296=$E$640,F296/$F$640,A296=$E$641,F296/$F$641,A296=$E$641,F296/$F$641,A296=$E$642,F296/$F$642,A296=$E$643,F296/$F$643,A296=$E$644,F296/$F$644,A296=$E$645,F296/$F$645,A296=$E$646,F296/$F$646,A296=$E$647,F296/$F$647)</f>
        <v>2.5589241552319165E-3</v>
      </c>
      <c r="H296" cm="1">
        <f t="array" ref="H296">_xlfn.IFS(A296=$P$24,G296*$Q$24,A296=$P$25,G296*$Q$25,A296=$P$26,G296*$Q$26,A296=$P$27,G296*$Q$27,A296=$P$28,G296*$Q$28,A296=$P$29,G296*$Q$29,A296=$P$30,G296*$Q$30,A296=$P$31,G296*$Q$31)</f>
        <v>1132911.0966321619</v>
      </c>
      <c r="I296">
        <f t="shared" si="10"/>
        <v>1137337.0966321619</v>
      </c>
      <c r="J296" s="1">
        <f t="shared" si="11"/>
        <v>1207395.0966321619</v>
      </c>
    </row>
    <row r="297" spans="1:10" x14ac:dyDescent="0.2">
      <c r="A297">
        <v>2018</v>
      </c>
      <c r="C297" t="s">
        <v>62</v>
      </c>
      <c r="D297">
        <v>87101</v>
      </c>
      <c r="E297">
        <v>5503</v>
      </c>
      <c r="F297">
        <v>92604</v>
      </c>
      <c r="G297" cm="1">
        <f t="array" ref="G297">_xlfn.IFS(A297=$E$640,F297/$F$640,A297=$E$641,F297/$F$641,A297=$E$641,F297/$F$641,A297=$E$642,F297/$F$642,A297=$E$643,F297/$F$643,A297=$E$644,F297/$F$644,A297=$E$645,F297/$F$645,A297=$E$646,F297/$F$646,A297=$E$647,F297/$F$647)</f>
        <v>3.1814431619018369E-3</v>
      </c>
      <c r="H297" cm="1">
        <f t="array" ref="H297">_xlfn.IFS(A297=$P$24,G297*$Q$24,A297=$P$25,G297*$Q$25,A297=$P$26,G297*$Q$26,A297=$P$27,G297*$Q$27,A297=$P$28,G297*$Q$28,A297=$P$29,G297*$Q$29,A297=$P$30,G297*$Q$30,A297=$P$31,G297*$Q$31)</f>
        <v>1408518.5971822771</v>
      </c>
      <c r="I297">
        <f t="shared" si="10"/>
        <v>1414021.5971822771</v>
      </c>
      <c r="J297" s="1">
        <f t="shared" si="11"/>
        <v>1501122.5971822771</v>
      </c>
    </row>
    <row r="298" spans="1:10" x14ac:dyDescent="0.2">
      <c r="A298">
        <v>2018</v>
      </c>
      <c r="C298" t="s">
        <v>63</v>
      </c>
      <c r="D298">
        <v>133576</v>
      </c>
      <c r="E298">
        <v>8439</v>
      </c>
      <c r="F298">
        <v>142015</v>
      </c>
      <c r="G298" cm="1">
        <f t="array" ref="G298">_xlfn.IFS(A298=$E$640,F298/$F$640,A298=$E$641,F298/$F$641,A298=$E$641,F298/$F$641,A298=$E$642,F298/$F$642,A298=$E$643,F298/$F$643,A298=$E$644,F298/$F$644,A298=$E$645,F298/$F$645,A298=$E$646,F298/$F$646,A298=$E$647,F298/$F$647)</f>
        <v>4.8789755370987143E-3</v>
      </c>
      <c r="H298" cm="1">
        <f t="array" ref="H298">_xlfn.IFS(A298=$P$24,G298*$Q$24,A298=$P$25,G298*$Q$25,A298=$P$26,G298*$Q$26,A298=$P$27,G298*$Q$27,A298=$P$28,G298*$Q$28,A298=$P$29,G298*$Q$29,A298=$P$30,G298*$Q$30,A298=$P$31,G298*$Q$31)</f>
        <v>2160066.1804980459</v>
      </c>
      <c r="I298">
        <f t="shared" si="10"/>
        <v>2168505.1804980459</v>
      </c>
      <c r="J298" s="1">
        <f t="shared" si="11"/>
        <v>2302081.1804980459</v>
      </c>
    </row>
    <row r="299" spans="1:10" x14ac:dyDescent="0.2">
      <c r="A299">
        <v>2018</v>
      </c>
      <c r="C299" t="s">
        <v>64</v>
      </c>
      <c r="D299">
        <v>24334</v>
      </c>
      <c r="E299">
        <v>1537</v>
      </c>
      <c r="F299">
        <v>25871</v>
      </c>
      <c r="G299" cm="1">
        <f t="array" ref="G299">_xlfn.IFS(A299=$E$640,F299/$F$640,A299=$E$641,F299/$F$641,A299=$E$641,F299/$F$641,A299=$E$642,F299/$F$642,A299=$E$643,F299/$F$643,A299=$E$644,F299/$F$644,A299=$E$645,F299/$F$645,A299=$E$646,F299/$F$646,A299=$E$647,F299/$F$647)</f>
        <v>8.8880735218308513E-4</v>
      </c>
      <c r="H299" cm="1">
        <f t="array" ref="H299">_xlfn.IFS(A299=$P$24,G299*$Q$24,A299=$P$25,G299*$Q$25,A299=$P$26,G299*$Q$26,A299=$P$27,G299*$Q$27,A299=$P$28,G299*$Q$28,A299=$P$29,G299*$Q$29,A299=$P$30,G299*$Q$30,A299=$P$31,G299*$Q$31)</f>
        <v>393501.19463201036</v>
      </c>
      <c r="I299">
        <f t="shared" si="10"/>
        <v>395038.19463201036</v>
      </c>
      <c r="J299" s="1">
        <f t="shared" si="11"/>
        <v>419372.19463201036</v>
      </c>
    </row>
    <row r="300" spans="1:10" x14ac:dyDescent="0.2">
      <c r="A300">
        <v>2018</v>
      </c>
      <c r="C300" t="s">
        <v>65</v>
      </c>
      <c r="D300">
        <v>329787</v>
      </c>
      <c r="E300">
        <v>20834</v>
      </c>
      <c r="F300">
        <v>350621</v>
      </c>
      <c r="G300" cm="1">
        <f t="array" ref="G300">_xlfn.IFS(A300=$E$640,F300/$F$640,A300=$E$641,F300/$F$641,A300=$E$641,F300/$F$641,A300=$E$642,F300/$F$642,A300=$E$643,F300/$F$643,A300=$E$644,F300/$F$644,A300=$E$645,F300/$F$645,A300=$E$646,F300/$F$646,A300=$E$647,F300/$F$647)</f>
        <v>1.2045708423709386E-2</v>
      </c>
      <c r="H300" cm="1">
        <f t="array" ref="H300">_xlfn.IFS(A300=$P$24,G300*$Q$24,A300=$P$25,G300*$Q$25,A300=$P$26,G300*$Q$26,A300=$P$27,G300*$Q$27,A300=$P$28,G300*$Q$28,A300=$P$29,G300*$Q$29,A300=$P$30,G300*$Q$30,A300=$P$31,G300*$Q$31)</f>
        <v>5332989.9255177658</v>
      </c>
      <c r="I300">
        <f t="shared" si="10"/>
        <v>5353823.9255177658</v>
      </c>
      <c r="J300" s="1">
        <f t="shared" si="11"/>
        <v>5683610.9255177658</v>
      </c>
    </row>
    <row r="301" spans="1:10" x14ac:dyDescent="0.2">
      <c r="A301">
        <v>2018</v>
      </c>
      <c r="C301" t="s">
        <v>66</v>
      </c>
      <c r="D301">
        <v>33914</v>
      </c>
      <c r="E301">
        <v>2143</v>
      </c>
      <c r="F301">
        <v>36057</v>
      </c>
      <c r="G301" cm="1">
        <f t="array" ref="G301">_xlfn.IFS(A301=$E$640,F301/$F$640,A301=$E$641,F301/$F$641,A301=$E$641,F301/$F$641,A301=$E$642,F301/$F$642,A301=$E$643,F301/$F$643,A301=$E$644,F301/$F$644,A301=$E$645,F301/$F$645,A301=$E$646,F301/$F$646,A301=$E$647,F301/$F$647)</f>
        <v>1.2387509836367168E-3</v>
      </c>
      <c r="H301" cm="1">
        <f t="array" ref="H301">_xlfn.IFS(A301=$P$24,G301*$Q$24,A301=$P$25,G301*$Q$25,A301=$P$26,G301*$Q$26,A301=$P$27,G301*$Q$27,A301=$P$28,G301*$Q$28,A301=$P$29,G301*$Q$29,A301=$P$30,G301*$Q$30,A301=$P$31,G301*$Q$31)</f>
        <v>548431.54786619754</v>
      </c>
      <c r="I301">
        <f t="shared" si="10"/>
        <v>550574.54786619754</v>
      </c>
      <c r="J301" s="1">
        <f t="shared" si="11"/>
        <v>584488.54786619754</v>
      </c>
    </row>
    <row r="302" spans="1:10" x14ac:dyDescent="0.2">
      <c r="A302">
        <v>2018</v>
      </c>
      <c r="C302" t="s">
        <v>67</v>
      </c>
      <c r="D302">
        <v>50416</v>
      </c>
      <c r="E302">
        <v>3185</v>
      </c>
      <c r="F302">
        <v>53601</v>
      </c>
      <c r="G302" cm="1">
        <f t="array" ref="G302">_xlfn.IFS(A302=$E$640,F302/$F$640,A302=$E$641,F302/$F$641,A302=$E$641,F302/$F$641,A302=$E$642,F302/$F$642,A302=$E$643,F302/$F$643,A302=$E$644,F302/$F$644,A302=$E$645,F302/$F$645,A302=$E$646,F302/$F$646,A302=$E$647,F302/$F$647)</f>
        <v>1.8414813066509044E-3</v>
      </c>
      <c r="H302" cm="1">
        <f t="array" ref="H302">_xlfn.IFS(A302=$P$24,G302*$Q$24,A302=$P$25,G302*$Q$25,A302=$P$26,G302*$Q$26,A302=$P$27,G302*$Q$27,A302=$P$28,G302*$Q$28,A302=$P$29,G302*$Q$29,A302=$P$30,G302*$Q$30,A302=$P$31,G302*$Q$31)</f>
        <v>815278.01528624282</v>
      </c>
      <c r="I302">
        <f t="shared" si="10"/>
        <v>818463.01528624282</v>
      </c>
      <c r="J302" s="1">
        <f t="shared" si="11"/>
        <v>868879.01528624282</v>
      </c>
    </row>
    <row r="303" spans="1:10" x14ac:dyDescent="0.2">
      <c r="A303">
        <v>2018</v>
      </c>
      <c r="C303" t="s">
        <v>68</v>
      </c>
      <c r="D303">
        <v>570479</v>
      </c>
      <c r="E303">
        <v>36040</v>
      </c>
      <c r="F303">
        <v>606519</v>
      </c>
      <c r="G303" cm="1">
        <f t="array" ref="G303">_xlfn.IFS(A303=$E$640,F303/$F$640,A303=$E$641,F303/$F$641,A303=$E$641,F303/$F$641,A303=$E$642,F303/$F$642,A303=$E$643,F303/$F$643,A303=$E$644,F303/$F$644,A303=$E$645,F303/$F$645,A303=$E$646,F303/$F$646,A303=$E$647,F303/$F$647)</f>
        <v>2.0837174691304264E-2</v>
      </c>
      <c r="H303" cm="1">
        <f t="array" ref="H303">_xlfn.IFS(A303=$P$24,G303*$Q$24,A303=$P$25,G303*$Q$25,A303=$P$26,G303*$Q$26,A303=$P$27,G303*$Q$27,A303=$P$28,G303*$Q$28,A303=$P$29,G303*$Q$29,A303=$P$30,G303*$Q$30,A303=$P$31,G303*$Q$31)</f>
        <v>9225230.9948209301</v>
      </c>
      <c r="I303">
        <f t="shared" si="10"/>
        <v>9261270.9948209301</v>
      </c>
      <c r="J303" s="1">
        <f t="shared" si="11"/>
        <v>9831749.9948209301</v>
      </c>
    </row>
    <row r="304" spans="1:10" x14ac:dyDescent="0.2">
      <c r="A304">
        <v>2018</v>
      </c>
      <c r="C304" t="s">
        <v>69</v>
      </c>
      <c r="D304">
        <v>102179</v>
      </c>
      <c r="E304">
        <v>6455</v>
      </c>
      <c r="F304">
        <v>108634</v>
      </c>
      <c r="G304" cm="1">
        <f t="array" ref="G304">_xlfn.IFS(A304=$E$640,F304/$F$640,A304=$E$641,F304/$F$641,A304=$E$641,F304/$F$641,A304=$E$642,F304/$F$642,A304=$E$643,F304/$F$643,A304=$E$644,F304/$F$644,A304=$E$645,F304/$F$645,A304=$E$646,F304/$F$646,A304=$E$647,F304/$F$647)</f>
        <v>3.7321594796125884E-3</v>
      </c>
      <c r="H304" cm="1">
        <f t="array" ref="H304">_xlfn.IFS(A304=$P$24,G304*$Q$24,A304=$P$25,G304*$Q$25,A304=$P$26,G304*$Q$26,A304=$P$27,G304*$Q$27,A304=$P$28,G304*$Q$28,A304=$P$29,G304*$Q$29,A304=$P$30,G304*$Q$30,A304=$P$31,G304*$Q$31)</f>
        <v>1652336.932381965</v>
      </c>
      <c r="I304">
        <f t="shared" si="10"/>
        <v>1658791.932381965</v>
      </c>
      <c r="J304" s="1">
        <f t="shared" si="11"/>
        <v>1760970.932381965</v>
      </c>
    </row>
    <row r="305" spans="1:10" x14ac:dyDescent="0.2">
      <c r="A305">
        <v>2018</v>
      </c>
      <c r="C305" t="s">
        <v>70</v>
      </c>
      <c r="D305">
        <v>883545</v>
      </c>
      <c r="E305">
        <v>55818</v>
      </c>
      <c r="F305">
        <v>939363</v>
      </c>
      <c r="G305" cm="1">
        <f t="array" ref="G305">_xlfn.IFS(A305=$E$640,F305/$F$640,A305=$E$641,F305/$F$641,A305=$E$641,F305/$F$641,A305=$E$642,F305/$F$642,A305=$E$643,F305/$F$643,A305=$E$644,F305/$F$644,A305=$E$645,F305/$F$645,A305=$E$646,F305/$F$646,A305=$E$647,F305/$F$647)</f>
        <v>3.2272147994617889E-2</v>
      </c>
      <c r="H305" cm="1">
        <f t="array" ref="H305">_xlfn.IFS(A305=$P$24,G305*$Q$24,A305=$P$25,G305*$Q$25,A305=$P$26,G305*$Q$26,A305=$P$27,G305*$Q$27,A305=$P$28,G305*$Q$28,A305=$P$29,G305*$Q$29,A305=$P$30,G305*$Q$30,A305=$P$31,G305*$Q$31)</f>
        <v>14287830.493336521</v>
      </c>
      <c r="I305">
        <f t="shared" si="10"/>
        <v>14343648.493336521</v>
      </c>
      <c r="J305" s="1">
        <f t="shared" si="11"/>
        <v>15227193.493336521</v>
      </c>
    </row>
    <row r="306" spans="1:10" x14ac:dyDescent="0.2">
      <c r="A306">
        <v>2018</v>
      </c>
      <c r="C306" t="s">
        <v>71</v>
      </c>
      <c r="D306">
        <v>61912</v>
      </c>
      <c r="E306">
        <v>3911</v>
      </c>
      <c r="F306">
        <v>65823</v>
      </c>
      <c r="G306" cm="1">
        <f t="array" ref="G306">_xlfn.IFS(A306=$E$640,F306/$F$640,A306=$E$641,F306/$F$641,A306=$E$641,F306/$F$641,A306=$E$642,F306/$F$642,A306=$E$643,F306/$F$643,A306=$E$644,F306/$F$644,A306=$E$645,F306/$F$645,A306=$E$646,F306/$F$646,A306=$E$647,F306/$F$647)</f>
        <v>2.2613724379709796E-3</v>
      </c>
      <c r="H306" cm="1">
        <f t="array" ref="H306">_xlfn.IFS(A306=$P$24,G306*$Q$24,A306=$P$25,G306*$Q$25,A306=$P$26,G306*$Q$26,A306=$P$27,G306*$Q$27,A306=$P$28,G306*$Q$28,A306=$P$29,G306*$Q$29,A306=$P$30,G306*$Q$30,A306=$P$31,G306*$Q$31)</f>
        <v>1001176.1870149131</v>
      </c>
      <c r="I306">
        <f t="shared" si="10"/>
        <v>1005087.1870149131</v>
      </c>
      <c r="J306" s="1">
        <f t="shared" si="11"/>
        <v>1066999.1870149132</v>
      </c>
    </row>
    <row r="307" spans="1:10" x14ac:dyDescent="0.2">
      <c r="A307">
        <v>2018</v>
      </c>
      <c r="C307" t="s">
        <v>72</v>
      </c>
      <c r="D307">
        <v>28228</v>
      </c>
      <c r="E307">
        <v>1783</v>
      </c>
      <c r="F307">
        <v>30011</v>
      </c>
      <c r="G307" cm="1">
        <f t="array" ref="G307">_xlfn.IFS(A307=$E$640,F307/$F$640,A307=$E$641,F307/$F$641,A307=$E$641,F307/$F$641,A307=$E$642,F307/$F$642,A307=$E$643,F307/$F$643,A307=$E$644,F307/$F$644,A307=$E$645,F307/$F$645,A307=$E$646,F307/$F$646,A307=$E$647,F307/$F$647)</f>
        <v>1.0310385159586629E-3</v>
      </c>
      <c r="H307" cm="1">
        <f t="array" ref="H307">_xlfn.IFS(A307=$P$24,G307*$Q$24,A307=$P$25,G307*$Q$25,A307=$P$26,G307*$Q$26,A307=$P$27,G307*$Q$27,A307=$P$28,G307*$Q$28,A307=$P$29,G307*$Q$29,A307=$P$30,G307*$Q$30,A307=$P$31,G307*$Q$31)</f>
        <v>456471.12025438761</v>
      </c>
      <c r="I307">
        <f t="shared" si="10"/>
        <v>458254.12025438761</v>
      </c>
      <c r="J307" s="1">
        <f t="shared" si="11"/>
        <v>486482.12025438761</v>
      </c>
    </row>
    <row r="308" spans="1:10" x14ac:dyDescent="0.2">
      <c r="A308">
        <v>2018</v>
      </c>
      <c r="C308" t="s">
        <v>73</v>
      </c>
      <c r="D308">
        <v>13576</v>
      </c>
      <c r="E308">
        <v>858</v>
      </c>
      <c r="F308">
        <v>14434</v>
      </c>
      <c r="G308" cm="1">
        <f t="array" ref="G308">_xlfn.IFS(A308=$E$640,F308/$F$640,A308=$E$641,F308/$F$641,A308=$E$641,F308/$F$641,A308=$E$642,F308/$F$642,A308=$E$643,F308/$F$643,A308=$E$644,F308/$F$644,A308=$E$645,F308/$F$645,A308=$E$646,F308/$F$646,A308=$E$647,F308/$F$647)</f>
        <v>4.9588517341465931E-4</v>
      </c>
      <c r="H308" cm="1">
        <f t="array" ref="H308">_xlfn.IFS(A308=$P$24,G308*$Q$24,A308=$P$25,G308*$Q$25,A308=$P$26,G308*$Q$26,A308=$P$27,G308*$Q$27,A308=$P$28,G308*$Q$28,A308=$P$29,G308*$Q$29,A308=$P$30,G308*$Q$30,A308=$P$31,G308*$Q$31)</f>
        <v>219542.97256845262</v>
      </c>
      <c r="I308">
        <f t="shared" si="10"/>
        <v>220400.97256845262</v>
      </c>
      <c r="J308" s="1">
        <f t="shared" si="11"/>
        <v>233976.97256845262</v>
      </c>
    </row>
    <row r="309" spans="1:10" x14ac:dyDescent="0.2">
      <c r="A309">
        <v>2018</v>
      </c>
      <c r="C309" t="s">
        <v>74</v>
      </c>
      <c r="D309">
        <v>9831</v>
      </c>
      <c r="E309">
        <v>621</v>
      </c>
      <c r="F309">
        <v>10452</v>
      </c>
      <c r="G309" cm="1">
        <f t="array" ref="G309">_xlfn.IFS(A309=$E$640,F309/$F$640,A309=$E$641,F309/$F$641,A309=$E$641,F309/$F$641,A309=$E$642,F309/$F$642,A309=$E$643,F309/$F$643,A309=$E$644,F309/$F$644,A309=$E$645,F309/$F$645,A309=$E$646,F309/$F$646,A309=$E$647,F309/$F$647)</f>
        <v>3.5908215550298044E-4</v>
      </c>
      <c r="H309" cm="1">
        <f t="array" ref="H309">_xlfn.IFS(A309=$P$24,G309*$Q$24,A309=$P$25,G309*$Q$25,A309=$P$26,G309*$Q$26,A309=$P$27,G309*$Q$27,A309=$P$28,G309*$Q$28,A309=$P$29,G309*$Q$29,A309=$P$30,G309*$Q$30,A309=$P$31,G309*$Q$31)</f>
        <v>158976.24700605977</v>
      </c>
      <c r="I309">
        <f t="shared" si="10"/>
        <v>159597.24700605977</v>
      </c>
      <c r="J309" s="1">
        <f t="shared" si="11"/>
        <v>169428.24700605977</v>
      </c>
    </row>
    <row r="310" spans="1:10" x14ac:dyDescent="0.2">
      <c r="A310">
        <v>2018</v>
      </c>
      <c r="C310" t="s">
        <v>75</v>
      </c>
      <c r="D310">
        <v>7377</v>
      </c>
      <c r="E310">
        <v>466</v>
      </c>
      <c r="F310">
        <v>7843</v>
      </c>
      <c r="G310" cm="1">
        <f t="array" ref="G310">_xlfn.IFS(A310=$E$640,F310/$F$640,A310=$E$641,F310/$F$641,A310=$E$641,F310/$F$641,A310=$E$642,F310/$F$642,A310=$E$643,F310/$F$643,A310=$E$644,F310/$F$644,A310=$E$645,F310/$F$645,A310=$E$646,F310/$F$646,A310=$E$647,F310/$F$647)</f>
        <v>2.6944903804151124E-4</v>
      </c>
      <c r="H310" cm="1">
        <f t="array" ref="H310">_xlfn.IFS(A310=$P$24,G310*$Q$24,A310=$P$25,G310*$Q$25,A310=$P$26,G310*$Q$26,A310=$P$27,G310*$Q$27,A310=$P$28,G310*$Q$28,A310=$P$29,G310*$Q$29,A310=$P$30,G310*$Q$30,A310=$P$31,G310*$Q$31)</f>
        <v>119293.02576239254</v>
      </c>
      <c r="I310">
        <f t="shared" si="10"/>
        <v>119759.02576239254</v>
      </c>
      <c r="J310" s="1">
        <f t="shared" si="11"/>
        <v>127136.02576239254</v>
      </c>
    </row>
    <row r="311" spans="1:10" x14ac:dyDescent="0.2">
      <c r="A311">
        <v>2018</v>
      </c>
      <c r="C311" t="s">
        <v>76</v>
      </c>
      <c r="D311">
        <v>4962</v>
      </c>
      <c r="E311">
        <v>313</v>
      </c>
      <c r="F311">
        <v>5275</v>
      </c>
      <c r="G311" cm="1">
        <f t="array" ref="G311">_xlfn.IFS(A311=$E$640,F311/$F$640,A311=$E$641,F311/$F$641,A311=$E$641,F311/$F$641,A311=$E$642,F311/$F$642,A311=$E$643,F311/$F$643,A311=$E$644,F311/$F$644,A311=$E$645,F311/$F$645,A311=$E$646,F311/$F$646,A311=$E$647,F311/$F$647)</f>
        <v>1.8122449007637023E-4</v>
      </c>
      <c r="H311" cm="1">
        <f t="array" ref="H311">_xlfn.IFS(A311=$P$24,G311*$Q$24,A311=$P$25,G311*$Q$25,A311=$P$26,G311*$Q$26,A311=$P$27,G311*$Q$27,A311=$P$28,G311*$Q$28,A311=$P$29,G311*$Q$29,A311=$P$30,G311*$Q$30,A311=$P$31,G311*$Q$31)</f>
        <v>80233.419724164298</v>
      </c>
      <c r="I311">
        <f t="shared" si="10"/>
        <v>80546.419724164298</v>
      </c>
      <c r="J311" s="1">
        <f t="shared" si="11"/>
        <v>85508.419724164298</v>
      </c>
    </row>
    <row r="312" spans="1:10" x14ac:dyDescent="0.2">
      <c r="A312">
        <v>2018</v>
      </c>
      <c r="C312" t="s">
        <v>77</v>
      </c>
      <c r="D312">
        <v>12693</v>
      </c>
      <c r="E312">
        <v>802</v>
      </c>
      <c r="F312">
        <v>13495</v>
      </c>
      <c r="G312" cm="1">
        <f t="array" ref="G312">_xlfn.IFS(A312=$E$640,F312/$F$640,A312=$E$641,F312/$F$641,A312=$E$641,F312/$F$641,A312=$E$642,F312/$F$642,A312=$E$643,F312/$F$643,A312=$E$644,F312/$F$644,A312=$E$645,F312/$F$645,A312=$E$646,F312/$F$646,A312=$E$647,F312/$F$647)</f>
        <v>4.6362549641338697E-4</v>
      </c>
      <c r="H312" cm="1">
        <f t="array" ref="H312">_xlfn.IFS(A312=$P$24,G312*$Q$24,A312=$P$25,G312*$Q$25,A312=$P$26,G312*$Q$26,A312=$P$27,G312*$Q$27,A312=$P$28,G312*$Q$28,A312=$P$29,G312*$Q$29,A312=$P$30,G312*$Q$30,A312=$P$31,G312*$Q$31)</f>
        <v>205260.66335120326</v>
      </c>
      <c r="I312">
        <f t="shared" si="10"/>
        <v>206062.66335120326</v>
      </c>
      <c r="J312" s="1">
        <f t="shared" si="11"/>
        <v>218755.66335120326</v>
      </c>
    </row>
    <row r="313" spans="1:10" x14ac:dyDescent="0.2">
      <c r="A313">
        <v>2018</v>
      </c>
      <c r="C313" t="s">
        <v>78</v>
      </c>
      <c r="D313">
        <v>10577</v>
      </c>
      <c r="E313">
        <v>668</v>
      </c>
      <c r="F313">
        <v>11245</v>
      </c>
      <c r="G313" cm="1">
        <f t="array" ref="G313">_xlfn.IFS(A313=$E$640,F313/$F$640,A313=$E$641,F313/$F$641,A313=$E$641,F313/$F$641,A313=$E$642,F313/$F$642,A313=$E$643,F313/$F$643,A313=$E$644,F313/$F$644,A313=$E$645,F313/$F$645,A313=$E$646,F313/$F$646,A313=$E$647,F313/$F$647)</f>
        <v>3.8632595088318168E-4</v>
      </c>
      <c r="H313" cm="1">
        <f t="array" ref="H313">_xlfn.IFS(A313=$P$24,G313*$Q$24,A313=$P$25,G313*$Q$25,A313=$P$26,G313*$Q$26,A313=$P$27,G313*$Q$27,A313=$P$28,G313*$Q$28,A313=$P$29,G313*$Q$29,A313=$P$30,G313*$Q$30,A313=$P$31,G313*$Q$31)</f>
        <v>171037.87768686778</v>
      </c>
      <c r="I313">
        <f t="shared" si="10"/>
        <v>171705.87768686778</v>
      </c>
      <c r="J313" s="1">
        <f t="shared" si="11"/>
        <v>182282.87768686778</v>
      </c>
    </row>
    <row r="314" spans="1:10" x14ac:dyDescent="0.2">
      <c r="A314">
        <v>2018</v>
      </c>
      <c r="C314" t="s">
        <v>79</v>
      </c>
      <c r="D314">
        <v>10438</v>
      </c>
      <c r="E314">
        <v>659</v>
      </c>
      <c r="F314">
        <v>11097</v>
      </c>
      <c r="G314" cm="1">
        <f t="array" ref="G314">_xlfn.IFS(A314=$E$640,F314/$F$640,A314=$E$641,F314/$F$641,A314=$E$641,F314/$F$641,A314=$E$642,F314/$F$642,A314=$E$643,F314/$F$643,A314=$E$644,F314/$F$644,A314=$E$645,F314/$F$645,A314=$E$646,F314/$F$646,A314=$E$647,F314/$F$647)</f>
        <v>3.812413585549726E-4</v>
      </c>
      <c r="H314" cm="1">
        <f t="array" ref="H314">_xlfn.IFS(A314=$P$24,G314*$Q$24,A314=$P$25,G314*$Q$25,A314=$P$26,G314*$Q$26,A314=$P$27,G314*$Q$27,A314=$P$28,G314*$Q$28,A314=$P$29,G314*$Q$29,A314=$P$30,G314*$Q$30,A314=$P$31,G314*$Q$31)</f>
        <v>168786.7788965026</v>
      </c>
      <c r="I314">
        <f t="shared" si="10"/>
        <v>169445.7788965026</v>
      </c>
      <c r="J314" s="1">
        <f t="shared" si="11"/>
        <v>179883.7788965026</v>
      </c>
    </row>
    <row r="315" spans="1:10" x14ac:dyDescent="0.2">
      <c r="A315">
        <v>2018</v>
      </c>
      <c r="C315" t="s">
        <v>80</v>
      </c>
      <c r="D315">
        <v>2179491</v>
      </c>
      <c r="E315">
        <v>137689</v>
      </c>
      <c r="F315">
        <v>2317180</v>
      </c>
      <c r="G315" cm="1">
        <f t="array" ref="G315">_xlfn.IFS(A315=$E$640,F315/$F$640,A315=$E$641,F315/$F$641,A315=$E$641,F315/$F$641,A315=$E$642,F315/$F$642,A315=$E$643,F315/$F$643,A315=$E$644,F315/$F$644,A315=$E$645,F315/$F$645,A315=$E$646,F315/$F$646,A315=$E$647,F315/$F$647)</f>
        <v>7.9607538182969395E-2</v>
      </c>
      <c r="H315" cm="1">
        <f t="array" ref="H315">_xlfn.IFS(A315=$P$24,G315*$Q$24,A315=$P$25,G315*$Q$25,A315=$P$26,G315*$Q$26,A315=$P$27,G315*$Q$27,A315=$P$28,G315*$Q$28,A315=$P$29,G315*$Q$29,A315=$P$30,G315*$Q$30,A315=$P$31,G315*$Q$31)</f>
        <v>35244601.993637733</v>
      </c>
      <c r="I315">
        <f t="shared" si="10"/>
        <v>35382290.993637733</v>
      </c>
      <c r="J315" s="1">
        <f t="shared" si="11"/>
        <v>37561781.993637733</v>
      </c>
    </row>
    <row r="316" spans="1:10" x14ac:dyDescent="0.2">
      <c r="A316">
        <v>2018</v>
      </c>
      <c r="C316" t="s">
        <v>81</v>
      </c>
      <c r="D316">
        <v>14025</v>
      </c>
      <c r="E316">
        <v>886</v>
      </c>
      <c r="F316">
        <v>14911</v>
      </c>
      <c r="G316" cm="1">
        <f t="array" ref="G316">_xlfn.IFS(A316=$E$640,F316/$F$640,A316=$E$641,F316/$F$641,A316=$E$641,F316/$F$641,A316=$E$642,F316/$F$642,A316=$E$643,F316/$F$643,A316=$E$644,F316/$F$644,A316=$E$645,F316/$F$645,A316=$E$646,F316/$F$646,A316=$E$647,F316/$F$647)</f>
        <v>5.1227267706706282E-4</v>
      </c>
      <c r="H316" cm="1">
        <f t="array" ref="H316">_xlfn.IFS(A316=$P$24,G316*$Q$24,A316=$P$25,G316*$Q$25,A316=$P$26,G316*$Q$26,A316=$P$27,G316*$Q$27,A316=$P$28,G316*$Q$28,A316=$P$29,G316*$Q$29,A316=$P$30,G316*$Q$30,A316=$P$31,G316*$Q$31)</f>
        <v>226798.20312929171</v>
      </c>
      <c r="I316">
        <f t="shared" si="10"/>
        <v>227684.20312929171</v>
      </c>
      <c r="J316" s="1">
        <f t="shared" si="11"/>
        <v>241709.20312929171</v>
      </c>
    </row>
    <row r="317" spans="1:10" x14ac:dyDescent="0.2">
      <c r="A317">
        <v>2018</v>
      </c>
      <c r="C317" t="s">
        <v>82</v>
      </c>
      <c r="D317">
        <v>44722</v>
      </c>
      <c r="E317">
        <v>2825</v>
      </c>
      <c r="F317">
        <v>47547</v>
      </c>
      <c r="G317" cm="1">
        <f t="array" ref="G317">_xlfn.IFS(A317=$E$640,F317/$F$640,A317=$E$641,F317/$F$641,A317=$E$641,F317/$F$641,A317=$E$642,F317/$F$642,A317=$E$643,F317/$F$643,A317=$E$644,F317/$F$644,A317=$E$645,F317/$F$645,A317=$E$646,F317/$F$646,A317=$E$647,F317/$F$647)</f>
        <v>1.6334939961442987E-3</v>
      </c>
      <c r="H317" cm="1">
        <f t="array" ref="H317">_xlfn.IFS(A317=$P$24,G317*$Q$24,A317=$P$25,G317*$Q$25,A317=$P$26,G317*$Q$26,A317=$P$27,G317*$Q$27,A317=$P$28,G317*$Q$28,A317=$P$29,G317*$Q$29,A317=$P$30,G317*$Q$30,A317=$P$31,G317*$Q$31)</f>
        <v>723195.90665873745</v>
      </c>
      <c r="I317">
        <f t="shared" si="10"/>
        <v>726020.90665873745</v>
      </c>
      <c r="J317" s="1">
        <f t="shared" si="11"/>
        <v>770742.90665873745</v>
      </c>
    </row>
    <row r="318" spans="1:10" x14ac:dyDescent="0.2">
      <c r="A318">
        <v>2019</v>
      </c>
      <c r="C318" t="s">
        <v>0</v>
      </c>
      <c r="D318">
        <v>134546</v>
      </c>
      <c r="E318">
        <v>15008</v>
      </c>
      <c r="F318">
        <v>149554</v>
      </c>
      <c r="G318" cm="1">
        <f t="array" ref="G318">_xlfn.IFS(A318=$E$640,F318/$F$640,A318=$E$641,F318/$F$641,A318=$E$641,F318/$F$641,A318=$E$642,F318/$F$642,A318=$E$643,F318/$F$643,A318=$E$644,F318/$F$644,A318=$E$645,F318/$F$645,A318=$E$646,F318/$F$646,A318=$E$647,F318/$F$647)</f>
        <v>4.6179374233876729E-3</v>
      </c>
      <c r="H318" cm="1">
        <f t="array" ref="H318">_xlfn.IFS(A318=$P$24,G318*$Q$24,A318=$P$25,G318*$Q$25,A318=$P$26,G318*$Q$26,A318=$P$27,G318*$Q$27,A318=$P$28,G318*$Q$28,A318=$P$29,G318*$Q$29,A318=$P$30,G318*$Q$30,A318=$P$31,G318*$Q$31)</f>
        <v>2074098.3177967493</v>
      </c>
      <c r="I318">
        <f t="shared" si="10"/>
        <v>2089106.3177967493</v>
      </c>
      <c r="J318" s="1">
        <f t="shared" si="11"/>
        <v>2223652.3177967491</v>
      </c>
    </row>
    <row r="319" spans="1:10" x14ac:dyDescent="0.2">
      <c r="A319">
        <v>2019</v>
      </c>
      <c r="C319" t="s">
        <v>1</v>
      </c>
      <c r="D319">
        <v>1668786</v>
      </c>
      <c r="E319">
        <v>186146</v>
      </c>
      <c r="F319">
        <v>1854932</v>
      </c>
      <c r="G319" cm="1">
        <f t="array" ref="G319">_xlfn.IFS(A319=$E$640,F319/$F$640,A319=$E$641,F319/$F$641,A319=$E$641,F319/$F$641,A319=$E$642,F319/$F$642,A319=$E$643,F319/$F$643,A319=$E$644,F319/$F$644,A319=$E$645,F319/$F$645,A319=$E$646,F319/$F$646,A319=$E$647,F319/$F$647)</f>
        <v>5.7276702065069088E-2</v>
      </c>
      <c r="H319" cm="1">
        <f t="array" ref="H319">_xlfn.IFS(A319=$P$24,G319*$Q$24,A319=$P$25,G319*$Q$25,A319=$P$26,G319*$Q$26,A319=$P$27,G319*$Q$27,A319=$P$28,G319*$Q$28,A319=$P$29,G319*$Q$29,A319=$P$30,G319*$Q$30,A319=$P$31,G319*$Q$31)</f>
        <v>25725231.961882394</v>
      </c>
      <c r="I319">
        <f t="shared" si="10"/>
        <v>25911377.961882394</v>
      </c>
      <c r="J319" s="1">
        <f t="shared" si="11"/>
        <v>27580163.961882394</v>
      </c>
    </row>
    <row r="320" spans="1:10" x14ac:dyDescent="0.2">
      <c r="A320">
        <v>2019</v>
      </c>
      <c r="C320" t="s">
        <v>2</v>
      </c>
      <c r="D320">
        <v>101357</v>
      </c>
      <c r="E320">
        <v>11306</v>
      </c>
      <c r="F320">
        <v>112663</v>
      </c>
      <c r="G320" cm="1">
        <f t="array" ref="G320">_xlfn.IFS(A320=$E$640,F320/$F$640,A320=$E$641,F320/$F$641,A320=$E$641,F320/$F$641,A320=$E$642,F320/$F$642,A320=$E$643,F320/$F$643,A320=$E$644,F320/$F$644,A320=$E$645,F320/$F$645,A320=$E$646,F320/$F$646,A320=$E$647,F320/$F$647)</f>
        <v>3.478814902517655E-3</v>
      </c>
      <c r="H320" cm="1">
        <f t="array" ref="H320">_xlfn.IFS(A320=$P$24,G320*$Q$24,A320=$P$25,G320*$Q$25,A320=$P$26,G320*$Q$26,A320=$P$27,G320*$Q$27,A320=$P$28,G320*$Q$28,A320=$P$29,G320*$Q$29,A320=$P$30,G320*$Q$30,A320=$P$31,G320*$Q$31)</f>
        <v>1562473.3459348138</v>
      </c>
      <c r="I320">
        <f t="shared" si="10"/>
        <v>1573779.3459348138</v>
      </c>
      <c r="J320" s="1">
        <f t="shared" si="11"/>
        <v>1675136.3459348138</v>
      </c>
    </row>
    <row r="321" spans="1:10" x14ac:dyDescent="0.2">
      <c r="A321">
        <v>2019</v>
      </c>
      <c r="C321" t="s">
        <v>3</v>
      </c>
      <c r="D321">
        <v>99048</v>
      </c>
      <c r="E321">
        <v>11048</v>
      </c>
      <c r="F321">
        <v>110096</v>
      </c>
      <c r="G321" cm="1">
        <f t="array" ref="G321">_xlfn.IFS(A321=$E$640,F321/$F$640,A321=$E$641,F321/$F$641,A321=$E$641,F321/$F$641,A321=$E$642,F321/$F$642,A321=$E$643,F321/$F$643,A321=$E$644,F321/$F$644,A321=$E$645,F321/$F$645,A321=$E$646,F321/$F$646,A321=$E$647,F321/$F$647)</f>
        <v>3.3995509218428745E-3</v>
      </c>
      <c r="H321" cm="1">
        <f t="array" ref="H321">_xlfn.IFS(A321=$P$24,G321*$Q$24,A321=$P$25,G321*$Q$25,A321=$P$26,G321*$Q$26,A321=$P$27,G321*$Q$27,A321=$P$28,G321*$Q$28,A321=$P$29,G321*$Q$29,A321=$P$30,G321*$Q$30,A321=$P$31,G321*$Q$31)</f>
        <v>1526872.7576403902</v>
      </c>
      <c r="I321">
        <f t="shared" si="10"/>
        <v>1537920.7576403902</v>
      </c>
      <c r="J321" s="1">
        <f t="shared" si="11"/>
        <v>1636968.7576403902</v>
      </c>
    </row>
    <row r="322" spans="1:10" x14ac:dyDescent="0.2">
      <c r="A322">
        <v>2019</v>
      </c>
      <c r="C322" t="s">
        <v>4</v>
      </c>
      <c r="D322">
        <v>273831</v>
      </c>
      <c r="E322">
        <v>30545</v>
      </c>
      <c r="F322">
        <v>304376</v>
      </c>
      <c r="G322" cm="1">
        <f t="array" ref="G322">_xlfn.IFS(A322=$E$640,F322/$F$640,A322=$E$641,F322/$F$641,A322=$E$641,F322/$F$641,A322=$E$642,F322/$F$642,A322=$E$643,F322/$F$643,A322=$E$644,F322/$F$644,A322=$E$645,F322/$F$645,A322=$E$646,F322/$F$646,A322=$E$647,F322/$F$647)</f>
        <v>9.3985404681990875E-3</v>
      </c>
      <c r="H322" cm="1">
        <f t="array" ref="H322">_xlfn.IFS(A322=$P$24,G322*$Q$24,A322=$P$25,G322*$Q$25,A322=$P$26,G322*$Q$26,A322=$P$27,G322*$Q$27,A322=$P$28,G322*$Q$28,A322=$P$29,G322*$Q$29,A322=$P$30,G322*$Q$30,A322=$P$31,G322*$Q$31)</f>
        <v>4221256.1989495652</v>
      </c>
      <c r="I322">
        <f t="shared" si="10"/>
        <v>4251801.1989495652</v>
      </c>
      <c r="J322" s="1">
        <f t="shared" si="11"/>
        <v>4525632.1989495652</v>
      </c>
    </row>
    <row r="323" spans="1:10" x14ac:dyDescent="0.2">
      <c r="A323">
        <v>2019</v>
      </c>
      <c r="C323" t="s">
        <v>5</v>
      </c>
      <c r="D323">
        <v>1101830</v>
      </c>
      <c r="E323">
        <v>122905</v>
      </c>
      <c r="F323">
        <v>1224735</v>
      </c>
      <c r="G323" cm="1">
        <f t="array" ref="G323">_xlfn.IFS(A323=$E$640,F323/$F$640,A323=$E$641,F323/$F$641,A323=$E$641,F323/$F$641,A323=$E$642,F323/$F$642,A323=$E$643,F323/$F$643,A323=$E$644,F323/$F$644,A323=$E$645,F323/$F$645,A323=$E$646,F323/$F$646,A323=$E$647,F323/$F$647)</f>
        <v>3.7817441126500803E-2</v>
      </c>
      <c r="H323" cm="1">
        <f t="array" ref="H323">_xlfn.IFS(A323=$P$24,G323*$Q$24,A323=$P$25,G323*$Q$25,A323=$P$26,G323*$Q$26,A323=$P$27,G323*$Q$27,A323=$P$28,G323*$Q$28,A323=$P$29,G323*$Q$29,A323=$P$30,G323*$Q$30,A323=$P$31,G323*$Q$31)</f>
        <v>16985308.338438299</v>
      </c>
      <c r="I323">
        <f t="shared" ref="I323:I386" si="12">SUM(H323,E323)</f>
        <v>17108213.338438299</v>
      </c>
      <c r="J323" s="1">
        <f t="shared" ref="J323:J386" si="13">SUM(I323,D323)</f>
        <v>18210043.338438299</v>
      </c>
    </row>
    <row r="324" spans="1:10" x14ac:dyDescent="0.2">
      <c r="A324">
        <v>2019</v>
      </c>
      <c r="C324" t="s">
        <v>6</v>
      </c>
      <c r="D324">
        <v>56557</v>
      </c>
      <c r="E324">
        <v>6309</v>
      </c>
      <c r="F324">
        <v>62866</v>
      </c>
      <c r="G324" cm="1">
        <f t="array" ref="G324">_xlfn.IFS(A324=$E$640,F324/$F$640,A324=$E$641,F324/$F$641,A324=$E$641,F324/$F$641,A324=$E$642,F324/$F$642,A324=$E$643,F324/$F$643,A324=$E$644,F324/$F$644,A324=$E$645,F324/$F$645,A324=$E$646,F324/$F$646,A324=$E$647,F324/$F$647)</f>
        <v>1.9411801359956232E-3</v>
      </c>
      <c r="H324" cm="1">
        <f t="array" ref="H324">_xlfn.IFS(A324=$P$24,G324*$Q$24,A324=$P$25,G324*$Q$25,A324=$P$26,G324*$Q$26,A324=$P$27,G324*$Q$27,A324=$P$28,G324*$Q$28,A324=$P$29,G324*$Q$29,A324=$P$30,G324*$Q$30,A324=$P$31,G324*$Q$31)</f>
        <v>871860.76498529245</v>
      </c>
      <c r="I324">
        <f t="shared" si="12"/>
        <v>878169.76498529245</v>
      </c>
      <c r="J324" s="1">
        <f t="shared" si="13"/>
        <v>934726.76498529245</v>
      </c>
    </row>
    <row r="325" spans="1:10" x14ac:dyDescent="0.2">
      <c r="A325">
        <v>2019</v>
      </c>
      <c r="C325" t="s">
        <v>7</v>
      </c>
      <c r="D325">
        <v>103742</v>
      </c>
      <c r="E325">
        <v>11572</v>
      </c>
      <c r="F325">
        <v>115314</v>
      </c>
      <c r="G325" cm="1">
        <f t="array" ref="G325">_xlfn.IFS(A325=$E$640,F325/$F$640,A325=$E$641,F325/$F$641,A325=$E$641,F325/$F$641,A325=$E$642,F325/$F$642,A325=$E$643,F325/$F$643,A325=$E$644,F325/$F$644,A325=$E$645,F325/$F$645,A325=$E$646,F325/$F$646,A325=$E$647,F325/$F$647)</f>
        <v>3.560672640253862E-3</v>
      </c>
      <c r="H325" cm="1">
        <f t="array" ref="H325">_xlfn.IFS(A325=$P$24,G325*$Q$24,A325=$P$25,G325*$Q$25,A325=$P$26,G325*$Q$26,A325=$P$27,G325*$Q$27,A325=$P$28,G325*$Q$28,A325=$P$29,G325*$Q$29,A325=$P$30,G325*$Q$30,A325=$P$31,G325*$Q$31)</f>
        <v>1599238.893098241</v>
      </c>
      <c r="I325">
        <f t="shared" si="12"/>
        <v>1610810.893098241</v>
      </c>
      <c r="J325" s="1">
        <f t="shared" si="13"/>
        <v>1714552.893098241</v>
      </c>
    </row>
    <row r="326" spans="1:10" x14ac:dyDescent="0.2">
      <c r="A326">
        <v>2019</v>
      </c>
      <c r="C326" t="s">
        <v>8</v>
      </c>
      <c r="D326">
        <v>363363</v>
      </c>
      <c r="E326">
        <v>40532</v>
      </c>
      <c r="F326">
        <v>403895</v>
      </c>
      <c r="G326" cm="1">
        <f t="array" ref="G326">_xlfn.IFS(A326=$E$640,F326/$F$640,A326=$E$641,F326/$F$641,A326=$E$641,F326/$F$641,A326=$E$642,F326/$F$642,A326=$E$643,F326/$F$643,A326=$E$644,F326/$F$644,A326=$E$645,F326/$F$645,A326=$E$646,F326/$F$646,A326=$E$647,F326/$F$647)</f>
        <v>1.247149414672402E-2</v>
      </c>
      <c r="H326" cm="1">
        <f t="array" ref="H326">_xlfn.IFS(A326=$P$24,G326*$Q$24,A326=$P$25,G326*$Q$25,A326=$P$26,G326*$Q$26,A326=$P$27,G326*$Q$27,A326=$P$28,G326*$Q$28,A326=$P$29,G326*$Q$29,A326=$P$30,G326*$Q$30,A326=$P$31,G326*$Q$31)</f>
        <v>5601441.2190012839</v>
      </c>
      <c r="I326">
        <f t="shared" si="12"/>
        <v>5641973.2190012839</v>
      </c>
      <c r="J326" s="1">
        <f t="shared" si="13"/>
        <v>6005336.2190012839</v>
      </c>
    </row>
    <row r="327" spans="1:10" x14ac:dyDescent="0.2">
      <c r="A327">
        <v>2019</v>
      </c>
      <c r="C327" t="s">
        <v>9</v>
      </c>
      <c r="D327">
        <v>488731</v>
      </c>
      <c r="E327">
        <v>54516</v>
      </c>
      <c r="F327">
        <v>543247</v>
      </c>
      <c r="G327" cm="1">
        <f t="array" ref="G327">_xlfn.IFS(A327=$E$640,F327/$F$640,A327=$E$641,F327/$F$641,A327=$E$641,F327/$F$641,A327=$E$642,F327/$F$642,A327=$E$643,F327/$F$643,A327=$E$644,F327/$F$644,A327=$E$645,F327/$F$645,A327=$E$646,F327/$F$646,A327=$E$647,F327/$F$647)</f>
        <v>1.6774413599389405E-2</v>
      </c>
      <c r="H327" cm="1">
        <f t="array" ref="H327">_xlfn.IFS(A327=$P$24,G327*$Q$24,A327=$P$25,G327*$Q$25,A327=$P$26,G327*$Q$26,A327=$P$27,G327*$Q$27,A327=$P$28,G327*$Q$28,A327=$P$29,G327*$Q$29,A327=$P$30,G327*$Q$30,A327=$P$31,G327*$Q$31)</f>
        <v>7534052.5084459828</v>
      </c>
      <c r="I327">
        <f t="shared" si="12"/>
        <v>7588568.5084459828</v>
      </c>
      <c r="J327" s="1">
        <f t="shared" si="13"/>
        <v>8077299.5084459828</v>
      </c>
    </row>
    <row r="328" spans="1:10" x14ac:dyDescent="0.2">
      <c r="A328">
        <v>2019</v>
      </c>
      <c r="C328" t="s">
        <v>10</v>
      </c>
      <c r="D328">
        <v>106507</v>
      </c>
      <c r="E328">
        <v>11880</v>
      </c>
      <c r="F328">
        <v>118387</v>
      </c>
      <c r="G328" cm="1">
        <f t="array" ref="G328">_xlfn.IFS(A328=$E$640,F328/$F$640,A328=$E$641,F328/$F$641,A328=$E$641,F328/$F$641,A328=$E$642,F328/$F$642,A328=$E$643,F328/$F$643,A328=$E$644,F328/$F$644,A328=$E$645,F328/$F$645,A328=$E$646,F328/$F$646,A328=$E$647,F328/$F$647)</f>
        <v>3.6555609194177112E-3</v>
      </c>
      <c r="H328" cm="1">
        <f t="array" ref="H328">_xlfn.IFS(A328=$P$24,G328*$Q$24,A328=$P$25,G328*$Q$25,A328=$P$26,G328*$Q$26,A328=$P$27,G328*$Q$27,A328=$P$28,G328*$Q$28,A328=$P$29,G328*$Q$29,A328=$P$30,G328*$Q$30,A328=$P$31,G328*$Q$31)</f>
        <v>1641856.9717226133</v>
      </c>
      <c r="I328">
        <f t="shared" si="12"/>
        <v>1653736.9717226133</v>
      </c>
      <c r="J328" s="1">
        <f t="shared" si="13"/>
        <v>1760243.9717226133</v>
      </c>
    </row>
    <row r="329" spans="1:10" x14ac:dyDescent="0.2">
      <c r="A329">
        <v>2019</v>
      </c>
      <c r="C329" t="s">
        <v>11</v>
      </c>
      <c r="D329">
        <v>109119</v>
      </c>
      <c r="E329">
        <v>12172</v>
      </c>
      <c r="F329">
        <v>121291</v>
      </c>
      <c r="G329" cm="1">
        <f t="array" ref="G329">_xlfn.IFS(A329=$E$640,F329/$F$640,A329=$E$641,F329/$F$641,A329=$E$641,F329/$F$641,A329=$E$642,F329/$F$642,A329=$E$643,F329/$F$643,A329=$E$644,F329/$F$644,A329=$E$645,F329/$F$645,A329=$E$646,F329/$F$646,A329=$E$647,F329/$F$647)</f>
        <v>3.7452308063984528E-3</v>
      </c>
      <c r="H329" cm="1">
        <f t="array" ref="H329">_xlfn.IFS(A329=$P$24,G329*$Q$24,A329=$P$25,G329*$Q$25,A329=$P$26,G329*$Q$26,A329=$P$27,G329*$Q$27,A329=$P$28,G329*$Q$28,A329=$P$29,G329*$Q$29,A329=$P$30,G329*$Q$30,A329=$P$31,G329*$Q$31)</f>
        <v>1682131.264051015</v>
      </c>
      <c r="I329">
        <f t="shared" si="12"/>
        <v>1694303.264051015</v>
      </c>
      <c r="J329" s="1">
        <f t="shared" si="13"/>
        <v>1803422.264051015</v>
      </c>
    </row>
    <row r="330" spans="1:10" x14ac:dyDescent="0.2">
      <c r="A330">
        <v>2019</v>
      </c>
      <c r="C330" t="s">
        <v>12</v>
      </c>
      <c r="D330">
        <v>460885</v>
      </c>
      <c r="E330">
        <v>51410</v>
      </c>
      <c r="F330">
        <v>512295</v>
      </c>
      <c r="G330" cm="1">
        <f t="array" ref="G330">_xlfn.IFS(A330=$E$640,F330/$F$640,A330=$E$641,F330/$F$641,A330=$E$641,F330/$F$641,A330=$E$642,F330/$F$642,A330=$E$643,F330/$F$643,A330=$E$644,F330/$F$644,A330=$E$645,F330/$F$645,A330=$E$646,F330/$F$646,A330=$E$647,F330/$F$647)</f>
        <v>1.5818675878374284E-2</v>
      </c>
      <c r="H330" cm="1">
        <f t="array" ref="H330">_xlfn.IFS(A330=$P$24,G330*$Q$24,A330=$P$25,G330*$Q$25,A330=$P$26,G330*$Q$26,A330=$P$27,G330*$Q$27,A330=$P$28,G330*$Q$28,A330=$P$29,G330*$Q$29,A330=$P$30,G330*$Q$30,A330=$P$31,G330*$Q$31)</f>
        <v>7104792.9023341769</v>
      </c>
      <c r="I330">
        <f t="shared" si="12"/>
        <v>7156202.9023341769</v>
      </c>
      <c r="J330" s="1">
        <f t="shared" si="13"/>
        <v>7617087.9023341769</v>
      </c>
    </row>
    <row r="331" spans="1:10" x14ac:dyDescent="0.2">
      <c r="A331">
        <v>2019</v>
      </c>
      <c r="C331" t="s">
        <v>13</v>
      </c>
      <c r="D331">
        <v>86457</v>
      </c>
      <c r="E331">
        <v>9644</v>
      </c>
      <c r="F331">
        <v>96101</v>
      </c>
      <c r="G331" cm="1">
        <f t="array" ref="G331">_xlfn.IFS(A331=$E$640,F331/$F$640,A331=$E$641,F331/$F$641,A331=$E$641,F331/$F$641,A331=$E$642,F331/$F$642,A331=$E$643,F331/$F$643,A331=$E$644,F331/$F$644,A331=$E$645,F331/$F$645,A331=$E$646,F331/$F$646,A331=$E$647,F331/$F$647)</f>
        <v>2.9674124685730822E-3</v>
      </c>
      <c r="H331" cm="1">
        <f t="array" ref="H331">_xlfn.IFS(A331=$P$24,G331*$Q$24,A331=$P$25,G331*$Q$25,A331=$P$26,G331*$Q$26,A331=$P$27,G331*$Q$27,A331=$P$28,G331*$Q$28,A331=$P$29,G331*$Q$29,A331=$P$30,G331*$Q$30,A331=$P$31,G331*$Q$31)</f>
        <v>1332782.2889296534</v>
      </c>
      <c r="I331">
        <f t="shared" si="12"/>
        <v>1342426.2889296534</v>
      </c>
      <c r="J331" s="1">
        <f t="shared" si="13"/>
        <v>1428883.2889296534</v>
      </c>
    </row>
    <row r="332" spans="1:10" x14ac:dyDescent="0.2">
      <c r="A332">
        <v>2019</v>
      </c>
      <c r="C332" t="s">
        <v>14</v>
      </c>
      <c r="D332">
        <v>391055</v>
      </c>
      <c r="E332">
        <v>43621</v>
      </c>
      <c r="F332">
        <v>434676</v>
      </c>
      <c r="G332" cm="1">
        <f t="array" ref="G332">_xlfn.IFS(A332=$E$640,F332/$F$640,A332=$E$641,F332/$F$641,A332=$E$641,F332/$F$641,A332=$E$642,F332/$F$642,A332=$E$643,F332/$F$643,A332=$E$644,F332/$F$644,A332=$E$645,F332/$F$645,A332=$E$646,F332/$F$646,A332=$E$647,F332/$F$647)</f>
        <v>1.3421951719435521E-2</v>
      </c>
      <c r="H332" cm="1">
        <f t="array" ref="H332">_xlfn.IFS(A332=$P$24,G332*$Q$24,A332=$P$25,G332*$Q$25,A332=$P$26,G332*$Q$26,A332=$P$27,G332*$Q$27,A332=$P$28,G332*$Q$28,A332=$P$29,G332*$Q$29,A332=$P$30,G332*$Q$30,A332=$P$31,G332*$Q$31)</f>
        <v>6028329.301701189</v>
      </c>
      <c r="I332">
        <f t="shared" si="12"/>
        <v>6071950.301701189</v>
      </c>
      <c r="J332" s="1">
        <f t="shared" si="13"/>
        <v>6463005.301701189</v>
      </c>
    </row>
    <row r="333" spans="1:10" x14ac:dyDescent="0.2">
      <c r="A333">
        <v>2019</v>
      </c>
      <c r="C333" t="s">
        <v>15</v>
      </c>
      <c r="D333">
        <v>41224</v>
      </c>
      <c r="E333">
        <v>4598</v>
      </c>
      <c r="F333">
        <v>45822</v>
      </c>
      <c r="G333" cm="1">
        <f t="array" ref="G333">_xlfn.IFS(A333=$E$640,F333/$F$640,A333=$E$641,F333/$F$641,A333=$E$641,F333/$F$641,A333=$E$642,F333/$F$642,A333=$E$643,F333/$F$643,A333=$E$644,F333/$F$644,A333=$E$645,F333/$F$645,A333=$E$646,F333/$F$646,A333=$E$647,F333/$F$647)</f>
        <v>1.4148944770081037E-3</v>
      </c>
      <c r="H333" cm="1">
        <f t="array" ref="H333">_xlfn.IFS(A333=$P$24,G333*$Q$24,A333=$P$25,G333*$Q$25,A333=$P$26,G333*$Q$26,A333=$P$27,G333*$Q$27,A333=$P$28,G333*$Q$28,A333=$P$29,G333*$Q$29,A333=$P$30,G333*$Q$30,A333=$P$31,G333*$Q$31)</f>
        <v>635485.06304132717</v>
      </c>
      <c r="I333">
        <f t="shared" si="12"/>
        <v>640083.06304132717</v>
      </c>
      <c r="J333" s="1">
        <f t="shared" si="13"/>
        <v>681307.06304132717</v>
      </c>
    </row>
    <row r="334" spans="1:10" x14ac:dyDescent="0.2">
      <c r="A334">
        <v>2019</v>
      </c>
      <c r="C334" t="s">
        <v>16</v>
      </c>
      <c r="D334">
        <v>1199792</v>
      </c>
      <c r="E334">
        <v>133832</v>
      </c>
      <c r="F334">
        <v>1333624</v>
      </c>
      <c r="G334" cm="1">
        <f t="array" ref="G334">_xlfn.IFS(A334=$E$640,F334/$F$640,A334=$E$641,F334/$F$641,A334=$E$641,F334/$F$641,A334=$E$642,F334/$F$642,A334=$E$643,F334/$F$643,A334=$E$644,F334/$F$644,A334=$E$645,F334/$F$645,A334=$E$646,F334/$F$646,A334=$E$647,F334/$F$647)</f>
        <v>4.1179722229615801E-2</v>
      </c>
      <c r="H334" cm="1">
        <f t="array" ref="H334">_xlfn.IFS(A334=$P$24,G334*$Q$24,A334=$P$25,G334*$Q$25,A334=$P$26,G334*$Q$26,A334=$P$27,G334*$Q$27,A334=$P$28,G334*$Q$28,A334=$P$29,G334*$Q$29,A334=$P$30,G334*$Q$30,A334=$P$31,G334*$Q$31)</f>
        <v>18495441.746615749</v>
      </c>
      <c r="I334">
        <f t="shared" si="12"/>
        <v>18629273.746615749</v>
      </c>
      <c r="J334" s="1">
        <f t="shared" si="13"/>
        <v>19829065.746615749</v>
      </c>
    </row>
    <row r="335" spans="1:10" x14ac:dyDescent="0.2">
      <c r="A335">
        <v>2019</v>
      </c>
      <c r="C335" t="s">
        <v>17</v>
      </c>
      <c r="D335">
        <v>389192</v>
      </c>
      <c r="E335">
        <v>43413</v>
      </c>
      <c r="F335">
        <v>432605</v>
      </c>
      <c r="G335" cm="1">
        <f t="array" ref="G335">_xlfn.IFS(A335=$E$640,F335/$F$640,A335=$E$641,F335/$F$641,A335=$E$641,F335/$F$641,A335=$E$642,F335/$F$642,A335=$E$643,F335/$F$643,A335=$E$644,F335/$F$644,A335=$E$645,F335/$F$645,A335=$E$646,F335/$F$646,A335=$E$647,F335/$F$647)</f>
        <v>1.3358003256647259E-2</v>
      </c>
      <c r="H335" cm="1">
        <f t="array" ref="H335">_xlfn.IFS(A335=$P$24,G335*$Q$24,A335=$P$25,G335*$Q$25,A335=$P$26,G335*$Q$26,A335=$P$27,G335*$Q$27,A335=$P$28,G335*$Q$28,A335=$P$29,G335*$Q$29,A335=$P$30,G335*$Q$30,A335=$P$31,G335*$Q$31)</f>
        <v>5999607.5181570714</v>
      </c>
      <c r="I335">
        <f t="shared" si="12"/>
        <v>6043020.5181570714</v>
      </c>
      <c r="J335" s="1">
        <f t="shared" si="13"/>
        <v>6432212.5181570714</v>
      </c>
    </row>
    <row r="336" spans="1:10" x14ac:dyDescent="0.2">
      <c r="A336">
        <v>2019</v>
      </c>
      <c r="C336" t="s">
        <v>18</v>
      </c>
      <c r="D336">
        <v>916951</v>
      </c>
      <c r="E336">
        <v>102282</v>
      </c>
      <c r="F336">
        <v>1019233</v>
      </c>
      <c r="G336" cm="1">
        <f t="array" ref="G336">_xlfn.IFS(A336=$E$640,F336/$F$640,A336=$E$641,F336/$F$641,A336=$E$641,F336/$F$641,A336=$E$642,F336/$F$642,A336=$E$643,F336/$F$643,A336=$E$644,F336/$F$644,A336=$E$645,F336/$F$645,A336=$E$646,F336/$F$646,A336=$E$647,F336/$F$647)</f>
        <v>3.1471937987962127E-2</v>
      </c>
      <c r="H336" cm="1">
        <f t="array" ref="H336">_xlfn.IFS(A336=$P$24,G336*$Q$24,A336=$P$25,G336*$Q$25,A336=$P$26,G336*$Q$26,A336=$P$27,G336*$Q$27,A336=$P$28,G336*$Q$28,A336=$P$29,G336*$Q$29,A336=$P$30,G336*$Q$30,A336=$P$31,G336*$Q$31)</f>
        <v>14135291.939653464</v>
      </c>
      <c r="I336">
        <f t="shared" si="12"/>
        <v>14237573.939653464</v>
      </c>
      <c r="J336" s="1">
        <f t="shared" si="13"/>
        <v>15154524.939653464</v>
      </c>
    </row>
    <row r="337" spans="1:10" x14ac:dyDescent="0.2">
      <c r="A337">
        <v>2019</v>
      </c>
      <c r="C337" t="s">
        <v>19</v>
      </c>
      <c r="D337">
        <v>1967365</v>
      </c>
      <c r="E337">
        <v>219452</v>
      </c>
      <c r="F337">
        <v>2186817</v>
      </c>
      <c r="G337" cm="1">
        <f t="array" ref="G337">_xlfn.IFS(A337=$E$640,F337/$F$640,A337=$E$641,F337/$F$641,A337=$E$641,F337/$F$641,A337=$E$642,F337/$F$642,A337=$E$643,F337/$F$643,A337=$E$644,F337/$F$644,A337=$E$645,F337/$F$645,A337=$E$646,F337/$F$646,A337=$E$647,F337/$F$647)</f>
        <v>6.7524667092825064E-2</v>
      </c>
      <c r="H337" cm="1">
        <f t="array" ref="H337">_xlfn.IFS(A337=$P$24,G337*$Q$24,A337=$P$25,G337*$Q$25,A337=$P$26,G337*$Q$26,A337=$P$27,G337*$Q$27,A337=$P$28,G337*$Q$28,A337=$P$29,G337*$Q$29,A337=$P$30,G337*$Q$30,A337=$P$31,G337*$Q$31)</f>
        <v>30327998.321872588</v>
      </c>
      <c r="I337">
        <f t="shared" si="12"/>
        <v>30547450.321872588</v>
      </c>
      <c r="J337" s="1">
        <f t="shared" si="13"/>
        <v>32514815.321872588</v>
      </c>
    </row>
    <row r="338" spans="1:10" x14ac:dyDescent="0.2">
      <c r="A338">
        <v>2019</v>
      </c>
      <c r="C338" t="s">
        <v>20</v>
      </c>
      <c r="D338">
        <v>215172</v>
      </c>
      <c r="E338">
        <v>24002</v>
      </c>
      <c r="F338">
        <v>239174</v>
      </c>
      <c r="G338" cm="1">
        <f t="array" ref="G338">_xlfn.IFS(A338=$E$640,F338/$F$640,A338=$E$641,F338/$F$641,A338=$E$641,F338/$F$641,A338=$E$642,F338/$F$642,A338=$E$643,F338/$F$643,A338=$E$644,F338/$F$644,A338=$E$645,F338/$F$645,A338=$E$646,F338/$F$646,A338=$E$647,F338/$F$647)</f>
        <v>7.3852291834476062E-3</v>
      </c>
      <c r="H338" cm="1">
        <f t="array" ref="H338">_xlfn.IFS(A338=$P$24,G338*$Q$24,A338=$P$25,G338*$Q$25,A338=$P$26,G338*$Q$26,A338=$P$27,G338*$Q$27,A338=$P$28,G338*$Q$28,A338=$P$29,G338*$Q$29,A338=$P$30,G338*$Q$30,A338=$P$31,G338*$Q$31)</f>
        <v>3316998.4825596088</v>
      </c>
      <c r="I338">
        <f t="shared" si="12"/>
        <v>3341000.4825596088</v>
      </c>
      <c r="J338" s="1">
        <f t="shared" si="13"/>
        <v>3556172.4825596088</v>
      </c>
    </row>
    <row r="339" spans="1:10" x14ac:dyDescent="0.2">
      <c r="A339">
        <v>2019</v>
      </c>
      <c r="C339" t="s">
        <v>21</v>
      </c>
      <c r="D339">
        <v>180213</v>
      </c>
      <c r="E339">
        <v>20102</v>
      </c>
      <c r="F339">
        <v>200315</v>
      </c>
      <c r="G339" cm="1">
        <f t="array" ref="G339">_xlfn.IFS(A339=$E$640,F339/$F$640,A339=$E$641,F339/$F$641,A339=$E$641,F339/$F$641,A339=$E$642,F339/$F$642,A339=$E$643,F339/$F$643,A339=$E$644,F339/$F$644,A339=$E$645,F339/$F$645,A339=$E$646,F339/$F$646,A339=$E$647,F339/$F$647)</f>
        <v>6.1853386399955976E-3</v>
      </c>
      <c r="H339" cm="1">
        <f t="array" ref="H339">_xlfn.IFS(A339=$P$24,G339*$Q$24,A339=$P$25,G339*$Q$25,A339=$P$26,G339*$Q$26,A339=$P$27,G339*$Q$27,A339=$P$28,G339*$Q$28,A339=$P$29,G339*$Q$29,A339=$P$30,G339*$Q$30,A339=$P$31,G339*$Q$31)</f>
        <v>2778080.18862388</v>
      </c>
      <c r="I339">
        <f t="shared" si="12"/>
        <v>2798182.18862388</v>
      </c>
      <c r="J339" s="1">
        <f t="shared" si="13"/>
        <v>2978395.18862388</v>
      </c>
    </row>
    <row r="340" spans="1:10" x14ac:dyDescent="0.2">
      <c r="A340">
        <v>2019</v>
      </c>
      <c r="C340" t="s">
        <v>22</v>
      </c>
      <c r="D340">
        <v>345446</v>
      </c>
      <c r="E340">
        <v>38533</v>
      </c>
      <c r="F340">
        <v>383979</v>
      </c>
      <c r="G340" cm="1">
        <f t="array" ref="G340">_xlfn.IFS(A340=$E$640,F340/$F$640,A340=$E$641,F340/$F$641,A340=$E$641,F340/$F$641,A340=$E$642,F340/$F$642,A340=$E$643,F340/$F$643,A340=$E$644,F340/$F$644,A340=$E$645,F340/$F$645,A340=$E$646,F340/$F$646,A340=$E$647,F340/$F$647)</f>
        <v>1.1856526698683921E-2</v>
      </c>
      <c r="H340" cm="1">
        <f t="array" ref="H340">_xlfn.IFS(A340=$P$24,G340*$Q$24,A340=$P$25,G340*$Q$25,A340=$P$26,G340*$Q$26,A340=$P$27,G340*$Q$27,A340=$P$28,G340*$Q$28,A340=$P$29,G340*$Q$29,A340=$P$30,G340*$Q$30,A340=$P$31,G340*$Q$31)</f>
        <v>5325235.0185837746</v>
      </c>
      <c r="I340">
        <f t="shared" si="12"/>
        <v>5363768.0185837746</v>
      </c>
      <c r="J340" s="1">
        <f t="shared" si="13"/>
        <v>5709214.0185837746</v>
      </c>
    </row>
    <row r="341" spans="1:10" x14ac:dyDescent="0.2">
      <c r="A341">
        <v>2019</v>
      </c>
      <c r="C341" t="s">
        <v>23</v>
      </c>
      <c r="D341">
        <v>1292759</v>
      </c>
      <c r="E341">
        <v>144202</v>
      </c>
      <c r="F341">
        <v>1436961</v>
      </c>
      <c r="G341" cm="1">
        <f t="array" ref="G341">_xlfn.IFS(A341=$E$640,F341/$F$640,A341=$E$641,F341/$F$641,A341=$E$641,F341/$F$641,A341=$E$642,F341/$F$642,A341=$E$643,F341/$F$643,A341=$E$644,F341/$F$644,A341=$E$645,F341/$F$645,A341=$E$646,F341/$F$646,A341=$E$647,F341/$F$647)</f>
        <v>4.4370568342194619E-2</v>
      </c>
      <c r="H341" cm="1">
        <f t="array" ref="H341">_xlfn.IFS(A341=$P$24,G341*$Q$24,A341=$P$25,G341*$Q$25,A341=$P$26,G341*$Q$26,A341=$P$27,G341*$Q$27,A341=$P$28,G341*$Q$28,A341=$P$29,G341*$Q$29,A341=$P$30,G341*$Q$30,A341=$P$31,G341*$Q$31)</f>
        <v>19928576.920975264</v>
      </c>
      <c r="I341">
        <f t="shared" si="12"/>
        <v>20072778.920975264</v>
      </c>
      <c r="J341" s="1">
        <f t="shared" si="13"/>
        <v>21365537.920975264</v>
      </c>
    </row>
    <row r="342" spans="1:10" x14ac:dyDescent="0.2">
      <c r="A342">
        <v>2019</v>
      </c>
      <c r="C342" t="s">
        <v>24</v>
      </c>
      <c r="D342">
        <v>973885</v>
      </c>
      <c r="E342">
        <v>108633</v>
      </c>
      <c r="F342">
        <v>1082518</v>
      </c>
      <c r="G342" cm="1">
        <f t="array" ref="G342">_xlfn.IFS(A342=$E$640,F342/$F$640,A342=$E$641,F342/$F$641,A342=$E$641,F342/$F$641,A342=$E$642,F342/$F$642,A342=$E$643,F342/$F$643,A342=$E$644,F342/$F$644,A342=$E$645,F342/$F$645,A342=$E$646,F342/$F$646,A342=$E$647,F342/$F$647)</f>
        <v>3.3426056031204625E-2</v>
      </c>
      <c r="H342" cm="1">
        <f t="array" ref="H342">_xlfn.IFS(A342=$P$24,G342*$Q$24,A342=$P$25,G342*$Q$25,A342=$P$26,G342*$Q$26,A342=$P$27,G342*$Q$27,A342=$P$28,G342*$Q$28,A342=$P$29,G342*$Q$29,A342=$P$30,G342*$Q$30,A342=$P$31,G342*$Q$31)</f>
        <v>15012963.630425807</v>
      </c>
      <c r="I342">
        <f t="shared" si="12"/>
        <v>15121596.630425807</v>
      </c>
      <c r="J342" s="1">
        <f t="shared" si="13"/>
        <v>16095481.630425807</v>
      </c>
    </row>
    <row r="343" spans="1:10" x14ac:dyDescent="0.2">
      <c r="A343">
        <v>2019</v>
      </c>
      <c r="C343" t="s">
        <v>25</v>
      </c>
      <c r="D343">
        <v>426157</v>
      </c>
      <c r="E343">
        <v>47536</v>
      </c>
      <c r="F343">
        <v>473693</v>
      </c>
      <c r="G343" cm="1">
        <f t="array" ref="G343">_xlfn.IFS(A343=$E$640,F343/$F$640,A343=$E$641,F343/$F$641,A343=$E$641,F343/$F$641,A343=$E$642,F343/$F$642,A343=$E$643,F343/$F$643,A343=$E$644,F343/$F$644,A343=$E$645,F343/$F$645,A343=$E$646,F343/$F$646,A343=$E$647,F343/$F$647)</f>
        <v>1.4626720996407832E-2</v>
      </c>
      <c r="H343" cm="1">
        <f t="array" ref="H343">_xlfn.IFS(A343=$P$24,G343*$Q$24,A343=$P$25,G343*$Q$25,A343=$P$26,G343*$Q$26,A343=$P$27,G343*$Q$27,A343=$P$28,G343*$Q$28,A343=$P$29,G343*$Q$29,A343=$P$30,G343*$Q$30,A343=$P$31,G343*$Q$31)</f>
        <v>6569438.8277952811</v>
      </c>
      <c r="I343">
        <f t="shared" si="12"/>
        <v>6616974.8277952811</v>
      </c>
      <c r="J343" s="1">
        <f t="shared" si="13"/>
        <v>7043131.8277952811</v>
      </c>
    </row>
    <row r="344" spans="1:10" x14ac:dyDescent="0.2">
      <c r="A344">
        <v>2019</v>
      </c>
      <c r="C344" t="s">
        <v>30</v>
      </c>
      <c r="D344">
        <v>307747</v>
      </c>
      <c r="E344">
        <v>34328</v>
      </c>
      <c r="F344">
        <v>342075</v>
      </c>
      <c r="G344" cm="1">
        <f t="array" ref="G344">_xlfn.IFS(A344=$E$640,F344/$F$640,A344=$E$641,F344/$F$641,A344=$E$641,F344/$F$641,A344=$E$642,F344/$F$642,A344=$E$643,F344/$F$643,A344=$E$644,F344/$F$644,A344=$E$645,F344/$F$645,A344=$E$646,F344/$F$646,A344=$E$647,F344/$F$647)</f>
        <v>1.0562612461755206E-2</v>
      </c>
      <c r="H344" cm="1">
        <f t="array" ref="H344">_xlfn.IFS(A344=$P$24,G344*$Q$24,A344=$P$25,G344*$Q$25,A344=$P$26,G344*$Q$26,A344=$P$27,G344*$Q$27,A344=$P$28,G344*$Q$28,A344=$P$29,G344*$Q$29,A344=$P$30,G344*$Q$30,A344=$P$31,G344*$Q$31)</f>
        <v>4744086.9656466758</v>
      </c>
      <c r="I344">
        <f t="shared" si="12"/>
        <v>4778414.9656466758</v>
      </c>
      <c r="J344" s="1">
        <f t="shared" si="13"/>
        <v>5086161.9656466758</v>
      </c>
    </row>
    <row r="345" spans="1:10" x14ac:dyDescent="0.2">
      <c r="A345">
        <v>2019</v>
      </c>
      <c r="C345" t="s">
        <v>31</v>
      </c>
      <c r="D345">
        <v>700332</v>
      </c>
      <c r="E345">
        <v>78119</v>
      </c>
      <c r="F345">
        <v>778451</v>
      </c>
      <c r="G345" cm="1">
        <f t="array" ref="G345">_xlfn.IFS(A345=$E$640,F345/$F$640,A345=$E$641,F345/$F$641,A345=$E$641,F345/$F$641,A345=$E$642,F345/$F$642,A345=$E$643,F345/$F$643,A345=$E$644,F345/$F$644,A345=$E$645,F345/$F$645,A345=$E$646,F345/$F$646,A345=$E$647,F345/$F$647)</f>
        <v>2.4037056883624359E-2</v>
      </c>
      <c r="H345" cm="1">
        <f t="array" ref="H345">_xlfn.IFS(A345=$P$24,G345*$Q$24,A345=$P$25,G345*$Q$25,A345=$P$26,G345*$Q$26,A345=$P$27,G345*$Q$27,A345=$P$28,G345*$Q$28,A345=$P$29,G345*$Q$29,A345=$P$30,G345*$Q$30,A345=$P$31,G345*$Q$31)</f>
        <v>10795992.81588722</v>
      </c>
      <c r="I345">
        <f t="shared" si="12"/>
        <v>10874111.81588722</v>
      </c>
      <c r="J345" s="1">
        <f t="shared" si="13"/>
        <v>11574443.81588722</v>
      </c>
    </row>
    <row r="346" spans="1:10" x14ac:dyDescent="0.2">
      <c r="A346">
        <v>2019</v>
      </c>
      <c r="C346" t="s">
        <v>32</v>
      </c>
      <c r="D346">
        <v>387920</v>
      </c>
      <c r="E346">
        <v>43271</v>
      </c>
      <c r="F346">
        <v>431191</v>
      </c>
      <c r="G346" cm="1">
        <f t="array" ref="G346">_xlfn.IFS(A346=$E$640,F346/$F$640,A346=$E$641,F346/$F$641,A346=$E$641,F346/$F$641,A346=$E$642,F346/$F$642,A346=$E$643,F346/$F$643,A346=$E$644,F346/$F$644,A346=$E$645,F346/$F$645,A346=$E$646,F346/$F$646,A346=$E$647,F346/$F$647)</f>
        <v>1.3314341679446581E-2</v>
      </c>
      <c r="H346" cm="1">
        <f t="array" ref="H346">_xlfn.IFS(A346=$P$24,G346*$Q$24,A346=$P$25,G346*$Q$25,A346=$P$26,G346*$Q$26,A346=$P$27,G346*$Q$27,A346=$P$28,G346*$Q$28,A346=$P$29,G346*$Q$29,A346=$P$30,G346*$Q$30,A346=$P$31,G346*$Q$31)</f>
        <v>5979997.3771955147</v>
      </c>
      <c r="I346">
        <f t="shared" si="12"/>
        <v>6023268.3771955147</v>
      </c>
      <c r="J346" s="1">
        <f t="shared" si="13"/>
        <v>6411188.3771955147</v>
      </c>
    </row>
    <row r="347" spans="1:10" x14ac:dyDescent="0.2">
      <c r="A347">
        <v>2019</v>
      </c>
      <c r="C347" t="s">
        <v>33</v>
      </c>
      <c r="D347">
        <v>240115</v>
      </c>
      <c r="E347">
        <v>26784</v>
      </c>
      <c r="F347">
        <v>266899</v>
      </c>
      <c r="G347" cm="1">
        <f t="array" ref="G347">_xlfn.IFS(A347=$E$640,F347/$F$640,A347=$E$641,F347/$F$641,A347=$E$641,F347/$F$641,A347=$E$642,F347/$F$642,A347=$E$643,F347/$F$643,A347=$E$644,F347/$F$644,A347=$E$645,F347/$F$645,A347=$E$646,F347/$F$646,A347=$E$647,F347/$F$647)</f>
        <v>8.2413234040195939E-3</v>
      </c>
      <c r="H347" cm="1">
        <f t="array" ref="H347">_xlfn.IFS(A347=$P$24,G347*$Q$24,A347=$P$25,G347*$Q$25,A347=$P$26,G347*$Q$26,A347=$P$27,G347*$Q$27,A347=$P$28,G347*$Q$28,A347=$P$29,G347*$Q$29,A347=$P$30,G347*$Q$30,A347=$P$31,G347*$Q$31)</f>
        <v>3701504.2521205349</v>
      </c>
      <c r="I347">
        <f t="shared" si="12"/>
        <v>3728288.2521205349</v>
      </c>
      <c r="J347" s="1">
        <f t="shared" si="13"/>
        <v>3968403.2521205349</v>
      </c>
    </row>
    <row r="348" spans="1:10" x14ac:dyDescent="0.2">
      <c r="A348">
        <v>2019</v>
      </c>
      <c r="C348" t="s">
        <v>34</v>
      </c>
      <c r="D348">
        <v>1498271</v>
      </c>
      <c r="E348">
        <v>167126</v>
      </c>
      <c r="F348">
        <v>1665397</v>
      </c>
      <c r="G348" cm="1">
        <f t="array" ref="G348">_xlfn.IFS(A348=$E$640,F348/$F$640,A348=$E$641,F348/$F$641,A348=$E$641,F348/$F$641,A348=$E$642,F348/$F$642,A348=$E$643,F348/$F$643,A348=$E$644,F348/$F$644,A348=$E$645,F348/$F$645,A348=$E$646,F348/$F$646,A348=$E$647,F348/$F$647)</f>
        <v>5.1424228914623213E-2</v>
      </c>
      <c r="H348" cm="1">
        <f t="array" ref="H348">_xlfn.IFS(A348=$P$24,G348*$Q$24,A348=$P$25,G348*$Q$25,A348=$P$26,G348*$Q$26,A348=$P$27,G348*$Q$27,A348=$P$28,G348*$Q$28,A348=$P$29,G348*$Q$29,A348=$P$30,G348*$Q$30,A348=$P$31,G348*$Q$31)</f>
        <v>23096654.828113943</v>
      </c>
      <c r="I348">
        <f t="shared" si="12"/>
        <v>23263780.828113943</v>
      </c>
      <c r="J348" s="1">
        <f t="shared" si="13"/>
        <v>24762051.828113943</v>
      </c>
    </row>
    <row r="349" spans="1:10" x14ac:dyDescent="0.2">
      <c r="A349">
        <v>2019</v>
      </c>
      <c r="C349" t="s">
        <v>35</v>
      </c>
      <c r="D349">
        <v>110956</v>
      </c>
      <c r="E349">
        <v>12377</v>
      </c>
      <c r="F349">
        <v>123333</v>
      </c>
      <c r="G349" cm="1">
        <f t="array" ref="G349">_xlfn.IFS(A349=$E$640,F349/$F$640,A349=$E$641,F349/$F$641,A349=$E$641,F349/$F$641,A349=$E$642,F349/$F$642,A349=$E$643,F349/$F$643,A349=$E$644,F349/$F$644,A349=$E$645,F349/$F$645,A349=$E$646,F349/$F$646,A349=$E$647,F349/$F$647)</f>
        <v>3.8082838054393185E-3</v>
      </c>
      <c r="H349" cm="1">
        <f t="array" ref="H349">_xlfn.IFS(A349=$P$24,G349*$Q$24,A349=$P$25,G349*$Q$25,A349=$P$26,G349*$Q$26,A349=$P$27,G349*$Q$27,A349=$P$28,G349*$Q$28,A349=$P$29,G349*$Q$29,A349=$P$30,G349*$Q$30,A349=$P$31,G349*$Q$31)</f>
        <v>1710450.8594141679</v>
      </c>
      <c r="I349">
        <f t="shared" si="12"/>
        <v>1722827.8594141679</v>
      </c>
      <c r="J349" s="1">
        <f t="shared" si="13"/>
        <v>1833783.8594141679</v>
      </c>
    </row>
    <row r="350" spans="1:10" x14ac:dyDescent="0.2">
      <c r="A350">
        <v>2019</v>
      </c>
      <c r="C350" t="s">
        <v>36</v>
      </c>
      <c r="D350">
        <v>206311</v>
      </c>
      <c r="E350">
        <v>23013</v>
      </c>
      <c r="F350">
        <v>229324</v>
      </c>
      <c r="G350" cm="1">
        <f t="array" ref="G350">_xlfn.IFS(A350=$E$640,F350/$F$640,A350=$E$641,F350/$F$641,A350=$E$641,F350/$F$641,A350=$E$642,F350/$F$642,A350=$E$643,F350/$F$643,A350=$E$644,F350/$F$644,A350=$E$645,F350/$F$645,A350=$E$646,F350/$F$646,A350=$E$647,F350/$F$647)</f>
        <v>7.0810802899351046E-3</v>
      </c>
      <c r="H350" cm="1">
        <f t="array" ref="H350">_xlfn.IFS(A350=$P$24,G350*$Q$24,A350=$P$25,G350*$Q$25,A350=$P$26,G350*$Q$26,A350=$P$27,G350*$Q$27,A350=$P$28,G350*$Q$28,A350=$P$29,G350*$Q$29,A350=$P$30,G350*$Q$30,A350=$P$31,G350*$Q$31)</f>
        <v>3180393.1866110014</v>
      </c>
      <c r="I350">
        <f t="shared" si="12"/>
        <v>3203406.1866110014</v>
      </c>
      <c r="J350" s="1">
        <f t="shared" si="13"/>
        <v>3409717.1866110014</v>
      </c>
    </row>
    <row r="351" spans="1:10" x14ac:dyDescent="0.2">
      <c r="A351">
        <v>2019</v>
      </c>
      <c r="C351" t="s">
        <v>37</v>
      </c>
      <c r="D351">
        <v>181287</v>
      </c>
      <c r="E351">
        <v>20222</v>
      </c>
      <c r="F351">
        <v>201509</v>
      </c>
      <c r="G351" cm="1">
        <f t="array" ref="G351">_xlfn.IFS(A351=$E$640,F351/$F$640,A351=$E$641,F351/$F$641,A351=$E$641,F351/$F$641,A351=$E$642,F351/$F$642,A351=$E$643,F351/$F$643,A351=$E$644,F351/$F$644,A351=$E$645,F351/$F$645,A351=$E$646,F351/$F$646,A351=$E$647,F351/$F$647)</f>
        <v>6.2222070439401592E-3</v>
      </c>
      <c r="H351" cm="1">
        <f t="array" ref="H351">_xlfn.IFS(A351=$P$24,G351*$Q$24,A351=$P$25,G351*$Q$25,A351=$P$26,G351*$Q$26,A351=$P$27,G351*$Q$27,A351=$P$28,G351*$Q$28,A351=$P$29,G351*$Q$29,A351=$P$30,G351*$Q$30,A351=$P$31,G351*$Q$31)</f>
        <v>2794639.2468332853</v>
      </c>
      <c r="I351">
        <f t="shared" si="12"/>
        <v>2814861.2468332853</v>
      </c>
      <c r="J351" s="1">
        <f t="shared" si="13"/>
        <v>2996148.2468332853</v>
      </c>
    </row>
    <row r="352" spans="1:10" x14ac:dyDescent="0.2">
      <c r="A352">
        <v>2019</v>
      </c>
      <c r="C352" t="s">
        <v>38</v>
      </c>
      <c r="D352">
        <v>544053</v>
      </c>
      <c r="E352">
        <v>60687</v>
      </c>
      <c r="F352">
        <v>604740</v>
      </c>
      <c r="G352" cm="1">
        <f t="array" ref="G352">_xlfn.IFS(A352=$E$640,F352/$F$640,A352=$E$641,F352/$F$641,A352=$E$641,F352/$F$641,A352=$E$642,F352/$F$642,A352=$E$643,F352/$F$643,A352=$E$644,F352/$F$644,A352=$E$645,F352/$F$645,A352=$E$646,F352/$F$646,A352=$E$647,F352/$F$647)</f>
        <v>1.867319815865481E-2</v>
      </c>
      <c r="H352" cm="1">
        <f t="array" ref="H352">_xlfn.IFS(A352=$P$24,G352*$Q$24,A352=$P$25,G352*$Q$25,A352=$P$26,G352*$Q$26,A352=$P$27,G352*$Q$27,A352=$P$28,G352*$Q$28,A352=$P$29,G352*$Q$29,A352=$P$30,G352*$Q$30,A352=$P$31,G352*$Q$31)</f>
        <v>8386871.7433462571</v>
      </c>
      <c r="I352">
        <f t="shared" si="12"/>
        <v>8447558.7433462571</v>
      </c>
      <c r="J352" s="1">
        <f t="shared" si="13"/>
        <v>8991611.7433462571</v>
      </c>
    </row>
    <row r="353" spans="1:10" x14ac:dyDescent="0.2">
      <c r="A353">
        <v>2019</v>
      </c>
      <c r="C353" t="s">
        <v>39</v>
      </c>
      <c r="D353">
        <v>21076</v>
      </c>
      <c r="E353">
        <v>2351</v>
      </c>
      <c r="F353">
        <v>23427</v>
      </c>
      <c r="G353" cm="1">
        <f t="array" ref="G353">_xlfn.IFS(A353=$E$640,F353/$F$640,A353=$E$641,F353/$F$641,A353=$E$641,F353/$F$641,A353=$E$642,F353/$F$642,A353=$E$643,F353/$F$643,A353=$E$644,F353/$F$644,A353=$E$645,F353/$F$645,A353=$E$646,F353/$F$646,A353=$E$647,F353/$F$647)</f>
        <v>7.2338031759567115E-4</v>
      </c>
      <c r="H353" cm="1">
        <f t="array" ref="H353">_xlfn.IFS(A353=$P$24,G353*$Q$24,A353=$P$25,G353*$Q$25,A353=$P$26,G353*$Q$26,A353=$P$27,G353*$Q$27,A353=$P$28,G353*$Q$28,A353=$P$29,G353*$Q$29,A353=$P$30,G353*$Q$30,A353=$P$31,G353*$Q$31)</f>
        <v>324898.70743025554</v>
      </c>
      <c r="I353">
        <f t="shared" si="12"/>
        <v>327249.70743025554</v>
      </c>
      <c r="J353" s="1">
        <f t="shared" si="13"/>
        <v>348325.70743025554</v>
      </c>
    </row>
    <row r="354" spans="1:10" x14ac:dyDescent="0.2">
      <c r="A354">
        <v>2019</v>
      </c>
      <c r="C354" t="s">
        <v>40</v>
      </c>
      <c r="D354">
        <v>188909</v>
      </c>
      <c r="E354">
        <v>21072</v>
      </c>
      <c r="F354">
        <v>209981</v>
      </c>
      <c r="G354" cm="1">
        <f t="array" ref="G354">_xlfn.IFS(A354=$E$640,F354/$F$640,A354=$E$641,F354/$F$641,A354=$E$641,F354/$F$641,A354=$E$642,F354/$F$642,A354=$E$643,F354/$F$643,A354=$E$644,F354/$F$644,A354=$E$645,F354/$F$645,A354=$E$646,F354/$F$646,A354=$E$647,F354/$F$647)</f>
        <v>6.4838059704211649E-3</v>
      </c>
      <c r="H354" cm="1">
        <f t="array" ref="H354">_xlfn.IFS(A354=$P$24,G354*$Q$24,A354=$P$25,G354*$Q$25,A354=$P$26,G354*$Q$26,A354=$P$27,G354*$Q$27,A354=$P$28,G354*$Q$28,A354=$P$29,G354*$Q$29,A354=$P$30,G354*$Q$30,A354=$P$31,G354*$Q$31)</f>
        <v>2912133.6699070516</v>
      </c>
      <c r="I354">
        <f t="shared" si="12"/>
        <v>2933205.6699070516</v>
      </c>
      <c r="J354" s="1">
        <f t="shared" si="13"/>
        <v>3122114.6699070516</v>
      </c>
    </row>
    <row r="355" spans="1:10" x14ac:dyDescent="0.2">
      <c r="A355">
        <v>2019</v>
      </c>
      <c r="C355" t="s">
        <v>41</v>
      </c>
      <c r="D355">
        <v>70854</v>
      </c>
      <c r="E355">
        <v>7904</v>
      </c>
      <c r="F355">
        <v>78758</v>
      </c>
      <c r="G355" cm="1">
        <f t="array" ref="G355">_xlfn.IFS(A355=$E$640,F355/$F$640,A355=$E$641,F355/$F$641,A355=$E$641,F355/$F$641,A355=$E$642,F355/$F$642,A355=$E$643,F355/$F$643,A355=$E$644,F355/$F$644,A355=$E$645,F355/$F$645,A355=$E$646,F355/$F$646,A355=$E$647,F355/$F$647)</f>
        <v>2.4318942695692948E-3</v>
      </c>
      <c r="H355" cm="1">
        <f t="array" ref="H355">_xlfn.IFS(A355=$P$24,G355*$Q$24,A355=$P$25,G355*$Q$25,A355=$P$26,G355*$Q$26,A355=$P$27,G355*$Q$27,A355=$P$28,G355*$Q$28,A355=$P$29,G355*$Q$29,A355=$P$30,G355*$Q$30,A355=$P$31,G355*$Q$31)</f>
        <v>1092259.8881543546</v>
      </c>
      <c r="I355">
        <f t="shared" si="12"/>
        <v>1100163.8881543546</v>
      </c>
      <c r="J355" s="1">
        <f t="shared" si="13"/>
        <v>1171017.8881543546</v>
      </c>
    </row>
    <row r="356" spans="1:10" x14ac:dyDescent="0.2">
      <c r="A356">
        <v>2019</v>
      </c>
      <c r="C356" t="s">
        <v>42</v>
      </c>
      <c r="D356">
        <v>183334</v>
      </c>
      <c r="E356">
        <v>20450</v>
      </c>
      <c r="F356">
        <v>203784</v>
      </c>
      <c r="G356" cm="1">
        <f t="array" ref="G356">_xlfn.IFS(A356=$E$640,F356/$F$640,A356=$E$641,F356/$F$641,A356=$E$641,F356/$F$641,A356=$E$642,F356/$F$642,A356=$E$643,F356/$F$643,A356=$E$644,F356/$F$644,A356=$E$645,F356/$F$645,A356=$E$646,F356/$F$646,A356=$E$647,F356/$F$647)</f>
        <v>6.2924546310204575E-3</v>
      </c>
      <c r="H356" cm="1">
        <f t="array" ref="H356">_xlfn.IFS(A356=$P$24,G356*$Q$24,A356=$P$25,G356*$Q$25,A356=$P$26,G356*$Q$26,A356=$P$27,G356*$Q$27,A356=$P$28,G356*$Q$28,A356=$P$29,G356*$Q$29,A356=$P$30,G356*$Q$30,A356=$P$31,G356*$Q$31)</f>
        <v>2826190.2162021259</v>
      </c>
      <c r="I356">
        <f t="shared" si="12"/>
        <v>2846640.2162021259</v>
      </c>
      <c r="J356" s="1">
        <f t="shared" si="13"/>
        <v>3029974.2162021259</v>
      </c>
    </row>
    <row r="357" spans="1:10" x14ac:dyDescent="0.2">
      <c r="A357">
        <v>2019</v>
      </c>
      <c r="C357" t="s">
        <v>43</v>
      </c>
      <c r="D357">
        <v>907467</v>
      </c>
      <c r="E357">
        <v>101224</v>
      </c>
      <c r="F357">
        <v>1008691</v>
      </c>
      <c r="G357" cm="1">
        <f t="array" ref="G357">_xlfn.IFS(A357=$E$640,F357/$F$640,A357=$E$641,F357/$F$641,A357=$E$641,F357/$F$641,A357=$E$642,F357/$F$642,A357=$E$643,F357/$F$643,A357=$E$644,F357/$F$644,A357=$E$645,F357/$F$645,A357=$E$646,F357/$F$646,A357=$E$647,F357/$F$647)</f>
        <v>3.1146421476753113E-2</v>
      </c>
      <c r="H357" cm="1">
        <f t="array" ref="H357">_xlfn.IFS(A357=$P$24,G357*$Q$24,A357=$P$25,G357*$Q$25,A357=$P$26,G357*$Q$26,A357=$P$27,G357*$Q$27,A357=$P$28,G357*$Q$28,A357=$P$29,G357*$Q$29,A357=$P$30,G357*$Q$30,A357=$P$31,G357*$Q$31)</f>
        <v>13989089.601593543</v>
      </c>
      <c r="I357">
        <f t="shared" si="12"/>
        <v>14090313.601593543</v>
      </c>
      <c r="J357" s="1">
        <f t="shared" si="13"/>
        <v>14997780.601593543</v>
      </c>
    </row>
    <row r="358" spans="1:10" x14ac:dyDescent="0.2">
      <c r="A358">
        <v>2019</v>
      </c>
      <c r="C358" t="s">
        <v>44</v>
      </c>
      <c r="D358">
        <v>710632</v>
      </c>
      <c r="E358">
        <v>79268</v>
      </c>
      <c r="F358">
        <v>789900</v>
      </c>
      <c r="G358" cm="1">
        <f t="array" ref="G358">_xlfn.IFS(A358=$E$640,F358/$F$640,A358=$E$641,F358/$F$641,A358=$E$641,F358/$F$641,A358=$E$642,F358/$F$642,A358=$E$643,F358/$F$643,A358=$E$644,F358/$F$644,A358=$E$645,F358/$F$645,A358=$E$646,F358/$F$646,A358=$E$647,F358/$F$647)</f>
        <v>2.4390579795484726E-2</v>
      </c>
      <c r="H358" cm="1">
        <f t="array" ref="H358">_xlfn.IFS(A358=$P$24,G358*$Q$24,A358=$P$25,G358*$Q$25,A358=$P$26,G358*$Q$26,A358=$P$27,G358*$Q$27,A358=$P$28,G358*$Q$28,A358=$P$29,G358*$Q$29,A358=$P$30,G358*$Q$30,A358=$P$31,G358*$Q$31)</f>
        <v>10954773.936020782</v>
      </c>
      <c r="I358">
        <f t="shared" si="12"/>
        <v>11034041.936020782</v>
      </c>
      <c r="J358" s="1">
        <f t="shared" si="13"/>
        <v>11744673.936020782</v>
      </c>
    </row>
    <row r="359" spans="1:10" x14ac:dyDescent="0.2">
      <c r="A359">
        <v>2019</v>
      </c>
      <c r="C359" t="s">
        <v>45</v>
      </c>
      <c r="D359">
        <v>183908</v>
      </c>
      <c r="E359">
        <v>20514</v>
      </c>
      <c r="F359">
        <v>204422</v>
      </c>
      <c r="G359" cm="1">
        <f t="array" ref="G359">_xlfn.IFS(A359=$E$640,F359/$F$640,A359=$E$641,F359/$F$641,A359=$E$641,F359/$F$641,A359=$E$642,F359/$F$642,A359=$E$643,F359/$F$643,A359=$E$644,F359/$F$644,A359=$E$645,F359/$F$645,A359=$E$646,F359/$F$646,A359=$E$647,F359/$F$647)</f>
        <v>6.3121548334631964E-3</v>
      </c>
      <c r="H359" cm="1">
        <f t="array" ref="H359">_xlfn.IFS(A359=$P$24,G359*$Q$24,A359=$P$25,G359*$Q$25,A359=$P$26,G359*$Q$26,A359=$P$27,G359*$Q$27,A359=$P$28,G359*$Q$28,A359=$P$29,G359*$Q$29,A359=$P$30,G359*$Q$30,A359=$P$31,G359*$Q$31)</f>
        <v>2835038.3561833655</v>
      </c>
      <c r="I359">
        <f t="shared" si="12"/>
        <v>2855552.3561833655</v>
      </c>
      <c r="J359" s="1">
        <f t="shared" si="13"/>
        <v>3039460.3561833655</v>
      </c>
    </row>
    <row r="360" spans="1:10" x14ac:dyDescent="0.2">
      <c r="A360">
        <v>2019</v>
      </c>
      <c r="C360" t="s">
        <v>46</v>
      </c>
      <c r="D360">
        <v>174489</v>
      </c>
      <c r="E360">
        <v>19464</v>
      </c>
      <c r="F360">
        <v>193953</v>
      </c>
      <c r="G360" cm="1">
        <f t="array" ref="G360">_xlfn.IFS(A360=$E$640,F360/$F$640,A360=$E$641,F360/$F$641,A360=$E$641,F360/$F$641,A360=$E$642,F360/$F$642,A360=$E$643,F360/$F$643,A360=$E$644,F360/$F$644,A360=$E$645,F360/$F$645,A360=$E$646,F360/$F$646,A360=$E$647,F360/$F$647)</f>
        <v>5.9888924206528025E-3</v>
      </c>
      <c r="H360" cm="1">
        <f t="array" ref="H360">_xlfn.IFS(A360=$P$24,G360*$Q$24,A360=$P$25,G360*$Q$25,A360=$P$26,G360*$Q$26,A360=$P$27,G360*$Q$27,A360=$P$28,G360*$Q$28,A360=$P$29,G360*$Q$29,A360=$P$30,G360*$Q$30,A360=$P$31,G360*$Q$31)</f>
        <v>2689848.4228548408</v>
      </c>
      <c r="I360">
        <f t="shared" si="12"/>
        <v>2709312.4228548408</v>
      </c>
      <c r="J360" s="1">
        <f t="shared" si="13"/>
        <v>2883801.4228548408</v>
      </c>
    </row>
    <row r="361" spans="1:10" x14ac:dyDescent="0.2">
      <c r="A361">
        <v>2019</v>
      </c>
      <c r="C361" t="s">
        <v>47</v>
      </c>
      <c r="D361">
        <v>60517</v>
      </c>
      <c r="E361">
        <v>6751</v>
      </c>
      <c r="F361">
        <v>67268</v>
      </c>
      <c r="G361" cm="1">
        <f t="array" ref="G361">_xlfn.IFS(A361=$E$640,F361/$F$640,A361=$E$641,F361/$F$641,A361=$E$641,F361/$F$641,A361=$E$642,F361/$F$642,A361=$E$643,F361/$F$643,A361=$E$644,F361/$F$644,A361=$E$645,F361/$F$645,A361=$E$646,F361/$F$646,A361=$E$647,F361/$F$647)</f>
        <v>2.0771053572384689E-3</v>
      </c>
      <c r="H361" cm="1">
        <f t="array" ref="H361">_xlfn.IFS(A361=$P$24,G361*$Q$24,A361=$P$25,G361*$Q$25,A361=$P$26,G361*$Q$26,A361=$P$27,G361*$Q$27,A361=$P$28,G361*$Q$28,A361=$P$29,G361*$Q$29,A361=$P$30,G361*$Q$30,A361=$P$31,G361*$Q$31)</f>
        <v>932910.15714425372</v>
      </c>
      <c r="I361">
        <f t="shared" si="12"/>
        <v>939661.15714425372</v>
      </c>
      <c r="J361" s="1">
        <f t="shared" si="13"/>
        <v>1000178.1571442537</v>
      </c>
    </row>
    <row r="362" spans="1:10" x14ac:dyDescent="0.2">
      <c r="A362">
        <v>2019</v>
      </c>
      <c r="C362" t="s">
        <v>48</v>
      </c>
      <c r="D362">
        <v>70511</v>
      </c>
      <c r="E362">
        <v>7865</v>
      </c>
      <c r="F362">
        <v>78376</v>
      </c>
      <c r="G362" cm="1">
        <f t="array" ref="G362">_xlfn.IFS(A362=$E$640,F362/$F$640,A362=$E$641,F362/$F$641,A362=$E$641,F362/$F$641,A362=$E$642,F362/$F$642,A362=$E$643,F362/$F$643,A362=$E$644,F362/$F$644,A362=$E$645,F362/$F$645,A362=$E$646,F362/$F$646,A362=$E$647,F362/$F$647)</f>
        <v>2.4200988505518558E-3</v>
      </c>
      <c r="H362" cm="1">
        <f t="array" ref="H362">_xlfn.IFS(A362=$P$24,G362*$Q$24,A362=$P$25,G362*$Q$25,A362=$P$26,G362*$Q$26,A362=$P$27,G362*$Q$27,A362=$P$28,G362*$Q$28,A362=$P$29,G362*$Q$29,A362=$P$30,G362*$Q$30,A362=$P$31,G362*$Q$31)</f>
        <v>1086962.0990119823</v>
      </c>
      <c r="I362">
        <f t="shared" si="12"/>
        <v>1094827.0990119823</v>
      </c>
      <c r="J362" s="1">
        <f t="shared" si="13"/>
        <v>1165338.0990119823</v>
      </c>
    </row>
    <row r="363" spans="1:10" x14ac:dyDescent="0.2">
      <c r="A363">
        <v>2019</v>
      </c>
      <c r="C363" t="s">
        <v>49</v>
      </c>
      <c r="D363">
        <v>128929</v>
      </c>
      <c r="E363">
        <v>14382</v>
      </c>
      <c r="F363">
        <v>143311</v>
      </c>
      <c r="G363" cm="1">
        <f t="array" ref="G363">_xlfn.IFS(A363=$E$640,F363/$F$640,A363=$E$641,F363/$F$641,A363=$E$641,F363/$F$641,A363=$E$642,F363/$F$642,A363=$E$643,F363/$F$643,A363=$E$644,F363/$F$644,A363=$E$645,F363/$F$645,A363=$E$646,F363/$F$646,A363=$E$647,F363/$F$647)</f>
        <v>4.4251656932152317E-3</v>
      </c>
      <c r="H363" cm="1">
        <f t="array" ref="H363">_xlfn.IFS(A363=$P$24,G363*$Q$24,A363=$P$25,G363*$Q$25,A363=$P$26,G363*$Q$26,A363=$P$27,G363*$Q$27,A363=$P$28,G363*$Q$28,A363=$P$29,G363*$Q$29,A363=$P$30,G363*$Q$30,A363=$P$31,G363*$Q$31)</f>
        <v>1987516.9104254644</v>
      </c>
      <c r="I363">
        <f t="shared" si="12"/>
        <v>2001898.9104254644</v>
      </c>
      <c r="J363" s="1">
        <f t="shared" si="13"/>
        <v>2130827.9104254646</v>
      </c>
    </row>
    <row r="364" spans="1:10" x14ac:dyDescent="0.2">
      <c r="A364">
        <v>2019</v>
      </c>
      <c r="C364" t="s">
        <v>50</v>
      </c>
      <c r="D364">
        <v>34942</v>
      </c>
      <c r="E364">
        <v>3898</v>
      </c>
      <c r="F364">
        <v>38840</v>
      </c>
      <c r="G364" cm="1">
        <f t="array" ref="G364">_xlfn.IFS(A364=$E$640,F364/$F$640,A364=$E$641,F364/$F$641,A364=$E$641,F364/$F$641,A364=$E$642,F364/$F$642,A364=$E$643,F364/$F$643,A364=$E$644,F364/$F$644,A364=$E$645,F364/$F$645,A364=$E$646,F364/$F$646,A364=$E$647,F364/$F$647)</f>
        <v>1.1993038603071613E-3</v>
      </c>
      <c r="H364" cm="1">
        <f t="array" ref="H364">_xlfn.IFS(A364=$P$24,G364*$Q$24,A364=$P$25,G364*$Q$25,A364=$P$26,G364*$Q$26,A364=$P$27,G364*$Q$27,A364=$P$28,G364*$Q$28,A364=$P$29,G364*$Q$29,A364=$P$30,G364*$Q$30,A364=$P$31,G364*$Q$31)</f>
        <v>538654.79133440589</v>
      </c>
      <c r="I364">
        <f t="shared" si="12"/>
        <v>542552.79133440589</v>
      </c>
      <c r="J364" s="1">
        <f t="shared" si="13"/>
        <v>577494.79133440589</v>
      </c>
    </row>
    <row r="365" spans="1:10" x14ac:dyDescent="0.2">
      <c r="A365">
        <v>2019</v>
      </c>
      <c r="C365" t="s">
        <v>51</v>
      </c>
      <c r="D365">
        <v>205858</v>
      </c>
      <c r="E365">
        <v>22963</v>
      </c>
      <c r="F365">
        <v>228821</v>
      </c>
      <c r="G365" cm="1">
        <f t="array" ref="G365">_xlfn.IFS(A365=$E$640,F365/$F$640,A365=$E$641,F365/$F$641,A365=$E$641,F365/$F$641,A365=$E$642,F365/$F$642,A365=$E$643,F365/$F$643,A365=$E$644,F365/$F$644,A365=$E$645,F365/$F$645,A365=$E$646,F365/$F$646,A365=$E$647,F365/$F$647)</f>
        <v>7.0655486256268017E-3</v>
      </c>
      <c r="H365" cm="1">
        <f t="array" ref="H365">_xlfn.IFS(A365=$P$24,G365*$Q$24,A365=$P$25,G365*$Q$25,A365=$P$26,G365*$Q$26,A365=$P$27,G365*$Q$27,A365=$P$28,G365*$Q$28,A365=$P$29,G365*$Q$29,A365=$P$30,G365*$Q$30,A365=$P$31,G365*$Q$31)</f>
        <v>3173417.3019549455</v>
      </c>
      <c r="I365">
        <f t="shared" si="12"/>
        <v>3196380.3019549455</v>
      </c>
      <c r="J365" s="1">
        <f t="shared" si="13"/>
        <v>3402238.3019549455</v>
      </c>
    </row>
    <row r="366" spans="1:10" x14ac:dyDescent="0.2">
      <c r="A366">
        <v>2019</v>
      </c>
      <c r="C366" t="s">
        <v>52</v>
      </c>
      <c r="D366">
        <v>255346</v>
      </c>
      <c r="E366">
        <v>28483</v>
      </c>
      <c r="F366">
        <v>283829</v>
      </c>
      <c r="G366" cm="1">
        <f t="array" ref="G366">_xlfn.IFS(A366=$E$640,F366/$F$640,A366=$E$641,F366/$F$641,A366=$E$641,F366/$F$641,A366=$E$642,F366/$F$642,A366=$E$643,F366/$F$643,A366=$E$644,F366/$F$644,A366=$E$645,F366/$F$645,A366=$E$646,F366/$F$646,A366=$E$647,F366/$F$647)</f>
        <v>8.7640889641380348E-3</v>
      </c>
      <c r="H366" cm="1">
        <f t="array" ref="H366">_xlfn.IFS(A366=$P$24,G366*$Q$24,A366=$P$25,G366*$Q$25,A366=$P$26,G366*$Q$26,A366=$P$27,G366*$Q$27,A366=$P$28,G366*$Q$28,A366=$P$29,G366*$Q$29,A366=$P$30,G366*$Q$30,A366=$P$31,G366*$Q$31)</f>
        <v>3936298.938456567</v>
      </c>
      <c r="I366">
        <f t="shared" si="12"/>
        <v>3964781.938456567</v>
      </c>
      <c r="J366" s="1">
        <f t="shared" si="13"/>
        <v>4220127.938456567</v>
      </c>
    </row>
    <row r="367" spans="1:10" x14ac:dyDescent="0.2">
      <c r="A367">
        <v>2019</v>
      </c>
      <c r="C367" t="s">
        <v>53</v>
      </c>
      <c r="D367">
        <v>347459</v>
      </c>
      <c r="E367">
        <v>38758</v>
      </c>
      <c r="F367">
        <v>386217</v>
      </c>
      <c r="G367" cm="1">
        <f t="array" ref="G367">_xlfn.IFS(A367=$E$640,F367/$F$640,A367=$E$641,F367/$F$641,A367=$E$641,F367/$F$641,A367=$E$642,F367/$F$642,A367=$E$643,F367/$F$643,A367=$E$644,F367/$F$644,A367=$E$645,F367/$F$645,A367=$E$646,F367/$F$646,A367=$E$647,F367/$F$647)</f>
        <v>1.1925631797534782E-2</v>
      </c>
      <c r="H367" cm="1">
        <f t="array" ref="H367">_xlfn.IFS(A367=$P$24,G367*$Q$24,A367=$P$25,G367*$Q$25,A367=$P$26,G367*$Q$26,A367=$P$27,G367*$Q$27,A367=$P$28,G367*$Q$28,A367=$P$29,G367*$Q$29,A367=$P$30,G367*$Q$30,A367=$P$31,G367*$Q$31)</f>
        <v>5356272.851307936</v>
      </c>
      <c r="I367">
        <f t="shared" si="12"/>
        <v>5395030.851307936</v>
      </c>
      <c r="J367" s="1">
        <f t="shared" si="13"/>
        <v>5742489.851307936</v>
      </c>
    </row>
    <row r="368" spans="1:10" x14ac:dyDescent="0.2">
      <c r="A368">
        <v>2019</v>
      </c>
      <c r="C368" t="s">
        <v>54</v>
      </c>
      <c r="D368">
        <v>76774</v>
      </c>
      <c r="E368">
        <v>8564</v>
      </c>
      <c r="F368">
        <v>85338</v>
      </c>
      <c r="G368" cm="1">
        <f t="array" ref="G368">_xlfn.IFS(A368=$E$640,F368/$F$640,A368=$E$641,F368/$F$641,A368=$E$641,F368/$F$641,A368=$E$642,F368/$F$642,A368=$E$643,F368/$F$643,A368=$E$644,F368/$F$644,A368=$E$645,F368/$F$645,A368=$E$646,F368/$F$646,A368=$E$647,F368/$F$647)</f>
        <v>2.6350719060476966E-3</v>
      </c>
      <c r="H368" cm="1">
        <f t="array" ref="H368">_xlfn.IFS(A368=$P$24,G368*$Q$24,A368=$P$25,G368*$Q$25,A368=$P$26,G368*$Q$26,A368=$P$27,G368*$Q$27,A368=$P$28,G368*$Q$28,A368=$P$29,G368*$Q$29,A368=$P$30,G368*$Q$30,A368=$P$31,G368*$Q$31)</f>
        <v>1183514.9995596171</v>
      </c>
      <c r="I368">
        <f t="shared" si="12"/>
        <v>1192078.9995596171</v>
      </c>
      <c r="J368" s="1">
        <f t="shared" si="13"/>
        <v>1268852.9995596171</v>
      </c>
    </row>
    <row r="369" spans="1:10" x14ac:dyDescent="0.2">
      <c r="A369">
        <v>2019</v>
      </c>
      <c r="C369" t="s">
        <v>55</v>
      </c>
      <c r="D369">
        <v>672388</v>
      </c>
      <c r="E369">
        <v>75002</v>
      </c>
      <c r="F369">
        <v>747390</v>
      </c>
      <c r="G369" cm="1">
        <f t="array" ref="G369">_xlfn.IFS(A369=$E$640,F369/$F$640,A369=$E$641,F369/$F$641,A369=$E$641,F369/$F$641,A369=$E$642,F369/$F$642,A369=$E$643,F369/$F$643,A369=$E$644,F369/$F$644,A369=$E$645,F369/$F$645,A369=$E$646,F369/$F$646,A369=$E$647,F369/$F$647)</f>
        <v>2.3077953454041435E-2</v>
      </c>
      <c r="H369" cm="1">
        <f t="array" ref="H369">_xlfn.IFS(A369=$P$24,G369*$Q$24,A369=$P$25,G369*$Q$25,A369=$P$26,G369*$Q$26,A369=$P$27,G369*$Q$27,A369=$P$28,G369*$Q$28,A369=$P$29,G369*$Q$29,A369=$P$30,G369*$Q$30,A369=$P$31,G369*$Q$31)</f>
        <v>10365221.536957301</v>
      </c>
      <c r="I369">
        <f t="shared" si="12"/>
        <v>10440223.536957301</v>
      </c>
      <c r="J369" s="1">
        <f t="shared" si="13"/>
        <v>11112611.536957301</v>
      </c>
    </row>
    <row r="370" spans="1:10" x14ac:dyDescent="0.2">
      <c r="A370">
        <v>2019</v>
      </c>
      <c r="C370" t="s">
        <v>56</v>
      </c>
      <c r="D370">
        <v>69798</v>
      </c>
      <c r="E370">
        <v>7786</v>
      </c>
      <c r="F370">
        <v>77584</v>
      </c>
      <c r="G370" cm="1">
        <f t="array" ref="G370">_xlfn.IFS(A370=$E$640,F370/$F$640,A370=$E$641,F370/$F$641,A370=$E$641,F370/$F$641,A370=$E$642,F370/$F$642,A370=$E$643,F370/$F$643,A370=$E$644,F370/$F$644,A370=$E$645,F370/$F$645,A370=$E$646,F370/$F$646,A370=$E$647,F370/$F$647)</f>
        <v>2.3956434268298352E-3</v>
      </c>
      <c r="H370" cm="1">
        <f t="array" ref="H370">_xlfn.IFS(A370=$P$24,G370*$Q$24,A370=$P$25,G370*$Q$25,A370=$P$26,G370*$Q$26,A370=$P$27,G370*$Q$27,A370=$P$28,G370*$Q$28,A370=$P$29,G370*$Q$29,A370=$P$30,G370*$Q$30,A370=$P$31,G370*$Q$31)</f>
        <v>1075978.2011042363</v>
      </c>
      <c r="I370">
        <f t="shared" si="12"/>
        <v>1083764.2011042363</v>
      </c>
      <c r="J370" s="1">
        <f t="shared" si="13"/>
        <v>1153562.2011042363</v>
      </c>
    </row>
    <row r="371" spans="1:10" x14ac:dyDescent="0.2">
      <c r="A371">
        <v>2019</v>
      </c>
      <c r="C371" t="s">
        <v>57</v>
      </c>
      <c r="D371">
        <v>1283820</v>
      </c>
      <c r="E371">
        <v>143205</v>
      </c>
      <c r="F371">
        <v>1427025</v>
      </c>
      <c r="G371" cm="1">
        <f t="array" ref="G371">_xlfn.IFS(A371=$E$640,F371/$F$640,A371=$E$641,F371/$F$641,A371=$E$641,F371/$F$641,A371=$E$642,F371/$F$642,A371=$E$643,F371/$F$643,A371=$E$644,F371/$F$644,A371=$E$645,F371/$F$645,A371=$E$646,F371/$F$646,A371=$E$647,F371/$F$647)</f>
        <v>4.4063763935500176E-2</v>
      </c>
      <c r="H371" cm="1">
        <f t="array" ref="H371">_xlfn.IFS(A371=$P$24,G371*$Q$24,A371=$P$25,G371*$Q$25,A371=$P$26,G371*$Q$26,A371=$P$27,G371*$Q$27,A371=$P$28,G371*$Q$28,A371=$P$29,G371*$Q$29,A371=$P$30,G371*$Q$30,A371=$P$31,G371*$Q$31)</f>
        <v>19790778.929041721</v>
      </c>
      <c r="I371">
        <f t="shared" si="12"/>
        <v>19933983.929041721</v>
      </c>
      <c r="J371" s="1">
        <f t="shared" si="13"/>
        <v>21217803.929041721</v>
      </c>
    </row>
    <row r="372" spans="1:10" x14ac:dyDescent="0.2">
      <c r="A372">
        <v>2019</v>
      </c>
      <c r="C372" t="s">
        <v>58</v>
      </c>
      <c r="D372">
        <v>305456</v>
      </c>
      <c r="E372">
        <v>34072</v>
      </c>
      <c r="F372">
        <v>339528</v>
      </c>
      <c r="G372" cm="1">
        <f t="array" ref="G372">_xlfn.IFS(A372=$E$640,F372/$F$640,A372=$E$641,F372/$F$641,A372=$E$641,F372/$F$641,A372=$E$642,F372/$F$642,A372=$E$643,F372/$F$643,A372=$E$644,F372/$F$644,A372=$E$645,F372/$F$645,A372=$E$646,F372/$F$646,A372=$E$647,F372/$F$647)</f>
        <v>1.0483966042285527E-2</v>
      </c>
      <c r="H372" cm="1">
        <f t="array" ref="H372">_xlfn.IFS(A372=$P$24,G372*$Q$24,A372=$P$25,G372*$Q$25,A372=$P$26,G372*$Q$26,A372=$P$27,G372*$Q$27,A372=$P$28,G372*$Q$28,A372=$P$29,G372*$Q$29,A372=$P$30,G372*$Q$30,A372=$P$31,G372*$Q$31)</f>
        <v>4708763.7485115379</v>
      </c>
      <c r="I372">
        <f t="shared" si="12"/>
        <v>4742835.7485115379</v>
      </c>
      <c r="J372" s="1">
        <f t="shared" si="13"/>
        <v>5048291.7485115379</v>
      </c>
    </row>
    <row r="373" spans="1:10" x14ac:dyDescent="0.2">
      <c r="A373">
        <v>2019</v>
      </c>
      <c r="C373" t="s">
        <v>59</v>
      </c>
      <c r="D373">
        <v>57177</v>
      </c>
      <c r="E373">
        <v>6378</v>
      </c>
      <c r="F373">
        <v>63555</v>
      </c>
      <c r="G373" cm="1">
        <f t="array" ref="G373">_xlfn.IFS(A373=$E$640,F373/$F$640,A373=$E$641,F373/$F$641,A373=$E$641,F373/$F$641,A373=$E$642,F373/$F$642,A373=$E$643,F373/$F$643,A373=$E$644,F373/$F$644,A373=$E$645,F373/$F$645,A373=$E$646,F373/$F$646,A373=$E$647,F373/$F$647)</f>
        <v>1.962455119511371E-3</v>
      </c>
      <c r="H373" cm="1">
        <f t="array" ref="H373">_xlfn.IFS(A373=$P$24,G373*$Q$24,A373=$P$25,G373*$Q$25,A373=$P$26,G373*$Q$26,A373=$P$27,G373*$Q$27,A373=$P$28,G373*$Q$28,A373=$P$29,G373*$Q$29,A373=$P$30,G373*$Q$30,A373=$P$31,G373*$Q$31)</f>
        <v>881416.20142271288</v>
      </c>
      <c r="I373">
        <f t="shared" si="12"/>
        <v>887794.20142271288</v>
      </c>
      <c r="J373" s="1">
        <f t="shared" si="13"/>
        <v>944971.20142271288</v>
      </c>
    </row>
    <row r="374" spans="1:10" x14ac:dyDescent="0.2">
      <c r="A374">
        <v>2019</v>
      </c>
      <c r="C374" t="s">
        <v>60</v>
      </c>
      <c r="D374">
        <v>17402</v>
      </c>
      <c r="E374">
        <v>1941</v>
      </c>
      <c r="F374">
        <v>19343</v>
      </c>
      <c r="G374" cm="1">
        <f t="array" ref="G374">_xlfn.IFS(A374=$E$640,F374/$F$640,A374=$E$641,F374/$F$641,A374=$E$641,F374/$F$641,A374=$E$642,F374/$F$642,A374=$E$643,F374/$F$643,A374=$E$644,F374/$F$644,A374=$E$645,F374/$F$645,A374=$E$646,F374/$F$646,A374=$E$647,F374/$F$647)</f>
        <v>5.9727431951393979E-4</v>
      </c>
      <c r="H374" cm="1">
        <f t="array" ref="H374">_xlfn.IFS(A374=$P$24,G374*$Q$24,A374=$P$25,G374*$Q$25,A374=$P$26,G374*$Q$26,A374=$P$27,G374*$Q$27,A374=$P$28,G374*$Q$28,A374=$P$29,G374*$Q$29,A374=$P$30,G374*$Q$30,A374=$P$31,G374*$Q$31)</f>
        <v>268259.51670394983</v>
      </c>
      <c r="I374">
        <f t="shared" si="12"/>
        <v>270200.51670394983</v>
      </c>
      <c r="J374" s="1">
        <f t="shared" si="13"/>
        <v>287602.51670394983</v>
      </c>
    </row>
    <row r="375" spans="1:10" x14ac:dyDescent="0.2">
      <c r="A375">
        <v>2019</v>
      </c>
      <c r="C375" t="s">
        <v>61</v>
      </c>
      <c r="D375">
        <v>59069</v>
      </c>
      <c r="E375">
        <v>6589</v>
      </c>
      <c r="F375">
        <v>65658</v>
      </c>
      <c r="G375" cm="1">
        <f t="array" ref="G375">_xlfn.IFS(A375=$E$640,F375/$F$640,A375=$E$641,F375/$F$641,A375=$E$641,F375/$F$641,A375=$E$642,F375/$F$642,A375=$E$643,F375/$F$643,A375=$E$644,F375/$F$644,A375=$E$645,F375/$F$645,A375=$E$646,F375/$F$646,A375=$E$647,F375/$F$647)</f>
        <v>2.0273916802277959E-3</v>
      </c>
      <c r="H375" cm="1">
        <f t="array" ref="H375">_xlfn.IFS(A375=$P$24,G375*$Q$24,A375=$P$25,G375*$Q$25,A375=$P$26,G375*$Q$26,A375=$P$27,G375*$Q$27,A375=$P$28,G375*$Q$28,A375=$P$29,G375*$Q$29,A375=$P$30,G375*$Q$30,A375=$P$31,G375*$Q$31)</f>
        <v>910581.77882168943</v>
      </c>
      <c r="I375">
        <f t="shared" si="12"/>
        <v>917170.77882168943</v>
      </c>
      <c r="J375" s="1">
        <f t="shared" si="13"/>
        <v>976239.77882168943</v>
      </c>
    </row>
    <row r="376" spans="1:10" x14ac:dyDescent="0.2">
      <c r="A376">
        <v>2019</v>
      </c>
      <c r="C376" t="s">
        <v>62</v>
      </c>
      <c r="D376">
        <v>62247</v>
      </c>
      <c r="E376">
        <v>6943</v>
      </c>
      <c r="F376">
        <v>69190</v>
      </c>
      <c r="G376" cm="1">
        <f t="array" ref="G376">_xlfn.IFS(A376=$E$640,F376/$F$640,A376=$E$641,F376/$F$641,A376=$E$641,F376/$F$641,A376=$E$642,F376/$F$642,A376=$E$643,F376/$F$643,A376=$E$644,F376/$F$644,A376=$E$645,F376/$F$645,A376=$E$646,F376/$F$646,A376=$E$647,F376/$F$647)</f>
        <v>2.1364529890487254E-3</v>
      </c>
      <c r="H376" cm="1">
        <f t="array" ref="H376">_xlfn.IFS(A376=$P$24,G376*$Q$24,A376=$P$25,G376*$Q$25,A376=$P$26,G376*$Q$26,A376=$P$27,G376*$Q$27,A376=$P$28,G376*$Q$28,A376=$P$29,G376*$Q$29,A376=$P$30,G376*$Q$30,A376=$P$31,G376*$Q$31)</f>
        <v>959565.52555168746</v>
      </c>
      <c r="I376">
        <f t="shared" si="12"/>
        <v>966508.52555168746</v>
      </c>
      <c r="J376" s="1">
        <f t="shared" si="13"/>
        <v>1028755.5255516875</v>
      </c>
    </row>
    <row r="377" spans="1:10" x14ac:dyDescent="0.2">
      <c r="A377">
        <v>2019</v>
      </c>
      <c r="C377" t="s">
        <v>63</v>
      </c>
      <c r="D377">
        <v>104835</v>
      </c>
      <c r="E377">
        <v>11694</v>
      </c>
      <c r="F377">
        <v>116529</v>
      </c>
      <c r="G377" cm="1">
        <f t="array" ref="G377">_xlfn.IFS(A377=$E$640,F377/$F$640,A377=$E$641,F377/$F$641,A377=$E$641,F377/$F$641,A377=$E$642,F377/$F$642,A377=$E$643,F377/$F$643,A377=$E$644,F377/$F$644,A377=$E$645,F377/$F$645,A377=$E$646,F377/$F$646,A377=$E$647,F377/$F$647)</f>
        <v>3.5981894834637798E-3</v>
      </c>
      <c r="H377" cm="1">
        <f t="array" ref="H377">_xlfn.IFS(A377=$P$24,G377*$Q$24,A377=$P$25,G377*$Q$25,A377=$P$26,G377*$Q$26,A377=$P$27,G377*$Q$27,A377=$P$28,G377*$Q$28,A377=$P$29,G377*$Q$29,A377=$P$30,G377*$Q$30,A377=$P$31,G377*$Q$31)</f>
        <v>1616089.1910248965</v>
      </c>
      <c r="I377">
        <f t="shared" si="12"/>
        <v>1627783.1910248965</v>
      </c>
      <c r="J377" s="1">
        <f t="shared" si="13"/>
        <v>1732618.1910248965</v>
      </c>
    </row>
    <row r="378" spans="1:10" x14ac:dyDescent="0.2">
      <c r="A378">
        <v>2019</v>
      </c>
      <c r="C378" t="s">
        <v>64</v>
      </c>
      <c r="D378">
        <v>17870</v>
      </c>
      <c r="E378">
        <v>1993</v>
      </c>
      <c r="F378">
        <v>19863</v>
      </c>
      <c r="G378" cm="1">
        <f t="array" ref="G378">_xlfn.IFS(A378=$E$640,F378/$F$640,A378=$E$641,F378/$F$641,A378=$E$641,F378/$F$641,A378=$E$642,F378/$F$642,A378=$E$643,F378/$F$643,A378=$E$644,F378/$F$644,A378=$E$645,F378/$F$645,A378=$E$646,F378/$F$646,A378=$E$647,F378/$F$647)</f>
        <v>6.1333091084657941E-4</v>
      </c>
      <c r="H378" cm="1">
        <f t="array" ref="H378">_xlfn.IFS(A378=$P$24,G378*$Q$24,A378=$P$25,G378*$Q$25,A378=$P$26,G378*$Q$26,A378=$P$27,G378*$Q$27,A378=$P$28,G378*$Q$28,A378=$P$29,G378*$Q$29,A378=$P$30,G378*$Q$30,A378=$P$31,G378*$Q$31)</f>
        <v>275471.16684539913</v>
      </c>
      <c r="I378">
        <f t="shared" si="12"/>
        <v>277464.16684539913</v>
      </c>
      <c r="J378" s="1">
        <f t="shared" si="13"/>
        <v>295334.16684539913</v>
      </c>
    </row>
    <row r="379" spans="1:10" x14ac:dyDescent="0.2">
      <c r="A379">
        <v>2019</v>
      </c>
      <c r="C379" t="s">
        <v>65</v>
      </c>
      <c r="D379">
        <v>302529</v>
      </c>
      <c r="E379">
        <v>33746</v>
      </c>
      <c r="F379">
        <v>336275</v>
      </c>
      <c r="G379" cm="1">
        <f t="array" ref="G379">_xlfn.IFS(A379=$E$640,F379/$F$640,A379=$E$641,F379/$F$641,A379=$E$641,F379/$F$641,A379=$E$642,F379/$F$642,A379=$E$643,F379/$F$643,A379=$E$644,F379/$F$644,A379=$E$645,F379/$F$645,A379=$E$646,F379/$F$646,A379=$E$647,F379/$F$647)</f>
        <v>1.0383519712275763E-2</v>
      </c>
      <c r="H379" cm="1">
        <f t="array" ref="H379">_xlfn.IFS(A379=$P$24,G379*$Q$24,A379=$P$25,G379*$Q$25,A379=$P$26,G379*$Q$26,A379=$P$27,G379*$Q$27,A379=$P$28,G379*$Q$28,A379=$P$29,G379*$Q$29,A379=$P$30,G379*$Q$30,A379=$P$31,G379*$Q$31)</f>
        <v>4663649.3294535866</v>
      </c>
      <c r="I379">
        <f t="shared" si="12"/>
        <v>4697395.3294535866</v>
      </c>
      <c r="J379" s="1">
        <f t="shared" si="13"/>
        <v>4999924.3294535866</v>
      </c>
    </row>
    <row r="380" spans="1:10" x14ac:dyDescent="0.2">
      <c r="A380">
        <v>2019</v>
      </c>
      <c r="C380" t="s">
        <v>66</v>
      </c>
      <c r="D380">
        <v>36597</v>
      </c>
      <c r="E380">
        <v>4082</v>
      </c>
      <c r="F380">
        <v>40679</v>
      </c>
      <c r="G380" cm="1">
        <f t="array" ref="G380">_xlfn.IFS(A380=$E$640,F380/$F$640,A380=$E$641,F380/$F$641,A380=$E$641,F380/$F$641,A380=$E$642,F380/$F$642,A380=$E$643,F380/$F$643,A380=$E$644,F380/$F$644,A380=$E$645,F380/$F$645,A380=$E$646,F380/$F$646,A380=$E$647,F380/$F$647)</f>
        <v>1.2560886131162466E-3</v>
      </c>
      <c r="H380" cm="1">
        <f t="array" ref="H380">_xlfn.IFS(A380=$P$24,G380*$Q$24,A380=$P$25,G380*$Q$25,A380=$P$26,G380*$Q$26,A380=$P$27,G380*$Q$27,A380=$P$28,G380*$Q$28,A380=$P$29,G380*$Q$29,A380=$P$30,G380*$Q$30,A380=$P$31,G380*$Q$31)</f>
        <v>564159.06943080062</v>
      </c>
      <c r="I380">
        <f t="shared" si="12"/>
        <v>568241.06943080062</v>
      </c>
      <c r="J380" s="1">
        <f t="shared" si="13"/>
        <v>604838.06943080062</v>
      </c>
    </row>
    <row r="381" spans="1:10" x14ac:dyDescent="0.2">
      <c r="A381">
        <v>2019</v>
      </c>
      <c r="C381" t="s">
        <v>67</v>
      </c>
      <c r="D381">
        <v>45653</v>
      </c>
      <c r="E381">
        <v>5092</v>
      </c>
      <c r="F381">
        <v>50745</v>
      </c>
      <c r="G381" cm="1">
        <f t="array" ref="G381">_xlfn.IFS(A381=$E$640,F381/$F$640,A381=$E$641,F381/$F$641,A381=$E$641,F381/$F$641,A381=$E$642,F381/$F$642,A381=$E$643,F381/$F$643,A381=$E$644,F381/$F$644,A381=$E$645,F381/$F$645,A381=$E$646,F381/$F$646,A381=$E$647,F381/$F$647)</f>
        <v>1.5669071676438441E-3</v>
      </c>
      <c r="H381" cm="1">
        <f t="array" ref="H381">_xlfn.IFS(A381=$P$24,G381*$Q$24,A381=$P$25,G381*$Q$25,A381=$P$26,G381*$Q$26,A381=$P$27,G381*$Q$27,A381=$P$28,G381*$Q$28,A381=$P$29,G381*$Q$29,A381=$P$30,G381*$Q$30,A381=$P$31,G381*$Q$31)</f>
        <v>703759.97389970208</v>
      </c>
      <c r="I381">
        <f t="shared" si="12"/>
        <v>708851.97389970208</v>
      </c>
      <c r="J381" s="1">
        <f t="shared" si="13"/>
        <v>754504.97389970208</v>
      </c>
    </row>
    <row r="382" spans="1:10" x14ac:dyDescent="0.2">
      <c r="A382">
        <v>2019</v>
      </c>
      <c r="C382" t="s">
        <v>68</v>
      </c>
      <c r="D382">
        <v>576536</v>
      </c>
      <c r="E382">
        <v>64310</v>
      </c>
      <c r="F382">
        <v>640846</v>
      </c>
      <c r="G382" cm="1">
        <f t="array" ref="G382">_xlfn.IFS(A382=$E$640,F382/$F$640,A382=$E$641,F382/$F$641,A382=$E$641,F382/$F$641,A382=$E$642,F382/$F$642,A382=$E$643,F382/$F$643,A382=$E$644,F382/$F$644,A382=$E$645,F382/$F$645,A382=$E$646,F382/$F$646,A382=$E$647,F382/$F$647)</f>
        <v>1.9788081402224593E-2</v>
      </c>
      <c r="H382" cm="1">
        <f t="array" ref="H382">_xlfn.IFS(A382=$P$24,G382*$Q$24,A382=$P$25,G382*$Q$25,A382=$P$26,G382*$Q$26,A382=$P$27,G382*$Q$27,A382=$P$28,G382*$Q$28,A382=$P$29,G382*$Q$29,A382=$P$30,G382*$Q$30,A382=$P$31,G382*$Q$31)</f>
        <v>8887609.8972061966</v>
      </c>
      <c r="I382">
        <f t="shared" si="12"/>
        <v>8951919.8972061966</v>
      </c>
      <c r="J382" s="1">
        <f t="shared" si="13"/>
        <v>9528455.8972061966</v>
      </c>
    </row>
    <row r="383" spans="1:10" x14ac:dyDescent="0.2">
      <c r="A383">
        <v>2019</v>
      </c>
      <c r="C383" t="s">
        <v>69</v>
      </c>
      <c r="D383">
        <v>68288</v>
      </c>
      <c r="E383">
        <v>7617</v>
      </c>
      <c r="F383">
        <v>75905</v>
      </c>
      <c r="G383" cm="1">
        <f t="array" ref="G383">_xlfn.IFS(A383=$E$640,F383/$F$640,A383=$E$641,F383/$F$641,A383=$E$641,F383/$F$641,A383=$E$642,F383/$F$642,A383=$E$643,F383/$F$643,A383=$E$644,F383/$F$644,A383=$E$645,F383/$F$645,A383=$E$646,F383/$F$646,A383=$E$647,F383/$F$647)</f>
        <v>2.3437991636615623E-3</v>
      </c>
      <c r="H383" cm="1">
        <f t="array" ref="H383">_xlfn.IFS(A383=$P$24,G383*$Q$24,A383=$P$25,G383*$Q$25,A383=$P$26,G383*$Q$26,A383=$P$27,G383*$Q$27,A383=$P$28,G383*$Q$28,A383=$P$29,G383*$Q$29,A383=$P$30,G383*$Q$30,A383=$P$31,G383*$Q$31)</f>
        <v>1052692.8922821337</v>
      </c>
      <c r="I383">
        <f t="shared" si="12"/>
        <v>1060309.8922821337</v>
      </c>
      <c r="J383" s="1">
        <f t="shared" si="13"/>
        <v>1128597.8922821337</v>
      </c>
    </row>
    <row r="384" spans="1:10" x14ac:dyDescent="0.2">
      <c r="A384">
        <v>2019</v>
      </c>
      <c r="C384" t="s">
        <v>70</v>
      </c>
      <c r="D384">
        <v>701949</v>
      </c>
      <c r="E384">
        <v>78300</v>
      </c>
      <c r="F384">
        <v>780249</v>
      </c>
      <c r="G384" cm="1">
        <f t="array" ref="G384">_xlfn.IFS(A384=$E$640,F384/$F$640,A384=$E$641,F384/$F$641,A384=$E$641,F384/$F$641,A384=$E$642,F384/$F$642,A384=$E$643,F384/$F$643,A384=$E$644,F384/$F$644,A384=$E$645,F384/$F$645,A384=$E$646,F384/$F$646,A384=$E$647,F384/$F$647)</f>
        <v>2.4092575635962985E-2</v>
      </c>
      <c r="H384" cm="1">
        <f t="array" ref="H384">_xlfn.IFS(A384=$P$24,G384*$Q$24,A384=$P$25,G384*$Q$25,A384=$P$26,G384*$Q$26,A384=$P$27,G384*$Q$27,A384=$P$28,G384*$Q$28,A384=$P$29,G384*$Q$29,A384=$P$30,G384*$Q$30,A384=$P$31,G384*$Q$31)</f>
        <v>10820928.483107077</v>
      </c>
      <c r="I384">
        <f t="shared" si="12"/>
        <v>10899228.483107077</v>
      </c>
      <c r="J384" s="1">
        <f t="shared" si="13"/>
        <v>11601177.483107077</v>
      </c>
    </row>
    <row r="385" spans="1:10" x14ac:dyDescent="0.2">
      <c r="A385">
        <v>2019</v>
      </c>
      <c r="C385" t="s">
        <v>71</v>
      </c>
      <c r="D385">
        <v>65693</v>
      </c>
      <c r="E385">
        <v>7328</v>
      </c>
      <c r="F385">
        <v>73021</v>
      </c>
      <c r="G385" cm="1">
        <f t="array" ref="G385">_xlfn.IFS(A385=$E$640,F385/$F$640,A385=$E$641,F385/$F$641,A385=$E$641,F385/$F$641,A385=$E$642,F385/$F$642,A385=$E$643,F385/$F$643,A385=$E$644,F385/$F$644,A385=$E$645,F385/$F$645,A385=$E$646,F385/$F$646,A385=$E$647,F385/$F$647)</f>
        <v>2.2547468378859223E-3</v>
      </c>
      <c r="H385" cm="1">
        <f t="array" ref="H385">_xlfn.IFS(A385=$P$24,G385*$Q$24,A385=$P$25,G385*$Q$25,A385=$P$26,G385*$Q$26,A385=$P$27,G385*$Q$27,A385=$P$28,G385*$Q$28,A385=$P$29,G385*$Q$29,A385=$P$30,G385*$Q$30,A385=$P$31,G385*$Q$31)</f>
        <v>1012695.9711130187</v>
      </c>
      <c r="I385">
        <f t="shared" si="12"/>
        <v>1020023.9711130187</v>
      </c>
      <c r="J385" s="1">
        <f t="shared" si="13"/>
        <v>1085716.9711130187</v>
      </c>
    </row>
    <row r="386" spans="1:10" x14ac:dyDescent="0.2">
      <c r="A386">
        <v>2019</v>
      </c>
      <c r="C386" t="s">
        <v>72</v>
      </c>
      <c r="D386">
        <v>30239</v>
      </c>
      <c r="E386">
        <v>3373</v>
      </c>
      <c r="F386">
        <v>33612</v>
      </c>
      <c r="G386" cm="1">
        <f t="array" ref="G386">_xlfn.IFS(A386=$E$640,F386/$F$640,A386=$E$641,F386/$F$641,A386=$E$641,F386/$F$641,A386=$E$642,F386/$F$642,A386=$E$643,F386/$F$643,A386=$E$644,F386/$F$644,A386=$E$645,F386/$F$645,A386=$E$646,F386/$F$646,A386=$E$647,F386/$F$647)</f>
        <v>1.0378733612936228E-3</v>
      </c>
      <c r="H386" cm="1">
        <f t="array" ref="H386">_xlfn.IFS(A386=$P$24,G386*$Q$24,A386=$P$25,G386*$Q$25,A386=$P$26,G386*$Q$26,A386=$P$27,G386*$Q$27,A386=$P$28,G386*$Q$28,A386=$P$29,G386*$Q$29,A386=$P$30,G386*$Q$30,A386=$P$31,G386*$Q$31)</f>
        <v>466149.97029691172</v>
      </c>
      <c r="I386">
        <f t="shared" si="12"/>
        <v>469522.97029691172</v>
      </c>
      <c r="J386" s="1">
        <f t="shared" si="13"/>
        <v>499761.97029691172</v>
      </c>
    </row>
    <row r="387" spans="1:10" x14ac:dyDescent="0.2">
      <c r="A387">
        <v>2019</v>
      </c>
      <c r="C387" t="s">
        <v>73</v>
      </c>
      <c r="D387">
        <v>14187</v>
      </c>
      <c r="E387">
        <v>1583</v>
      </c>
      <c r="F387">
        <v>15770</v>
      </c>
      <c r="G387" cm="1">
        <f t="array" ref="G387">_xlfn.IFS(A387=$E$640,F387/$F$640,A387=$E$641,F387/$F$641,A387=$E$641,F387/$F$641,A387=$E$642,F387/$F$642,A387=$E$643,F387/$F$643,A387=$E$644,F387/$F$644,A387=$E$645,F387/$F$645,A387=$E$646,F387/$F$646,A387=$E$647,F387/$F$647)</f>
        <v>4.869470102225524E-4</v>
      </c>
      <c r="H387" cm="1">
        <f t="array" ref="H387">_xlfn.IFS(A387=$P$24,G387*$Q$24,A387=$P$25,G387*$Q$25,A387=$P$26,G387*$Q$26,A387=$P$27,G387*$Q$27,A387=$P$28,G387*$Q$28,A387=$P$29,G387*$Q$29,A387=$P$30,G387*$Q$30,A387=$P$31,G387*$Q$31)</f>
        <v>218707.15909741455</v>
      </c>
      <c r="I387">
        <f t="shared" ref="I387:I450" si="14">SUM(H387,E387)</f>
        <v>220290.15909741455</v>
      </c>
      <c r="J387" s="1">
        <f t="shared" ref="J387:J450" si="15">SUM(I387,D387)</f>
        <v>234477.15909741455</v>
      </c>
    </row>
    <row r="388" spans="1:10" x14ac:dyDescent="0.2">
      <c r="A388">
        <v>2019</v>
      </c>
      <c r="C388" t="s">
        <v>74</v>
      </c>
      <c r="D388">
        <v>10473</v>
      </c>
      <c r="E388">
        <v>1168</v>
      </c>
      <c r="F388">
        <v>11641</v>
      </c>
      <c r="G388" cm="1">
        <f t="array" ref="G388">_xlfn.IFS(A388=$E$640,F388/$F$640,A388=$E$641,F388/$F$641,A388=$E$641,F388/$F$641,A388=$E$642,F388/$F$642,A388=$E$643,F388/$F$643,A388=$E$644,F388/$F$644,A388=$E$645,F388/$F$645,A388=$E$646,F388/$F$646,A388=$E$647,F388/$F$647)</f>
        <v>3.5945149942934255E-4</v>
      </c>
      <c r="H388" cm="1">
        <f t="array" ref="H388">_xlfn.IFS(A388=$P$24,G388*$Q$24,A388=$P$25,G388*$Q$25,A388=$P$26,G388*$Q$26,A388=$P$27,G388*$Q$27,A388=$P$28,G388*$Q$28,A388=$P$29,G388*$Q$29,A388=$P$30,G388*$Q$30,A388=$P$31,G388*$Q$31)</f>
        <v>161443.88326271417</v>
      </c>
      <c r="I388">
        <f t="shared" si="14"/>
        <v>162611.88326271417</v>
      </c>
      <c r="J388" s="1">
        <f t="shared" si="15"/>
        <v>173084.88326271417</v>
      </c>
    </row>
    <row r="389" spans="1:10" x14ac:dyDescent="0.2">
      <c r="A389">
        <v>2019</v>
      </c>
      <c r="C389" t="s">
        <v>75</v>
      </c>
      <c r="D389">
        <v>8069</v>
      </c>
      <c r="E389">
        <v>900</v>
      </c>
      <c r="F389">
        <v>8969</v>
      </c>
      <c r="G389" cm="1">
        <f t="array" ref="G389">_xlfn.IFS(A389=$E$640,F389/$F$640,A389=$E$641,F389/$F$641,A389=$E$641,F389/$F$641,A389=$E$642,F389/$F$642,A389=$E$643,F389/$F$643,A389=$E$644,F389/$F$644,A389=$E$645,F389/$F$645,A389=$E$646,F389/$F$646,A389=$E$647,F389/$F$647)</f>
        <v>2.7694532242777882E-4</v>
      </c>
      <c r="H389" cm="1">
        <f t="array" ref="H389">_xlfn.IFS(A389=$P$24,G389*$Q$24,A389=$P$25,G389*$Q$25,A389=$P$26,G389*$Q$26,A389=$P$27,G389*$Q$27,A389=$P$28,G389*$Q$28,A389=$P$29,G389*$Q$29,A389=$P$30,G389*$Q$30,A389=$P$31,G389*$Q$31)</f>
        <v>124387.09638203619</v>
      </c>
      <c r="I389">
        <f t="shared" si="14"/>
        <v>125287.09638203619</v>
      </c>
      <c r="J389" s="1">
        <f t="shared" si="15"/>
        <v>133356.09638203619</v>
      </c>
    </row>
    <row r="390" spans="1:10" x14ac:dyDescent="0.2">
      <c r="A390">
        <v>2019</v>
      </c>
      <c r="C390" t="s">
        <v>77</v>
      </c>
      <c r="D390">
        <v>9086</v>
      </c>
      <c r="E390">
        <v>1013</v>
      </c>
      <c r="F390">
        <v>10099</v>
      </c>
      <c r="G390" cm="1">
        <f t="array" ref="G390">_xlfn.IFS(A390=$E$640,F390/$F$640,A390=$E$641,F390/$F$641,A390=$E$641,F390/$F$641,A390=$E$642,F390/$F$642,A390=$E$643,F390/$F$643,A390=$E$644,F390/$F$644,A390=$E$645,F390/$F$645,A390=$E$646,F390/$F$646,A390=$E$647,F390/$F$647)</f>
        <v>3.1183753051601499E-4</v>
      </c>
      <c r="H390" cm="1">
        <f t="array" ref="H390">_xlfn.IFS(A390=$P$24,G390*$Q$24,A390=$P$25,G390*$Q$25,A390=$P$26,G390*$Q$26,A390=$P$27,G390*$Q$27,A390=$P$28,G390*$Q$28,A390=$P$29,G390*$Q$29,A390=$P$30,G390*$Q$30,A390=$P$31,G390*$Q$31)</f>
        <v>140058.56688172411</v>
      </c>
      <c r="I390">
        <f t="shared" si="14"/>
        <v>141071.56688172411</v>
      </c>
      <c r="J390" s="1">
        <f t="shared" si="15"/>
        <v>150157.56688172411</v>
      </c>
    </row>
    <row r="391" spans="1:10" x14ac:dyDescent="0.2">
      <c r="A391">
        <v>2019</v>
      </c>
      <c r="C391" t="s">
        <v>78</v>
      </c>
      <c r="D391">
        <v>10510</v>
      </c>
      <c r="E391">
        <v>1172</v>
      </c>
      <c r="F391">
        <v>11682</v>
      </c>
      <c r="G391" cm="1">
        <f t="array" ref="G391">_xlfn.IFS(A391=$E$640,F391/$F$640,A391=$E$641,F391/$F$641,A391=$E$641,F391/$F$641,A391=$E$642,F391/$F$642,A391=$E$643,F391/$F$643,A391=$E$644,F391/$F$644,A391=$E$645,F391/$F$645,A391=$E$646,F391/$F$646,A391=$E$647,F391/$F$647)</f>
        <v>3.6071749989980068E-4</v>
      </c>
      <c r="H391" cm="1">
        <f t="array" ref="H391">_xlfn.IFS(A391=$P$24,G391*$Q$24,A391=$P$25,G391*$Q$25,A391=$P$26,G391*$Q$26,A391=$P$27,G391*$Q$27,A391=$P$28,G391*$Q$28,A391=$P$29,G391*$Q$29,A391=$P$30,G391*$Q$30,A391=$P$31,G391*$Q$31)</f>
        <v>162012.49413925153</v>
      </c>
      <c r="I391">
        <f t="shared" si="14"/>
        <v>163184.49413925153</v>
      </c>
      <c r="J391" s="1">
        <f t="shared" si="15"/>
        <v>173694.49413925153</v>
      </c>
    </row>
    <row r="392" spans="1:10" x14ac:dyDescent="0.2">
      <c r="A392">
        <v>2019</v>
      </c>
      <c r="C392" t="s">
        <v>79</v>
      </c>
      <c r="D392">
        <v>3339</v>
      </c>
      <c r="E392">
        <v>373</v>
      </c>
      <c r="F392">
        <v>3712</v>
      </c>
      <c r="G392" cm="1">
        <f t="array" ref="G392">_xlfn.IFS(A392=$E$640,F392/$F$640,A392=$E$641,F392/$F$641,A392=$E$641,F392/$F$641,A392=$E$642,F392/$F$642,A392=$E$643,F392/$F$643,A392=$E$644,F392/$F$644,A392=$E$645,F392/$F$645,A392=$E$646,F392/$F$646,A392=$E$647,F392/$F$647)</f>
        <v>1.1461935966684302E-4</v>
      </c>
      <c r="H392" cm="1">
        <f t="array" ref="H392">_xlfn.IFS(A392=$P$24,G392*$Q$24,A392=$P$25,G392*$Q$25,A392=$P$26,G392*$Q$26,A392=$P$27,G392*$Q$27,A392=$P$28,G392*$Q$28,A392=$P$29,G392*$Q$29,A392=$P$30,G392*$Q$30,A392=$P$31,G392*$Q$31)</f>
        <v>51480.08716357658</v>
      </c>
      <c r="I392">
        <f t="shared" si="14"/>
        <v>51853.08716357658</v>
      </c>
      <c r="J392" s="1">
        <f t="shared" si="15"/>
        <v>55192.08716357658</v>
      </c>
    </row>
    <row r="393" spans="1:10" x14ac:dyDescent="0.2">
      <c r="A393">
        <v>2019</v>
      </c>
      <c r="C393" t="s">
        <v>80</v>
      </c>
      <c r="D393">
        <v>2393453</v>
      </c>
      <c r="E393">
        <v>266980</v>
      </c>
      <c r="F393">
        <v>2660433</v>
      </c>
      <c r="G393" cm="1">
        <f t="array" ref="G393">_xlfn.IFS(A393=$E$640,F393/$F$640,A393=$E$641,F393/$F$641,A393=$E$641,F393/$F$641,A393=$E$642,F393/$F$642,A393=$E$643,F393/$F$643,A393=$E$644,F393/$F$644,A393=$E$645,F393/$F$645,A393=$E$646,F393/$F$646,A393=$E$647,F393/$F$647)</f>
        <v>8.2149010478593257E-2</v>
      </c>
      <c r="H393" cm="1">
        <f t="array" ref="H393">_xlfn.IFS(A393=$P$24,G393*$Q$24,A393=$P$25,G393*$Q$25,A393=$P$26,G393*$Q$26,A393=$P$27,G393*$Q$27,A393=$P$28,G393*$Q$28,A393=$P$29,G393*$Q$29,A393=$P$30,G393*$Q$30,A393=$P$31,G393*$Q$31)</f>
        <v>36896369.27070462</v>
      </c>
      <c r="I393">
        <f t="shared" si="14"/>
        <v>37163349.27070462</v>
      </c>
      <c r="J393" s="1">
        <f t="shared" si="15"/>
        <v>39556802.27070462</v>
      </c>
    </row>
    <row r="394" spans="1:10" x14ac:dyDescent="0.2">
      <c r="A394">
        <v>2019</v>
      </c>
      <c r="C394" t="s">
        <v>81</v>
      </c>
      <c r="D394">
        <v>14645</v>
      </c>
      <c r="E394">
        <v>1634</v>
      </c>
      <c r="F394">
        <v>16279</v>
      </c>
      <c r="G394" cm="1">
        <f t="array" ref="G394">_xlfn.IFS(A394=$E$640,F394/$F$640,A394=$E$641,F394/$F$641,A394=$E$641,F394/$F$641,A394=$E$642,F394/$F$642,A394=$E$643,F394/$F$643,A394=$E$644,F394/$F$644,A394=$E$645,F394/$F$645,A394=$E$646,F394/$F$646,A394=$E$647,F394/$F$647)</f>
        <v>5.0266394289238622E-4</v>
      </c>
      <c r="H394" cm="1">
        <f t="array" ref="H394">_xlfn.IFS(A394=$P$24,G394*$Q$24,A394=$P$25,G394*$Q$25,A394=$P$26,G394*$Q$26,A394=$P$27,G394*$Q$27,A394=$P$28,G394*$Q$28,A394=$P$29,G394*$Q$29,A394=$P$30,G394*$Q$30,A394=$P$31,G394*$Q$31)</f>
        <v>225766.25510125628</v>
      </c>
      <c r="I394">
        <f t="shared" si="14"/>
        <v>227400.25510125628</v>
      </c>
      <c r="J394" s="1">
        <f t="shared" si="15"/>
        <v>242045.25510125628</v>
      </c>
    </row>
    <row r="395" spans="1:10" x14ac:dyDescent="0.2">
      <c r="A395">
        <v>2019</v>
      </c>
      <c r="C395" t="s">
        <v>82</v>
      </c>
      <c r="D395">
        <v>48039</v>
      </c>
      <c r="E395">
        <v>5358</v>
      </c>
      <c r="F395">
        <v>53397</v>
      </c>
      <c r="G395" cm="1">
        <f t="array" ref="G395">_xlfn.IFS(A395=$E$640,F395/$F$640,A395=$E$641,F395/$F$641,A395=$E$641,F395/$F$641,A395=$E$642,F395/$F$642,A395=$E$643,F395/$F$643,A395=$E$644,F395/$F$644,A395=$E$645,F395/$F$645,A395=$E$646,F395/$F$646,A395=$E$647,F395/$F$647)</f>
        <v>1.6487957834403063E-3</v>
      </c>
      <c r="H395" cm="1">
        <f t="array" ref="H395">_xlfn.IFS(A395=$P$24,G395*$Q$24,A395=$P$25,G395*$Q$25,A395=$P$26,G395*$Q$26,A395=$P$27,G395*$Q$27,A395=$P$28,G395*$Q$28,A395=$P$29,G395*$Q$29,A395=$P$30,G395*$Q$30,A395=$P$31,G395*$Q$31)</f>
        <v>740539.38962109352</v>
      </c>
      <c r="I395">
        <f t="shared" si="14"/>
        <v>745897.38962109352</v>
      </c>
      <c r="J395" s="1">
        <f t="shared" si="15"/>
        <v>793936.38962109352</v>
      </c>
    </row>
    <row r="396" spans="1:10" x14ac:dyDescent="0.2">
      <c r="A396">
        <v>2019</v>
      </c>
      <c r="C396" t="s">
        <v>87</v>
      </c>
      <c r="D396">
        <v>408885</v>
      </c>
      <c r="E396">
        <v>45609</v>
      </c>
      <c r="F396">
        <v>454494</v>
      </c>
      <c r="G396" cm="1">
        <f t="array" ref="G396">_xlfn.IFS(A396=$E$640,F396/$F$640,A396=$E$641,F396/$F$641,A396=$E$641,F396/$F$641,A396=$E$642,F396/$F$642,A396=$E$643,F396/$F$643,A396=$E$644,F396/$F$644,A396=$E$645,F396/$F$645,A396=$E$646,F396/$F$646,A396=$E$647,F396/$F$647)</f>
        <v>1.4033893117570622E-2</v>
      </c>
      <c r="H396" cm="1">
        <f t="array" ref="H396">_xlfn.IFS(A396=$P$24,G396*$Q$24,A396=$P$25,G396*$Q$25,A396=$P$26,G396*$Q$26,A396=$P$27,G396*$Q$27,A396=$P$28,G396*$Q$28,A396=$P$29,G396*$Q$29,A396=$P$30,G396*$Q$30,A396=$P$31,G396*$Q$31)</f>
        <v>6303176.3834381942</v>
      </c>
      <c r="I396">
        <f t="shared" si="14"/>
        <v>6348785.3834381942</v>
      </c>
      <c r="J396" s="1">
        <f t="shared" si="15"/>
        <v>6757670.3834381942</v>
      </c>
    </row>
    <row r="397" spans="1:10" x14ac:dyDescent="0.2">
      <c r="A397">
        <v>2019</v>
      </c>
      <c r="C397" t="s">
        <v>88</v>
      </c>
      <c r="D397">
        <v>167167</v>
      </c>
      <c r="E397">
        <v>18647</v>
      </c>
      <c r="F397">
        <v>185814</v>
      </c>
      <c r="G397" cm="1">
        <f t="array" ref="G397">_xlfn.IFS(A397=$E$640,F397/$F$640,A397=$E$641,F397/$F$641,A397=$E$641,F397/$F$641,A397=$E$642,F397/$F$642,A397=$E$643,F397/$F$643,A397=$E$644,F397/$F$644,A397=$E$645,F397/$F$645,A397=$E$646,F397/$F$646,A397=$E$647,F397/$F$647)</f>
        <v>5.7375758882367376E-3</v>
      </c>
      <c r="H397" cm="1">
        <f t="array" ref="H397">_xlfn.IFS(A397=$P$24,G397*$Q$24,A397=$P$25,G397*$Q$25,A397=$P$26,G397*$Q$26,A397=$P$27,G397*$Q$27,A397=$P$28,G397*$Q$28,A397=$P$29,G397*$Q$29,A397=$P$30,G397*$Q$30,A397=$P$31,G397*$Q$31)</f>
        <v>2576972.2295831949</v>
      </c>
      <c r="I397">
        <f t="shared" si="14"/>
        <v>2595619.2295831949</v>
      </c>
      <c r="J397" s="1">
        <f t="shared" si="15"/>
        <v>2762786.2295831949</v>
      </c>
    </row>
    <row r="398" spans="1:10" x14ac:dyDescent="0.2">
      <c r="A398">
        <v>2019</v>
      </c>
      <c r="C398" t="s">
        <v>89</v>
      </c>
      <c r="D398">
        <v>278138</v>
      </c>
      <c r="E398">
        <v>31025</v>
      </c>
      <c r="F398">
        <v>309163</v>
      </c>
      <c r="G398" cm="1">
        <f t="array" ref="G398">_xlfn.IFS(A398=$E$640,F398/$F$640,A398=$E$641,F398/$F$641,A398=$E$641,F398/$F$641,A398=$E$642,F398/$F$642,A398=$E$643,F398/$F$643,A398=$E$644,F398/$F$644,A398=$E$645,F398/$F$645,A398=$E$646,F398/$F$646,A398=$E$647,F398/$F$647)</f>
        <v>9.5463537426401374E-3</v>
      </c>
      <c r="H398" cm="1">
        <f t="array" ref="H398">_xlfn.IFS(A398=$P$24,G398*$Q$24,A398=$P$25,G398*$Q$25,A398=$P$26,G398*$Q$26,A398=$P$27,G398*$Q$27,A398=$P$28,G398*$Q$28,A398=$P$29,G398*$Q$29,A398=$P$30,G398*$Q$30,A398=$P$31,G398*$Q$31)</f>
        <v>4287644.9859247925</v>
      </c>
      <c r="I398">
        <f t="shared" si="14"/>
        <v>4318669.9859247925</v>
      </c>
      <c r="J398" s="1">
        <f t="shared" si="15"/>
        <v>4596807.9859247925</v>
      </c>
    </row>
    <row r="399" spans="1:10" x14ac:dyDescent="0.2">
      <c r="A399">
        <v>2020</v>
      </c>
      <c r="B399" t="s">
        <v>90</v>
      </c>
      <c r="C399" t="s">
        <v>0</v>
      </c>
      <c r="D399">
        <v>19119</v>
      </c>
      <c r="E399">
        <v>2316</v>
      </c>
      <c r="F399">
        <v>21435</v>
      </c>
      <c r="G399" cm="1">
        <f t="array" ref="G399">_xlfn.IFS(A399=$E$640,F399/$F$640,A399=$E$641,F399/$F$641,A399=$E$641,F399/$F$641,A399=$E$642,F399/$F$642,A399=$E$643,F399/$F$643,A399=$E$644,F399/$F$644,A399=$E$645,F399/$F$645,A399=$E$646,F399/$F$646,A399=$E$647,F399/$F$647)</f>
        <v>6.9266677386548069E-4</v>
      </c>
      <c r="H399" cm="1">
        <f t="array" ref="H399">_xlfn.IFS(A399=$P$24,G399*$Q$24,A399=$P$25,G399*$Q$25,A399=$P$26,G399*$Q$26,A399=$P$27,G399*$Q$27,A399=$P$28,G399*$Q$28,A399=$P$29,G399*$Q$29,A399=$P$30,G399*$Q$30,A399=$P$31,G399*$Q$31)</f>
        <v>299851.55638976453</v>
      </c>
      <c r="I399">
        <f t="shared" si="14"/>
        <v>302167.55638976453</v>
      </c>
      <c r="J399" s="1">
        <f t="shared" si="15"/>
        <v>321286.55638976453</v>
      </c>
    </row>
    <row r="400" spans="1:10" x14ac:dyDescent="0.2">
      <c r="A400">
        <v>2020</v>
      </c>
      <c r="B400" t="s">
        <v>91</v>
      </c>
      <c r="C400" t="s">
        <v>1</v>
      </c>
      <c r="D400">
        <v>886455</v>
      </c>
      <c r="E400">
        <v>107370</v>
      </c>
      <c r="F400">
        <v>993825</v>
      </c>
      <c r="G400" cm="1">
        <f t="array" ref="G400">_xlfn.IFS(A400=$E$640,F400/$F$640,A400=$E$641,F400/$F$641,A400=$E$641,F400/$F$641,A400=$E$642,F400/$F$642,A400=$E$643,F400/$F$643,A400=$E$644,F400/$F$644,A400=$E$645,F400/$F$645,A400=$E$646,F400/$F$646,A400=$E$647,F400/$F$647)</f>
        <v>3.2115211408297706E-2</v>
      </c>
      <c r="H400" cm="1">
        <f t="array" ref="H400">_xlfn.IFS(A400=$P$24,G400*$Q$24,A400=$P$25,G400*$Q$25,A400=$P$26,G400*$Q$26,A400=$P$27,G400*$Q$27,A400=$P$28,G400*$Q$28,A400=$P$29,G400*$Q$29,A400=$P$30,G400*$Q$30,A400=$P$31,G400*$Q$31)</f>
        <v>13902494.659624808</v>
      </c>
      <c r="I400">
        <f t="shared" si="14"/>
        <v>14009864.659624808</v>
      </c>
      <c r="J400" s="1">
        <f t="shared" si="15"/>
        <v>14896319.659624808</v>
      </c>
    </row>
    <row r="401" spans="1:10" x14ac:dyDescent="0.2">
      <c r="A401">
        <v>2020</v>
      </c>
      <c r="B401" t="s">
        <v>92</v>
      </c>
      <c r="C401" t="s">
        <v>2</v>
      </c>
      <c r="D401">
        <v>263280</v>
      </c>
      <c r="E401">
        <v>31889</v>
      </c>
      <c r="F401">
        <v>295169</v>
      </c>
      <c r="G401" cm="1">
        <f t="array" ref="G401">_xlfn.IFS(A401=$E$640,F401/$F$640,A401=$E$641,F401/$F$641,A401=$E$641,F401/$F$641,A401=$E$642,F401/$F$642,A401=$E$643,F401/$F$643,A401=$E$644,F401/$F$644,A401=$E$645,F401/$F$645,A401=$E$646,F401/$F$646,A401=$E$647,F401/$F$647)</f>
        <v>9.5383139246606047E-3</v>
      </c>
      <c r="H401" cm="1">
        <f t="array" ref="H401">_xlfn.IFS(A401=$P$24,G401*$Q$24,A401=$P$25,G401*$Q$25,A401=$P$26,G401*$Q$26,A401=$P$27,G401*$Q$27,A401=$P$28,G401*$Q$28,A401=$P$29,G401*$Q$29,A401=$P$30,G401*$Q$30,A401=$P$31,G401*$Q$31)</f>
        <v>4129082.530814575</v>
      </c>
      <c r="I401">
        <f t="shared" si="14"/>
        <v>4160971.530814575</v>
      </c>
      <c r="J401" s="1">
        <f t="shared" si="15"/>
        <v>4424251.530814575</v>
      </c>
    </row>
    <row r="402" spans="1:10" x14ac:dyDescent="0.2">
      <c r="A402">
        <v>2020</v>
      </c>
      <c r="B402" t="s">
        <v>93</v>
      </c>
      <c r="C402" t="s">
        <v>3</v>
      </c>
      <c r="D402">
        <v>124319</v>
      </c>
      <c r="E402">
        <v>15058</v>
      </c>
      <c r="F402">
        <v>139377</v>
      </c>
      <c r="G402" cm="1">
        <f t="array" ref="G402">_xlfn.IFS(A402=$E$640,F402/$F$640,A402=$E$641,F402/$F$641,A402=$E$641,F402/$F$641,A402=$E$642,F402/$F$642,A402=$E$643,F402/$F$643,A402=$E$644,F402/$F$644,A402=$E$645,F402/$F$645,A402=$E$646,F402/$F$646,A402=$E$647,F402/$F$647)</f>
        <v>4.5039336104991416E-3</v>
      </c>
      <c r="H402" cm="1">
        <f t="array" ref="H402">_xlfn.IFS(A402=$P$24,G402*$Q$24,A402=$P$25,G402*$Q$25,A402=$P$26,G402*$Q$26,A402=$P$27,G402*$Q$27,A402=$P$28,G402*$Q$28,A402=$P$29,G402*$Q$29,A402=$P$30,G402*$Q$30,A402=$P$31,G402*$Q$31)</f>
        <v>1949727.5658939218</v>
      </c>
      <c r="I402">
        <f t="shared" si="14"/>
        <v>1964785.5658939218</v>
      </c>
      <c r="J402" s="1">
        <f t="shared" si="15"/>
        <v>2089104.5658939218</v>
      </c>
    </row>
    <row r="403" spans="1:10" x14ac:dyDescent="0.2">
      <c r="A403">
        <v>2020</v>
      </c>
      <c r="B403" t="s">
        <v>94</v>
      </c>
      <c r="C403" t="s">
        <v>4</v>
      </c>
      <c r="D403">
        <v>481888</v>
      </c>
      <c r="E403">
        <v>58368</v>
      </c>
      <c r="F403">
        <v>540256</v>
      </c>
      <c r="G403" cm="1">
        <f t="array" ref="G403">_xlfn.IFS(A403=$E$640,F403/$F$640,A403=$E$641,F403/$F$641,A403=$E$641,F403/$F$641,A403=$E$642,F403/$F$642,A403=$E$643,F403/$F$643,A403=$E$644,F403/$F$644,A403=$E$645,F403/$F$645,A403=$E$646,F403/$F$646,A403=$E$647,F403/$F$647)</f>
        <v>1.7458240288382044E-2</v>
      </c>
      <c r="H403" cm="1">
        <f t="array" ref="H403">_xlfn.IFS(A403=$P$24,G403*$Q$24,A403=$P$25,G403*$Q$25,A403=$P$26,G403*$Q$26,A403=$P$27,G403*$Q$27,A403=$P$28,G403*$Q$28,A403=$P$29,G403*$Q$29,A403=$P$30,G403*$Q$30,A403=$P$31,G403*$Q$31)</f>
        <v>7557574.1753631271</v>
      </c>
      <c r="I403">
        <f t="shared" si="14"/>
        <v>7615942.1753631271</v>
      </c>
      <c r="J403" s="1">
        <f t="shared" si="15"/>
        <v>8097830.1753631271</v>
      </c>
    </row>
    <row r="404" spans="1:10" x14ac:dyDescent="0.2">
      <c r="A404">
        <v>2020</v>
      </c>
      <c r="B404" t="s">
        <v>95</v>
      </c>
      <c r="C404" t="s">
        <v>5</v>
      </c>
      <c r="D404">
        <v>1225072</v>
      </c>
      <c r="E404">
        <v>148385</v>
      </c>
      <c r="F404">
        <v>1373457</v>
      </c>
      <c r="G404" cm="1">
        <f t="array" ref="G404">_xlfn.IFS(A404=$E$640,F404/$F$640,A404=$E$641,F404/$F$641,A404=$E$641,F404/$F$641,A404=$E$642,F404/$F$642,A404=$E$643,F404/$F$643,A404=$E$644,F404/$F$644,A404=$E$645,F404/$F$645,A404=$E$646,F404/$F$646,A404=$E$647,F404/$F$647)</f>
        <v>4.4382926486258988E-2</v>
      </c>
      <c r="H404" cm="1">
        <f t="array" ref="H404">_xlfn.IFS(A404=$P$24,G404*$Q$24,A404=$P$25,G404*$Q$25,A404=$P$26,G404*$Q$26,A404=$P$27,G404*$Q$27,A404=$P$28,G404*$Q$28,A404=$P$29,G404*$Q$29,A404=$P$30,G404*$Q$30,A404=$P$31,G404*$Q$31)</f>
        <v>19213119.621386368</v>
      </c>
      <c r="I404">
        <f t="shared" si="14"/>
        <v>19361504.621386368</v>
      </c>
      <c r="J404" s="1">
        <f t="shared" si="15"/>
        <v>20586576.621386368</v>
      </c>
    </row>
    <row r="405" spans="1:10" x14ac:dyDescent="0.2">
      <c r="A405">
        <v>2020</v>
      </c>
      <c r="B405" t="s">
        <v>96</v>
      </c>
      <c r="C405" t="s">
        <v>6</v>
      </c>
      <c r="D405">
        <v>11256</v>
      </c>
      <c r="E405">
        <v>1364</v>
      </c>
      <c r="F405">
        <v>12620</v>
      </c>
      <c r="G405" cm="1">
        <f t="array" ref="G405">_xlfn.IFS(A405=$E$640,F405/$F$640,A405=$E$641,F405/$F$641,A405=$E$641,F405/$F$641,A405=$E$642,F405/$F$642,A405=$E$643,F405/$F$643,A405=$E$644,F405/$F$644,A405=$E$645,F405/$F$645,A405=$E$646,F405/$F$646,A405=$E$647,F405/$F$647)</f>
        <v>4.0781220835933593E-4</v>
      </c>
      <c r="H405" cm="1">
        <f t="array" ref="H405">_xlfn.IFS(A405=$P$24,G405*$Q$24,A405=$P$25,G405*$Q$25,A405=$P$26,G405*$Q$26,A405=$P$27,G405*$Q$27,A405=$P$28,G405*$Q$28,A405=$P$29,G405*$Q$29,A405=$P$30,G405*$Q$30,A405=$P$31,G405*$Q$31)</f>
        <v>176539.61472539438</v>
      </c>
      <c r="I405">
        <f t="shared" si="14"/>
        <v>177903.61472539438</v>
      </c>
      <c r="J405" s="1">
        <f t="shared" si="15"/>
        <v>189159.61472539438</v>
      </c>
    </row>
    <row r="406" spans="1:10" x14ac:dyDescent="0.2">
      <c r="A406">
        <v>2020</v>
      </c>
      <c r="B406" t="s">
        <v>97</v>
      </c>
      <c r="C406" t="s">
        <v>7</v>
      </c>
      <c r="D406">
        <v>98782</v>
      </c>
      <c r="E406">
        <v>11965</v>
      </c>
      <c r="F406">
        <v>110747</v>
      </c>
      <c r="G406" cm="1">
        <f t="array" ref="G406">_xlfn.IFS(A406=$E$640,F406/$F$640,A406=$E$641,F406/$F$641,A406=$E$641,F406/$F$641,A406=$E$642,F406/$F$642,A406=$E$643,F406/$F$643,A406=$E$644,F406/$F$644,A406=$E$645,F406/$F$645,A406=$E$646,F406/$F$646,A406=$E$647,F406/$F$647)</f>
        <v>3.5787621742608064E-3</v>
      </c>
      <c r="H406" cm="1">
        <f t="array" ref="H406">_xlfn.IFS(A406=$P$24,G406*$Q$24,A406=$P$25,G406*$Q$25,A406=$P$26,G406*$Q$26,A406=$P$27,G406*$Q$27,A406=$P$28,G406*$Q$28,A406=$P$29,G406*$Q$29,A406=$P$30,G406*$Q$30,A406=$P$31,G406*$Q$31)</f>
        <v>1549226.0469091325</v>
      </c>
      <c r="I406">
        <f t="shared" si="14"/>
        <v>1561191.0469091325</v>
      </c>
      <c r="J406" s="1">
        <f t="shared" si="15"/>
        <v>1659973.0469091325</v>
      </c>
    </row>
    <row r="407" spans="1:10" x14ac:dyDescent="0.2">
      <c r="A407">
        <v>2020</v>
      </c>
      <c r="B407" t="s">
        <v>98</v>
      </c>
      <c r="C407" t="s">
        <v>8</v>
      </c>
      <c r="D407">
        <v>348052</v>
      </c>
      <c r="E407">
        <v>42157</v>
      </c>
      <c r="F407">
        <v>390209</v>
      </c>
      <c r="G407" cm="1">
        <f t="array" ref="G407">_xlfn.IFS(A407=$E$640,F407/$F$640,A407=$E$641,F407/$F$641,A407=$E$641,F407/$F$641,A407=$E$642,F407/$F$642,A407=$E$643,F407/$F$643,A407=$E$644,F407/$F$644,A407=$E$645,F407/$F$645,A407=$E$646,F407/$F$646,A407=$E$647,F407/$F$647)</f>
        <v>1.2609508241813639E-2</v>
      </c>
      <c r="H407" cm="1">
        <f t="array" ref="H407">_xlfn.IFS(A407=$P$24,G407*$Q$24,A407=$P$25,G407*$Q$25,A407=$P$26,G407*$Q$26,A407=$P$27,G407*$Q$27,A407=$P$28,G407*$Q$28,A407=$P$29,G407*$Q$29,A407=$P$30,G407*$Q$30,A407=$P$31,G407*$Q$31)</f>
        <v>5458585.3028828381</v>
      </c>
      <c r="I407">
        <f t="shared" si="14"/>
        <v>5500742.3028828381</v>
      </c>
      <c r="J407" s="1">
        <f t="shared" si="15"/>
        <v>5848794.3028828381</v>
      </c>
    </row>
    <row r="408" spans="1:10" x14ac:dyDescent="0.2">
      <c r="A408">
        <v>2020</v>
      </c>
      <c r="B408" t="s">
        <v>99</v>
      </c>
      <c r="C408" t="s">
        <v>9</v>
      </c>
      <c r="D408">
        <v>469306</v>
      </c>
      <c r="E408">
        <v>56844</v>
      </c>
      <c r="F408">
        <v>526150</v>
      </c>
      <c r="G408" cm="1">
        <f t="array" ref="G408">_xlfn.IFS(A408=$E$640,F408/$F$640,A408=$E$641,F408/$F$641,A408=$E$641,F408/$F$641,A408=$E$642,F408/$F$642,A408=$E$643,F408/$F$643,A408=$E$644,F408/$F$644,A408=$E$645,F408/$F$645,A408=$E$646,F408/$F$646,A408=$E$647,F408/$F$647)</f>
        <v>1.7002408354062172E-2</v>
      </c>
      <c r="H408" cm="1">
        <f t="array" ref="H408">_xlfn.IFS(A408=$P$24,G408*$Q$24,A408=$P$25,G408*$Q$25,A408=$P$26,G408*$Q$26,A408=$P$27,G408*$Q$27,A408=$P$28,G408*$Q$28,A408=$P$29,G408*$Q$29,A408=$P$30,G408*$Q$30,A408=$P$31,G408*$Q$31)</f>
        <v>7360247.090948198</v>
      </c>
      <c r="I408">
        <f t="shared" si="14"/>
        <v>7417091.090948198</v>
      </c>
      <c r="J408" s="1">
        <f t="shared" si="15"/>
        <v>7886397.090948198</v>
      </c>
    </row>
    <row r="409" spans="1:10" x14ac:dyDescent="0.2">
      <c r="A409">
        <v>2020</v>
      </c>
      <c r="B409" t="s">
        <v>100</v>
      </c>
      <c r="C409" t="s">
        <v>10</v>
      </c>
      <c r="D409">
        <v>13725</v>
      </c>
      <c r="E409">
        <v>1662</v>
      </c>
      <c r="F409">
        <v>15387</v>
      </c>
      <c r="G409" cm="1">
        <f t="array" ref="G409">_xlfn.IFS(A409=$E$640,F409/$F$640,A409=$E$641,F409/$F$641,A409=$E$641,F409/$F$641,A409=$E$642,F409/$F$642,A409=$E$643,F409/$F$643,A409=$E$644,F409/$F$644,A409=$E$645,F409/$F$645,A409=$E$646,F409/$F$646,A409=$E$647,F409/$F$647)</f>
        <v>4.9722713550119668E-4</v>
      </c>
      <c r="H409" cm="1">
        <f t="array" ref="H409">_xlfn.IFS(A409=$P$24,G409*$Q$24,A409=$P$25,G409*$Q$25,A409=$P$26,G409*$Q$26,A409=$P$27,G409*$Q$27,A409=$P$28,G409*$Q$28,A409=$P$29,G409*$Q$29,A409=$P$30,G409*$Q$30,A409=$P$31,G409*$Q$31)</f>
        <v>215246.83453087506</v>
      </c>
      <c r="I409">
        <f t="shared" si="14"/>
        <v>216908.83453087506</v>
      </c>
      <c r="J409" s="1">
        <f t="shared" si="15"/>
        <v>230633.83453087506</v>
      </c>
    </row>
    <row r="410" spans="1:10" x14ac:dyDescent="0.2">
      <c r="A410">
        <v>2020</v>
      </c>
      <c r="B410" t="s">
        <v>101</v>
      </c>
      <c r="C410" t="s">
        <v>11</v>
      </c>
      <c r="D410">
        <v>53158</v>
      </c>
      <c r="E410">
        <v>6439</v>
      </c>
      <c r="F410">
        <v>59597</v>
      </c>
      <c r="G410" cm="1">
        <f t="array" ref="G410">_xlfn.IFS(A410=$E$640,F410/$F$640,A410=$E$641,F410/$F$641,A410=$E$641,F410/$F$641,A410=$E$642,F410/$F$642,A410=$E$643,F410/$F$643,A410=$E$644,F410/$F$644,A410=$E$645,F410/$F$645,A410=$E$646,F410/$F$646,A410=$E$647,F410/$F$647)</f>
        <v>1.9258624549596945E-3</v>
      </c>
      <c r="H410" cm="1">
        <f t="array" ref="H410">_xlfn.IFS(A410=$P$24,G410*$Q$24,A410=$P$25,G410*$Q$25,A410=$P$26,G410*$Q$26,A410=$P$27,G410*$Q$27,A410=$P$28,G410*$Q$28,A410=$P$29,G410*$Q$29,A410=$P$30,G410*$Q$30,A410=$P$31,G410*$Q$31)</f>
        <v>833695.04110850464</v>
      </c>
      <c r="I410">
        <f t="shared" si="14"/>
        <v>840134.04110850464</v>
      </c>
      <c r="J410" s="1">
        <f t="shared" si="15"/>
        <v>893292.04110850464</v>
      </c>
    </row>
    <row r="411" spans="1:10" x14ac:dyDescent="0.2">
      <c r="A411">
        <v>2020</v>
      </c>
      <c r="B411" t="s">
        <v>102</v>
      </c>
      <c r="C411" t="s">
        <v>12</v>
      </c>
      <c r="D411">
        <v>546061</v>
      </c>
      <c r="E411">
        <v>66141</v>
      </c>
      <c r="F411">
        <v>612202</v>
      </c>
      <c r="G411" cm="1">
        <f t="array" ref="G411">_xlfn.IFS(A411=$E$640,F411/$F$640,A411=$E$641,F411/$F$641,A411=$E$641,F411/$F$641,A411=$E$642,F411/$F$642,A411=$E$643,F411/$F$643,A411=$E$644,F411/$F$644,A411=$E$645,F411/$F$645,A411=$E$646,F411/$F$646,A411=$E$647,F411/$F$647)</f>
        <v>1.9783157653090504E-2</v>
      </c>
      <c r="H411" cm="1">
        <f t="array" ref="H411">_xlfn.IFS(A411=$P$24,G411*$Q$24,A411=$P$25,G411*$Q$25,A411=$P$26,G411*$Q$26,A411=$P$27,G411*$Q$27,A411=$P$28,G411*$Q$28,A411=$P$29,G411*$Q$29,A411=$P$30,G411*$Q$30,A411=$P$31,G411*$Q$31)</f>
        <v>8564017.8458094988</v>
      </c>
      <c r="I411">
        <f t="shared" si="14"/>
        <v>8630158.8458094988</v>
      </c>
      <c r="J411" s="1">
        <f t="shared" si="15"/>
        <v>9176219.8458094988</v>
      </c>
    </row>
    <row r="412" spans="1:10" x14ac:dyDescent="0.2">
      <c r="A412">
        <v>2020</v>
      </c>
      <c r="B412" t="s">
        <v>103</v>
      </c>
      <c r="C412" t="s">
        <v>13</v>
      </c>
      <c r="D412">
        <v>162791</v>
      </c>
      <c r="E412">
        <v>19718</v>
      </c>
      <c r="F412">
        <v>182509</v>
      </c>
      <c r="G412" cm="1">
        <f t="array" ref="G412">_xlfn.IFS(A412=$E$640,F412/$F$640,A412=$E$641,F412/$F$641,A412=$E$641,F412/$F$641,A412=$E$642,F412/$F$642,A412=$E$643,F412/$F$643,A412=$E$644,F412/$F$644,A412=$E$645,F412/$F$645,A412=$E$646,F412/$F$646,A412=$E$647,F412/$F$647)</f>
        <v>5.8977336240454868E-3</v>
      </c>
      <c r="H412" cm="1">
        <f t="array" ref="H412">_xlfn.IFS(A412=$P$24,G412*$Q$24,A412=$P$25,G412*$Q$25,A412=$P$26,G412*$Q$26,A412=$P$27,G412*$Q$27,A412=$P$28,G412*$Q$28,A412=$P$29,G412*$Q$29,A412=$P$30,G412*$Q$30,A412=$P$31,G412*$Q$31)</f>
        <v>2553095.7641772586</v>
      </c>
      <c r="I412">
        <f t="shared" si="14"/>
        <v>2572813.7641772586</v>
      </c>
      <c r="J412" s="1">
        <f t="shared" si="15"/>
        <v>2735604.7641772586</v>
      </c>
    </row>
    <row r="413" spans="1:10" x14ac:dyDescent="0.2">
      <c r="A413">
        <v>2020</v>
      </c>
      <c r="B413" t="s">
        <v>104</v>
      </c>
      <c r="C413" t="s">
        <v>14</v>
      </c>
      <c r="D413">
        <v>347904</v>
      </c>
      <c r="E413">
        <v>42139</v>
      </c>
      <c r="F413">
        <v>390043</v>
      </c>
      <c r="G413" cm="1">
        <f t="array" ref="G413">_xlfn.IFS(A413=$E$640,F413/$F$640,A413=$E$641,F413/$F$641,A413=$E$641,F413/$F$641,A413=$E$642,F413/$F$642,A413=$E$643,F413/$F$643,A413=$E$644,F413/$F$644,A413=$E$645,F413/$F$645,A413=$E$646,F413/$F$646,A413=$E$647,F413/$F$647)</f>
        <v>1.2604143992480226E-2</v>
      </c>
      <c r="H413" cm="1">
        <f t="array" ref="H413">_xlfn.IFS(A413=$P$24,G413*$Q$24,A413=$P$25,G413*$Q$25,A413=$P$26,G413*$Q$26,A413=$P$27,G413*$Q$27,A413=$P$28,G413*$Q$28,A413=$P$29,G413*$Q$29,A413=$P$30,G413*$Q$30,A413=$P$31,G413*$Q$31)</f>
        <v>5456263.149472028</v>
      </c>
      <c r="I413">
        <f t="shared" si="14"/>
        <v>5498402.149472028</v>
      </c>
      <c r="J413" s="1">
        <f t="shared" si="15"/>
        <v>5846306.149472028</v>
      </c>
    </row>
    <row r="414" spans="1:10" x14ac:dyDescent="0.2">
      <c r="A414">
        <v>2020</v>
      </c>
      <c r="B414" t="s">
        <v>105</v>
      </c>
      <c r="C414" t="s">
        <v>15</v>
      </c>
      <c r="D414">
        <v>116927</v>
      </c>
      <c r="E414">
        <v>14163</v>
      </c>
      <c r="F414">
        <v>131090</v>
      </c>
      <c r="G414" cm="1">
        <f t="array" ref="G414">_xlfn.IFS(A414=$E$640,F414/$F$640,A414=$E$641,F414/$F$641,A414=$E$641,F414/$F$641,A414=$E$642,F414/$F$642,A414=$E$643,F414/$F$643,A414=$E$644,F414/$F$644,A414=$E$645,F414/$F$645,A414=$E$646,F414/$F$646,A414=$E$647,F414/$F$647)</f>
        <v>4.236141235643847E-3</v>
      </c>
      <c r="H414" cm="1">
        <f t="array" ref="H414">_xlfn.IFS(A414=$P$24,G414*$Q$24,A414=$P$25,G414*$Q$25,A414=$P$26,G414*$Q$26,A414=$P$27,G414*$Q$27,A414=$P$28,G414*$Q$28,A414=$P$29,G414*$Q$29,A414=$P$30,G414*$Q$30,A414=$P$31,G414*$Q$31)</f>
        <v>1833801.750741042</v>
      </c>
      <c r="I414">
        <f t="shared" si="14"/>
        <v>1847964.750741042</v>
      </c>
      <c r="J414" s="1">
        <f t="shared" si="15"/>
        <v>1964891.750741042</v>
      </c>
    </row>
    <row r="415" spans="1:10" x14ac:dyDescent="0.2">
      <c r="A415">
        <v>2020</v>
      </c>
      <c r="B415" t="s">
        <v>106</v>
      </c>
      <c r="C415" t="s">
        <v>16</v>
      </c>
      <c r="D415">
        <v>1075592</v>
      </c>
      <c r="E415">
        <v>130279</v>
      </c>
      <c r="F415">
        <v>1205871</v>
      </c>
      <c r="G415" cm="1">
        <f t="array" ref="G415">_xlfn.IFS(A415=$E$640,F415/$F$640,A415=$E$641,F415/$F$641,A415=$E$641,F415/$F$641,A415=$E$642,F415/$F$642,A415=$E$643,F415/$F$643,A415=$E$644,F415/$F$644,A415=$E$645,F415/$F$645,A415=$E$646,F415/$F$646,A415=$E$647,F415/$F$647)</f>
        <v>3.8967425951385165E-2</v>
      </c>
      <c r="H415" cm="1">
        <f t="array" ref="H415">_xlfn.IFS(A415=$P$24,G415*$Q$24,A415=$P$25,G415*$Q$25,A415=$P$26,G415*$Q$26,A415=$P$27,G415*$Q$27,A415=$P$28,G415*$Q$28,A415=$P$29,G415*$Q$29,A415=$P$30,G415*$Q$30,A415=$P$31,G415*$Q$31)</f>
        <v>16868779.853290495</v>
      </c>
      <c r="I415">
        <f t="shared" si="14"/>
        <v>16999058.853290495</v>
      </c>
      <c r="J415" s="1">
        <f t="shared" si="15"/>
        <v>18074650.853290495</v>
      </c>
    </row>
    <row r="416" spans="1:10" x14ac:dyDescent="0.2">
      <c r="A416">
        <v>2020</v>
      </c>
      <c r="B416" t="s">
        <v>107</v>
      </c>
      <c r="C416" t="s">
        <v>17</v>
      </c>
      <c r="D416">
        <v>447102</v>
      </c>
      <c r="E416">
        <v>54155</v>
      </c>
      <c r="F416">
        <v>501257</v>
      </c>
      <c r="G416" cm="1">
        <f t="array" ref="G416">_xlfn.IFS(A416=$E$640,F416/$F$640,A416=$E$641,F416/$F$641,A416=$E$641,F416/$F$641,A416=$E$642,F416/$F$642,A416=$E$643,F416/$F$643,A416=$E$644,F416/$F$644,A416=$E$645,F416/$F$645,A416=$E$646,F416/$F$646,A416=$E$647,F416/$F$647)</f>
        <v>1.6197997157335629E-2</v>
      </c>
      <c r="H416" cm="1">
        <f t="array" ref="H416">_xlfn.IFS(A416=$P$24,G416*$Q$24,A416=$P$25,G416*$Q$25,A416=$P$26,G416*$Q$26,A416=$P$27,G416*$Q$27,A416=$P$28,G416*$Q$28,A416=$P$29,G416*$Q$29,A416=$P$30,G416*$Q$30,A416=$P$31,G416*$Q$31)</f>
        <v>7012022.0014585583</v>
      </c>
      <c r="I416">
        <f t="shared" si="14"/>
        <v>7066177.0014585583</v>
      </c>
      <c r="J416" s="1">
        <f t="shared" si="15"/>
        <v>7513279.0014585583</v>
      </c>
    </row>
    <row r="417" spans="1:10" x14ac:dyDescent="0.2">
      <c r="A417">
        <v>2020</v>
      </c>
      <c r="B417" t="s">
        <v>108</v>
      </c>
      <c r="C417" t="s">
        <v>18</v>
      </c>
      <c r="D417">
        <v>936223</v>
      </c>
      <c r="E417">
        <v>113398</v>
      </c>
      <c r="F417">
        <v>1049621</v>
      </c>
      <c r="G417" cm="1">
        <f t="array" ref="G417">_xlfn.IFS(A417=$E$640,F417/$F$640,A417=$E$641,F417/$F$641,A417=$E$641,F417/$F$641,A417=$E$642,F417/$F$642,A417=$E$643,F417/$F$643,A417=$E$644,F417/$F$644,A417=$E$645,F417/$F$645,A417=$E$646,F417/$F$646,A417=$E$647,F417/$F$647)</f>
        <v>3.3918245479424292E-2</v>
      </c>
      <c r="H417" cm="1">
        <f t="array" ref="H417">_xlfn.IFS(A417=$P$24,G417*$Q$24,A417=$P$25,G417*$Q$25,A417=$P$26,G417*$Q$26,A417=$P$27,G417*$Q$27,A417=$P$28,G417*$Q$28,A417=$P$29,G417*$Q$29,A417=$P$30,G417*$Q$30,A417=$P$31,G417*$Q$31)</f>
        <v>14683017.983176162</v>
      </c>
      <c r="I417">
        <f t="shared" si="14"/>
        <v>14796415.983176162</v>
      </c>
      <c r="J417" s="1">
        <f t="shared" si="15"/>
        <v>15732638.983176162</v>
      </c>
    </row>
    <row r="418" spans="1:10" x14ac:dyDescent="0.2">
      <c r="A418">
        <v>2020</v>
      </c>
      <c r="B418" t="s">
        <v>109</v>
      </c>
      <c r="C418" t="s">
        <v>19</v>
      </c>
      <c r="D418">
        <v>2102015</v>
      </c>
      <c r="E418">
        <v>254603</v>
      </c>
      <c r="F418">
        <v>2356618</v>
      </c>
      <c r="G418" cm="1">
        <f t="array" ref="G418">_xlfn.IFS(A418=$E$640,F418/$F$640,A418=$E$641,F418/$F$641,A418=$E$641,F418/$F$641,A418=$E$642,F418/$F$642,A418=$E$643,F418/$F$643,A418=$E$644,F418/$F$644,A418=$E$645,F418/$F$645,A418=$E$646,F418/$F$646,A418=$E$647,F418/$F$647)</f>
        <v>7.6153533347017549E-2</v>
      </c>
      <c r="H418" cm="1">
        <f t="array" ref="H418">_xlfn.IFS(A418=$P$24,G418*$Q$24,A418=$P$25,G418*$Q$25,A418=$P$26,G418*$Q$26,A418=$P$27,G418*$Q$27,A418=$P$28,G418*$Q$28,A418=$P$29,G418*$Q$29,A418=$P$30,G418*$Q$30,A418=$P$31,G418*$Q$31)</f>
        <v>32966436.90768062</v>
      </c>
      <c r="I418">
        <f t="shared" si="14"/>
        <v>33221039.90768062</v>
      </c>
      <c r="J418" s="1">
        <f t="shared" si="15"/>
        <v>35323054.907680616</v>
      </c>
    </row>
    <row r="419" spans="1:10" x14ac:dyDescent="0.2">
      <c r="A419">
        <v>2020</v>
      </c>
      <c r="B419" t="s">
        <v>110</v>
      </c>
      <c r="C419" t="s">
        <v>20</v>
      </c>
      <c r="D419">
        <v>194265</v>
      </c>
      <c r="E419">
        <v>23530</v>
      </c>
      <c r="F419">
        <v>217795</v>
      </c>
      <c r="G419" cm="1">
        <f t="array" ref="G419">_xlfn.IFS(A419=$E$640,F419/$F$640,A419=$E$641,F419/$F$641,A419=$E$641,F419/$F$641,A419=$E$642,F419/$F$642,A419=$E$643,F419/$F$643,A419=$E$644,F419/$F$644,A419=$E$645,F419/$F$645,A419=$E$646,F419/$F$646,A419=$E$647,F419/$F$647)</f>
        <v>7.0379920697006002E-3</v>
      </c>
      <c r="H419" cm="1">
        <f t="array" ref="H419">_xlfn.IFS(A419=$P$24,G419*$Q$24,A419=$P$25,G419*$Q$25,A419=$P$26,G419*$Q$26,A419=$P$27,G419*$Q$27,A419=$P$28,G419*$Q$28,A419=$P$29,G419*$Q$29,A419=$P$30,G419*$Q$30,A419=$P$31,G419*$Q$31)</f>
        <v>3046707.2416099263</v>
      </c>
      <c r="I419">
        <f t="shared" si="14"/>
        <v>3070237.2416099263</v>
      </c>
      <c r="J419" s="1">
        <f t="shared" si="15"/>
        <v>3264502.2416099263</v>
      </c>
    </row>
    <row r="420" spans="1:10" x14ac:dyDescent="0.2">
      <c r="A420">
        <v>2020</v>
      </c>
      <c r="B420" t="s">
        <v>111</v>
      </c>
      <c r="C420" t="s">
        <v>21</v>
      </c>
      <c r="D420">
        <v>226138</v>
      </c>
      <c r="E420">
        <v>27391</v>
      </c>
      <c r="F420">
        <v>253529</v>
      </c>
      <c r="G420" cm="1">
        <f t="array" ref="G420">_xlfn.IFS(A420=$E$640,F420/$F$640,A420=$E$641,F420/$F$641,A420=$E$641,F420/$F$641,A420=$E$642,F420/$F$642,A420=$E$643,F420/$F$643,A420=$E$644,F420/$F$644,A420=$E$645,F420/$F$645,A420=$E$646,F420/$F$646,A420=$E$647,F420/$F$647)</f>
        <v>8.1927275256049193E-3</v>
      </c>
      <c r="H420" cm="1">
        <f t="array" ref="H420">_xlfn.IFS(A420=$P$24,G420*$Q$24,A420=$P$25,G420*$Q$25,A420=$P$26,G420*$Q$26,A420=$P$27,G420*$Q$27,A420=$P$28,G420*$Q$28,A420=$P$29,G420*$Q$29,A420=$P$30,G420*$Q$30,A420=$P$31,G420*$Q$31)</f>
        <v>3546585.7354765856</v>
      </c>
      <c r="I420">
        <f t="shared" si="14"/>
        <v>3573976.7354765856</v>
      </c>
      <c r="J420" s="1">
        <f t="shared" si="15"/>
        <v>3800114.7354765856</v>
      </c>
    </row>
    <row r="421" spans="1:10" x14ac:dyDescent="0.2">
      <c r="A421">
        <v>2020</v>
      </c>
      <c r="B421" t="s">
        <v>112</v>
      </c>
      <c r="C421" t="s">
        <v>22</v>
      </c>
      <c r="D421">
        <v>330101</v>
      </c>
      <c r="E421">
        <v>39983</v>
      </c>
      <c r="F421">
        <v>370084</v>
      </c>
      <c r="G421" cm="1">
        <f t="array" ref="G421">_xlfn.IFS(A421=$E$640,F421/$F$640,A421=$E$641,F421/$F$641,A421=$E$641,F421/$F$641,A421=$E$642,F421/$F$642,A421=$E$643,F421/$F$643,A421=$E$644,F421/$F$644,A421=$E$645,F421/$F$645,A421=$E$646,F421/$F$646,A421=$E$647,F421/$F$647)</f>
        <v>1.1959173797025078E-2</v>
      </c>
      <c r="H421" cm="1">
        <f t="array" ref="H421">_xlfn.IFS(A421=$P$24,G421*$Q$24,A421=$P$25,G421*$Q$25,A421=$P$26,G421*$Q$26,A421=$P$27,G421*$Q$27,A421=$P$28,G421*$Q$28,A421=$P$29,G421*$Q$29,A421=$P$30,G421*$Q$30,A421=$P$31,G421*$Q$31)</f>
        <v>5177059.1740121124</v>
      </c>
      <c r="I421">
        <f t="shared" si="14"/>
        <v>5217042.1740121124</v>
      </c>
      <c r="J421" s="1">
        <f t="shared" si="15"/>
        <v>5547143.1740121124</v>
      </c>
    </row>
    <row r="422" spans="1:10" x14ac:dyDescent="0.2">
      <c r="A422">
        <v>2020</v>
      </c>
      <c r="B422" t="s">
        <v>113</v>
      </c>
      <c r="C422" t="s">
        <v>23</v>
      </c>
      <c r="D422">
        <v>1116245</v>
      </c>
      <c r="E422">
        <v>135203</v>
      </c>
      <c r="F422">
        <v>1251448</v>
      </c>
      <c r="G422" cm="1">
        <f t="array" ref="G422">_xlfn.IFS(A422=$E$640,F422/$F$640,A422=$E$641,F422/$F$641,A422=$E$641,F422/$F$641,A422=$E$642,F422/$F$642,A422=$E$643,F422/$F$643,A422=$E$644,F422/$F$644,A422=$E$645,F422/$F$645,A422=$E$646,F422/$F$646,A422=$E$647,F422/$F$647)</f>
        <v>4.0440235540956757E-2</v>
      </c>
      <c r="H422" cm="1">
        <f t="array" ref="H422">_xlfn.IFS(A422=$P$24,G422*$Q$24,A422=$P$25,G422*$Q$25,A422=$P$26,G422*$Q$26,A422=$P$27,G422*$Q$27,A422=$P$28,G422*$Q$28,A422=$P$29,G422*$Q$29,A422=$P$30,G422*$Q$30,A422=$P$31,G422*$Q$31)</f>
        <v>17506350.853317384</v>
      </c>
      <c r="I422">
        <f t="shared" si="14"/>
        <v>17641553.853317384</v>
      </c>
      <c r="J422" s="1">
        <f t="shared" si="15"/>
        <v>18757798.853317384</v>
      </c>
    </row>
    <row r="423" spans="1:10" x14ac:dyDescent="0.2">
      <c r="A423">
        <v>2020</v>
      </c>
      <c r="B423" t="s">
        <v>114</v>
      </c>
      <c r="C423" t="s">
        <v>24</v>
      </c>
      <c r="D423">
        <v>1007601</v>
      </c>
      <c r="E423">
        <v>122044</v>
      </c>
      <c r="F423">
        <v>1129645</v>
      </c>
      <c r="G423" cm="1">
        <f t="array" ref="G423">_xlfn.IFS(A423=$E$640,F423/$F$640,A423=$E$641,F423/$F$641,A423=$E$641,F423/$F$641,A423=$E$642,F423/$F$642,A423=$E$643,F423/$F$643,A423=$E$644,F423/$F$644,A423=$E$645,F423/$F$645,A423=$E$646,F423/$F$646,A423=$E$647,F423/$F$647)</f>
        <v>3.6504201435188753E-2</v>
      </c>
      <c r="H423" cm="1">
        <f t="array" ref="H423">_xlfn.IFS(A423=$P$24,G423*$Q$24,A423=$P$25,G423*$Q$25,A423=$P$26,G423*$Q$26,A423=$P$27,G423*$Q$27,A423=$P$28,G423*$Q$28,A423=$P$29,G423*$Q$29,A423=$P$30,G423*$Q$30,A423=$P$31,G423*$Q$31)</f>
        <v>15802463.793697951</v>
      </c>
      <c r="I423">
        <f t="shared" si="14"/>
        <v>15924507.793697951</v>
      </c>
      <c r="J423" s="1">
        <f t="shared" si="15"/>
        <v>16932108.793697953</v>
      </c>
    </row>
    <row r="424" spans="1:10" x14ac:dyDescent="0.2">
      <c r="A424">
        <v>2020</v>
      </c>
      <c r="B424" t="s">
        <v>115</v>
      </c>
      <c r="C424" t="s">
        <v>25</v>
      </c>
      <c r="D424">
        <v>196547</v>
      </c>
      <c r="E424">
        <v>23806</v>
      </c>
      <c r="F424">
        <v>220353</v>
      </c>
      <c r="G424" cm="1">
        <f t="array" ref="G424">_xlfn.IFS(A424=$E$640,F424/$F$640,A424=$E$641,F424/$F$641,A424=$E$641,F424/$F$641,A424=$E$642,F424/$F$642,A424=$E$643,F424/$F$643,A424=$E$644,F424/$F$644,A424=$E$645,F424/$F$645,A424=$E$646,F424/$F$646,A424=$E$647,F424/$F$647)</f>
        <v>7.1206532130431658E-3</v>
      </c>
      <c r="H424" cm="1">
        <f t="array" ref="H424">_xlfn.IFS(A424=$P$24,G424*$Q$24,A424=$P$25,G424*$Q$25,A424=$P$26,G424*$Q$26,A424=$P$27,G424*$Q$27,A424=$P$28,G424*$Q$28,A424=$P$29,G424*$Q$29,A424=$P$30,G424*$Q$30,A424=$P$31,G424*$Q$31)</f>
        <v>3082490.7863379419</v>
      </c>
      <c r="I424">
        <f t="shared" si="14"/>
        <v>3106296.7863379419</v>
      </c>
      <c r="J424" s="1">
        <f t="shared" si="15"/>
        <v>3302843.7863379419</v>
      </c>
    </row>
    <row r="425" spans="1:10" x14ac:dyDescent="0.2">
      <c r="A425">
        <v>2020</v>
      </c>
      <c r="B425" t="s">
        <v>116</v>
      </c>
      <c r="C425" t="s">
        <v>30</v>
      </c>
      <c r="D425">
        <v>180185</v>
      </c>
      <c r="E425">
        <v>21825</v>
      </c>
      <c r="F425">
        <v>202010</v>
      </c>
      <c r="G425" cm="1">
        <f t="array" ref="G425">_xlfn.IFS(A425=$E$640,F425/$F$640,A425=$E$641,F425/$F$641,A425=$E$641,F425/$F$641,A425=$E$642,F425/$F$642,A425=$E$643,F425/$F$643,A425=$E$644,F425/$F$644,A425=$E$645,F425/$F$645,A425=$E$646,F425/$F$646,A425=$E$647,F425/$F$647)</f>
        <v>6.5279036617012249E-3</v>
      </c>
      <c r="H425" cm="1">
        <f t="array" ref="H425">_xlfn.IFS(A425=$P$24,G425*$Q$24,A425=$P$25,G425*$Q$25,A425=$P$26,G425*$Q$26,A425=$P$27,G425*$Q$27,A425=$P$28,G425*$Q$28,A425=$P$29,G425*$Q$29,A425=$P$30,G425*$Q$30,A425=$P$31,G425*$Q$31)</f>
        <v>2825892.8344434961</v>
      </c>
      <c r="I425">
        <f t="shared" si="14"/>
        <v>2847717.8344434961</v>
      </c>
      <c r="J425" s="1">
        <f t="shared" si="15"/>
        <v>3027902.8344434961</v>
      </c>
    </row>
    <row r="426" spans="1:10" x14ac:dyDescent="0.2">
      <c r="A426">
        <v>2020</v>
      </c>
      <c r="B426" t="s">
        <v>117</v>
      </c>
      <c r="C426" t="s">
        <v>31</v>
      </c>
      <c r="D426">
        <v>618700</v>
      </c>
      <c r="E426">
        <v>74939</v>
      </c>
      <c r="F426">
        <v>693639</v>
      </c>
      <c r="G426" cm="1">
        <f t="array" ref="G426">_xlfn.IFS(A426=$E$640,F426/$F$640,A426=$E$641,F426/$F$641,A426=$E$641,F426/$F$641,A426=$E$642,F426/$F$642,A426=$E$643,F426/$F$643,A426=$E$644,F426/$F$644,A426=$E$645,F426/$F$645,A426=$E$646,F426/$F$646,A426=$E$647,F426/$F$647)</f>
        <v>2.2414774357699004E-2</v>
      </c>
      <c r="H426" cm="1">
        <f t="array" ref="H426">_xlfn.IFS(A426=$P$24,G426*$Q$24,A426=$P$25,G426*$Q$25,A426=$P$26,G426*$Q$26,A426=$P$27,G426*$Q$27,A426=$P$28,G426*$Q$28,A426=$P$29,G426*$Q$29,A426=$P$30,G426*$Q$30,A426=$P$31,G426*$Q$31)</f>
        <v>9703229.9380751066</v>
      </c>
      <c r="I426">
        <f t="shared" si="14"/>
        <v>9778168.9380751066</v>
      </c>
      <c r="J426" s="1">
        <f t="shared" si="15"/>
        <v>10396868.938075107</v>
      </c>
    </row>
    <row r="427" spans="1:10" x14ac:dyDescent="0.2">
      <c r="A427">
        <v>2020</v>
      </c>
      <c r="B427" t="s">
        <v>118</v>
      </c>
      <c r="C427" t="s">
        <v>32</v>
      </c>
      <c r="D427">
        <v>388664</v>
      </c>
      <c r="E427">
        <v>47076</v>
      </c>
      <c r="F427">
        <v>435740</v>
      </c>
      <c r="G427" cm="1">
        <f t="array" ref="G427">_xlfn.IFS(A427=$E$640,F427/$F$640,A427=$E$641,F427/$F$641,A427=$E$641,F427/$F$641,A427=$E$642,F427/$F$642,A427=$E$643,F427/$F$643,A427=$E$644,F427/$F$644,A427=$E$645,F427/$F$645,A427=$E$646,F427/$F$646,A427=$E$647,F427/$F$647)</f>
        <v>1.4080831352654283E-2</v>
      </c>
      <c r="H427" cm="1">
        <f t="array" ref="H427">_xlfn.IFS(A427=$P$24,G427*$Q$24,A427=$P$25,G427*$Q$25,A427=$P$26,G427*$Q$26,A427=$P$27,G427*$Q$27,A427=$P$28,G427*$Q$28,A427=$P$29,G427*$Q$29,A427=$P$30,G427*$Q$30,A427=$P$31,G427*$Q$31)</f>
        <v>6095512.8146151621</v>
      </c>
      <c r="I427">
        <f t="shared" si="14"/>
        <v>6142588.8146151621</v>
      </c>
      <c r="J427" s="1">
        <f t="shared" si="15"/>
        <v>6531252.8146151621</v>
      </c>
    </row>
    <row r="428" spans="1:10" x14ac:dyDescent="0.2">
      <c r="A428">
        <v>2020</v>
      </c>
      <c r="B428" t="s">
        <v>119</v>
      </c>
      <c r="C428" t="s">
        <v>33</v>
      </c>
      <c r="D428">
        <v>208176</v>
      </c>
      <c r="E428">
        <v>25215</v>
      </c>
      <c r="F428">
        <v>233391</v>
      </c>
      <c r="G428" cm="1">
        <f t="array" ref="G428">_xlfn.IFS(A428=$E$640,F428/$F$640,A428=$E$641,F428/$F$641,A428=$E$641,F428/$F$641,A428=$E$642,F428/$F$642,A428=$E$643,F428/$F$643,A428=$E$644,F428/$F$644,A428=$E$645,F428/$F$645,A428=$E$646,F428/$F$646,A428=$E$647,F428/$F$647)</f>
        <v>7.5419729890010912E-3</v>
      </c>
      <c r="H428" cm="1">
        <f t="array" ref="H428">_xlfn.IFS(A428=$P$24,G428*$Q$24,A428=$P$25,G428*$Q$25,A428=$P$26,G428*$Q$26,A428=$P$27,G428*$Q$27,A428=$P$28,G428*$Q$28,A428=$P$29,G428*$Q$29,A428=$P$30,G428*$Q$30,A428=$P$31,G428*$Q$31)</f>
        <v>3264877.7512182663</v>
      </c>
      <c r="I428">
        <f t="shared" si="14"/>
        <v>3290092.7512182663</v>
      </c>
      <c r="J428" s="1">
        <f t="shared" si="15"/>
        <v>3498268.7512182663</v>
      </c>
    </row>
    <row r="429" spans="1:10" x14ac:dyDescent="0.2">
      <c r="A429">
        <v>2020</v>
      </c>
      <c r="B429" t="s">
        <v>120</v>
      </c>
      <c r="C429" t="s">
        <v>34</v>
      </c>
      <c r="D429">
        <v>1189444</v>
      </c>
      <c r="E429">
        <v>144069</v>
      </c>
      <c r="F429">
        <v>1333513</v>
      </c>
      <c r="G429" cm="1">
        <f t="array" ref="G429">_xlfn.IFS(A429=$E$640,F429/$F$640,A429=$E$641,F429/$F$641,A429=$E$641,F429/$F$641,A429=$E$642,F429/$F$642,A429=$E$643,F429/$F$643,A429=$E$644,F429/$F$644,A429=$E$645,F429/$F$645,A429=$E$646,F429/$F$646,A429=$E$647,F429/$F$647)</f>
        <v>4.3092145911718158E-2</v>
      </c>
      <c r="H429" cm="1">
        <f t="array" ref="H429">_xlfn.IFS(A429=$P$24,G429*$Q$24,A429=$P$25,G429*$Q$25,A429=$P$26,G429*$Q$26,A429=$P$27,G429*$Q$27,A429=$P$28,G429*$Q$28,A429=$P$29,G429*$Q$29,A429=$P$30,G429*$Q$30,A429=$P$31,G429*$Q$31)</f>
        <v>18654347.959691349</v>
      </c>
      <c r="I429">
        <f t="shared" si="14"/>
        <v>18798416.959691349</v>
      </c>
      <c r="J429" s="1">
        <f t="shared" si="15"/>
        <v>19987860.959691349</v>
      </c>
    </row>
    <row r="430" spans="1:10" x14ac:dyDescent="0.2">
      <c r="A430">
        <v>2020</v>
      </c>
      <c r="B430" t="s">
        <v>121</v>
      </c>
      <c r="C430" t="s">
        <v>35</v>
      </c>
      <c r="D430">
        <v>111988</v>
      </c>
      <c r="E430">
        <v>13564</v>
      </c>
      <c r="F430">
        <v>125552</v>
      </c>
      <c r="G430" cm="1">
        <f t="array" ref="G430">_xlfn.IFS(A430=$E$640,F430/$F$640,A430=$E$641,F430/$F$641,A430=$E$641,F430/$F$641,A430=$E$642,F430/$F$642,A430=$E$643,F430/$F$643,A430=$E$644,F430/$F$644,A430=$E$645,F430/$F$645,A430=$E$646,F430/$F$646,A430=$E$647,F430/$F$647)</f>
        <v>4.0571821223400429E-3</v>
      </c>
      <c r="H430" cm="1">
        <f t="array" ref="H430">_xlfn.IFS(A430=$P$24,G430*$Q$24,A430=$P$25,G430*$Q$25,A430=$P$26,G430*$Q$26,A430=$P$27,G430*$Q$27,A430=$P$28,G430*$Q$28,A430=$P$29,G430*$Q$29,A430=$P$30,G430*$Q$30,A430=$P$31,G430*$Q$31)</f>
        <v>1756331.3556262054</v>
      </c>
      <c r="I430">
        <f t="shared" si="14"/>
        <v>1769895.3556262054</v>
      </c>
      <c r="J430" s="1">
        <f t="shared" si="15"/>
        <v>1881883.3556262054</v>
      </c>
    </row>
    <row r="431" spans="1:10" x14ac:dyDescent="0.2">
      <c r="A431">
        <v>2020</v>
      </c>
      <c r="B431" t="s">
        <v>122</v>
      </c>
      <c r="C431" t="s">
        <v>36</v>
      </c>
      <c r="D431">
        <v>130808</v>
      </c>
      <c r="E431">
        <v>15844</v>
      </c>
      <c r="F431">
        <v>146652</v>
      </c>
      <c r="G431" cm="1">
        <f t="array" ref="G431">_xlfn.IFS(A431=$E$640,F431/$F$640,A431=$E$641,F431/$F$641,A431=$E$641,F431/$F$641,A431=$E$642,F431/$F$642,A431=$E$643,F431/$F$643,A431=$E$644,F431/$F$644,A431=$E$645,F431/$F$645,A431=$E$646,F431/$F$646,A431=$E$647,F431/$F$647)</f>
        <v>4.7390234532736402E-3</v>
      </c>
      <c r="H431" cm="1">
        <f t="array" ref="H431">_xlfn.IFS(A431=$P$24,G431*$Q$24,A431=$P$25,G431*$Q$25,A431=$P$26,G431*$Q$26,A431=$P$27,G431*$Q$27,A431=$P$28,G431*$Q$28,A431=$P$29,G431*$Q$29,A431=$P$30,G431*$Q$30,A431=$P$31,G431*$Q$31)</f>
        <v>2051496.6385664453</v>
      </c>
      <c r="I431">
        <f t="shared" si="14"/>
        <v>2067340.6385664453</v>
      </c>
      <c r="J431" s="1">
        <f t="shared" si="15"/>
        <v>2198148.6385664456</v>
      </c>
    </row>
    <row r="432" spans="1:10" x14ac:dyDescent="0.2">
      <c r="A432">
        <v>2020</v>
      </c>
      <c r="B432" t="s">
        <v>123</v>
      </c>
      <c r="C432" t="s">
        <v>37</v>
      </c>
      <c r="D432">
        <v>139614</v>
      </c>
      <c r="E432">
        <v>16910</v>
      </c>
      <c r="F432">
        <v>156524</v>
      </c>
      <c r="G432" cm="1">
        <f t="array" ref="G432">_xlfn.IFS(A432=$E$640,F432/$F$640,A432=$E$641,F432/$F$641,A432=$E$641,F432/$F$641,A432=$E$642,F432/$F$642,A432=$E$643,F432/$F$643,A432=$E$644,F432/$F$644,A432=$E$645,F432/$F$645,A432=$E$646,F432/$F$646,A432=$E$647,F432/$F$647)</f>
        <v>5.0580347148365054E-3</v>
      </c>
      <c r="H432" cm="1">
        <f t="array" ref="H432">_xlfn.IFS(A432=$P$24,G432*$Q$24,A432=$P$25,G432*$Q$25,A432=$P$26,G432*$Q$26,A432=$P$27,G432*$Q$27,A432=$P$28,G432*$Q$28,A432=$P$29,G432*$Q$29,A432=$P$30,G432*$Q$30,A432=$P$31,G432*$Q$31)</f>
        <v>2189594.8221297646</v>
      </c>
      <c r="I432">
        <f t="shared" si="14"/>
        <v>2206504.8221297646</v>
      </c>
      <c r="J432" s="1">
        <f t="shared" si="15"/>
        <v>2346118.8221297646</v>
      </c>
    </row>
    <row r="433" spans="1:10" x14ac:dyDescent="0.2">
      <c r="A433">
        <v>2020</v>
      </c>
      <c r="B433" t="s">
        <v>124</v>
      </c>
      <c r="C433" t="s">
        <v>38</v>
      </c>
      <c r="D433">
        <v>602036</v>
      </c>
      <c r="E433">
        <v>72920</v>
      </c>
      <c r="F433">
        <v>674956</v>
      </c>
      <c r="G433" cm="1">
        <f t="array" ref="G433">_xlfn.IFS(A433=$E$640,F433/$F$640,A433=$E$641,F433/$F$641,A433=$E$641,F433/$F$641,A433=$E$642,F433/$F$642,A433=$E$643,F433/$F$643,A433=$E$644,F433/$F$644,A433=$E$645,F433/$F$645,A433=$E$646,F433/$F$646,A433=$E$647,F433/$F$647)</f>
        <v>2.1811037789650076E-2</v>
      </c>
      <c r="H433" cm="1">
        <f t="array" ref="H433">_xlfn.IFS(A433=$P$24,G433*$Q$24,A433=$P$25,G433*$Q$25,A433=$P$26,G433*$Q$26,A433=$P$27,G433*$Q$27,A433=$P$28,G433*$Q$28,A433=$P$29,G433*$Q$29,A433=$P$30,G433*$Q$30,A433=$P$31,G433*$Q$31)</f>
        <v>9441875.7683512922</v>
      </c>
      <c r="I433">
        <f t="shared" si="14"/>
        <v>9514795.7683512922</v>
      </c>
      <c r="J433" s="1">
        <f t="shared" si="15"/>
        <v>10116831.768351292</v>
      </c>
    </row>
    <row r="434" spans="1:10" x14ac:dyDescent="0.2">
      <c r="A434">
        <v>2020</v>
      </c>
      <c r="B434" t="s">
        <v>125</v>
      </c>
      <c r="C434" t="s">
        <v>39</v>
      </c>
      <c r="D434">
        <v>0</v>
      </c>
      <c r="E434">
        <v>0</v>
      </c>
      <c r="F434">
        <v>0</v>
      </c>
      <c r="G434" cm="1">
        <f t="array" ref="G434">_xlfn.IFS(A434=$E$640,F434/$F$640,A434=$E$641,F434/$F$641,A434=$E$641,F434/$F$641,A434=$E$642,F434/$F$642,A434=$E$643,F434/$F$643,A434=$E$644,F434/$F$644,A434=$E$645,F434/$F$645,A434=$E$646,F434/$F$646,A434=$E$647,F434/$F$647)</f>
        <v>0</v>
      </c>
      <c r="H434" cm="1">
        <f t="array" ref="H434">_xlfn.IFS(A434=$P$24,G434*$Q$24,A434=$P$25,G434*$Q$25,A434=$P$26,G434*$Q$26,A434=$P$27,G434*$Q$27,A434=$P$28,G434*$Q$28,A434=$P$29,G434*$Q$29,A434=$P$30,G434*$Q$30,A434=$P$31,G434*$Q$31)</f>
        <v>0</v>
      </c>
      <c r="I434">
        <f t="shared" si="14"/>
        <v>0</v>
      </c>
      <c r="J434" s="1">
        <f t="shared" si="15"/>
        <v>0</v>
      </c>
    </row>
    <row r="435" spans="1:10" x14ac:dyDescent="0.2">
      <c r="A435">
        <v>2020</v>
      </c>
      <c r="B435" t="s">
        <v>126</v>
      </c>
      <c r="C435" t="s">
        <v>40</v>
      </c>
      <c r="D435">
        <v>146431</v>
      </c>
      <c r="E435">
        <v>17736</v>
      </c>
      <c r="F435">
        <v>164167</v>
      </c>
      <c r="G435" cm="1">
        <f t="array" ref="G435">_xlfn.IFS(A435=$E$640,F435/$F$640,A435=$E$641,F435/$F$641,A435=$E$641,F435/$F$641,A435=$E$642,F435/$F$642,A435=$E$643,F435/$F$643,A435=$E$644,F435/$F$644,A435=$E$645,F435/$F$645,A435=$E$646,F435/$F$646,A435=$E$647,F435/$F$647)</f>
        <v>5.3050163874585662E-3</v>
      </c>
      <c r="H435" cm="1">
        <f t="array" ref="H435">_xlfn.IFS(A435=$P$24,G435*$Q$24,A435=$P$25,G435*$Q$25,A435=$P$26,G435*$Q$26,A435=$P$27,G435*$Q$27,A435=$P$28,G435*$Q$28,A435=$P$29,G435*$Q$29,A435=$P$30,G435*$Q$30,A435=$P$31,G435*$Q$31)</f>
        <v>2296511.8011587812</v>
      </c>
      <c r="I435">
        <f t="shared" si="14"/>
        <v>2314247.8011587812</v>
      </c>
      <c r="J435" s="1">
        <f t="shared" si="15"/>
        <v>2460678.8011587812</v>
      </c>
    </row>
    <row r="436" spans="1:10" x14ac:dyDescent="0.2">
      <c r="A436">
        <v>2020</v>
      </c>
      <c r="B436" t="s">
        <v>127</v>
      </c>
      <c r="C436" t="s">
        <v>41</v>
      </c>
      <c r="D436">
        <v>40178</v>
      </c>
      <c r="E436">
        <v>4866</v>
      </c>
      <c r="F436">
        <v>45044</v>
      </c>
      <c r="G436" cm="1">
        <f t="array" ref="G436">_xlfn.IFS(A436=$E$640,F436/$F$640,A436=$E$641,F436/$F$641,A436=$E$641,F436/$F$641,A436=$E$642,F436/$F$642,A436=$E$643,F436/$F$643,A436=$E$644,F436/$F$644,A436=$E$645,F436/$F$645,A436=$E$646,F436/$F$646,A436=$E$647,F436/$F$647)</f>
        <v>1.4555858251456362E-3</v>
      </c>
      <c r="H436" cm="1">
        <f t="array" ref="H436">_xlfn.IFS(A436=$P$24,G436*$Q$24,A436=$P$25,G436*$Q$25,A436=$P$26,G436*$Q$26,A436=$P$27,G436*$Q$27,A436=$P$28,G436*$Q$28,A436=$P$29,G436*$Q$29,A436=$P$30,G436*$Q$30,A436=$P$31,G436*$Q$31)</f>
        <v>630114.92913555191</v>
      </c>
      <c r="I436">
        <f t="shared" si="14"/>
        <v>634980.92913555191</v>
      </c>
      <c r="J436" s="1">
        <f t="shared" si="15"/>
        <v>675158.92913555191</v>
      </c>
    </row>
    <row r="437" spans="1:10" x14ac:dyDescent="0.2">
      <c r="A437">
        <v>2020</v>
      </c>
      <c r="B437" t="s">
        <v>128</v>
      </c>
      <c r="C437" t="s">
        <v>42</v>
      </c>
      <c r="D437">
        <v>143877</v>
      </c>
      <c r="E437">
        <v>17427</v>
      </c>
      <c r="F437">
        <v>161304</v>
      </c>
      <c r="G437" cm="1">
        <f t="array" ref="G437">_xlfn.IFS(A437=$E$640,F437/$F$640,A437=$E$641,F437/$F$641,A437=$E$641,F437/$F$641,A437=$E$642,F437/$F$642,A437=$E$643,F437/$F$643,A437=$E$644,F437/$F$644,A437=$E$645,F437/$F$645,A437=$E$646,F437/$F$646,A437=$E$647,F437/$F$647)</f>
        <v>5.2124992438347326E-3</v>
      </c>
      <c r="H437" cm="1">
        <f t="array" ref="H437">_xlfn.IFS(A437=$P$24,G437*$Q$24,A437=$P$25,G437*$Q$25,A437=$P$26,G437*$Q$26,A437=$P$27,G437*$Q$27,A437=$P$28,G437*$Q$28,A437=$P$29,G437*$Q$29,A437=$P$30,G437*$Q$30,A437=$P$31,G437*$Q$31)</f>
        <v>2256461.6492603025</v>
      </c>
      <c r="I437">
        <f t="shared" si="14"/>
        <v>2273888.6492603025</v>
      </c>
      <c r="J437" s="1">
        <f t="shared" si="15"/>
        <v>2417765.6492603025</v>
      </c>
    </row>
    <row r="438" spans="1:10" x14ac:dyDescent="0.2">
      <c r="A438">
        <v>2020</v>
      </c>
      <c r="B438" t="s">
        <v>129</v>
      </c>
      <c r="C438" t="s">
        <v>43</v>
      </c>
      <c r="D438">
        <v>978197</v>
      </c>
      <c r="E438">
        <v>118482</v>
      </c>
      <c r="F438">
        <v>1096679</v>
      </c>
      <c r="G438" cm="1">
        <f t="array" ref="G438">_xlfn.IFS(A438=$E$640,F438/$F$640,A438=$E$641,F438/$F$641,A438=$E$641,F438/$F$641,A438=$E$642,F438/$F$642,A438=$E$643,F438/$F$643,A438=$E$644,F438/$F$644,A438=$E$645,F438/$F$645,A438=$E$646,F438/$F$646,A438=$E$647,F438/$F$647)</f>
        <v>3.5438913221181312E-2</v>
      </c>
      <c r="H438" cm="1">
        <f t="array" ref="H438">_xlfn.IFS(A438=$P$24,G438*$Q$24,A438=$P$25,G438*$Q$25,A438=$P$26,G438*$Q$26,A438=$P$27,G438*$Q$27,A438=$P$28,G438*$Q$28,A438=$P$29,G438*$Q$29,A438=$P$30,G438*$Q$30,A438=$P$31,G438*$Q$31)</f>
        <v>15341306.508512739</v>
      </c>
      <c r="I438">
        <f t="shared" si="14"/>
        <v>15459788.508512739</v>
      </c>
      <c r="J438" s="1">
        <f t="shared" si="15"/>
        <v>16437985.508512739</v>
      </c>
    </row>
    <row r="439" spans="1:10" x14ac:dyDescent="0.2">
      <c r="A439">
        <v>2020</v>
      </c>
      <c r="B439" t="s">
        <v>130</v>
      </c>
      <c r="C439" t="s">
        <v>44</v>
      </c>
      <c r="D439">
        <v>1013681</v>
      </c>
      <c r="E439">
        <v>122780</v>
      </c>
      <c r="F439">
        <v>1136461</v>
      </c>
      <c r="G439" cm="1">
        <f t="array" ref="G439">_xlfn.IFS(A439=$E$640,F439/$F$640,A439=$E$641,F439/$F$641,A439=$E$641,F439/$F$641,A439=$E$642,F439/$F$642,A439=$E$643,F439/$F$643,A439=$E$644,F439/$F$644,A439=$E$645,F439/$F$645,A439=$E$646,F439/$F$646,A439=$E$647,F439/$F$647)</f>
        <v>3.6724458805408818E-2</v>
      </c>
      <c r="H439" cm="1">
        <f t="array" ref="H439">_xlfn.IFS(A439=$P$24,G439*$Q$24,A439=$P$25,G439*$Q$25,A439=$P$26,G439*$Q$26,A439=$P$27,G439*$Q$27,A439=$P$28,G439*$Q$28,A439=$P$29,G439*$Q$29,A439=$P$30,G439*$Q$30,A439=$P$31,G439*$Q$31)</f>
        <v>15897811.972300826</v>
      </c>
      <c r="I439">
        <f t="shared" si="14"/>
        <v>16020591.972300826</v>
      </c>
      <c r="J439" s="1">
        <f t="shared" si="15"/>
        <v>17034272.972300828</v>
      </c>
    </row>
    <row r="440" spans="1:10" x14ac:dyDescent="0.2">
      <c r="A440">
        <v>2020</v>
      </c>
      <c r="B440" t="s">
        <v>131</v>
      </c>
      <c r="C440" t="s">
        <v>45</v>
      </c>
      <c r="D440">
        <v>135763</v>
      </c>
      <c r="E440">
        <v>16444</v>
      </c>
      <c r="F440">
        <v>152207</v>
      </c>
      <c r="G440" cm="1">
        <f t="array" ref="G440">_xlfn.IFS(A440=$E$640,F440/$F$640,A440=$E$641,F440/$F$641,A440=$E$641,F440/$F$641,A440=$E$642,F440/$F$642,A440=$E$643,F440/$F$643,A440=$E$644,F440/$F$644,A440=$E$645,F440/$F$645,A440=$E$646,F440/$F$646,A440=$E$647,F440/$F$647)</f>
        <v>4.9185319174127927E-3</v>
      </c>
      <c r="H440" cm="1">
        <f t="array" ref="H440">_xlfn.IFS(A440=$P$24,G440*$Q$24,A440=$P$25,G440*$Q$25,A440=$P$26,G440*$Q$26,A440=$P$27,G440*$Q$27,A440=$P$28,G440*$Q$28,A440=$P$29,G440*$Q$29,A440=$P$30,G440*$Q$30,A440=$P$31,G440*$Q$31)</f>
        <v>2129204.8445727499</v>
      </c>
      <c r="I440">
        <f t="shared" si="14"/>
        <v>2145648.8445727499</v>
      </c>
      <c r="J440" s="1">
        <f t="shared" si="15"/>
        <v>2281411.8445727499</v>
      </c>
    </row>
    <row r="441" spans="1:10" x14ac:dyDescent="0.2">
      <c r="A441">
        <v>2020</v>
      </c>
      <c r="B441" t="s">
        <v>132</v>
      </c>
      <c r="C441" t="s">
        <v>46</v>
      </c>
      <c r="D441">
        <v>76392</v>
      </c>
      <c r="E441">
        <v>9253</v>
      </c>
      <c r="F441">
        <v>85645</v>
      </c>
      <c r="G441" cm="1">
        <f t="array" ref="G441">_xlfn.IFS(A441=$E$640,F441/$F$640,A441=$E$641,F441/$F$641,A441=$E$641,F441/$F$641,A441=$E$642,F441/$F$642,A441=$E$643,F441/$F$643,A441=$E$644,F441/$F$644,A441=$E$645,F441/$F$645,A441=$E$646,F441/$F$646,A441=$E$647,F441/$F$647)</f>
        <v>2.7675971937349705E-3</v>
      </c>
      <c r="H441" cm="1">
        <f t="array" ref="H441">_xlfn.IFS(A441=$P$24,G441*$Q$24,A441=$P$25,G441*$Q$25,A441=$P$26,G441*$Q$26,A441=$P$27,G441*$Q$27,A441=$P$28,G441*$Q$28,A441=$P$29,G441*$Q$29,A441=$P$30,G441*$Q$30,A441=$P$31,G441*$Q$31)</f>
        <v>1198077.2823420288</v>
      </c>
      <c r="I441">
        <f t="shared" si="14"/>
        <v>1207330.2823420288</v>
      </c>
      <c r="J441" s="1">
        <f t="shared" si="15"/>
        <v>1283722.2823420288</v>
      </c>
    </row>
    <row r="442" spans="1:10" x14ac:dyDescent="0.2">
      <c r="A442">
        <v>2020</v>
      </c>
      <c r="B442" t="s">
        <v>133</v>
      </c>
      <c r="C442" t="s">
        <v>47</v>
      </c>
      <c r="D442">
        <v>110433</v>
      </c>
      <c r="E442">
        <v>13376</v>
      </c>
      <c r="F442">
        <v>123809</v>
      </c>
      <c r="G442" cm="1">
        <f t="array" ref="G442">_xlfn.IFS(A442=$E$640,F442/$F$640,A442=$E$641,F442/$F$641,A442=$E$641,F442/$F$641,A442=$E$642,F442/$F$642,A442=$E$643,F442/$F$643,A442=$E$644,F442/$F$644,A442=$E$645,F442/$F$645,A442=$E$646,F442/$F$646,A442=$E$647,F442/$F$647)</f>
        <v>4.0008575043392249E-3</v>
      </c>
      <c r="H442" cm="1">
        <f t="array" ref="H442">_xlfn.IFS(A442=$P$24,G442*$Q$24,A442=$P$25,G442*$Q$25,A442=$P$26,G442*$Q$26,A442=$P$27,G442*$Q$27,A442=$P$28,G442*$Q$28,A442=$P$29,G442*$Q$29,A442=$P$30,G442*$Q$30,A442=$P$31,G442*$Q$31)</f>
        <v>1731948.744812706</v>
      </c>
      <c r="I442">
        <f t="shared" si="14"/>
        <v>1745324.744812706</v>
      </c>
      <c r="J442" s="1">
        <f t="shared" si="15"/>
        <v>1855757.744812706</v>
      </c>
    </row>
    <row r="443" spans="1:10" x14ac:dyDescent="0.2">
      <c r="A443">
        <v>2020</v>
      </c>
      <c r="B443" t="s">
        <v>134</v>
      </c>
      <c r="C443" t="s">
        <v>48</v>
      </c>
      <c r="D443">
        <v>28070</v>
      </c>
      <c r="E443">
        <v>3400</v>
      </c>
      <c r="F443">
        <v>31470</v>
      </c>
      <c r="G443" cm="1">
        <f t="array" ref="G443">_xlfn.IFS(A443=$E$640,F443/$F$640,A443=$E$641,F443/$F$641,A443=$E$641,F443/$F$641,A443=$E$642,F443/$F$642,A443=$E$643,F443/$F$643,A443=$E$644,F443/$F$644,A443=$E$645,F443/$F$645,A443=$E$646,F443/$F$646,A443=$E$647,F443/$F$647)</f>
        <v>1.0169453404966959E-3</v>
      </c>
      <c r="H443" cm="1">
        <f t="array" ref="H443">_xlfn.IFS(A443=$P$24,G443*$Q$24,A443=$P$25,G443*$Q$25,A443=$P$26,G443*$Q$26,A443=$P$27,G443*$Q$27,A443=$P$28,G443*$Q$28,A443=$P$29,G443*$Q$29,A443=$P$30,G443*$Q$30,A443=$P$31,G443*$Q$31)</f>
        <v>440229.92673598742</v>
      </c>
      <c r="I443">
        <f t="shared" si="14"/>
        <v>443629.92673598742</v>
      </c>
      <c r="J443" s="1">
        <f t="shared" si="15"/>
        <v>471699.92673598742</v>
      </c>
    </row>
    <row r="444" spans="1:10" x14ac:dyDescent="0.2">
      <c r="A444">
        <v>2020</v>
      </c>
      <c r="B444" t="s">
        <v>135</v>
      </c>
      <c r="C444" t="s">
        <v>49</v>
      </c>
      <c r="D444">
        <v>131589</v>
      </c>
      <c r="E444">
        <v>15939</v>
      </c>
      <c r="F444">
        <v>147528</v>
      </c>
      <c r="G444" cm="1">
        <f t="array" ref="G444">_xlfn.IFS(A444=$E$640,F444/$F$640,A444=$E$641,F444/$F$641,A444=$E$641,F444/$F$641,A444=$E$642,F444/$F$642,A444=$E$643,F444/$F$643,A444=$E$644,F444/$F$644,A444=$E$645,F444/$F$645,A444=$E$646,F444/$F$646,A444=$E$647,F444/$F$647)</f>
        <v>4.7673311786716414E-3</v>
      </c>
      <c r="H444" cm="1">
        <f t="array" ref="H444">_xlfn.IFS(A444=$P$24,G444*$Q$24,A444=$P$25,G444*$Q$25,A444=$P$26,G444*$Q$26,A444=$P$27,G444*$Q$27,A444=$P$28,G444*$Q$28,A444=$P$29,G444*$Q$29,A444=$P$30,G444*$Q$30,A444=$P$31,G444*$Q$31)</f>
        <v>2063750.8939150542</v>
      </c>
      <c r="I444">
        <f t="shared" si="14"/>
        <v>2079689.8939150542</v>
      </c>
      <c r="J444" s="1">
        <f t="shared" si="15"/>
        <v>2211278.8939150544</v>
      </c>
    </row>
    <row r="445" spans="1:10" x14ac:dyDescent="0.2">
      <c r="A445">
        <v>2020</v>
      </c>
      <c r="B445" t="s">
        <v>136</v>
      </c>
      <c r="C445" t="s">
        <v>50</v>
      </c>
      <c r="D445">
        <v>0</v>
      </c>
      <c r="E445">
        <v>0</v>
      </c>
      <c r="F445">
        <v>0</v>
      </c>
      <c r="G445" cm="1">
        <f t="array" ref="G445">_xlfn.IFS(A445=$E$640,F445/$F$640,A445=$E$641,F445/$F$641,A445=$E$641,F445/$F$641,A445=$E$642,F445/$F$642,A445=$E$643,F445/$F$643,A445=$E$644,F445/$F$644,A445=$E$645,F445/$F$645,A445=$E$646,F445/$F$646,A445=$E$647,F445/$F$647)</f>
        <v>0</v>
      </c>
      <c r="H445" cm="1">
        <f t="array" ref="H445">_xlfn.IFS(A445=$P$24,G445*$Q$24,A445=$P$25,G445*$Q$25,A445=$P$26,G445*$Q$26,A445=$P$27,G445*$Q$27,A445=$P$28,G445*$Q$28,A445=$P$29,G445*$Q$29,A445=$P$30,G445*$Q$30,A445=$P$31,G445*$Q$31)</f>
        <v>0</v>
      </c>
      <c r="I445">
        <f t="shared" si="14"/>
        <v>0</v>
      </c>
      <c r="J445" s="1">
        <f t="shared" si="15"/>
        <v>0</v>
      </c>
    </row>
    <row r="446" spans="1:10" x14ac:dyDescent="0.2">
      <c r="A446">
        <v>2020</v>
      </c>
      <c r="B446" t="s">
        <v>137</v>
      </c>
      <c r="C446" t="s">
        <v>51</v>
      </c>
      <c r="D446">
        <v>160570</v>
      </c>
      <c r="E446">
        <v>19449</v>
      </c>
      <c r="F446">
        <v>180019</v>
      </c>
      <c r="G446" cm="1">
        <f t="array" ref="G446">_xlfn.IFS(A446=$E$640,F446/$F$640,A446=$E$641,F446/$F$641,A446=$E$641,F446/$F$641,A446=$E$642,F446/$F$642,A446=$E$643,F446/$F$643,A446=$E$644,F446/$F$644,A446=$E$645,F446/$F$645,A446=$E$646,F446/$F$646,A446=$E$647,F446/$F$647)</f>
        <v>5.8172698840443186E-3</v>
      </c>
      <c r="H446" cm="1">
        <f t="array" ref="H446">_xlfn.IFS(A446=$P$24,G446*$Q$24,A446=$P$25,G446*$Q$25,A446=$P$26,G446*$Q$26,A446=$P$27,G446*$Q$27,A446=$P$28,G446*$Q$28,A446=$P$29,G446*$Q$29,A446=$P$30,G446*$Q$30,A446=$P$31,G446*$Q$31)</f>
        <v>2518263.4630151168</v>
      </c>
      <c r="I446">
        <f t="shared" si="14"/>
        <v>2537712.4630151168</v>
      </c>
      <c r="J446" s="1">
        <f t="shared" si="15"/>
        <v>2698282.4630151168</v>
      </c>
    </row>
    <row r="447" spans="1:10" x14ac:dyDescent="0.2">
      <c r="A447">
        <v>2020</v>
      </c>
      <c r="B447" t="s">
        <v>138</v>
      </c>
      <c r="C447" t="s">
        <v>52</v>
      </c>
      <c r="D447">
        <v>233247</v>
      </c>
      <c r="E447">
        <v>28252</v>
      </c>
      <c r="F447">
        <v>261499</v>
      </c>
      <c r="G447" cm="1">
        <f t="array" ref="G447">_xlfn.IFS(A447=$E$640,F447/$F$640,A447=$E$641,F447/$F$641,A447=$E$641,F447/$F$641,A447=$E$642,F447/$F$642,A447=$E$643,F447/$F$643,A447=$E$644,F447/$F$644,A447=$E$645,F447/$F$645,A447=$E$646,F447/$F$646,A447=$E$647,F447/$F$647)</f>
        <v>8.4502761231186989E-3</v>
      </c>
      <c r="H447" cm="1">
        <f t="array" ref="H447">_xlfn.IFS(A447=$P$24,G447*$Q$24,A447=$P$25,G447*$Q$25,A447=$P$26,G447*$Q$26,A447=$P$27,G447*$Q$27,A447=$P$28,G447*$Q$28,A447=$P$29,G447*$Q$29,A447=$P$30,G447*$Q$30,A447=$P$31,G447*$Q$31)</f>
        <v>3658077.0769473775</v>
      </c>
      <c r="I447">
        <f t="shared" si="14"/>
        <v>3686329.0769473775</v>
      </c>
      <c r="J447" s="1">
        <f t="shared" si="15"/>
        <v>3919576.0769473775</v>
      </c>
    </row>
    <row r="448" spans="1:10" x14ac:dyDescent="0.2">
      <c r="A448">
        <v>2020</v>
      </c>
      <c r="B448" t="s">
        <v>139</v>
      </c>
      <c r="C448" t="s">
        <v>53</v>
      </c>
      <c r="D448">
        <v>462329</v>
      </c>
      <c r="E448">
        <v>55999</v>
      </c>
      <c r="F448">
        <v>518328</v>
      </c>
      <c r="G448" cm="1">
        <f t="array" ref="G448">_xlfn.IFS(A448=$E$640,F448/$F$640,A448=$E$641,F448/$F$641,A448=$E$641,F448/$F$641,A448=$E$642,F448/$F$642,A448=$E$643,F448/$F$643,A448=$E$644,F448/$F$644,A448=$E$645,F448/$F$645,A448=$E$646,F448/$F$646,A448=$E$647,F448/$F$647)</f>
        <v>1.6749642340291433E-2</v>
      </c>
      <c r="H448" cm="1">
        <f t="array" ref="H448">_xlfn.IFS(A448=$P$24,G448*$Q$24,A448=$P$25,G448*$Q$25,A448=$P$26,G448*$Q$26,A448=$P$27,G448*$Q$27,A448=$P$28,G448*$Q$28,A448=$P$29,G448*$Q$29,A448=$P$30,G448*$Q$30,A448=$P$31,G448*$Q$31)</f>
        <v>7250826.1031207778</v>
      </c>
      <c r="I448">
        <f t="shared" si="14"/>
        <v>7306825.1031207778</v>
      </c>
      <c r="J448" s="1">
        <f t="shared" si="15"/>
        <v>7769154.1031207778</v>
      </c>
    </row>
    <row r="449" spans="1:10" x14ac:dyDescent="0.2">
      <c r="A449">
        <v>2020</v>
      </c>
      <c r="B449" t="s">
        <v>140</v>
      </c>
      <c r="C449" t="s">
        <v>54</v>
      </c>
      <c r="D449">
        <v>16967</v>
      </c>
      <c r="E449">
        <v>2055</v>
      </c>
      <c r="F449">
        <v>19022</v>
      </c>
      <c r="G449" cm="1">
        <f t="array" ref="G449">_xlfn.IFS(A449=$E$640,F449/$F$640,A449=$E$641,F449/$F$641,A449=$E$641,F449/$F$641,A449=$E$642,F449/$F$642,A449=$E$643,F449/$F$643,A449=$E$644,F449/$F$644,A449=$E$645,F449/$F$645,A449=$E$646,F449/$F$646,A449=$E$647,F449/$F$647)</f>
        <v>6.1469127000089447E-4</v>
      </c>
      <c r="H449" cm="1">
        <f t="array" ref="H449">_xlfn.IFS(A449=$P$24,G449*$Q$24,A449=$P$25,G449*$Q$25,A449=$P$26,G449*$Q$26,A449=$P$27,G449*$Q$27,A449=$P$28,G449*$Q$28,A449=$P$29,G449*$Q$29,A449=$P$30,G449*$Q$30,A449=$P$31,G449*$Q$31)</f>
        <v>266096.39867721486</v>
      </c>
      <c r="I449">
        <f t="shared" si="14"/>
        <v>268151.39867721486</v>
      </c>
      <c r="J449" s="1">
        <f t="shared" si="15"/>
        <v>285118.39867721486</v>
      </c>
    </row>
    <row r="450" spans="1:10" x14ac:dyDescent="0.2">
      <c r="A450">
        <v>2020</v>
      </c>
      <c r="B450" t="s">
        <v>141</v>
      </c>
      <c r="C450" t="s">
        <v>55</v>
      </c>
      <c r="D450">
        <v>681057</v>
      </c>
      <c r="E450">
        <v>82492</v>
      </c>
      <c r="F450">
        <v>763549</v>
      </c>
      <c r="G450" cm="1">
        <f t="array" ref="G450">_xlfn.IFS(A450=$E$640,F450/$F$640,A450=$E$641,F450/$F$641,A450=$E$641,F450/$F$641,A450=$E$642,F450/$F$642,A450=$E$643,F450/$F$643,A450=$E$644,F450/$F$644,A450=$E$645,F450/$F$645,A450=$E$646,F450/$F$646,A450=$E$647,F450/$F$647)</f>
        <v>2.4673898881185624E-2</v>
      </c>
      <c r="H450" cm="1">
        <f t="array" ref="H450">_xlfn.IFS(A450=$P$24,G450*$Q$24,A450=$P$25,G450*$Q$25,A450=$P$26,G450*$Q$26,A450=$P$27,G450*$Q$27,A450=$P$28,G450*$Q$28,A450=$P$29,G450*$Q$29,A450=$P$30,G450*$Q$30,A450=$P$31,G450*$Q$31)</f>
        <v>10681192.25704914</v>
      </c>
      <c r="I450">
        <f t="shared" si="14"/>
        <v>10763684.25704914</v>
      </c>
      <c r="J450" s="1">
        <f t="shared" si="15"/>
        <v>11444741.25704914</v>
      </c>
    </row>
    <row r="451" spans="1:10" x14ac:dyDescent="0.2">
      <c r="A451">
        <v>2020</v>
      </c>
      <c r="B451" t="s">
        <v>142</v>
      </c>
      <c r="C451" t="s">
        <v>56</v>
      </c>
      <c r="D451">
        <v>29561</v>
      </c>
      <c r="E451">
        <v>3581</v>
      </c>
      <c r="F451">
        <v>33142</v>
      </c>
      <c r="G451" cm="1">
        <f t="array" ref="G451">_xlfn.IFS(A451=$E$640,F451/$F$640,A451=$E$641,F451/$F$641,A451=$E$641,F451/$F$641,A451=$E$642,F451/$F$642,A451=$E$643,F451/$F$643,A451=$E$644,F451/$F$644,A451=$E$645,F451/$F$645,A451=$E$646,F451/$F$646,A451=$E$647,F451/$F$647)</f>
        <v>1.0709756108910548E-3</v>
      </c>
      <c r="H451" cm="1">
        <f t="array" ref="H451">_xlfn.IFS(A451=$P$24,G451*$Q$24,A451=$P$25,G451*$Q$25,A451=$P$26,G451*$Q$26,A451=$P$27,G451*$Q$27,A451=$P$28,G451*$Q$28,A451=$P$29,G451*$Q$29,A451=$P$30,G451*$Q$30,A451=$P$31,G451*$Q$31)</f>
        <v>463619.32735570689</v>
      </c>
      <c r="I451">
        <f t="shared" ref="I451:I514" si="16">SUM(H451,E451)</f>
        <v>467200.32735570689</v>
      </c>
      <c r="J451" s="1">
        <f t="shared" ref="J451:J514" si="17">SUM(I451,D451)</f>
        <v>496761.32735570689</v>
      </c>
    </row>
    <row r="452" spans="1:10" x14ac:dyDescent="0.2">
      <c r="A452">
        <v>2020</v>
      </c>
      <c r="B452" t="s">
        <v>143</v>
      </c>
      <c r="C452" t="s">
        <v>57</v>
      </c>
      <c r="D452">
        <v>1055390</v>
      </c>
      <c r="E452">
        <v>127832</v>
      </c>
      <c r="F452">
        <v>1183222</v>
      </c>
      <c r="G452" cm="1">
        <f t="array" ref="G452">_xlfn.IFS(A452=$E$640,F452/$F$640,A452=$E$641,F452/$F$641,A452=$E$641,F452/$F$641,A452=$E$642,F452/$F$642,A452=$E$643,F452/$F$643,A452=$E$644,F452/$F$644,A452=$E$645,F452/$F$645,A452=$E$646,F452/$F$646,A452=$E$647,F452/$F$647)</f>
        <v>3.8235529064924736E-2</v>
      </c>
      <c r="H452" cm="1">
        <f t="array" ref="H452">_xlfn.IFS(A452=$P$24,G452*$Q$24,A452=$P$25,G452*$Q$25,A452=$P$26,G452*$Q$26,A452=$P$27,G452*$Q$27,A452=$P$28,G452*$Q$28,A452=$P$29,G452*$Q$29,A452=$P$30,G452*$Q$30,A452=$P$31,G452*$Q$31)</f>
        <v>16551945.80147469</v>
      </c>
      <c r="I452">
        <f t="shared" si="16"/>
        <v>16679777.80147469</v>
      </c>
      <c r="J452" s="1">
        <f t="shared" si="17"/>
        <v>17735167.80147469</v>
      </c>
    </row>
    <row r="453" spans="1:10" x14ac:dyDescent="0.2">
      <c r="A453">
        <v>2020</v>
      </c>
      <c r="B453" t="s">
        <v>144</v>
      </c>
      <c r="C453" t="s">
        <v>58</v>
      </c>
      <c r="D453">
        <v>249002</v>
      </c>
      <c r="E453">
        <v>30160</v>
      </c>
      <c r="F453">
        <v>279162</v>
      </c>
      <c r="G453" cm="1">
        <f t="array" ref="G453">_xlfn.IFS(A453=$E$640,F453/$F$640,A453=$E$641,F453/$F$641,A453=$E$641,F453/$F$641,A453=$E$642,F453/$F$642,A453=$E$643,F453/$F$643,A453=$E$644,F453/$F$644,A453=$E$645,F453/$F$645,A453=$E$646,F453/$F$646,A453=$E$647,F453/$F$647)</f>
        <v>9.0210516410466676E-3</v>
      </c>
      <c r="H453" cm="1">
        <f t="array" ref="H453">_xlfn.IFS(A453=$P$24,G453*$Q$24,A453=$P$25,G453*$Q$25,A453=$P$26,G453*$Q$26,A453=$P$27,G453*$Q$27,A453=$P$28,G453*$Q$28,A453=$P$29,G453*$Q$29,A453=$P$30,G453*$Q$30,A453=$P$31,G453*$Q$31)</f>
        <v>3905162.5931830863</v>
      </c>
      <c r="I453">
        <f t="shared" si="16"/>
        <v>3935322.5931830863</v>
      </c>
      <c r="J453" s="1">
        <f t="shared" si="17"/>
        <v>4184324.5931830863</v>
      </c>
    </row>
    <row r="454" spans="1:10" x14ac:dyDescent="0.2">
      <c r="A454">
        <v>2020</v>
      </c>
      <c r="B454" t="s">
        <v>145</v>
      </c>
      <c r="C454" t="s">
        <v>59</v>
      </c>
      <c r="D454">
        <v>55745</v>
      </c>
      <c r="E454">
        <v>6752</v>
      </c>
      <c r="F454">
        <v>62497</v>
      </c>
      <c r="G454" cm="1">
        <f t="array" ref="G454">_xlfn.IFS(A454=$E$640,F454/$F$640,A454=$E$641,F454/$F$641,A454=$E$641,F454/$F$641,A454=$E$642,F454/$F$642,A454=$E$643,F454/$F$643,A454=$E$644,F454/$F$644,A454=$E$645,F454/$F$645,A454=$E$646,F454/$F$646,A454=$E$647,F454/$F$647)</f>
        <v>2.0195752445192881E-3</v>
      </c>
      <c r="H454" cm="1">
        <f t="array" ref="H454">_xlfn.IFS(A454=$P$24,G454*$Q$24,A454=$P$25,G454*$Q$25,A454=$P$26,G454*$Q$26,A454=$P$27,G454*$Q$27,A454=$P$28,G454*$Q$28,A454=$P$29,G454*$Q$29,A454=$P$30,G454*$Q$30,A454=$P$31,G454*$Q$31)</f>
        <v>874262.78141782654</v>
      </c>
      <c r="I454">
        <f t="shared" si="16"/>
        <v>881014.78141782654</v>
      </c>
      <c r="J454" s="1">
        <f t="shared" si="17"/>
        <v>936759.78141782654</v>
      </c>
    </row>
    <row r="455" spans="1:10" x14ac:dyDescent="0.2">
      <c r="A455">
        <v>2020</v>
      </c>
      <c r="B455" t="s">
        <v>146</v>
      </c>
      <c r="C455" t="s">
        <v>60</v>
      </c>
      <c r="D455">
        <v>17415</v>
      </c>
      <c r="E455">
        <v>2109</v>
      </c>
      <c r="F455">
        <v>19524</v>
      </c>
      <c r="G455" cm="1">
        <f t="array" ref="G455">_xlfn.IFS(A455=$E$640,F455/$F$640,A455=$E$641,F455/$F$641,A455=$E$641,F455/$F$641,A455=$E$642,F455/$F$642,A455=$E$643,F455/$F$643,A455=$E$644,F455/$F$644,A455=$E$645,F455/$F$645,A455=$E$646,F455/$F$646,A455=$E$647,F455/$F$647)</f>
        <v>6.3091327702121042E-4</v>
      </c>
      <c r="H455" cm="1">
        <f t="array" ref="H455">_xlfn.IFS(A455=$P$24,G455*$Q$24,A455=$P$25,G455*$Q$25,A455=$P$26,G455*$Q$26,A455=$P$27,G455*$Q$27,A455=$P$28,G455*$Q$28,A455=$P$29,G455*$Q$29,A455=$P$30,G455*$Q$30,A455=$P$31,G455*$Q$31)</f>
        <v>273118.81441351824</v>
      </c>
      <c r="I455">
        <f t="shared" si="16"/>
        <v>275227.81441351824</v>
      </c>
      <c r="J455" s="1">
        <f t="shared" si="17"/>
        <v>292642.81441351824</v>
      </c>
    </row>
    <row r="456" spans="1:10" x14ac:dyDescent="0.2">
      <c r="A456">
        <v>2020</v>
      </c>
      <c r="B456" t="s">
        <v>147</v>
      </c>
      <c r="C456" t="s">
        <v>61</v>
      </c>
      <c r="D456">
        <v>44640</v>
      </c>
      <c r="E456">
        <v>5407</v>
      </c>
      <c r="F456">
        <v>50047</v>
      </c>
      <c r="G456" cm="1">
        <f t="array" ref="G456">_xlfn.IFS(A456=$E$640,F456/$F$640,A456=$E$641,F456/$F$641,A456=$E$641,F456/$F$641,A456=$E$642,F456/$F$642,A456=$E$643,F456/$F$643,A456=$E$644,F456/$F$644,A456=$E$645,F456/$F$645,A456=$E$646,F456/$F$646,A456=$E$647,F456/$F$647)</f>
        <v>1.6172565445134457E-3</v>
      </c>
      <c r="H456" cm="1">
        <f t="array" ref="H456">_xlfn.IFS(A456=$P$24,G456*$Q$24,A456=$P$25,G456*$Q$25,A456=$P$26,G456*$Q$26,A456=$P$27,G456*$Q$27,A456=$P$28,G456*$Q$28,A456=$P$29,G456*$Q$29,A456=$P$30,G456*$Q$30,A456=$P$31,G456*$Q$31)</f>
        <v>700101.27560711664</v>
      </c>
      <c r="I456">
        <f t="shared" si="16"/>
        <v>705508.27560711664</v>
      </c>
      <c r="J456" s="1">
        <f t="shared" si="17"/>
        <v>750148.27560711664</v>
      </c>
    </row>
    <row r="457" spans="1:10" x14ac:dyDescent="0.2">
      <c r="A457">
        <v>2020</v>
      </c>
      <c r="B457" t="s">
        <v>148</v>
      </c>
      <c r="C457" t="s">
        <v>62</v>
      </c>
      <c r="D457">
        <v>57060</v>
      </c>
      <c r="E457">
        <v>6911</v>
      </c>
      <c r="F457">
        <v>63971</v>
      </c>
      <c r="G457" cm="1">
        <f t="array" ref="G457">_xlfn.IFS(A457=$E$640,F457/$F$640,A457=$E$641,F457/$F$641,A457=$E$641,F457/$F$641,A457=$E$642,F457/$F$642,A457=$E$643,F457/$F$643,A457=$E$644,F457/$F$644,A457=$E$645,F457/$F$645,A457=$E$646,F457/$F$646,A457=$E$647,F457/$F$647)</f>
        <v>2.0672071934195783E-3</v>
      </c>
      <c r="H457" cm="1">
        <f t="array" ref="H457">_xlfn.IFS(A457=$P$24,G457*$Q$24,A457=$P$25,G457*$Q$25,A457=$P$26,G457*$Q$26,A457=$P$27,G457*$Q$27,A457=$P$28,G457*$Q$28,A457=$P$29,G457*$Q$29,A457=$P$30,G457*$Q$30,A457=$P$31,G457*$Q$31)</f>
        <v>894882.38459573721</v>
      </c>
      <c r="I457">
        <f t="shared" si="16"/>
        <v>901793.38459573721</v>
      </c>
      <c r="J457" s="1">
        <f t="shared" si="17"/>
        <v>958853.38459573721</v>
      </c>
    </row>
    <row r="458" spans="1:10" x14ac:dyDescent="0.2">
      <c r="A458">
        <v>2020</v>
      </c>
      <c r="B458" t="s">
        <v>149</v>
      </c>
      <c r="C458" t="s">
        <v>63</v>
      </c>
      <c r="D458">
        <v>97347</v>
      </c>
      <c r="E458">
        <v>11791</v>
      </c>
      <c r="F458">
        <v>109138</v>
      </c>
      <c r="G458" cm="1">
        <f t="array" ref="G458">_xlfn.IFS(A458=$E$640,F458/$F$640,A458=$E$641,F458/$F$641,A458=$E$641,F458/$F$641,A458=$E$642,F458/$F$642,A458=$E$643,F458/$F$643,A458=$E$644,F458/$F$644,A458=$E$645,F458/$F$645,A458=$E$646,F458/$F$646,A458=$E$647,F458/$F$647)</f>
        <v>3.5267677334327422E-3</v>
      </c>
      <c r="H458" cm="1">
        <f t="array" ref="H458">_xlfn.IFS(A458=$P$24,G458*$Q$24,A458=$P$25,G458*$Q$25,A458=$P$26,G458*$Q$26,A458=$P$27,G458*$Q$27,A458=$P$28,G458*$Q$28,A458=$P$29,G458*$Q$29,A458=$P$30,G458*$Q$30,A458=$P$31,G458*$Q$31)</f>
        <v>1526717.945475443</v>
      </c>
      <c r="I458">
        <f t="shared" si="16"/>
        <v>1538508.945475443</v>
      </c>
      <c r="J458" s="1">
        <f t="shared" si="17"/>
        <v>1635855.945475443</v>
      </c>
    </row>
    <row r="459" spans="1:10" x14ac:dyDescent="0.2">
      <c r="A459">
        <v>2020</v>
      </c>
      <c r="B459" t="s">
        <v>150</v>
      </c>
      <c r="C459" t="s">
        <v>64</v>
      </c>
      <c r="D459">
        <v>16768</v>
      </c>
      <c r="E459">
        <v>2031</v>
      </c>
      <c r="F459">
        <v>18799</v>
      </c>
      <c r="G459" cm="1">
        <f t="array" ref="G459">_xlfn.IFS(A459=$E$640,F459/$F$640,A459=$E$641,F459/$F$641,A459=$E$641,F459/$F$641,A459=$E$642,F459/$F$642,A459=$E$643,F459/$F$643,A459=$E$644,F459/$F$644,A459=$E$645,F459/$F$645,A459=$E$646,F459/$F$646,A459=$E$647,F459/$F$647)</f>
        <v>6.0748507963131191E-4</v>
      </c>
      <c r="H459" cm="1">
        <f t="array" ref="H459">_xlfn.IFS(A459=$P$24,G459*$Q$24,A459=$P$25,G459*$Q$25,A459=$P$26,G459*$Q$26,A459=$P$27,G459*$Q$27,A459=$P$28,G459*$Q$28,A459=$P$29,G459*$Q$29,A459=$P$30,G459*$Q$30,A459=$P$31,G459*$Q$31)</f>
        <v>262976.87933618773</v>
      </c>
      <c r="I459">
        <f t="shared" si="16"/>
        <v>265007.87933618773</v>
      </c>
      <c r="J459" s="1">
        <f t="shared" si="17"/>
        <v>281775.87933618773</v>
      </c>
    </row>
    <row r="460" spans="1:10" x14ac:dyDescent="0.2">
      <c r="A460">
        <v>2020</v>
      </c>
      <c r="B460" t="s">
        <v>151</v>
      </c>
      <c r="C460" t="s">
        <v>65</v>
      </c>
      <c r="D460">
        <v>281570</v>
      </c>
      <c r="E460">
        <v>34105</v>
      </c>
      <c r="F460">
        <v>315675</v>
      </c>
      <c r="G460" cm="1">
        <f t="array" ref="G460">_xlfn.IFS(A460=$E$640,F460/$F$640,A460=$E$641,F460/$F$641,A460=$E$641,F460/$F$641,A460=$E$642,F460/$F$642,A460=$E$643,F460/$F$643,A460=$E$644,F460/$F$644,A460=$E$645,F460/$F$645,A460=$E$646,F460/$F$646,A460=$E$647,F460/$F$647)</f>
        <v>1.0200960291111994E-2</v>
      </c>
      <c r="H460" cm="1">
        <f t="array" ref="H460">_xlfn.IFS(A460=$P$24,G460*$Q$24,A460=$P$25,G460*$Q$25,A460=$P$26,G460*$Q$26,A460=$P$27,G460*$Q$27,A460=$P$28,G460*$Q$28,A460=$P$29,G460*$Q$29,A460=$P$30,G460*$Q$30,A460=$P$31,G460*$Q$31)</f>
        <v>4415938.4214293873</v>
      </c>
      <c r="I460">
        <f t="shared" si="16"/>
        <v>4450043.4214293873</v>
      </c>
      <c r="J460" s="1">
        <f t="shared" si="17"/>
        <v>4731613.4214293873</v>
      </c>
    </row>
    <row r="461" spans="1:10" x14ac:dyDescent="0.2">
      <c r="A461">
        <v>2020</v>
      </c>
      <c r="B461" t="s">
        <v>152</v>
      </c>
      <c r="C461" t="s">
        <v>66</v>
      </c>
      <c r="D461">
        <v>31598</v>
      </c>
      <c r="E461">
        <v>3827</v>
      </c>
      <c r="F461">
        <v>35425</v>
      </c>
      <c r="G461" cm="1">
        <f t="array" ref="G461">_xlfn.IFS(A461=$E$640,F461/$F$640,A461=$E$641,F461/$F$641,A461=$E$641,F461/$F$641,A461=$E$642,F461/$F$642,A461=$E$643,F461/$F$643,A461=$E$644,F461/$F$644,A461=$E$645,F461/$F$645,A461=$E$646,F461/$F$646,A461=$E$647,F461/$F$647)</f>
        <v>1.1447501966029695E-3</v>
      </c>
      <c r="H461" cm="1">
        <f t="array" ref="H461">_xlfn.IFS(A461=$P$24,G461*$Q$24,A461=$P$25,G461*$Q$25,A461=$P$26,G461*$Q$26,A461=$P$27,G461*$Q$27,A461=$P$28,G461*$Q$28,A461=$P$29,G461*$Q$29,A461=$P$30,G461*$Q$30,A461=$P$31,G461*$Q$31)</f>
        <v>495555.93119232135</v>
      </c>
      <c r="I461">
        <f t="shared" si="16"/>
        <v>499382.93119232135</v>
      </c>
      <c r="J461" s="1">
        <f t="shared" si="17"/>
        <v>530980.93119232135</v>
      </c>
    </row>
    <row r="462" spans="1:10" x14ac:dyDescent="0.2">
      <c r="A462">
        <v>2020</v>
      </c>
      <c r="B462" t="s">
        <v>153</v>
      </c>
      <c r="C462" t="s">
        <v>67</v>
      </c>
      <c r="D462">
        <v>43918</v>
      </c>
      <c r="E462">
        <v>5319</v>
      </c>
      <c r="F462">
        <v>49237</v>
      </c>
      <c r="G462" cm="1">
        <f t="array" ref="G462">_xlfn.IFS(A462=$E$640,F462/$F$640,A462=$E$641,F462/$F$641,A462=$E$641,F462/$F$641,A462=$E$642,F462/$F$642,A462=$E$643,F462/$F$643,A462=$E$644,F462/$F$644,A462=$E$645,F462/$F$645,A462=$E$646,F462/$F$646,A462=$E$647,F462/$F$647)</f>
        <v>1.5910815929468006E-3</v>
      </c>
      <c r="H462" cm="1">
        <f t="array" ref="H462">_xlfn.IFS(A462=$P$24,G462*$Q$24,A462=$P$25,G462*$Q$25,A462=$P$26,G462*$Q$26,A462=$P$27,G462*$Q$27,A462=$P$28,G462*$Q$28,A462=$P$29,G462*$Q$29,A462=$P$30,G462*$Q$30,A462=$P$31,G462*$Q$31)</f>
        <v>688770.28607244405</v>
      </c>
      <c r="I462">
        <f t="shared" si="16"/>
        <v>694089.28607244405</v>
      </c>
      <c r="J462" s="1">
        <f t="shared" si="17"/>
        <v>738007.28607244405</v>
      </c>
    </row>
    <row r="463" spans="1:10" x14ac:dyDescent="0.2">
      <c r="A463">
        <v>2020</v>
      </c>
      <c r="B463" t="s">
        <v>159</v>
      </c>
      <c r="C463" t="s">
        <v>68</v>
      </c>
      <c r="D463">
        <v>573268</v>
      </c>
      <c r="E463">
        <v>69436</v>
      </c>
      <c r="F463">
        <v>642704</v>
      </c>
      <c r="G463" cm="1">
        <f t="array" ref="G463">_xlfn.IFS(A463=$E$640,F463/$F$640,A463=$E$641,F463/$F$641,A463=$E$641,F463/$F$641,A463=$E$642,F463/$F$642,A463=$E$643,F463/$F$643,A463=$E$644,F463/$F$644,A463=$E$645,F463/$F$645,A463=$E$646,F463/$F$646,A463=$E$647,F463/$F$647)</f>
        <v>2.0768822310727308E-2</v>
      </c>
      <c r="H463" cm="1">
        <f t="array" ref="H463">_xlfn.IFS(A463=$P$24,G463*$Q$24,A463=$P$25,G463*$Q$25,A463=$P$26,G463*$Q$26,A463=$P$27,G463*$Q$27,A463=$P$28,G463*$Q$28,A463=$P$29,G463*$Q$29,A463=$P$30,G463*$Q$30,A463=$P$31,G463*$Q$31)</f>
        <v>8990706.5406077541</v>
      </c>
      <c r="I463">
        <f t="shared" si="16"/>
        <v>9060142.5406077541</v>
      </c>
      <c r="J463" s="1">
        <f t="shared" si="17"/>
        <v>9633410.5406077541</v>
      </c>
    </row>
    <row r="464" spans="1:10" x14ac:dyDescent="0.2">
      <c r="A464">
        <v>2020</v>
      </c>
      <c r="B464" t="s">
        <v>160</v>
      </c>
      <c r="C464" t="s">
        <v>69</v>
      </c>
      <c r="D464">
        <v>56952</v>
      </c>
      <c r="E464">
        <v>6898</v>
      </c>
      <c r="F464">
        <v>63850</v>
      </c>
      <c r="G464" cm="1">
        <f t="array" ref="G464">_xlfn.IFS(A464=$E$640,F464/$F$640,A464=$E$641,F464/$F$641,A464=$E$641,F464/$F$641,A464=$E$642,F464/$F$642,A464=$E$643,F464/$F$643,A464=$E$644,F464/$F$644,A464=$E$645,F464/$F$645,A464=$E$646,F464/$F$646,A464=$E$647,F464/$F$647)</f>
        <v>2.0632971080620918E-3</v>
      </c>
      <c r="H464" cm="1">
        <f t="array" ref="H464">_xlfn.IFS(A464=$P$24,G464*$Q$24,A464=$P$25,G464*$Q$25,A464=$P$26,G464*$Q$26,A464=$P$27,G464*$Q$27,A464=$P$28,G464*$Q$28,A464=$P$29,G464*$Q$29,A464=$P$30,G464*$Q$30,A464=$P$31,G464*$Q$31)</f>
        <v>893189.73060352064</v>
      </c>
      <c r="I464">
        <f t="shared" si="16"/>
        <v>900087.73060352064</v>
      </c>
      <c r="J464" s="1">
        <f t="shared" si="17"/>
        <v>957039.73060352064</v>
      </c>
    </row>
    <row r="465" spans="1:10" x14ac:dyDescent="0.2">
      <c r="A465">
        <v>2020</v>
      </c>
      <c r="B465" t="s">
        <v>161</v>
      </c>
      <c r="C465" t="s">
        <v>70</v>
      </c>
      <c r="D465">
        <v>610314</v>
      </c>
      <c r="E465">
        <v>73923</v>
      </c>
      <c r="F465">
        <v>684237</v>
      </c>
      <c r="G465" cm="1">
        <f t="array" ref="G465">_xlfn.IFS(A465=$E$640,F465/$F$640,A465=$E$641,F465/$F$641,A465=$E$641,F465/$F$641,A465=$E$642,F465/$F$642,A465=$E$643,F465/$F$643,A465=$E$644,F465/$F$644,A465=$E$645,F465/$F$645,A465=$E$646,F465/$F$646,A465=$E$647,F465/$F$647)</f>
        <v>2.2110951030995796E-2</v>
      </c>
      <c r="H465" cm="1">
        <f t="array" ref="H465">_xlfn.IFS(A465=$P$24,G465*$Q$24,A465=$P$25,G465*$Q$25,A465=$P$26,G465*$Q$26,A465=$P$27,G465*$Q$27,A465=$P$28,G465*$Q$28,A465=$P$29,G465*$Q$29,A465=$P$30,G465*$Q$30,A465=$P$31,G465*$Q$31)</f>
        <v>9571706.52621709</v>
      </c>
      <c r="I465">
        <f t="shared" si="16"/>
        <v>9645629.52621709</v>
      </c>
      <c r="J465" s="1">
        <f t="shared" si="17"/>
        <v>10255943.52621709</v>
      </c>
    </row>
    <row r="466" spans="1:10" x14ac:dyDescent="0.2">
      <c r="A466">
        <v>2020</v>
      </c>
      <c r="B466" t="s">
        <v>162</v>
      </c>
      <c r="C466" t="s">
        <v>71</v>
      </c>
      <c r="D466">
        <v>63111</v>
      </c>
      <c r="E466">
        <v>7644</v>
      </c>
      <c r="F466">
        <v>70755</v>
      </c>
      <c r="G466" cm="1">
        <f t="array" ref="G466">_xlfn.IFS(A466=$E$640,F466/$F$640,A466=$E$641,F466/$F$641,A466=$E$641,F466/$F$641,A466=$E$642,F466/$F$642,A466=$E$643,F466/$F$643,A466=$E$644,F466/$F$644,A466=$E$645,F466/$F$645,A466=$E$646,F466/$F$646,A466=$E$647,F466/$F$647)</f>
        <v>2.2864304914789867E-3</v>
      </c>
      <c r="H466" cm="1">
        <f t="array" ref="H466">_xlfn.IFS(A466=$P$24,G466*$Q$24,A466=$P$25,G466*$Q$25,A466=$P$26,G466*$Q$26,A466=$P$27,G466*$Q$27,A466=$P$28,G466*$Q$28,A466=$P$29,G466*$Q$29,A466=$P$30,G466*$Q$30,A466=$P$31,G466*$Q$31)</f>
        <v>989782.91916761326</v>
      </c>
      <c r="I466">
        <f t="shared" si="16"/>
        <v>997426.91916761326</v>
      </c>
      <c r="J466" s="1">
        <f t="shared" si="17"/>
        <v>1060537.9191676131</v>
      </c>
    </row>
    <row r="467" spans="1:10" x14ac:dyDescent="0.2">
      <c r="A467">
        <v>2020</v>
      </c>
      <c r="B467" t="s">
        <v>163</v>
      </c>
      <c r="C467" t="s">
        <v>72</v>
      </c>
      <c r="D467">
        <v>28757</v>
      </c>
      <c r="E467">
        <v>3483</v>
      </c>
      <c r="F467">
        <v>32240</v>
      </c>
      <c r="G467" cm="1">
        <f t="array" ref="G467">_xlfn.IFS(A467=$E$640,F467/$F$640,A467=$E$641,F467/$F$641,A467=$E$641,F467/$F$641,A467=$E$642,F467/$F$642,A467=$E$643,F467/$F$643,A467=$E$644,F467/$F$644,A467=$E$645,F467/$F$645,A467=$E$646,F467/$F$646,A467=$E$647,F467/$F$647)</f>
        <v>1.041827701862519E-3</v>
      </c>
      <c r="H467" cm="1">
        <f t="array" ref="H467">_xlfn.IFS(A467=$P$24,G467*$Q$24,A467=$P$25,G467*$Q$25,A467=$P$26,G467*$Q$26,A467=$P$27,G467*$Q$27,A467=$P$28,G467*$Q$28,A467=$P$29,G467*$Q$29,A467=$P$30,G467*$Q$30,A467=$P$31,G467*$Q$31)</f>
        <v>451001.36123191082</v>
      </c>
      <c r="I467">
        <f t="shared" si="16"/>
        <v>454484.36123191082</v>
      </c>
      <c r="J467" s="1">
        <f t="shared" si="17"/>
        <v>483241.36123191082</v>
      </c>
    </row>
    <row r="468" spans="1:10" x14ac:dyDescent="0.2">
      <c r="A468">
        <v>2020</v>
      </c>
      <c r="B468" t="s">
        <v>164</v>
      </c>
      <c r="C468" t="s">
        <v>73</v>
      </c>
      <c r="D468">
        <v>17649</v>
      </c>
      <c r="E468">
        <v>2138</v>
      </c>
      <c r="F468">
        <v>19787</v>
      </c>
      <c r="G468" cm="1">
        <f t="array" ref="G468">_xlfn.IFS(A468=$E$640,F468/$F$640,A468=$E$641,F468/$F$641,A468=$E$641,F468/$F$641,A468=$E$642,F468/$F$642,A468=$E$643,F468/$F$643,A468=$E$644,F468/$F$644,A468=$E$645,F468/$F$645,A468=$E$646,F468/$F$646,A468=$E$647,F468/$F$647)</f>
        <v>6.3941205759161486E-4</v>
      </c>
      <c r="H468" cm="1">
        <f t="array" ref="H468">_xlfn.IFS(A468=$P$24,G468*$Q$24,A468=$P$25,G468*$Q$25,A468=$P$26,G468*$Q$26,A468=$P$27,G468*$Q$27,A468=$P$28,G468*$Q$28,A468=$P$29,G468*$Q$29,A468=$P$30,G468*$Q$30,A468=$P$31,G468*$Q$31)</f>
        <v>276797.88879329467</v>
      </c>
      <c r="I468">
        <f t="shared" si="16"/>
        <v>278935.88879329467</v>
      </c>
      <c r="J468" s="1">
        <f t="shared" si="17"/>
        <v>296584.88879329467</v>
      </c>
    </row>
    <row r="469" spans="1:10" x14ac:dyDescent="0.2">
      <c r="A469">
        <v>2020</v>
      </c>
      <c r="B469" t="s">
        <v>165</v>
      </c>
      <c r="C469" t="s">
        <v>74</v>
      </c>
      <c r="D469">
        <v>10425</v>
      </c>
      <c r="E469">
        <v>1263</v>
      </c>
      <c r="F469">
        <v>11688</v>
      </c>
      <c r="G469" cm="1">
        <f t="array" ref="G469">_xlfn.IFS(A469=$E$640,F469/$F$640,A469=$E$641,F469/$F$641,A469=$E$641,F469/$F$641,A469=$E$642,F469/$F$642,A469=$E$643,F469/$F$643,A469=$E$644,F469/$F$644,A469=$E$645,F469/$F$645,A469=$E$646,F469/$F$646,A469=$E$647,F469/$F$647)</f>
        <v>3.7769485668018369E-4</v>
      </c>
      <c r="H469" cm="1">
        <f t="array" ref="H469">_xlfn.IFS(A469=$P$24,G469*$Q$24,A469=$P$25,G469*$Q$25,A469=$P$26,G469*$Q$26,A469=$P$27,G469*$Q$27,A469=$P$28,G469*$Q$28,A469=$P$29,G469*$Q$29,A469=$P$30,G469*$Q$30,A469=$P$31,G469*$Q$31)</f>
        <v>163501.98232253641</v>
      </c>
      <c r="I469">
        <f t="shared" si="16"/>
        <v>164764.98232253641</v>
      </c>
      <c r="J469" s="1">
        <f t="shared" si="17"/>
        <v>175189.98232253641</v>
      </c>
    </row>
    <row r="470" spans="1:10" x14ac:dyDescent="0.2">
      <c r="A470">
        <v>2020</v>
      </c>
      <c r="B470" t="s">
        <v>166</v>
      </c>
      <c r="C470" t="s">
        <v>75</v>
      </c>
      <c r="D470">
        <v>7587</v>
      </c>
      <c r="E470">
        <v>919</v>
      </c>
      <c r="F470">
        <v>8506</v>
      </c>
      <c r="G470" cm="1">
        <f t="array" ref="G470">_xlfn.IFS(A470=$E$640,F470/$F$640,A470=$E$641,F470/$F$641,A470=$E$641,F470/$F$641,A470=$E$642,F470/$F$642,A470=$E$643,F470/$F$643,A470=$E$644,F470/$F$644,A470=$E$645,F470/$F$645,A470=$E$646,F470/$F$646,A470=$E$647,F470/$F$647)</f>
        <v>2.7486930620479488E-4</v>
      </c>
      <c r="H470" cm="1">
        <f t="array" ref="H470">_xlfn.IFS(A470=$P$24,G470*$Q$24,A470=$P$25,G470*$Q$25,A470=$P$26,G470*$Q$26,A470=$P$27,G470*$Q$27,A470=$P$28,G470*$Q$28,A470=$P$29,G470*$Q$29,A470=$P$30,G470*$Q$30,A470=$P$31,G470*$Q$31)</f>
        <v>118989.37899003206</v>
      </c>
      <c r="I470">
        <f t="shared" si="16"/>
        <v>119908.37899003206</v>
      </c>
      <c r="J470" s="1">
        <f t="shared" si="17"/>
        <v>127495.37899003206</v>
      </c>
    </row>
    <row r="471" spans="1:10" x14ac:dyDescent="0.2">
      <c r="A471">
        <v>2020</v>
      </c>
      <c r="B471" t="s">
        <v>167</v>
      </c>
      <c r="C471" t="s">
        <v>77</v>
      </c>
      <c r="D471">
        <v>10420</v>
      </c>
      <c r="E471">
        <v>1262</v>
      </c>
      <c r="F471">
        <v>11682</v>
      </c>
      <c r="G471" cm="1">
        <f t="array" ref="G471">_xlfn.IFS(A471=$E$640,F471/$F$640,A471=$E$641,F471/$F$641,A471=$E$641,F471/$F$641,A471=$E$642,F471/$F$642,A471=$E$643,F471/$F$643,A471=$E$644,F471/$F$644,A471=$E$645,F471/$F$645,A471=$E$646,F471/$F$646,A471=$E$647,F471/$F$647)</f>
        <v>3.7750096815006041E-4</v>
      </c>
      <c r="H471" cm="1">
        <f t="array" ref="H471">_xlfn.IFS(A471=$P$24,G471*$Q$24,A471=$P$25,G471*$Q$25,A471=$P$26,G471*$Q$26,A471=$P$27,G471*$Q$27,A471=$P$28,G471*$Q$28,A471=$P$29,G471*$Q$29,A471=$P$30,G471*$Q$30,A471=$P$31,G471*$Q$31)</f>
        <v>163418.04906672402</v>
      </c>
      <c r="I471">
        <f t="shared" si="16"/>
        <v>164680.04906672402</v>
      </c>
      <c r="J471" s="1">
        <f t="shared" si="17"/>
        <v>175100.04906672402</v>
      </c>
    </row>
    <row r="472" spans="1:10" x14ac:dyDescent="0.2">
      <c r="A472">
        <v>2020</v>
      </c>
      <c r="B472" t="s">
        <v>168</v>
      </c>
      <c r="C472" t="s">
        <v>78</v>
      </c>
      <c r="D472">
        <v>11247</v>
      </c>
      <c r="E472">
        <v>1362</v>
      </c>
      <c r="F472">
        <v>12609</v>
      </c>
      <c r="G472" cm="1">
        <f t="array" ref="G472">_xlfn.IFS(A472=$E$640,F472/$F$640,A472=$E$641,F472/$F$641,A472=$E$641,F472/$F$641,A472=$E$642,F472/$F$642,A472=$E$643,F472/$F$643,A472=$E$644,F472/$F$644,A472=$E$645,F472/$F$645,A472=$E$646,F472/$F$646,A472=$E$647,F472/$F$647)</f>
        <v>4.0745674605410987E-4</v>
      </c>
      <c r="H472" cm="1">
        <f t="array" ref="H472">_xlfn.IFS(A472=$P$24,G472*$Q$24,A472=$P$25,G472*$Q$25,A472=$P$26,G472*$Q$26,A472=$P$27,G472*$Q$27,A472=$P$28,G472*$Q$28,A472=$P$29,G472*$Q$29,A472=$P$30,G472*$Q$30,A472=$P$31,G472*$Q$31)</f>
        <v>176385.73708973834</v>
      </c>
      <c r="I472">
        <f t="shared" si="16"/>
        <v>177747.73708973834</v>
      </c>
      <c r="J472" s="1">
        <f t="shared" si="17"/>
        <v>188994.73708973834</v>
      </c>
    </row>
    <row r="473" spans="1:10" x14ac:dyDescent="0.2">
      <c r="A473">
        <v>2020</v>
      </c>
      <c r="B473" t="s">
        <v>169</v>
      </c>
      <c r="C473" t="s">
        <v>80</v>
      </c>
      <c r="D473">
        <v>2441560</v>
      </c>
      <c r="E473">
        <v>295729</v>
      </c>
      <c r="F473">
        <v>2737289</v>
      </c>
      <c r="G473" cm="1">
        <f t="array" ref="G473">_xlfn.IFS(A473=$E$640,F473/$F$640,A473=$E$641,F473/$F$641,A473=$E$641,F473/$F$641,A473=$E$642,F473/$F$642,A473=$E$643,F473/$F$643,A473=$E$644,F473/$F$644,A473=$E$645,F473/$F$645,A473=$E$646,F473/$F$646,A473=$E$647,F473/$F$647)</f>
        <v>8.8454823455445197E-2</v>
      </c>
      <c r="H473" cm="1">
        <f t="array" ref="H473">_xlfn.IFS(A473=$P$24,G473*$Q$24,A473=$P$25,G473*$Q$25,A473=$P$26,G473*$Q$26,A473=$P$27,G473*$Q$27,A473=$P$28,G473*$Q$28,A473=$P$29,G473*$Q$29,A473=$P$30,G473*$Q$30,A473=$P$31,G473*$Q$31)</f>
        <v>38291596.311573699</v>
      </c>
      <c r="I473">
        <f t="shared" si="16"/>
        <v>38587325.311573699</v>
      </c>
      <c r="J473" s="1">
        <f t="shared" si="17"/>
        <v>41028885.311573699</v>
      </c>
    </row>
    <row r="474" spans="1:10" x14ac:dyDescent="0.2">
      <c r="A474">
        <v>2020</v>
      </c>
      <c r="B474" t="s">
        <v>170</v>
      </c>
      <c r="C474" t="s">
        <v>81</v>
      </c>
      <c r="D474">
        <v>14632</v>
      </c>
      <c r="E474">
        <v>1772</v>
      </c>
      <c r="F474">
        <v>16404</v>
      </c>
      <c r="G474" cm="1">
        <f t="array" ref="G474">_xlfn.IFS(A474=$E$640,F474/$F$640,A474=$E$641,F474/$F$641,A474=$E$641,F474/$F$641,A474=$E$642,F474/$F$642,A474=$E$643,F474/$F$643,A474=$E$644,F474/$F$644,A474=$E$645,F474/$F$645,A474=$E$646,F474/$F$646,A474=$E$647,F474/$F$647)</f>
        <v>5.3009124135709566E-4</v>
      </c>
      <c r="H474" cm="1">
        <f t="array" ref="H474">_xlfn.IFS(A474=$P$24,G474*$Q$24,A474=$P$25,G474*$Q$25,A474=$P$26,G474*$Q$26,A474=$P$27,G474*$Q$27,A474=$P$28,G474*$Q$28,A474=$P$29,G474*$Q$29,A474=$P$30,G474*$Q$30,A474=$P$31,G474*$Q$31)</f>
        <v>229473.52139107525</v>
      </c>
      <c r="I474">
        <f t="shared" si="16"/>
        <v>231245.52139107525</v>
      </c>
      <c r="J474" s="1">
        <f t="shared" si="17"/>
        <v>245877.52139107525</v>
      </c>
    </row>
    <row r="475" spans="1:10" x14ac:dyDescent="0.2">
      <c r="A475">
        <v>2020</v>
      </c>
      <c r="B475" t="s">
        <v>171</v>
      </c>
      <c r="C475" t="s">
        <v>82</v>
      </c>
      <c r="D475">
        <v>49542</v>
      </c>
      <c r="E475">
        <v>6001</v>
      </c>
      <c r="F475">
        <v>55543</v>
      </c>
      <c r="G475" cm="1">
        <f t="array" ref="G475">_xlfn.IFS(A475=$E$640,F475/$F$640,A475=$E$641,F475/$F$641,A475=$E$641,F475/$F$641,A475=$E$642,F475/$F$642,A475=$E$643,F475/$F$643,A475=$E$644,F475/$F$644,A475=$E$645,F475/$F$645,A475=$E$646,F475/$F$646,A475=$E$647,F475/$F$647)</f>
        <v>1.7948584381063863E-3</v>
      </c>
      <c r="H475" cm="1">
        <f t="array" ref="H475">_xlfn.IFS(A475=$P$24,G475*$Q$24,A475=$P$25,G475*$Q$25,A475=$P$26,G475*$Q$26,A475=$P$27,G475*$Q$27,A475=$P$28,G475*$Q$28,A475=$P$29,G475*$Q$29,A475=$P$30,G475*$Q$30,A475=$P$31,G475*$Q$31)</f>
        <v>776984.13793126622</v>
      </c>
      <c r="I475">
        <f t="shared" si="16"/>
        <v>782985.13793126622</v>
      </c>
      <c r="J475" s="1">
        <f t="shared" si="17"/>
        <v>832527.13793126622</v>
      </c>
    </row>
    <row r="476" spans="1:10" x14ac:dyDescent="0.2">
      <c r="A476">
        <v>2020</v>
      </c>
      <c r="B476" t="s">
        <v>154</v>
      </c>
      <c r="C476" t="s">
        <v>87</v>
      </c>
      <c r="D476">
        <v>454905</v>
      </c>
      <c r="E476">
        <v>55100</v>
      </c>
      <c r="F476">
        <v>510005</v>
      </c>
      <c r="G476" cm="1">
        <f t="array" ref="G476">_xlfn.IFS(A476=$E$640,F476/$F$640,A476=$E$641,F476/$F$641,A476=$E$641,F476/$F$641,A476=$E$642,F476/$F$642,A476=$E$643,F476/$F$643,A476=$E$644,F476/$F$644,A476=$E$645,F476/$F$645,A476=$E$646,F476/$F$646,A476=$E$647,F476/$F$647)</f>
        <v>1.64806866342554E-2</v>
      </c>
      <c r="H476" cm="1">
        <f t="array" ref="H476">_xlfn.IFS(A476=$P$24,G476*$Q$24,A476=$P$25,G476*$Q$25,A476=$P$26,G476*$Q$26,A476=$P$27,G476*$Q$27,A476=$P$28,G476*$Q$28,A476=$P$29,G476*$Q$29,A476=$P$30,G476*$Q$30,A476=$P$31,G476*$Q$31)</f>
        <v>7134396.6884330241</v>
      </c>
      <c r="I476">
        <f t="shared" si="16"/>
        <v>7189496.6884330241</v>
      </c>
      <c r="J476" s="1">
        <f t="shared" si="17"/>
        <v>7644401.6884330241</v>
      </c>
    </row>
    <row r="477" spans="1:10" x14ac:dyDescent="0.2">
      <c r="A477">
        <v>2020</v>
      </c>
      <c r="B477" t="s">
        <v>155</v>
      </c>
      <c r="C477" t="s">
        <v>88</v>
      </c>
      <c r="D477">
        <v>189811</v>
      </c>
      <c r="E477">
        <v>22990</v>
      </c>
      <c r="F477">
        <v>212801</v>
      </c>
      <c r="G477" cm="1">
        <f t="array" ref="G477">_xlfn.IFS(A477=$E$640,F477/$F$640,A477=$E$641,F477/$F$641,A477=$E$641,F477/$F$641,A477=$E$642,F477/$F$642,A477=$E$643,F477/$F$643,A477=$E$644,F477/$F$644,A477=$E$645,F477/$F$645,A477=$E$646,F477/$F$646,A477=$E$647,F477/$F$647)</f>
        <v>6.8766121831279753E-3</v>
      </c>
      <c r="H477" cm="1">
        <f t="array" ref="H477">_xlfn.IFS(A477=$P$24,G477*$Q$24,A477=$P$25,G477*$Q$25,A477=$P$26,G477*$Q$26,A477=$P$27,G477*$Q$27,A477=$P$28,G477*$Q$28,A477=$P$29,G477*$Q$29,A477=$P$30,G477*$Q$30,A477=$P$31,G477*$Q$31)</f>
        <v>2976846.7950220802</v>
      </c>
      <c r="I477">
        <f t="shared" si="16"/>
        <v>2999836.7950220802</v>
      </c>
      <c r="J477" s="1">
        <f t="shared" si="17"/>
        <v>3189647.7950220802</v>
      </c>
    </row>
    <row r="478" spans="1:10" x14ac:dyDescent="0.2">
      <c r="A478">
        <v>2020</v>
      </c>
      <c r="B478" t="s">
        <v>156</v>
      </c>
      <c r="C478" t="s">
        <v>89</v>
      </c>
      <c r="D478">
        <v>353819</v>
      </c>
      <c r="E478">
        <v>42856</v>
      </c>
      <c r="F478">
        <v>396675</v>
      </c>
      <c r="G478" cm="1">
        <f t="array" ref="G478">_xlfn.IFS(A478=$E$640,F478/$F$640,A478=$E$641,F478/$F$641,A478=$E$641,F478/$F$641,A478=$E$642,F478/$F$642,A478=$E$643,F478/$F$643,A478=$E$644,F478/$F$644,A478=$E$645,F478/$F$645,A478=$E$646,F478/$F$646,A478=$E$647,F478/$F$647)</f>
        <v>1.2818455447776511E-2</v>
      </c>
      <c r="H478" cm="1">
        <f t="array" ref="H478">_xlfn.IFS(A478=$P$24,G478*$Q$24,A478=$P$25,G478*$Q$25,A478=$P$26,G478*$Q$26,A478=$P$27,G478*$Q$27,A478=$P$28,G478*$Q$28,A478=$P$29,G478*$Q$29,A478=$P$30,G478*$Q$30,A478=$P$31,G478*$Q$31)</f>
        <v>5549037.3748966567</v>
      </c>
      <c r="I478">
        <f t="shared" si="16"/>
        <v>5591893.3748966567</v>
      </c>
      <c r="J478" s="1">
        <f t="shared" si="17"/>
        <v>5945712.3748966567</v>
      </c>
    </row>
    <row r="479" spans="1:10" x14ac:dyDescent="0.2">
      <c r="A479">
        <v>2021</v>
      </c>
      <c r="B479" t="s">
        <v>90</v>
      </c>
      <c r="C479" t="s">
        <v>0</v>
      </c>
      <c r="D479">
        <v>106320</v>
      </c>
      <c r="F479">
        <f>D479</f>
        <v>106320</v>
      </c>
      <c r="G479" cm="1">
        <f t="array" ref="G479">_xlfn.IFS(A479=$E$640,F479/$F$640,A479=$E$641,F479/$F$641,A479=$E$641,F479/$F$641,A479=$E$642,F479/$F$642,A479=$E$643,F479/$F$643,A479=$E$644,F479/$F$644,A479=$E$645,F479/$F$645,A479=$E$646,F479/$F$646,A479=$E$647,F479/$F$647)</f>
        <v>3.8036869647196945E-3</v>
      </c>
      <c r="H479" cm="1">
        <f t="array" ref="H479">_xlfn.IFS(A479=$P$24,G479*$Q$24,A479=$P$25,G479*$Q$25,A479=$P$26,G479*$Q$26,A479=$P$27,G479*$Q$27,A479=$P$28,G479*$Q$28,A479=$P$29,G479*$Q$29,A479=$P$30,G479*$Q$30,A479=$P$31,G479*$Q$31)</f>
        <v>1481087.895734329</v>
      </c>
      <c r="I479">
        <f t="shared" si="16"/>
        <v>1481087.895734329</v>
      </c>
      <c r="J479" s="1">
        <f t="shared" si="17"/>
        <v>1587407.895734329</v>
      </c>
    </row>
    <row r="480" spans="1:10" x14ac:dyDescent="0.2">
      <c r="A480">
        <v>2021</v>
      </c>
      <c r="B480" t="s">
        <v>91</v>
      </c>
      <c r="C480" t="s">
        <v>1</v>
      </c>
      <c r="D480">
        <v>1303866</v>
      </c>
      <c r="F480">
        <f t="shared" ref="F480:F543" si="18">D480</f>
        <v>1303866</v>
      </c>
      <c r="G480" cm="1">
        <f t="array" ref="G480">_xlfn.IFS(A480=$E$640,F480/$F$640,A480=$E$641,F480/$F$641,A480=$E$641,F480/$F$641,A480=$E$642,F480/$F$642,A480=$E$643,F480/$F$643,A480=$E$644,F480/$F$644,A480=$E$645,F480/$F$645,A480=$E$646,F480/$F$646,A480=$E$647,F480/$F$647)</f>
        <v>4.6646897177776606E-2</v>
      </c>
      <c r="H480" cm="1">
        <f t="array" ref="H480">_xlfn.IFS(A480=$P$24,G480*$Q$24,A480=$P$25,G480*$Q$25,A480=$P$26,G480*$Q$26,A480=$P$27,G480*$Q$27,A480=$P$28,G480*$Q$28,A480=$P$29,G480*$Q$29,A480=$P$30,G480*$Q$30,A480=$P$31,G480*$Q$31)</f>
        <v>18163470.18679022</v>
      </c>
      <c r="I480">
        <f t="shared" si="16"/>
        <v>18163470.18679022</v>
      </c>
      <c r="J480" s="1">
        <f t="shared" si="17"/>
        <v>19467336.18679022</v>
      </c>
    </row>
    <row r="481" spans="1:10" x14ac:dyDescent="0.2">
      <c r="A481">
        <v>2021</v>
      </c>
      <c r="B481" t="s">
        <v>92</v>
      </c>
      <c r="C481" t="s">
        <v>2</v>
      </c>
      <c r="D481">
        <v>236486</v>
      </c>
      <c r="F481">
        <f t="shared" si="18"/>
        <v>236486</v>
      </c>
      <c r="G481" cm="1">
        <f t="array" ref="G481">_xlfn.IFS(A481=$E$640,F481/$F$640,A481=$E$641,F481/$F$641,A481=$E$641,F481/$F$641,A481=$E$642,F481/$F$642,A481=$E$643,F481/$F$643,A481=$E$644,F481/$F$644,A481=$E$645,F481/$F$645,A481=$E$646,F481/$F$646,A481=$E$647,F481/$F$647)</f>
        <v>8.4604845329072764E-3</v>
      </c>
      <c r="H481" cm="1">
        <f t="array" ref="H481">_xlfn.IFS(A481=$P$24,G481*$Q$24,A481=$P$25,G481*$Q$25,A481=$P$26,G481*$Q$26,A481=$P$27,G481*$Q$27,A481=$P$28,G481*$Q$28,A481=$P$29,G481*$Q$29,A481=$P$30,G481*$Q$30,A481=$P$31,G481*$Q$31)</f>
        <v>3294361.8520563254</v>
      </c>
      <c r="I481">
        <f t="shared" si="16"/>
        <v>3294361.8520563254</v>
      </c>
      <c r="J481" s="1">
        <f t="shared" si="17"/>
        <v>3530847.8520563254</v>
      </c>
    </row>
    <row r="482" spans="1:10" x14ac:dyDescent="0.2">
      <c r="A482">
        <v>2021</v>
      </c>
      <c r="B482" t="s">
        <v>93</v>
      </c>
      <c r="C482" t="s">
        <v>3</v>
      </c>
      <c r="D482">
        <v>100618</v>
      </c>
      <c r="F482">
        <f t="shared" si="18"/>
        <v>100618</v>
      </c>
      <c r="G482" cm="1">
        <f t="array" ref="G482">_xlfn.IFS(A482=$E$640,F482/$F$640,A482=$E$641,F482/$F$641,A482=$E$641,F482/$F$641,A482=$E$642,F482/$F$642,A482=$E$643,F482/$F$643,A482=$E$644,F482/$F$644,A482=$E$645,F482/$F$645,A482=$E$646,F482/$F$646,A482=$E$647,F482/$F$647)</f>
        <v>3.59969314349291E-3</v>
      </c>
      <c r="H482" cm="1">
        <f t="array" ref="H482">_xlfn.IFS(A482=$P$24,G482*$Q$24,A482=$P$25,G482*$Q$25,A482=$P$26,G482*$Q$26,A482=$P$27,G482*$Q$27,A482=$P$28,G482*$Q$28,A482=$P$29,G482*$Q$29,A482=$P$30,G482*$Q$30,A482=$P$31,G482*$Q$31)</f>
        <v>1401656.3383464701</v>
      </c>
      <c r="I482">
        <f t="shared" si="16"/>
        <v>1401656.3383464701</v>
      </c>
      <c r="J482" s="1">
        <f t="shared" si="17"/>
        <v>1502274.3383464701</v>
      </c>
    </row>
    <row r="483" spans="1:10" x14ac:dyDescent="0.2">
      <c r="A483">
        <v>2021</v>
      </c>
      <c r="B483" t="s">
        <v>94</v>
      </c>
      <c r="C483" t="s">
        <v>4</v>
      </c>
      <c r="D483">
        <v>290005</v>
      </c>
      <c r="F483">
        <f t="shared" si="18"/>
        <v>290005</v>
      </c>
      <c r="G483" cm="1">
        <f t="array" ref="G483">_xlfn.IFS(A483=$E$640,F483/$F$640,A483=$E$641,F483/$F$641,A483=$E$641,F483/$F$641,A483=$E$642,F483/$F$642,A483=$E$643,F483/$F$643,A483=$E$644,F483/$F$644,A483=$E$645,F483/$F$645,A483=$E$646,F483/$F$646,A483=$E$647,F483/$F$647)</f>
        <v>1.0375171540665303E-2</v>
      </c>
      <c r="H483" cm="1">
        <f t="array" ref="H483">_xlfn.IFS(A483=$P$24,G483*$Q$24,A483=$P$25,G483*$Q$25,A483=$P$26,G483*$Q$26,A483=$P$27,G483*$Q$27,A483=$P$28,G483*$Q$28,A483=$P$29,G483*$Q$29,A483=$P$30,G483*$Q$30,A483=$P$31,G483*$Q$31)</f>
        <v>4039906.8397520138</v>
      </c>
      <c r="I483">
        <f t="shared" si="16"/>
        <v>4039906.8397520138</v>
      </c>
      <c r="J483" s="1">
        <f t="shared" si="17"/>
        <v>4329911.8397520138</v>
      </c>
    </row>
    <row r="484" spans="1:10" x14ac:dyDescent="0.2">
      <c r="A484">
        <v>2021</v>
      </c>
      <c r="B484" t="s">
        <v>95</v>
      </c>
      <c r="C484" t="s">
        <v>5</v>
      </c>
      <c r="D484">
        <v>1072625</v>
      </c>
      <c r="F484">
        <f t="shared" si="18"/>
        <v>1072625</v>
      </c>
      <c r="G484" cm="1">
        <f t="array" ref="G484">_xlfn.IFS(A484=$E$640,F484/$F$640,A484=$E$641,F484/$F$641,A484=$E$641,F484/$F$641,A484=$E$642,F484/$F$642,A484=$E$643,F484/$F$643,A484=$E$644,F484/$F$644,A484=$E$645,F484/$F$645,A484=$E$646,F484/$F$646,A484=$E$647,F484/$F$647)</f>
        <v>3.8374056908695095E-2</v>
      </c>
      <c r="H484" cm="1">
        <f t="array" ref="H484">_xlfn.IFS(A484=$P$24,G484*$Q$24,A484=$P$25,G484*$Q$25,A484=$P$26,G484*$Q$26,A484=$P$27,G484*$Q$27,A484=$P$28,G484*$Q$28,A484=$P$29,G484*$Q$29,A484=$P$30,G484*$Q$30,A484=$P$31,G484*$Q$31)</f>
        <v>14942173.665933359</v>
      </c>
      <c r="I484">
        <f t="shared" si="16"/>
        <v>14942173.665933359</v>
      </c>
      <c r="J484" s="1">
        <f t="shared" si="17"/>
        <v>16014798.665933359</v>
      </c>
    </row>
    <row r="485" spans="1:10" x14ac:dyDescent="0.2">
      <c r="A485">
        <v>2021</v>
      </c>
      <c r="B485" t="s">
        <v>96</v>
      </c>
      <c r="C485" t="s">
        <v>6</v>
      </c>
      <c r="D485">
        <v>19698</v>
      </c>
      <c r="F485">
        <f t="shared" si="18"/>
        <v>19698</v>
      </c>
      <c r="G485" cm="1">
        <f t="array" ref="G485">_xlfn.IFS(A485=$E$640,F485/$F$640,A485=$E$641,F485/$F$641,A485=$E$641,F485/$F$641,A485=$E$642,F485/$F$642,A485=$E$643,F485/$F$643,A485=$E$644,F485/$F$644,A485=$E$645,F485/$F$645,A485=$E$646,F485/$F$646,A485=$E$647,F485/$F$647)</f>
        <v>7.0471243257193891E-4</v>
      </c>
      <c r="H485" cm="1">
        <f t="array" ref="H485">_xlfn.IFS(A485=$P$24,G485*$Q$24,A485=$P$25,G485*$Q$25,A485=$P$26,G485*$Q$26,A485=$P$27,G485*$Q$27,A485=$P$28,G485*$Q$28,A485=$P$29,G485*$Q$29,A485=$P$30,G485*$Q$30,A485=$P$31,G485*$Q$31)</f>
        <v>274402.45833497756</v>
      </c>
      <c r="I485">
        <f t="shared" si="16"/>
        <v>274402.45833497756</v>
      </c>
      <c r="J485" s="1">
        <f t="shared" si="17"/>
        <v>294100.45833497756</v>
      </c>
    </row>
    <row r="486" spans="1:10" x14ac:dyDescent="0.2">
      <c r="A486">
        <v>2021</v>
      </c>
      <c r="B486" t="s">
        <v>97</v>
      </c>
      <c r="C486" t="s">
        <v>7</v>
      </c>
      <c r="D486">
        <v>134848</v>
      </c>
      <c r="F486">
        <f t="shared" si="18"/>
        <v>134848</v>
      </c>
      <c r="G486" cm="1">
        <f t="array" ref="G486">_xlfn.IFS(A486=$E$640,F486/$F$640,A486=$E$641,F486/$F$641,A486=$E$641,F486/$F$641,A486=$E$642,F486/$F$642,A486=$E$643,F486/$F$643,A486=$E$644,F486/$F$644,A486=$E$645,F486/$F$645,A486=$E$646,F486/$F$646,A486=$E$647,F486/$F$647)</f>
        <v>4.8243000359153628E-3</v>
      </c>
      <c r="H486" cm="1">
        <f t="array" ref="H486">_xlfn.IFS(A486=$P$24,G486*$Q$24,A486=$P$25,G486*$Q$25,A486=$P$26,G486*$Q$26,A486=$P$27,G486*$Q$27,A486=$P$28,G486*$Q$28,A486=$P$29,G486*$Q$29,A486=$P$30,G486*$Q$30,A486=$P$31,G486*$Q$31)</f>
        <v>1878496.4311887021</v>
      </c>
      <c r="I486">
        <f t="shared" si="16"/>
        <v>1878496.4311887021</v>
      </c>
      <c r="J486" s="1">
        <f t="shared" si="17"/>
        <v>2013344.4311887021</v>
      </c>
    </row>
    <row r="487" spans="1:10" x14ac:dyDescent="0.2">
      <c r="A487">
        <v>2021</v>
      </c>
      <c r="B487" t="s">
        <v>98</v>
      </c>
      <c r="C487" t="s">
        <v>8</v>
      </c>
      <c r="D487">
        <v>332230</v>
      </c>
      <c r="F487">
        <f t="shared" si="18"/>
        <v>332230</v>
      </c>
      <c r="G487" cm="1">
        <f t="array" ref="G487">_xlfn.IFS(A487=$E$640,F487/$F$640,A487=$E$641,F487/$F$641,A487=$E$641,F487/$F$641,A487=$E$642,F487/$F$642,A487=$E$643,F487/$F$643,A487=$E$644,F487/$F$644,A487=$E$645,F487/$F$645,A487=$E$646,F487/$F$646,A487=$E$647,F487/$F$647)</f>
        <v>1.188580624801377E-2</v>
      </c>
      <c r="H487" cm="1">
        <f t="array" ref="H487">_xlfn.IFS(A487=$P$24,G487*$Q$24,A487=$P$25,G487*$Q$25,A487=$P$26,G487*$Q$26,A487=$P$27,G487*$Q$27,A487=$P$28,G487*$Q$28,A487=$P$29,G487*$Q$29,A487=$P$30,G487*$Q$30,A487=$P$31,G487*$Q$31)</f>
        <v>4628121.0647085784</v>
      </c>
      <c r="I487">
        <f t="shared" si="16"/>
        <v>4628121.0647085784</v>
      </c>
      <c r="J487" s="1">
        <f t="shared" si="17"/>
        <v>4960351.0647085784</v>
      </c>
    </row>
    <row r="488" spans="1:10" x14ac:dyDescent="0.2">
      <c r="A488">
        <v>2021</v>
      </c>
      <c r="B488" t="s">
        <v>99</v>
      </c>
      <c r="C488" t="s">
        <v>9</v>
      </c>
      <c r="D488">
        <v>515555</v>
      </c>
      <c r="F488">
        <f t="shared" si="18"/>
        <v>515555</v>
      </c>
      <c r="G488" cm="1">
        <f t="array" ref="G488">_xlfn.IFS(A488=$E$640,F488/$F$640,A488=$E$641,F488/$F$641,A488=$E$641,F488/$F$641,A488=$E$642,F488/$F$642,A488=$E$643,F488/$F$643,A488=$E$644,F488/$F$644,A488=$E$645,F488/$F$645,A488=$E$646,F488/$F$646,A488=$E$647,F488/$F$647)</f>
        <v>1.8444411522724437E-2</v>
      </c>
      <c r="H488" cm="1">
        <f t="array" ref="H488">_xlfn.IFS(A488=$P$24,G488*$Q$24,A488=$P$25,G488*$Q$25,A488=$P$26,G488*$Q$26,A488=$P$27,G488*$Q$27,A488=$P$28,G488*$Q$28,A488=$P$29,G488*$Q$29,A488=$P$30,G488*$Q$30,A488=$P$31,G488*$Q$31)</f>
        <v>7181925.03842468</v>
      </c>
      <c r="I488">
        <f t="shared" si="16"/>
        <v>7181925.03842468</v>
      </c>
      <c r="J488" s="1">
        <f t="shared" si="17"/>
        <v>7697480.03842468</v>
      </c>
    </row>
    <row r="489" spans="1:10" x14ac:dyDescent="0.2">
      <c r="A489">
        <v>2021</v>
      </c>
      <c r="B489" t="s">
        <v>100</v>
      </c>
      <c r="C489" t="s">
        <v>10</v>
      </c>
      <c r="D489">
        <v>31609</v>
      </c>
      <c r="F489">
        <f t="shared" si="18"/>
        <v>31609</v>
      </c>
      <c r="G489" cm="1">
        <f t="array" ref="G489">_xlfn.IFS(A489=$E$640,F489/$F$640,A489=$E$641,F489/$F$641,A489=$E$641,F489/$F$641,A489=$E$642,F489/$F$642,A489=$E$643,F489/$F$643,A489=$E$644,F489/$F$644,A489=$E$645,F489/$F$645,A489=$E$646,F489/$F$646,A489=$E$647,F489/$F$647)</f>
        <v>1.1308384242647181E-3</v>
      </c>
      <c r="H489" cm="1">
        <f t="array" ref="H489">_xlfn.IFS(A489=$P$24,G489*$Q$24,A489=$P$25,G489*$Q$25,A489=$P$26,G489*$Q$26,A489=$P$27,G489*$Q$27,A489=$P$28,G489*$Q$28,A489=$P$29,G489*$Q$29,A489=$P$30,G489*$Q$30,A489=$P$31,G489*$Q$31)</f>
        <v>440328.32295209187</v>
      </c>
      <c r="I489">
        <f t="shared" si="16"/>
        <v>440328.32295209187</v>
      </c>
      <c r="J489" s="1">
        <f t="shared" si="17"/>
        <v>471937.32295209187</v>
      </c>
    </row>
    <row r="490" spans="1:10" x14ac:dyDescent="0.2">
      <c r="A490">
        <v>2021</v>
      </c>
      <c r="B490" t="s">
        <v>101</v>
      </c>
      <c r="C490" t="s">
        <v>11</v>
      </c>
      <c r="D490">
        <v>36969</v>
      </c>
      <c r="F490">
        <f t="shared" si="18"/>
        <v>36969</v>
      </c>
      <c r="G490" cm="1">
        <f t="array" ref="G490">_xlfn.IFS(A490=$E$640,F490/$F$640,A490=$E$641,F490/$F$641,A490=$E$641,F490/$F$641,A490=$E$642,F490/$F$642,A490=$E$643,F490/$F$643,A490=$E$644,F490/$F$644,A490=$E$645,F490/$F$645,A490=$E$646,F490/$F$646,A490=$E$647,F490/$F$647)</f>
        <v>1.3225969093183067E-3</v>
      </c>
      <c r="H490" cm="1">
        <f t="array" ref="H490">_xlfn.IFS(A490=$P$24,G490*$Q$24,A490=$P$25,G490*$Q$25,A490=$P$26,G490*$Q$26,A490=$P$27,G490*$Q$27,A490=$P$28,G490*$Q$28,A490=$P$29,G490*$Q$29,A490=$P$30,G490*$Q$30,A490=$P$31,G490*$Q$31)</f>
        <v>514995.65855344624</v>
      </c>
      <c r="I490">
        <f t="shared" si="16"/>
        <v>514995.65855344624</v>
      </c>
      <c r="J490" s="1">
        <f t="shared" si="17"/>
        <v>551964.65855344618</v>
      </c>
    </row>
    <row r="491" spans="1:10" x14ac:dyDescent="0.2">
      <c r="A491">
        <v>2021</v>
      </c>
      <c r="B491" t="s">
        <v>102</v>
      </c>
      <c r="C491" t="s">
        <v>12</v>
      </c>
      <c r="D491">
        <v>408717</v>
      </c>
      <c r="F491">
        <f t="shared" si="18"/>
        <v>408717</v>
      </c>
      <c r="G491" cm="1">
        <f t="array" ref="G491">_xlfn.IFS(A491=$E$640,F491/$F$640,A491=$E$641,F491/$F$641,A491=$E$641,F491/$F$641,A491=$E$642,F491/$F$642,A491=$E$643,F491/$F$643,A491=$E$644,F491/$F$644,A491=$E$645,F491/$F$645,A491=$E$646,F491/$F$646,A491=$E$647,F491/$F$647)</f>
        <v>1.462219267456113E-2</v>
      </c>
      <c r="H491" cm="1">
        <f t="array" ref="H491">_xlfn.IFS(A491=$P$24,G491*$Q$24,A491=$P$25,G491*$Q$25,A491=$P$26,G491*$Q$26,A491=$P$27,G491*$Q$27,A491=$P$28,G491*$Q$28,A491=$P$29,G491*$Q$29,A491=$P$30,G491*$Q$30,A491=$P$31,G491*$Q$31)</f>
        <v>5693621.1576452944</v>
      </c>
      <c r="I491">
        <f t="shared" si="16"/>
        <v>5693621.1576452944</v>
      </c>
      <c r="J491" s="1">
        <f t="shared" si="17"/>
        <v>6102338.1576452944</v>
      </c>
    </row>
    <row r="492" spans="1:10" x14ac:dyDescent="0.2">
      <c r="A492">
        <v>2021</v>
      </c>
      <c r="B492" t="s">
        <v>103</v>
      </c>
      <c r="C492" t="s">
        <v>13</v>
      </c>
      <c r="D492">
        <v>193931</v>
      </c>
      <c r="F492">
        <f t="shared" si="18"/>
        <v>193931</v>
      </c>
      <c r="G492" cm="1">
        <f t="array" ref="G492">_xlfn.IFS(A492=$E$640,F492/$F$640,A492=$E$641,F492/$F$641,A492=$E$641,F492/$F$641,A492=$E$642,F492/$F$642,A492=$E$643,F492/$F$643,A492=$E$644,F492/$F$644,A492=$E$645,F492/$F$645,A492=$E$646,F492/$F$646,A492=$E$647,F492/$F$647)</f>
        <v>6.9380437994267779E-3</v>
      </c>
      <c r="H492" cm="1">
        <f t="array" ref="H492">_xlfn.IFS(A492=$P$24,G492*$Q$24,A492=$P$25,G492*$Q$25,A492=$P$26,G492*$Q$26,A492=$P$27,G492*$Q$27,A492=$P$28,G492*$Q$28,A492=$P$29,G492*$Q$29,A492=$P$30,G492*$Q$30,A492=$P$31,G492*$Q$31)</f>
        <v>2701550.5709899748</v>
      </c>
      <c r="I492">
        <f t="shared" si="16"/>
        <v>2701550.5709899748</v>
      </c>
      <c r="J492" s="1">
        <f t="shared" si="17"/>
        <v>2895481.5709899748</v>
      </c>
    </row>
    <row r="493" spans="1:10" x14ac:dyDescent="0.2">
      <c r="A493">
        <v>2021</v>
      </c>
      <c r="B493" t="s">
        <v>104</v>
      </c>
      <c r="C493" t="s">
        <v>14</v>
      </c>
      <c r="D493">
        <v>355347</v>
      </c>
      <c r="F493">
        <f t="shared" si="18"/>
        <v>355347</v>
      </c>
      <c r="G493" cm="1">
        <f t="array" ref="G493">_xlfn.IFS(A493=$E$640,F493/$F$640,A493=$E$641,F493/$F$641,A493=$E$641,F493/$F$641,A493=$E$642,F493/$F$642,A493=$E$643,F493/$F$643,A493=$E$644,F493/$F$644,A493=$E$645,F493/$F$645,A493=$E$646,F493/$F$646,A493=$E$647,F493/$F$647)</f>
        <v>1.27128362664809E-2</v>
      </c>
      <c r="H493" cm="1">
        <f t="array" ref="H493">_xlfn.IFS(A493=$P$24,G493*$Q$24,A493=$P$25,G493*$Q$25,A493=$P$26,G493*$Q$26,A493=$P$27,G493*$Q$27,A493=$P$28,G493*$Q$28,A493=$P$29,G493*$Q$29,A493=$P$30,G493*$Q$30,A493=$P$31,G493*$Q$31)</f>
        <v>4950151.81043554</v>
      </c>
      <c r="I493">
        <f t="shared" si="16"/>
        <v>4950151.81043554</v>
      </c>
      <c r="J493" s="1">
        <f t="shared" si="17"/>
        <v>5305498.81043554</v>
      </c>
    </row>
    <row r="494" spans="1:10" x14ac:dyDescent="0.2">
      <c r="A494">
        <v>2021</v>
      </c>
      <c r="B494" t="s">
        <v>105</v>
      </c>
      <c r="C494" t="s">
        <v>15</v>
      </c>
      <c r="D494">
        <v>115238</v>
      </c>
      <c r="F494">
        <f t="shared" si="18"/>
        <v>115238</v>
      </c>
      <c r="G494" cm="1">
        <f t="array" ref="G494">_xlfn.IFS(A494=$E$640,F494/$F$640,A494=$E$641,F494/$F$641,A494=$E$641,F494/$F$641,A494=$E$642,F494/$F$642,A494=$E$643,F494/$F$643,A494=$E$644,F494/$F$644,A494=$E$645,F494/$F$645,A494=$E$646,F494/$F$646,A494=$E$647,F494/$F$647)</f>
        <v>4.1227358769786318E-3</v>
      </c>
      <c r="H494" cm="1">
        <f t="array" ref="H494">_xlfn.IFS(A494=$P$24,G494*$Q$24,A494=$P$25,G494*$Q$25,A494=$P$26,G494*$Q$26,A494=$P$27,G494*$Q$27,A494=$P$28,G494*$Q$28,A494=$P$29,G494*$Q$29,A494=$P$30,G494*$Q$30,A494=$P$31,G494*$Q$31)</f>
        <v>1605319.8544830002</v>
      </c>
      <c r="I494">
        <f t="shared" si="16"/>
        <v>1605319.8544830002</v>
      </c>
      <c r="J494" s="1">
        <f t="shared" si="17"/>
        <v>1720557.8544830002</v>
      </c>
    </row>
    <row r="495" spans="1:10" x14ac:dyDescent="0.2">
      <c r="A495">
        <v>2021</v>
      </c>
      <c r="B495" t="s">
        <v>106</v>
      </c>
      <c r="C495" t="s">
        <v>16</v>
      </c>
      <c r="D495">
        <v>852169</v>
      </c>
      <c r="F495">
        <f t="shared" si="18"/>
        <v>852169</v>
      </c>
      <c r="G495" cm="1">
        <f t="array" ref="G495">_xlfn.IFS(A495=$E$640,F495/$F$640,A495=$E$641,F495/$F$641,A495=$E$641,F495/$F$641,A495=$E$642,F495/$F$642,A495=$E$643,F495/$F$643,A495=$E$644,F495/$F$644,A495=$E$645,F495/$F$645,A495=$E$646,F495/$F$646,A495=$E$647,F495/$F$647)</f>
        <v>3.0487059039110396E-2</v>
      </c>
      <c r="H495" cm="1">
        <f t="array" ref="H495">_xlfn.IFS(A495=$P$24,G495*$Q$24,A495=$P$25,G495*$Q$25,A495=$P$26,G495*$Q$26,A495=$P$27,G495*$Q$27,A495=$P$28,G495*$Q$28,A495=$P$29,G495*$Q$29,A495=$P$30,G495*$Q$30,A495=$P$31,G495*$Q$31)</f>
        <v>11871117.297028098</v>
      </c>
      <c r="I495">
        <f t="shared" si="16"/>
        <v>11871117.297028098</v>
      </c>
      <c r="J495" s="1">
        <f t="shared" si="17"/>
        <v>12723286.297028098</v>
      </c>
    </row>
    <row r="496" spans="1:10" x14ac:dyDescent="0.2">
      <c r="A496">
        <v>2021</v>
      </c>
      <c r="B496" t="s">
        <v>107</v>
      </c>
      <c r="C496" t="s">
        <v>17</v>
      </c>
      <c r="D496">
        <v>344755</v>
      </c>
      <c r="F496">
        <f t="shared" si="18"/>
        <v>344755</v>
      </c>
      <c r="G496" cm="1">
        <f t="array" ref="G496">_xlfn.IFS(A496=$E$640,F496/$F$640,A496=$E$641,F496/$F$641,A496=$E$641,F496/$F$641,A496=$E$642,F496/$F$642,A496=$E$643,F496/$F$643,A496=$E$644,F496/$F$644,A496=$E$645,F496/$F$645,A496=$E$646,F496/$F$646,A496=$E$647,F496/$F$647)</f>
        <v>1.2333898603479479E-2</v>
      </c>
      <c r="H496" cm="1">
        <f t="array" ref="H496">_xlfn.IFS(A496=$P$24,G496*$Q$24,A496=$P$25,G496*$Q$25,A496=$P$26,G496*$Q$26,A496=$P$27,G496*$Q$27,A496=$P$28,G496*$Q$28,A496=$P$29,G496*$Q$29,A496=$P$30,G496*$Q$30,A496=$P$31,G496*$Q$31)</f>
        <v>4802600.2397845052</v>
      </c>
      <c r="I496">
        <f t="shared" si="16"/>
        <v>4802600.2397845052</v>
      </c>
      <c r="J496" s="1">
        <f t="shared" si="17"/>
        <v>5147355.2397845052</v>
      </c>
    </row>
    <row r="497" spans="1:10" x14ac:dyDescent="0.2">
      <c r="A497">
        <v>2021</v>
      </c>
      <c r="B497" t="s">
        <v>108</v>
      </c>
      <c r="C497" t="s">
        <v>18</v>
      </c>
      <c r="D497">
        <v>822821</v>
      </c>
      <c r="F497">
        <f t="shared" si="18"/>
        <v>822821</v>
      </c>
      <c r="G497" cm="1">
        <f t="array" ref="G497">_xlfn.IFS(A497=$E$640,F497/$F$640,A497=$E$641,F497/$F$641,A497=$E$641,F497/$F$641,A497=$E$642,F497/$F$642,A497=$E$643,F497/$F$643,A497=$E$644,F497/$F$644,A497=$E$645,F497/$F$645,A497=$E$646,F497/$F$646,A497=$E$647,F497/$F$647)</f>
        <v>2.9437109781768469E-2</v>
      </c>
      <c r="H497" cm="1">
        <f t="array" ref="H497">_xlfn.IFS(A497=$P$24,G497*$Q$24,A497=$P$25,G497*$Q$25,A497=$P$26,G497*$Q$26,A497=$P$27,G497*$Q$27,A497=$P$28,G497*$Q$28,A497=$P$29,G497*$Q$29,A497=$P$30,G497*$Q$30,A497=$P$31,G497*$Q$31)</f>
        <v>11462285.773664562</v>
      </c>
      <c r="I497">
        <f t="shared" si="16"/>
        <v>11462285.773664562</v>
      </c>
      <c r="J497" s="1">
        <f t="shared" si="17"/>
        <v>12285106.773664562</v>
      </c>
    </row>
    <row r="498" spans="1:10" x14ac:dyDescent="0.2">
      <c r="A498">
        <v>2021</v>
      </c>
      <c r="B498" t="s">
        <v>109</v>
      </c>
      <c r="C498" t="s">
        <v>19</v>
      </c>
      <c r="D498">
        <v>2246965</v>
      </c>
      <c r="F498">
        <f t="shared" si="18"/>
        <v>2246965</v>
      </c>
      <c r="G498" cm="1">
        <f t="array" ref="G498">_xlfn.IFS(A498=$E$640,F498/$F$640,A498=$E$641,F498/$F$641,A498=$E$641,F498/$F$641,A498=$E$642,F498/$F$642,A498=$E$643,F498/$F$643,A498=$E$644,F498/$F$644,A498=$E$645,F498/$F$645,A498=$E$646,F498/$F$646,A498=$E$647,F498/$F$647)</f>
        <v>8.0387053053812899E-2</v>
      </c>
      <c r="H498" cm="1">
        <f t="array" ref="H498">_xlfn.IFS(A498=$P$24,G498*$Q$24,A498=$P$25,G498*$Q$25,A498=$P$26,G498*$Q$26,A498=$P$27,G498*$Q$27,A498=$P$28,G498*$Q$28,A498=$P$29,G498*$Q$29,A498=$P$30,G498*$Q$30,A498=$P$31,G498*$Q$31)</f>
        <v>31301285.399159953</v>
      </c>
      <c r="I498">
        <f t="shared" si="16"/>
        <v>31301285.399159953</v>
      </c>
      <c r="J498" s="1">
        <f t="shared" si="17"/>
        <v>33548250.399159953</v>
      </c>
    </row>
    <row r="499" spans="1:10" x14ac:dyDescent="0.2">
      <c r="A499">
        <v>2021</v>
      </c>
      <c r="B499" t="s">
        <v>110</v>
      </c>
      <c r="C499" t="s">
        <v>20</v>
      </c>
      <c r="D499">
        <v>187361</v>
      </c>
      <c r="F499">
        <f t="shared" si="18"/>
        <v>187361</v>
      </c>
      <c r="G499" cm="1">
        <f t="array" ref="G499">_xlfn.IFS(A499=$E$640,F499/$F$640,A499=$E$641,F499/$F$641,A499=$E$641,F499/$F$641,A499=$E$642,F499/$F$642,A499=$E$643,F499/$F$643,A499=$E$644,F499/$F$644,A499=$E$645,F499/$F$645,A499=$E$646,F499/$F$646,A499=$E$647,F499/$F$647)</f>
        <v>6.7029965518890771E-3</v>
      </c>
      <c r="H499" cm="1">
        <f t="array" ref="H499">_xlfn.IFS(A499=$P$24,G499*$Q$24,A499=$P$25,G499*$Q$25,A499=$P$26,G499*$Q$26,A499=$P$27,G499*$Q$27,A499=$P$28,G499*$Q$28,A499=$P$29,G499*$Q$29,A499=$P$30,G499*$Q$30,A499=$P$31,G499*$Q$31)</f>
        <v>2610027.3629860762</v>
      </c>
      <c r="I499">
        <f t="shared" si="16"/>
        <v>2610027.3629860762</v>
      </c>
      <c r="J499" s="1">
        <f t="shared" si="17"/>
        <v>2797388.3629860762</v>
      </c>
    </row>
    <row r="500" spans="1:10" x14ac:dyDescent="0.2">
      <c r="A500">
        <v>2021</v>
      </c>
      <c r="B500" t="s">
        <v>111</v>
      </c>
      <c r="C500" t="s">
        <v>21</v>
      </c>
      <c r="D500">
        <v>276353</v>
      </c>
      <c r="F500">
        <f t="shared" si="18"/>
        <v>276353</v>
      </c>
      <c r="G500" cm="1">
        <f t="array" ref="G500">_xlfn.IFS(A500=$E$640,F500/$F$640,A500=$E$641,F500/$F$641,A500=$E$641,F500/$F$641,A500=$E$642,F500/$F$642,A500=$E$643,F500/$F$643,A500=$E$644,F500/$F$644,A500=$E$645,F500/$F$645,A500=$E$646,F500/$F$646,A500=$E$647,F500/$F$647)</f>
        <v>9.8867598171668708E-3</v>
      </c>
      <c r="H500" cm="1">
        <f t="array" ref="H500">_xlfn.IFS(A500=$P$24,G500*$Q$24,A500=$P$25,G500*$Q$25,A500=$P$26,G500*$Q$26,A500=$P$27,G500*$Q$27,A500=$P$28,G500*$Q$28,A500=$P$29,G500*$Q$29,A500=$P$30,G500*$Q$30,A500=$P$31,G500*$Q$31)</f>
        <v>3849728.0215375191</v>
      </c>
      <c r="I500">
        <f t="shared" si="16"/>
        <v>3849728.0215375191</v>
      </c>
      <c r="J500" s="1">
        <f t="shared" si="17"/>
        <v>4126081.0215375191</v>
      </c>
    </row>
    <row r="501" spans="1:10" x14ac:dyDescent="0.2">
      <c r="A501">
        <v>2021</v>
      </c>
      <c r="B501" t="s">
        <v>112</v>
      </c>
      <c r="C501" t="s">
        <v>22</v>
      </c>
      <c r="D501">
        <v>412724</v>
      </c>
      <c r="F501">
        <f t="shared" si="18"/>
        <v>412724</v>
      </c>
      <c r="G501" cm="1">
        <f t="array" ref="G501">_xlfn.IFS(A501=$E$640,F501/$F$640,A501=$E$641,F501/$F$641,A501=$E$641,F501/$F$641,A501=$E$642,F501/$F$642,A501=$E$643,F501/$F$643,A501=$E$644,F501/$F$644,A501=$E$645,F501/$F$645,A501=$E$646,F501/$F$646,A501=$E$647,F501/$F$647)</f>
        <v>1.4765546452473393E-2</v>
      </c>
      <c r="H501" cm="1">
        <f t="array" ref="H501">_xlfn.IFS(A501=$P$24,G501*$Q$24,A501=$P$25,G501*$Q$25,A501=$P$26,G501*$Q$26,A501=$P$27,G501*$Q$27,A501=$P$28,G501*$Q$28,A501=$P$29,G501*$Q$29,A501=$P$30,G501*$Q$30,A501=$P$31,G501*$Q$31)</f>
        <v>5749440.5631965306</v>
      </c>
      <c r="I501">
        <f t="shared" si="16"/>
        <v>5749440.5631965306</v>
      </c>
      <c r="J501" s="1">
        <f t="shared" si="17"/>
        <v>6162164.5631965306</v>
      </c>
    </row>
    <row r="502" spans="1:10" x14ac:dyDescent="0.2">
      <c r="A502">
        <v>2021</v>
      </c>
      <c r="B502" t="s">
        <v>113</v>
      </c>
      <c r="C502" t="s">
        <v>23</v>
      </c>
      <c r="D502">
        <v>685831</v>
      </c>
      <c r="F502">
        <f t="shared" si="18"/>
        <v>685831</v>
      </c>
      <c r="G502" cm="1">
        <f t="array" ref="G502">_xlfn.IFS(A502=$E$640,F502/$F$640,A502=$E$641,F502/$F$641,A502=$E$641,F502/$F$641,A502=$E$642,F502/$F$642,A502=$E$643,F502/$F$643,A502=$E$644,F502/$F$644,A502=$E$645,F502/$F$645,A502=$E$646,F502/$F$646,A502=$E$647,F502/$F$647)</f>
        <v>2.4536177903505197E-2</v>
      </c>
      <c r="H502" cm="1">
        <f t="array" ref="H502">_xlfn.IFS(A502=$P$24,G502*$Q$24,A502=$P$25,G502*$Q$25,A502=$P$26,G502*$Q$26,A502=$P$27,G502*$Q$27,A502=$P$28,G502*$Q$28,A502=$P$29,G502*$Q$29,A502=$P$30,G502*$Q$30,A502=$P$31,G502*$Q$31)</f>
        <v>9553950.2691814378</v>
      </c>
      <c r="I502">
        <f t="shared" si="16"/>
        <v>9553950.2691814378</v>
      </c>
      <c r="J502" s="1">
        <f t="shared" si="17"/>
        <v>10239781.269181438</v>
      </c>
    </row>
    <row r="503" spans="1:10" x14ac:dyDescent="0.2">
      <c r="A503">
        <v>2021</v>
      </c>
      <c r="B503" t="s">
        <v>114</v>
      </c>
      <c r="C503" t="s">
        <v>24</v>
      </c>
      <c r="D503">
        <v>1064444</v>
      </c>
      <c r="F503">
        <f t="shared" si="18"/>
        <v>1064444</v>
      </c>
      <c r="G503" cm="1">
        <f t="array" ref="G503">_xlfn.IFS(A503=$E$640,F503/$F$640,A503=$E$641,F503/$F$641,A503=$E$641,F503/$F$641,A503=$E$642,F503/$F$642,A503=$E$643,F503/$F$643,A503=$E$644,F503/$F$644,A503=$E$645,F503/$F$645,A503=$E$646,F503/$F$646,A503=$E$647,F503/$F$647)</f>
        <v>3.808137478813102E-2</v>
      </c>
      <c r="H503" cm="1">
        <f t="array" ref="H503">_xlfn.IFS(A503=$P$24,G503*$Q$24,A503=$P$25,G503*$Q$25,A503=$P$26,G503*$Q$26,A503=$P$27,G503*$Q$27,A503=$P$28,G503*$Q$28,A503=$P$29,G503*$Q$29,A503=$P$30,G503*$Q$30,A503=$P$31,G503*$Q$31)</f>
        <v>14828208.465829872</v>
      </c>
      <c r="I503">
        <f t="shared" si="16"/>
        <v>14828208.465829872</v>
      </c>
      <c r="J503" s="1">
        <f t="shared" si="17"/>
        <v>15892652.465829872</v>
      </c>
    </row>
    <row r="504" spans="1:10" x14ac:dyDescent="0.2">
      <c r="A504">
        <v>2021</v>
      </c>
      <c r="B504" t="s">
        <v>115</v>
      </c>
      <c r="C504" t="s">
        <v>25</v>
      </c>
      <c r="D504">
        <v>309980</v>
      </c>
      <c r="F504">
        <f t="shared" si="18"/>
        <v>309980</v>
      </c>
      <c r="G504" cm="1">
        <f t="array" ref="G504">_xlfn.IFS(A504=$E$640,F504/$F$640,A504=$E$641,F504/$F$641,A504=$E$641,F504/$F$641,A504=$E$642,F504/$F$642,A504=$E$643,F504/$F$643,A504=$E$644,F504/$F$644,A504=$E$645,F504/$F$645,A504=$E$646,F504/$F$646,A504=$E$647,F504/$F$647)</f>
        <v>1.1089793880020795E-2</v>
      </c>
      <c r="H504" cm="1">
        <f t="array" ref="H504">_xlfn.IFS(A504=$P$24,G504*$Q$24,A504=$P$25,G504*$Q$25,A504=$P$26,G504*$Q$26,A504=$P$27,G504*$Q$27,A504=$P$28,G504*$Q$28,A504=$P$29,G504*$Q$29,A504=$P$30,G504*$Q$30,A504=$P$31,G504*$Q$31)</f>
        <v>4318168.0391245987</v>
      </c>
      <c r="I504">
        <f t="shared" si="16"/>
        <v>4318168.0391245987</v>
      </c>
      <c r="J504" s="1">
        <f t="shared" si="17"/>
        <v>4628148.0391245987</v>
      </c>
    </row>
    <row r="505" spans="1:10" x14ac:dyDescent="0.2">
      <c r="A505">
        <v>2021</v>
      </c>
      <c r="B505" t="s">
        <v>116</v>
      </c>
      <c r="C505" t="s">
        <v>30</v>
      </c>
      <c r="D505">
        <v>240482</v>
      </c>
      <c r="F505">
        <f t="shared" si="18"/>
        <v>240482</v>
      </c>
      <c r="G505" cm="1">
        <f t="array" ref="G505">_xlfn.IFS(A505=$E$640,F505/$F$640,A505=$E$641,F505/$F$641,A505=$E$641,F505/$F$641,A505=$E$642,F505/$F$642,A505=$E$643,F505/$F$643,A505=$E$644,F505/$F$644,A505=$E$645,F505/$F$645,A505=$E$646,F505/$F$646,A505=$E$647,F505/$F$647)</f>
        <v>8.6034447766151385E-3</v>
      </c>
      <c r="H505" cm="1">
        <f t="array" ref="H505">_xlfn.IFS(A505=$P$24,G505*$Q$24,A505=$P$25,G505*$Q$25,A505=$P$26,G505*$Q$26,A505=$P$27,G505*$Q$27,A505=$P$28,G505*$Q$28,A505=$P$29,G505*$Q$29,A505=$P$30,G505*$Q$30,A505=$P$31,G505*$Q$31)</f>
        <v>3350028.0224039024</v>
      </c>
      <c r="I505">
        <f t="shared" si="16"/>
        <v>3350028.0224039024</v>
      </c>
      <c r="J505" s="1">
        <f t="shared" si="17"/>
        <v>3590510.0224039024</v>
      </c>
    </row>
    <row r="506" spans="1:10" x14ac:dyDescent="0.2">
      <c r="A506">
        <v>2021</v>
      </c>
      <c r="B506" t="s">
        <v>117</v>
      </c>
      <c r="C506" t="s">
        <v>31</v>
      </c>
      <c r="D506">
        <v>823839</v>
      </c>
      <c r="F506">
        <f t="shared" si="18"/>
        <v>823839</v>
      </c>
      <c r="G506" cm="1">
        <f t="array" ref="G506">_xlfn.IFS(A506=$E$640,F506/$F$640,A506=$E$641,F506/$F$641,A506=$E$641,F506/$F$641,A506=$E$642,F506/$F$642,A506=$E$643,F506/$F$643,A506=$E$644,F506/$F$644,A506=$E$645,F506/$F$645,A506=$E$646,F506/$F$646,A506=$E$647,F506/$F$647)</f>
        <v>2.9473529583593946E-2</v>
      </c>
      <c r="H506" cm="1">
        <f t="array" ref="H506">_xlfn.IFS(A506=$P$24,G506*$Q$24,A506=$P$25,G506*$Q$25,A506=$P$26,G506*$Q$26,A506=$P$27,G506*$Q$27,A506=$P$28,G506*$Q$28,A506=$P$29,G506*$Q$29,A506=$P$30,G506*$Q$30,A506=$P$31,G506*$Q$31)</f>
        <v>11476466.995239595</v>
      </c>
      <c r="I506">
        <f t="shared" si="16"/>
        <v>11476466.995239595</v>
      </c>
      <c r="J506" s="1">
        <f t="shared" si="17"/>
        <v>12300305.995239595</v>
      </c>
    </row>
    <row r="507" spans="1:10" x14ac:dyDescent="0.2">
      <c r="A507">
        <v>2021</v>
      </c>
      <c r="B507" t="s">
        <v>118</v>
      </c>
      <c r="C507" t="s">
        <v>32</v>
      </c>
      <c r="D507">
        <v>353268</v>
      </c>
      <c r="F507">
        <f t="shared" si="18"/>
        <v>353268</v>
      </c>
      <c r="G507" cm="1">
        <f t="array" ref="G507">_xlfn.IFS(A507=$E$640,F507/$F$640,A507=$E$641,F507/$F$641,A507=$E$641,F507/$F$641,A507=$E$642,F507/$F$642,A507=$E$643,F507/$F$643,A507=$E$644,F507/$F$644,A507=$E$645,F507/$F$645,A507=$E$646,F507/$F$646,A507=$E$647,F507/$F$647)</f>
        <v>1.2638458301849106E-2</v>
      </c>
      <c r="H507" cm="1">
        <f t="array" ref="H507">_xlfn.IFS(A507=$P$24,G507*$Q$24,A507=$P$25,G507*$Q$25,A507=$P$26,G507*$Q$26,A507=$P$27,G507*$Q$27,A507=$P$28,G507*$Q$28,A507=$P$29,G507*$Q$29,A507=$P$30,G507*$Q$30,A507=$P$31,G507*$Q$31)</f>
        <v>4921190.3569438951</v>
      </c>
      <c r="I507">
        <f t="shared" si="16"/>
        <v>4921190.3569438951</v>
      </c>
      <c r="J507" s="1">
        <f t="shared" si="17"/>
        <v>5274458.3569438951</v>
      </c>
    </row>
    <row r="508" spans="1:10" x14ac:dyDescent="0.2">
      <c r="A508">
        <v>2021</v>
      </c>
      <c r="B508" t="s">
        <v>119</v>
      </c>
      <c r="C508" t="s">
        <v>33</v>
      </c>
      <c r="D508">
        <v>290657</v>
      </c>
      <c r="F508">
        <f t="shared" si="18"/>
        <v>290657</v>
      </c>
      <c r="G508" cm="1">
        <f t="array" ref="G508">_xlfn.IFS(A508=$E$640,F508/$F$640,A508=$E$641,F508/$F$641,A508=$E$641,F508/$F$641,A508=$E$642,F508/$F$642,A508=$E$643,F508/$F$643,A508=$E$644,F508/$F$644,A508=$E$645,F508/$F$645,A508=$E$646,F508/$F$646,A508=$E$647,F508/$F$647)</f>
        <v>1.0398497386235253E-2</v>
      </c>
      <c r="H508" cm="1">
        <f t="array" ref="H508">_xlfn.IFS(A508=$P$24,G508*$Q$24,A508=$P$25,G508*$Q$25,A508=$P$26,G508*$Q$26,A508=$P$27,G508*$Q$27,A508=$P$28,G508*$Q$28,A508=$P$29,G508*$Q$29,A508=$P$30,G508*$Q$30,A508=$P$31,G508*$Q$31)</f>
        <v>4048989.5081871031</v>
      </c>
      <c r="I508">
        <f t="shared" si="16"/>
        <v>4048989.5081871031</v>
      </c>
      <c r="J508" s="1">
        <f t="shared" si="17"/>
        <v>4339646.5081871031</v>
      </c>
    </row>
    <row r="509" spans="1:10" x14ac:dyDescent="0.2">
      <c r="A509">
        <v>2021</v>
      </c>
      <c r="B509" t="s">
        <v>120</v>
      </c>
      <c r="C509" t="s">
        <v>34</v>
      </c>
      <c r="D509">
        <v>1212217</v>
      </c>
      <c r="F509">
        <f t="shared" si="18"/>
        <v>1212217</v>
      </c>
      <c r="G509" cm="1">
        <f t="array" ref="G509">_xlfn.IFS(A509=$E$640,F509/$F$640,A509=$E$641,F509/$F$641,A509=$E$641,F509/$F$641,A509=$E$642,F509/$F$642,A509=$E$643,F509/$F$643,A509=$E$644,F509/$F$644,A509=$E$645,F509/$F$645,A509=$E$646,F509/$F$646,A509=$E$647,F509/$F$647)</f>
        <v>4.3368077514217583E-2</v>
      </c>
      <c r="H509" cm="1">
        <f t="array" ref="H509">_xlfn.IFS(A509=$P$24,G509*$Q$24,A509=$P$25,G509*$Q$25,A509=$P$26,G509*$Q$26,A509=$P$27,G509*$Q$27,A509=$P$28,G509*$Q$28,A509=$P$29,G509*$Q$29,A509=$P$30,G509*$Q$30,A509=$P$31,G509*$Q$31)</f>
        <v>16886756.261318482</v>
      </c>
      <c r="I509">
        <f t="shared" si="16"/>
        <v>16886756.261318482</v>
      </c>
      <c r="J509" s="1">
        <f t="shared" si="17"/>
        <v>18098973.261318482</v>
      </c>
    </row>
    <row r="510" spans="1:10" x14ac:dyDescent="0.2">
      <c r="A510">
        <v>2021</v>
      </c>
      <c r="B510" t="s">
        <v>121</v>
      </c>
      <c r="C510" t="s">
        <v>35</v>
      </c>
      <c r="D510">
        <v>141835</v>
      </c>
      <c r="F510">
        <f t="shared" si="18"/>
        <v>141835</v>
      </c>
      <c r="G510" cm="1">
        <f t="array" ref="G510">_xlfn.IFS(A510=$E$640,F510/$F$640,A510=$E$641,F510/$F$641,A510=$E$641,F510/$F$641,A510=$E$642,F510/$F$642,A510=$E$643,F510/$F$643,A510=$E$644,F510/$F$644,A510=$E$645,F510/$F$645,A510=$E$646,F510/$F$646,A510=$E$647,F510/$F$647)</f>
        <v>5.074265807383539E-3</v>
      </c>
      <c r="H510" cm="1">
        <f t="array" ref="H510">_xlfn.IFS(A510=$P$24,G510*$Q$24,A510=$P$25,G510*$Q$25,A510=$P$26,G510*$Q$26,A510=$P$27,G510*$Q$27,A510=$P$28,G510*$Q$28,A510=$P$29,G510*$Q$29,A510=$P$30,G510*$Q$30,A510=$P$31,G510*$Q$31)</f>
        <v>1975828.6464586018</v>
      </c>
      <c r="I510">
        <f t="shared" si="16"/>
        <v>1975828.6464586018</v>
      </c>
      <c r="J510" s="1">
        <f t="shared" si="17"/>
        <v>2117663.6464586016</v>
      </c>
    </row>
    <row r="511" spans="1:10" x14ac:dyDescent="0.2">
      <c r="A511">
        <v>2021</v>
      </c>
      <c r="B511" t="s">
        <v>122</v>
      </c>
      <c r="C511" t="s">
        <v>36</v>
      </c>
      <c r="D511">
        <v>138044</v>
      </c>
      <c r="F511">
        <f t="shared" si="18"/>
        <v>138044</v>
      </c>
      <c r="G511" cm="1">
        <f t="array" ref="G511">_xlfn.IFS(A511=$E$640,F511/$F$640,A511=$E$641,F511/$F$641,A511=$E$641,F511/$F$641,A511=$E$642,F511/$F$642,A511=$E$643,F511/$F$643,A511=$E$644,F511/$F$644,A511=$E$645,F511/$F$645,A511=$E$646,F511/$F$646,A511=$E$647,F511/$F$647)</f>
        <v>4.9386396102122409E-3</v>
      </c>
      <c r="H511" cm="1">
        <f t="array" ref="H511">_xlfn.IFS(A511=$P$24,G511*$Q$24,A511=$P$25,G511*$Q$25,A511=$P$26,G511*$Q$26,A511=$P$27,G511*$Q$27,A511=$P$28,G511*$Q$28,A511=$P$29,G511*$Q$29,A511=$P$30,G511*$Q$30,A511=$P$31,G511*$Q$31)</f>
        <v>1923018.2230883152</v>
      </c>
      <c r="I511">
        <f t="shared" si="16"/>
        <v>1923018.2230883152</v>
      </c>
      <c r="J511" s="1">
        <f t="shared" si="17"/>
        <v>2061062.2230883152</v>
      </c>
    </row>
    <row r="512" spans="1:10" x14ac:dyDescent="0.2">
      <c r="A512">
        <v>2021</v>
      </c>
      <c r="B512" t="s">
        <v>123</v>
      </c>
      <c r="C512" t="s">
        <v>37</v>
      </c>
      <c r="D512">
        <v>201994</v>
      </c>
      <c r="F512">
        <f t="shared" si="18"/>
        <v>201994</v>
      </c>
      <c r="G512" cm="1">
        <f t="array" ref="G512">_xlfn.IFS(A512=$E$640,F512/$F$640,A512=$E$641,F512/$F$641,A512=$E$641,F512/$F$641,A512=$E$642,F512/$F$642,A512=$E$643,F512/$F$643,A512=$E$644,F512/$F$644,A512=$E$645,F512/$F$645,A512=$E$646,F512/$F$646,A512=$E$647,F512/$F$647)</f>
        <v>7.2265043712527273E-3</v>
      </c>
      <c r="H512" cm="1">
        <f t="array" ref="H512">_xlfn.IFS(A512=$P$24,G512*$Q$24,A512=$P$25,G512*$Q$25,A512=$P$26,G512*$Q$26,A512=$P$27,G512*$Q$27,A512=$P$28,G512*$Q$28,A512=$P$29,G512*$Q$29,A512=$P$30,G512*$Q$30,A512=$P$31,G512*$Q$31)</f>
        <v>2813871.9752723859</v>
      </c>
      <c r="I512">
        <f t="shared" si="16"/>
        <v>2813871.9752723859</v>
      </c>
      <c r="J512" s="1">
        <f t="shared" si="17"/>
        <v>3015865.9752723859</v>
      </c>
    </row>
    <row r="513" spans="1:10" x14ac:dyDescent="0.2">
      <c r="A513">
        <v>2021</v>
      </c>
      <c r="B513" t="s">
        <v>124</v>
      </c>
      <c r="C513" t="s">
        <v>38</v>
      </c>
      <c r="D513">
        <v>669312</v>
      </c>
      <c r="F513">
        <f t="shared" si="18"/>
        <v>669312</v>
      </c>
      <c r="G513" cm="1">
        <f t="array" ref="G513">_xlfn.IFS(A513=$E$640,F513/$F$640,A513=$E$641,F513/$F$641,A513=$E$641,F513/$F$641,A513=$E$642,F513/$F$642,A513=$E$643,F513/$F$643,A513=$E$644,F513/$F$644,A513=$E$645,F513/$F$645,A513=$E$646,F513/$F$646,A513=$E$647,F513/$F$647)</f>
        <v>2.3945196856005154E-2</v>
      </c>
      <c r="H513" cm="1">
        <f t="array" ref="H513">_xlfn.IFS(A513=$P$24,G513*$Q$24,A513=$P$25,G513*$Q$25,A513=$P$26,G513*$Q$26,A513=$P$27,G513*$Q$27,A513=$P$28,G513*$Q$28,A513=$P$29,G513*$Q$29,A513=$P$30,G513*$Q$30,A513=$P$31,G513*$Q$31)</f>
        <v>9323832.7847040556</v>
      </c>
      <c r="I513">
        <f t="shared" si="16"/>
        <v>9323832.7847040556</v>
      </c>
      <c r="J513" s="1">
        <f t="shared" si="17"/>
        <v>9993144.7847040556</v>
      </c>
    </row>
    <row r="514" spans="1:10" x14ac:dyDescent="0.2">
      <c r="A514">
        <v>2021</v>
      </c>
      <c r="B514" t="s">
        <v>125</v>
      </c>
      <c r="C514" t="s">
        <v>39</v>
      </c>
      <c r="D514">
        <v>0</v>
      </c>
      <c r="F514">
        <f t="shared" si="18"/>
        <v>0</v>
      </c>
      <c r="G514" cm="1">
        <f t="array" ref="G514">_xlfn.IFS(A514=$E$640,F514/$F$640,A514=$E$641,F514/$F$641,A514=$E$641,F514/$F$641,A514=$E$642,F514/$F$642,A514=$E$643,F514/$F$643,A514=$E$644,F514/$F$644,A514=$E$645,F514/$F$645,A514=$E$646,F514/$F$646,A514=$E$647,F514/$F$647)</f>
        <v>0</v>
      </c>
      <c r="H514" cm="1">
        <f t="array" ref="H514">_xlfn.IFS(A514=$P$24,G514*$Q$24,A514=$P$25,G514*$Q$25,A514=$P$26,G514*$Q$26,A514=$P$27,G514*$Q$27,A514=$P$28,G514*$Q$28,A514=$P$29,G514*$Q$29,A514=$P$30,G514*$Q$30,A514=$P$31,G514*$Q$31)</f>
        <v>0</v>
      </c>
      <c r="I514">
        <f t="shared" si="16"/>
        <v>0</v>
      </c>
      <c r="J514" s="1">
        <f t="shared" si="17"/>
        <v>0</v>
      </c>
    </row>
    <row r="515" spans="1:10" x14ac:dyDescent="0.2">
      <c r="A515">
        <v>2021</v>
      </c>
      <c r="B515" t="s">
        <v>126</v>
      </c>
      <c r="C515" t="s">
        <v>40</v>
      </c>
      <c r="D515">
        <v>154715</v>
      </c>
      <c r="F515">
        <f t="shared" si="18"/>
        <v>154715</v>
      </c>
      <c r="G515" cm="1">
        <f t="array" ref="G515">_xlfn.IFS(A515=$E$640,F515/$F$640,A515=$E$641,F515/$F$641,A515=$E$641,F515/$F$641,A515=$E$642,F515/$F$642,A515=$E$643,F515/$F$643,A515=$E$644,F515/$F$644,A515=$E$645,F515/$F$645,A515=$E$646,F515/$F$646,A515=$E$647,F515/$F$647)</f>
        <v>5.5350585849003719E-3</v>
      </c>
      <c r="H515" cm="1">
        <f t="array" ref="H515">_xlfn.IFS(A515=$P$24,G515*$Q$24,A515=$P$25,G515*$Q$25,A515=$P$26,G515*$Q$26,A515=$P$27,G515*$Q$27,A515=$P$28,G515*$Q$28,A515=$P$29,G515*$Q$29,A515=$P$30,G515*$Q$30,A515=$P$31,G515*$Q$31)</f>
        <v>2155253.1394708119</v>
      </c>
      <c r="I515">
        <f t="shared" ref="I515:I578" si="19">SUM(H515,E515)</f>
        <v>2155253.1394708119</v>
      </c>
      <c r="J515" s="1">
        <f t="shared" ref="J515:J578" si="20">SUM(I515,D515)</f>
        <v>2309968.1394708119</v>
      </c>
    </row>
    <row r="516" spans="1:10" x14ac:dyDescent="0.2">
      <c r="A516">
        <v>2021</v>
      </c>
      <c r="B516" t="s">
        <v>127</v>
      </c>
      <c r="C516" t="s">
        <v>41</v>
      </c>
      <c r="D516">
        <v>56857</v>
      </c>
      <c r="F516">
        <f t="shared" si="18"/>
        <v>56857</v>
      </c>
      <c r="G516" cm="1">
        <f t="array" ref="G516">_xlfn.IFS(A516=$E$640,F516/$F$640,A516=$E$641,F516/$F$641,A516=$E$641,F516/$F$641,A516=$E$642,F516/$F$642,A516=$E$643,F516/$F$643,A516=$E$644,F516/$F$644,A516=$E$645,F516/$F$645,A516=$E$646,F516/$F$646,A516=$E$647,F516/$F$647)</f>
        <v>2.034106750875354E-3</v>
      </c>
      <c r="H516" cm="1">
        <f t="array" ref="H516">_xlfn.IFS(A516=$P$24,G516*$Q$24,A516=$P$25,G516*$Q$25,A516=$P$26,G516*$Q$26,A516=$P$27,G516*$Q$27,A516=$P$28,G516*$Q$28,A516=$P$29,G516*$Q$29,A516=$P$30,G516*$Q$30,A516=$P$31,G516*$Q$31)</f>
        <v>792044.90676981502</v>
      </c>
      <c r="I516">
        <f t="shared" si="19"/>
        <v>792044.90676981502</v>
      </c>
      <c r="J516" s="1">
        <f t="shared" si="20"/>
        <v>848901.90676981502</v>
      </c>
    </row>
    <row r="517" spans="1:10" x14ac:dyDescent="0.2">
      <c r="A517">
        <v>2021</v>
      </c>
      <c r="B517" t="s">
        <v>128</v>
      </c>
      <c r="C517" t="s">
        <v>42</v>
      </c>
      <c r="D517">
        <v>215993</v>
      </c>
      <c r="F517">
        <f t="shared" si="18"/>
        <v>215993</v>
      </c>
      <c r="G517" cm="1">
        <f t="array" ref="G517">_xlfn.IFS(A517=$E$640,F517/$F$640,A517=$E$641,F517/$F$641,A517=$E$641,F517/$F$641,A517=$E$642,F517/$F$642,A517=$E$643,F517/$F$643,A517=$E$644,F517/$F$644,A517=$E$645,F517/$F$645,A517=$E$646,F517/$F$646,A517=$E$647,F517/$F$647)</f>
        <v>7.7273303101081728E-3</v>
      </c>
      <c r="H517" cm="1">
        <f t="array" ref="H517">_xlfn.IFS(A517=$P$24,G517*$Q$24,A517=$P$25,G517*$Q$25,A517=$P$26,G517*$Q$26,A517=$P$27,G517*$Q$27,A517=$P$28,G517*$Q$28,A517=$P$29,G517*$Q$29,A517=$P$30,G517*$Q$30,A517=$P$31,G517*$Q$31)</f>
        <v>3008884.6676386842</v>
      </c>
      <c r="I517">
        <f t="shared" si="19"/>
        <v>3008884.6676386842</v>
      </c>
      <c r="J517" s="1">
        <f t="shared" si="20"/>
        <v>3224877.6676386842</v>
      </c>
    </row>
    <row r="518" spans="1:10" x14ac:dyDescent="0.2">
      <c r="A518">
        <v>2021</v>
      </c>
      <c r="B518" t="s">
        <v>129</v>
      </c>
      <c r="C518" t="s">
        <v>43</v>
      </c>
      <c r="D518">
        <v>960899</v>
      </c>
      <c r="F518">
        <f t="shared" si="18"/>
        <v>960899</v>
      </c>
      <c r="G518" cm="1">
        <f t="array" ref="G518">_xlfn.IFS(A518=$E$640,F518/$F$640,A518=$E$641,F518/$F$641,A518=$E$641,F518/$F$641,A518=$E$642,F518/$F$642,A518=$E$643,F518/$F$643,A518=$E$644,F518/$F$644,A518=$E$645,F518/$F$645,A518=$E$646,F518/$F$646,A518=$E$647,F518/$F$647)</f>
        <v>3.437696577043068E-2</v>
      </c>
      <c r="H518" cm="1">
        <f t="array" ref="H518">_xlfn.IFS(A518=$P$24,G518*$Q$24,A518=$P$25,G518*$Q$25,A518=$P$26,G518*$Q$26,A518=$P$27,G518*$Q$27,A518=$P$28,G518*$Q$28,A518=$P$29,G518*$Q$29,A518=$P$30,G518*$Q$30,A518=$P$31,G518*$Q$31)</f>
        <v>13385777.632836917</v>
      </c>
      <c r="I518">
        <f t="shared" si="19"/>
        <v>13385777.632836917</v>
      </c>
      <c r="J518" s="1">
        <f t="shared" si="20"/>
        <v>14346676.632836917</v>
      </c>
    </row>
    <row r="519" spans="1:10" x14ac:dyDescent="0.2">
      <c r="A519">
        <v>2021</v>
      </c>
      <c r="B519" t="s">
        <v>130</v>
      </c>
      <c r="C519" t="s">
        <v>44</v>
      </c>
      <c r="D519">
        <v>996888</v>
      </c>
      <c r="F519">
        <f t="shared" si="18"/>
        <v>996888</v>
      </c>
      <c r="G519" cm="1">
        <f t="array" ref="G519">_xlfn.IFS(A519=$E$640,F519/$F$640,A519=$E$641,F519/$F$641,A519=$E$641,F519/$F$641,A519=$E$642,F519/$F$642,A519=$E$643,F519/$F$643,A519=$E$644,F519/$F$644,A519=$E$645,F519/$F$645,A519=$E$646,F519/$F$646,A519=$E$647,F519/$F$647)</f>
        <v>3.5664502359720532E-2</v>
      </c>
      <c r="H519" cm="1">
        <f t="array" ref="H519">_xlfn.IFS(A519=$P$24,G519*$Q$24,A519=$P$25,G519*$Q$25,A519=$P$26,G519*$Q$26,A519=$P$27,G519*$Q$27,A519=$P$28,G519*$Q$28,A519=$P$29,G519*$Q$29,A519=$P$30,G519*$Q$30,A519=$P$31,G519*$Q$31)</f>
        <v>13887121.427791608</v>
      </c>
      <c r="I519">
        <f t="shared" si="19"/>
        <v>13887121.427791608</v>
      </c>
      <c r="J519" s="1">
        <f t="shared" si="20"/>
        <v>14884009.427791608</v>
      </c>
    </row>
    <row r="520" spans="1:10" x14ac:dyDescent="0.2">
      <c r="A520">
        <v>2021</v>
      </c>
      <c r="B520" t="s">
        <v>131</v>
      </c>
      <c r="C520" t="s">
        <v>45</v>
      </c>
      <c r="D520">
        <v>201611</v>
      </c>
      <c r="F520">
        <f t="shared" si="18"/>
        <v>201611</v>
      </c>
      <c r="G520" cm="1">
        <f t="array" ref="G520">_xlfn.IFS(A520=$E$640,F520/$F$640,A520=$E$641,F520/$F$641,A520=$E$641,F520/$F$641,A520=$E$642,F520/$F$642,A520=$E$643,F520/$F$643,A520=$E$644,F520/$F$644,A520=$E$645,F520/$F$645,A520=$E$646,F520/$F$646,A520=$E$647,F520/$F$647)</f>
        <v>7.2128022257722186E-3</v>
      </c>
      <c r="H520" cm="1">
        <f t="array" ref="H520">_xlfn.IFS(A520=$P$24,G520*$Q$24,A520=$P$25,G520*$Q$25,A520=$P$26,G520*$Q$26,A520=$P$27,G520*$Q$27,A520=$P$28,G520*$Q$28,A520=$P$29,G520*$Q$29,A520=$P$30,G520*$Q$30,A520=$P$31,G520*$Q$31)</f>
        <v>2808536.6040904229</v>
      </c>
      <c r="I520">
        <f t="shared" si="19"/>
        <v>2808536.6040904229</v>
      </c>
      <c r="J520" s="1">
        <f t="shared" si="20"/>
        <v>3010147.6040904229</v>
      </c>
    </row>
    <row r="521" spans="1:10" x14ac:dyDescent="0.2">
      <c r="A521">
        <v>2021</v>
      </c>
      <c r="B521" t="s">
        <v>132</v>
      </c>
      <c r="C521" t="s">
        <v>46</v>
      </c>
      <c r="D521">
        <v>113257</v>
      </c>
      <c r="F521">
        <f t="shared" si="18"/>
        <v>113257</v>
      </c>
      <c r="G521" cm="1">
        <f t="array" ref="G521">_xlfn.IFS(A521=$E$640,F521/$F$640,A521=$E$641,F521/$F$641,A521=$E$641,F521/$F$641,A521=$E$642,F521/$F$642,A521=$E$643,F521/$F$643,A521=$E$644,F521/$F$644,A521=$E$645,F521/$F$645,A521=$E$646,F521/$F$646,A521=$E$647,F521/$F$647)</f>
        <v>4.0518639443496846E-3</v>
      </c>
      <c r="H521" cm="1">
        <f t="array" ref="H521">_xlfn.IFS(A521=$P$24,G521*$Q$24,A521=$P$25,G521*$Q$25,A521=$P$26,G521*$Q$26,A521=$P$27,G521*$Q$27,A521=$P$28,G521*$Q$28,A521=$P$29,G521*$Q$29,A521=$P$30,G521*$Q$30,A521=$P$31,G521*$Q$31)</f>
        <v>1577723.5873512311</v>
      </c>
      <c r="I521">
        <f t="shared" si="19"/>
        <v>1577723.5873512311</v>
      </c>
      <c r="J521" s="1">
        <f t="shared" si="20"/>
        <v>1690980.5873512311</v>
      </c>
    </row>
    <row r="522" spans="1:10" x14ac:dyDescent="0.2">
      <c r="A522">
        <v>2021</v>
      </c>
      <c r="B522" t="s">
        <v>133</v>
      </c>
      <c r="C522" t="s">
        <v>47</v>
      </c>
      <c r="D522">
        <v>170422</v>
      </c>
      <c r="F522">
        <f t="shared" si="18"/>
        <v>170422</v>
      </c>
      <c r="G522" cm="1">
        <f t="array" ref="G522">_xlfn.IFS(A522=$E$640,F522/$F$640,A522=$E$641,F522/$F$641,A522=$E$641,F522/$F$641,A522=$E$642,F522/$F$642,A522=$E$643,F522/$F$643,A522=$E$644,F522/$F$644,A522=$E$645,F522/$F$645,A522=$E$646,F522/$F$646,A522=$E$647,F522/$F$647)</f>
        <v>6.0969896529482672E-3</v>
      </c>
      <c r="H522" cm="1">
        <f t="array" ref="H522">_xlfn.IFS(A522=$P$24,G522*$Q$24,A522=$P$25,G522*$Q$25,A522=$P$26,G522*$Q$26,A522=$P$27,G522*$Q$27,A522=$P$28,G522*$Q$28,A522=$P$29,G522*$Q$29,A522=$P$30,G522*$Q$30,A522=$P$31,G522*$Q$31)</f>
        <v>2374059.0798235121</v>
      </c>
      <c r="I522">
        <f t="shared" si="19"/>
        <v>2374059.0798235121</v>
      </c>
      <c r="J522" s="1">
        <f t="shared" si="20"/>
        <v>2544481.0798235121</v>
      </c>
    </row>
    <row r="523" spans="1:10" x14ac:dyDescent="0.2">
      <c r="A523">
        <v>2021</v>
      </c>
      <c r="B523" t="s">
        <v>134</v>
      </c>
      <c r="C523" t="s">
        <v>48</v>
      </c>
      <c r="D523">
        <v>64368</v>
      </c>
      <c r="F523">
        <f t="shared" si="18"/>
        <v>64368</v>
      </c>
      <c r="G523" cm="1">
        <f t="array" ref="G523">_xlfn.IFS(A523=$E$640,F523/$F$640,A523=$E$641,F523/$F$641,A523=$E$641,F523/$F$641,A523=$E$642,F523/$F$642,A523=$E$643,F523/$F$643,A523=$E$644,F523/$F$644,A523=$E$645,F523/$F$645,A523=$E$646,F523/$F$646,A523=$E$647,F523/$F$647)</f>
        <v>2.3028190608077245E-3</v>
      </c>
      <c r="H523" cm="1">
        <f t="array" ref="H523">_xlfn.IFS(A523=$P$24,G523*$Q$24,A523=$P$25,G523*$Q$25,A523=$P$26,G523*$Q$26,A523=$P$27,G523*$Q$27,A523=$P$28,G523*$Q$28,A523=$P$29,G523*$Q$29,A523=$P$30,G523*$Q$30,A523=$P$31,G523*$Q$31)</f>
        <v>896676.68992313091</v>
      </c>
      <c r="I523">
        <f t="shared" si="19"/>
        <v>896676.68992313091</v>
      </c>
      <c r="J523" s="1">
        <f t="shared" si="20"/>
        <v>961044.68992313091</v>
      </c>
    </row>
    <row r="524" spans="1:10" x14ac:dyDescent="0.2">
      <c r="A524">
        <v>2021</v>
      </c>
      <c r="B524" t="s">
        <v>135</v>
      </c>
      <c r="C524" t="s">
        <v>49</v>
      </c>
      <c r="D524">
        <v>94052</v>
      </c>
      <c r="F524">
        <f t="shared" si="18"/>
        <v>94052</v>
      </c>
      <c r="G524" cm="1">
        <f t="array" ref="G524">_xlfn.IFS(A524=$E$640,F524/$F$640,A524=$E$641,F524/$F$641,A524=$E$641,F524/$F$641,A524=$E$642,F524/$F$642,A524=$E$643,F524/$F$643,A524=$E$644,F524/$F$644,A524=$E$645,F524/$F$645,A524=$E$646,F524/$F$646,A524=$E$647,F524/$F$647)</f>
        <v>3.3647889993022638E-3</v>
      </c>
      <c r="H524" cm="1">
        <f t="array" ref="H524">_xlfn.IFS(A524=$P$24,G524*$Q$24,A524=$P$25,G524*$Q$25,A524=$P$26,G524*$Q$26,A524=$P$27,G524*$Q$27,A524=$P$28,G524*$Q$28,A524=$P$29,G524*$Q$29,A524=$P$30,G524*$Q$30,A524=$P$31,G524*$Q$31)</f>
        <v>1310188.8522348111</v>
      </c>
      <c r="I524">
        <f t="shared" si="19"/>
        <v>1310188.8522348111</v>
      </c>
      <c r="J524" s="1">
        <f t="shared" si="20"/>
        <v>1404240.8522348111</v>
      </c>
    </row>
    <row r="525" spans="1:10" x14ac:dyDescent="0.2">
      <c r="A525">
        <v>2021</v>
      </c>
      <c r="B525" t="s">
        <v>136</v>
      </c>
      <c r="C525" t="s">
        <v>50</v>
      </c>
      <c r="D525">
        <v>6798</v>
      </c>
      <c r="F525">
        <f t="shared" si="18"/>
        <v>6798</v>
      </c>
      <c r="G525" cm="1">
        <f t="array" ref="G525">_xlfn.IFS(A525=$E$640,F525/$F$640,A525=$E$641,F525/$F$641,A525=$E$641,F525/$F$641,A525=$E$642,F525/$F$642,A525=$E$643,F525/$F$643,A525=$E$644,F525/$F$644,A525=$E$645,F525/$F$645,A525=$E$646,F525/$F$646,A525=$E$647,F525/$F$647)</f>
        <v>2.4320413831983148E-4</v>
      </c>
      <c r="H525" cm="1">
        <f t="array" ref="H525">_xlfn.IFS(A525=$P$24,G525*$Q$24,A525=$P$25,G525*$Q$25,A525=$P$26,G525*$Q$26,A525=$P$27,G525*$Q$27,A525=$P$28,G525*$Q$28,A525=$P$29,G525*$Q$29,A525=$P$30,G525*$Q$30,A525=$P$31,G525*$Q$31)</f>
        <v>94699.355861568547</v>
      </c>
      <c r="I525">
        <f t="shared" si="19"/>
        <v>94699.355861568547</v>
      </c>
      <c r="J525" s="1">
        <f t="shared" si="20"/>
        <v>101497.35586156855</v>
      </c>
    </row>
    <row r="526" spans="1:10" x14ac:dyDescent="0.2">
      <c r="A526">
        <v>2021</v>
      </c>
      <c r="B526" t="s">
        <v>137</v>
      </c>
      <c r="C526" t="s">
        <v>51</v>
      </c>
      <c r="D526">
        <v>217530</v>
      </c>
      <c r="F526">
        <f t="shared" si="18"/>
        <v>217530</v>
      </c>
      <c r="G526" cm="1">
        <f t="array" ref="G526">_xlfn.IFS(A526=$E$640,F526/$F$640,A526=$E$641,F526/$F$641,A526=$E$641,F526/$F$641,A526=$E$642,F526/$F$642,A526=$E$643,F526/$F$643,A526=$E$644,F526/$F$644,A526=$E$645,F526/$F$645,A526=$E$646,F526/$F$646,A526=$E$647,F526/$F$647)</f>
        <v>7.7823177712140245E-3</v>
      </c>
      <c r="H526" cm="1">
        <f t="array" ref="H526">_xlfn.IFS(A526=$P$24,G526*$Q$24,A526=$P$25,G526*$Q$25,A526=$P$26,G526*$Q$26,A526=$P$27,G526*$Q$27,A526=$P$28,G526*$Q$28,A526=$P$29,G526*$Q$29,A526=$P$30,G526*$Q$30,A526=$P$31,G526*$Q$31)</f>
        <v>3030295.8047318337</v>
      </c>
      <c r="I526">
        <f t="shared" si="19"/>
        <v>3030295.8047318337</v>
      </c>
      <c r="J526" s="1">
        <f t="shared" si="20"/>
        <v>3247825.8047318337</v>
      </c>
    </row>
    <row r="527" spans="1:10" x14ac:dyDescent="0.2">
      <c r="A527">
        <v>2021</v>
      </c>
      <c r="B527" t="s">
        <v>138</v>
      </c>
      <c r="C527" t="s">
        <v>52</v>
      </c>
      <c r="D527">
        <v>203242</v>
      </c>
      <c r="F527">
        <f t="shared" si="18"/>
        <v>203242</v>
      </c>
      <c r="G527" cm="1">
        <f t="array" ref="G527">_xlfn.IFS(A527=$E$640,F527/$F$640,A527=$E$641,F527/$F$641,A527=$E$641,F527/$F$641,A527=$E$642,F527/$F$642,A527=$E$643,F527/$F$643,A527=$E$644,F527/$F$644,A527=$E$645,F527/$F$645,A527=$E$646,F527/$F$646,A527=$E$647,F527/$F$647)</f>
        <v>7.2711526155338612E-3</v>
      </c>
      <c r="H527" cm="1">
        <f t="array" ref="H527">_xlfn.IFS(A527=$P$24,G527*$Q$24,A527=$P$25,G527*$Q$25,A527=$P$26,G527*$Q$26,A527=$P$27,G527*$Q$27,A527=$P$28,G527*$Q$28,A527=$P$29,G527*$Q$29,A527=$P$30,G527*$Q$30,A527=$P$31,G527*$Q$31)</f>
        <v>2831257.2056512083</v>
      </c>
      <c r="I527">
        <f t="shared" si="19"/>
        <v>2831257.2056512083</v>
      </c>
      <c r="J527" s="1">
        <f t="shared" si="20"/>
        <v>3034499.2056512083</v>
      </c>
    </row>
    <row r="528" spans="1:10" x14ac:dyDescent="0.2">
      <c r="A528">
        <v>2021</v>
      </c>
      <c r="B528" t="s">
        <v>139</v>
      </c>
      <c r="C528" t="s">
        <v>53</v>
      </c>
      <c r="D528">
        <v>563247</v>
      </c>
      <c r="F528">
        <f t="shared" si="18"/>
        <v>563247</v>
      </c>
      <c r="G528" cm="1">
        <f t="array" ref="G528">_xlfn.IFS(A528=$E$640,F528/$F$640,A528=$E$641,F528/$F$641,A528=$E$641,F528/$F$641,A528=$E$642,F528/$F$642,A528=$E$643,F528/$F$643,A528=$E$644,F528/$F$644,A528=$E$645,F528/$F$645,A528=$E$646,F528/$F$646,A528=$E$647,F528/$F$647)</f>
        <v>2.0150632729660212E-2</v>
      </c>
      <c r="H528" cm="1">
        <f t="array" ref="H528">_xlfn.IFS(A528=$P$24,G528*$Q$24,A528=$P$25,G528*$Q$25,A528=$P$26,G528*$Q$26,A528=$P$27,G528*$Q$27,A528=$P$28,G528*$Q$28,A528=$P$29,G528*$Q$29,A528=$P$30,G528*$Q$30,A528=$P$31,G528*$Q$31)</f>
        <v>7846297.1596000148</v>
      </c>
      <c r="I528">
        <f t="shared" si="19"/>
        <v>7846297.1596000148</v>
      </c>
      <c r="J528" s="1">
        <f t="shared" si="20"/>
        <v>8409544.1596000157</v>
      </c>
    </row>
    <row r="529" spans="1:10" x14ac:dyDescent="0.2">
      <c r="A529">
        <v>2021</v>
      </c>
      <c r="B529" t="s">
        <v>140</v>
      </c>
      <c r="C529" t="s">
        <v>54</v>
      </c>
      <c r="D529">
        <v>38654</v>
      </c>
      <c r="F529">
        <f t="shared" si="18"/>
        <v>38654</v>
      </c>
      <c r="G529" cm="1">
        <f t="array" ref="G529">_xlfn.IFS(A529=$E$640,F529/$F$640,A529=$E$641,F529/$F$641,A529=$E$641,F529/$F$641,A529=$E$642,F529/$F$642,A529=$E$643,F529/$F$643,A529=$E$644,F529/$F$644,A529=$E$645,F529/$F$645,A529=$E$646,F529/$F$646,A529=$E$647,F529/$F$647)</f>
        <v>1.3828791942651906E-3</v>
      </c>
      <c r="H529" cm="1">
        <f t="array" ref="H529">_xlfn.IFS(A529=$P$24,G529*$Q$24,A529=$P$25,G529*$Q$25,A529=$P$26,G529*$Q$26,A529=$P$27,G529*$Q$27,A529=$P$28,G529*$Q$28,A529=$P$29,G529*$Q$29,A529=$P$30,G529*$Q$30,A529=$P$31,G529*$Q$31)</f>
        <v>538468.50565946905</v>
      </c>
      <c r="I529">
        <f t="shared" si="19"/>
        <v>538468.50565946905</v>
      </c>
      <c r="J529" s="1">
        <f t="shared" si="20"/>
        <v>577122.50565946905</v>
      </c>
    </row>
    <row r="530" spans="1:10" x14ac:dyDescent="0.2">
      <c r="A530">
        <v>2021</v>
      </c>
      <c r="B530" t="s">
        <v>141</v>
      </c>
      <c r="C530" t="s">
        <v>55</v>
      </c>
      <c r="D530">
        <v>774627</v>
      </c>
      <c r="F530">
        <f t="shared" si="18"/>
        <v>774627</v>
      </c>
      <c r="G530" cm="1">
        <f t="array" ref="G530">_xlfn.IFS(A530=$E$640,F530/$F$640,A530=$E$641,F530/$F$641,A530=$E$641,F530/$F$641,A530=$E$642,F530/$F$642,A530=$E$643,F530/$F$643,A530=$E$644,F530/$F$644,A530=$E$645,F530/$F$645,A530=$E$646,F530/$F$646,A530=$E$647,F530/$F$647)</f>
        <v>2.7712929104777302E-2</v>
      </c>
      <c r="H530" cm="1">
        <f t="array" ref="H530">_xlfn.IFS(A530=$P$24,G530*$Q$24,A530=$P$25,G530*$Q$25,A530=$P$26,G530*$Q$26,A530=$P$27,G530*$Q$27,A530=$P$28,G530*$Q$28,A530=$P$29,G530*$Q$29,A530=$P$30,G530*$Q$30,A530=$P$31,G530*$Q$31)</f>
        <v>10790920.555013131</v>
      </c>
      <c r="I530">
        <f t="shared" si="19"/>
        <v>10790920.555013131</v>
      </c>
      <c r="J530" s="1">
        <f t="shared" si="20"/>
        <v>11565547.555013131</v>
      </c>
    </row>
    <row r="531" spans="1:10" x14ac:dyDescent="0.2">
      <c r="A531">
        <v>2021</v>
      </c>
      <c r="B531" t="s">
        <v>142</v>
      </c>
      <c r="C531" t="s">
        <v>56</v>
      </c>
      <c r="D531">
        <v>50224</v>
      </c>
      <c r="F531">
        <f t="shared" si="18"/>
        <v>50224</v>
      </c>
      <c r="G531" cm="1">
        <f t="array" ref="G531">_xlfn.IFS(A531=$E$640,F531/$F$640,A531=$E$641,F531/$F$641,A531=$E$641,F531/$F$641,A531=$E$642,F531/$F$642,A531=$E$643,F531/$F$643,A531=$E$644,F531/$F$644,A531=$E$645,F531/$F$645,A531=$E$646,F531/$F$646,A531=$E$647,F531/$F$647)</f>
        <v>1.7968056256215381E-3</v>
      </c>
      <c r="H531" cm="1">
        <f t="array" ref="H531">_xlfn.IFS(A531=$P$24,G531*$Q$24,A531=$P$25,G531*$Q$25,A531=$P$26,G531*$Q$26,A531=$P$27,G531*$Q$27,A531=$P$28,G531*$Q$28,A531=$P$29,G531*$Q$29,A531=$P$30,G531*$Q$30,A531=$P$31,G531*$Q$31)</f>
        <v>699644.07896313898</v>
      </c>
      <c r="I531">
        <f t="shared" si="19"/>
        <v>699644.07896313898</v>
      </c>
      <c r="J531" s="1">
        <f t="shared" si="20"/>
        <v>749868.07896313898</v>
      </c>
    </row>
    <row r="532" spans="1:10" x14ac:dyDescent="0.2">
      <c r="A532">
        <v>2021</v>
      </c>
      <c r="B532" t="s">
        <v>143</v>
      </c>
      <c r="C532" t="s">
        <v>57</v>
      </c>
      <c r="D532">
        <v>1021148</v>
      </c>
      <c r="F532">
        <f t="shared" si="18"/>
        <v>1021148</v>
      </c>
      <c r="G532" cm="1">
        <f t="array" ref="G532">_xlfn.IFS(A532=$E$640,F532/$F$640,A532=$E$641,F532/$F$641,A532=$E$641,F532/$F$641,A532=$E$642,F532/$F$642,A532=$E$643,F532/$F$643,A532=$E$644,F532/$F$644,A532=$E$645,F532/$F$645,A532=$E$646,F532/$F$646,A532=$E$647,F532/$F$647)</f>
        <v>3.6532424159608598E-2</v>
      </c>
      <c r="H532" cm="1">
        <f t="array" ref="H532">_xlfn.IFS(A532=$P$24,G532*$Q$24,A532=$P$25,G532*$Q$25,A532=$P$26,G532*$Q$26,A532=$P$27,G532*$Q$27,A532=$P$28,G532*$Q$28,A532=$P$29,G532*$Q$29,A532=$P$30,G532*$Q$30,A532=$P$31,G532*$Q$31)</f>
        <v>14225074.704226095</v>
      </c>
      <c r="I532">
        <f t="shared" si="19"/>
        <v>14225074.704226095</v>
      </c>
      <c r="J532" s="1">
        <f t="shared" si="20"/>
        <v>15246222.704226095</v>
      </c>
    </row>
    <row r="533" spans="1:10" x14ac:dyDescent="0.2">
      <c r="A533">
        <v>2021</v>
      </c>
      <c r="B533" t="s">
        <v>144</v>
      </c>
      <c r="C533" t="s">
        <v>58</v>
      </c>
      <c r="D533">
        <v>255609</v>
      </c>
      <c r="F533">
        <f t="shared" si="18"/>
        <v>255609</v>
      </c>
      <c r="G533" cm="1">
        <f t="array" ref="G533">_xlfn.IFS(A533=$E$640,F533/$F$640,A533=$E$641,F533/$F$641,A533=$E$641,F533/$F$641,A533=$E$642,F533/$F$642,A533=$E$643,F533/$F$643,A533=$E$644,F533/$F$644,A533=$E$645,F533/$F$645,A533=$E$646,F533/$F$646,A533=$E$647,F533/$F$647)</f>
        <v>9.1446258593400713E-3</v>
      </c>
      <c r="H533" cm="1">
        <f t="array" ref="H533">_xlfn.IFS(A533=$P$24,G533*$Q$24,A533=$P$25,G533*$Q$25,A533=$P$26,G533*$Q$26,A533=$P$27,G533*$Q$27,A533=$P$28,G533*$Q$28,A533=$P$29,G533*$Q$29,A533=$P$30,G533*$Q$30,A533=$P$31,G533*$Q$31)</f>
        <v>3560754.2883818294</v>
      </c>
      <c r="I533">
        <f t="shared" si="19"/>
        <v>3560754.2883818294</v>
      </c>
      <c r="J533" s="1">
        <f t="shared" si="20"/>
        <v>3816363.2883818294</v>
      </c>
    </row>
    <row r="534" spans="1:10" x14ac:dyDescent="0.2">
      <c r="A534">
        <v>2021</v>
      </c>
      <c r="B534" t="s">
        <v>146</v>
      </c>
      <c r="C534" t="s">
        <v>60</v>
      </c>
      <c r="D534">
        <v>9506</v>
      </c>
      <c r="F534">
        <f t="shared" si="18"/>
        <v>9506</v>
      </c>
      <c r="G534" cm="1">
        <f t="array" ref="G534">_xlfn.IFS(A534=$E$640,F534/$F$640,A534=$E$641,F534/$F$641,A534=$E$641,F534/$F$641,A534=$E$642,F534/$F$642,A534=$E$643,F534/$F$643,A534=$E$644,F534/$F$644,A534=$E$645,F534/$F$645,A534=$E$646,F534/$F$646,A534=$E$647,F534/$F$647)</f>
        <v>3.4008510427601031E-4</v>
      </c>
      <c r="H534" cm="1">
        <f t="array" ref="H534">_xlfn.IFS(A534=$P$24,G534*$Q$24,A534=$P$25,G534*$Q$25,A534=$P$26,G534*$Q$26,A534=$P$27,G534*$Q$27,A534=$P$28,G534*$Q$28,A534=$P$29,G534*$Q$29,A534=$P$30,G534*$Q$30,A534=$P$31,G534*$Q$31)</f>
        <v>132423.07690792449</v>
      </c>
      <c r="I534">
        <f t="shared" si="19"/>
        <v>132423.07690792449</v>
      </c>
      <c r="J534" s="1">
        <f t="shared" si="20"/>
        <v>141929.07690792449</v>
      </c>
    </row>
    <row r="535" spans="1:10" x14ac:dyDescent="0.2">
      <c r="A535">
        <v>2021</v>
      </c>
      <c r="B535" t="s">
        <v>150</v>
      </c>
      <c r="C535" t="s">
        <v>64</v>
      </c>
      <c r="D535">
        <v>12247</v>
      </c>
      <c r="F535">
        <f t="shared" si="18"/>
        <v>12247</v>
      </c>
      <c r="G535" cm="1">
        <f t="array" ref="G535">_xlfn.IFS(A535=$E$640,F535/$F$640,A535=$E$641,F535/$F$641,A535=$E$641,F535/$F$641,A535=$E$642,F535/$F$642,A535=$E$643,F535/$F$643,A535=$E$644,F535/$F$644,A535=$E$645,F535/$F$645,A535=$E$646,F535/$F$646,A535=$E$647,F535/$F$647)</f>
        <v>4.3814667284539218E-4</v>
      </c>
      <c r="H535" cm="1">
        <f t="array" ref="H535">_xlfn.IFS(A535=$P$24,G535*$Q$24,A535=$P$25,G535*$Q$25,A535=$P$26,G535*$Q$26,A535=$P$27,G535*$Q$27,A535=$P$28,G535*$Q$28,A535=$P$29,G535*$Q$29,A535=$P$30,G535*$Q$30,A535=$P$31,G535*$Q$31)</f>
        <v>170606.5035652589</v>
      </c>
      <c r="I535">
        <f t="shared" si="19"/>
        <v>170606.5035652589</v>
      </c>
      <c r="J535" s="1">
        <f t="shared" si="20"/>
        <v>182853.5035652589</v>
      </c>
    </row>
    <row r="536" spans="1:10" x14ac:dyDescent="0.2">
      <c r="A536">
        <v>2021</v>
      </c>
      <c r="B536" t="s">
        <v>151</v>
      </c>
      <c r="C536" t="s">
        <v>65</v>
      </c>
      <c r="D536">
        <v>253278</v>
      </c>
      <c r="F536">
        <f t="shared" si="18"/>
        <v>253278</v>
      </c>
      <c r="G536" cm="1">
        <f t="array" ref="G536">_xlfn.IFS(A536=$E$640,F536/$F$640,A536=$E$641,F536/$F$641,A536=$E$641,F536/$F$641,A536=$E$642,F536/$F$642,A536=$E$643,F536/$F$643,A536=$E$644,F536/$F$644,A536=$E$645,F536/$F$645,A536=$E$646,F536/$F$646,A536=$E$647,F536/$F$647)</f>
        <v>9.0612323838438185E-3</v>
      </c>
      <c r="H536" cm="1">
        <f t="array" ref="H536">_xlfn.IFS(A536=$P$24,G536*$Q$24,A536=$P$25,G536*$Q$25,A536=$P$26,G536*$Q$26,A536=$P$27,G536*$Q$27,A536=$P$28,G536*$Q$28,A536=$P$29,G536*$Q$29,A536=$P$30,G536*$Q$30,A536=$P$31,G536*$Q$31)</f>
        <v>3528282.3556790762</v>
      </c>
      <c r="I536">
        <f t="shared" si="19"/>
        <v>3528282.3556790762</v>
      </c>
      <c r="J536" s="1">
        <f t="shared" si="20"/>
        <v>3781560.3556790762</v>
      </c>
    </row>
    <row r="537" spans="1:10" x14ac:dyDescent="0.2">
      <c r="A537">
        <v>2021</v>
      </c>
      <c r="B537" t="s">
        <v>161</v>
      </c>
      <c r="C537" t="s">
        <v>70</v>
      </c>
      <c r="D537">
        <v>451429</v>
      </c>
      <c r="F537">
        <f t="shared" si="18"/>
        <v>451429</v>
      </c>
      <c r="G537" cm="1">
        <f t="array" ref="G537">_xlfn.IFS(A537=$E$640,F537/$F$640,A537=$E$641,F537/$F$641,A537=$E$641,F537/$F$641,A537=$E$642,F537/$F$642,A537=$E$643,F537/$F$643,A537=$E$644,F537/$F$644,A537=$E$645,F537/$F$645,A537=$E$646,F537/$F$646,A537=$E$647,F537/$F$647)</f>
        <v>1.6150250214413533E-2</v>
      </c>
      <c r="H537" cm="1">
        <f t="array" ref="H537">_xlfn.IFS(A537=$P$24,G537*$Q$24,A537=$P$25,G537*$Q$25,A537=$P$26,G537*$Q$26,A537=$P$27,G537*$Q$27,A537=$P$28,G537*$Q$28,A537=$P$29,G537*$Q$29,A537=$P$30,G537*$Q$30,A537=$P$31,G537*$Q$31)</f>
        <v>6288619.5229820572</v>
      </c>
      <c r="I537">
        <f t="shared" si="19"/>
        <v>6288619.5229820572</v>
      </c>
      <c r="J537" s="1">
        <f t="shared" si="20"/>
        <v>6740048.5229820572</v>
      </c>
    </row>
    <row r="538" spans="1:10" x14ac:dyDescent="0.2">
      <c r="A538">
        <v>2021</v>
      </c>
      <c r="B538" t="s">
        <v>168</v>
      </c>
      <c r="C538" t="s">
        <v>78</v>
      </c>
      <c r="D538">
        <v>11256</v>
      </c>
      <c r="F538">
        <f t="shared" si="18"/>
        <v>11256</v>
      </c>
      <c r="G538" cm="1">
        <f t="array" ref="G538">_xlfn.IFS(A538=$E$640,F538/$F$640,A538=$E$641,F538/$F$641,A538=$E$641,F538/$F$641,A538=$E$642,F538/$F$642,A538=$E$643,F538/$F$643,A538=$E$644,F538/$F$644,A538=$E$645,F538/$F$645,A538=$E$646,F538/$F$646,A538=$E$647,F538/$F$647)</f>
        <v>4.0269281861253649E-4</v>
      </c>
      <c r="H538" cm="1">
        <f t="array" ref="H538">_xlfn.IFS(A538=$P$24,G538*$Q$24,A538=$P$25,G538*$Q$25,A538=$P$26,G538*$Q$26,A538=$P$27,G538*$Q$27,A538=$P$28,G538*$Q$28,A538=$P$29,G538*$Q$29,A538=$P$30,G538*$Q$30,A538=$P$31,G538*$Q$31)</f>
        <v>156801.40476284429</v>
      </c>
      <c r="I538">
        <f t="shared" si="19"/>
        <v>156801.40476284429</v>
      </c>
      <c r="J538" s="1">
        <f t="shared" si="20"/>
        <v>168057.40476284429</v>
      </c>
    </row>
    <row r="539" spans="1:10" x14ac:dyDescent="0.2">
      <c r="A539">
        <v>2021</v>
      </c>
      <c r="B539" t="s">
        <v>169</v>
      </c>
      <c r="C539" t="s">
        <v>80</v>
      </c>
      <c r="D539">
        <v>2339997</v>
      </c>
      <c r="F539">
        <f t="shared" si="18"/>
        <v>2339997</v>
      </c>
      <c r="G539" cm="1">
        <f t="array" ref="G539">_xlfn.IFS(A539=$E$640,F539/$F$640,A539=$E$641,F539/$F$641,A539=$E$641,F539/$F$641,A539=$E$642,F539/$F$642,A539=$E$643,F539/$F$643,A539=$E$644,F539/$F$644,A539=$E$645,F539/$F$645,A539=$E$646,F539/$F$646,A539=$E$647,F539/$F$647)</f>
        <v>8.3715350699616164E-2</v>
      </c>
      <c r="H539" cm="1">
        <f t="array" ref="H539">_xlfn.IFS(A539=$P$24,G539*$Q$24,A539=$P$25,G539*$Q$25,A539=$P$26,G539*$Q$26,A539=$P$27,G539*$Q$27,A539=$P$28,G539*$Q$28,A539=$P$29,G539*$Q$29,A539=$P$30,G539*$Q$30,A539=$P$31,G539*$Q$31)</f>
        <v>32597265.168873612</v>
      </c>
      <c r="I539">
        <f t="shared" si="19"/>
        <v>32597265.168873612</v>
      </c>
      <c r="J539" s="1">
        <f t="shared" si="20"/>
        <v>34937262.168873608</v>
      </c>
    </row>
    <row r="540" spans="1:10" x14ac:dyDescent="0.2">
      <c r="A540">
        <v>2021</v>
      </c>
      <c r="B540" t="s">
        <v>159</v>
      </c>
      <c r="C540" t="s">
        <v>68</v>
      </c>
      <c r="D540">
        <v>542291</v>
      </c>
      <c r="F540">
        <f t="shared" si="18"/>
        <v>542291</v>
      </c>
      <c r="G540" cm="1">
        <f t="array" ref="G540">_xlfn.IFS(A540=$E$640,F540/$F$640,A540=$E$641,F540/$F$641,A540=$E$641,F540/$F$641,A540=$E$642,F540/$F$642,A540=$E$643,F540/$F$643,A540=$E$644,F540/$F$644,A540=$E$645,F540/$F$645,A540=$E$646,F540/$F$646,A540=$E$647,F540/$F$647)</f>
        <v>1.9400914294439502E-2</v>
      </c>
      <c r="H540" cm="1">
        <f t="array" ref="H540">_xlfn.IFS(A540=$P$24,G540*$Q$24,A540=$P$25,G540*$Q$25,A540=$P$26,G540*$Q$26,A540=$P$27,G540*$Q$27,A540=$P$28,G540*$Q$28,A540=$P$29,G540*$Q$29,A540=$P$30,G540*$Q$30,A540=$P$31,G540*$Q$31)</f>
        <v>7554370.1661556149</v>
      </c>
      <c r="I540">
        <f t="shared" si="19"/>
        <v>7554370.1661556149</v>
      </c>
      <c r="J540" s="1">
        <f t="shared" si="20"/>
        <v>8096661.1661556149</v>
      </c>
    </row>
    <row r="541" spans="1:10" x14ac:dyDescent="0.2">
      <c r="A541">
        <v>2021</v>
      </c>
      <c r="B541" t="s">
        <v>173</v>
      </c>
      <c r="C541" t="s">
        <v>172</v>
      </c>
      <c r="D541">
        <v>61095</v>
      </c>
      <c r="F541">
        <f t="shared" si="18"/>
        <v>61095</v>
      </c>
      <c r="G541" cm="1">
        <f t="array" ref="G541">_xlfn.IFS(A541=$E$640,F541/$F$640,A541=$E$641,F541/$F$641,A541=$E$641,F541/$F$641,A541=$E$642,F541/$F$642,A541=$E$643,F541/$F$643,A541=$E$644,F541/$F$644,A541=$E$645,F541/$F$645,A541=$E$646,F541/$F$646,A541=$E$647,F541/$F$647)</f>
        <v>2.1857247470800389E-3</v>
      </c>
      <c r="H541" cm="1">
        <f t="array" ref="H541">_xlfn.IFS(A541=$P$24,G541*$Q$24,A541=$P$25,G541*$Q$25,A541=$P$26,G541*$Q$26,A541=$P$27,G541*$Q$27,A541=$P$28,G541*$Q$28,A541=$P$29,G541*$Q$29,A541=$P$30,G541*$Q$30,A541=$P$31,G541*$Q$31)</f>
        <v>851082.25159790099</v>
      </c>
      <c r="I541">
        <f t="shared" si="19"/>
        <v>851082.25159790099</v>
      </c>
      <c r="J541" s="1">
        <f t="shared" si="20"/>
        <v>912177.25159790099</v>
      </c>
    </row>
    <row r="542" spans="1:10" x14ac:dyDescent="0.2">
      <c r="A542">
        <v>2021</v>
      </c>
      <c r="B542" t="s">
        <v>171</v>
      </c>
      <c r="C542" t="s">
        <v>82</v>
      </c>
      <c r="D542">
        <v>43414</v>
      </c>
      <c r="F542">
        <f t="shared" si="18"/>
        <v>43414</v>
      </c>
      <c r="G542" cm="1">
        <f t="array" ref="G542">_xlfn.IFS(A542=$E$640,F542/$F$640,A542=$E$641,F542/$F$641,A542=$E$641,F542/$F$641,A542=$E$642,F542/$F$642,A542=$E$643,F542/$F$643,A542=$E$644,F542/$F$644,A542=$E$645,F542/$F$645,A542=$E$646,F542/$F$646,A542=$E$647,F542/$F$647)</f>
        <v>1.5531721772605418E-3</v>
      </c>
      <c r="H542" cm="1">
        <f t="array" ref="H542">_xlfn.IFS(A542=$P$24,G542*$Q$24,A542=$P$25,G542*$Q$25,A542=$P$26,G542*$Q$26,A542=$P$27,G542*$Q$27,A542=$P$28,G542*$Q$28,A542=$P$29,G542*$Q$29,A542=$P$30,G542*$Q$30,A542=$P$31,G542*$Q$31)</f>
        <v>604777.55742485099</v>
      </c>
      <c r="I542">
        <f t="shared" si="19"/>
        <v>604777.55742485099</v>
      </c>
      <c r="J542" s="1">
        <f t="shared" si="20"/>
        <v>648191.55742485099</v>
      </c>
    </row>
    <row r="543" spans="1:10" x14ac:dyDescent="0.2">
      <c r="A543">
        <v>2021</v>
      </c>
      <c r="B543" t="s">
        <v>167</v>
      </c>
      <c r="C543" t="s">
        <v>77</v>
      </c>
      <c r="D543">
        <v>9711</v>
      </c>
      <c r="F543">
        <f t="shared" si="18"/>
        <v>9711</v>
      </c>
      <c r="G543" cm="1">
        <f t="array" ref="G543">_xlfn.IFS(A543=$E$640,F543/$F$640,A543=$E$641,F543/$F$641,A543=$E$641,F543/$F$641,A543=$E$642,F543/$F$642,A543=$E$643,F543/$F$643,A543=$E$644,F543/$F$644,A543=$E$645,F543/$F$645,A543=$E$646,F543/$F$646,A543=$E$647,F543/$F$647)</f>
        <v>3.4741915081257479E-4</v>
      </c>
      <c r="H543" cm="1">
        <f t="array" ref="H543">_xlfn.IFS(A543=$P$24,G543*$Q$24,A543=$P$25,G543*$Q$25,A543=$P$26,G543*$Q$26,A543=$P$27,G543*$Q$27,A543=$P$28,G543*$Q$28,A543=$P$29,G543*$Q$29,A543=$P$30,G543*$Q$30,A543=$P$31,G543*$Q$31)</f>
        <v>135278.8238852151</v>
      </c>
      <c r="I543">
        <f t="shared" si="19"/>
        <v>135278.8238852151</v>
      </c>
      <c r="J543" s="1">
        <f t="shared" si="20"/>
        <v>144989.8238852151</v>
      </c>
    </row>
    <row r="544" spans="1:10" x14ac:dyDescent="0.2">
      <c r="A544">
        <v>2021</v>
      </c>
      <c r="B544" t="s">
        <v>166</v>
      </c>
      <c r="C544" t="s">
        <v>75</v>
      </c>
      <c r="D544">
        <v>25928</v>
      </c>
      <c r="F544">
        <f t="shared" ref="F544:F559" si="21">D544</f>
        <v>25928</v>
      </c>
      <c r="G544" cm="1">
        <f t="array" ref="G544">_xlfn.IFS(A544=$E$640,F544/$F$640,A544=$E$641,F544/$F$641,A544=$E$641,F544/$F$641,A544=$E$642,F544/$F$642,A544=$E$643,F544/$F$643,A544=$E$644,F544/$F$644,A544=$E$645,F544/$F$645,A544=$E$646,F544/$F$646,A544=$E$647,F544/$F$647)</f>
        <v>9.2759589560997206E-4</v>
      </c>
      <c r="H544" cm="1">
        <f t="array" ref="H544">_xlfn.IFS(A544=$P$24,G544*$Q$24,A544=$P$25,G544*$Q$25,A544=$P$26,G544*$Q$26,A544=$P$27,G544*$Q$27,A544=$P$28,G544*$Q$28,A544=$P$29,G544*$Q$29,A544=$P$30,G544*$Q$30,A544=$P$31,G544*$Q$31)</f>
        <v>361189.30549849209</v>
      </c>
      <c r="I544">
        <f t="shared" si="19"/>
        <v>361189.30549849209</v>
      </c>
      <c r="J544" s="1">
        <f t="shared" si="20"/>
        <v>387117.30549849209</v>
      </c>
    </row>
    <row r="545" spans="1:10" x14ac:dyDescent="0.2">
      <c r="A545">
        <v>2021</v>
      </c>
      <c r="B545" t="s">
        <v>165</v>
      </c>
      <c r="C545" t="s">
        <v>74</v>
      </c>
      <c r="D545">
        <v>10227</v>
      </c>
      <c r="F545">
        <f t="shared" si="21"/>
        <v>10227</v>
      </c>
      <c r="G545" cm="1">
        <f t="array" ref="G545">_xlfn.IFS(A545=$E$640,F545/$F$640,A545=$E$641,F545/$F$641,A545=$E$641,F545/$F$641,A545=$E$642,F545/$F$642,A545=$E$643,F545/$F$643,A545=$E$644,F545/$F$644,A545=$E$645,F545/$F$645,A545=$E$646,F545/$F$646,A545=$E$647,F545/$F$647)</f>
        <v>3.6587948258265911E-4</v>
      </c>
      <c r="H545" cm="1">
        <f t="array" ref="H545">_xlfn.IFS(A545=$P$24,G545*$Q$24,A545=$P$25,G545*$Q$25,A545=$P$26,G545*$Q$26,A545=$P$27,G545*$Q$27,A545=$P$28,G545*$Q$28,A545=$P$29,G545*$Q$29,A545=$P$30,G545*$Q$30,A545=$P$31,G545*$Q$31)</f>
        <v>142466.94798415145</v>
      </c>
      <c r="I545">
        <f t="shared" si="19"/>
        <v>142466.94798415145</v>
      </c>
      <c r="J545" s="1">
        <f t="shared" si="20"/>
        <v>152693.94798415145</v>
      </c>
    </row>
    <row r="546" spans="1:10" x14ac:dyDescent="0.2">
      <c r="A546">
        <v>2021</v>
      </c>
      <c r="B546" t="s">
        <v>145</v>
      </c>
      <c r="C546" t="s">
        <v>59</v>
      </c>
      <c r="D546">
        <v>33826</v>
      </c>
      <c r="F546">
        <f t="shared" si="21"/>
        <v>33826</v>
      </c>
      <c r="G546" cm="1">
        <f t="array" ref="G546">_xlfn.IFS(A546=$E$640,F546/$F$640,A546=$E$641,F546/$F$641,A546=$E$641,F546/$F$641,A546=$E$642,F546/$F$642,A546=$E$643,F546/$F$643,A546=$E$644,F546/$F$644,A546=$E$645,F546/$F$645,A546=$E$646,F546/$F$646,A546=$E$647,F546/$F$647)</f>
        <v>1.2101534543699057E-3</v>
      </c>
      <c r="H546" cm="1">
        <f t="array" ref="H546">_xlfn.IFS(A546=$P$24,G546*$Q$24,A546=$P$25,G546*$Q$25,A546=$P$26,G546*$Q$26,A546=$P$27,G546*$Q$27,A546=$P$28,G546*$Q$28,A546=$P$29,G546*$Q$29,A546=$P$30,G546*$Q$30,A546=$P$31,G546*$Q$31)</f>
        <v>471212.18172601023</v>
      </c>
      <c r="I546">
        <f t="shared" si="19"/>
        <v>471212.18172601023</v>
      </c>
      <c r="J546" s="1">
        <f t="shared" si="20"/>
        <v>505038.18172601023</v>
      </c>
    </row>
    <row r="547" spans="1:10" x14ac:dyDescent="0.2">
      <c r="A547">
        <v>2021</v>
      </c>
      <c r="B547" t="s">
        <v>147</v>
      </c>
      <c r="C547" t="s">
        <v>61</v>
      </c>
      <c r="D547">
        <v>27979</v>
      </c>
      <c r="F547">
        <f t="shared" si="21"/>
        <v>27979</v>
      </c>
      <c r="G547" cm="1">
        <f t="array" ref="G547">_xlfn.IFS(A547=$E$640,F547/$F$640,A547=$E$641,F547/$F$641,A547=$E$641,F547/$F$641,A547=$E$642,F547/$F$642,A547=$E$643,F547/$F$643,A547=$E$644,F547/$F$644,A547=$E$645,F547/$F$645,A547=$E$646,F547/$F$646,A547=$E$647,F547/$F$647)</f>
        <v>1.0009721368123808E-3</v>
      </c>
      <c r="H547" cm="1">
        <f t="array" ref="H547">_xlfn.IFS(A547=$P$24,G547*$Q$24,A547=$P$25,G547*$Q$25,A547=$P$26,G547*$Q$26,A547=$P$27,G547*$Q$27,A547=$P$28,G547*$Q$28,A547=$P$29,G547*$Q$29,A547=$P$30,G547*$Q$30,A547=$P$31,G547*$Q$31)</f>
        <v>389760.70574445813</v>
      </c>
      <c r="I547">
        <f t="shared" si="19"/>
        <v>389760.70574445813</v>
      </c>
      <c r="J547" s="1">
        <f t="shared" si="20"/>
        <v>417739.70574445813</v>
      </c>
    </row>
    <row r="548" spans="1:10" x14ac:dyDescent="0.2">
      <c r="A548">
        <v>2021</v>
      </c>
      <c r="B548" t="s">
        <v>148</v>
      </c>
      <c r="C548" t="s">
        <v>62</v>
      </c>
      <c r="D548">
        <v>36247</v>
      </c>
      <c r="F548">
        <f t="shared" si="21"/>
        <v>36247</v>
      </c>
      <c r="G548" cm="1">
        <f t="array" ref="G548">_xlfn.IFS(A548=$E$640,F548/$F$640,A548=$E$641,F548/$F$641,A548=$E$641,F548/$F$641,A548=$E$642,F548/$F$642,A548=$E$643,F548/$F$643,A548=$E$644,F548/$F$644,A548=$E$645,F548/$F$645,A548=$E$646,F548/$F$646,A548=$E$647,F548/$F$647)</f>
        <v>1.2967667551748944E-3</v>
      </c>
      <c r="H548" cm="1">
        <f t="array" ref="H548">_xlfn.IFS(A548=$P$24,G548*$Q$24,A548=$P$25,G548*$Q$25,A548=$P$26,G548*$Q$26,A548=$P$27,G548*$Q$27,A548=$P$28,G548*$Q$28,A548=$P$29,G548*$Q$29,A548=$P$30,G548*$Q$30,A548=$P$31,G548*$Q$31)</f>
        <v>504937.85700415936</v>
      </c>
      <c r="I548">
        <f t="shared" si="19"/>
        <v>504937.85700415936</v>
      </c>
      <c r="J548" s="1">
        <f t="shared" si="20"/>
        <v>541184.85700415936</v>
      </c>
    </row>
    <row r="549" spans="1:10" x14ac:dyDescent="0.2">
      <c r="A549">
        <v>2021</v>
      </c>
      <c r="B549" t="s">
        <v>149</v>
      </c>
      <c r="C549" t="s">
        <v>63</v>
      </c>
      <c r="D549">
        <v>84273</v>
      </c>
      <c r="F549">
        <f t="shared" si="21"/>
        <v>84273</v>
      </c>
      <c r="G549" cm="1">
        <f t="array" ref="G549">_xlfn.IFS(A549=$E$640,F549/$F$640,A549=$E$641,F549/$F$641,A549=$E$641,F549/$F$641,A549=$E$642,F549/$F$642,A549=$E$643,F549/$F$643,A549=$E$644,F549/$F$644,A549=$E$645,F549/$F$645,A549=$E$646,F549/$F$646,A549=$E$647,F549/$F$647)</f>
        <v>3.0149370915897554E-3</v>
      </c>
      <c r="H549" cm="1">
        <f t="array" ref="H549">_xlfn.IFS(A549=$P$24,G549*$Q$24,A549=$P$25,G549*$Q$25,A549=$P$26,G549*$Q$26,A549=$P$27,G549*$Q$27,A549=$P$28,G549*$Q$28,A549=$P$29,G549*$Q$29,A549=$P$30,G549*$Q$30,A549=$P$31,G549*$Q$31)</f>
        <v>1173962.756181519</v>
      </c>
      <c r="I549">
        <f t="shared" si="19"/>
        <v>1173962.756181519</v>
      </c>
      <c r="J549" s="1">
        <f t="shared" si="20"/>
        <v>1258235.756181519</v>
      </c>
    </row>
    <row r="550" spans="1:10" x14ac:dyDescent="0.2">
      <c r="A550">
        <v>2021</v>
      </c>
      <c r="B550" t="s">
        <v>152</v>
      </c>
      <c r="C550" t="s">
        <v>66</v>
      </c>
      <c r="D550">
        <v>12763</v>
      </c>
      <c r="F550">
        <f t="shared" si="21"/>
        <v>12763</v>
      </c>
      <c r="G550" cm="1">
        <f t="array" ref="G550">_xlfn.IFS(A550=$E$640,F550/$F$640,A550=$E$641,F550/$F$641,A550=$E$641,F550/$F$641,A550=$E$642,F550/$F$642,A550=$E$643,F550/$F$643,A550=$E$644,F550/$F$644,A550=$E$645,F550/$F$645,A550=$E$646,F550/$F$646,A550=$E$647,F550/$F$647)</f>
        <v>4.566070046154765E-4</v>
      </c>
      <c r="H550" cm="1">
        <f t="array" ref="H550">_xlfn.IFS(A550=$P$24,G550*$Q$24,A550=$P$25,G550*$Q$25,A550=$P$26,G550*$Q$26,A550=$P$27,G550*$Q$27,A550=$P$28,G550*$Q$28,A550=$P$29,G550*$Q$29,A550=$P$30,G550*$Q$30,A550=$P$31,G550*$Q$31)</f>
        <v>177794.62766419526</v>
      </c>
      <c r="I550">
        <f t="shared" si="19"/>
        <v>177794.62766419526</v>
      </c>
      <c r="J550" s="1">
        <f t="shared" si="20"/>
        <v>190557.62766419526</v>
      </c>
    </row>
    <row r="551" spans="1:10" x14ac:dyDescent="0.2">
      <c r="A551">
        <v>2021</v>
      </c>
      <c r="B551" t="s">
        <v>162</v>
      </c>
      <c r="C551" t="s">
        <v>71</v>
      </c>
      <c r="D551">
        <v>60949</v>
      </c>
      <c r="F551">
        <f t="shared" si="21"/>
        <v>60949</v>
      </c>
      <c r="G551" cm="1">
        <f t="array" ref="G551">_xlfn.IFS(A551=$E$640,F551/$F$640,A551=$E$641,F551/$F$641,A551=$E$641,F551/$F$641,A551=$E$642,F551/$F$642,A551=$E$643,F551/$F$643,A551=$E$644,F551/$F$644,A551=$E$645,F551/$F$645,A551=$E$646,F551/$F$646,A551=$E$647,F551/$F$647)</f>
        <v>2.1805014749125343E-3</v>
      </c>
      <c r="H551" cm="1">
        <f t="array" ref="H551">_xlfn.IFS(A551=$P$24,G551*$Q$24,A551=$P$25,G551*$Q$25,A551=$P$26,G551*$Q$26,A551=$P$27,G551*$Q$27,A551=$P$28,G551*$Q$28,A551=$P$29,G551*$Q$29,A551=$P$30,G551*$Q$30,A551=$P$31,G551*$Q$31)</f>
        <v>849048.40253114759</v>
      </c>
      <c r="I551">
        <f t="shared" si="19"/>
        <v>849048.40253114759</v>
      </c>
      <c r="J551" s="1">
        <f t="shared" si="20"/>
        <v>909997.40253114759</v>
      </c>
    </row>
    <row r="552" spans="1:10" x14ac:dyDescent="0.2">
      <c r="A552">
        <v>2021</v>
      </c>
      <c r="B552" t="s">
        <v>153</v>
      </c>
      <c r="C552" t="s">
        <v>67</v>
      </c>
      <c r="D552">
        <v>43438</v>
      </c>
      <c r="F552">
        <f t="shared" si="21"/>
        <v>43438</v>
      </c>
      <c r="G552" cm="1">
        <f t="array" ref="G552">_xlfn.IFS(A552=$E$640,F552/$F$640,A552=$E$641,F552/$F$641,A552=$E$641,F552/$F$641,A552=$E$642,F552/$F$642,A552=$E$643,F552/$F$643,A552=$E$644,F552/$F$644,A552=$E$645,F552/$F$645,A552=$E$646,F552/$F$646,A552=$E$647,F552/$F$647)</f>
        <v>1.5540307973428713E-3</v>
      </c>
      <c r="H552" cm="1">
        <f t="array" ref="H552">_xlfn.IFS(A552=$P$24,G552*$Q$24,A552=$P$25,G552*$Q$25,A552=$P$26,G552*$Q$26,A552=$P$27,G552*$Q$27,A552=$P$28,G552*$Q$28,A552=$P$29,G552*$Q$29,A552=$P$30,G552*$Q$30,A552=$P$31,G552*$Q$31)</f>
        <v>605111.8887782899</v>
      </c>
      <c r="I552">
        <f t="shared" si="19"/>
        <v>605111.8887782899</v>
      </c>
      <c r="J552" s="1">
        <f t="shared" si="20"/>
        <v>648549.8887782899</v>
      </c>
    </row>
    <row r="553" spans="1:10" x14ac:dyDescent="0.2">
      <c r="A553">
        <v>2021</v>
      </c>
      <c r="B553" t="s">
        <v>163</v>
      </c>
      <c r="C553" t="s">
        <v>72</v>
      </c>
      <c r="D553">
        <v>18506</v>
      </c>
      <c r="F553">
        <f t="shared" si="21"/>
        <v>18506</v>
      </c>
      <c r="G553" cm="1">
        <f t="array" ref="G553">_xlfn.IFS(A553=$E$640,F553/$F$640,A553=$E$641,F553/$F$641,A553=$E$641,F553/$F$641,A553=$E$642,F553/$F$642,A553=$E$643,F553/$F$643,A553=$E$644,F553/$F$644,A553=$E$645,F553/$F$645,A553=$E$646,F553/$F$646,A553=$E$647,F553/$F$647)</f>
        <v>6.6206763514957358E-4</v>
      </c>
      <c r="H553" cm="1">
        <f t="array" ref="H553">_xlfn.IFS(A553=$P$24,G553*$Q$24,A553=$P$25,G553*$Q$25,A553=$P$26,G553*$Q$26,A553=$P$27,G553*$Q$27,A553=$P$28,G553*$Q$28,A553=$P$29,G553*$Q$29,A553=$P$30,G553*$Q$30,A553=$P$31,G553*$Q$31)</f>
        <v>257797.33444751214</v>
      </c>
      <c r="I553">
        <f t="shared" si="19"/>
        <v>257797.33444751214</v>
      </c>
      <c r="J553" s="1">
        <f t="shared" si="20"/>
        <v>276303.33444751217</v>
      </c>
    </row>
    <row r="554" spans="1:10" x14ac:dyDescent="0.2">
      <c r="A554">
        <v>2021</v>
      </c>
      <c r="B554" t="s">
        <v>160</v>
      </c>
      <c r="C554" t="s">
        <v>69</v>
      </c>
      <c r="D554">
        <v>46792</v>
      </c>
      <c r="F554">
        <f t="shared" si="21"/>
        <v>46792</v>
      </c>
      <c r="G554" cm="1">
        <f t="array" ref="G554">_xlfn.IFS(A554=$E$640,F554/$F$640,A554=$E$641,F554/$F$641,A554=$E$641,F554/$F$641,A554=$E$642,F554/$F$642,A554=$E$643,F554/$F$643,A554=$E$644,F554/$F$644,A554=$E$645,F554/$F$645,A554=$E$646,F554/$F$646,A554=$E$647,F554/$F$647)</f>
        <v>1.6740229538484194E-3</v>
      </c>
      <c r="H554" cm="1">
        <f t="array" ref="H554">_xlfn.IFS(A554=$P$24,G554*$Q$24,A554=$P$25,G554*$Q$25,A554=$P$26,G554*$Q$26,A554=$P$27,G554*$Q$27,A554=$P$28,G554*$Q$28,A554=$P$29,G554*$Q$29,A554=$P$30,G554*$Q$30,A554=$P$31,G554*$Q$31)</f>
        <v>651834.69542137627</v>
      </c>
      <c r="I554">
        <f t="shared" si="19"/>
        <v>651834.69542137627</v>
      </c>
      <c r="J554" s="1">
        <f t="shared" si="20"/>
        <v>698626.69542137627</v>
      </c>
    </row>
    <row r="555" spans="1:10" x14ac:dyDescent="0.2">
      <c r="A555">
        <v>2021</v>
      </c>
      <c r="B555" t="s">
        <v>170</v>
      </c>
      <c r="C555" t="s">
        <v>81</v>
      </c>
      <c r="D555">
        <v>14982</v>
      </c>
      <c r="F555">
        <f t="shared" si="21"/>
        <v>14982</v>
      </c>
      <c r="G555" cm="1">
        <f t="array" ref="G555">_xlfn.IFS(A555=$E$640,F555/$F$640,A555=$E$641,F555/$F$641,A555=$E$641,F555/$F$641,A555=$E$642,F555/$F$642,A555=$E$643,F555/$F$643,A555=$E$644,F555/$F$644,A555=$E$645,F555/$F$645,A555=$E$646,F555/$F$646,A555=$E$647,F555/$F$647)</f>
        <v>5.3599358639419168E-4</v>
      </c>
      <c r="H555" cm="1">
        <f t="array" ref="H555">_xlfn.IFS(A555=$P$24,G555*$Q$24,A555=$P$25,G555*$Q$25,A555=$P$26,G555*$Q$26,A555=$P$27,G555*$Q$27,A555=$P$28,G555*$Q$28,A555=$P$29,G555*$Q$29,A555=$P$30,G555*$Q$30,A555=$P$31,G555*$Q$31)</f>
        <v>208706.34738423358</v>
      </c>
      <c r="I555">
        <f t="shared" si="19"/>
        <v>208706.34738423358</v>
      </c>
      <c r="J555" s="1">
        <f t="shared" si="20"/>
        <v>223688.34738423358</v>
      </c>
    </row>
    <row r="556" spans="1:10" x14ac:dyDescent="0.2">
      <c r="A556">
        <v>2021</v>
      </c>
      <c r="B556" t="s">
        <v>164</v>
      </c>
      <c r="C556" t="s">
        <v>73</v>
      </c>
      <c r="D556">
        <v>4116</v>
      </c>
      <c r="F556">
        <f t="shared" si="21"/>
        <v>4116</v>
      </c>
      <c r="G556" cm="1">
        <f t="array" ref="G556">_xlfn.IFS(A556=$E$640,F556/$F$640,A556=$E$641,F556/$F$641,A556=$E$641,F556/$F$641,A556=$E$642,F556/$F$642,A556=$E$643,F556/$F$643,A556=$E$644,F556/$F$644,A556=$E$645,F556/$F$645,A556=$E$646,F556/$F$646,A556=$E$647,F556/$F$647)</f>
        <v>1.472533441195096E-4</v>
      </c>
      <c r="H556" cm="1">
        <f t="array" ref="H556">_xlfn.IFS(A556=$P$24,G556*$Q$24,A556=$P$25,G556*$Q$25,A556=$P$26,G556*$Q$26,A556=$P$27,G556*$Q$27,A556=$P$28,G556*$Q$28,A556=$P$29,G556*$Q$29,A556=$P$30,G556*$Q$30,A556=$P$31,G556*$Q$31)</f>
        <v>57337.827114771419</v>
      </c>
      <c r="I556">
        <f t="shared" si="19"/>
        <v>57337.827114771419</v>
      </c>
      <c r="J556" s="1">
        <f t="shared" si="20"/>
        <v>61453.827114771419</v>
      </c>
    </row>
    <row r="557" spans="1:10" x14ac:dyDescent="0.2">
      <c r="A557">
        <v>2021</v>
      </c>
      <c r="B557" t="s">
        <v>154</v>
      </c>
      <c r="C557" t="s">
        <v>87</v>
      </c>
      <c r="D557">
        <v>479915</v>
      </c>
      <c r="F557">
        <f t="shared" si="21"/>
        <v>479915</v>
      </c>
      <c r="G557" cm="1">
        <f t="array" ref="G557">_xlfn.IFS(A557=$E$640,F557/$F$640,A557=$E$641,F557/$F$641,A557=$E$641,F557/$F$641,A557=$E$642,F557/$F$642,A557=$E$643,F557/$F$643,A557=$E$644,F557/$F$644,A557=$E$645,F557/$F$645,A557=$E$646,F557/$F$646,A557=$E$647,F557/$F$647)</f>
        <v>1.7169360700465125E-2</v>
      </c>
      <c r="H557" cm="1">
        <f t="array" ref="H557">_xlfn.IFS(A557=$P$24,G557*$Q$24,A557=$P$25,G557*$Q$25,A557=$P$26,G557*$Q$26,A557=$P$27,G557*$Q$27,A557=$P$28,G557*$Q$28,A557=$P$29,G557*$Q$29,A557=$P$30,G557*$Q$30,A557=$P$31,G557*$Q$31)</f>
        <v>6685442.9785679122</v>
      </c>
      <c r="I557">
        <f t="shared" si="19"/>
        <v>6685442.9785679122</v>
      </c>
      <c r="J557" s="1">
        <f t="shared" si="20"/>
        <v>7165357.9785679122</v>
      </c>
    </row>
    <row r="558" spans="1:10" x14ac:dyDescent="0.2">
      <c r="A558">
        <v>2021</v>
      </c>
      <c r="B558" t="s">
        <v>155</v>
      </c>
      <c r="C558" t="s">
        <v>88</v>
      </c>
      <c r="D558">
        <v>208926</v>
      </c>
      <c r="F558">
        <f t="shared" si="21"/>
        <v>208926</v>
      </c>
      <c r="G558" cm="1">
        <f t="array" ref="G558">_xlfn.IFS(A558=$E$640,F558/$F$640,A558=$E$641,F558/$F$641,A558=$E$641,F558/$F$641,A558=$E$642,F558/$F$642,A558=$E$643,F558/$F$643,A558=$E$644,F558/$F$644,A558=$E$645,F558/$F$645,A558=$E$646,F558/$F$646,A558=$E$647,F558/$F$647)</f>
        <v>7.4745024716988979E-3</v>
      </c>
      <c r="H558" cm="1">
        <f t="array" ref="H558">_xlfn.IFS(A558=$P$24,G558*$Q$24,A558=$P$25,G558*$Q$25,A558=$P$26,G558*$Q$26,A558=$P$27,G558*$Q$27,A558=$P$28,G558*$Q$28,A558=$P$29,G558*$Q$29,A558=$P$30,G558*$Q$30,A558=$P$31,G558*$Q$31)</f>
        <v>2910438.0145239877</v>
      </c>
      <c r="I558">
        <f t="shared" si="19"/>
        <v>2910438.0145239877</v>
      </c>
      <c r="J558" s="1">
        <f t="shared" si="20"/>
        <v>3119364.0145239877</v>
      </c>
    </row>
    <row r="559" spans="1:10" x14ac:dyDescent="0.2">
      <c r="A559">
        <v>2021</v>
      </c>
      <c r="B559" t="s">
        <v>156</v>
      </c>
      <c r="C559" t="s">
        <v>89</v>
      </c>
      <c r="D559">
        <v>419482</v>
      </c>
      <c r="F559">
        <f t="shared" si="21"/>
        <v>419482</v>
      </c>
      <c r="G559" cm="1">
        <f t="array" ref="G559">_xlfn.IFS(A559=$E$640,F559/$F$640,A559=$E$641,F559/$F$641,A559=$E$641,F559/$F$641,A559=$E$642,F559/$F$642,A559=$E$643,F559/$F$643,A559=$E$644,F559/$F$644,A559=$E$645,F559/$F$645,A559=$E$646,F559/$F$646,A559=$E$647,F559/$F$647)</f>
        <v>1.5007319557322676E-2</v>
      </c>
      <c r="H559" cm="1">
        <f t="array" ref="H559">_xlfn.IFS(A559=$P$24,G559*$Q$24,A559=$P$25,G559*$Q$25,A559=$P$26,G559*$Q$26,A559=$P$27,G559*$Q$27,A559=$P$28,G559*$Q$28,A559=$P$29,G559*$Q$29,A559=$P$30,G559*$Q$30,A559=$P$31,G559*$Q$31)</f>
        <v>5843582.7001357013</v>
      </c>
      <c r="I559">
        <f t="shared" si="19"/>
        <v>5843582.7001357013</v>
      </c>
      <c r="J559" s="1">
        <f t="shared" si="20"/>
        <v>6263064.7001357013</v>
      </c>
    </row>
    <row r="560" spans="1:10" x14ac:dyDescent="0.2">
      <c r="A560">
        <v>2022</v>
      </c>
      <c r="B560" t="s">
        <v>90</v>
      </c>
      <c r="C560" t="s">
        <v>0</v>
      </c>
      <c r="D560">
        <v>110665</v>
      </c>
      <c r="E560">
        <v>16240</v>
      </c>
      <c r="F560">
        <v>126905</v>
      </c>
      <c r="G560" cm="1">
        <f t="array" ref="G560">_xlfn.IFS(A560=$E$640,F560/$F$640,A560=$E$641,F560/$F$641,A560=$E$641,F560/$F$641,A560=$E$642,F560/$F$642,A560=$E$643,F560/$F$643,A560=$E$644,F560/$F$644,A560=$E$645,F560/$F$645,A560=$E$646,F560/$F$646,A560=$E$647,F560/$F$647)</f>
        <v>3.6395550763297052E-3</v>
      </c>
      <c r="H560" cm="1">
        <f t="array" ref="H560">_xlfn.IFS(A560=$P$24,G560*$Q$24,A560=$P$25,G560*$Q$25,A560=$P$26,G560*$Q$26,A560=$P$27,G560*$Q$27,A560=$P$28,G560*$Q$28,A560=$P$29,G560*$Q$29,A560=$P$30,G560*$Q$30,A560=$P$31,G560*$Q$31)</f>
        <v>1631018.2996426292</v>
      </c>
      <c r="I560">
        <f t="shared" si="19"/>
        <v>1647258.2996426292</v>
      </c>
      <c r="J560" s="1">
        <f t="shared" si="20"/>
        <v>1757923.2996426292</v>
      </c>
    </row>
    <row r="561" spans="1:10" x14ac:dyDescent="0.2">
      <c r="A561">
        <v>2022</v>
      </c>
      <c r="B561" t="s">
        <v>91</v>
      </c>
      <c r="C561" t="s">
        <v>1</v>
      </c>
      <c r="D561">
        <v>1149570</v>
      </c>
      <c r="E561">
        <v>168700</v>
      </c>
      <c r="F561">
        <v>1318270</v>
      </c>
      <c r="G561" cm="1">
        <f t="array" ref="G561">_xlfn.IFS(A561=$E$640,F561/$F$640,A561=$E$641,F561/$F$641,A561=$E$641,F561/$F$641,A561=$E$642,F561/$F$642,A561=$E$643,F561/$F$643,A561=$E$644,F561/$F$644,A561=$E$645,F561/$F$645,A561=$E$646,F561/$F$646,A561=$E$647,F561/$F$647)</f>
        <v>3.7807149209827515E-2</v>
      </c>
      <c r="H561" cm="1">
        <f t="array" ref="H561">_xlfn.IFS(A561=$P$24,G561*$Q$24,A561=$P$25,G561*$Q$25,A561=$P$26,G561*$Q$26,A561=$P$27,G561*$Q$27,A561=$P$28,G561*$Q$28,A561=$P$29,G561*$Q$29,A561=$P$30,G561*$Q$30,A561=$P$31,G561*$Q$31)</f>
        <v>16942772.10409274</v>
      </c>
      <c r="I561">
        <f t="shared" si="19"/>
        <v>17111472.10409274</v>
      </c>
      <c r="J561" s="1">
        <f t="shared" si="20"/>
        <v>18261042.10409274</v>
      </c>
    </row>
    <row r="562" spans="1:10" x14ac:dyDescent="0.2">
      <c r="A562">
        <v>2022</v>
      </c>
      <c r="B562" t="s">
        <v>92</v>
      </c>
      <c r="C562" t="s">
        <v>2</v>
      </c>
      <c r="D562">
        <v>324273</v>
      </c>
      <c r="E562">
        <v>47587</v>
      </c>
      <c r="F562">
        <v>371860</v>
      </c>
      <c r="G562" cm="1">
        <f t="array" ref="G562">_xlfn.IFS(A562=$E$640,F562/$F$640,A562=$E$641,F562/$F$641,A562=$E$641,F562/$F$641,A562=$E$642,F562/$F$642,A562=$E$643,F562/$F$643,A562=$E$644,F562/$F$644,A562=$E$645,F562/$F$645,A562=$E$646,F562/$F$646,A562=$E$647,F562/$F$647)</f>
        <v>1.0664709433702093E-2</v>
      </c>
      <c r="H562" cm="1">
        <f t="array" ref="H562">_xlfn.IFS(A562=$P$24,G562*$Q$24,A562=$P$25,G562*$Q$25,A562=$P$26,G562*$Q$26,A562=$P$27,G562*$Q$27,A562=$P$28,G562*$Q$28,A562=$P$29,G562*$Q$29,A562=$P$30,G562*$Q$30,A562=$P$31,G562*$Q$31)</f>
        <v>4779247.9800252793</v>
      </c>
      <c r="I562">
        <f t="shared" si="19"/>
        <v>4826834.9800252793</v>
      </c>
      <c r="J562" s="1">
        <f t="shared" si="20"/>
        <v>5151107.9800252793</v>
      </c>
    </row>
    <row r="563" spans="1:10" x14ac:dyDescent="0.2">
      <c r="A563">
        <v>2022</v>
      </c>
      <c r="B563" t="s">
        <v>93</v>
      </c>
      <c r="C563" t="s">
        <v>3</v>
      </c>
      <c r="D563">
        <v>146489</v>
      </c>
      <c r="E563">
        <v>21497</v>
      </c>
      <c r="F563">
        <v>167986</v>
      </c>
      <c r="G563" cm="1">
        <f t="array" ref="G563">_xlfn.IFS(A563=$E$640,F563/$F$640,A563=$E$641,F563/$F$641,A563=$E$641,F563/$F$641,A563=$E$642,F563/$F$642,A563=$E$643,F563/$F$643,A563=$E$644,F563/$F$644,A563=$E$645,F563/$F$645,A563=$E$646,F563/$F$646,A563=$E$647,F563/$F$647)</f>
        <v>4.8177321543857359E-3</v>
      </c>
      <c r="H563" cm="1">
        <f t="array" ref="H563">_xlfn.IFS(A563=$P$24,G563*$Q$24,A563=$P$25,G563*$Q$25,A563=$P$26,G563*$Q$26,A563=$P$27,G563*$Q$27,A563=$P$28,G563*$Q$28,A563=$P$29,G563*$Q$29,A563=$P$30,G563*$Q$30,A563=$P$31,G563*$Q$31)</f>
        <v>2159002.7192290826</v>
      </c>
      <c r="I563">
        <f t="shared" si="19"/>
        <v>2180499.7192290826</v>
      </c>
      <c r="J563" s="1">
        <f t="shared" si="20"/>
        <v>2326988.7192290826</v>
      </c>
    </row>
    <row r="564" spans="1:10" x14ac:dyDescent="0.2">
      <c r="A564">
        <v>2022</v>
      </c>
      <c r="B564" t="s">
        <v>94</v>
      </c>
      <c r="C564" t="s">
        <v>4</v>
      </c>
      <c r="D564">
        <v>471494</v>
      </c>
      <c r="E564">
        <v>69192</v>
      </c>
      <c r="F564">
        <v>540686</v>
      </c>
      <c r="G564" cm="1">
        <f t="array" ref="G564">_xlfn.IFS(A564=$E$640,F564/$F$640,A564=$E$641,F564/$F$641,A564=$E$641,F564/$F$641,A564=$E$642,F564/$F$642,A564=$E$643,F564/$F$643,A564=$E$644,F564/$F$644,A564=$E$645,F564/$F$645,A564=$E$646,F564/$F$646,A564=$E$647,F564/$F$647)</f>
        <v>1.5506532256415453E-2</v>
      </c>
      <c r="H564" cm="1">
        <f t="array" ref="H564">_xlfn.IFS(A564=$P$24,G564*$Q$24,A564=$P$25,G564*$Q$25,A564=$P$26,G564*$Q$26,A564=$P$27,G564*$Q$27,A564=$P$28,G564*$Q$28,A564=$P$29,G564*$Q$29,A564=$P$30,G564*$Q$30,A564=$P$31,G564*$Q$31)</f>
        <v>6949046.6125099463</v>
      </c>
      <c r="I564">
        <f t="shared" si="19"/>
        <v>7018238.6125099463</v>
      </c>
      <c r="J564" s="1">
        <f t="shared" si="20"/>
        <v>7489732.6125099463</v>
      </c>
    </row>
    <row r="565" spans="1:10" x14ac:dyDescent="0.2">
      <c r="A565">
        <v>2022</v>
      </c>
      <c r="B565" t="s">
        <v>95</v>
      </c>
      <c r="C565" t="s">
        <v>5</v>
      </c>
      <c r="D565">
        <v>1495028</v>
      </c>
      <c r="E565">
        <v>219395</v>
      </c>
      <c r="F565">
        <v>1714423</v>
      </c>
      <c r="G565" cm="1">
        <f t="array" ref="G565">_xlfn.IFS(A565=$E$640,F565/$F$640,A565=$E$641,F565/$F$641,A565=$E$641,F565/$F$641,A565=$E$642,F565/$F$642,A565=$E$643,F565/$F$643,A565=$E$644,F565/$F$644,A565=$E$645,F565/$F$645,A565=$E$646,F565/$F$646,A565=$E$647,F565/$F$647)</f>
        <v>4.9168566507437866E-2</v>
      </c>
      <c r="H565" cm="1">
        <f t="array" ref="H565">_xlfn.IFS(A565=$P$24,G565*$Q$24,A565=$P$25,G565*$Q$25,A565=$P$26,G565*$Q$26,A565=$P$27,G565*$Q$27,A565=$P$28,G565*$Q$28,A565=$P$29,G565*$Q$29,A565=$P$30,G565*$Q$30,A565=$P$31,G565*$Q$31)</f>
        <v>22034240.465925027</v>
      </c>
      <c r="I565">
        <f t="shared" si="19"/>
        <v>22253635.465925027</v>
      </c>
      <c r="J565" s="1">
        <f t="shared" si="20"/>
        <v>23748663.465925027</v>
      </c>
    </row>
    <row r="566" spans="1:10" x14ac:dyDescent="0.2">
      <c r="A566">
        <v>2022</v>
      </c>
      <c r="B566" t="s">
        <v>96</v>
      </c>
      <c r="C566" t="s">
        <v>6</v>
      </c>
      <c r="D566">
        <v>80698</v>
      </c>
      <c r="E566">
        <v>11842</v>
      </c>
      <c r="F566">
        <v>92540</v>
      </c>
      <c r="G566" cm="1">
        <f t="array" ref="G566">_xlfn.IFS(A566=$E$640,F566/$F$640,A566=$E$641,F566/$F$641,A566=$E$641,F566/$F$641,A566=$E$642,F566/$F$642,A566=$E$643,F566/$F$643,A566=$E$644,F566/$F$644,A566=$E$645,F566/$F$645,A566=$E$646,F566/$F$646,A566=$E$647,F566/$F$647)</f>
        <v>2.6539886274264284E-3</v>
      </c>
      <c r="H566" cm="1">
        <f t="array" ref="H566">_xlfn.IFS(A566=$P$24,G566*$Q$24,A566=$P$25,G566*$Q$25,A566=$P$26,G566*$Q$26,A566=$P$27,G566*$Q$27,A566=$P$28,G566*$Q$28,A566=$P$29,G566*$Q$29,A566=$P$30,G566*$Q$30,A566=$P$31,G566*$Q$31)</f>
        <v>1189349.7769901021</v>
      </c>
      <c r="I566">
        <f t="shared" si="19"/>
        <v>1201191.7769901021</v>
      </c>
      <c r="J566" s="1">
        <f t="shared" si="20"/>
        <v>1281889.7769901021</v>
      </c>
    </row>
    <row r="567" spans="1:10" x14ac:dyDescent="0.2">
      <c r="A567">
        <v>2022</v>
      </c>
      <c r="B567" t="s">
        <v>97</v>
      </c>
      <c r="C567" t="s">
        <v>7</v>
      </c>
      <c r="D567">
        <v>168370</v>
      </c>
      <c r="E567">
        <v>24708</v>
      </c>
      <c r="F567">
        <v>193078</v>
      </c>
      <c r="G567" cm="1">
        <f t="array" ref="G567">_xlfn.IFS(A567=$E$640,F567/$F$640,A567=$E$641,F567/$F$641,A567=$E$641,F567/$F$641,A567=$E$642,F567/$F$642,A567=$E$643,F567/$F$643,A567=$E$644,F567/$F$644,A567=$E$645,F567/$F$645,A567=$E$646,F567/$F$646,A567=$E$647,F567/$F$647)</f>
        <v>5.5373548325722928E-3</v>
      </c>
      <c r="H567" cm="1">
        <f t="array" ref="H567">_xlfn.IFS(A567=$P$24,G567*$Q$24,A567=$P$25,G567*$Q$25,A567=$P$26,G567*$Q$26,A567=$P$27,G567*$Q$27,A567=$P$28,G567*$Q$28,A567=$P$29,G567*$Q$29,A567=$P$30,G567*$Q$30,A567=$P$31,G567*$Q$31)</f>
        <v>2481492.0709065804</v>
      </c>
      <c r="I567">
        <f t="shared" si="19"/>
        <v>2506200.0709065804</v>
      </c>
      <c r="J567" s="1">
        <f t="shared" si="20"/>
        <v>2674570.0709065804</v>
      </c>
    </row>
    <row r="568" spans="1:10" x14ac:dyDescent="0.2">
      <c r="A568">
        <v>2022</v>
      </c>
      <c r="B568" t="s">
        <v>98</v>
      </c>
      <c r="C568" t="s">
        <v>8</v>
      </c>
      <c r="D568">
        <v>358987</v>
      </c>
      <c r="E568">
        <v>52682</v>
      </c>
      <c r="F568">
        <v>411669</v>
      </c>
      <c r="G568" cm="1">
        <f t="array" ref="G568">_xlfn.IFS(A568=$E$640,F568/$F$640,A568=$E$641,F568/$F$641,A568=$E$641,F568/$F$641,A568=$E$642,F568/$F$642,A568=$E$643,F568/$F$643,A568=$E$644,F568/$F$644,A568=$E$645,F568/$F$645,A568=$E$646,F568/$F$646,A568=$E$647,F568/$F$647)</f>
        <v>1.1806406356862011E-2</v>
      </c>
      <c r="H568" cm="1">
        <f t="array" ref="H568">_xlfn.IFS(A568=$P$24,G568*$Q$24,A568=$P$25,G568*$Q$25,A568=$P$26,G568*$Q$26,A568=$P$27,G568*$Q$27,A568=$P$28,G568*$Q$28,A568=$P$29,G568*$Q$29,A568=$P$30,G568*$Q$30,A568=$P$31,G568*$Q$31)</f>
        <v>5290884.3023961354</v>
      </c>
      <c r="I568">
        <f t="shared" si="19"/>
        <v>5343566.3023961354</v>
      </c>
      <c r="J568" s="1">
        <f t="shared" si="20"/>
        <v>5702553.3023961354</v>
      </c>
    </row>
    <row r="569" spans="1:10" x14ac:dyDescent="0.2">
      <c r="A569">
        <v>2022</v>
      </c>
      <c r="B569" t="s">
        <v>99</v>
      </c>
      <c r="C569" t="s">
        <v>9</v>
      </c>
      <c r="D569">
        <v>668147</v>
      </c>
      <c r="E569">
        <v>98050</v>
      </c>
      <c r="F569">
        <v>766197</v>
      </c>
      <c r="G569" cm="1">
        <f t="array" ref="G569">_xlfn.IFS(A569=$E$640,F569/$F$640,A569=$E$641,F569/$F$641,A569=$E$641,F569/$F$641,A569=$E$642,F569/$F$642,A569=$E$643,F569/$F$643,A569=$E$644,F569/$F$644,A569=$E$645,F569/$F$645,A569=$E$646,F569/$F$646,A569=$E$647,F569/$F$647)</f>
        <v>2.1974045000737491E-2</v>
      </c>
      <c r="H569" cm="1">
        <f t="array" ref="H569">_xlfn.IFS(A569=$P$24,G569*$Q$24,A569=$P$25,G569*$Q$25,A569=$P$26,G569*$Q$26,A569=$P$27,G569*$Q$27,A569=$P$28,G569*$Q$28,A569=$P$29,G569*$Q$29,A569=$P$30,G569*$Q$30,A569=$P$31,G569*$Q$31)</f>
        <v>9847376.6055812109</v>
      </c>
      <c r="I569">
        <f t="shared" si="19"/>
        <v>9945426.6055812109</v>
      </c>
      <c r="J569" s="1">
        <f t="shared" si="20"/>
        <v>10613573.605581211</v>
      </c>
    </row>
    <row r="570" spans="1:10" x14ac:dyDescent="0.2">
      <c r="A570">
        <v>2022</v>
      </c>
      <c r="B570" t="s">
        <v>100</v>
      </c>
      <c r="C570" t="s">
        <v>10</v>
      </c>
      <c r="D570">
        <v>102753</v>
      </c>
      <c r="E570">
        <v>15079</v>
      </c>
      <c r="F570">
        <v>117832</v>
      </c>
      <c r="G570" cm="1">
        <f t="array" ref="G570">_xlfn.IFS(A570=$E$640,F570/$F$640,A570=$E$641,F570/$F$641,A570=$E$641,F570/$F$641,A570=$E$642,F570/$F$642,A570=$E$643,F570/$F$643,A570=$E$644,F570/$F$644,A570=$E$645,F570/$F$645,A570=$E$646,F570/$F$646,A570=$E$647,F570/$F$647)</f>
        <v>3.379347179024324E-3</v>
      </c>
      <c r="H570" cm="1">
        <f t="array" ref="H570">_xlfn.IFS(A570=$P$24,G570*$Q$24,A570=$P$25,G570*$Q$25,A570=$P$26,G570*$Q$26,A570=$P$27,G570*$Q$27,A570=$P$28,G570*$Q$28,A570=$P$29,G570*$Q$29,A570=$P$30,G570*$Q$30,A570=$P$31,G570*$Q$31)</f>
        <v>1514409.5842046435</v>
      </c>
      <c r="I570">
        <f t="shared" si="19"/>
        <v>1529488.5842046435</v>
      </c>
      <c r="J570" s="1">
        <f t="shared" si="20"/>
        <v>1632241.5842046435</v>
      </c>
    </row>
    <row r="571" spans="1:10" x14ac:dyDescent="0.2">
      <c r="A571">
        <v>2022</v>
      </c>
      <c r="B571" t="s">
        <v>101</v>
      </c>
      <c r="C571" t="s">
        <v>11</v>
      </c>
      <c r="D571">
        <v>112771</v>
      </c>
      <c r="E571">
        <v>16549</v>
      </c>
      <c r="F571">
        <v>129320</v>
      </c>
      <c r="G571" cm="1">
        <f t="array" ref="G571">_xlfn.IFS(A571=$E$640,F571/$F$640,A571=$E$641,F571/$F$641,A571=$E$641,F571/$F$641,A571=$E$642,F571/$F$642,A571=$E$643,F571/$F$643,A571=$E$644,F571/$F$644,A571=$E$645,F571/$F$645,A571=$E$646,F571/$F$646,A571=$E$647,F571/$F$647)</f>
        <v>3.7088157477716205E-3</v>
      </c>
      <c r="H571" cm="1">
        <f t="array" ref="H571">_xlfn.IFS(A571=$P$24,G571*$Q$24,A571=$P$25,G571*$Q$25,A571=$P$26,G571*$Q$26,A571=$P$27,G571*$Q$27,A571=$P$28,G571*$Q$28,A571=$P$29,G571*$Q$29,A571=$P$30,G571*$Q$30,A571=$P$31,G571*$Q$31)</f>
        <v>1662056.5502524315</v>
      </c>
      <c r="I571">
        <f t="shared" si="19"/>
        <v>1678605.5502524315</v>
      </c>
      <c r="J571" s="1">
        <f t="shared" si="20"/>
        <v>1791376.5502524315</v>
      </c>
    </row>
    <row r="572" spans="1:10" x14ac:dyDescent="0.2">
      <c r="A572">
        <v>2022</v>
      </c>
      <c r="B572" t="s">
        <v>102</v>
      </c>
      <c r="C572" t="s">
        <v>12</v>
      </c>
      <c r="D572">
        <v>487348</v>
      </c>
      <c r="E572">
        <v>71518</v>
      </c>
      <c r="F572">
        <v>558866</v>
      </c>
      <c r="G572" cm="1">
        <f t="array" ref="G572">_xlfn.IFS(A572=$E$640,F572/$F$640,A572=$E$641,F572/$F$641,A572=$E$641,F572/$F$641,A572=$E$642,F572/$F$642,A572=$E$643,F572/$F$643,A572=$E$644,F572/$F$644,A572=$E$645,F572/$F$645,A572=$E$646,F572/$F$646,A572=$E$647,F572/$F$647)</f>
        <v>1.6027923149506143E-2</v>
      </c>
      <c r="H572" cm="1">
        <f t="array" ref="H572">_xlfn.IFS(A572=$P$24,G572*$Q$24,A572=$P$25,G572*$Q$25,A572=$P$26,G572*$Q$26,A572=$P$27,G572*$Q$27,A572=$P$28,G572*$Q$28,A572=$P$29,G572*$Q$29,A572=$P$30,G572*$Q$30,A572=$P$31,G572*$Q$31)</f>
        <v>7182701.0208272142</v>
      </c>
      <c r="I572">
        <f t="shared" si="19"/>
        <v>7254219.0208272142</v>
      </c>
      <c r="J572" s="1">
        <f t="shared" si="20"/>
        <v>7741567.0208272142</v>
      </c>
    </row>
    <row r="573" spans="1:10" x14ac:dyDescent="0.2">
      <c r="A573">
        <v>2022</v>
      </c>
      <c r="B573" t="s">
        <v>103</v>
      </c>
      <c r="C573" t="s">
        <v>13</v>
      </c>
      <c r="D573">
        <v>233997</v>
      </c>
      <c r="E573">
        <v>34339</v>
      </c>
      <c r="F573">
        <v>268336</v>
      </c>
      <c r="G573" cm="1">
        <f t="array" ref="G573">_xlfn.IFS(A573=$E$640,F573/$F$640,A573=$E$641,F573/$F$641,A573=$E$641,F573/$F$641,A573=$E$642,F573/$F$642,A573=$E$643,F573/$F$643,A573=$E$644,F573/$F$644,A573=$E$645,F573/$F$645,A573=$E$646,F573/$F$646,A573=$E$647,F573/$F$647)</f>
        <v>7.6957066385249422E-3</v>
      </c>
      <c r="H573" cm="1">
        <f t="array" ref="H573">_xlfn.IFS(A573=$P$24,G573*$Q$24,A573=$P$25,G573*$Q$25,A573=$P$26,G573*$Q$26,A573=$P$27,G573*$Q$27,A573=$P$28,G573*$Q$28,A573=$P$29,G573*$Q$29,A573=$P$30,G573*$Q$30,A573=$P$31,G573*$Q$31)</f>
        <v>3448728.7849407396</v>
      </c>
      <c r="I573">
        <f t="shared" si="19"/>
        <v>3483067.7849407396</v>
      </c>
      <c r="J573" s="1">
        <f t="shared" si="20"/>
        <v>3717064.7849407396</v>
      </c>
    </row>
    <row r="574" spans="1:10" x14ac:dyDescent="0.2">
      <c r="A574">
        <v>2022</v>
      </c>
      <c r="B574" t="s">
        <v>104</v>
      </c>
      <c r="C574" t="s">
        <v>14</v>
      </c>
      <c r="D574">
        <v>439717</v>
      </c>
      <c r="E574">
        <v>64529</v>
      </c>
      <c r="F574">
        <v>504246</v>
      </c>
      <c r="G574" cm="1">
        <f t="array" ref="G574">_xlfn.IFS(A574=$E$640,F574/$F$640,A574=$E$641,F574/$F$641,A574=$E$641,F574/$F$641,A574=$E$642,F574/$F$642,A574=$E$643,F574/$F$643,A574=$E$644,F574/$F$644,A574=$E$645,F574/$F$645,A574=$E$646,F574/$F$646,A574=$E$647,F574/$F$647)</f>
        <v>1.4461456120869536E-2</v>
      </c>
      <c r="H574" cm="1">
        <f t="array" ref="H574">_xlfn.IFS(A574=$P$24,G574*$Q$24,A574=$P$25,G574*$Q$25,A574=$P$26,G574*$Q$26,A574=$P$27,G574*$Q$27,A574=$P$28,G574*$Q$28,A574=$P$29,G574*$Q$29,A574=$P$30,G574*$Q$30,A574=$P$31,G574*$Q$31)</f>
        <v>6480709.6136605898</v>
      </c>
      <c r="I574">
        <f t="shared" si="19"/>
        <v>6545238.6136605898</v>
      </c>
      <c r="J574" s="1">
        <f t="shared" si="20"/>
        <v>6984955.6136605898</v>
      </c>
    </row>
    <row r="575" spans="1:10" x14ac:dyDescent="0.2">
      <c r="A575">
        <v>2022</v>
      </c>
      <c r="B575" t="s">
        <v>105</v>
      </c>
      <c r="C575" t="s">
        <v>15</v>
      </c>
      <c r="D575">
        <v>140818</v>
      </c>
      <c r="E575">
        <v>20665</v>
      </c>
      <c r="F575">
        <v>161483</v>
      </c>
      <c r="G575" cm="1">
        <f t="array" ref="G575">_xlfn.IFS(A575=$E$640,F575/$F$640,A575=$E$641,F575/$F$641,A575=$E$641,F575/$F$641,A575=$E$642,F575/$F$642,A575=$E$643,F575/$F$643,A575=$E$644,F575/$F$644,A575=$E$645,F575/$F$645,A575=$E$646,F575/$F$646,A575=$E$647,F575/$F$647)</f>
        <v>4.6312302304160578E-3</v>
      </c>
      <c r="H575" cm="1">
        <f t="array" ref="H575">_xlfn.IFS(A575=$P$24,G575*$Q$24,A575=$P$25,G575*$Q$25,A575=$P$26,G575*$Q$26,A575=$P$27,G575*$Q$27,A575=$P$28,G575*$Q$28,A575=$P$29,G575*$Q$29,A575=$P$30,G575*$Q$30,A575=$P$31,G575*$Q$31)</f>
        <v>2075424.357442108</v>
      </c>
      <c r="I575">
        <f t="shared" si="19"/>
        <v>2096089.357442108</v>
      </c>
      <c r="J575" s="1">
        <f t="shared" si="20"/>
        <v>2236907.357442108</v>
      </c>
    </row>
    <row r="576" spans="1:10" x14ac:dyDescent="0.2">
      <c r="A576">
        <v>2022</v>
      </c>
      <c r="B576" t="s">
        <v>106</v>
      </c>
      <c r="C576" t="s">
        <v>16</v>
      </c>
      <c r="D576">
        <v>1116725</v>
      </c>
      <c r="E576">
        <v>163880</v>
      </c>
      <c r="F576">
        <v>1280605</v>
      </c>
      <c r="G576" cm="1">
        <f t="array" ref="G576">_xlfn.IFS(A576=$E$640,F576/$F$640,A576=$E$641,F576/$F$641,A576=$E$641,F576/$F$641,A576=$E$642,F576/$F$642,A576=$E$643,F576/$F$643,A576=$E$644,F576/$F$644,A576=$E$645,F576/$F$645,A576=$E$646,F576/$F$646,A576=$E$647,F576/$F$647)</f>
        <v>3.6726940849637145E-2</v>
      </c>
      <c r="H576" cm="1">
        <f t="array" ref="H576">_xlfn.IFS(A576=$P$24,G576*$Q$24,A576=$P$25,G576*$Q$25,A576=$P$26,G576*$Q$26,A576=$P$27,G576*$Q$27,A576=$P$28,G576*$Q$28,A576=$P$29,G576*$Q$29,A576=$P$30,G576*$Q$30,A576=$P$31,G576*$Q$31)</f>
        <v>16458691.065078989</v>
      </c>
      <c r="I576">
        <f t="shared" si="19"/>
        <v>16622571.065078989</v>
      </c>
      <c r="J576" s="1">
        <f t="shared" si="20"/>
        <v>17739296.065078989</v>
      </c>
    </row>
    <row r="577" spans="1:10" x14ac:dyDescent="0.2">
      <c r="A577">
        <v>2022</v>
      </c>
      <c r="B577" t="s">
        <v>107</v>
      </c>
      <c r="C577" t="s">
        <v>17</v>
      </c>
      <c r="D577">
        <v>532074</v>
      </c>
      <c r="E577">
        <v>78082</v>
      </c>
      <c r="F577">
        <v>610156</v>
      </c>
      <c r="G577" cm="1">
        <f t="array" ref="G577">_xlfn.IFS(A577=$E$640,F577/$F$640,A577=$E$641,F577/$F$641,A577=$E$641,F577/$F$641,A577=$E$642,F577/$F$642,A577=$E$643,F577/$F$643,A577=$E$644,F577/$F$644,A577=$E$645,F577/$F$645,A577=$E$646,F577/$F$646,A577=$E$647,F577/$F$647)</f>
        <v>1.7498887885843958E-2</v>
      </c>
      <c r="H577" cm="1">
        <f t="array" ref="H577">_xlfn.IFS(A577=$P$24,G577*$Q$24,A577=$P$25,G577*$Q$25,A577=$P$26,G577*$Q$26,A577=$P$27,G577*$Q$27,A577=$P$28,G577*$Q$28,A577=$P$29,G577*$Q$29,A577=$P$30,G577*$Q$30,A577=$P$31,G577*$Q$31)</f>
        <v>7841894.3433020608</v>
      </c>
      <c r="I577">
        <f t="shared" si="19"/>
        <v>7919976.3433020608</v>
      </c>
      <c r="J577" s="1">
        <f t="shared" si="20"/>
        <v>8452050.3433020599</v>
      </c>
    </row>
    <row r="578" spans="1:10" x14ac:dyDescent="0.2">
      <c r="A578">
        <v>2022</v>
      </c>
      <c r="B578" t="s">
        <v>108</v>
      </c>
      <c r="C578" t="s">
        <v>18</v>
      </c>
      <c r="D578">
        <v>759799</v>
      </c>
      <c r="E578">
        <v>111501</v>
      </c>
      <c r="F578">
        <v>871300</v>
      </c>
      <c r="G578" cm="1">
        <f t="array" ref="G578">_xlfn.IFS(A578=$E$640,F578/$F$640,A578=$E$641,F578/$F$641,A578=$E$641,F578/$F$641,A578=$E$642,F578/$F$642,A578=$E$643,F578/$F$643,A578=$E$644,F578/$F$644,A578=$E$645,F578/$F$645,A578=$E$646,F578/$F$646,A578=$E$647,F578/$F$647)</f>
        <v>2.498833251649716E-2</v>
      </c>
      <c r="H578" cm="1">
        <f t="array" ref="H578">_xlfn.IFS(A578=$P$24,G578*$Q$24,A578=$P$25,G578*$Q$25,A578=$P$26,G578*$Q$26,A578=$P$27,G578*$Q$27,A578=$P$28,G578*$Q$28,A578=$P$29,G578*$Q$29,A578=$P$30,G578*$Q$30,A578=$P$31,G578*$Q$31)</f>
        <v>11198189.547130711</v>
      </c>
      <c r="I578">
        <f t="shared" si="19"/>
        <v>11309690.547130711</v>
      </c>
      <c r="J578" s="1">
        <f t="shared" si="20"/>
        <v>12069489.547130711</v>
      </c>
    </row>
    <row r="579" spans="1:10" x14ac:dyDescent="0.2">
      <c r="A579">
        <v>2022</v>
      </c>
      <c r="B579" t="s">
        <v>109</v>
      </c>
      <c r="C579" t="s">
        <v>19</v>
      </c>
      <c r="D579">
        <v>1600196</v>
      </c>
      <c r="E579">
        <v>234829</v>
      </c>
      <c r="F579">
        <v>1835025</v>
      </c>
      <c r="G579" cm="1">
        <f t="array" ref="G579">_xlfn.IFS(A579=$E$640,F579/$F$640,A579=$E$641,F579/$F$641,A579=$E$641,F579/$F$641,A579=$E$642,F579/$F$642,A579=$E$643,F579/$F$643,A579=$E$644,F579/$F$644,A579=$E$645,F579/$F$645,A579=$E$646,F579/$F$646,A579=$E$647,F579/$F$647)</f>
        <v>5.2627355533209227E-2</v>
      </c>
      <c r="H579" cm="1">
        <f t="array" ref="H579">_xlfn.IFS(A579=$P$24,G579*$Q$24,A579=$P$25,G579*$Q$25,A579=$P$26,G579*$Q$26,A579=$P$27,G579*$Q$27,A579=$P$28,G579*$Q$28,A579=$P$29,G579*$Q$29,A579=$P$30,G579*$Q$30,A579=$P$31,G579*$Q$31)</f>
        <v>23584250.859317724</v>
      </c>
      <c r="I579">
        <f t="shared" ref="I579:I638" si="22">SUM(H579,E579)</f>
        <v>23819079.859317724</v>
      </c>
      <c r="J579" s="1">
        <f t="shared" ref="J579:J638" si="23">SUM(I579,D579)</f>
        <v>25419275.859317724</v>
      </c>
    </row>
    <row r="580" spans="1:10" x14ac:dyDescent="0.2">
      <c r="A580">
        <v>2022</v>
      </c>
      <c r="B580" t="s">
        <v>110</v>
      </c>
      <c r="C580" t="s">
        <v>20</v>
      </c>
      <c r="D580">
        <v>209886</v>
      </c>
      <c r="E580">
        <v>30801</v>
      </c>
      <c r="F580">
        <v>240687</v>
      </c>
      <c r="G580" cm="1">
        <f t="array" ref="G580">_xlfn.IFS(A580=$E$640,F580/$F$640,A580=$E$641,F580/$F$641,A580=$E$641,F580/$F$641,A580=$E$642,F580/$F$642,A580=$E$643,F580/$F$643,A580=$E$644,F580/$F$644,A580=$E$645,F580/$F$645,A580=$E$646,F580/$F$646,A580=$E$647,F580/$F$647)</f>
        <v>6.9027508187744198E-3</v>
      </c>
      <c r="H580" cm="1">
        <f t="array" ref="H580">_xlfn.IFS(A580=$P$24,G580*$Q$24,A580=$P$25,G580*$Q$25,A580=$P$26,G580*$Q$26,A580=$P$27,G580*$Q$27,A580=$P$28,G580*$Q$28,A580=$P$29,G580*$Q$29,A580=$P$30,G580*$Q$30,A580=$P$31,G580*$Q$31)</f>
        <v>3093376.1592221386</v>
      </c>
      <c r="I580">
        <f t="shared" si="22"/>
        <v>3124177.1592221386</v>
      </c>
      <c r="J580" s="1">
        <f t="shared" si="23"/>
        <v>3334063.1592221386</v>
      </c>
    </row>
    <row r="581" spans="1:10" x14ac:dyDescent="0.2">
      <c r="A581">
        <v>2022</v>
      </c>
      <c r="B581" t="s">
        <v>111</v>
      </c>
      <c r="C581" t="s">
        <v>21</v>
      </c>
      <c r="D581">
        <v>280609</v>
      </c>
      <c r="E581">
        <v>41180</v>
      </c>
      <c r="F581">
        <v>321789</v>
      </c>
      <c r="G581" cm="1">
        <f t="array" ref="G581">_xlfn.IFS(A581=$E$640,F581/$F$640,A581=$E$641,F581/$F$641,A581=$E$641,F581/$F$641,A581=$E$642,F581/$F$642,A581=$E$643,F581/$F$643,A581=$E$644,F581/$F$644,A581=$E$645,F581/$F$645,A581=$E$646,F581/$F$646,A581=$E$647,F581/$F$647)</f>
        <v>9.2287048458063875E-3</v>
      </c>
      <c r="H581" cm="1">
        <f t="array" ref="H581">_xlfn.IFS(A581=$P$24,G581*$Q$24,A581=$P$25,G581*$Q$25,A581=$P$26,G581*$Q$26,A581=$P$27,G581*$Q$27,A581=$P$28,G581*$Q$28,A581=$P$29,G581*$Q$29,A581=$P$30,G581*$Q$30,A581=$P$31,G581*$Q$31)</f>
        <v>4135721.584048714</v>
      </c>
      <c r="I581">
        <f t="shared" si="22"/>
        <v>4176901.584048714</v>
      </c>
      <c r="J581" s="1">
        <f t="shared" si="23"/>
        <v>4457510.5840487145</v>
      </c>
    </row>
    <row r="582" spans="1:10" x14ac:dyDescent="0.2">
      <c r="A582">
        <v>2022</v>
      </c>
      <c r="B582" t="s">
        <v>112</v>
      </c>
      <c r="C582" t="s">
        <v>22</v>
      </c>
      <c r="D582">
        <v>501367</v>
      </c>
      <c r="E582">
        <v>73576</v>
      </c>
      <c r="F582">
        <v>574943</v>
      </c>
      <c r="G582" cm="1">
        <f t="array" ref="G582">_xlfn.IFS(A582=$E$640,F582/$F$640,A582=$E$641,F582/$F$641,A582=$E$641,F582/$F$641,A582=$E$642,F582/$F$642,A582=$E$643,F582/$F$643,A582=$E$644,F582/$F$644,A582=$E$645,F582/$F$645,A582=$E$646,F582/$F$646,A582=$E$647,F582/$F$647)</f>
        <v>1.6489001333676607E-2</v>
      </c>
      <c r="H582" cm="1">
        <f t="array" ref="H582">_xlfn.IFS(A582=$P$24,G582*$Q$24,A582=$P$25,G582*$Q$25,A582=$P$26,G582*$Q$26,A582=$P$27,G582*$Q$27,A582=$P$28,G582*$Q$28,A582=$P$29,G582*$Q$29,A582=$P$30,G582*$Q$30,A582=$P$31,G582*$Q$31)</f>
        <v>7389327.0891724695</v>
      </c>
      <c r="I582">
        <f t="shared" si="22"/>
        <v>7462903.0891724695</v>
      </c>
      <c r="J582" s="1">
        <f t="shared" si="23"/>
        <v>7964270.0891724695</v>
      </c>
    </row>
    <row r="583" spans="1:10" x14ac:dyDescent="0.2">
      <c r="A583">
        <v>2022</v>
      </c>
      <c r="B583" t="s">
        <v>113</v>
      </c>
      <c r="C583" t="s">
        <v>23</v>
      </c>
      <c r="D583">
        <v>763594</v>
      </c>
      <c r="E583">
        <v>112057</v>
      </c>
      <c r="F583">
        <v>875651</v>
      </c>
      <c r="G583" cm="1">
        <f t="array" ref="G583">_xlfn.IFS(A583=$E$640,F583/$F$640,A583=$E$641,F583/$F$641,A583=$E$641,F583/$F$641,A583=$E$642,F583/$F$642,A583=$E$643,F583/$F$643,A583=$E$644,F583/$F$644,A583=$E$645,F583/$F$645,A583=$E$646,F583/$F$646,A583=$E$647,F583/$F$647)</f>
        <v>2.5113116442560833E-2</v>
      </c>
      <c r="H583" cm="1">
        <f t="array" ref="H583">_xlfn.IFS(A583=$P$24,G583*$Q$24,A583=$P$25,G583*$Q$25,A583=$P$26,G583*$Q$26,A583=$P$27,G583*$Q$27,A583=$P$28,G583*$Q$28,A583=$P$29,G583*$Q$29,A583=$P$30,G583*$Q$30,A583=$P$31,G583*$Q$31)</f>
        <v>11254109.807339095</v>
      </c>
      <c r="I583">
        <f t="shared" si="22"/>
        <v>11366166.807339095</v>
      </c>
      <c r="J583" s="1">
        <f t="shared" si="23"/>
        <v>12129760.807339095</v>
      </c>
    </row>
    <row r="584" spans="1:10" x14ac:dyDescent="0.2">
      <c r="A584">
        <v>2022</v>
      </c>
      <c r="B584" t="s">
        <v>114</v>
      </c>
      <c r="C584" t="s">
        <v>24</v>
      </c>
      <c r="D584">
        <v>1114370</v>
      </c>
      <c r="E584">
        <v>163534</v>
      </c>
      <c r="F584">
        <v>1277904</v>
      </c>
      <c r="G584" cm="1">
        <f t="array" ref="G584">_xlfn.IFS(A584=$E$640,F584/$F$640,A584=$E$641,F584/$F$641,A584=$E$641,F584/$F$641,A584=$E$642,F584/$F$642,A584=$E$643,F584/$F$643,A584=$E$644,F584/$F$644,A584=$E$645,F584/$F$645,A584=$E$646,F584/$F$646,A584=$E$647,F584/$F$647)</f>
        <v>3.6649477879217018E-2</v>
      </c>
      <c r="H584" cm="1">
        <f t="array" ref="H584">_xlfn.IFS(A584=$P$24,G584*$Q$24,A584=$P$25,G584*$Q$25,A584=$P$26,G584*$Q$26,A584=$P$27,G584*$Q$27,A584=$P$28,G584*$Q$28,A584=$P$29,G584*$Q$29,A584=$P$30,G584*$Q$30,A584=$P$31,G584*$Q$31)</f>
        <v>16423977.063051216</v>
      </c>
      <c r="I584">
        <f t="shared" si="22"/>
        <v>16587511.063051216</v>
      </c>
      <c r="J584" s="1">
        <f t="shared" si="23"/>
        <v>17701881.063051216</v>
      </c>
    </row>
    <row r="585" spans="1:10" x14ac:dyDescent="0.2">
      <c r="A585">
        <v>2022</v>
      </c>
      <c r="B585" t="s">
        <v>115</v>
      </c>
      <c r="C585" t="s">
        <v>25</v>
      </c>
      <c r="D585">
        <v>400159</v>
      </c>
      <c r="E585">
        <v>58723</v>
      </c>
      <c r="F585">
        <v>458882</v>
      </c>
      <c r="G585" cm="1">
        <f t="array" ref="G585">_xlfn.IFS(A585=$E$640,F585/$F$640,A585=$E$641,F585/$F$641,A585=$E$641,F585/$F$641,A585=$E$642,F585/$F$642,A585=$E$643,F585/$F$643,A585=$E$644,F585/$F$644,A585=$E$645,F585/$F$645,A585=$E$646,F585/$F$646,A585=$E$647,F585/$F$647)</f>
        <v>1.3160445313709686E-2</v>
      </c>
      <c r="H585" cm="1">
        <f t="array" ref="H585">_xlfn.IFS(A585=$P$24,G585*$Q$24,A585=$P$25,G585*$Q$25,A585=$P$26,G585*$Q$26,A585=$P$27,G585*$Q$27,A585=$P$28,G585*$Q$28,A585=$P$29,G585*$Q$29,A585=$P$30,G585*$Q$30,A585=$P$31,G585*$Q$31)</f>
        <v>5897678.8887483468</v>
      </c>
      <c r="I585">
        <f t="shared" si="22"/>
        <v>5956401.8887483468</v>
      </c>
      <c r="J585" s="1">
        <f t="shared" si="23"/>
        <v>6356560.8887483468</v>
      </c>
    </row>
    <row r="586" spans="1:10" x14ac:dyDescent="0.2">
      <c r="A586">
        <v>2022</v>
      </c>
      <c r="B586" t="s">
        <v>116</v>
      </c>
      <c r="C586" t="s">
        <v>30</v>
      </c>
      <c r="D586">
        <v>281049</v>
      </c>
      <c r="E586">
        <v>41244</v>
      </c>
      <c r="F586">
        <v>322293</v>
      </c>
      <c r="G586" cm="1">
        <f t="array" ref="G586">_xlfn.IFS(A586=$E$640,F586/$F$640,A586=$E$641,F586/$F$641,A586=$E$641,F586/$F$641,A586=$E$642,F586/$F$642,A586=$E$643,F586/$F$643,A586=$E$644,F586/$F$644,A586=$E$645,F586/$F$645,A586=$E$646,F586/$F$646,A586=$E$647,F586/$F$647)</f>
        <v>9.2431592468029608E-3</v>
      </c>
      <c r="H586" cm="1">
        <f t="array" ref="H586">_xlfn.IFS(A586=$P$24,G586*$Q$24,A586=$P$25,G586*$Q$25,A586=$P$26,G586*$Q$26,A586=$P$27,G586*$Q$27,A586=$P$28,G586*$Q$28,A586=$P$29,G586*$Q$29,A586=$P$30,G586*$Q$30,A586=$P$31,G586*$Q$31)</f>
        <v>4142199.132002064</v>
      </c>
      <c r="I586">
        <f t="shared" si="22"/>
        <v>4183443.132002064</v>
      </c>
      <c r="J586" s="1">
        <f t="shared" si="23"/>
        <v>4464492.132002064</v>
      </c>
    </row>
    <row r="587" spans="1:10" x14ac:dyDescent="0.2">
      <c r="A587">
        <v>2022</v>
      </c>
      <c r="B587" t="s">
        <v>117</v>
      </c>
      <c r="C587" t="s">
        <v>31</v>
      </c>
      <c r="D587">
        <v>915953</v>
      </c>
      <c r="E587">
        <v>134416</v>
      </c>
      <c r="F587">
        <v>1050369</v>
      </c>
      <c r="G587" cm="1">
        <f t="array" ref="G587">_xlfn.IFS(A587=$E$640,F587/$F$640,A587=$E$641,F587/$F$641,A587=$E$641,F587/$F$641,A587=$E$642,F587/$F$642,A587=$E$643,F587/$F$643,A587=$E$644,F587/$F$644,A587=$E$645,F587/$F$645,A587=$E$646,F587/$F$646,A587=$E$647,F587/$F$647)</f>
        <v>3.0123918095972233E-2</v>
      </c>
      <c r="H587" cm="1">
        <f t="array" ref="H587">_xlfn.IFS(A587=$P$24,G587*$Q$24,A587=$P$25,G587*$Q$25,A587=$P$26,G587*$Q$26,A587=$P$27,G587*$Q$27,A587=$P$28,G587*$Q$28,A587=$P$29,G587*$Q$29,A587=$P$30,G587*$Q$30,A587=$P$31,G587*$Q$31)</f>
        <v>13499634.059945069</v>
      </c>
      <c r="I587">
        <f t="shared" si="22"/>
        <v>13634050.059945069</v>
      </c>
      <c r="J587" s="1">
        <f t="shared" si="23"/>
        <v>14550003.059945069</v>
      </c>
    </row>
    <row r="588" spans="1:10" x14ac:dyDescent="0.2">
      <c r="A588">
        <v>2022</v>
      </c>
      <c r="B588" t="s">
        <v>118</v>
      </c>
      <c r="C588" t="s">
        <v>32</v>
      </c>
      <c r="D588">
        <v>436587</v>
      </c>
      <c r="E588">
        <v>64069</v>
      </c>
      <c r="F588">
        <v>500656</v>
      </c>
      <c r="G588" cm="1">
        <f t="array" ref="G588">_xlfn.IFS(A588=$E$640,F588/$F$640,A588=$E$641,F588/$F$641,A588=$E$641,F588/$F$641,A588=$E$642,F588/$F$642,A588=$E$643,F588/$F$643,A588=$E$644,F588/$F$644,A588=$E$645,F588/$F$645,A588=$E$646,F588/$F$646,A588=$E$647,F588/$F$647)</f>
        <v>1.4358497193136007E-2</v>
      </c>
      <c r="H588" cm="1">
        <f t="array" ref="H588">_xlfn.IFS(A588=$P$24,G588*$Q$24,A588=$P$25,G588*$Q$25,A588=$P$26,G588*$Q$26,A588=$P$27,G588*$Q$27,A588=$P$28,G588*$Q$28,A588=$P$29,G588*$Q$29,A588=$P$30,G588*$Q$30,A588=$P$31,G588*$Q$31)</f>
        <v>6434569.9367706571</v>
      </c>
      <c r="I588">
        <f t="shared" si="22"/>
        <v>6498638.9367706571</v>
      </c>
      <c r="J588" s="1">
        <f t="shared" si="23"/>
        <v>6935225.9367706571</v>
      </c>
    </row>
    <row r="589" spans="1:10" x14ac:dyDescent="0.2">
      <c r="A589">
        <v>2022</v>
      </c>
      <c r="B589" t="s">
        <v>119</v>
      </c>
      <c r="C589" t="s">
        <v>33</v>
      </c>
      <c r="D589">
        <v>333447</v>
      </c>
      <c r="E589">
        <v>48933</v>
      </c>
      <c r="F589">
        <v>382380</v>
      </c>
      <c r="G589" cm="1">
        <f t="array" ref="G589">_xlfn.IFS(A589=$E$640,F589/$F$640,A589=$E$641,F589/$F$641,A589=$E$641,F589/$F$641,A589=$E$642,F589/$F$642,A589=$E$643,F589/$F$643,A589=$E$644,F589/$F$644,A589=$E$645,F589/$F$645,A589=$E$646,F589/$F$646,A589=$E$647,F589/$F$647)</f>
        <v>1.096641637513851E-2</v>
      </c>
      <c r="H589" cm="1">
        <f t="array" ref="H589">_xlfn.IFS(A589=$P$24,G589*$Q$24,A589=$P$25,G589*$Q$25,A589=$P$26,G589*$Q$26,A589=$P$27,G589*$Q$27,A589=$P$28,G589*$Q$28,A589=$P$29,G589*$Q$29,A589=$P$30,G589*$Q$30,A589=$P$31,G589*$Q$31)</f>
        <v>4914453.9412737759</v>
      </c>
      <c r="I589">
        <f t="shared" si="22"/>
        <v>4963386.9412737759</v>
      </c>
      <c r="J589" s="1">
        <f t="shared" si="23"/>
        <v>5296833.9412737759</v>
      </c>
    </row>
    <row r="590" spans="1:10" x14ac:dyDescent="0.2">
      <c r="A590">
        <v>2022</v>
      </c>
      <c r="B590" t="s">
        <v>120</v>
      </c>
      <c r="C590" t="s">
        <v>34</v>
      </c>
      <c r="D590">
        <v>1623669</v>
      </c>
      <c r="E590">
        <v>238274</v>
      </c>
      <c r="F590">
        <v>1861943</v>
      </c>
      <c r="G590" cm="1">
        <f t="array" ref="G590">_xlfn.IFS(A590=$E$640,F590/$F$640,A590=$E$641,F590/$F$641,A590=$E$641,F590/$F$641,A590=$E$642,F590/$F$642,A590=$E$643,F590/$F$643,A590=$E$644,F590/$F$644,A590=$E$645,F590/$F$645,A590=$E$646,F590/$F$646,A590=$E$647,F590/$F$647)</f>
        <v>5.3399346735641312E-2</v>
      </c>
      <c r="H590" cm="1">
        <f t="array" ref="H590">_xlfn.IFS(A590=$P$24,G590*$Q$24,A590=$P$25,G590*$Q$25,A590=$P$26,G590*$Q$26,A590=$P$27,G590*$Q$27,A590=$P$28,G590*$Q$28,A590=$P$29,G590*$Q$29,A590=$P$30,G590*$Q$30,A590=$P$31,G590*$Q$31)</f>
        <v>23930208.470048431</v>
      </c>
      <c r="I590">
        <f t="shared" si="22"/>
        <v>24168482.470048431</v>
      </c>
      <c r="J590" s="1">
        <f t="shared" si="23"/>
        <v>25792151.470048431</v>
      </c>
    </row>
    <row r="591" spans="1:10" x14ac:dyDescent="0.2">
      <c r="A591">
        <v>2022</v>
      </c>
      <c r="B591" t="s">
        <v>121</v>
      </c>
      <c r="C591" t="s">
        <v>35</v>
      </c>
      <c r="D591">
        <v>183092</v>
      </c>
      <c r="E591">
        <v>26869</v>
      </c>
      <c r="F591">
        <v>209961</v>
      </c>
      <c r="G591" cm="1">
        <f t="array" ref="G591">_xlfn.IFS(A591=$E$640,F591/$F$640,A591=$E$641,F591/$F$641,A591=$E$641,F591/$F$641,A591=$E$642,F591/$F$642,A591=$E$643,F591/$F$643,A591=$E$644,F591/$F$644,A591=$E$645,F591/$F$645,A591=$E$646,F591/$F$646,A591=$E$647,F591/$F$647)</f>
        <v>6.0215485865904514E-3</v>
      </c>
      <c r="H591" cm="1">
        <f t="array" ref="H591">_xlfn.IFS(A591=$P$24,G591*$Q$24,A591=$P$25,G591*$Q$25,A591=$P$26,G591*$Q$26,A591=$P$27,G591*$Q$27,A591=$P$28,G591*$Q$28,A591=$P$29,G591*$Q$29,A591=$P$30,G591*$Q$30,A591=$P$31,G591*$Q$31)</f>
        <v>2698477.0750661208</v>
      </c>
      <c r="I591">
        <f t="shared" si="22"/>
        <v>2725346.0750661208</v>
      </c>
      <c r="J591" s="1">
        <f t="shared" si="23"/>
        <v>2908438.0750661208</v>
      </c>
    </row>
    <row r="592" spans="1:10" x14ac:dyDescent="0.2">
      <c r="A592">
        <v>2022</v>
      </c>
      <c r="B592" t="s">
        <v>122</v>
      </c>
      <c r="C592" t="s">
        <v>36</v>
      </c>
      <c r="D592">
        <v>164787</v>
      </c>
      <c r="E592">
        <v>24182</v>
      </c>
      <c r="F592">
        <v>188969</v>
      </c>
      <c r="G592" cm="1">
        <f t="array" ref="G592">_xlfn.IFS(A592=$E$640,F592/$F$640,A592=$E$641,F592/$F$641,A592=$E$641,F592/$F$641,A592=$E$642,F592/$F$642,A592=$E$643,F592/$F$643,A592=$E$644,F592/$F$644,A592=$E$645,F592/$F$645,A592=$E$646,F592/$F$646,A592=$E$647,F592/$F$647)</f>
        <v>5.4195113133363388E-3</v>
      </c>
      <c r="H592" cm="1">
        <f t="array" ref="H592">_xlfn.IFS(A592=$P$24,G592*$Q$24,A592=$P$25,G592*$Q$25,A592=$P$26,G592*$Q$26,A592=$P$27,G592*$Q$27,A592=$P$28,G592*$Q$28,A592=$P$29,G592*$Q$29,A592=$P$30,G592*$Q$30,A592=$P$31,G592*$Q$31)</f>
        <v>2428682.0618980182</v>
      </c>
      <c r="I592">
        <f t="shared" si="22"/>
        <v>2452864.0618980182</v>
      </c>
      <c r="J592" s="1">
        <f t="shared" si="23"/>
        <v>2617651.0618980182</v>
      </c>
    </row>
    <row r="593" spans="1:10" x14ac:dyDescent="0.2">
      <c r="A593">
        <v>2022</v>
      </c>
      <c r="B593" t="s">
        <v>123</v>
      </c>
      <c r="C593" t="s">
        <v>37</v>
      </c>
      <c r="D593">
        <v>254760</v>
      </c>
      <c r="E593">
        <v>37386</v>
      </c>
      <c r="F593">
        <v>292146</v>
      </c>
      <c r="G593" cm="1">
        <f t="array" ref="G593">_xlfn.IFS(A593=$E$640,F593/$F$640,A593=$E$641,F593/$F$641,A593=$E$641,F593/$F$641,A593=$E$642,F593/$F$642,A593=$E$643,F593/$F$643,A593=$E$644,F593/$F$644,A593=$E$645,F593/$F$645,A593=$E$646,F593/$F$646,A593=$E$647,F593/$F$647)</f>
        <v>8.3785623681448176E-3</v>
      </c>
      <c r="H593" cm="1">
        <f t="array" ref="H593">_xlfn.IFS(A593=$P$24,G593*$Q$24,A593=$P$25,G593*$Q$25,A593=$P$26,G593*$Q$26,A593=$P$27,G593*$Q$27,A593=$P$28,G593*$Q$28,A593=$P$29,G593*$Q$29,A593=$P$30,G593*$Q$30,A593=$P$31,G593*$Q$31)</f>
        <v>3754741.5166257876</v>
      </c>
      <c r="I593">
        <f t="shared" si="22"/>
        <v>3792127.5166257876</v>
      </c>
      <c r="J593" s="1">
        <f t="shared" si="23"/>
        <v>4046887.5166257876</v>
      </c>
    </row>
    <row r="594" spans="1:10" x14ac:dyDescent="0.2">
      <c r="A594">
        <v>2022</v>
      </c>
      <c r="B594" t="s">
        <v>124</v>
      </c>
      <c r="C594" t="s">
        <v>38</v>
      </c>
      <c r="D594">
        <v>769049</v>
      </c>
      <c r="E594">
        <v>112858</v>
      </c>
      <c r="F594">
        <v>881907</v>
      </c>
      <c r="G594" cm="1">
        <f t="array" ref="G594">_xlfn.IFS(A594=$E$640,F594/$F$640,A594=$E$641,F594/$F$641,A594=$E$641,F594/$F$641,A594=$E$642,F594/$F$642,A594=$E$643,F594/$F$643,A594=$E$644,F594/$F$644,A594=$E$645,F594/$F$645,A594=$E$646,F594/$F$646,A594=$E$647,F594/$F$647)</f>
        <v>2.5292534562867511E-2</v>
      </c>
      <c r="H594" cm="1">
        <f t="array" ref="H594">_xlfn.IFS(A594=$P$24,G594*$Q$24,A594=$P$25,G594*$Q$25,A594=$P$26,G594*$Q$26,A594=$P$27,G594*$Q$27,A594=$P$28,G594*$Q$28,A594=$P$29,G594*$Q$29,A594=$P$30,G594*$Q$30,A594=$P$31,G594*$Q$31)</f>
        <v>11334513.656537822</v>
      </c>
      <c r="I594">
        <f t="shared" si="22"/>
        <v>11447371.656537822</v>
      </c>
      <c r="J594" s="1">
        <f t="shared" si="23"/>
        <v>12216420.656537822</v>
      </c>
    </row>
    <row r="595" spans="1:10" x14ac:dyDescent="0.2">
      <c r="A595">
        <v>2022</v>
      </c>
      <c r="B595" t="s">
        <v>126</v>
      </c>
      <c r="C595" t="s">
        <v>40</v>
      </c>
      <c r="D595">
        <v>180999</v>
      </c>
      <c r="E595">
        <v>26562</v>
      </c>
      <c r="F595">
        <v>207561</v>
      </c>
      <c r="G595" cm="1">
        <f t="array" ref="G595">_xlfn.IFS(A595=$E$640,F595/$F$640,A595=$E$641,F595/$F$641,A595=$E$641,F595/$F$641,A595=$E$642,F595/$F$642,A595=$E$643,F595/$F$643,A595=$E$644,F595/$F$644,A595=$E$645,F595/$F$645,A595=$E$646,F595/$F$646,A595=$E$647,F595/$F$647)</f>
        <v>5.9527181056543864E-3</v>
      </c>
      <c r="H595" cm="1">
        <f t="array" ref="H595">_xlfn.IFS(A595=$P$24,G595*$Q$24,A595=$P$25,G595*$Q$25,A595=$P$26,G595*$Q$26,A595=$P$27,G595*$Q$27,A595=$P$28,G595*$Q$28,A595=$P$29,G595*$Q$29,A595=$P$30,G595*$Q$30,A595=$P$31,G595*$Q$31)</f>
        <v>2667631.6086215968</v>
      </c>
      <c r="I595">
        <f t="shared" si="22"/>
        <v>2694193.6086215968</v>
      </c>
      <c r="J595" s="1">
        <f t="shared" si="23"/>
        <v>2875192.6086215968</v>
      </c>
    </row>
    <row r="596" spans="1:10" x14ac:dyDescent="0.2">
      <c r="A596">
        <v>2022</v>
      </c>
      <c r="B596" t="s">
        <v>127</v>
      </c>
      <c r="C596" t="s">
        <v>41</v>
      </c>
      <c r="D596">
        <v>10445</v>
      </c>
      <c r="E596">
        <v>1533</v>
      </c>
      <c r="F596">
        <v>11978</v>
      </c>
      <c r="G596" cm="1">
        <f t="array" ref="G596">_xlfn.IFS(A596=$E$640,F596/$F$640,A596=$E$641,F596/$F$641,A596=$E$641,F596/$F$641,A596=$E$642,F596/$F$642,A596=$E$643,F596/$F$643,A596=$E$644,F596/$F$644,A596=$E$645,F596/$F$645,A596=$E$646,F596/$F$646,A596=$E$647,F596/$F$647)</f>
        <v>3.4352145860507628E-4</v>
      </c>
      <c r="H596" cm="1">
        <f t="array" ref="H596">_xlfn.IFS(A596=$P$24,G596*$Q$24,A596=$P$25,G596*$Q$25,A596=$P$26,G596*$Q$26,A596=$P$27,G596*$Q$27,A596=$P$28,G596*$Q$28,A596=$P$29,G596*$Q$29,A596=$P$30,G596*$Q$30,A596=$P$31,G596*$Q$31)</f>
        <v>153944.58211354486</v>
      </c>
      <c r="I596">
        <f t="shared" si="22"/>
        <v>155477.58211354486</v>
      </c>
      <c r="J596" s="1">
        <f t="shared" si="23"/>
        <v>165922.58211354486</v>
      </c>
    </row>
    <row r="597" spans="1:10" x14ac:dyDescent="0.2">
      <c r="A597">
        <v>2022</v>
      </c>
      <c r="B597" t="s">
        <v>128</v>
      </c>
      <c r="C597" t="s">
        <v>42</v>
      </c>
      <c r="D597">
        <v>171875</v>
      </c>
      <c r="E597">
        <v>25223</v>
      </c>
      <c r="F597">
        <v>197098</v>
      </c>
      <c r="G597" cm="1">
        <f t="array" ref="G597">_xlfn.IFS(A597=$E$640,F597/$F$640,A597=$E$641,F597/$F$641,A597=$E$641,F597/$F$641,A597=$E$642,F597/$F$642,A597=$E$643,F597/$F$643,A597=$E$644,F597/$F$644,A597=$E$645,F597/$F$645,A597=$E$646,F597/$F$646,A597=$E$647,F597/$F$647)</f>
        <v>5.6526458881402016E-3</v>
      </c>
      <c r="H597" cm="1">
        <f t="array" ref="H597">_xlfn.IFS(A597=$P$24,G597*$Q$24,A597=$P$25,G597*$Q$25,A597=$P$26,G597*$Q$26,A597=$P$27,G597*$Q$27,A597=$P$28,G597*$Q$28,A597=$P$29,G597*$Q$29,A597=$P$30,G597*$Q$30,A597=$P$31,G597*$Q$31)</f>
        <v>2533158.2272011582</v>
      </c>
      <c r="I597">
        <f t="shared" si="22"/>
        <v>2558381.2272011582</v>
      </c>
      <c r="J597" s="1">
        <f t="shared" si="23"/>
        <v>2730256.2272011582</v>
      </c>
    </row>
    <row r="598" spans="1:10" x14ac:dyDescent="0.2">
      <c r="A598">
        <v>2022</v>
      </c>
      <c r="B598" t="s">
        <v>129</v>
      </c>
      <c r="C598" t="s">
        <v>43</v>
      </c>
      <c r="D598">
        <v>685380</v>
      </c>
      <c r="E598">
        <v>100579</v>
      </c>
      <c r="F598">
        <v>785959</v>
      </c>
      <c r="G598" cm="1">
        <f t="array" ref="G598">_xlfn.IFS(A598=$E$640,F598/$F$640,A598=$E$641,F598/$F$641,A598=$E$641,F598/$F$641,A598=$E$642,F598/$F$642,A598=$E$643,F598/$F$643,A598=$E$644,F598/$F$644,A598=$E$645,F598/$F$645,A598=$E$646,F598/$F$646,A598=$E$647,F598/$F$647)</f>
        <v>2.2540806652511871E-2</v>
      </c>
      <c r="H598" cm="1">
        <f t="array" ref="H598">_xlfn.IFS(A598=$P$24,G598*$Q$24,A598=$P$25,G598*$Q$25,A598=$P$26,G598*$Q$26,A598=$P$27,G598*$Q$27,A598=$P$28,G598*$Q$28,A598=$P$29,G598*$Q$29,A598=$P$30,G598*$Q$30,A598=$P$31,G598*$Q$31)</f>
        <v>10101363.317196496</v>
      </c>
      <c r="I598">
        <f t="shared" si="22"/>
        <v>10201942.317196496</v>
      </c>
      <c r="J598" s="1">
        <f t="shared" si="23"/>
        <v>10887322.317196496</v>
      </c>
    </row>
    <row r="599" spans="1:10" x14ac:dyDescent="0.2">
      <c r="A599">
        <v>2022</v>
      </c>
      <c r="B599" t="s">
        <v>130</v>
      </c>
      <c r="C599" t="s">
        <v>44</v>
      </c>
      <c r="D599">
        <v>1000869</v>
      </c>
      <c r="E599">
        <v>146877</v>
      </c>
      <c r="F599">
        <v>1147746</v>
      </c>
      <c r="G599" cm="1">
        <f t="array" ref="G599">_xlfn.IFS(A599=$E$640,F599/$F$640,A599=$E$641,F599/$F$641,A599=$E$641,F599/$F$641,A599=$E$642,F599/$F$642,A599=$E$643,F599/$F$643,A599=$E$644,F599/$F$644,A599=$E$645,F599/$F$645,A599=$E$646,F599/$F$646,A599=$E$647,F599/$F$647)</f>
        <v>3.2916628821851888E-2</v>
      </c>
      <c r="H599" cm="1">
        <f t="array" ref="H599">_xlfn.IFS(A599=$P$24,G599*$Q$24,A599=$P$25,G599*$Q$25,A599=$P$26,G599*$Q$26,A599=$P$27,G599*$Q$27,A599=$P$28,G599*$Q$28,A599=$P$29,G599*$Q$29,A599=$P$30,G599*$Q$30,A599=$P$31,G599*$Q$31)</f>
        <v>14751150.304098571</v>
      </c>
      <c r="I599">
        <f t="shared" si="22"/>
        <v>14898027.304098571</v>
      </c>
      <c r="J599" s="1">
        <f t="shared" si="23"/>
        <v>15898896.304098571</v>
      </c>
    </row>
    <row r="600" spans="1:10" x14ac:dyDescent="0.2">
      <c r="A600">
        <v>2022</v>
      </c>
      <c r="B600" t="s">
        <v>131</v>
      </c>
      <c r="C600" t="s">
        <v>45</v>
      </c>
      <c r="D600">
        <v>282005</v>
      </c>
      <c r="E600">
        <v>41385</v>
      </c>
      <c r="F600">
        <v>323390</v>
      </c>
      <c r="G600" cm="1">
        <f t="array" ref="G600">_xlfn.IFS(A600=$E$640,F600/$F$640,A600=$E$641,F600/$F$641,A600=$E$641,F600/$F$641,A600=$E$642,F600/$F$642,A600=$E$643,F600/$F$643,A600=$E$644,F600/$F$644,A600=$E$645,F600/$F$645,A600=$E$646,F600/$F$646,A600=$E$647,F600/$F$647)</f>
        <v>9.2746205124641535E-3</v>
      </c>
      <c r="H600" cm="1">
        <f t="array" ref="H600">_xlfn.IFS(A600=$P$24,G600*$Q$24,A600=$P$25,G600*$Q$25,A600=$P$26,G600*$Q$26,A600=$P$27,G600*$Q$27,A600=$P$28,G600*$Q$28,A600=$P$29,G600*$Q$29,A600=$P$30,G600*$Q$30,A600=$P$31,G600*$Q$31)</f>
        <v>4156298.0806227485</v>
      </c>
      <c r="I600">
        <f t="shared" si="22"/>
        <v>4197683.0806227485</v>
      </c>
      <c r="J600" s="1">
        <f t="shared" si="23"/>
        <v>4479688.0806227485</v>
      </c>
    </row>
    <row r="601" spans="1:10" x14ac:dyDescent="0.2">
      <c r="A601">
        <v>2022</v>
      </c>
      <c r="B601" t="s">
        <v>132</v>
      </c>
      <c r="C601" t="s">
        <v>46</v>
      </c>
      <c r="D601">
        <v>135292</v>
      </c>
      <c r="E601">
        <v>19854</v>
      </c>
      <c r="F601">
        <v>155146</v>
      </c>
      <c r="G601" cm="1">
        <f t="array" ref="G601">_xlfn.IFS(A601=$E$640,F601/$F$640,A601=$E$641,F601/$F$641,A601=$E$641,F601/$F$641,A601=$E$642,F601/$F$642,A601=$E$643,F601/$F$643,A601=$E$644,F601/$F$644,A601=$E$645,F601/$F$645,A601=$E$646,F601/$F$646,A601=$E$647,F601/$F$647)</f>
        <v>4.44948908137779E-3</v>
      </c>
      <c r="H601" cm="1">
        <f t="array" ref="H601">_xlfn.IFS(A601=$P$24,G601*$Q$24,A601=$P$25,G601*$Q$25,A601=$P$26,G601*$Q$26,A601=$P$27,G601*$Q$27,A601=$P$28,G601*$Q$28,A601=$P$29,G601*$Q$29,A601=$P$30,G601*$Q$30,A601=$P$31,G601*$Q$31)</f>
        <v>1993979.4737508795</v>
      </c>
      <c r="I601">
        <f t="shared" si="22"/>
        <v>2013833.4737508795</v>
      </c>
      <c r="J601" s="1">
        <f t="shared" si="23"/>
        <v>2149125.4737508795</v>
      </c>
    </row>
    <row r="602" spans="1:10" x14ac:dyDescent="0.2">
      <c r="A602">
        <v>2022</v>
      </c>
      <c r="B602" t="s">
        <v>133</v>
      </c>
      <c r="C602" t="s">
        <v>47</v>
      </c>
      <c r="D602">
        <v>200770</v>
      </c>
      <c r="E602">
        <v>29463</v>
      </c>
      <c r="F602">
        <v>230233</v>
      </c>
      <c r="G602" cm="1">
        <f t="array" ref="G602">_xlfn.IFS(A602=$E$640,F602/$F$640,A602=$E$641,F602/$F$641,A602=$E$641,F602/$F$641,A602=$E$642,F602/$F$642,A602=$E$643,F602/$F$643,A602=$E$644,F602/$F$644,A602=$E$645,F602/$F$645,A602=$E$646,F602/$F$646,A602=$E$647,F602/$F$647)</f>
        <v>6.6029367155637448E-3</v>
      </c>
      <c r="H602" cm="1">
        <f t="array" ref="H602">_xlfn.IFS(A602=$P$24,G602*$Q$24,A602=$P$25,G602*$Q$25,A602=$P$26,G602*$Q$26,A602=$P$27,G602*$Q$27,A602=$P$28,G602*$Q$28,A602=$P$29,G602*$Q$29,A602=$P$30,G602*$Q$30,A602=$P$31,G602*$Q$31)</f>
        <v>2959018.4483008664</v>
      </c>
      <c r="I602">
        <f t="shared" si="22"/>
        <v>2988481.4483008664</v>
      </c>
      <c r="J602" s="1">
        <f t="shared" si="23"/>
        <v>3189251.4483008664</v>
      </c>
    </row>
    <row r="603" spans="1:10" x14ac:dyDescent="0.2">
      <c r="A603">
        <v>2022</v>
      </c>
      <c r="B603" t="s">
        <v>134</v>
      </c>
      <c r="C603" t="s">
        <v>48</v>
      </c>
      <c r="D603">
        <v>123067</v>
      </c>
      <c r="E603">
        <v>18060</v>
      </c>
      <c r="F603">
        <v>141127</v>
      </c>
      <c r="G603" cm="1">
        <f t="array" ref="G603">_xlfn.IFS(A603=$E$640,F603/$F$640,A603=$E$641,F603/$F$641,A603=$E$641,F603/$F$641,A603=$E$642,F603/$F$642,A603=$E$643,F603/$F$643,A603=$E$644,F603/$F$644,A603=$E$645,F603/$F$645,A603=$E$646,F603/$F$646,A603=$E$647,F603/$F$647)</f>
        <v>4.047433034610002E-3</v>
      </c>
      <c r="H603" cm="1">
        <f t="array" ref="H603">_xlfn.IFS(A603=$P$24,G603*$Q$24,A603=$P$25,G603*$Q$25,A603=$P$26,G603*$Q$26,A603=$P$27,G603*$Q$27,A603=$P$28,G603*$Q$28,A603=$P$29,G603*$Q$29,A603=$P$30,G603*$Q$30,A603=$P$31,G603*$Q$31)</f>
        <v>1813803.3928818039</v>
      </c>
      <c r="I603">
        <f t="shared" si="22"/>
        <v>1831863.3928818039</v>
      </c>
      <c r="J603" s="1">
        <f t="shared" si="23"/>
        <v>1954930.3928818039</v>
      </c>
    </row>
    <row r="604" spans="1:10" x14ac:dyDescent="0.2">
      <c r="A604">
        <v>2022</v>
      </c>
      <c r="B604" t="s">
        <v>135</v>
      </c>
      <c r="C604" t="s">
        <v>49</v>
      </c>
      <c r="D604">
        <v>200987</v>
      </c>
      <c r="E604">
        <v>29495</v>
      </c>
      <c r="F604">
        <v>230482</v>
      </c>
      <c r="G604" cm="1">
        <f t="array" ref="G604">_xlfn.IFS(A604=$E$640,F604/$F$640,A604=$E$641,F604/$F$641,A604=$E$641,F604/$F$641,A604=$E$642,F604/$F$642,A604=$E$643,F604/$F$643,A604=$E$644,F604/$F$644,A604=$E$645,F604/$F$645,A604=$E$646,F604/$F$646,A604=$E$647,F604/$F$647)</f>
        <v>6.6100778779608618E-3</v>
      </c>
      <c r="H604" cm="1">
        <f t="array" ref="H604">_xlfn.IFS(A604=$P$24,G604*$Q$24,A604=$P$25,G604*$Q$25,A604=$P$26,G604*$Q$26,A604=$P$27,G604*$Q$27,A604=$P$28,G604*$Q$28,A604=$P$29,G604*$Q$29,A604=$P$30,G604*$Q$30,A604=$P$31,G604*$Q$31)</f>
        <v>2962218.6654444858</v>
      </c>
      <c r="I604">
        <f t="shared" si="22"/>
        <v>2991713.6654444858</v>
      </c>
      <c r="J604" s="1">
        <f t="shared" si="23"/>
        <v>3192700.6654444858</v>
      </c>
    </row>
    <row r="605" spans="1:10" x14ac:dyDescent="0.2">
      <c r="A605">
        <v>2022</v>
      </c>
      <c r="B605" t="s">
        <v>136</v>
      </c>
      <c r="C605" t="s">
        <v>50</v>
      </c>
      <c r="D605">
        <v>10830</v>
      </c>
      <c r="E605">
        <v>1589</v>
      </c>
      <c r="F605">
        <v>12419</v>
      </c>
      <c r="G605" cm="1">
        <f t="array" ref="G605">_xlfn.IFS(A605=$E$640,F605/$F$640,A605=$E$641,F605/$F$641,A605=$E$641,F605/$F$641,A605=$E$642,F605/$F$642,A605=$E$643,F605/$F$643,A605=$E$644,F605/$F$644,A605=$E$645,F605/$F$645,A605=$E$646,F605/$F$646,A605=$E$647,F605/$F$647)</f>
        <v>3.5616905947707819E-4</v>
      </c>
      <c r="H605" cm="1">
        <f t="array" ref="H605">_xlfn.IFS(A605=$P$24,G605*$Q$24,A605=$P$25,G605*$Q$25,A605=$P$26,G605*$Q$26,A605=$P$27,G605*$Q$27,A605=$P$28,G605*$Q$28,A605=$P$29,G605*$Q$29,A605=$P$30,G605*$Q$30,A605=$P$31,G605*$Q$31)</f>
        <v>159612.43657272615</v>
      </c>
      <c r="I605">
        <f t="shared" si="22"/>
        <v>161201.43657272615</v>
      </c>
      <c r="J605" s="1">
        <f t="shared" si="23"/>
        <v>172031.43657272615</v>
      </c>
    </row>
    <row r="606" spans="1:10" x14ac:dyDescent="0.2">
      <c r="A606">
        <v>2022</v>
      </c>
      <c r="B606" t="s">
        <v>137</v>
      </c>
      <c r="C606" t="s">
        <v>51</v>
      </c>
      <c r="D606">
        <v>233064</v>
      </c>
      <c r="E606">
        <v>34202</v>
      </c>
      <c r="F606">
        <v>267266</v>
      </c>
      <c r="G606" cm="1">
        <f t="array" ref="G606">_xlfn.IFS(A606=$E$640,F606/$F$640,A606=$E$641,F606/$F$641,A606=$E$641,F606/$F$641,A606=$E$642,F606/$F$642,A606=$E$643,F606/$F$643,A606=$E$644,F606/$F$644,A606=$E$645,F606/$F$645,A606=$E$646,F606/$F$646,A606=$E$647,F606/$F$647)</f>
        <v>7.6650197157742796E-3</v>
      </c>
      <c r="H606" cm="1">
        <f t="array" ref="H606">_xlfn.IFS(A606=$P$24,G606*$Q$24,A606=$P$25,G606*$Q$25,A606=$P$26,G606*$Q$26,A606=$P$27,G606*$Q$27,A606=$P$28,G606*$Q$28,A606=$P$29,G606*$Q$29,A606=$P$30,G606*$Q$30,A606=$P$31,G606*$Q$31)</f>
        <v>3434976.847817556</v>
      </c>
      <c r="I606">
        <f t="shared" si="22"/>
        <v>3469178.847817556</v>
      </c>
      <c r="J606" s="1">
        <f t="shared" si="23"/>
        <v>3702242.847817556</v>
      </c>
    </row>
    <row r="607" spans="1:10" x14ac:dyDescent="0.2">
      <c r="A607">
        <v>2022</v>
      </c>
      <c r="B607" t="s">
        <v>138</v>
      </c>
      <c r="C607" t="s">
        <v>52</v>
      </c>
      <c r="D607">
        <v>314566</v>
      </c>
      <c r="E607">
        <v>46163</v>
      </c>
      <c r="F607">
        <v>360729</v>
      </c>
      <c r="G607" cm="1">
        <f t="array" ref="G607">_xlfn.IFS(A607=$E$640,F607/$F$640,A607=$E$641,F607/$F$641,A607=$E$641,F607/$F$641,A607=$E$642,F607/$F$642,A607=$E$643,F607/$F$643,A607=$E$644,F607/$F$644,A607=$E$645,F607/$F$645,A607=$E$646,F607/$F$646,A607=$E$647,F607/$F$647)</f>
        <v>1.0345479398994037E-2</v>
      </c>
      <c r="H607" cm="1">
        <f t="array" ref="H607">_xlfn.IFS(A607=$P$24,G607*$Q$24,A607=$P$25,G607*$Q$25,A607=$P$26,G607*$Q$26,A607=$P$27,G607*$Q$27,A607=$P$28,G607*$Q$28,A607=$P$29,G607*$Q$29,A607=$P$30,G607*$Q$30,A607=$P$31,G607*$Q$31)</f>
        <v>4636189.2771111149</v>
      </c>
      <c r="I607">
        <f t="shared" si="22"/>
        <v>4682352.2771111149</v>
      </c>
      <c r="J607" s="1">
        <f t="shared" si="23"/>
        <v>4996918.2771111149</v>
      </c>
    </row>
    <row r="608" spans="1:10" x14ac:dyDescent="0.2">
      <c r="A608">
        <v>2022</v>
      </c>
      <c r="B608" t="s">
        <v>139</v>
      </c>
      <c r="C608" t="s">
        <v>53</v>
      </c>
      <c r="D608">
        <v>654862</v>
      </c>
      <c r="E608">
        <v>96101</v>
      </c>
      <c r="F608">
        <v>750963</v>
      </c>
      <c r="G608" cm="1">
        <f t="array" ref="G608">_xlfn.IFS(A608=$E$640,F608/$F$640,A608=$E$641,F608/$F$641,A608=$E$641,F608/$F$641,A608=$E$642,F608/$F$642,A608=$E$643,F608/$F$643,A608=$E$644,F608/$F$644,A608=$E$645,F608/$F$645,A608=$E$646,F608/$F$646,A608=$E$647,F608/$F$647)</f>
        <v>2.1537143522995818E-2</v>
      </c>
      <c r="H608" cm="1">
        <f t="array" ref="H608">_xlfn.IFS(A608=$P$24,G608*$Q$24,A608=$P$25,G608*$Q$25,A608=$P$26,G608*$Q$26,A608=$P$27,G608*$Q$27,A608=$P$28,G608*$Q$28,A608=$P$29,G608*$Q$29,A608=$P$30,G608*$Q$30,A608=$P$31,G608*$Q$31)</f>
        <v>9651585.007324595</v>
      </c>
      <c r="I608">
        <f t="shared" si="22"/>
        <v>9747686.007324595</v>
      </c>
      <c r="J608" s="1">
        <f t="shared" si="23"/>
        <v>10402548.007324595</v>
      </c>
    </row>
    <row r="609" spans="1:10" x14ac:dyDescent="0.2">
      <c r="A609">
        <v>2022</v>
      </c>
      <c r="B609" t="s">
        <v>140</v>
      </c>
      <c r="C609" t="s">
        <v>54</v>
      </c>
      <c r="D609">
        <v>55438</v>
      </c>
      <c r="E609">
        <v>8136</v>
      </c>
      <c r="F609">
        <v>63574</v>
      </c>
      <c r="G609" cm="1">
        <f t="array" ref="G609">_xlfn.IFS(A609=$E$640,F609/$F$640,A609=$E$641,F609/$F$641,A609=$E$641,F609/$F$641,A609=$E$642,F609/$F$642,A609=$E$643,F609/$F$643,A609=$E$644,F609/$F$644,A609=$E$645,F609/$F$645,A609=$E$646,F609/$F$646,A609=$E$647,F609/$F$647)</f>
        <v>1.8232620812622408E-3</v>
      </c>
      <c r="H609" cm="1">
        <f t="array" ref="H609">_xlfn.IFS(A609=$P$24,G609*$Q$24,A609=$P$25,G609*$Q$25,A609=$P$26,G609*$Q$26,A609=$P$27,G609*$Q$27,A609=$P$28,G609*$Q$28,A609=$P$29,G609*$Q$29,A609=$P$30,G609*$Q$30,A609=$P$31,G609*$Q$31)</f>
        <v>817070.70156006864</v>
      </c>
      <c r="I609">
        <f t="shared" si="22"/>
        <v>825206.70156006864</v>
      </c>
      <c r="J609" s="1">
        <f t="shared" si="23"/>
        <v>880644.70156006864</v>
      </c>
    </row>
    <row r="610" spans="1:10" x14ac:dyDescent="0.2">
      <c r="A610">
        <v>2022</v>
      </c>
      <c r="B610" t="s">
        <v>141</v>
      </c>
      <c r="C610" t="s">
        <v>55</v>
      </c>
      <c r="D610">
        <v>685005</v>
      </c>
      <c r="E610">
        <v>100525</v>
      </c>
      <c r="F610">
        <v>785530</v>
      </c>
      <c r="G610" cm="1">
        <f t="array" ref="G610">_xlfn.IFS(A610=$E$640,F610/$F$640,A610=$E$641,F610/$F$641,A610=$E$641,F610/$F$641,A610=$E$642,F610/$F$642,A610=$E$643,F610/$F$643,A610=$E$644,F610/$F$644,A610=$E$645,F610/$F$645,A610=$E$646,F610/$F$646,A610=$E$647,F610/$F$647)</f>
        <v>2.2528503204044547E-2</v>
      </c>
      <c r="H610" cm="1">
        <f t="array" ref="H610">_xlfn.IFS(A610=$P$24,G610*$Q$24,A610=$P$25,G610*$Q$25,A610=$P$26,G610*$Q$26,A610=$P$27,G610*$Q$27,A610=$P$28,G610*$Q$28,A610=$P$29,G610*$Q$29,A610=$P$30,G610*$Q$30,A610=$P$31,G610*$Q$31)</f>
        <v>10095849.690069536</v>
      </c>
      <c r="I610">
        <f t="shared" si="22"/>
        <v>10196374.690069536</v>
      </c>
      <c r="J610" s="1">
        <f t="shared" si="23"/>
        <v>10881379.690069536</v>
      </c>
    </row>
    <row r="611" spans="1:10" x14ac:dyDescent="0.2">
      <c r="A611">
        <v>2022</v>
      </c>
      <c r="B611" t="s">
        <v>142</v>
      </c>
      <c r="C611" t="s">
        <v>56</v>
      </c>
      <c r="D611">
        <v>57253</v>
      </c>
      <c r="E611">
        <v>8402</v>
      </c>
      <c r="F611">
        <v>65655</v>
      </c>
      <c r="G611" cm="1">
        <f t="array" ref="G611">_xlfn.IFS(A611=$E$640,F611/$F$640,A611=$E$641,F611/$F$641,A611=$E$641,F611/$F$641,A611=$E$642,F611/$F$642,A611=$E$643,F611/$F$643,A611=$E$644,F611/$F$644,A611=$E$645,F611/$F$645,A611=$E$646,F611/$F$646,A611=$E$647,F611/$F$647)</f>
        <v>1.8829438441072203E-3</v>
      </c>
      <c r="H611" cm="1">
        <f t="array" ref="H611">_xlfn.IFS(A611=$P$24,G611*$Q$24,A611=$P$25,G611*$Q$25,A611=$P$26,G611*$Q$26,A611=$P$27,G611*$Q$27,A611=$P$28,G611*$Q$28,A611=$P$29,G611*$Q$29,A611=$P$30,G611*$Q$30,A611=$P$31,G611*$Q$31)</f>
        <v>843816.29142300796</v>
      </c>
      <c r="I611">
        <f t="shared" si="22"/>
        <v>852218.29142300796</v>
      </c>
      <c r="J611" s="1">
        <f t="shared" si="23"/>
        <v>909471.29142300796</v>
      </c>
    </row>
    <row r="612" spans="1:10" x14ac:dyDescent="0.2">
      <c r="A612">
        <v>2022</v>
      </c>
      <c r="B612" t="s">
        <v>143</v>
      </c>
      <c r="C612" t="s">
        <v>57</v>
      </c>
      <c r="D612">
        <v>1062387</v>
      </c>
      <c r="E612">
        <v>155906</v>
      </c>
      <c r="F612">
        <v>1218293</v>
      </c>
      <c r="G612" cm="1">
        <f t="array" ref="G612">_xlfn.IFS(A612=$E$640,F612/$F$640,A612=$E$641,F612/$F$641,A612=$E$641,F612/$F$641,A612=$E$642,F612/$F$642,A612=$E$643,F612/$F$643,A612=$E$644,F612/$F$644,A612=$E$645,F612/$F$645,A612=$E$646,F612/$F$646,A612=$E$647,F612/$F$647)</f>
        <v>3.4939872129600452E-2</v>
      </c>
      <c r="H612" cm="1">
        <f t="array" ref="H612">_xlfn.IFS(A612=$P$24,G612*$Q$24,A612=$P$25,G612*$Q$25,A612=$P$26,G612*$Q$26,A612=$P$27,G612*$Q$27,A612=$P$28,G612*$Q$28,A612=$P$29,G612*$Q$29,A612=$P$30,G612*$Q$30,A612=$P$31,G612*$Q$31)</f>
        <v>15657839.937957667</v>
      </c>
      <c r="I612">
        <f t="shared" si="22"/>
        <v>15813745.937957667</v>
      </c>
      <c r="J612" s="1">
        <f t="shared" si="23"/>
        <v>16876132.937957667</v>
      </c>
    </row>
    <row r="613" spans="1:10" x14ac:dyDescent="0.2">
      <c r="A613">
        <v>2022</v>
      </c>
      <c r="B613" t="s">
        <v>144</v>
      </c>
      <c r="C613" t="s">
        <v>58</v>
      </c>
      <c r="D613">
        <v>386532</v>
      </c>
      <c r="E613">
        <v>56724</v>
      </c>
      <c r="F613">
        <v>443256</v>
      </c>
      <c r="G613" cm="1">
        <f t="array" ref="G613">_xlfn.IFS(A613=$E$640,F613/$F$640,A613=$E$641,F613/$F$641,A613=$E$641,F613/$F$641,A613=$E$642,F613/$F$642,A613=$E$643,F613/$F$643,A613=$E$644,F613/$F$644,A613=$E$645,F613/$F$645,A613=$E$646,F613/$F$646,A613=$E$647,F613/$F$647)</f>
        <v>1.2712301524081792E-2</v>
      </c>
      <c r="H613" cm="1">
        <f t="array" ref="H613">_xlfn.IFS(A613=$P$24,G613*$Q$24,A613=$P$25,G613*$Q$25,A613=$P$26,G613*$Q$26,A613=$P$27,G613*$Q$27,A613=$P$28,G613*$Q$28,A613=$P$29,G613*$Q$29,A613=$P$30,G613*$Q$30,A613=$P$31,G613*$Q$31)</f>
        <v>5696849.1976391263</v>
      </c>
      <c r="I613">
        <f t="shared" si="22"/>
        <v>5753573.1976391263</v>
      </c>
      <c r="J613" s="1">
        <f t="shared" si="23"/>
        <v>6140105.1976391263</v>
      </c>
    </row>
    <row r="614" spans="1:10" x14ac:dyDescent="0.2">
      <c r="A614">
        <v>2022</v>
      </c>
      <c r="B614" t="s">
        <v>146</v>
      </c>
      <c r="C614" t="s">
        <v>60</v>
      </c>
      <c r="D614">
        <v>7721</v>
      </c>
      <c r="E614">
        <v>1133</v>
      </c>
      <c r="F614">
        <v>8854</v>
      </c>
      <c r="G614" cm="1">
        <f t="array" ref="G614">_xlfn.IFS(A614=$E$640,F614/$F$640,A614=$E$641,F614/$F$641,A614=$E$641,F614/$F$641,A614=$E$642,F614/$F$642,A614=$E$643,F614/$F$643,A614=$E$644,F614/$F$644,A614=$E$645,F614/$F$645,A614=$E$646,F614/$F$646,A614=$E$647,F614/$F$647)</f>
        <v>2.539271159199654E-4</v>
      </c>
      <c r="H614" cm="1">
        <f t="array" ref="H614">_xlfn.IFS(A614=$P$24,G614*$Q$24,A614=$P$25,G614*$Q$25,A614=$P$26,G614*$Q$26,A614=$P$27,G614*$Q$27,A614=$P$28,G614*$Q$28,A614=$P$29,G614*$Q$29,A614=$P$30,G614*$Q$30,A614=$P$31,G614*$Q$31)</f>
        <v>113794.06662492288</v>
      </c>
      <c r="I614">
        <f t="shared" si="22"/>
        <v>114927.06662492288</v>
      </c>
      <c r="J614" s="1">
        <f t="shared" si="23"/>
        <v>122648.06662492288</v>
      </c>
    </row>
    <row r="615" spans="1:10" x14ac:dyDescent="0.2">
      <c r="A615">
        <v>2022</v>
      </c>
      <c r="B615" t="s">
        <v>150</v>
      </c>
      <c r="C615" t="s">
        <v>64</v>
      </c>
      <c r="D615">
        <v>29769</v>
      </c>
      <c r="E615">
        <v>4368</v>
      </c>
      <c r="F615">
        <v>34137</v>
      </c>
      <c r="G615" cm="1">
        <f t="array" ref="G615">_xlfn.IFS(A615=$E$640,F615/$F$640,A615=$E$641,F615/$F$641,A615=$E$641,F615/$F$641,A615=$E$642,F615/$F$642,A615=$E$643,F615/$F$643,A615=$E$644,F615/$F$644,A615=$E$645,F615/$F$645,A615=$E$646,F615/$F$646,A615=$E$647,F615/$F$647)</f>
        <v>9.7902755321435057E-4</v>
      </c>
      <c r="H615" cm="1">
        <f t="array" ref="H615">_xlfn.IFS(A615=$P$24,G615*$Q$24,A615=$P$25,G615*$Q$25,A615=$P$26,G615*$Q$26,A615=$P$27,G615*$Q$27,A615=$P$28,G615*$Q$28,A615=$P$29,G615*$Q$29,A615=$P$30,G615*$Q$30,A615=$P$31,G615*$Q$31)</f>
        <v>438738.20334029739</v>
      </c>
      <c r="I615">
        <f t="shared" si="22"/>
        <v>443106.20334029739</v>
      </c>
      <c r="J615" s="1">
        <f t="shared" si="23"/>
        <v>472875.20334029739</v>
      </c>
    </row>
    <row r="616" spans="1:10" x14ac:dyDescent="0.2">
      <c r="A616">
        <v>2022</v>
      </c>
      <c r="B616" t="s">
        <v>151</v>
      </c>
      <c r="C616" t="s">
        <v>65</v>
      </c>
      <c r="D616">
        <v>191010</v>
      </c>
      <c r="E616">
        <v>28031</v>
      </c>
      <c r="F616">
        <v>219041</v>
      </c>
      <c r="G616" cm="1">
        <f t="array" ref="G616">_xlfn.IFS(A616=$E$640,F616/$F$640,A616=$E$641,F616/$F$641,A616=$E$641,F616/$F$641,A616=$E$642,F616/$F$642,A616=$E$643,F616/$F$643,A616=$E$644,F616/$F$644,A616=$E$645,F616/$F$645,A616=$E$646,F616/$F$646,A616=$E$647,F616/$F$647)</f>
        <v>6.2819572394652292E-3</v>
      </c>
      <c r="H616" cm="1">
        <f t="array" ref="H616">_xlfn.IFS(A616=$P$24,G616*$Q$24,A616=$P$25,G616*$Q$25,A616=$P$26,G616*$Q$26,A616=$P$27,G616*$Q$27,A616=$P$28,G616*$Q$28,A616=$P$29,G616*$Q$29,A616=$P$30,G616*$Q$30,A616=$P$31,G616*$Q$31)</f>
        <v>2815175.7564479029</v>
      </c>
      <c r="I616">
        <f t="shared" si="22"/>
        <v>2843206.7564479029</v>
      </c>
      <c r="J616" s="1">
        <f t="shared" si="23"/>
        <v>3034216.7564479029</v>
      </c>
    </row>
    <row r="617" spans="1:10" x14ac:dyDescent="0.2">
      <c r="A617">
        <v>2022</v>
      </c>
      <c r="B617" t="s">
        <v>161</v>
      </c>
      <c r="C617" t="s">
        <v>70</v>
      </c>
      <c r="D617">
        <v>353334</v>
      </c>
      <c r="E617">
        <v>51852</v>
      </c>
      <c r="F617">
        <v>405186</v>
      </c>
      <c r="G617" cm="1">
        <f t="array" ref="G617">_xlfn.IFS(A617=$E$640,F617/$F$640,A617=$E$641,F617/$F$641,A617=$E$641,F617/$F$641,A617=$E$642,F617/$F$642,A617=$E$643,F617/$F$643,A617=$E$644,F617/$F$644,A617=$E$645,F617/$F$645,A617=$E$646,F617/$F$646,A617=$E$647,F617/$F$647)</f>
        <v>1.1620478020233466E-2</v>
      </c>
      <c r="H617" cm="1">
        <f t="array" ref="H617">_xlfn.IFS(A617=$P$24,G617*$Q$24,A617=$P$25,G617*$Q$25,A617=$P$26,G617*$Q$26,A617=$P$27,G617*$Q$27,A617=$P$28,G617*$Q$28,A617=$P$29,G617*$Q$29,A617=$P$30,G617*$Q$30,A617=$P$31,G617*$Q$31)</f>
        <v>5207562.9861628655</v>
      </c>
      <c r="I617">
        <f t="shared" si="22"/>
        <v>5259414.9861628655</v>
      </c>
      <c r="J617" s="1">
        <f t="shared" si="23"/>
        <v>5612748.9861628655</v>
      </c>
    </row>
    <row r="618" spans="1:10" x14ac:dyDescent="0.2">
      <c r="A618">
        <v>2022</v>
      </c>
      <c r="B618" t="s">
        <v>168</v>
      </c>
      <c r="C618" t="s">
        <v>78</v>
      </c>
      <c r="D618">
        <v>12015</v>
      </c>
      <c r="E618">
        <v>1764</v>
      </c>
      <c r="F618">
        <v>13779</v>
      </c>
      <c r="G618" cm="1">
        <f t="array" ref="G618">_xlfn.IFS(A618=$E$640,F618/$F$640,A618=$E$641,F618/$F$641,A618=$E$641,F618/$F$641,A618=$E$642,F618/$F$642,A618=$E$643,F618/$F$643,A618=$E$644,F618/$F$644,A618=$E$645,F618/$F$645,A618=$E$646,F618/$F$646,A618=$E$647,F618/$F$647)</f>
        <v>3.9517299867418155E-4</v>
      </c>
      <c r="H618" cm="1">
        <f t="array" ref="H618">_xlfn.IFS(A618=$P$24,G618*$Q$24,A618=$P$25,G618*$Q$25,A618=$P$26,G618*$Q$26,A618=$P$27,G618*$Q$27,A618=$P$28,G618*$Q$28,A618=$P$29,G618*$Q$29,A618=$P$30,G618*$Q$30,A618=$P$31,G618*$Q$31)</f>
        <v>177091.53422462306</v>
      </c>
      <c r="I618">
        <f t="shared" si="22"/>
        <v>178855.53422462306</v>
      </c>
      <c r="J618" s="1">
        <f t="shared" si="23"/>
        <v>190870.53422462306</v>
      </c>
    </row>
    <row r="619" spans="1:10" x14ac:dyDescent="0.2">
      <c r="A619">
        <v>2022</v>
      </c>
      <c r="B619" t="s">
        <v>169</v>
      </c>
      <c r="C619" t="s">
        <v>80</v>
      </c>
      <c r="D619">
        <v>2405473</v>
      </c>
      <c r="E619">
        <v>353003</v>
      </c>
      <c r="F619">
        <v>2758476</v>
      </c>
      <c r="G619" cm="1">
        <f t="array" ref="G619">_xlfn.IFS(A619=$E$640,F619/$F$640,A619=$E$641,F619/$F$641,A619=$E$641,F619/$F$641,A619=$E$642,F619/$F$642,A619=$E$643,F619/$F$643,A619=$E$644,F619/$F$644,A619=$E$645,F619/$F$645,A619=$E$646,F619/$F$646,A619=$E$647,F619/$F$647)</f>
        <v>7.9111345721080015E-2</v>
      </c>
      <c r="H619" cm="1">
        <f t="array" ref="H619">_xlfn.IFS(A619=$P$24,G619*$Q$24,A619=$P$25,G619*$Q$25,A619=$P$26,G619*$Q$26,A619=$P$27,G619*$Q$27,A619=$P$28,G619*$Q$28,A619=$P$29,G619*$Q$29,A619=$P$30,G619*$Q$30,A619=$P$31,G619*$Q$31)</f>
        <v>35452699.540010251</v>
      </c>
      <c r="I619">
        <f t="shared" si="22"/>
        <v>35805702.540010251</v>
      </c>
      <c r="J619" s="1">
        <f t="shared" si="23"/>
        <v>38211175.540010251</v>
      </c>
    </row>
    <row r="620" spans="1:10" x14ac:dyDescent="0.2">
      <c r="A620">
        <v>2022</v>
      </c>
      <c r="B620" t="s">
        <v>159</v>
      </c>
      <c r="C620" t="s">
        <v>68</v>
      </c>
      <c r="D620">
        <v>402077</v>
      </c>
      <c r="E620">
        <v>59005</v>
      </c>
      <c r="F620">
        <v>461082</v>
      </c>
      <c r="G620" cm="1">
        <f t="array" ref="G620">_xlfn.IFS(A620=$E$640,F620/$F$640,A620=$E$641,F620/$F$641,A620=$E$641,F620/$F$641,A620=$E$642,F620/$F$642,A620=$E$643,F620/$F$643,A620=$E$644,F620/$F$644,A620=$E$645,F620/$F$645,A620=$E$646,F620/$F$646,A620=$E$647,F620/$F$647)</f>
        <v>1.3223539921234413E-2</v>
      </c>
      <c r="H620" cm="1">
        <f t="array" ref="H620">_xlfn.IFS(A620=$P$24,G620*$Q$24,A620=$P$25,G620*$Q$25,A620=$P$26,G620*$Q$26,A620=$P$27,G620*$Q$27,A620=$P$28,G620*$Q$28,A620=$P$29,G620*$Q$29,A620=$P$30,G620*$Q$30,A620=$P$31,G620*$Q$31)</f>
        <v>5925953.8996558273</v>
      </c>
      <c r="I620">
        <f t="shared" si="22"/>
        <v>5984958.8996558273</v>
      </c>
      <c r="J620" s="1">
        <f t="shared" si="23"/>
        <v>6387035.8996558273</v>
      </c>
    </row>
    <row r="621" spans="1:10" x14ac:dyDescent="0.2">
      <c r="A621">
        <v>2022</v>
      </c>
      <c r="B621" t="s">
        <v>173</v>
      </c>
      <c r="C621" t="s">
        <v>172</v>
      </c>
      <c r="D621">
        <v>44926</v>
      </c>
      <c r="E621">
        <v>6593</v>
      </c>
      <c r="F621">
        <v>51519</v>
      </c>
      <c r="G621" cm="1">
        <f t="array" ref="G621">_xlfn.IFS(A621=$E$640,F621/$F$640,A621=$E$641,F621/$F$641,A621=$E$641,F621/$F$641,A621=$E$642,F621/$F$642,A621=$E$643,F621/$F$643,A621=$E$644,F621/$F$644,A621=$E$645,F621/$F$645,A621=$E$646,F621/$F$646,A621=$E$647,F621/$F$647)</f>
        <v>1.4775323113937991E-3</v>
      </c>
      <c r="H621" cm="1">
        <f t="array" ref="H621">_xlfn.IFS(A621=$P$24,G621*$Q$24,A621=$P$25,G621*$Q$25,A621=$P$26,G621*$Q$26,A621=$P$27,G621*$Q$27,A621=$P$28,G621*$Q$28,A621=$P$29,G621*$Q$29,A621=$P$30,G621*$Q$30,A621=$P$31,G621*$Q$31)</f>
        <v>662136.49406476191</v>
      </c>
      <c r="I621">
        <f t="shared" si="22"/>
        <v>668729.49406476191</v>
      </c>
      <c r="J621" s="1">
        <f t="shared" si="23"/>
        <v>713655.49406476191</v>
      </c>
    </row>
    <row r="622" spans="1:10" x14ac:dyDescent="0.2">
      <c r="A622">
        <v>2022</v>
      </c>
      <c r="B622" t="s">
        <v>171</v>
      </c>
      <c r="C622" t="s">
        <v>82</v>
      </c>
      <c r="D622">
        <v>42555</v>
      </c>
      <c r="E622">
        <v>6245</v>
      </c>
      <c r="F622">
        <v>48800</v>
      </c>
      <c r="G622" cm="1">
        <f t="array" ref="G622">_xlfn.IFS(A622=$E$640,F622/$F$640,A622=$E$641,F622/$F$641,A622=$E$641,F622/$F$641,A622=$E$642,F622/$F$642,A622=$E$643,F622/$F$643,A622=$E$644,F622/$F$644,A622=$E$645,F622/$F$645,A622=$E$646,F622/$F$646,A622=$E$647,F622/$F$647)</f>
        <v>1.3995531123666492E-3</v>
      </c>
      <c r="H622" cm="1">
        <f t="array" ref="H622">_xlfn.IFS(A622=$P$24,G622*$Q$24,A622=$P$25,G622*$Q$25,A622=$P$26,G622*$Q$26,A622=$P$27,G622*$Q$27,A622=$P$28,G622*$Q$28,A622=$P$29,G622*$Q$29,A622=$P$30,G622*$Q$30,A622=$P$31,G622*$Q$31)</f>
        <v>627191.15103865333</v>
      </c>
      <c r="I622">
        <f t="shared" si="22"/>
        <v>633436.15103865333</v>
      </c>
      <c r="J622" s="1">
        <f t="shared" si="23"/>
        <v>675991.15103865333</v>
      </c>
    </row>
    <row r="623" spans="1:10" x14ac:dyDescent="0.2">
      <c r="A623">
        <v>2022</v>
      </c>
      <c r="B623" t="s">
        <v>167</v>
      </c>
      <c r="C623" t="s">
        <v>77</v>
      </c>
      <c r="D623">
        <v>1390</v>
      </c>
      <c r="E623">
        <v>204</v>
      </c>
      <c r="F623">
        <v>1594</v>
      </c>
      <c r="G623" cm="1">
        <f t="array" ref="G623">_xlfn.IFS(A623=$E$640,F623/$F$640,A623=$E$641,F623/$F$641,A623=$E$641,F623/$F$641,A623=$E$642,F623/$F$642,A623=$E$643,F623/$F$643,A623=$E$644,F623/$F$644,A623=$E$645,F623/$F$645,A623=$E$646,F623/$F$646,A623=$E$647,F623/$F$647)</f>
        <v>4.5714911088369648E-5</v>
      </c>
      <c r="H623" cm="1">
        <f t="array" ref="H623">_xlfn.IFS(A623=$P$24,G623*$Q$24,A623=$P$25,G623*$Q$25,A623=$P$26,G623*$Q$26,A623=$P$27,G623*$Q$27,A623=$P$28,G623*$Q$28,A623=$P$29,G623*$Q$29,A623=$P$30,G623*$Q$30,A623=$P$31,G623*$Q$31)</f>
        <v>20486.530630237983</v>
      </c>
      <c r="I623">
        <f t="shared" si="22"/>
        <v>20690.530630237983</v>
      </c>
      <c r="J623" s="1">
        <f t="shared" si="23"/>
        <v>22080.530630237983</v>
      </c>
    </row>
    <row r="624" spans="1:10" x14ac:dyDescent="0.2">
      <c r="A624">
        <v>2022</v>
      </c>
      <c r="B624" t="s">
        <v>166</v>
      </c>
      <c r="C624" t="s">
        <v>75</v>
      </c>
      <c r="D624">
        <v>26341</v>
      </c>
      <c r="E624">
        <v>3866</v>
      </c>
      <c r="F624">
        <v>30207</v>
      </c>
      <c r="G624" cm="1">
        <f t="array" ref="G624">_xlfn.IFS(A624=$E$640,F624/$F$640,A624=$E$641,F624/$F$641,A624=$E$641,F624/$F$641,A624=$E$642,F624/$F$642,A624=$E$643,F624/$F$643,A624=$E$644,F624/$F$644,A624=$E$645,F624/$F$645,A624=$E$646,F624/$F$646,A624=$E$647,F624/$F$647)</f>
        <v>8.6631764068154451E-4</v>
      </c>
      <c r="H624" cm="1">
        <f t="array" ref="H624">_xlfn.IFS(A624=$P$24,G624*$Q$24,A624=$P$25,G624*$Q$25,A624=$P$26,G624*$Q$26,A624=$P$27,G624*$Q$27,A624=$P$28,G624*$Q$28,A624=$P$29,G624*$Q$29,A624=$P$30,G624*$Q$30,A624=$P$31,G624*$Q$31)</f>
        <v>388228.75203738938</v>
      </c>
      <c r="I624">
        <f t="shared" si="22"/>
        <v>392094.75203738938</v>
      </c>
      <c r="J624" s="1">
        <f t="shared" si="23"/>
        <v>418435.75203738938</v>
      </c>
    </row>
    <row r="625" spans="1:10" x14ac:dyDescent="0.2">
      <c r="A625">
        <v>2022</v>
      </c>
      <c r="B625" t="s">
        <v>165</v>
      </c>
      <c r="C625" t="s">
        <v>74</v>
      </c>
      <c r="D625">
        <v>4137</v>
      </c>
      <c r="E625">
        <v>607</v>
      </c>
      <c r="F625">
        <v>4744</v>
      </c>
      <c r="G625" cm="1">
        <f t="array" ref="G625">_xlfn.IFS(A625=$E$640,F625/$F$640,A625=$E$641,F625/$F$641,A625=$E$641,F625/$F$641,A625=$E$642,F625/$F$642,A625=$E$643,F625/$F$643,A625=$E$644,F625/$F$644,A625=$E$645,F625/$F$645,A625=$E$646,F625/$F$646,A625=$E$647,F625/$F$647)</f>
        <v>1.3605491731695458E-4</v>
      </c>
      <c r="H625" cm="1">
        <f t="array" ref="H625">_xlfn.IFS(A625=$P$24,G625*$Q$24,A625=$P$25,G625*$Q$25,A625=$P$26,G625*$Q$26,A625=$P$27,G625*$Q$27,A625=$P$28,G625*$Q$28,A625=$P$29,G625*$Q$29,A625=$P$30,G625*$Q$30,A625=$P$31,G625*$Q$31)</f>
        <v>60971.205338675645</v>
      </c>
      <c r="I625">
        <f t="shared" si="22"/>
        <v>61578.205338675645</v>
      </c>
      <c r="J625" s="1">
        <f t="shared" si="23"/>
        <v>65715.205338675645</v>
      </c>
    </row>
    <row r="626" spans="1:10" x14ac:dyDescent="0.2">
      <c r="A626">
        <v>2022</v>
      </c>
      <c r="B626" t="s">
        <v>145</v>
      </c>
      <c r="C626" t="s">
        <v>59</v>
      </c>
      <c r="D626">
        <v>32400</v>
      </c>
      <c r="E626">
        <v>4755</v>
      </c>
      <c r="F626">
        <v>37155</v>
      </c>
      <c r="G626" cm="1">
        <f t="array" ref="G626">_xlfn.IFS(A626=$E$640,F626/$F$640,A626=$E$641,F626/$F$641,A626=$E$641,F626/$F$641,A626=$E$642,F626/$F$642,A626=$E$643,F626/$F$643,A626=$E$644,F626/$F$644,A626=$E$645,F626/$F$645,A626=$E$646,F626/$F$646,A626=$E$647,F626/$F$647)</f>
        <v>1.0655818829914518E-3</v>
      </c>
      <c r="H626" cm="1">
        <f t="array" ref="H626">_xlfn.IFS(A626=$P$24,G626*$Q$24,A626=$P$25,G626*$Q$25,A626=$P$26,G626*$Q$26,A626=$P$27,G626*$Q$27,A626=$P$28,G626*$Q$28,A626=$P$29,G626*$Q$29,A626=$P$30,G626*$Q$30,A626=$P$31,G626*$Q$31)</f>
        <v>477526.37739428616</v>
      </c>
      <c r="I626">
        <f t="shared" si="22"/>
        <v>482281.37739428616</v>
      </c>
      <c r="J626" s="1">
        <f t="shared" si="23"/>
        <v>514681.37739428616</v>
      </c>
    </row>
    <row r="627" spans="1:10" x14ac:dyDescent="0.2">
      <c r="A627">
        <v>2022</v>
      </c>
      <c r="B627" t="s">
        <v>147</v>
      </c>
      <c r="C627" t="s">
        <v>61</v>
      </c>
      <c r="D627">
        <v>23790</v>
      </c>
      <c r="E627">
        <v>3491</v>
      </c>
      <c r="F627">
        <v>27281</v>
      </c>
      <c r="G627" cm="1">
        <f t="array" ref="G627">_xlfn.IFS(A627=$E$640,F627/$F$640,A627=$E$641,F627/$F$641,A627=$E$641,F627/$F$641,A627=$E$642,F627/$F$642,A627=$E$643,F627/$F$643,A627=$E$644,F627/$F$644,A627=$E$645,F627/$F$645,A627=$E$646,F627/$F$646,A627=$E$647,F627/$F$647)</f>
        <v>7.824018126736589E-4</v>
      </c>
      <c r="H627" cm="1">
        <f t="array" ref="H627">_xlfn.IFS(A627=$P$24,G627*$Q$24,A627=$P$25,G627*$Q$25,A627=$P$26,G627*$Q$26,A627=$P$27,G627*$Q$27,A627=$P$28,G627*$Q$28,A627=$P$29,G627*$Q$29,A627=$P$30,G627*$Q$30,A627=$P$31,G627*$Q$31)</f>
        <v>350622.98753044062</v>
      </c>
      <c r="I627">
        <f t="shared" si="22"/>
        <v>354113.98753044062</v>
      </c>
      <c r="J627" s="1">
        <f t="shared" si="23"/>
        <v>377903.98753044062</v>
      </c>
    </row>
    <row r="628" spans="1:10" x14ac:dyDescent="0.2">
      <c r="A628">
        <v>2022</v>
      </c>
      <c r="B628" t="s">
        <v>148</v>
      </c>
      <c r="C628" t="s">
        <v>62</v>
      </c>
      <c r="D628">
        <v>22856</v>
      </c>
      <c r="E628">
        <v>3354</v>
      </c>
      <c r="F628">
        <v>26210</v>
      </c>
      <c r="G628" cm="1">
        <f t="array" ref="G628">_xlfn.IFS(A628=$E$640,F628/$F$640,A628=$E$641,F628/$F$641,A628=$E$641,F628/$F$641,A628=$E$642,F628/$F$642,A628=$E$643,F628/$F$643,A628=$E$644,F628/$F$644,A628=$E$645,F628/$F$645,A628=$E$646,F628/$F$646,A628=$E$647,F628/$F$647)</f>
        <v>7.5168621055594009E-4</v>
      </c>
      <c r="H628" cm="1">
        <f t="array" ref="H628">_xlfn.IFS(A628=$P$24,G628*$Q$24,A628=$P$25,G628*$Q$25,A628=$P$26,G628*$Q$26,A628=$P$27,G628*$Q$27,A628=$P$28,G628*$Q$28,A628=$P$29,G628*$Q$29,A628=$P$30,G628*$Q$30,A628=$P$31,G628*$Q$31)</f>
        <v>336858.19812957186</v>
      </c>
      <c r="I628">
        <f t="shared" si="22"/>
        <v>340212.19812957186</v>
      </c>
      <c r="J628" s="1">
        <f t="shared" si="23"/>
        <v>363068.19812957186</v>
      </c>
    </row>
    <row r="629" spans="1:10" x14ac:dyDescent="0.2">
      <c r="A629">
        <v>2022</v>
      </c>
      <c r="B629" t="s">
        <v>149</v>
      </c>
      <c r="C629" t="s">
        <v>63</v>
      </c>
      <c r="D629">
        <v>62852</v>
      </c>
      <c r="E629">
        <v>9224</v>
      </c>
      <c r="F629">
        <v>72076</v>
      </c>
      <c r="G629" cm="1">
        <f t="array" ref="G629">_xlfn.IFS(A629=$E$640,F629/$F$640,A629=$E$641,F629/$F$641,A629=$E$641,F629/$F$641,A629=$E$642,F629/$F$642,A629=$E$643,F629/$F$643,A629=$E$644,F629/$F$644,A629=$E$645,F629/$F$645,A629=$E$646,F629/$F$646,A629=$E$647,F629/$F$647)</f>
        <v>2.06709405997825E-3</v>
      </c>
      <c r="H629" cm="1">
        <f t="array" ref="H629">_xlfn.IFS(A629=$P$24,G629*$Q$24,A629=$P$25,G629*$Q$25,A629=$P$26,G629*$Q$26,A629=$P$27,G629*$Q$27,A629=$P$28,G629*$Q$28,A629=$P$29,G629*$Q$29,A629=$P$30,G629*$Q$30,A629=$P$31,G629*$Q$31)</f>
        <v>926340.76643979468</v>
      </c>
      <c r="I629">
        <f t="shared" si="22"/>
        <v>935564.76643979468</v>
      </c>
      <c r="J629" s="1">
        <f t="shared" si="23"/>
        <v>998416.76643979468</v>
      </c>
    </row>
    <row r="630" spans="1:10" x14ac:dyDescent="0.2">
      <c r="A630">
        <v>2022</v>
      </c>
      <c r="B630" t="s">
        <v>152</v>
      </c>
      <c r="C630" t="s">
        <v>66</v>
      </c>
      <c r="D630">
        <v>8674</v>
      </c>
      <c r="E630">
        <v>1273</v>
      </c>
      <c r="F630">
        <v>9947</v>
      </c>
      <c r="G630" cm="1">
        <f t="array" ref="G630">_xlfn.IFS(A630=$E$640,F630/$F$640,A630=$E$641,F630/$F$641,A630=$E$641,F630/$F$641,A630=$E$642,F630/$F$642,A630=$E$643,F630/$F$643,A630=$E$644,F630/$F$644,A630=$E$645,F630/$F$645,A630=$E$646,F630/$F$646,A630=$E$647,F630/$F$647)</f>
        <v>2.8527366411293154E-4</v>
      </c>
      <c r="H630" cm="1">
        <f t="array" ref="H630">_xlfn.IFS(A630=$P$24,G630*$Q$24,A630=$P$25,G630*$Q$25,A630=$P$26,G630*$Q$26,A630=$P$27,G630*$Q$27,A630=$P$28,G630*$Q$28,A630=$P$29,G630*$Q$29,A630=$P$30,G630*$Q$30,A630=$P$31,G630*$Q$31)</f>
        <v>127841.6061348665</v>
      </c>
      <c r="I630">
        <f t="shared" si="22"/>
        <v>129114.6061348665</v>
      </c>
      <c r="J630" s="1">
        <f t="shared" si="23"/>
        <v>137788.60613486648</v>
      </c>
    </row>
    <row r="631" spans="1:10" x14ac:dyDescent="0.2">
      <c r="A631">
        <v>2022</v>
      </c>
      <c r="B631" t="s">
        <v>162</v>
      </c>
      <c r="C631" t="s">
        <v>71</v>
      </c>
      <c r="D631">
        <v>45736</v>
      </c>
      <c r="E631">
        <v>6712</v>
      </c>
      <c r="F631">
        <v>52448</v>
      </c>
      <c r="G631" cm="1">
        <f t="array" ref="G631">_xlfn.IFS(A631=$E$640,F631/$F$640,A631=$E$641,F631/$F$641,A631=$E$641,F631/$F$641,A631=$E$642,F631/$F$642,A631=$E$643,F631/$F$643,A631=$E$644,F631/$F$644,A631=$E$645,F631/$F$645,A631=$E$646,F631/$F$646,A631=$E$647,F631/$F$647)</f>
        <v>1.5041754433894675E-3</v>
      </c>
      <c r="H631" cm="1">
        <f t="array" ref="H631">_xlfn.IFS(A631=$P$24,G631*$Q$24,A631=$P$25,G631*$Q$25,A631=$P$26,G631*$Q$26,A631=$P$27,G631*$Q$27,A631=$P$28,G631*$Q$28,A631=$P$29,G631*$Q$29,A631=$P$30,G631*$Q$30,A631=$P$31,G631*$Q$31)</f>
        <v>674076.26003432972</v>
      </c>
      <c r="I631">
        <f t="shared" si="22"/>
        <v>680788.26003432972</v>
      </c>
      <c r="J631" s="1">
        <f t="shared" si="23"/>
        <v>726524.26003432972</v>
      </c>
    </row>
    <row r="632" spans="1:10" x14ac:dyDescent="0.2">
      <c r="A632">
        <v>2022</v>
      </c>
      <c r="B632" t="s">
        <v>153</v>
      </c>
      <c r="C632" t="s">
        <v>67</v>
      </c>
      <c r="D632">
        <v>32190</v>
      </c>
      <c r="E632">
        <v>4724</v>
      </c>
      <c r="F632">
        <v>36914</v>
      </c>
      <c r="G632" cm="1">
        <f t="array" ref="G632">_xlfn.IFS(A632=$E$640,F632/$F$640,A632=$E$641,F632/$F$641,A632=$E$641,F632/$F$641,A632=$E$642,F632/$F$642,A632=$E$643,F632/$F$643,A632=$E$644,F632/$F$644,A632=$E$645,F632/$F$645,A632=$E$646,F632/$F$646,A632=$E$647,F632/$F$647)</f>
        <v>1.0586701555307886E-3</v>
      </c>
      <c r="H632" cm="1">
        <f t="array" ref="H632">_xlfn.IFS(A632=$P$24,G632*$Q$24,A632=$P$25,G632*$Q$25,A632=$P$26,G632*$Q$26,A632=$P$27,G632*$Q$27,A632=$P$28,G632*$Q$28,A632=$P$29,G632*$Q$29,A632=$P$30,G632*$Q$30,A632=$P$31,G632*$Q$31)</f>
        <v>474428.97847214853</v>
      </c>
      <c r="I632">
        <f t="shared" si="22"/>
        <v>479152.97847214853</v>
      </c>
      <c r="J632" s="1">
        <f t="shared" si="23"/>
        <v>511342.97847214853</v>
      </c>
    </row>
    <row r="633" spans="1:10" x14ac:dyDescent="0.2">
      <c r="A633">
        <v>2022</v>
      </c>
      <c r="B633" t="s">
        <v>163</v>
      </c>
      <c r="C633" t="s">
        <v>72</v>
      </c>
      <c r="D633">
        <v>19354</v>
      </c>
      <c r="E633">
        <v>2840</v>
      </c>
      <c r="F633">
        <v>22194</v>
      </c>
      <c r="G633" cm="1">
        <f t="array" ref="G633">_xlfn.IFS(A633=$E$640,F633/$F$640,A633=$E$641,F633/$F$641,A633=$E$641,F633/$F$641,A633=$E$642,F633/$F$642,A633=$E$643,F633/$F$643,A633=$E$644,F633/$F$644,A633=$E$645,F633/$F$645,A633=$E$646,F633/$F$646,A633=$E$647,F633/$F$647)</f>
        <v>6.3650987245625844E-4</v>
      </c>
      <c r="H633" cm="1">
        <f t="array" ref="H633">_xlfn.IFS(A633=$P$24,G633*$Q$24,A633=$P$25,G633*$Q$25,A633=$P$26,G633*$Q$26,A633=$P$27,G633*$Q$27,A633=$P$28,G633*$Q$28,A633=$P$29,G633*$Q$29,A633=$P$30,G633*$Q$30,A633=$P$31,G633*$Q$31)</f>
        <v>285243.45094573509</v>
      </c>
      <c r="I633">
        <f t="shared" si="22"/>
        <v>288083.45094573509</v>
      </c>
      <c r="J633" s="1">
        <f t="shared" si="23"/>
        <v>307437.45094573509</v>
      </c>
    </row>
    <row r="634" spans="1:10" x14ac:dyDescent="0.2">
      <c r="A634">
        <v>2022</v>
      </c>
      <c r="B634" t="s">
        <v>160</v>
      </c>
      <c r="C634" t="s">
        <v>69</v>
      </c>
      <c r="D634">
        <v>27637</v>
      </c>
      <c r="E634">
        <v>4056</v>
      </c>
      <c r="F634">
        <v>31693</v>
      </c>
      <c r="G634" cm="1">
        <f t="array" ref="G634">_xlfn.IFS(A634=$E$640,F634/$F$640,A634=$E$641,F634/$F$641,A634=$E$641,F634/$F$641,A634=$E$642,F634/$F$642,A634=$E$643,F634/$F$643,A634=$E$644,F634/$F$644,A634=$E$645,F634/$F$645,A634=$E$646,F634/$F$646,A634=$E$647,F634/$F$647)</f>
        <v>9.0893518012779119E-4</v>
      </c>
      <c r="H634" cm="1">
        <f t="array" ref="H634">_xlfn.IFS(A634=$P$24,G634*$Q$24,A634=$P$25,G634*$Q$25,A634=$P$26,G634*$Q$26,A634=$P$27,G634*$Q$27,A634=$P$28,G634*$Q$28,A634=$P$29,G634*$Q$29,A634=$P$30,G634*$Q$30,A634=$P$31,G634*$Q$31)</f>
        <v>407327.23667762376</v>
      </c>
      <c r="I634">
        <f t="shared" si="22"/>
        <v>411383.23667762376</v>
      </c>
      <c r="J634" s="1">
        <f t="shared" si="23"/>
        <v>439020.23667762376</v>
      </c>
    </row>
    <row r="635" spans="1:10" x14ac:dyDescent="0.2">
      <c r="A635">
        <v>2022</v>
      </c>
      <c r="B635" t="s">
        <v>170</v>
      </c>
      <c r="C635" t="s">
        <v>81</v>
      </c>
      <c r="D635">
        <v>14991</v>
      </c>
      <c r="E635">
        <v>2200</v>
      </c>
      <c r="F635">
        <v>17191</v>
      </c>
      <c r="G635" cm="1">
        <f t="array" ref="G635">_xlfn.IFS(A635=$E$640,F635/$F$640,A635=$E$641,F635/$F$641,A635=$E$641,F635/$F$641,A635=$E$642,F635/$F$642,A635=$E$643,F635/$F$643,A635=$E$644,F635/$F$644,A635=$E$645,F635/$F$645,A635=$E$646,F635/$F$646,A635=$E$647,F635/$F$647)</f>
        <v>4.9302699907162017E-4</v>
      </c>
      <c r="H635" cm="1">
        <f t="array" ref="H635">_xlfn.IFS(A635=$P$24,G635*$Q$24,A635=$P$25,G635*$Q$25,A635=$P$26,G635*$Q$26,A635=$P$27,G635*$Q$27,A635=$P$28,G635*$Q$28,A635=$P$29,G635*$Q$29,A635=$P$30,G635*$Q$30,A635=$P$31,G635*$Q$31)</f>
        <v>220943.50568658792</v>
      </c>
      <c r="I635">
        <f t="shared" si="22"/>
        <v>223143.50568658792</v>
      </c>
      <c r="J635" s="1">
        <f t="shared" si="23"/>
        <v>238134.50568658792</v>
      </c>
    </row>
    <row r="636" spans="1:10" x14ac:dyDescent="0.2">
      <c r="A636">
        <v>2022</v>
      </c>
      <c r="B636" t="s">
        <v>154</v>
      </c>
      <c r="C636" t="s">
        <v>87</v>
      </c>
      <c r="D636">
        <v>500015</v>
      </c>
      <c r="E636">
        <v>73377</v>
      </c>
      <c r="F636">
        <v>573392</v>
      </c>
      <c r="G636" cm="1">
        <f t="array" ref="G636">_xlfn.IFS(A636=$E$640,F636/$F$640,A636=$E$641,F636/$F$641,A636=$E$641,F636/$F$641,A636=$E$642,F636/$F$642,A636=$E$643,F636/$F$643,A636=$E$644,F636/$F$644,A636=$E$645,F636/$F$645,A636=$E$646,F636/$F$646,A636=$E$647,F636/$F$647)</f>
        <v>1.6444519635371673E-2</v>
      </c>
      <c r="H636" cm="1">
        <f t="array" ref="H636">_xlfn.IFS(A636=$P$24,G636*$Q$24,A636=$P$25,G636*$Q$25,A636=$P$26,G636*$Q$26,A636=$P$27,G636*$Q$27,A636=$P$28,G636*$Q$28,A636=$P$29,G636*$Q$29,A636=$P$30,G636*$Q$30,A636=$P$31,G636*$Q$31)</f>
        <v>7369393.2064826954</v>
      </c>
      <c r="I636">
        <f t="shared" si="22"/>
        <v>7442770.2064826954</v>
      </c>
      <c r="J636" s="1">
        <f t="shared" si="23"/>
        <v>7942785.2064826954</v>
      </c>
    </row>
    <row r="637" spans="1:10" x14ac:dyDescent="0.2">
      <c r="A637">
        <v>2022</v>
      </c>
      <c r="B637" t="s">
        <v>155</v>
      </c>
      <c r="C637" t="s">
        <v>88</v>
      </c>
      <c r="D637">
        <v>269034</v>
      </c>
      <c r="E637">
        <v>39481</v>
      </c>
      <c r="F637">
        <v>308515</v>
      </c>
      <c r="G637" cm="1">
        <f t="array" ref="G637">_xlfn.IFS(A637=$E$640,F637/$F$640,A637=$E$641,F637/$F$641,A637=$E$641,F637/$F$641,A637=$E$642,F637/$F$642,A637=$E$643,F637/$F$643,A637=$E$644,F637/$F$644,A637=$E$645,F637/$F$645,A637=$E$646,F637/$F$646,A637=$E$647,F637/$F$647)</f>
        <v>8.8480149274958349E-3</v>
      </c>
      <c r="H637" cm="1">
        <f t="array" ref="H637">_xlfn.IFS(A637=$P$24,G637*$Q$24,A637=$P$25,G637*$Q$25,A637=$P$26,G637*$Q$26,A637=$P$27,G637*$Q$27,A637=$P$28,G637*$Q$28,A637=$P$29,G637*$Q$29,A637=$P$30,G637*$Q$30,A637=$P$31,G637*$Q$31)</f>
        <v>3965120.4500551256</v>
      </c>
      <c r="I637">
        <f t="shared" si="22"/>
        <v>4004601.4500551256</v>
      </c>
      <c r="J637" s="1">
        <f t="shared" si="23"/>
        <v>4273635.4500551261</v>
      </c>
    </row>
    <row r="638" spans="1:10" x14ac:dyDescent="0.2">
      <c r="A638">
        <v>2022</v>
      </c>
      <c r="B638" t="s">
        <v>156</v>
      </c>
      <c r="C638" t="s">
        <v>89</v>
      </c>
      <c r="D638">
        <v>641962</v>
      </c>
      <c r="E638">
        <v>94208</v>
      </c>
      <c r="F638">
        <v>736170</v>
      </c>
      <c r="G638" cm="1">
        <f t="array" ref="G638">_xlfn.IFS(A638=$E$640,F638/$F$640,A638=$E$641,F638/$F$641,A638=$E$641,F638/$F$641,A638=$E$642,F638/$F$642,A638=$E$643,F638/$F$643,A638=$E$644,F638/$F$644,A638=$E$645,F638/$F$645,A638=$E$646,F638/$F$646,A638=$E$647,F638/$F$647)</f>
        <v>2.1112889646126152E-2</v>
      </c>
      <c r="H638" cm="1">
        <f t="array" ref="H638">_xlfn.IFS(A638=$P$24,G638*$Q$24,A638=$P$25,G638*$Q$25,A638=$P$26,G638*$Q$26,A638=$P$27,G638*$Q$27,A638=$P$28,G638*$Q$28,A638=$P$29,G638*$Q$29,A638=$P$30,G638*$Q$30,A638=$P$31,G638*$Q$31)</f>
        <v>9461461.2635271624</v>
      </c>
      <c r="I638">
        <f t="shared" si="22"/>
        <v>9555669.2635271624</v>
      </c>
      <c r="J638" s="1">
        <f t="shared" si="23"/>
        <v>10197631.263527162</v>
      </c>
    </row>
    <row r="640" spans="1:10" x14ac:dyDescent="0.2">
      <c r="E640">
        <v>2015</v>
      </c>
      <c r="F640" s="1">
        <f>SUMIF(A2:A638,E640,F2:F638)</f>
        <v>32187981</v>
      </c>
    </row>
    <row r="641" spans="5:6" x14ac:dyDescent="0.2">
      <c r="E641">
        <v>2016</v>
      </c>
      <c r="F641" s="1">
        <f>SUMIF(A3:A639,E641,F3:F639)</f>
        <v>33472070</v>
      </c>
    </row>
    <row r="642" spans="5:6" x14ac:dyDescent="0.2">
      <c r="E642">
        <v>2017</v>
      </c>
      <c r="F642" s="1">
        <f>SUMIF(A4:A640,E642,F4:F640)</f>
        <v>32248506</v>
      </c>
    </row>
    <row r="643" spans="5:6" x14ac:dyDescent="0.2">
      <c r="E643">
        <v>2018</v>
      </c>
      <c r="F643" s="1">
        <f>SUMIF(A5:A641,E643,F5:F641)</f>
        <v>29107545</v>
      </c>
    </row>
    <row r="644" spans="5:6" x14ac:dyDescent="0.2">
      <c r="E644">
        <v>2019</v>
      </c>
      <c r="F644" s="1">
        <f>SUMIF(A6:A642,E644,F6:F642)</f>
        <v>32385454</v>
      </c>
    </row>
    <row r="645" spans="5:6" x14ac:dyDescent="0.2">
      <c r="E645">
        <v>2020</v>
      </c>
      <c r="F645" s="1">
        <f>SUMIF(A7:A643,E645,F7:F643)</f>
        <v>30945616</v>
      </c>
    </row>
    <row r="646" spans="5:6" x14ac:dyDescent="0.2">
      <c r="E646">
        <v>2021</v>
      </c>
      <c r="F646" s="1">
        <f>SUMIF(A8:A644,E646,F8:F644)</f>
        <v>27951827</v>
      </c>
    </row>
    <row r="647" spans="5:6" x14ac:dyDescent="0.2">
      <c r="E647">
        <v>2022</v>
      </c>
      <c r="F647" s="1">
        <f>SUMIF(A9:A645,E647,F9:F645)</f>
        <v>34868273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50D1-7D4D-7843-AB6E-01BB8499B187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CAF0-3E49-2C46-A883-3E07B6090742}">
  <sheetPr>
    <tabColor rgb="FFFFFF00"/>
  </sheetPr>
  <dimension ref="A1:B84"/>
  <sheetViews>
    <sheetView topLeftCell="A38" workbookViewId="0">
      <selection activeCell="A5" sqref="A5"/>
    </sheetView>
  </sheetViews>
  <sheetFormatPr baseColWidth="10" defaultRowHeight="16" x14ac:dyDescent="0.2"/>
  <cols>
    <col min="1" max="1" width="56.5" bestFit="1" customWidth="1"/>
  </cols>
  <sheetData>
    <row r="1" spans="1:2" x14ac:dyDescent="0.2">
      <c r="A1" t="s">
        <v>189</v>
      </c>
      <c r="B1" t="s">
        <v>190</v>
      </c>
    </row>
    <row r="2" spans="1:2" x14ac:dyDescent="0.2">
      <c r="A2" s="5" t="s">
        <v>0</v>
      </c>
      <c r="B2">
        <v>5400030</v>
      </c>
    </row>
    <row r="3" spans="1:2" x14ac:dyDescent="0.2">
      <c r="A3" s="5" t="s">
        <v>87</v>
      </c>
      <c r="B3">
        <v>5400058</v>
      </c>
    </row>
    <row r="4" spans="1:2" x14ac:dyDescent="0.2">
      <c r="A4" s="5" t="s">
        <v>88</v>
      </c>
      <c r="B4">
        <v>5400059</v>
      </c>
    </row>
    <row r="5" spans="1:2" x14ac:dyDescent="0.2">
      <c r="A5" s="5" t="s">
        <v>1</v>
      </c>
      <c r="B5">
        <v>5400060</v>
      </c>
    </row>
    <row r="6" spans="1:2" x14ac:dyDescent="0.2">
      <c r="A6" s="5" t="s">
        <v>89</v>
      </c>
      <c r="B6">
        <v>5400061</v>
      </c>
    </row>
    <row r="7" spans="1:2" x14ac:dyDescent="0.2">
      <c r="A7" s="5" t="s">
        <v>2</v>
      </c>
      <c r="B7">
        <v>5400090</v>
      </c>
    </row>
    <row r="8" spans="1:2" x14ac:dyDescent="0.2">
      <c r="A8" s="5" t="s">
        <v>3</v>
      </c>
      <c r="B8">
        <v>5400120</v>
      </c>
    </row>
    <row r="9" spans="1:2" x14ac:dyDescent="0.2">
      <c r="A9" s="5" t="s">
        <v>4</v>
      </c>
      <c r="B9">
        <v>5400150</v>
      </c>
    </row>
    <row r="10" spans="1:2" x14ac:dyDescent="0.2">
      <c r="A10" s="5" t="s">
        <v>5</v>
      </c>
      <c r="B10">
        <v>5400180</v>
      </c>
    </row>
    <row r="11" spans="1:2" x14ac:dyDescent="0.2">
      <c r="A11" s="5" t="s">
        <v>6</v>
      </c>
      <c r="B11">
        <v>5400210</v>
      </c>
    </row>
    <row r="12" spans="1:2" x14ac:dyDescent="0.2">
      <c r="A12" s="5" t="s">
        <v>7</v>
      </c>
      <c r="B12">
        <v>5400240</v>
      </c>
    </row>
    <row r="13" spans="1:2" x14ac:dyDescent="0.2">
      <c r="A13" s="5" t="s">
        <v>8</v>
      </c>
      <c r="B13">
        <v>5400270</v>
      </c>
    </row>
    <row r="14" spans="1:2" x14ac:dyDescent="0.2">
      <c r="A14" s="5" t="s">
        <v>9</v>
      </c>
      <c r="B14">
        <v>5400300</v>
      </c>
    </row>
    <row r="15" spans="1:2" x14ac:dyDescent="0.2">
      <c r="A15" s="5" t="s">
        <v>10</v>
      </c>
      <c r="B15">
        <v>5400330</v>
      </c>
    </row>
    <row r="16" spans="1:2" x14ac:dyDescent="0.2">
      <c r="A16" s="5" t="s">
        <v>11</v>
      </c>
      <c r="B16">
        <v>5400360</v>
      </c>
    </row>
    <row r="17" spans="1:2" x14ac:dyDescent="0.2">
      <c r="A17" s="5" t="s">
        <v>12</v>
      </c>
      <c r="B17">
        <v>5400390</v>
      </c>
    </row>
    <row r="18" spans="1:2" x14ac:dyDescent="0.2">
      <c r="A18" s="5" t="s">
        <v>13</v>
      </c>
      <c r="B18">
        <v>5400420</v>
      </c>
    </row>
    <row r="19" spans="1:2" x14ac:dyDescent="0.2">
      <c r="A19" s="5" t="s">
        <v>14</v>
      </c>
      <c r="B19">
        <v>5400450</v>
      </c>
    </row>
    <row r="20" spans="1:2" x14ac:dyDescent="0.2">
      <c r="A20" s="5" t="s">
        <v>15</v>
      </c>
      <c r="B20">
        <v>5400480</v>
      </c>
    </row>
    <row r="21" spans="1:2" x14ac:dyDescent="0.2">
      <c r="A21" s="5" t="s">
        <v>16</v>
      </c>
      <c r="B21">
        <v>5400510</v>
      </c>
    </row>
    <row r="22" spans="1:2" x14ac:dyDescent="0.2">
      <c r="A22" s="5" t="s">
        <v>17</v>
      </c>
      <c r="B22">
        <v>5400540</v>
      </c>
    </row>
    <row r="23" spans="1:2" x14ac:dyDescent="0.2">
      <c r="A23" s="5" t="s">
        <v>18</v>
      </c>
      <c r="B23">
        <v>5400570</v>
      </c>
    </row>
    <row r="24" spans="1:2" x14ac:dyDescent="0.2">
      <c r="A24" s="5" t="s">
        <v>19</v>
      </c>
      <c r="B24">
        <v>5400600</v>
      </c>
    </row>
    <row r="25" spans="1:2" x14ac:dyDescent="0.2">
      <c r="A25" s="5" t="s">
        <v>20</v>
      </c>
      <c r="B25">
        <v>5400630</v>
      </c>
    </row>
    <row r="26" spans="1:2" x14ac:dyDescent="0.2">
      <c r="A26" s="5" t="s">
        <v>21</v>
      </c>
      <c r="B26">
        <v>5400660</v>
      </c>
    </row>
    <row r="27" spans="1:2" x14ac:dyDescent="0.2">
      <c r="A27" s="5" t="s">
        <v>22</v>
      </c>
      <c r="B27">
        <v>5400690</v>
      </c>
    </row>
    <row r="28" spans="1:2" x14ac:dyDescent="0.2">
      <c r="A28" s="5" t="s">
        <v>23</v>
      </c>
      <c r="B28">
        <v>5400720</v>
      </c>
    </row>
    <row r="29" spans="1:2" x14ac:dyDescent="0.2">
      <c r="A29" s="5" t="s">
        <v>24</v>
      </c>
      <c r="B29">
        <v>5400750</v>
      </c>
    </row>
    <row r="30" spans="1:2" x14ac:dyDescent="0.2">
      <c r="A30" s="5" t="s">
        <v>25</v>
      </c>
      <c r="B30">
        <v>5400780</v>
      </c>
    </row>
    <row r="31" spans="1:2" x14ac:dyDescent="0.2">
      <c r="A31" s="5" t="s">
        <v>30</v>
      </c>
      <c r="B31">
        <v>5400810</v>
      </c>
    </row>
    <row r="32" spans="1:2" x14ac:dyDescent="0.2">
      <c r="A32" s="5" t="s">
        <v>31</v>
      </c>
      <c r="B32">
        <v>5400840</v>
      </c>
    </row>
    <row r="33" spans="1:2" x14ac:dyDescent="0.2">
      <c r="A33" s="5" t="s">
        <v>32</v>
      </c>
      <c r="B33">
        <v>5400870</v>
      </c>
    </row>
    <row r="34" spans="1:2" x14ac:dyDescent="0.2">
      <c r="A34" s="5" t="s">
        <v>33</v>
      </c>
      <c r="B34">
        <v>5400900</v>
      </c>
    </row>
    <row r="35" spans="1:2" x14ac:dyDescent="0.2">
      <c r="A35" s="5" t="s">
        <v>34</v>
      </c>
      <c r="B35">
        <v>5400930</v>
      </c>
    </row>
    <row r="36" spans="1:2" x14ac:dyDescent="0.2">
      <c r="A36" s="5" t="s">
        <v>35</v>
      </c>
      <c r="B36">
        <v>5400960</v>
      </c>
    </row>
    <row r="37" spans="1:2" x14ac:dyDescent="0.2">
      <c r="A37" s="5" t="s">
        <v>36</v>
      </c>
      <c r="B37">
        <v>5400990</v>
      </c>
    </row>
    <row r="38" spans="1:2" x14ac:dyDescent="0.2">
      <c r="A38" s="5" t="s">
        <v>37</v>
      </c>
      <c r="B38">
        <v>5401020</v>
      </c>
    </row>
    <row r="39" spans="1:2" x14ac:dyDescent="0.2">
      <c r="A39" s="5" t="s">
        <v>38</v>
      </c>
      <c r="B39">
        <v>5401050</v>
      </c>
    </row>
    <row r="40" spans="1:2" x14ac:dyDescent="0.2">
      <c r="A40" s="5" t="s">
        <v>39</v>
      </c>
      <c r="B40">
        <v>5401080</v>
      </c>
    </row>
    <row r="41" spans="1:2" x14ac:dyDescent="0.2">
      <c r="A41" s="5" t="s">
        <v>40</v>
      </c>
      <c r="B41">
        <v>5401110</v>
      </c>
    </row>
    <row r="42" spans="1:2" x14ac:dyDescent="0.2">
      <c r="A42" s="5" t="s">
        <v>41</v>
      </c>
      <c r="B42">
        <v>5401140</v>
      </c>
    </row>
    <row r="43" spans="1:2" x14ac:dyDescent="0.2">
      <c r="A43" s="5" t="s">
        <v>42</v>
      </c>
      <c r="B43">
        <v>5401170</v>
      </c>
    </row>
    <row r="44" spans="1:2" x14ac:dyDescent="0.2">
      <c r="A44" s="5" t="s">
        <v>43</v>
      </c>
      <c r="B44">
        <v>5401200</v>
      </c>
    </row>
    <row r="45" spans="1:2" x14ac:dyDescent="0.2">
      <c r="A45" s="5" t="s">
        <v>44</v>
      </c>
      <c r="B45">
        <v>5401230</v>
      </c>
    </row>
    <row r="46" spans="1:2" x14ac:dyDescent="0.2">
      <c r="A46" s="5" t="s">
        <v>45</v>
      </c>
      <c r="B46">
        <v>5401260</v>
      </c>
    </row>
    <row r="47" spans="1:2" x14ac:dyDescent="0.2">
      <c r="A47" s="5" t="s">
        <v>46</v>
      </c>
      <c r="B47">
        <v>5401290</v>
      </c>
    </row>
    <row r="48" spans="1:2" x14ac:dyDescent="0.2">
      <c r="A48" s="5" t="s">
        <v>47</v>
      </c>
      <c r="B48">
        <v>5401320</v>
      </c>
    </row>
    <row r="49" spans="1:2" x14ac:dyDescent="0.2">
      <c r="A49" s="5" t="s">
        <v>48</v>
      </c>
      <c r="B49">
        <v>5401350</v>
      </c>
    </row>
    <row r="50" spans="1:2" x14ac:dyDescent="0.2">
      <c r="A50" s="5" t="s">
        <v>49</v>
      </c>
      <c r="B50">
        <v>5401380</v>
      </c>
    </row>
    <row r="51" spans="1:2" x14ac:dyDescent="0.2">
      <c r="A51" s="5" t="s">
        <v>50</v>
      </c>
      <c r="B51">
        <v>5401410</v>
      </c>
    </row>
    <row r="52" spans="1:2" x14ac:dyDescent="0.2">
      <c r="A52" s="5" t="s">
        <v>51</v>
      </c>
      <c r="B52">
        <v>5401440</v>
      </c>
    </row>
    <row r="53" spans="1:2" x14ac:dyDescent="0.2">
      <c r="A53" s="5" t="s">
        <v>52</v>
      </c>
      <c r="B53">
        <v>5401470</v>
      </c>
    </row>
    <row r="54" spans="1:2" x14ac:dyDescent="0.2">
      <c r="A54" s="5" t="s">
        <v>53</v>
      </c>
      <c r="B54">
        <v>5401500</v>
      </c>
    </row>
    <row r="55" spans="1:2" x14ac:dyDescent="0.2">
      <c r="A55" s="5" t="s">
        <v>54</v>
      </c>
      <c r="B55">
        <v>5401530</v>
      </c>
    </row>
    <row r="56" spans="1:2" x14ac:dyDescent="0.2">
      <c r="A56" s="5" t="s">
        <v>55</v>
      </c>
      <c r="B56">
        <v>5401560</v>
      </c>
    </row>
    <row r="57" spans="1:2" x14ac:dyDescent="0.2">
      <c r="A57" s="5" t="s">
        <v>56</v>
      </c>
      <c r="B57">
        <v>5401590</v>
      </c>
    </row>
    <row r="58" spans="1:2" x14ac:dyDescent="0.2">
      <c r="A58" s="5" t="s">
        <v>57</v>
      </c>
      <c r="B58">
        <v>5401620</v>
      </c>
    </row>
    <row r="59" spans="1:2" x14ac:dyDescent="0.2">
      <c r="A59" s="5" t="s">
        <v>68</v>
      </c>
      <c r="B59">
        <v>5401621</v>
      </c>
    </row>
    <row r="60" spans="1:2" x14ac:dyDescent="0.2">
      <c r="A60" s="5" t="s">
        <v>58</v>
      </c>
      <c r="B60">
        <v>5401650</v>
      </c>
    </row>
    <row r="61" spans="1:2" x14ac:dyDescent="0.2">
      <c r="A61" s="5" t="s">
        <v>74</v>
      </c>
    </row>
    <row r="62" spans="1:2" x14ac:dyDescent="0.2">
      <c r="A62" s="5" t="s">
        <v>59</v>
      </c>
    </row>
    <row r="63" spans="1:2" x14ac:dyDescent="0.2">
      <c r="A63" s="5" t="s">
        <v>81</v>
      </c>
    </row>
    <row r="64" spans="1:2" x14ac:dyDescent="0.2">
      <c r="A64" s="5" t="s">
        <v>61</v>
      </c>
    </row>
    <row r="65" spans="1:1" x14ac:dyDescent="0.2">
      <c r="A65" s="5" t="s">
        <v>62</v>
      </c>
    </row>
    <row r="66" spans="1:1" x14ac:dyDescent="0.2">
      <c r="A66" s="5" t="s">
        <v>63</v>
      </c>
    </row>
    <row r="67" spans="1:1" x14ac:dyDescent="0.2">
      <c r="A67" s="5" t="s">
        <v>65</v>
      </c>
    </row>
    <row r="68" spans="1:1" x14ac:dyDescent="0.2">
      <c r="A68" s="5" t="s">
        <v>64</v>
      </c>
    </row>
    <row r="69" spans="1:1" x14ac:dyDescent="0.2">
      <c r="A69" s="5" t="s">
        <v>76</v>
      </c>
    </row>
    <row r="70" spans="1:1" x14ac:dyDescent="0.2">
      <c r="A70" s="5" t="s">
        <v>77</v>
      </c>
    </row>
    <row r="71" spans="1:1" x14ac:dyDescent="0.2">
      <c r="A71" s="5" t="s">
        <v>75</v>
      </c>
    </row>
    <row r="72" spans="1:1" x14ac:dyDescent="0.2">
      <c r="A72" s="5" t="s">
        <v>60</v>
      </c>
    </row>
    <row r="73" spans="1:1" x14ac:dyDescent="0.2">
      <c r="A73" s="5" t="s">
        <v>172</v>
      </c>
    </row>
    <row r="74" spans="1:1" x14ac:dyDescent="0.2">
      <c r="A74" s="5" t="s">
        <v>66</v>
      </c>
    </row>
    <row r="75" spans="1:1" x14ac:dyDescent="0.2">
      <c r="A75" s="5" t="s">
        <v>71</v>
      </c>
    </row>
    <row r="76" spans="1:1" x14ac:dyDescent="0.2">
      <c r="A76" s="5" t="s">
        <v>67</v>
      </c>
    </row>
    <row r="77" spans="1:1" x14ac:dyDescent="0.2">
      <c r="A77" s="5" t="s">
        <v>79</v>
      </c>
    </row>
    <row r="78" spans="1:1" x14ac:dyDescent="0.2">
      <c r="A78" s="5" t="s">
        <v>80</v>
      </c>
    </row>
    <row r="79" spans="1:1" x14ac:dyDescent="0.2">
      <c r="A79" s="5" t="s">
        <v>82</v>
      </c>
    </row>
    <row r="80" spans="1:1" x14ac:dyDescent="0.2">
      <c r="A80" s="5" t="s">
        <v>73</v>
      </c>
    </row>
    <row r="81" spans="1:1" x14ac:dyDescent="0.2">
      <c r="A81" s="5" t="s">
        <v>72</v>
      </c>
    </row>
    <row r="82" spans="1:1" x14ac:dyDescent="0.2">
      <c r="A82" s="5" t="s">
        <v>69</v>
      </c>
    </row>
    <row r="83" spans="1:1" x14ac:dyDescent="0.2">
      <c r="A83" s="5" t="s">
        <v>70</v>
      </c>
    </row>
    <row r="84" spans="1:1" x14ac:dyDescent="0.2">
      <c r="A84" s="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File for Export</vt:lpstr>
      <vt:lpstr>GASB Files --&gt;</vt:lpstr>
      <vt:lpstr>Raw Data &amp; Formula Checks</vt:lpstr>
      <vt:lpstr>Edited File w State Contri</vt:lpstr>
      <vt:lpstr>NCES Match --&gt;</vt:lpstr>
      <vt:lpstr>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2024-11-24T04:57:40Z</dcterms:created>
  <dcterms:modified xsi:type="dcterms:W3CDTF">2025-01-30T08:41:07Z</dcterms:modified>
</cp:coreProperties>
</file>