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Georgia/"/>
    </mc:Choice>
  </mc:AlternateContent>
  <xr:revisionPtr revIDLastSave="0" documentId="13_ncr:1_{9B576EAC-C0F2-D74F-89E0-DA7DA0127298}" xr6:coauthVersionLast="47" xr6:coauthVersionMax="47" xr10:uidLastSave="{00000000-0000-0000-0000-000000000000}"/>
  <bookViews>
    <workbookView xWindow="-8400" yWindow="-27260" windowWidth="25340" windowHeight="20300" xr2:uid="{93E89083-18FD-FF4D-99C6-C19F9B86C719}"/>
  </bookViews>
  <sheets>
    <sheet name="Final Data" sheetId="1" r:id="rId1"/>
    <sheet name="GASB 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" i="2"/>
</calcChain>
</file>

<file path=xl/sharedStrings.xml><?xml version="1.0" encoding="utf-8"?>
<sst xmlns="http://schemas.openxmlformats.org/spreadsheetml/2006/main" count="15981" uniqueCount="1102">
  <si>
    <t>employer_code</t>
  </si>
  <si>
    <t>standardized_employer_name</t>
  </si>
  <si>
    <t>original_employer_name</t>
  </si>
  <si>
    <t>employer_contributions</t>
  </si>
  <si>
    <t>state_contributions</t>
  </si>
  <si>
    <t>4010</t>
  </si>
  <si>
    <t>DEPARTMENT OF ADMIN SERVICE</t>
  </si>
  <si>
    <t/>
  </si>
  <si>
    <t>4020</t>
  </si>
  <si>
    <t>GEORGIA DEPARTMENT OF AGRICULTURE</t>
  </si>
  <si>
    <t>-</t>
  </si>
  <si>
    <t>4040</t>
  </si>
  <si>
    <t>GEORGIA DEPARTMENT OF AUDITS</t>
  </si>
  <si>
    <t>4070</t>
  </si>
  <si>
    <t>STATE ACCOUNTING OFFICE</t>
  </si>
  <si>
    <t>4140</t>
  </si>
  <si>
    <t>GEORGIA DEPARTMENT OF EDUCATION</t>
  </si>
  <si>
    <t>GEORGIA DEPT OF EDUCATION</t>
  </si>
  <si>
    <t>4150</t>
  </si>
  <si>
    <t>TECHNICAL COLLEGE SYSTEM OF GEORGIA</t>
  </si>
  <si>
    <t>Tech. COLLEGE SYSTEM OF GEORGIA</t>
  </si>
  <si>
    <t>TECH. COLLEGE SYSTEM OF GEORGIA</t>
  </si>
  <si>
    <t>4190</t>
  </si>
  <si>
    <t>DEPARTMENT OF COMMUNITY HEALTH</t>
  </si>
  <si>
    <t>DEPARTMENT OF COMMUNITY HEATLH</t>
  </si>
  <si>
    <t>4220</t>
  </si>
  <si>
    <t>GOVERNORS OFFICE OF PLANNING AND BUDGET</t>
  </si>
  <si>
    <t>GOVERNORS OFFICE OF PLANNING &amp; BUDGET</t>
  </si>
  <si>
    <t>4270</t>
  </si>
  <si>
    <t>DEPARTMENT OF HUMAN SERVICES</t>
  </si>
  <si>
    <t>4290</t>
  </si>
  <si>
    <t>GEORGIA DEPARTMENT OF ECONOMIC DEVELOPMENT</t>
  </si>
  <si>
    <t>4400</t>
  </si>
  <si>
    <t>GEORGIA DEPARTMENT OF LABOR</t>
  </si>
  <si>
    <t>GEORGIA DEPT OF LABOR</t>
  </si>
  <si>
    <t>4610</t>
  </si>
  <si>
    <t>GEORGIA DEPARTMENT OF JUVENILE JUSTICE</t>
  </si>
  <si>
    <t>4620</t>
  </si>
  <si>
    <t>DEPARTMENT OF NATURAL RESOURCE</t>
  </si>
  <si>
    <t>4650</t>
  </si>
  <si>
    <t>STATE OF GEORGIA DEPARTMENT OF LAW</t>
  </si>
  <si>
    <t>STATE OF GEORGIA DEPT OF LAW</t>
  </si>
  <si>
    <t>4660</t>
  </si>
  <si>
    <t>DEPARTMENT OF PUBLIC SAFETY</t>
  </si>
  <si>
    <t>4670</t>
  </si>
  <si>
    <t>DEPARTMENT OF CORRECTIONS</t>
  </si>
  <si>
    <t>4690</t>
  </si>
  <si>
    <t>GEORGIA DEPARTMENT OF EARLY CARE AND LEARNING</t>
  </si>
  <si>
    <t>GEORGIA DEPT OF EARLY CARE &amp; LEARNING</t>
  </si>
  <si>
    <t>4720</t>
  </si>
  <si>
    <t>BOARD OF REGENTS</t>
  </si>
  <si>
    <t>4740</t>
  </si>
  <si>
    <t>GEORGIA DEPARTMENT OF REVENUE</t>
  </si>
  <si>
    <t>4750</t>
  </si>
  <si>
    <t>GEORGIA DEPARTMENT OF DRIVER SERVICES</t>
  </si>
  <si>
    <t>4760</t>
  </si>
  <si>
    <t>GEORGIA STUDENT FINANCE COMM</t>
  </si>
  <si>
    <t>4780</t>
  </si>
  <si>
    <t>SECRETARY OF STATE</t>
  </si>
  <si>
    <t>4920</t>
  </si>
  <si>
    <t>GEORGIA PUBLIC DEFENDER STANDARD COUNCIL</t>
  </si>
  <si>
    <t>GEORGIA PUBLIC DEFENDER STD COUNCIL</t>
  </si>
  <si>
    <t>5030</t>
  </si>
  <si>
    <t>GEORGIA INST OF TECHNOLOGY</t>
  </si>
  <si>
    <t>5090</t>
  </si>
  <si>
    <t>GEORGIA STATE UNIVERSITY</t>
  </si>
  <si>
    <t>5120</t>
  </si>
  <si>
    <t>AUGUSTA UNIVERSITY</t>
  </si>
  <si>
    <t>GEORGIA REGENTS UNIVERSITY</t>
  </si>
  <si>
    <t>5180</t>
  </si>
  <si>
    <t>THE UNIVERSITY OF GEORGIA</t>
  </si>
  <si>
    <t>5210</t>
  </si>
  <si>
    <t>ALBANY STATE UNIVERSITY</t>
  </si>
  <si>
    <t>5240</t>
  </si>
  <si>
    <t>ARMSTRONG ATLANTIC STATE UNIV</t>
  </si>
  <si>
    <t>5280</t>
  </si>
  <si>
    <t>CLAYTON COLLEGE &amp; STATE UNIV</t>
  </si>
  <si>
    <t>5300</t>
  </si>
  <si>
    <t>COLUMBUS STATE UNIVERSITY</t>
  </si>
  <si>
    <t>5330</t>
  </si>
  <si>
    <t>FORT VALLEY STATE UNIVERSITY</t>
  </si>
  <si>
    <t>5360</t>
  </si>
  <si>
    <t>GEORGIA COLLEGE &amp; STATE UNIV</t>
  </si>
  <si>
    <t>5390</t>
  </si>
  <si>
    <t>GEORGIA SOUTHERN UNIVERSITY</t>
  </si>
  <si>
    <t>5400</t>
  </si>
  <si>
    <t>GEORGIA GWINNETT COLLEGE</t>
  </si>
  <si>
    <t>5420</t>
  </si>
  <si>
    <t>GEORGIA SOUTHWESTERN STATE UNIVERSITY</t>
  </si>
  <si>
    <t>GA SOUTHWESTERN STATE UNIV</t>
  </si>
  <si>
    <t>GEORGIA SOUTHWESTERN STATE UNIV</t>
  </si>
  <si>
    <t>5430</t>
  </si>
  <si>
    <t>KENNESAW STATE UNIVERSITY</t>
  </si>
  <si>
    <t>5450</t>
  </si>
  <si>
    <t>UNIVERSITY OF NORTH GEORGIA</t>
  </si>
  <si>
    <t>5480</t>
  </si>
  <si>
    <t>SAVANNAH STATE UNIVERSITY</t>
  </si>
  <si>
    <t>5510</t>
  </si>
  <si>
    <t>VALDOSTA STATE UNIVERSITY</t>
  </si>
  <si>
    <t>5540</t>
  </si>
  <si>
    <t>UNIVERSITY OF WEST GEORGIA</t>
  </si>
  <si>
    <t>5570</t>
  </si>
  <si>
    <t>ABRAHAM BALDWIN AGRICULTURE COLLEGE</t>
  </si>
  <si>
    <t>ABRAHAM BALDWIN AGRI.COLLEGE</t>
  </si>
  <si>
    <t>5600</t>
  </si>
  <si>
    <t>DARTON COLLEGE</t>
  </si>
  <si>
    <t>5620</t>
  </si>
  <si>
    <t>BAINBRIDGE COLLEGE</t>
  </si>
  <si>
    <t>5630</t>
  </si>
  <si>
    <t>COLLEGE OF COASTAL GEORGIA</t>
  </si>
  <si>
    <t>5690</t>
  </si>
  <si>
    <t>DALTON STATE COLLEGE</t>
  </si>
  <si>
    <t>5700</t>
  </si>
  <si>
    <t>GEORGIA PERIMETER COLLEGE</t>
  </si>
  <si>
    <t>5710</t>
  </si>
  <si>
    <t>EAST GEORGIA STATE COLLEGE</t>
  </si>
  <si>
    <t>5720</t>
  </si>
  <si>
    <t>GEORGIA HIGHLANDS COLLEGE</t>
  </si>
  <si>
    <t>5760</t>
  </si>
  <si>
    <t>GORDON COLLEGE</t>
  </si>
  <si>
    <t>5840</t>
  </si>
  <si>
    <t>MIDDLE GEORGIA STATE COLLEGE</t>
  </si>
  <si>
    <t>5870</t>
  </si>
  <si>
    <t>SOUTH GEORGIA STATE COLLEGE</t>
  </si>
  <si>
    <t>5900</t>
  </si>
  <si>
    <t>ATLANTA METROPOLITAN STATE COLLEGE</t>
  </si>
  <si>
    <t>6011</t>
  </si>
  <si>
    <t>APPLING COUNTY SCHOOLS</t>
  </si>
  <si>
    <t>6021</t>
  </si>
  <si>
    <t>ATKINSON COUNTY SCHOOLS</t>
  </si>
  <si>
    <t>ATKINSON CO SCHOOLS</t>
  </si>
  <si>
    <t>6031</t>
  </si>
  <si>
    <t>BACON COUNTY SCHOOLS</t>
  </si>
  <si>
    <t>BACON CO SCHOOLS</t>
  </si>
  <si>
    <t>6041</t>
  </si>
  <si>
    <t>BAKER COUNTY SCHOOLS</t>
  </si>
  <si>
    <t>BAKER CO SCHOOLS</t>
  </si>
  <si>
    <t>6051</t>
  </si>
  <si>
    <t>BALDWIN COUNTY SCHOOLS</t>
  </si>
  <si>
    <t>BALDWIN CO SCHOOLS</t>
  </si>
  <si>
    <t>6055</t>
  </si>
  <si>
    <t>GEORGIA MILITARY COLLEGE</t>
  </si>
  <si>
    <t>6061</t>
  </si>
  <si>
    <t>BANKS COUNTY SCHOOLS</t>
  </si>
  <si>
    <t>BANKS CO SCHOOLS</t>
  </si>
  <si>
    <t>6071</t>
  </si>
  <si>
    <t>BARROW COUNTY SCHOOLS</t>
  </si>
  <si>
    <t>BARROW CO SCHOOLS</t>
  </si>
  <si>
    <t>6072</t>
  </si>
  <si>
    <t>PIEDMONT REG LIBRARY</t>
  </si>
  <si>
    <t>6081</t>
  </si>
  <si>
    <t>BARTOW COUNTY SCHOOLS</t>
  </si>
  <si>
    <t>BARTOW CO SCHOOLS</t>
  </si>
  <si>
    <t>6082</t>
  </si>
  <si>
    <t>BARTOW COUNTY LIBRARY</t>
  </si>
  <si>
    <t>6091</t>
  </si>
  <si>
    <t>BEN HILL CO SCHOOLS</t>
  </si>
  <si>
    <t>6092</t>
  </si>
  <si>
    <t>FITZGERALD-BEN HILL COUNTY LIB</t>
  </si>
  <si>
    <t>6101</t>
  </si>
  <si>
    <t>BERRIEN CO SCHOOLS</t>
  </si>
  <si>
    <t>6111</t>
  </si>
  <si>
    <t>BIBB CO SCHOOLS</t>
  </si>
  <si>
    <t>6112</t>
  </si>
  <si>
    <t>MIDDLE GEORGIA REG LIBRARY</t>
  </si>
  <si>
    <t>6121</t>
  </si>
  <si>
    <t>BLECKLEY CO SCHOOLS</t>
  </si>
  <si>
    <t>6131</t>
  </si>
  <si>
    <t>BRANTLEY CO SCHOOLS</t>
  </si>
  <si>
    <t>6141</t>
  </si>
  <si>
    <t>BROOKS CO SCHOOLS</t>
  </si>
  <si>
    <t>6142</t>
  </si>
  <si>
    <t>BROOKS COUNTY LIBRARY</t>
  </si>
  <si>
    <t>6151</t>
  </si>
  <si>
    <t>BRYAN CO SCHOOLS</t>
  </si>
  <si>
    <t>6161</t>
  </si>
  <si>
    <t>BULLOCH CO SCHOOLS</t>
  </si>
  <si>
    <t>6162</t>
  </si>
  <si>
    <t>STATESBORO REGIONAL LIBRARY</t>
  </si>
  <si>
    <t>6171</t>
  </si>
  <si>
    <t>BURKE CO SCHOOLS</t>
  </si>
  <si>
    <t>6181</t>
  </si>
  <si>
    <t>BUTTS CO SCHOOLS</t>
  </si>
  <si>
    <t>6182</t>
  </si>
  <si>
    <t>JACKSON BUTTS COUNTY LIBRARY</t>
  </si>
  <si>
    <t>6191</t>
  </si>
  <si>
    <t>CALHOUN CO SCHOOLS</t>
  </si>
  <si>
    <t>6201</t>
  </si>
  <si>
    <t>CAMDEN CO SCHOOLS</t>
  </si>
  <si>
    <t>6202</t>
  </si>
  <si>
    <t>CAMDEN COUNTY LIBRARY</t>
  </si>
  <si>
    <t>6211</t>
  </si>
  <si>
    <t>CANDLER CO SCHOOLS</t>
  </si>
  <si>
    <t>6221</t>
  </si>
  <si>
    <t>CARROLL CO SCHOOLS</t>
  </si>
  <si>
    <t>6222</t>
  </si>
  <si>
    <t>WEST GEORGIA REG LIBRARY</t>
  </si>
  <si>
    <t>WEST GA REG LIBRARY</t>
  </si>
  <si>
    <t>6231</t>
  </si>
  <si>
    <t>CATOOSA CO SCHOOLS</t>
  </si>
  <si>
    <t>6232</t>
  </si>
  <si>
    <t>CATOOSA COUNTY LIBRARY</t>
  </si>
  <si>
    <t>6241</t>
  </si>
  <si>
    <t>CHARLTON CO SCHOOLS</t>
  </si>
  <si>
    <t>6251</t>
  </si>
  <si>
    <t>CHATHAM CO SCHOOLS</t>
  </si>
  <si>
    <t>6252</t>
  </si>
  <si>
    <t>LIVE OAK PUBLIC LIBRARIES</t>
  </si>
  <si>
    <t>6261</t>
  </si>
  <si>
    <t>CHATTAHOOCHEE CO SCHOOLS</t>
  </si>
  <si>
    <t>6271</t>
  </si>
  <si>
    <t>CHATTOOGA CO SCHOOLS</t>
  </si>
  <si>
    <t>6272</t>
  </si>
  <si>
    <t>CHATTOOGA COUNTY LIBRARY SYST</t>
  </si>
  <si>
    <t>6281</t>
  </si>
  <si>
    <t>CHEROKEE CO SCHOOLS</t>
  </si>
  <si>
    <t>6282</t>
  </si>
  <si>
    <t>SEQUOYAH REG LIBRARY</t>
  </si>
  <si>
    <t>SEQUOYAH REG LIB</t>
  </si>
  <si>
    <t>6291</t>
  </si>
  <si>
    <t>CLARKE COUNTY SCHOOLS</t>
  </si>
  <si>
    <t>CLARKE CO SCHOOLS</t>
  </si>
  <si>
    <t>6292</t>
  </si>
  <si>
    <t>ATHENS REGIONAL LIBRARY</t>
  </si>
  <si>
    <t>6301</t>
  </si>
  <si>
    <t>CLAY CO SCHOOLS</t>
  </si>
  <si>
    <t>6311</t>
  </si>
  <si>
    <t>CLAYTON CO SCHOOLS</t>
  </si>
  <si>
    <t>6312</t>
  </si>
  <si>
    <t>CLAYTON COUNTY REG LIBRARY</t>
  </si>
  <si>
    <t>CLAYTON COUNTY REG LIB</t>
  </si>
  <si>
    <t>6321</t>
  </si>
  <si>
    <t>CLINCH CO SCHOOLS</t>
  </si>
  <si>
    <t>6331</t>
  </si>
  <si>
    <t>COBB CO SCHOOLS</t>
  </si>
  <si>
    <t>6332</t>
  </si>
  <si>
    <t>COBB COUNTY PUBLIC LIBRARY</t>
  </si>
  <si>
    <t>COBB COUNTY PUBLIC LIB</t>
  </si>
  <si>
    <t>6341</t>
  </si>
  <si>
    <t>COFFEE CO SCHOOLS</t>
  </si>
  <si>
    <t>6342</t>
  </si>
  <si>
    <t>SATILLA REG LIBRARY</t>
  </si>
  <si>
    <t>6351</t>
  </si>
  <si>
    <t>COLQUITT CO SCHOOLS</t>
  </si>
  <si>
    <t>6352</t>
  </si>
  <si>
    <t>MOULTRIE-COLQUITT CO LIBRARY</t>
  </si>
  <si>
    <t>MOULTRIE-COLQUITT CNTY LIB</t>
  </si>
  <si>
    <t>MOULTRIE-COLQUITT CNTY LIBRARY</t>
  </si>
  <si>
    <t>6361</t>
  </si>
  <si>
    <t>COLUMBIA CO SCHOOLS</t>
  </si>
  <si>
    <t>6371</t>
  </si>
  <si>
    <t>COOK CO SCHOOLS</t>
  </si>
  <si>
    <t>6381</t>
  </si>
  <si>
    <t>COWETA CO SCHOOLS</t>
  </si>
  <si>
    <t>6391</t>
  </si>
  <si>
    <t>CRAWFORD CO SCHOOLS</t>
  </si>
  <si>
    <t>6401</t>
  </si>
  <si>
    <t>CRISP CO SCHOOLS</t>
  </si>
  <si>
    <t>6411</t>
  </si>
  <si>
    <t>DADE CO SCHOOLS</t>
  </si>
  <si>
    <t>6421</t>
  </si>
  <si>
    <t>DAWSON CO SCHOOLS</t>
  </si>
  <si>
    <t>6431</t>
  </si>
  <si>
    <t>DECATUR CO SCHOOLS</t>
  </si>
  <si>
    <t>6432</t>
  </si>
  <si>
    <t>SOUTHWEST GEORGIA REG LIBRARY</t>
  </si>
  <si>
    <t>SOUTHWEST GA REG LIB</t>
  </si>
  <si>
    <t>6441</t>
  </si>
  <si>
    <t>DEKALB CO SCHOOLS</t>
  </si>
  <si>
    <t>6442</t>
  </si>
  <si>
    <t>DEKALB COUNTY PUBLIC LIBRARY</t>
  </si>
  <si>
    <t>6451</t>
  </si>
  <si>
    <t>DODGE CO SCHOOLS</t>
  </si>
  <si>
    <t>6452</t>
  </si>
  <si>
    <t>OCMULGEE REGIONAL LIBRARY</t>
  </si>
  <si>
    <t>6461</t>
  </si>
  <si>
    <t>DOOLY CO SCHOOLS</t>
  </si>
  <si>
    <t>6471</t>
  </si>
  <si>
    <t>DOUGHERTY CO SCHOOLS</t>
  </si>
  <si>
    <t>6472</t>
  </si>
  <si>
    <t>DOUGHERTY CO.PUBLIC LIBRARY</t>
  </si>
  <si>
    <t>6481</t>
  </si>
  <si>
    <t>DOUGLAS CO SCHOOLS</t>
  </si>
  <si>
    <t>6491</t>
  </si>
  <si>
    <t>EARLY CO SCHOOLS</t>
  </si>
  <si>
    <t>6501</t>
  </si>
  <si>
    <t>ECHOLS CO SCHOOLS</t>
  </si>
  <si>
    <t>6511</t>
  </si>
  <si>
    <t>EFFINGHAM CO SCHOOLS</t>
  </si>
  <si>
    <t>6521</t>
  </si>
  <si>
    <t>ELBERT CO SCHOOLS</t>
  </si>
  <si>
    <t>6522</t>
  </si>
  <si>
    <t>ELBERT COUNTY LIBRARY</t>
  </si>
  <si>
    <t>6531</t>
  </si>
  <si>
    <t>EMANUEL CO SCHOOLS</t>
  </si>
  <si>
    <t>6541</t>
  </si>
  <si>
    <t>EVANS CO SCHOOLS</t>
  </si>
  <si>
    <t>6551</t>
  </si>
  <si>
    <t>FANNIN CO SCHOOLS</t>
  </si>
  <si>
    <t>6561</t>
  </si>
  <si>
    <t>FAYETTE CO SCHOOLS</t>
  </si>
  <si>
    <t>6571</t>
  </si>
  <si>
    <t>FLOYD CO SCHOOLS</t>
  </si>
  <si>
    <t>6572</t>
  </si>
  <si>
    <t>SARA HIGHTOWER REGIONAL LIBRARY</t>
  </si>
  <si>
    <t>SARA HIGHTOWER REGIONAL LIB</t>
  </si>
  <si>
    <t>6581</t>
  </si>
  <si>
    <t>FORSYTH CO SCHOOLS</t>
  </si>
  <si>
    <t>6582</t>
  </si>
  <si>
    <t>FORSYTH COUNTY PUBLIC LIBRARY</t>
  </si>
  <si>
    <t>6591</t>
  </si>
  <si>
    <t>FRANKLIN CO SCHOOLS</t>
  </si>
  <si>
    <t>6601</t>
  </si>
  <si>
    <t>FULTON CO SCHOOLS</t>
  </si>
  <si>
    <t>6611</t>
  </si>
  <si>
    <t>GILMER CO SCHOOLS</t>
  </si>
  <si>
    <t>6621</t>
  </si>
  <si>
    <t>GLASCOCK CO SCHOOLS</t>
  </si>
  <si>
    <t>6631</t>
  </si>
  <si>
    <t>GLYNN CO SCHOOLS</t>
  </si>
  <si>
    <t>6632</t>
  </si>
  <si>
    <t>THREE RIVERS REGIONAL LIBRARY</t>
  </si>
  <si>
    <t>6641</t>
  </si>
  <si>
    <t>GORDON CO SCHOOLS</t>
  </si>
  <si>
    <t>6651</t>
  </si>
  <si>
    <t>GRADY CO SCHOOLS</t>
  </si>
  <si>
    <t>6652</t>
  </si>
  <si>
    <t>RODDENBERY MEMORIAL LIBRARY</t>
  </si>
  <si>
    <t>6661</t>
  </si>
  <si>
    <t>GREENE CO SCHOOLS</t>
  </si>
  <si>
    <t>6671</t>
  </si>
  <si>
    <t>GWINNETT CO SCHOOLS</t>
  </si>
  <si>
    <t>6672</t>
  </si>
  <si>
    <t>GWINNETT COUNTY PUBLIC LIBRARY</t>
  </si>
  <si>
    <t>GWINNETT COUNTY PUBLIC LIB</t>
  </si>
  <si>
    <t>6681</t>
  </si>
  <si>
    <t>HABERSHAM CO SCHOOLS</t>
  </si>
  <si>
    <t>6682</t>
  </si>
  <si>
    <t>N E GEORGIA REG LIBRARY</t>
  </si>
  <si>
    <t>N E GA REG LIBRARY</t>
  </si>
  <si>
    <t>6691</t>
  </si>
  <si>
    <t>HALL CO SCHOOLS</t>
  </si>
  <si>
    <t>6692</t>
  </si>
  <si>
    <t>CHESTATEE REG LIBRARY</t>
  </si>
  <si>
    <t>6693</t>
  </si>
  <si>
    <t>HALL COUNTY LIBRARY</t>
  </si>
  <si>
    <t>6701</t>
  </si>
  <si>
    <t>HANCOCK CO SCHOOLS</t>
  </si>
  <si>
    <t>6711</t>
  </si>
  <si>
    <t>HARALSON CO SCHOOLS</t>
  </si>
  <si>
    <t>6721</t>
  </si>
  <si>
    <t>HARRIS CO SCHOOLS</t>
  </si>
  <si>
    <t>6731</t>
  </si>
  <si>
    <t>HART CO SCHOOLS</t>
  </si>
  <si>
    <t>6732</t>
  </si>
  <si>
    <t>HART COUNTY LIBRARY</t>
  </si>
  <si>
    <t>6741</t>
  </si>
  <si>
    <t>HEARD CO SCHOOLS</t>
  </si>
  <si>
    <t>6751</t>
  </si>
  <si>
    <t>HENRY CO SCHOOLS</t>
  </si>
  <si>
    <t>6752</t>
  </si>
  <si>
    <t>HENRY COUNTY LIBRARY</t>
  </si>
  <si>
    <t>6761</t>
  </si>
  <si>
    <t>HOUSTON CO SCHOOLS</t>
  </si>
  <si>
    <t>6762</t>
  </si>
  <si>
    <t>HOUSTON COUNTY PUBLIC LIBRARY</t>
  </si>
  <si>
    <t>6771</t>
  </si>
  <si>
    <t>IRWIN CO SCHOOLS</t>
  </si>
  <si>
    <t>6781</t>
  </si>
  <si>
    <t>JACKSON CO SCHOOLS</t>
  </si>
  <si>
    <t>6791</t>
  </si>
  <si>
    <t>JASPER CO SCHOOLS</t>
  </si>
  <si>
    <t>6801</t>
  </si>
  <si>
    <t>JEFF DAVIS CO SCHOOLS</t>
  </si>
  <si>
    <t>6811</t>
  </si>
  <si>
    <t>JEFFERSON CO SCHOOLS</t>
  </si>
  <si>
    <t>6812</t>
  </si>
  <si>
    <t>JEFFERSON COUNTY REG.LIBRARY</t>
  </si>
  <si>
    <t>JEFFERSON COUNTY REG.LIB.</t>
  </si>
  <si>
    <t>6821</t>
  </si>
  <si>
    <t>JENKINS CO SCHOOLS</t>
  </si>
  <si>
    <t>6831</t>
  </si>
  <si>
    <t>JOHNSON CO SCHOOLS</t>
  </si>
  <si>
    <t>6841</t>
  </si>
  <si>
    <t>JONES CO SCHOOLS</t>
  </si>
  <si>
    <t>6851</t>
  </si>
  <si>
    <t>LAMAR CO SCHOOLS</t>
  </si>
  <si>
    <t>6861</t>
  </si>
  <si>
    <t>LANIER CO SCHOOLS</t>
  </si>
  <si>
    <t>6871</t>
  </si>
  <si>
    <t>LAURENS CO SCHOOLS</t>
  </si>
  <si>
    <t>6872</t>
  </si>
  <si>
    <t>OCONEE REG LIBRARY</t>
  </si>
  <si>
    <t>6881</t>
  </si>
  <si>
    <t>LEE CO SCHOOLS</t>
  </si>
  <si>
    <t>6882</t>
  </si>
  <si>
    <t>LEE COUNTY LIBRARY</t>
  </si>
  <si>
    <t>6891</t>
  </si>
  <si>
    <t>LIBERTY CO SCHOOLS</t>
  </si>
  <si>
    <t>6901</t>
  </si>
  <si>
    <t>LINCOLN CO SCHOOLS</t>
  </si>
  <si>
    <t>6902</t>
  </si>
  <si>
    <t>LINCOLN COUNTY LIBRARY</t>
  </si>
  <si>
    <t>6911</t>
  </si>
  <si>
    <t>LONG CO SCHOOLS</t>
  </si>
  <si>
    <t>6921</t>
  </si>
  <si>
    <t>LOWNDES CO SCHOOLS</t>
  </si>
  <si>
    <t>6922</t>
  </si>
  <si>
    <t>SOUTH GEORGIA REG LIBRARY</t>
  </si>
  <si>
    <t>SOUTH GA REG LIBRARY</t>
  </si>
  <si>
    <t>6931</t>
  </si>
  <si>
    <t>LUMPKIN CO SCHOOLS</t>
  </si>
  <si>
    <t>6941</t>
  </si>
  <si>
    <t>MACON CO SCHOOLS</t>
  </si>
  <si>
    <t>6951</t>
  </si>
  <si>
    <t>MADISON CO SCHOOLS</t>
  </si>
  <si>
    <t>6961</t>
  </si>
  <si>
    <t>MARION CO SCHOOLS</t>
  </si>
  <si>
    <t>6971</t>
  </si>
  <si>
    <t>MCDUFFIE CO SCHOOLS</t>
  </si>
  <si>
    <t>6981</t>
  </si>
  <si>
    <t>MCINTOSH CO SCHOOLS</t>
  </si>
  <si>
    <t>6991</t>
  </si>
  <si>
    <t>MERIWETHER CO SCHOOLS</t>
  </si>
  <si>
    <t>6992</t>
  </si>
  <si>
    <t>PINE MOUNTAIN REGIONAL LIBRARY</t>
  </si>
  <si>
    <t>7001</t>
  </si>
  <si>
    <t>MILLER CO SCHOOLS</t>
  </si>
  <si>
    <t>7011</t>
  </si>
  <si>
    <t>MITCHELL CO SCHOOLS</t>
  </si>
  <si>
    <t>7012</t>
  </si>
  <si>
    <t>DESOTO TRAIL REGIONAL LIBRARY</t>
  </si>
  <si>
    <t>DESOTA TRAIL REG LIB</t>
  </si>
  <si>
    <t>DESOTA TRAIL REG LIBRARY</t>
  </si>
  <si>
    <t>7021</t>
  </si>
  <si>
    <t>MONROE CO SCHOOLS</t>
  </si>
  <si>
    <t>7031</t>
  </si>
  <si>
    <t>MONTGOMERY CO SCHOOLS</t>
  </si>
  <si>
    <t>7041</t>
  </si>
  <si>
    <t>MORGAN CO SCHOOLS</t>
  </si>
  <si>
    <t>7042</t>
  </si>
  <si>
    <t>AZALEA REGIONAL LIBRARY SYSTEM</t>
  </si>
  <si>
    <t>UNCLE REMUS REG LIB</t>
  </si>
  <si>
    <t>7051</t>
  </si>
  <si>
    <t>MURRAY CO SCHOOLS</t>
  </si>
  <si>
    <t>7061</t>
  </si>
  <si>
    <t>MUSCOGEE CO SCHOOL DISTRICT</t>
  </si>
  <si>
    <t>7071</t>
  </si>
  <si>
    <t>NEWTON CO SCHOOLS</t>
  </si>
  <si>
    <t>7072</t>
  </si>
  <si>
    <t>NEWTON COUNTY LIBRARY</t>
  </si>
  <si>
    <t>7081</t>
  </si>
  <si>
    <t>OCONEE CO SCHOOLS</t>
  </si>
  <si>
    <t>7091</t>
  </si>
  <si>
    <t>OGLETHORPE CO SCHOOLS</t>
  </si>
  <si>
    <t>7101</t>
  </si>
  <si>
    <t>PAULDING CO SCHOOLS</t>
  </si>
  <si>
    <t>7111</t>
  </si>
  <si>
    <t>PEACH CO SCHOOLS</t>
  </si>
  <si>
    <t>7112</t>
  </si>
  <si>
    <t>PEACH PUBLIC LIBRARY</t>
  </si>
  <si>
    <t>7121</t>
  </si>
  <si>
    <t>PICKENS CO SCHOOLS</t>
  </si>
  <si>
    <t>7131</t>
  </si>
  <si>
    <t>PIERCE CO SCHOOLS</t>
  </si>
  <si>
    <t>7141</t>
  </si>
  <si>
    <t>PIKE CO SCHOOLS</t>
  </si>
  <si>
    <t>7151</t>
  </si>
  <si>
    <t>POLK SCHOOL DISTRICT</t>
  </si>
  <si>
    <t>7161</t>
  </si>
  <si>
    <t>PULASKI CO SCHOOLS</t>
  </si>
  <si>
    <t>7171</t>
  </si>
  <si>
    <t>PUTNAM CO SCHOOLS</t>
  </si>
  <si>
    <t>7181</t>
  </si>
  <si>
    <t>QUITMAN CO SCHOOLS</t>
  </si>
  <si>
    <t>7191</t>
  </si>
  <si>
    <t>RABUN CO SCHOOLS</t>
  </si>
  <si>
    <t>7201</t>
  </si>
  <si>
    <t>RANDOLPH CO SCHOOLS</t>
  </si>
  <si>
    <t>7211</t>
  </si>
  <si>
    <t>RICHMOND CO SCHOOLS</t>
  </si>
  <si>
    <t>7212</t>
  </si>
  <si>
    <t>AUGUSTA RICHMOND COUNTY PUBLIC LIBRARY SYSTEM</t>
  </si>
  <si>
    <t>EAST CENTRAL GA REGIONAL LIB</t>
  </si>
  <si>
    <t>7221</t>
  </si>
  <si>
    <t>ROCKDALE CO SCHOOLS</t>
  </si>
  <si>
    <t>7222</t>
  </si>
  <si>
    <t>CONYERS-ROCKDALE LIBRARY SYSTEM</t>
  </si>
  <si>
    <t>CONYERS-ROCKDALE LIB.SYSTEM</t>
  </si>
  <si>
    <t>CONYERS-ROCKDALE LIBRARY.SYSTEM</t>
  </si>
  <si>
    <t>7231</t>
  </si>
  <si>
    <t>SCHLEY CO SCHOOLS</t>
  </si>
  <si>
    <t>7241</t>
  </si>
  <si>
    <t>SCREVEN CO SCHOOLS</t>
  </si>
  <si>
    <t>7242</t>
  </si>
  <si>
    <t>SCREVEN-JENKINS REG LIBRARY</t>
  </si>
  <si>
    <t>7251</t>
  </si>
  <si>
    <t>SEMINOLE CO SCHOOLS</t>
  </si>
  <si>
    <t>7261</t>
  </si>
  <si>
    <t>GRIFFIN SPALDING CO SCHOOLS</t>
  </si>
  <si>
    <t>7262</t>
  </si>
  <si>
    <t>FLINT RIVER REGIONAL LIBRARY</t>
  </si>
  <si>
    <t>7271</t>
  </si>
  <si>
    <t>STEPHENS CO SCHOOLS</t>
  </si>
  <si>
    <t>7281</t>
  </si>
  <si>
    <t>STEWART CO SCHOOLS</t>
  </si>
  <si>
    <t>7291</t>
  </si>
  <si>
    <t>SUMTER CO SCHOOLS</t>
  </si>
  <si>
    <t>7292</t>
  </si>
  <si>
    <t>LAKE BLACKSHEAR REG LIBRARY</t>
  </si>
  <si>
    <t>LAKE BLACKSHEAR REG LIB</t>
  </si>
  <si>
    <t>7301</t>
  </si>
  <si>
    <t>TALBOT CO SCHOOLS</t>
  </si>
  <si>
    <t>7311</t>
  </si>
  <si>
    <t>TALIAFERRO CO SCHOOLS</t>
  </si>
  <si>
    <t>7321</t>
  </si>
  <si>
    <t>TATTNALL CO SCHOOLS</t>
  </si>
  <si>
    <t>7331</t>
  </si>
  <si>
    <t>TAYLOR CO SCHOOLS</t>
  </si>
  <si>
    <t>7341</t>
  </si>
  <si>
    <t>TELFAIR CO SCHOOLS</t>
  </si>
  <si>
    <t>7351</t>
  </si>
  <si>
    <t>TERRELL CO SCHOOLS</t>
  </si>
  <si>
    <t>7352</t>
  </si>
  <si>
    <t>KINCHAFOONEE REG LIBRARY</t>
  </si>
  <si>
    <t>KINCHAFOONEE REG LIB</t>
  </si>
  <si>
    <t>7361</t>
  </si>
  <si>
    <t>THOMAS CO SCHOOLS</t>
  </si>
  <si>
    <t>7362</t>
  </si>
  <si>
    <t>THOMAS COUNTY PUBLIC LIBRARY</t>
  </si>
  <si>
    <t>7371</t>
  </si>
  <si>
    <t>TIFT CO SCHOOLS</t>
  </si>
  <si>
    <t>7372</t>
  </si>
  <si>
    <t>COASTAL PLAIN REGIONAL LIBRARY</t>
  </si>
  <si>
    <t>7381</t>
  </si>
  <si>
    <t>TOOMBS CO SCHOOLS</t>
  </si>
  <si>
    <t>7382</t>
  </si>
  <si>
    <t>OHOOPEE REG LIBRARY</t>
  </si>
  <si>
    <t>OHOOPEE REG LIB</t>
  </si>
  <si>
    <t>7391</t>
  </si>
  <si>
    <t>TOWNS CO SCHOOLS</t>
  </si>
  <si>
    <t>7392</t>
  </si>
  <si>
    <t>MOUNTAIN REG LIBRARY</t>
  </si>
  <si>
    <t>7401</t>
  </si>
  <si>
    <t>TREUTLEN CO SCHOOLS</t>
  </si>
  <si>
    <t>7411</t>
  </si>
  <si>
    <t>TROUP CO SCHOOLS</t>
  </si>
  <si>
    <t>7412</t>
  </si>
  <si>
    <t>TROUP HARRIS COWETA REG LIBRARY</t>
  </si>
  <si>
    <t>TROUP HARRIS COWETA REG LIB</t>
  </si>
  <si>
    <t>7421</t>
  </si>
  <si>
    <t>TURNER CO SCHOOLS</t>
  </si>
  <si>
    <t>7431</t>
  </si>
  <si>
    <t>TWIGGS CO SCHOOLS</t>
  </si>
  <si>
    <t>7441</t>
  </si>
  <si>
    <t>UNION CO SCHOOLS</t>
  </si>
  <si>
    <t>7451</t>
  </si>
  <si>
    <t>THOMASTON-UPSON COUNTY SCHOOLS</t>
  </si>
  <si>
    <t>7461</t>
  </si>
  <si>
    <t>WALKER CO SCHOOLS</t>
  </si>
  <si>
    <t>7462</t>
  </si>
  <si>
    <t>CHEROKEE REG LIBRARY</t>
  </si>
  <si>
    <t>7471</t>
  </si>
  <si>
    <t>WALTON CO SCHOOLS</t>
  </si>
  <si>
    <t>7481</t>
  </si>
  <si>
    <t>WARE CO SCHOOLS</t>
  </si>
  <si>
    <t>7491</t>
  </si>
  <si>
    <t>WARREN CO SCHOOLS</t>
  </si>
  <si>
    <t>7492</t>
  </si>
  <si>
    <t>WARREN COUNTY PUBLIC LIBRARY</t>
  </si>
  <si>
    <t>7501</t>
  </si>
  <si>
    <t>WASHINGTON CO SCHOOLS</t>
  </si>
  <si>
    <t>7511</t>
  </si>
  <si>
    <t>WAYNE CO SCHOOLS</t>
  </si>
  <si>
    <t>7521</t>
  </si>
  <si>
    <t>WEBSTER CO SCHOOLS</t>
  </si>
  <si>
    <t>7531</t>
  </si>
  <si>
    <t>WHEELER CO SCHOOLS</t>
  </si>
  <si>
    <t>7541</t>
  </si>
  <si>
    <t>WHITE CO SCHOOLS</t>
  </si>
  <si>
    <t>7551</t>
  </si>
  <si>
    <t>WHITFIELD CO SCHOOLS</t>
  </si>
  <si>
    <t>7552</t>
  </si>
  <si>
    <t>NORTHWEST GEORGIA REGIONAL LIBRARY</t>
  </si>
  <si>
    <t>NORTHWEST GA REGIONAL LIBRARY</t>
  </si>
  <si>
    <t>7561</t>
  </si>
  <si>
    <t>WILCOX CO SCHOOLS</t>
  </si>
  <si>
    <t>7571</t>
  </si>
  <si>
    <t>WILKES CO SCHOOLS</t>
  </si>
  <si>
    <t>7572</t>
  </si>
  <si>
    <t>BARTRAM TRAIL REGIONAL LIBRARY</t>
  </si>
  <si>
    <t>7581</t>
  </si>
  <si>
    <t>WILKINSON CO SCHOOLS</t>
  </si>
  <si>
    <t>7591</t>
  </si>
  <si>
    <t>WORTH CO SCHOOLS</t>
  </si>
  <si>
    <t>7592</t>
  </si>
  <si>
    <t>WORTH COUNTY LIBRARY SYSTEM</t>
  </si>
  <si>
    <t>7611</t>
  </si>
  <si>
    <t>ATLANTA PUBLIC SCHOOLS</t>
  </si>
  <si>
    <t>7631</t>
  </si>
  <si>
    <t>BREMEN CITY SCHOOLS</t>
  </si>
  <si>
    <t>7641</t>
  </si>
  <si>
    <t>BUFORD CITY SCHOOLS</t>
  </si>
  <si>
    <t>7651</t>
  </si>
  <si>
    <t>CALHOUN CITY SCHOOLS</t>
  </si>
  <si>
    <t>7661</t>
  </si>
  <si>
    <t>CARROLLTON IND SCHOOLS</t>
  </si>
  <si>
    <t>7671</t>
  </si>
  <si>
    <t>CARTERSVILLE CITY SCHOOLS</t>
  </si>
  <si>
    <t>7691</t>
  </si>
  <si>
    <t>CHICKAMAUGA CITY SCHOOLS</t>
  </si>
  <si>
    <t>7711</t>
  </si>
  <si>
    <t>COMMERCE CITY SCHOOLS</t>
  </si>
  <si>
    <t>7721</t>
  </si>
  <si>
    <t>DALTON CITY SCHOOLS</t>
  </si>
  <si>
    <t>7731</t>
  </si>
  <si>
    <t>DECATUR CITY SCHOOLS</t>
  </si>
  <si>
    <t>7741</t>
  </si>
  <si>
    <t>DUBLIN CITY SCHOOLS</t>
  </si>
  <si>
    <t>7761</t>
  </si>
  <si>
    <t>GAINESVILLE CITY SCHOOLS</t>
  </si>
  <si>
    <t>7791</t>
  </si>
  <si>
    <t>JEFFERSON CITY SCHOOLS</t>
  </si>
  <si>
    <t>7811</t>
  </si>
  <si>
    <t>MARIETTA CITY SCHOOLS</t>
  </si>
  <si>
    <t>7841</t>
  </si>
  <si>
    <t>PELHAM CITY SCHOOLS</t>
  </si>
  <si>
    <t>7851</t>
  </si>
  <si>
    <t>ROME CITY SCHOOLS</t>
  </si>
  <si>
    <t>7861</t>
  </si>
  <si>
    <t>SOCIAL CIRCLE CITY SCHOOLS</t>
  </si>
  <si>
    <t>7891</t>
  </si>
  <si>
    <t>THOMASVILLE CITY SCHOOLS</t>
  </si>
  <si>
    <t>7911</t>
  </si>
  <si>
    <t>TRION CITY SCHOOLS</t>
  </si>
  <si>
    <t>7921</t>
  </si>
  <si>
    <t>VALDOSTA CITY SCHOOLS</t>
  </si>
  <si>
    <t>7931</t>
  </si>
  <si>
    <t>VIDALIA CITY SCHOOLS</t>
  </si>
  <si>
    <t>7942</t>
  </si>
  <si>
    <t>OKEFENOKEE REG LIBRARY</t>
  </si>
  <si>
    <t>OKEFENOKEE REG LIB</t>
  </si>
  <si>
    <t>8170</t>
  </si>
  <si>
    <t>OCONEE FALL LINE TECHNICAL COLLEGE</t>
  </si>
  <si>
    <t>OCONEE FALL LINE Tech. COLLEGE</t>
  </si>
  <si>
    <t>OCONEE FALL LINE TECH. COLLEGE</t>
  </si>
  <si>
    <t>8180</t>
  </si>
  <si>
    <t>COASTAL PINES TECHNICAL COLLEGE</t>
  </si>
  <si>
    <t>8200</t>
  </si>
  <si>
    <t>ALBANY TECHNICAL INSTITUTE</t>
  </si>
  <si>
    <t>ALBANY Tech. INSTITUTE</t>
  </si>
  <si>
    <t>ALBANY TECH. INSTITUTE</t>
  </si>
  <si>
    <t>8220</t>
  </si>
  <si>
    <t>ATHENS TECHNICAL COLLEGE</t>
  </si>
  <si>
    <t>ATHENS Tech. COLLEGE</t>
  </si>
  <si>
    <t>ATHENS TECH. COLLEGE</t>
  </si>
  <si>
    <t>8230</t>
  </si>
  <si>
    <t>ATLANTA TECHNICAL COLLEGE</t>
  </si>
  <si>
    <t>ATLANTA Tech. COLLEGE</t>
  </si>
  <si>
    <t>ATLANTA TECH. COLLEGE</t>
  </si>
  <si>
    <t>8240</t>
  </si>
  <si>
    <t>AUGUSTA TECHNICAL INSTITUTE</t>
  </si>
  <si>
    <t>AUGUSTA Tech. INSTITUTE</t>
  </si>
  <si>
    <t>AUGUSTA TECH. INSTITUTE</t>
  </si>
  <si>
    <t>8260</t>
  </si>
  <si>
    <t>WEST GEORGIA TECHNICAL COLLEGE</t>
  </si>
  <si>
    <t>WEST GEORGIA Tech. COLLEGE</t>
  </si>
  <si>
    <t>WEST GEORGIA TECH. COLLEGE</t>
  </si>
  <si>
    <t>8270</t>
  </si>
  <si>
    <t>CHATTAHOOCHEE TECHNICAL COLLEGE</t>
  </si>
  <si>
    <t>CHATTAHOOCHEE Tech. COLLEGE</t>
  </si>
  <si>
    <t>CHATTAHOOCHEE TECH. COLLEGE</t>
  </si>
  <si>
    <t>8280</t>
  </si>
  <si>
    <t>COLUMBUS TECHNICAL INSTITUTE</t>
  </si>
  <si>
    <t>COLUMBUS Tech. INSTITUTE</t>
  </si>
  <si>
    <t>COLUMBUS TECH. INSTITUTE</t>
  </si>
  <si>
    <t>8290</t>
  </si>
  <si>
    <t>GEORGIA NORTHWESTERN TECHNICAL COLLEGE</t>
  </si>
  <si>
    <t>GEORGIA NORTHWESTERN Tech. COLLEGE</t>
  </si>
  <si>
    <t>GEORGIA NORTHWESTERN TECH. COLLEGE</t>
  </si>
  <si>
    <t>8300</t>
  </si>
  <si>
    <t>GEORGIA PIEDMONT TECHNICAL COLLEGE</t>
  </si>
  <si>
    <t>GEORGIA PIEDMONT Tech. COLLEGE</t>
  </si>
  <si>
    <t>GEORGIA PIEDMONT TECH. COLLEGE</t>
  </si>
  <si>
    <t>8310</t>
  </si>
  <si>
    <t>SOUTHERN CRESCENT TECHNICAL COLLEGE</t>
  </si>
  <si>
    <t>SOUTHERN CRESCENT Tech. COLLEGE</t>
  </si>
  <si>
    <t>SOUTHERN CRESCENT TECH. COLLEGE</t>
  </si>
  <si>
    <t>8320</t>
  </si>
  <si>
    <t>GWINNETT TECHNICAL COLLEGE</t>
  </si>
  <si>
    <t>GWINNETT Tech. COLLEGE</t>
  </si>
  <si>
    <t>GWINNETT TECH. COLLEGE</t>
  </si>
  <si>
    <t>8340</t>
  </si>
  <si>
    <t>LANIER TECHNICAL COLLEGE</t>
  </si>
  <si>
    <t>LANIER Tech. COLLEGE</t>
  </si>
  <si>
    <t>LANIER TECH. COLLEGE</t>
  </si>
  <si>
    <t>8350</t>
  </si>
  <si>
    <t>CENTRAL GEORGIA TECHNICAL COLLEGE</t>
  </si>
  <si>
    <t>CENTRAL GEORGIA Tech. COLLEGE</t>
  </si>
  <si>
    <t>CENTRAL GEORGIA TECH. COLLEGE</t>
  </si>
  <si>
    <t>8370</t>
  </si>
  <si>
    <t>SOUTHERN REGIONAL TECHNICAL COLLEGE</t>
  </si>
  <si>
    <t>8380</t>
  </si>
  <si>
    <t>NORTH GEORGIA TECHNICAL INSTITUTE</t>
  </si>
  <si>
    <t>NORTH GA Tech. INSTITUTE</t>
  </si>
  <si>
    <t>NORTH GEORGIA TECH. INSTITUTE</t>
  </si>
  <si>
    <t>8410</t>
  </si>
  <si>
    <t>SAVANNAH TECH COLLEGE</t>
  </si>
  <si>
    <t>8420</t>
  </si>
  <si>
    <t>SOUTH GEORGIA TECHNICAL INSTITUTE</t>
  </si>
  <si>
    <t>SOUTH GA Tech. INSTITUTE</t>
  </si>
  <si>
    <t>SOUTH GEORGIA TECH. INSTITUTE</t>
  </si>
  <si>
    <t>8430</t>
  </si>
  <si>
    <t>SOUTHEASTERN TECHNICAL COLLEGE</t>
  </si>
  <si>
    <t>SOUTHEASTERN Tech. COLLEGE</t>
  </si>
  <si>
    <t>SOUTHEASTERN TECH. COLLEGE</t>
  </si>
  <si>
    <t>8440</t>
  </si>
  <si>
    <t>OGEECHEE TECH</t>
  </si>
  <si>
    <t>8480</t>
  </si>
  <si>
    <t>WIREGRASS GEORGIA TECHNICAL COLLEGE</t>
  </si>
  <si>
    <t>WIREGRASS GEORGIA Tech. COLLEGE</t>
  </si>
  <si>
    <t>WIREGRASS GEORGIA TECH. COLLEGE</t>
  </si>
  <si>
    <t>8504</t>
  </si>
  <si>
    <t>NORTHWEST GEORGIA RESA</t>
  </si>
  <si>
    <t>8524</t>
  </si>
  <si>
    <t>NORTH GEORGIA RESA</t>
  </si>
  <si>
    <t>8544</t>
  </si>
  <si>
    <t>PIONEER RESA</t>
  </si>
  <si>
    <t>8564</t>
  </si>
  <si>
    <t>METRO RESA</t>
  </si>
  <si>
    <t>8584</t>
  </si>
  <si>
    <t>NORTHEAST GEORGIA RESA</t>
  </si>
  <si>
    <t>8604</t>
  </si>
  <si>
    <t>WEST GEORGIA RESA</t>
  </si>
  <si>
    <t>8624</t>
  </si>
  <si>
    <t>GRIFFIN RESA</t>
  </si>
  <si>
    <t>8644</t>
  </si>
  <si>
    <t>MIDDLE GEORGIA RESA</t>
  </si>
  <si>
    <t>8664</t>
  </si>
  <si>
    <t>OCONEE RESA</t>
  </si>
  <si>
    <t>8684</t>
  </si>
  <si>
    <t>CSRA RESA</t>
  </si>
  <si>
    <t>8724</t>
  </si>
  <si>
    <t>CHATTAHOOCHEE FLINT RESA</t>
  </si>
  <si>
    <t>8764</t>
  </si>
  <si>
    <t>HEART OF GEORGIA RESA</t>
  </si>
  <si>
    <t>8804</t>
  </si>
  <si>
    <t>FIRST DISTRICT RESA</t>
  </si>
  <si>
    <t>8844</t>
  </si>
  <si>
    <t>SOUTHWEST GEORGIA RESA</t>
  </si>
  <si>
    <t>8864</t>
  </si>
  <si>
    <t>COASTAL PLAINS RESA</t>
  </si>
  <si>
    <t>8884</t>
  </si>
  <si>
    <t>OKEFENOKEE RESA</t>
  </si>
  <si>
    <t>9760</t>
  </si>
  <si>
    <t>GA.REG.TRANS.AUTHORITY</t>
  </si>
  <si>
    <t>9770</t>
  </si>
  <si>
    <t>GEORGIA PUB TELECOMMUNICATIONS COMM</t>
  </si>
  <si>
    <t>GA PUB TELECOMMUNICATIONS COMM</t>
  </si>
  <si>
    <t>9775</t>
  </si>
  <si>
    <t>GEORGIA AGRICULTURAL EXPOSITION AUTHORITY</t>
  </si>
  <si>
    <t>9800</t>
  </si>
  <si>
    <t>GEORGIA TECHNOLOGY AUTHORITY</t>
  </si>
  <si>
    <t>C011</t>
  </si>
  <si>
    <t>GEORGIA CYBER ACADEMY</t>
  </si>
  <si>
    <t>C012</t>
  </si>
  <si>
    <t>ACADEMY FOR CLASSICAL EDUCATION INC</t>
  </si>
  <si>
    <t>C013</t>
  </si>
  <si>
    <t>NORTHSIDE EDUC INC DBA ATLANTA CLASSICAL ACADEMY</t>
  </si>
  <si>
    <t>C014</t>
  </si>
  <si>
    <t>UTOPIAN ACADEMY FOR THE ARTS</t>
  </si>
  <si>
    <t>C015</t>
  </si>
  <si>
    <t>TAPESTRY PUBLIC CHARTER SCHOOL</t>
  </si>
  <si>
    <t>C016</t>
  </si>
  <si>
    <t>CHATTAHOOCHEE HILLS CHARTER SCHOOL INC</t>
  </si>
  <si>
    <t>C017</t>
  </si>
  <si>
    <t>SE HEALTH UNIT</t>
  </si>
  <si>
    <t>C018</t>
  </si>
  <si>
    <t>CHARTER CONSERVATORY FOR L &amp; T</t>
  </si>
  <si>
    <t>C019</t>
  </si>
  <si>
    <t>INTERNATIONAL COMMUNITY SCHOOL</t>
  </si>
  <si>
    <t>C020</t>
  </si>
  <si>
    <t>DEKALB PATH ACADEMY</t>
  </si>
  <si>
    <t>DEKALB PATH ACAD.</t>
  </si>
  <si>
    <t>C021</t>
  </si>
  <si>
    <t>ATLANTA NEIGHBORHOOD CHARTER SCHOOL INC</t>
  </si>
  <si>
    <t>ATLANTA NEIGHBORHOOD CHARTER SCHOOL</t>
  </si>
  <si>
    <t>C024</t>
  </si>
  <si>
    <t>NORTH METRO ACADEMY OF PERFORMING ARTS</t>
  </si>
  <si>
    <t>C026</t>
  </si>
  <si>
    <t>CENTENNIAL ACADEMY</t>
  </si>
  <si>
    <t>C027</t>
  </si>
  <si>
    <t>MACON CHARTER ACADEMY INC</t>
  </si>
  <si>
    <t>C028</t>
  </si>
  <si>
    <t>DUBOIS INTEGRITY ACADEMY</t>
  </si>
  <si>
    <t>C029</t>
  </si>
  <si>
    <t>GEORGIA HIGH SCH FOR ACCELERATED LEARNING FULTON CO INC</t>
  </si>
  <si>
    <t>C030</t>
  </si>
  <si>
    <t>GEORGIA SCHOOL FOR INNOVATION AND THE CLASSICS</t>
  </si>
  <si>
    <t>C031</t>
  </si>
  <si>
    <t>INTERNATIONAL CHARTER SCHOOL OF ATLANTA</t>
  </si>
  <si>
    <t>C032</t>
  </si>
  <si>
    <t>SCINTILLA CHARTER ACADEMY</t>
  </si>
  <si>
    <t>C033</t>
  </si>
  <si>
    <t>SAVANNAH CLASSICAL ACADEMY</t>
  </si>
  <si>
    <t>C034</t>
  </si>
  <si>
    <t>FULTON ACADEMY OF SCIENCE AND TECHNOLOGY</t>
  </si>
  <si>
    <t>C035</t>
  </si>
  <si>
    <t>SOUTHWEST GEORGIA STEM CHARTER SCHOOL</t>
  </si>
  <si>
    <t>C036</t>
  </si>
  <si>
    <t>CIRRUS ACADEMY</t>
  </si>
  <si>
    <t>C037</t>
  </si>
  <si>
    <t>PURPOSE BUILT SCHOOLS ATLANTA INC</t>
  </si>
  <si>
    <t>C038</t>
  </si>
  <si>
    <t>LIBERTY TECH CHARTER SCHOOL</t>
  </si>
  <si>
    <t>C039</t>
  </si>
  <si>
    <t>SCHOOL FOR ARTS INFUSED LEARNING</t>
  </si>
  <si>
    <t>C040</t>
  </si>
  <si>
    <t>COASTAL PLAINS EDUCATION CENTER INC</t>
  </si>
  <si>
    <t>C041</t>
  </si>
  <si>
    <t>INTERNATIONAL CHARTER ACADEMY OF GEORGIA</t>
  </si>
  <si>
    <t>C042</t>
  </si>
  <si>
    <t>SLAM ACADEMY OF ATLANTA</t>
  </si>
  <si>
    <t>C045</t>
  </si>
  <si>
    <t>UTOPIAN ACADEMY FOR THE ARTS ELEM SCH</t>
  </si>
  <si>
    <t>C070</t>
  </si>
  <si>
    <t>THE MAIN STREET ACADEMY</t>
  </si>
  <si>
    <t>THE MAIN STREET ACAD.</t>
  </si>
  <si>
    <t>C101</t>
  </si>
  <si>
    <t>BACONTON COMM CS</t>
  </si>
  <si>
    <t>C105</t>
  </si>
  <si>
    <t>COWETA CHARTER ACADEMY</t>
  </si>
  <si>
    <t>COWETA CHARTER ACAD.</t>
  </si>
  <si>
    <t>C107</t>
  </si>
  <si>
    <t>MARIETTA CHARTER SCHOOL</t>
  </si>
  <si>
    <t>C109</t>
  </si>
  <si>
    <t>WESLEY INTERNATIONAL ACADEMY</t>
  </si>
  <si>
    <t>WESLEY INTERNATIONAL ACAD.</t>
  </si>
  <si>
    <t>C111</t>
  </si>
  <si>
    <t>INTERNATIONAL ACADEMY OF SMYRNA CHARTER SCHOOL</t>
  </si>
  <si>
    <t>INT'L ACAD. OF SMYRNA CHARTER SCHOOL</t>
  </si>
  <si>
    <t>INT’L ACAD. OF SMYRNA CHARTER SCHOOL</t>
  </si>
  <si>
    <t>C112</t>
  </si>
  <si>
    <t>DESTINY ACHIEVERS ACAD. OF EXCELLENCE</t>
  </si>
  <si>
    <t>C113</t>
  </si>
  <si>
    <t>HERITAGE PREPARATORY ACAD.</t>
  </si>
  <si>
    <t>C124</t>
  </si>
  <si>
    <t>INTOWN ACAD. CHARTER SCHOOL</t>
  </si>
  <si>
    <t>C128</t>
  </si>
  <si>
    <t>BALDWIN COUNTY BOARD OF HEALTH</t>
  </si>
  <si>
    <t>C145</t>
  </si>
  <si>
    <t>UTOPIAN ACADEMY FOR THE ARTS HIGH SCHOOL</t>
  </si>
  <si>
    <t>C194</t>
  </si>
  <si>
    <t>MOUNTAIN EDUCATION CENTER INC.</t>
  </si>
  <si>
    <t>C201</t>
  </si>
  <si>
    <t>CHARLES DREW CHARTER SCHOOL</t>
  </si>
  <si>
    <t>C213</t>
  </si>
  <si>
    <t>NORTHWEST CLASSICAL ACADEMY</t>
  </si>
  <si>
    <t>C215</t>
  </si>
  <si>
    <t>EAST CENTRAL HEALTH DISTRICT</t>
  </si>
  <si>
    <t>C227</t>
  </si>
  <si>
    <t>FULTON LEADERSHIP ACADEMY</t>
  </si>
  <si>
    <t>FULTON LEADERSHIP ACAD.</t>
  </si>
  <si>
    <t>C260</t>
  </si>
  <si>
    <t>THE KINDEZI SCHOOL</t>
  </si>
  <si>
    <t>C301</t>
  </si>
  <si>
    <t>ATLANTA SMART ACADEMY</t>
  </si>
  <si>
    <t>ALTANTA SMART ACADEMY</t>
  </si>
  <si>
    <t>C304</t>
  </si>
  <si>
    <t>KENNESAW CHARTER SCIENCE &amp; MATH ACAD.</t>
  </si>
  <si>
    <t>C307</t>
  </si>
  <si>
    <t>BROOKHAVEN INNOVATION ACADEMY</t>
  </si>
  <si>
    <t>C321</t>
  </si>
  <si>
    <t>FULTON SUNSHINE ACAD. INC.</t>
  </si>
  <si>
    <t>C396</t>
  </si>
  <si>
    <t>FURLOW CHARTER SCHOOL</t>
  </si>
  <si>
    <t>C406</t>
  </si>
  <si>
    <t>AMANA ACADEMY</t>
  </si>
  <si>
    <t>AMANA ACAD.</t>
  </si>
  <si>
    <t>C407</t>
  </si>
  <si>
    <t>BRIGHTEN ACADEMY</t>
  </si>
  <si>
    <t>BRIGHTEN ACAD.</t>
  </si>
  <si>
    <t>C412</t>
  </si>
  <si>
    <t>GEORGIA CONNECTIONS ACADEMY</t>
  </si>
  <si>
    <t>GEORGIA CONNECTIONS ACAD.</t>
  </si>
  <si>
    <t>C413</t>
  </si>
  <si>
    <t>CHEROKEE CHARTER ACADEMY</t>
  </si>
  <si>
    <t>CHEROKEE CHARTER ACAD.</t>
  </si>
  <si>
    <t>C506</t>
  </si>
  <si>
    <t>FULTON SCIENCE ACAD. HIGH SCHOOL</t>
  </si>
  <si>
    <t>C605</t>
  </si>
  <si>
    <t>GEORGIA MAGNET CHARTER SCHOOL</t>
  </si>
  <si>
    <t>C675</t>
  </si>
  <si>
    <t>PATAULA CHARTER ACADEMY</t>
  </si>
  <si>
    <t>PATAULA CHARTER ACAD.</t>
  </si>
  <si>
    <t>C704</t>
  </si>
  <si>
    <t>KIPP METRO ATLANTA COLLABORATIVE</t>
  </si>
  <si>
    <t>C706</t>
  </si>
  <si>
    <t>DEKALB AGRICULTURE TECHNOLOGY AND ENVIRONMENT</t>
  </si>
  <si>
    <t>DEKALB ACAD. OF TECH. &amp; ENVIRONMENT</t>
  </si>
  <si>
    <t>C716</t>
  </si>
  <si>
    <t>SPRING CREEK CHARTER ACADEMY</t>
  </si>
  <si>
    <t>C717</t>
  </si>
  <si>
    <t>HARRIET TUBMAN SCHOOL OF SCIENCE AND TECHNOLOGY</t>
  </si>
  <si>
    <t>C718</t>
  </si>
  <si>
    <t>ETHOS CLASSICAL CHARTER SCHOOL</t>
  </si>
  <si>
    <t>C767</t>
  </si>
  <si>
    <t>IVY PREP YOUNG MENS ACAD.</t>
  </si>
  <si>
    <t>C768</t>
  </si>
  <si>
    <t>IVY PREPARATORY ACAD.</t>
  </si>
  <si>
    <t>C769</t>
  </si>
  <si>
    <t>IVY PREP ACADEMY FOR GIRLS</t>
  </si>
  <si>
    <t>IVY PREP ACAD. FOR GIRLS</t>
  </si>
  <si>
    <t>C770</t>
  </si>
  <si>
    <t>SCHOLARS ACAD. INC</t>
  </si>
  <si>
    <t>C796</t>
  </si>
  <si>
    <t>ODYSSEY CHARTER SCHOOL</t>
  </si>
  <si>
    <t>C801</t>
  </si>
  <si>
    <t>LEADERSHIP PREPARATORY ACADEMY CHARTER SCHOOL</t>
  </si>
  <si>
    <t>LEADERSHIP PREP. ACAD. CHARTER SCHOOL</t>
  </si>
  <si>
    <t>C811</t>
  </si>
  <si>
    <t>THE MUSEUM SCHOOL OF AVONDALE ESTATES</t>
  </si>
  <si>
    <t>THE MUSEUM SCHOOL OF AVONDALE EST.</t>
  </si>
  <si>
    <t>C812</t>
  </si>
  <si>
    <t>SEVEN PILLARS CAREER ACADEMY</t>
  </si>
  <si>
    <t>C908</t>
  </si>
  <si>
    <t>NEW LIFE ACADEMY OF EXCELLENCE INC.</t>
  </si>
  <si>
    <t>NEW LIFE ACAD. OF EXCELLENCE INC.</t>
  </si>
  <si>
    <t>C909</t>
  </si>
  <si>
    <t>ATLANTA HEIGHTS CHARTER SCHOOL</t>
  </si>
  <si>
    <t>C910</t>
  </si>
  <si>
    <t>DEKALB PREPARATORY ACADEMY</t>
  </si>
  <si>
    <t>DEKALB PREPARATORY ACAD.</t>
  </si>
  <si>
    <t>C911</t>
  </si>
  <si>
    <t>LATIN ACAD. CHARTER SCHOOL</t>
  </si>
  <si>
    <t>C912</t>
  </si>
  <si>
    <t>GRADUATION ACHIEVEMENT CHARTER HIGH SCHOOL</t>
  </si>
  <si>
    <t>C913</t>
  </si>
  <si>
    <t>THE GLOBE ACADEMY</t>
  </si>
  <si>
    <t>THE GLOBE ACAD.</t>
  </si>
  <si>
    <t>C914</t>
  </si>
  <si>
    <t>WESTSIDE ATLANTA CHARTER SCHOOL</t>
  </si>
  <si>
    <t>C915</t>
  </si>
  <si>
    <t>FOOTHILLS EDUCATION CHARTER HIGH SCHOOL</t>
  </si>
  <si>
    <t>C916</t>
  </si>
  <si>
    <t>LATIN GRAMMAR SCHOOL</t>
  </si>
  <si>
    <t>C917</t>
  </si>
  <si>
    <t>RISE PREPARATORY CHARTER SCHOOL</t>
  </si>
  <si>
    <t>LATIN COLLEGE PREP</t>
  </si>
  <si>
    <t>C918</t>
  </si>
  <si>
    <t>RESURGENCE HALL INC</t>
  </si>
  <si>
    <t>C919</t>
  </si>
  <si>
    <t>GENESIS INNOVATION ACADEMY FOR GIRLS</t>
  </si>
  <si>
    <t>C920</t>
  </si>
  <si>
    <t>GENESIS INNOVATION ACADEMY FOR BOYS</t>
  </si>
  <si>
    <t>C921</t>
  </si>
  <si>
    <t>ATLANTA UNBOUND ACADEMY</t>
  </si>
  <si>
    <t>C931</t>
  </si>
  <si>
    <t>YI HWANG ACADEMY OF LANGUAGE EXCELLENCE</t>
  </si>
  <si>
    <t>C941</t>
  </si>
  <si>
    <t>DELTA STEAM ACADEMY</t>
  </si>
  <si>
    <t>C951</t>
  </si>
  <si>
    <t>GEORGIA FUGEES ACADEMY CHARTER SCHOOL INC</t>
  </si>
  <si>
    <t>C961</t>
  </si>
  <si>
    <t>DESTINATIONS CAREER ACADEMY OF GEORGIA</t>
  </si>
  <si>
    <t>C971</t>
  </si>
  <si>
    <t>DEKALB BRILLIANCE ACADEMY</t>
  </si>
  <si>
    <t>D100</t>
  </si>
  <si>
    <t>GEORGIA VOCATIONAL REHABILITATION AGENCY</t>
  </si>
  <si>
    <t>D101</t>
  </si>
  <si>
    <t>JEKYLL ISLAND STATE PARK AUTHORITY</t>
  </si>
  <si>
    <t>D401</t>
  </si>
  <si>
    <t>DFCS FIELD FISCAL SERVICES REGION XI</t>
  </si>
  <si>
    <t>BEN HILL COUNTY DFACS</t>
  </si>
  <si>
    <t>DFACS FIELD FISCAL SERVICES REGION XI</t>
  </si>
  <si>
    <t>D402</t>
  </si>
  <si>
    <t>NEWTON COUNTY DFACS</t>
  </si>
  <si>
    <t>NEWTON COUNTY DFCS</t>
  </si>
  <si>
    <t>D403</t>
  </si>
  <si>
    <t>RICHMOND COUNTY DFCS</t>
  </si>
  <si>
    <t>RICHMOND COUNTY DFACS</t>
  </si>
  <si>
    <t>D404</t>
  </si>
  <si>
    <t>DOUGLAS COUNTY DFCS</t>
  </si>
  <si>
    <t>D405</t>
  </si>
  <si>
    <t>CLARKE COUNTY DFCS</t>
  </si>
  <si>
    <t>D408</t>
  </si>
  <si>
    <t>OFFICE OF COMMISSIONER OF INSURANCE AND SAFETY FIRE</t>
  </si>
  <si>
    <t>D410</t>
  </si>
  <si>
    <t>WHITFIELD COUNTY DFCS</t>
  </si>
  <si>
    <t>WHITFIELD COUNTY DFACS</t>
  </si>
  <si>
    <t>D411</t>
  </si>
  <si>
    <t>REGION IV DFCS</t>
  </si>
  <si>
    <t>D412</t>
  </si>
  <si>
    <t>GWINNETT COUNTY DFCS</t>
  </si>
  <si>
    <t>D420</t>
  </si>
  <si>
    <t>DFCS REGION X</t>
  </si>
  <si>
    <t>D422</t>
  </si>
  <si>
    <t>DFCS REGION XII</t>
  </si>
  <si>
    <t>D423</t>
  </si>
  <si>
    <t>GEORGIA ENVIRONMENTAL FINANCE AUTH.</t>
  </si>
  <si>
    <t>D424</t>
  </si>
  <si>
    <t>STATE ROAD TOLL AND AUTHORITY</t>
  </si>
  <si>
    <t>STATE ROAD TOLL &amp; AUTHORITY</t>
  </si>
  <si>
    <t>D425</t>
  </si>
  <si>
    <t>DEPARTMENT OF PUBLIC HEALTH</t>
  </si>
  <si>
    <t>D426</t>
  </si>
  <si>
    <t>DEPARTMENT OF FAMILY AND CHILDREN SERVICES REGION IX</t>
  </si>
  <si>
    <t>DFACS REGION IX</t>
  </si>
  <si>
    <t>D427</t>
  </si>
  <si>
    <t>DEKALB COUNTY DFCS</t>
  </si>
  <si>
    <t>DEKALB COUNTY DFACS</t>
  </si>
  <si>
    <t>D428</t>
  </si>
  <si>
    <t>DHS LOWNDES COUNTY DFACS</t>
  </si>
  <si>
    <t>D429</t>
  </si>
  <si>
    <t>HALL CO DFACS</t>
  </si>
  <si>
    <t>D430</t>
  </si>
  <si>
    <t>FLOYD COUNTY DFCS</t>
  </si>
  <si>
    <t>FLOYD COUNTY DFACS</t>
  </si>
  <si>
    <t>D431</t>
  </si>
  <si>
    <t>CLAYTON CENTER COMMUNITY SERVICE BOARD</t>
  </si>
  <si>
    <t>D432</t>
  </si>
  <si>
    <t>HART COUNTY BOARD OF HEALTH</t>
  </si>
  <si>
    <t>D525</t>
  </si>
  <si>
    <t>CHEROKEE COUNTY BOARD OF HEALTH</t>
  </si>
  <si>
    <t>D526</t>
  </si>
  <si>
    <t>GEORGIA GENERAL ASSEMBLY</t>
  </si>
  <si>
    <t>D527</t>
  </si>
  <si>
    <t>GLYNN COUNTY HEALTH DEPARTMENT COASTAL HEALTH DISTRICT</t>
  </si>
  <si>
    <t>GLYNN CTY HEALTH DEPT COASTAL HLTH DIST.</t>
  </si>
  <si>
    <t>GLYNN CO HEALTH DEPT COASTAL HLTH DIST.</t>
  </si>
  <si>
    <t>D531</t>
  </si>
  <si>
    <t>GA SOIL &amp; WATER CONSERVATION COMM.</t>
  </si>
  <si>
    <t>D532</t>
  </si>
  <si>
    <t>WHITFIELD COUNTY BOARD OF HEALTH</t>
  </si>
  <si>
    <t>D533</t>
  </si>
  <si>
    <t>GEORGIA BUREAU OF INVESTIGATION</t>
  </si>
  <si>
    <t>D534</t>
  </si>
  <si>
    <t>GEORGIA WORLD CONGRESS CENTER AUTHORITY</t>
  </si>
  <si>
    <t>D535</t>
  </si>
  <si>
    <t>STATE BOARD OF PARDONS AND PAROLES</t>
  </si>
  <si>
    <t>D536</t>
  </si>
  <si>
    <t>GEORGIA DEPARTMENT OF COMMUNITY AFFAIRS</t>
  </si>
  <si>
    <t>D537</t>
  </si>
  <si>
    <t>PROSECUTING ATTORNEYS COUNCIL OF GEORGIA</t>
  </si>
  <si>
    <t>PROSECUTING ATTORNEYS COUNCIL OF GA</t>
  </si>
  <si>
    <t>D538</t>
  </si>
  <si>
    <t>GEORGIA BUILDING AUTHORITY</t>
  </si>
  <si>
    <t>D539</t>
  </si>
  <si>
    <t>GEORGIA DEPARTMENT OF DEFENSE</t>
  </si>
  <si>
    <t>D540</t>
  </si>
  <si>
    <t>DEPARTMENT OF COMMUNITY SUPERVISION</t>
  </si>
  <si>
    <t>D550</t>
  </si>
  <si>
    <t>CLARKE COUNTY HEALTH DEPT</t>
  </si>
  <si>
    <t>D551</t>
  </si>
  <si>
    <t>TIFT CO BOARD OF HEALTH DBA DIVERSIFIED ENTERPRISES</t>
  </si>
  <si>
    <t>D552</t>
  </si>
  <si>
    <t>TWIGGS COUNTY BOARD OF HEALTH</t>
  </si>
  <si>
    <t>D553</t>
  </si>
  <si>
    <t>GEORGIA DEPARTMENT OF TRANSPORTATION</t>
  </si>
  <si>
    <t>D554</t>
  </si>
  <si>
    <t>NORTHWEST GEORGIA PUBLIC HEALTH</t>
  </si>
  <si>
    <t>D555</t>
  </si>
  <si>
    <t>GEORGIA FINANCING AND INVESTMENT COMMISSION</t>
  </si>
  <si>
    <t>D556</t>
  </si>
  <si>
    <t>DEPARTMENT OF BANKING AND FINANCE</t>
  </si>
  <si>
    <t>D560</t>
  </si>
  <si>
    <t>STATE BOARD OF WORKERS COMPENSATION</t>
  </si>
  <si>
    <t>D570</t>
  </si>
  <si>
    <t>GEORGIA DPH SOUTH HEALTH DISTRICT</t>
  </si>
  <si>
    <t>D571</t>
  </si>
  <si>
    <t>DISTRICT IV PUBLIC HEALTH</t>
  </si>
  <si>
    <t>M441</t>
  </si>
  <si>
    <t>DEPARTMENT OF BEHAVIORAL HEALTH AND DEVELOPMENT DISABILITY</t>
  </si>
  <si>
    <t>DEPT OF BEHAVIORAL HEALTH &amp; DEV. DISAB.</t>
  </si>
  <si>
    <t>T302</t>
  </si>
  <si>
    <t>COOPERATIVE EXTENSION SERVICE</t>
  </si>
  <si>
    <t>T505</t>
  </si>
  <si>
    <t>BARNESVILLE - LAMAR CO LIBRARY</t>
  </si>
  <si>
    <t>BARNESVILLE – LAMAR CO LIBRARY</t>
  </si>
  <si>
    <t>T506</t>
  </si>
  <si>
    <t>COWETA PUBLIC LIBRARY</t>
  </si>
  <si>
    <t>T549</t>
  </si>
  <si>
    <t>TWIN LAKES LIBRARY SYSTEM</t>
  </si>
  <si>
    <t>MARY VINSON MEMORIAL LIB</t>
  </si>
  <si>
    <t>W040</t>
  </si>
  <si>
    <t>EFFINGHAM COUNTY TAX COMMISSIONER OFFICE</t>
  </si>
  <si>
    <t>EFFINGHAM COUNTY TAX COMM. OFFICE</t>
  </si>
  <si>
    <t>W041</t>
  </si>
  <si>
    <t>HABERSHAM COUNTY BOARD OF COMMISSIONERS</t>
  </si>
  <si>
    <t>ZZZ01</t>
  </si>
  <si>
    <t>ATLANTA PREPARATORY ACAD.</t>
  </si>
  <si>
    <t>ZZZ02</t>
  </si>
  <si>
    <t>CHATSWORTH MURRAY COUNTY LIB</t>
  </si>
  <si>
    <t>ZZZ03</t>
  </si>
  <si>
    <t>PROVOST ACAD. GEORGIA</t>
  </si>
  <si>
    <t>ZZZ04</t>
  </si>
  <si>
    <t>SOUTHERN POLYTECHNIC STATE UNI</t>
  </si>
  <si>
    <t>ZZZ05</t>
  </si>
  <si>
    <t>SOUTHWEST GA Tech. COLLEGE</t>
  </si>
  <si>
    <t>LEAID</t>
  </si>
  <si>
    <t>Districts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</si>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</sst>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name val="Calibri"/>
      <family val="2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7">
    <xf numFmtId="0" fontId="0" fillId="0" borderId="0" xfId="0"/>
    <xf numFmtId="0" fontId="3" fillId="0" borderId="0" xfId="0" applyFont="1"/>
    <xf numFmtId="164" fontId="3" fillId="0" borderId="0" xfId="1" applyNumberFormat="1" applyFont="1"/>
    <xf numFmtId="1" fontId="0" fillId="0" borderId="0" xfId="0" applyNumberFormat="1"/>
    <xf numFmtId="2" fontId="0" fillId="0" borderId="0" xfId="1" applyNumberFormat="1" applyFont="1"/>
    <xf numFmtId="164" fontId="0" fillId="0" borderId="0" xfId="1" applyNumberFormat="1" applyFont="1"/>
    <xf numFmtId="0" fontId="1" fillId="0" borderId="0" xfId="2"/>
  </cellXfs>
  <cellStyles count="3">
    <cellStyle name="Currency" xfId="1" builtinId="4"/>
    <cellStyle name="Normal" xfId="0" builtinId="0"/>
    <cellStyle name="Normal 2" xfId="2" xr:uid="{A635C06C-3D73-9749-B594-A574384A9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6831-2B10-E34B-B73A-B00334FBCC94}">
  <sheetPr>
    <tabColor rgb="FF002060"/>
  </sheetPr>
  <dimension ref="A1:H3815"/>
  <sheetViews>
    <sheetView tabSelected="1" zoomScale="117" workbookViewId="0">
      <selection activeCell="G1" sqref="G1"/>
    </sheetView>
  </sheetViews>
  <sheetFormatPr baseColWidth="10" defaultColWidth="8.83203125" defaultRowHeight="15" x14ac:dyDescent="0.2"/>
  <cols>
    <col min="1" max="1" width="12.33203125" customWidth="1"/>
    <col min="2" max="2" width="5.1640625" bestFit="1" customWidth="1"/>
    <col min="3" max="3" width="12.83203125" bestFit="1" customWidth="1"/>
    <col min="4" max="5" width="54.5" bestFit="1" customWidth="1"/>
    <col min="6" max="6" width="19.83203125" style="5" bestFit="1" customWidth="1"/>
    <col min="7" max="7" width="17.83203125" style="5" bestFit="1" customWidth="1"/>
  </cols>
  <sheetData>
    <row r="1" spans="1:8" s="1" customFormat="1" x14ac:dyDescent="0.2">
      <c r="A1" s="1" t="s">
        <v>1099</v>
      </c>
      <c r="B1" s="1" t="s">
        <v>1101</v>
      </c>
      <c r="C1" s="1" t="s">
        <v>0</v>
      </c>
      <c r="D1" s="1" t="s">
        <v>2</v>
      </c>
      <c r="E1" s="1" t="s">
        <v>1</v>
      </c>
      <c r="F1" s="2" t="s">
        <v>3</v>
      </c>
      <c r="G1" s="2" t="s">
        <v>4</v>
      </c>
      <c r="H1" s="1" t="s">
        <v>1099</v>
      </c>
    </row>
    <row r="2" spans="1:8" x14ac:dyDescent="0.2">
      <c r="A2" t="s">
        <v>7</v>
      </c>
      <c r="B2" s="3">
        <v>2015</v>
      </c>
      <c r="C2" t="s">
        <v>5</v>
      </c>
      <c r="D2" t="s">
        <v>6</v>
      </c>
      <c r="E2" t="s">
        <v>6</v>
      </c>
      <c r="F2" s="4">
        <v>6542.85</v>
      </c>
      <c r="G2" s="4"/>
      <c r="H2" t="str">
        <f>IFERROR(VLOOKUP(E2,'GASB Match'!$A$2:$B$240,2,FALSE),"")</f>
        <v/>
      </c>
    </row>
    <row r="3" spans="1:8" x14ac:dyDescent="0.2">
      <c r="A3" t="s">
        <v>7</v>
      </c>
      <c r="B3" s="3">
        <v>2016</v>
      </c>
      <c r="C3" t="s">
        <v>5</v>
      </c>
      <c r="D3" t="s">
        <v>6</v>
      </c>
      <c r="E3" t="s">
        <v>6</v>
      </c>
      <c r="F3" s="4">
        <v>10068.75</v>
      </c>
      <c r="G3" s="4" t="s">
        <v>7</v>
      </c>
      <c r="H3" t="str">
        <f>IFERROR(VLOOKUP(E3,'GASB Match'!$A$2:$B$240,2,FALSE),"")</f>
        <v/>
      </c>
    </row>
    <row r="4" spans="1:8" x14ac:dyDescent="0.2">
      <c r="A4" t="s">
        <v>7</v>
      </c>
      <c r="B4" s="3">
        <v>2017</v>
      </c>
      <c r="C4" t="s">
        <v>5</v>
      </c>
      <c r="D4" t="s">
        <v>6</v>
      </c>
      <c r="E4" t="s">
        <v>6</v>
      </c>
      <c r="F4" s="4">
        <v>26928</v>
      </c>
      <c r="G4" s="4" t="s">
        <v>7</v>
      </c>
      <c r="H4" t="str">
        <f>IFERROR(VLOOKUP(E4,'GASB Match'!$A$2:$B$240,2,FALSE),"")</f>
        <v/>
      </c>
    </row>
    <row r="5" spans="1:8" x14ac:dyDescent="0.2">
      <c r="A5" t="s">
        <v>7</v>
      </c>
      <c r="B5" s="3">
        <v>2018</v>
      </c>
      <c r="C5" t="s">
        <v>5</v>
      </c>
      <c r="D5" t="s">
        <v>6</v>
      </c>
      <c r="E5" t="s">
        <v>6</v>
      </c>
      <c r="F5" s="4">
        <v>48505</v>
      </c>
      <c r="G5" s="4" t="s">
        <v>7</v>
      </c>
      <c r="H5" t="str">
        <f>IFERROR(VLOOKUP(E5,'GASB Match'!$A$2:$B$240,2,FALSE),"")</f>
        <v/>
      </c>
    </row>
    <row r="6" spans="1:8" x14ac:dyDescent="0.2">
      <c r="A6" t="s">
        <v>7</v>
      </c>
      <c r="B6" s="3">
        <v>2019</v>
      </c>
      <c r="C6" t="s">
        <v>5</v>
      </c>
      <c r="D6" t="s">
        <v>6</v>
      </c>
      <c r="E6" t="s">
        <v>6</v>
      </c>
      <c r="F6" s="4">
        <v>54920</v>
      </c>
      <c r="G6" s="4" t="s">
        <v>7</v>
      </c>
      <c r="H6" t="str">
        <f>IFERROR(VLOOKUP(E6,'GASB Match'!$A$2:$B$240,2,FALSE),"")</f>
        <v/>
      </c>
    </row>
    <row r="7" spans="1:8" x14ac:dyDescent="0.2">
      <c r="A7" t="s">
        <v>7</v>
      </c>
      <c r="B7" s="3">
        <v>2020</v>
      </c>
      <c r="C7" t="s">
        <v>5</v>
      </c>
      <c r="D7" t="s">
        <v>6</v>
      </c>
      <c r="E7" t="s">
        <v>6</v>
      </c>
      <c r="F7" s="4">
        <v>63308</v>
      </c>
      <c r="G7" s="4" t="s">
        <v>7</v>
      </c>
      <c r="H7" t="str">
        <f>IFERROR(VLOOKUP(E7,'GASB Match'!$A$2:$B$240,2,FALSE),"")</f>
        <v/>
      </c>
    </row>
    <row r="8" spans="1:8" x14ac:dyDescent="0.2">
      <c r="A8" t="s">
        <v>7</v>
      </c>
      <c r="B8" s="3">
        <v>2021</v>
      </c>
      <c r="C8" t="s">
        <v>5</v>
      </c>
      <c r="D8" t="s">
        <v>6</v>
      </c>
      <c r="E8" t="s">
        <v>6</v>
      </c>
      <c r="F8" s="4">
        <v>66819</v>
      </c>
      <c r="G8" s="4" t="s">
        <v>7</v>
      </c>
      <c r="H8" t="str">
        <f>IFERROR(VLOOKUP(E8,'GASB Match'!$A$2:$B$240,2,FALSE),"")</f>
        <v/>
      </c>
    </row>
    <row r="9" spans="1:8" x14ac:dyDescent="0.2">
      <c r="A9" t="s">
        <v>7</v>
      </c>
      <c r="B9" s="3">
        <v>2022</v>
      </c>
      <c r="C9" t="s">
        <v>5</v>
      </c>
      <c r="D9" t="s">
        <v>6</v>
      </c>
      <c r="E9" t="s">
        <v>6</v>
      </c>
      <c r="F9" s="4">
        <v>82013</v>
      </c>
      <c r="G9" s="4" t="s">
        <v>7</v>
      </c>
      <c r="H9" t="str">
        <f>IFERROR(VLOOKUP(E9,'GASB Match'!$A$2:$B$240,2,FALSE),"")</f>
        <v/>
      </c>
    </row>
    <row r="10" spans="1:8" x14ac:dyDescent="0.2">
      <c r="A10" t="s">
        <v>7</v>
      </c>
      <c r="B10" s="3">
        <v>2023</v>
      </c>
      <c r="C10" t="s">
        <v>5</v>
      </c>
      <c r="D10" t="s">
        <v>6</v>
      </c>
      <c r="E10" t="s">
        <v>6</v>
      </c>
      <c r="F10" s="4">
        <v>92730</v>
      </c>
      <c r="G10" s="4" t="s">
        <v>7</v>
      </c>
      <c r="H10" t="str">
        <f>IFERROR(VLOOKUP(E10,'GASB Match'!$A$2:$B$240,2,FALSE),"")</f>
        <v/>
      </c>
    </row>
    <row r="11" spans="1:8" x14ac:dyDescent="0.2">
      <c r="A11" t="s">
        <v>7</v>
      </c>
      <c r="B11" s="3">
        <v>2015</v>
      </c>
      <c r="C11" t="s">
        <v>8</v>
      </c>
      <c r="D11" t="s">
        <v>9</v>
      </c>
      <c r="E11" t="s">
        <v>9</v>
      </c>
      <c r="F11" s="4"/>
      <c r="G11" s="4" t="s">
        <v>7</v>
      </c>
      <c r="H11" t="str">
        <f>IFERROR(VLOOKUP(E11,'GASB Match'!$A$2:$B$240,2,FALSE),"")</f>
        <v/>
      </c>
    </row>
    <row r="12" spans="1:8" x14ac:dyDescent="0.2">
      <c r="A12" t="s">
        <v>7</v>
      </c>
      <c r="B12" s="3">
        <v>2016</v>
      </c>
      <c r="C12" t="s">
        <v>8</v>
      </c>
      <c r="D12" t="s">
        <v>9</v>
      </c>
      <c r="E12" t="s">
        <v>9</v>
      </c>
      <c r="F12" s="4">
        <v>2779.67</v>
      </c>
      <c r="G12" s="4" t="s">
        <v>7</v>
      </c>
      <c r="H12" t="str">
        <f>IFERROR(VLOOKUP(E12,'GASB Match'!$A$2:$B$240,2,FALSE),"")</f>
        <v/>
      </c>
    </row>
    <row r="13" spans="1:8" x14ac:dyDescent="0.2">
      <c r="A13" t="s">
        <v>7</v>
      </c>
      <c r="B13" s="3">
        <v>2017</v>
      </c>
      <c r="C13" t="s">
        <v>8</v>
      </c>
      <c r="D13" t="s">
        <v>9</v>
      </c>
      <c r="E13" t="s">
        <v>9</v>
      </c>
      <c r="F13" s="4">
        <v>7863</v>
      </c>
      <c r="G13" s="4" t="s">
        <v>7</v>
      </c>
      <c r="H13" t="str">
        <f>IFERROR(VLOOKUP(E13,'GASB Match'!$A$2:$B$240,2,FALSE),"")</f>
        <v/>
      </c>
    </row>
    <row r="14" spans="1:8" x14ac:dyDescent="0.2">
      <c r="A14" t="s">
        <v>7</v>
      </c>
      <c r="B14" s="3">
        <v>2018</v>
      </c>
      <c r="C14" t="s">
        <v>8</v>
      </c>
      <c r="D14" t="s">
        <v>9</v>
      </c>
      <c r="E14" t="s">
        <v>9</v>
      </c>
      <c r="F14" s="4">
        <v>10451</v>
      </c>
      <c r="G14" s="4" t="s">
        <v>7</v>
      </c>
      <c r="H14" t="str">
        <f>IFERROR(VLOOKUP(E14,'GASB Match'!$A$2:$B$240,2,FALSE),"")</f>
        <v/>
      </c>
    </row>
    <row r="15" spans="1:8" x14ac:dyDescent="0.2">
      <c r="A15" t="s">
        <v>7</v>
      </c>
      <c r="B15" s="3">
        <v>2019</v>
      </c>
      <c r="C15" t="s">
        <v>8</v>
      </c>
      <c r="D15" t="s">
        <v>9</v>
      </c>
      <c r="E15" t="s">
        <v>9</v>
      </c>
      <c r="F15" s="4">
        <v>28999</v>
      </c>
      <c r="G15" s="4" t="s">
        <v>7</v>
      </c>
      <c r="H15" t="str">
        <f>IFERROR(VLOOKUP(E15,'GASB Match'!$A$2:$B$240,2,FALSE),"")</f>
        <v/>
      </c>
    </row>
    <row r="16" spans="1:8" x14ac:dyDescent="0.2">
      <c r="A16" t="s">
        <v>7</v>
      </c>
      <c r="B16" s="3">
        <v>2020</v>
      </c>
      <c r="C16" t="s">
        <v>8</v>
      </c>
      <c r="D16" t="s">
        <v>9</v>
      </c>
      <c r="E16" t="s">
        <v>9</v>
      </c>
      <c r="F16" s="4">
        <v>32834</v>
      </c>
      <c r="G16" s="4" t="s">
        <v>7</v>
      </c>
      <c r="H16" t="str">
        <f>IFERROR(VLOOKUP(E16,'GASB Match'!$A$2:$B$240,2,FALSE),"")</f>
        <v/>
      </c>
    </row>
    <row r="17" spans="1:8" x14ac:dyDescent="0.2">
      <c r="A17" t="s">
        <v>7</v>
      </c>
      <c r="B17" s="3">
        <v>2021</v>
      </c>
      <c r="C17" t="s">
        <v>8</v>
      </c>
      <c r="D17" t="s">
        <v>9</v>
      </c>
      <c r="E17" t="s">
        <v>9</v>
      </c>
      <c r="F17" s="4">
        <v>30377</v>
      </c>
      <c r="G17" s="4" t="s">
        <v>7</v>
      </c>
      <c r="H17" t="str">
        <f>IFERROR(VLOOKUP(E17,'GASB Match'!$A$2:$B$240,2,FALSE),"")</f>
        <v/>
      </c>
    </row>
    <row r="18" spans="1:8" x14ac:dyDescent="0.2">
      <c r="A18" t="s">
        <v>7</v>
      </c>
      <c r="B18" s="3">
        <v>2022</v>
      </c>
      <c r="C18" t="s">
        <v>8</v>
      </c>
      <c r="D18" t="s">
        <v>9</v>
      </c>
      <c r="E18" t="s">
        <v>9</v>
      </c>
      <c r="F18" s="4">
        <v>30294</v>
      </c>
      <c r="G18" s="4" t="s">
        <v>7</v>
      </c>
      <c r="H18" t="str">
        <f>IFERROR(VLOOKUP(E18,'GASB Match'!$A$2:$B$240,2,FALSE),"")</f>
        <v/>
      </c>
    </row>
    <row r="19" spans="1:8" x14ac:dyDescent="0.2">
      <c r="A19" t="s">
        <v>7</v>
      </c>
      <c r="B19" s="3">
        <v>2023</v>
      </c>
      <c r="C19" t="s">
        <v>8</v>
      </c>
      <c r="D19" t="s">
        <v>9</v>
      </c>
      <c r="E19" t="s">
        <v>9</v>
      </c>
      <c r="F19" s="4">
        <v>23356</v>
      </c>
      <c r="G19" s="4" t="s">
        <v>7</v>
      </c>
      <c r="H19" t="str">
        <f>IFERROR(VLOOKUP(E19,'GASB Match'!$A$2:$B$240,2,FALSE),"")</f>
        <v/>
      </c>
    </row>
    <row r="20" spans="1:8" x14ac:dyDescent="0.2">
      <c r="A20" t="s">
        <v>7</v>
      </c>
      <c r="B20" s="3">
        <v>2015</v>
      </c>
      <c r="C20" t="s">
        <v>11</v>
      </c>
      <c r="D20" t="s">
        <v>12</v>
      </c>
      <c r="E20" t="s">
        <v>12</v>
      </c>
      <c r="F20" s="4">
        <v>9704.27</v>
      </c>
      <c r="G20" s="4" t="s">
        <v>7</v>
      </c>
      <c r="H20" t="str">
        <f>IFERROR(VLOOKUP(E20,'GASB Match'!$A$2:$B$240,2,FALSE),"")</f>
        <v/>
      </c>
    </row>
    <row r="21" spans="1:8" x14ac:dyDescent="0.2">
      <c r="A21" t="s">
        <v>7</v>
      </c>
      <c r="B21" s="3">
        <v>2016</v>
      </c>
      <c r="C21" t="s">
        <v>11</v>
      </c>
      <c r="D21" t="s">
        <v>12</v>
      </c>
      <c r="E21" t="s">
        <v>12</v>
      </c>
      <c r="F21" s="4">
        <v>23667.52</v>
      </c>
      <c r="G21" s="4" t="s">
        <v>7</v>
      </c>
      <c r="H21" t="str">
        <f>IFERROR(VLOOKUP(E21,'GASB Match'!$A$2:$B$240,2,FALSE),"")</f>
        <v/>
      </c>
    </row>
    <row r="22" spans="1:8" x14ac:dyDescent="0.2">
      <c r="A22" t="s">
        <v>7</v>
      </c>
      <c r="B22" s="3">
        <v>2017</v>
      </c>
      <c r="C22" t="s">
        <v>11</v>
      </c>
      <c r="D22" t="s">
        <v>12</v>
      </c>
      <c r="E22" t="s">
        <v>12</v>
      </c>
      <c r="F22" s="4">
        <v>14228</v>
      </c>
      <c r="G22" s="4" t="s">
        <v>7</v>
      </c>
      <c r="H22" t="str">
        <f>IFERROR(VLOOKUP(E22,'GASB Match'!$A$2:$B$240,2,FALSE),"")</f>
        <v/>
      </c>
    </row>
    <row r="23" spans="1:8" x14ac:dyDescent="0.2">
      <c r="A23" t="s">
        <v>7</v>
      </c>
      <c r="B23" s="3">
        <v>2018</v>
      </c>
      <c r="C23" t="s">
        <v>11</v>
      </c>
      <c r="D23" t="s">
        <v>12</v>
      </c>
      <c r="E23" t="s">
        <v>12</v>
      </c>
      <c r="F23" s="4">
        <v>9803</v>
      </c>
      <c r="G23" s="4" t="s">
        <v>7</v>
      </c>
      <c r="H23" t="str">
        <f>IFERROR(VLOOKUP(E23,'GASB Match'!$A$2:$B$240,2,FALSE),"")</f>
        <v/>
      </c>
    </row>
    <row r="24" spans="1:8" x14ac:dyDescent="0.2">
      <c r="A24" t="s">
        <v>7</v>
      </c>
      <c r="B24" s="3">
        <v>2019</v>
      </c>
      <c r="C24" t="s">
        <v>11</v>
      </c>
      <c r="D24" t="s">
        <v>12</v>
      </c>
      <c r="E24" t="s">
        <v>12</v>
      </c>
      <c r="F24" s="4">
        <v>13586</v>
      </c>
      <c r="G24" s="4" t="s">
        <v>7</v>
      </c>
      <c r="H24" t="str">
        <f>IFERROR(VLOOKUP(E24,'GASB Match'!$A$2:$B$240,2,FALSE),"")</f>
        <v/>
      </c>
    </row>
    <row r="25" spans="1:8" x14ac:dyDescent="0.2">
      <c r="A25" t="s">
        <v>7</v>
      </c>
      <c r="B25" s="3">
        <v>2015</v>
      </c>
      <c r="C25" t="s">
        <v>13</v>
      </c>
      <c r="D25" t="s">
        <v>14</v>
      </c>
      <c r="E25" t="s">
        <v>14</v>
      </c>
      <c r="F25" s="4">
        <v>11812.32</v>
      </c>
      <c r="G25" s="4" t="s">
        <v>7</v>
      </c>
      <c r="H25" t="str">
        <f>IFERROR(VLOOKUP(E25,'GASB Match'!$A$2:$B$240,2,FALSE),"")</f>
        <v/>
      </c>
    </row>
    <row r="26" spans="1:8" x14ac:dyDescent="0.2">
      <c r="A26" t="s">
        <v>7</v>
      </c>
      <c r="B26" s="3">
        <v>2016</v>
      </c>
      <c r="C26" t="s">
        <v>13</v>
      </c>
      <c r="D26" t="s">
        <v>14</v>
      </c>
      <c r="E26" t="s">
        <v>14</v>
      </c>
      <c r="F26" s="4">
        <v>21289.05</v>
      </c>
      <c r="G26" s="4" t="s">
        <v>7</v>
      </c>
      <c r="H26" t="str">
        <f>IFERROR(VLOOKUP(E26,'GASB Match'!$A$2:$B$240,2,FALSE),"")</f>
        <v/>
      </c>
    </row>
    <row r="27" spans="1:8" x14ac:dyDescent="0.2">
      <c r="A27" t="s">
        <v>7</v>
      </c>
      <c r="B27" s="3">
        <v>2017</v>
      </c>
      <c r="C27" t="s">
        <v>13</v>
      </c>
      <c r="D27" t="s">
        <v>14</v>
      </c>
      <c r="E27" t="s">
        <v>14</v>
      </c>
      <c r="F27" s="4">
        <v>22247</v>
      </c>
      <c r="G27" s="4" t="s">
        <v>7</v>
      </c>
      <c r="H27" t="str">
        <f>IFERROR(VLOOKUP(E27,'GASB Match'!$A$2:$B$240,2,FALSE),"")</f>
        <v/>
      </c>
    </row>
    <row r="28" spans="1:8" x14ac:dyDescent="0.2">
      <c r="A28" t="s">
        <v>7</v>
      </c>
      <c r="B28" s="3">
        <v>2018</v>
      </c>
      <c r="C28" t="s">
        <v>13</v>
      </c>
      <c r="D28" t="s">
        <v>14</v>
      </c>
      <c r="E28" t="s">
        <v>14</v>
      </c>
      <c r="F28" s="4">
        <v>16344</v>
      </c>
      <c r="G28" s="4" t="s">
        <v>7</v>
      </c>
      <c r="H28" t="str">
        <f>IFERROR(VLOOKUP(E28,'GASB Match'!$A$2:$B$240,2,FALSE),"")</f>
        <v/>
      </c>
    </row>
    <row r="29" spans="1:8" x14ac:dyDescent="0.2">
      <c r="A29" t="s">
        <v>7</v>
      </c>
      <c r="B29" s="3">
        <v>2019</v>
      </c>
      <c r="C29" t="s">
        <v>13</v>
      </c>
      <c r="D29" t="s">
        <v>14</v>
      </c>
      <c r="E29" t="s">
        <v>14</v>
      </c>
      <c r="F29" s="4">
        <v>21130</v>
      </c>
      <c r="G29" s="4" t="s">
        <v>7</v>
      </c>
      <c r="H29" t="str">
        <f>IFERROR(VLOOKUP(E29,'GASB Match'!$A$2:$B$240,2,FALSE),"")</f>
        <v/>
      </c>
    </row>
    <row r="30" spans="1:8" x14ac:dyDescent="0.2">
      <c r="A30" t="s">
        <v>7</v>
      </c>
      <c r="B30" s="3">
        <v>2020</v>
      </c>
      <c r="C30" t="s">
        <v>13</v>
      </c>
      <c r="D30" t="s">
        <v>14</v>
      </c>
      <c r="E30" t="s">
        <v>14</v>
      </c>
      <c r="F30" s="4">
        <v>10491</v>
      </c>
      <c r="G30" s="4" t="s">
        <v>7</v>
      </c>
      <c r="H30" t="str">
        <f>IFERROR(VLOOKUP(E30,'GASB Match'!$A$2:$B$240,2,FALSE),"")</f>
        <v/>
      </c>
    </row>
    <row r="31" spans="1:8" x14ac:dyDescent="0.2">
      <c r="A31" t="s">
        <v>7</v>
      </c>
      <c r="B31" s="3">
        <v>2015</v>
      </c>
      <c r="C31" t="s">
        <v>15</v>
      </c>
      <c r="D31" t="s">
        <v>17</v>
      </c>
      <c r="E31" t="s">
        <v>16</v>
      </c>
      <c r="F31" s="4">
        <v>2672276.67</v>
      </c>
      <c r="G31" s="4" t="s">
        <v>7</v>
      </c>
      <c r="H31" t="str">
        <f>IFERROR(VLOOKUP(E31,'GASB Match'!$A$2:$B$240,2,FALSE),"")</f>
        <v/>
      </c>
    </row>
    <row r="32" spans="1:8" x14ac:dyDescent="0.2">
      <c r="A32" t="s">
        <v>7</v>
      </c>
      <c r="B32" s="3">
        <v>2016</v>
      </c>
      <c r="C32" t="s">
        <v>15</v>
      </c>
      <c r="D32" t="s">
        <v>17</v>
      </c>
      <c r="E32" t="s">
        <v>16</v>
      </c>
      <c r="F32" s="4">
        <v>3036143.94</v>
      </c>
      <c r="G32" s="4" t="s">
        <v>7</v>
      </c>
      <c r="H32" t="str">
        <f>IFERROR(VLOOKUP(E32,'GASB Match'!$A$2:$B$240,2,FALSE),"")</f>
        <v/>
      </c>
    </row>
    <row r="33" spans="1:8" x14ac:dyDescent="0.2">
      <c r="A33" t="s">
        <v>7</v>
      </c>
      <c r="B33" s="3">
        <v>2017</v>
      </c>
      <c r="C33" t="s">
        <v>15</v>
      </c>
      <c r="D33" t="s">
        <v>17</v>
      </c>
      <c r="E33" t="s">
        <v>16</v>
      </c>
      <c r="F33" s="4">
        <v>3222139</v>
      </c>
      <c r="G33" s="4" t="s">
        <v>7</v>
      </c>
      <c r="H33" t="str">
        <f>IFERROR(VLOOKUP(E33,'GASB Match'!$A$2:$B$240,2,FALSE),"")</f>
        <v/>
      </c>
    </row>
    <row r="34" spans="1:8" x14ac:dyDescent="0.2">
      <c r="A34" t="s">
        <v>7</v>
      </c>
      <c r="B34" s="3">
        <v>2018</v>
      </c>
      <c r="C34" t="s">
        <v>15</v>
      </c>
      <c r="D34" t="s">
        <v>17</v>
      </c>
      <c r="E34" t="s">
        <v>16</v>
      </c>
      <c r="F34" s="4">
        <v>3878505</v>
      </c>
      <c r="G34" s="4" t="s">
        <v>7</v>
      </c>
      <c r="H34" t="str">
        <f>IFERROR(VLOOKUP(E34,'GASB Match'!$A$2:$B$240,2,FALSE),"")</f>
        <v/>
      </c>
    </row>
    <row r="35" spans="1:8" x14ac:dyDescent="0.2">
      <c r="A35" t="s">
        <v>7</v>
      </c>
      <c r="B35" s="3">
        <v>2019</v>
      </c>
      <c r="C35" t="s">
        <v>15</v>
      </c>
      <c r="D35" t="s">
        <v>17</v>
      </c>
      <c r="E35" t="s">
        <v>16</v>
      </c>
      <c r="F35" s="4">
        <v>5166729</v>
      </c>
      <c r="G35" s="4" t="s">
        <v>7</v>
      </c>
      <c r="H35" t="str">
        <f>IFERROR(VLOOKUP(E35,'GASB Match'!$A$2:$B$240,2,FALSE),"")</f>
        <v/>
      </c>
    </row>
    <row r="36" spans="1:8" x14ac:dyDescent="0.2">
      <c r="A36" t="s">
        <v>7</v>
      </c>
      <c r="B36" s="3">
        <v>2020</v>
      </c>
      <c r="C36" t="s">
        <v>15</v>
      </c>
      <c r="D36" t="s">
        <v>17</v>
      </c>
      <c r="E36" t="s">
        <v>16</v>
      </c>
      <c r="F36" s="4">
        <v>5737751</v>
      </c>
      <c r="G36" s="4" t="s">
        <v>7</v>
      </c>
      <c r="H36" t="str">
        <f>IFERROR(VLOOKUP(E36,'GASB Match'!$A$2:$B$240,2,FALSE),"")</f>
        <v/>
      </c>
    </row>
    <row r="37" spans="1:8" x14ac:dyDescent="0.2">
      <c r="A37" t="s">
        <v>7</v>
      </c>
      <c r="B37" s="3">
        <v>2021</v>
      </c>
      <c r="C37" t="s">
        <v>15</v>
      </c>
      <c r="D37" t="s">
        <v>17</v>
      </c>
      <c r="E37" t="s">
        <v>16</v>
      </c>
      <c r="F37" s="4">
        <v>5060707</v>
      </c>
      <c r="G37" s="4" t="s">
        <v>7</v>
      </c>
      <c r="H37" t="str">
        <f>IFERROR(VLOOKUP(E37,'GASB Match'!$A$2:$B$240,2,FALSE),"")</f>
        <v/>
      </c>
    </row>
    <row r="38" spans="1:8" x14ac:dyDescent="0.2">
      <c r="A38" t="s">
        <v>7</v>
      </c>
      <c r="B38" s="3">
        <v>2022</v>
      </c>
      <c r="C38" t="s">
        <v>15</v>
      </c>
      <c r="D38" t="s">
        <v>16</v>
      </c>
      <c r="E38" t="s">
        <v>16</v>
      </c>
      <c r="F38" s="4">
        <v>5704333</v>
      </c>
      <c r="G38" s="4" t="s">
        <v>7</v>
      </c>
      <c r="H38" t="str">
        <f>IFERROR(VLOOKUP(E38,'GASB Match'!$A$2:$B$240,2,FALSE),"")</f>
        <v/>
      </c>
    </row>
    <row r="39" spans="1:8" x14ac:dyDescent="0.2">
      <c r="A39" t="s">
        <v>7</v>
      </c>
      <c r="B39" s="3">
        <v>2023</v>
      </c>
      <c r="C39" t="s">
        <v>15</v>
      </c>
      <c r="D39" t="s">
        <v>16</v>
      </c>
      <c r="E39" t="s">
        <v>16</v>
      </c>
      <c r="F39" s="4">
        <v>6440335</v>
      </c>
      <c r="G39" s="4" t="s">
        <v>7</v>
      </c>
      <c r="H39" t="str">
        <f>IFERROR(VLOOKUP(E39,'GASB Match'!$A$2:$B$240,2,FALSE),"")</f>
        <v/>
      </c>
    </row>
    <row r="40" spans="1:8" x14ac:dyDescent="0.2">
      <c r="A40" t="s">
        <v>7</v>
      </c>
      <c r="B40" s="3">
        <v>2015</v>
      </c>
      <c r="C40" t="s">
        <v>18</v>
      </c>
      <c r="D40" t="s">
        <v>20</v>
      </c>
      <c r="E40" t="s">
        <v>19</v>
      </c>
      <c r="F40" s="4">
        <v>950842.5</v>
      </c>
      <c r="G40" s="4" t="s">
        <v>7</v>
      </c>
      <c r="H40" t="str">
        <f>IFERROR(VLOOKUP(E40,'GASB Match'!$A$2:$B$240,2,FALSE),"")</f>
        <v/>
      </c>
    </row>
    <row r="41" spans="1:8" x14ac:dyDescent="0.2">
      <c r="A41" t="s">
        <v>7</v>
      </c>
      <c r="B41" s="3">
        <v>2016</v>
      </c>
      <c r="C41" t="s">
        <v>18</v>
      </c>
      <c r="D41" t="s">
        <v>20</v>
      </c>
      <c r="E41" t="s">
        <v>19</v>
      </c>
      <c r="F41" s="4">
        <v>1018327.61</v>
      </c>
      <c r="G41" s="4" t="s">
        <v>7</v>
      </c>
      <c r="H41" t="str">
        <f>IFERROR(VLOOKUP(E41,'GASB Match'!$A$2:$B$240,2,FALSE),"")</f>
        <v/>
      </c>
    </row>
    <row r="42" spans="1:8" x14ac:dyDescent="0.2">
      <c r="A42" t="s">
        <v>7</v>
      </c>
      <c r="B42" s="3">
        <v>2017</v>
      </c>
      <c r="C42" t="s">
        <v>18</v>
      </c>
      <c r="D42" t="s">
        <v>20</v>
      </c>
      <c r="E42" t="s">
        <v>19</v>
      </c>
      <c r="F42" s="4">
        <v>1051319</v>
      </c>
      <c r="G42" s="4" t="s">
        <v>7</v>
      </c>
      <c r="H42" t="str">
        <f>IFERROR(VLOOKUP(E42,'GASB Match'!$A$2:$B$240,2,FALSE),"")</f>
        <v/>
      </c>
    </row>
    <row r="43" spans="1:8" x14ac:dyDescent="0.2">
      <c r="A43" t="s">
        <v>7</v>
      </c>
      <c r="B43" s="3">
        <v>2018</v>
      </c>
      <c r="C43" t="s">
        <v>18</v>
      </c>
      <c r="D43" t="s">
        <v>20</v>
      </c>
      <c r="E43" t="s">
        <v>19</v>
      </c>
      <c r="F43" s="4">
        <v>1320066</v>
      </c>
      <c r="G43" s="4" t="s">
        <v>7</v>
      </c>
      <c r="H43" t="str">
        <f>IFERROR(VLOOKUP(E43,'GASB Match'!$A$2:$B$240,2,FALSE),"")</f>
        <v/>
      </c>
    </row>
    <row r="44" spans="1:8" x14ac:dyDescent="0.2">
      <c r="A44" t="s">
        <v>7</v>
      </c>
      <c r="B44" s="3">
        <v>2019</v>
      </c>
      <c r="C44" t="s">
        <v>18</v>
      </c>
      <c r="D44" t="s">
        <v>20</v>
      </c>
      <c r="E44" t="s">
        <v>19</v>
      </c>
      <c r="F44" s="4">
        <v>1774210</v>
      </c>
      <c r="G44" s="4" t="s">
        <v>7</v>
      </c>
      <c r="H44" t="str">
        <f>IFERROR(VLOOKUP(E44,'GASB Match'!$A$2:$B$240,2,FALSE),"")</f>
        <v/>
      </c>
    </row>
    <row r="45" spans="1:8" x14ac:dyDescent="0.2">
      <c r="A45" t="s">
        <v>7</v>
      </c>
      <c r="B45" s="3">
        <v>2020</v>
      </c>
      <c r="C45" t="s">
        <v>18</v>
      </c>
      <c r="D45" t="s">
        <v>20</v>
      </c>
      <c r="E45" t="s">
        <v>19</v>
      </c>
      <c r="F45" s="4">
        <v>1831256</v>
      </c>
      <c r="G45" s="4" t="s">
        <v>7</v>
      </c>
      <c r="H45" t="str">
        <f>IFERROR(VLOOKUP(E45,'GASB Match'!$A$2:$B$240,2,FALSE),"")</f>
        <v/>
      </c>
    </row>
    <row r="46" spans="1:8" x14ac:dyDescent="0.2">
      <c r="A46" t="s">
        <v>7</v>
      </c>
      <c r="B46" s="3">
        <v>2021</v>
      </c>
      <c r="C46" t="s">
        <v>18</v>
      </c>
      <c r="D46" t="s">
        <v>21</v>
      </c>
      <c r="E46" t="s">
        <v>19</v>
      </c>
      <c r="F46" s="4">
        <v>1575986</v>
      </c>
      <c r="G46" s="4" t="s">
        <v>7</v>
      </c>
      <c r="H46" t="str">
        <f>IFERROR(VLOOKUP(E46,'GASB Match'!$A$2:$B$240,2,FALSE),"")</f>
        <v/>
      </c>
    </row>
    <row r="47" spans="1:8" x14ac:dyDescent="0.2">
      <c r="A47" t="s">
        <v>7</v>
      </c>
      <c r="B47" s="3">
        <v>2022</v>
      </c>
      <c r="C47" t="s">
        <v>18</v>
      </c>
      <c r="D47" t="s">
        <v>19</v>
      </c>
      <c r="E47" t="s">
        <v>19</v>
      </c>
      <c r="F47" s="4">
        <v>1569032</v>
      </c>
      <c r="G47" s="4" t="s">
        <v>7</v>
      </c>
      <c r="H47" t="str">
        <f>IFERROR(VLOOKUP(E47,'GASB Match'!$A$2:$B$240,2,FALSE),"")</f>
        <v/>
      </c>
    </row>
    <row r="48" spans="1:8" x14ac:dyDescent="0.2">
      <c r="A48" t="s">
        <v>7</v>
      </c>
      <c r="B48" s="3">
        <v>2023</v>
      </c>
      <c r="C48" t="s">
        <v>18</v>
      </c>
      <c r="D48" t="s">
        <v>19</v>
      </c>
      <c r="E48" t="s">
        <v>19</v>
      </c>
      <c r="F48" s="4">
        <v>1771729</v>
      </c>
      <c r="G48" s="4" t="s">
        <v>7</v>
      </c>
      <c r="H48" t="str">
        <f>IFERROR(VLOOKUP(E48,'GASB Match'!$A$2:$B$240,2,FALSE),"")</f>
        <v/>
      </c>
    </row>
    <row r="49" spans="1:8" x14ac:dyDescent="0.2">
      <c r="A49" t="s">
        <v>7</v>
      </c>
      <c r="B49" s="3">
        <v>2015</v>
      </c>
      <c r="C49" t="s">
        <v>22</v>
      </c>
      <c r="D49" t="s">
        <v>23</v>
      </c>
      <c r="E49" t="s">
        <v>23</v>
      </c>
      <c r="F49" s="4">
        <v>36876.9</v>
      </c>
      <c r="G49" s="4" t="s">
        <v>7</v>
      </c>
      <c r="H49" t="str">
        <f>IFERROR(VLOOKUP(E49,'GASB Match'!$A$2:$B$240,2,FALSE),"")</f>
        <v/>
      </c>
    </row>
    <row r="50" spans="1:8" x14ac:dyDescent="0.2">
      <c r="A50" t="s">
        <v>7</v>
      </c>
      <c r="B50" s="3">
        <v>2016</v>
      </c>
      <c r="C50" t="s">
        <v>22</v>
      </c>
      <c r="D50" t="s">
        <v>24</v>
      </c>
      <c r="E50" t="s">
        <v>23</v>
      </c>
      <c r="F50" s="4">
        <v>34882.879999999997</v>
      </c>
      <c r="G50" s="4" t="s">
        <v>7</v>
      </c>
      <c r="H50" t="str">
        <f>IFERROR(VLOOKUP(E50,'GASB Match'!$A$2:$B$240,2,FALSE),"")</f>
        <v/>
      </c>
    </row>
    <row r="51" spans="1:8" x14ac:dyDescent="0.2">
      <c r="A51" t="s">
        <v>7</v>
      </c>
      <c r="B51" s="3">
        <v>2017</v>
      </c>
      <c r="C51" t="s">
        <v>22</v>
      </c>
      <c r="D51" t="s">
        <v>24</v>
      </c>
      <c r="E51" t="s">
        <v>23</v>
      </c>
      <c r="F51" s="4">
        <v>10004</v>
      </c>
      <c r="G51" s="4" t="s">
        <v>7</v>
      </c>
      <c r="H51" t="str">
        <f>IFERROR(VLOOKUP(E51,'GASB Match'!$A$2:$B$240,2,FALSE),"")</f>
        <v/>
      </c>
    </row>
    <row r="52" spans="1:8" x14ac:dyDescent="0.2">
      <c r="A52" t="s">
        <v>7</v>
      </c>
      <c r="B52" s="3">
        <v>2018</v>
      </c>
      <c r="C52" t="s">
        <v>22</v>
      </c>
      <c r="D52" t="s">
        <v>24</v>
      </c>
      <c r="E52" t="s">
        <v>23</v>
      </c>
      <c r="F52" s="4">
        <v>5936</v>
      </c>
      <c r="G52" s="4" t="s">
        <v>7</v>
      </c>
      <c r="H52" t="str">
        <f>IFERROR(VLOOKUP(E52,'GASB Match'!$A$2:$B$240,2,FALSE),"")</f>
        <v/>
      </c>
    </row>
    <row r="53" spans="1:8" x14ac:dyDescent="0.2">
      <c r="A53" t="s">
        <v>7</v>
      </c>
      <c r="B53" s="3">
        <v>2019</v>
      </c>
      <c r="C53" t="s">
        <v>22</v>
      </c>
      <c r="D53" t="s">
        <v>23</v>
      </c>
      <c r="E53" t="s">
        <v>23</v>
      </c>
      <c r="F53" s="4">
        <v>10167</v>
      </c>
      <c r="G53" s="4" t="s">
        <v>7</v>
      </c>
      <c r="H53" t="str">
        <f>IFERROR(VLOOKUP(E53,'GASB Match'!$A$2:$B$240,2,FALSE),"")</f>
        <v/>
      </c>
    </row>
    <row r="54" spans="1:8" x14ac:dyDescent="0.2">
      <c r="A54" t="s">
        <v>7</v>
      </c>
      <c r="B54" s="3">
        <v>2020</v>
      </c>
      <c r="C54" t="s">
        <v>22</v>
      </c>
      <c r="D54" t="s">
        <v>23</v>
      </c>
      <c r="E54" t="s">
        <v>23</v>
      </c>
      <c r="F54" s="4">
        <v>19438</v>
      </c>
      <c r="G54" s="4" t="s">
        <v>7</v>
      </c>
      <c r="H54" t="str">
        <f>IFERROR(VLOOKUP(E54,'GASB Match'!$A$2:$B$240,2,FALSE),"")</f>
        <v/>
      </c>
    </row>
    <row r="55" spans="1:8" x14ac:dyDescent="0.2">
      <c r="A55" t="s">
        <v>7</v>
      </c>
      <c r="B55" s="3">
        <v>2021</v>
      </c>
      <c r="C55" t="s">
        <v>22</v>
      </c>
      <c r="D55" t="s">
        <v>23</v>
      </c>
      <c r="E55" t="s">
        <v>23</v>
      </c>
      <c r="F55" s="4">
        <v>16074</v>
      </c>
      <c r="G55" s="4" t="s">
        <v>7</v>
      </c>
      <c r="H55" t="str">
        <f>IFERROR(VLOOKUP(E55,'GASB Match'!$A$2:$B$240,2,FALSE),"")</f>
        <v/>
      </c>
    </row>
    <row r="56" spans="1:8" x14ac:dyDescent="0.2">
      <c r="A56" t="s">
        <v>7</v>
      </c>
      <c r="B56" s="3">
        <v>2022</v>
      </c>
      <c r="C56" t="s">
        <v>22</v>
      </c>
      <c r="D56" t="s">
        <v>23</v>
      </c>
      <c r="E56" t="s">
        <v>23</v>
      </c>
      <c r="F56" s="4">
        <v>20718</v>
      </c>
      <c r="G56" s="4" t="s">
        <v>7</v>
      </c>
      <c r="H56" t="str">
        <f>IFERROR(VLOOKUP(E56,'GASB Match'!$A$2:$B$240,2,FALSE),"")</f>
        <v/>
      </c>
    </row>
    <row r="57" spans="1:8" x14ac:dyDescent="0.2">
      <c r="A57" t="s">
        <v>7</v>
      </c>
      <c r="B57" s="3">
        <v>2023</v>
      </c>
      <c r="C57" t="s">
        <v>22</v>
      </c>
      <c r="D57" t="s">
        <v>23</v>
      </c>
      <c r="E57" t="s">
        <v>23</v>
      </c>
      <c r="F57" s="4">
        <v>64547</v>
      </c>
      <c r="G57" s="4" t="s">
        <v>7</v>
      </c>
      <c r="H57" t="str">
        <f>IFERROR(VLOOKUP(E57,'GASB Match'!$A$2:$B$240,2,FALSE),"")</f>
        <v/>
      </c>
    </row>
    <row r="58" spans="1:8" x14ac:dyDescent="0.2">
      <c r="A58" t="s">
        <v>7</v>
      </c>
      <c r="B58" s="3">
        <v>2015</v>
      </c>
      <c r="C58" t="s">
        <v>25</v>
      </c>
      <c r="D58" t="s">
        <v>27</v>
      </c>
      <c r="E58" t="s">
        <v>26</v>
      </c>
      <c r="F58" s="4">
        <v>114924.54</v>
      </c>
      <c r="G58" s="4" t="s">
        <v>7</v>
      </c>
      <c r="H58" t="str">
        <f>IFERROR(VLOOKUP(E58,'GASB Match'!$A$2:$B$240,2,FALSE),"")</f>
        <v/>
      </c>
    </row>
    <row r="59" spans="1:8" x14ac:dyDescent="0.2">
      <c r="A59" t="s">
        <v>7</v>
      </c>
      <c r="B59" s="3">
        <v>2016</v>
      </c>
      <c r="C59" t="s">
        <v>25</v>
      </c>
      <c r="D59" t="s">
        <v>27</v>
      </c>
      <c r="E59" t="s">
        <v>26</v>
      </c>
      <c r="F59" s="4">
        <v>173855.8</v>
      </c>
      <c r="G59" s="4" t="s">
        <v>7</v>
      </c>
      <c r="H59" t="str">
        <f>IFERROR(VLOOKUP(E59,'GASB Match'!$A$2:$B$240,2,FALSE),"")</f>
        <v/>
      </c>
    </row>
    <row r="60" spans="1:8" x14ac:dyDescent="0.2">
      <c r="A60" t="s">
        <v>7</v>
      </c>
      <c r="B60" s="3">
        <v>2017</v>
      </c>
      <c r="C60" t="s">
        <v>25</v>
      </c>
      <c r="D60" t="s">
        <v>27</v>
      </c>
      <c r="E60" t="s">
        <v>26</v>
      </c>
      <c r="F60" s="4">
        <v>186294</v>
      </c>
      <c r="G60" s="4" t="s">
        <v>7</v>
      </c>
      <c r="H60" t="str">
        <f>IFERROR(VLOOKUP(E60,'GASB Match'!$A$2:$B$240,2,FALSE),"")</f>
        <v/>
      </c>
    </row>
    <row r="61" spans="1:8" x14ac:dyDescent="0.2">
      <c r="A61" t="s">
        <v>7</v>
      </c>
      <c r="B61" s="3">
        <v>2018</v>
      </c>
      <c r="C61" t="s">
        <v>25</v>
      </c>
      <c r="D61" t="s">
        <v>27</v>
      </c>
      <c r="E61" t="s">
        <v>26</v>
      </c>
      <c r="F61" s="4">
        <v>207052</v>
      </c>
      <c r="G61" s="4" t="s">
        <v>7</v>
      </c>
      <c r="H61" t="str">
        <f>IFERROR(VLOOKUP(E61,'GASB Match'!$A$2:$B$240,2,FALSE),"")</f>
        <v/>
      </c>
    </row>
    <row r="62" spans="1:8" x14ac:dyDescent="0.2">
      <c r="A62" t="s">
        <v>7</v>
      </c>
      <c r="B62" s="3">
        <v>2019</v>
      </c>
      <c r="C62" t="s">
        <v>25</v>
      </c>
      <c r="D62" t="s">
        <v>27</v>
      </c>
      <c r="E62" t="s">
        <v>26</v>
      </c>
      <c r="F62" s="4">
        <v>172559</v>
      </c>
      <c r="G62" s="4" t="s">
        <v>7</v>
      </c>
      <c r="H62" t="str">
        <f>IFERROR(VLOOKUP(E62,'GASB Match'!$A$2:$B$240,2,FALSE),"")</f>
        <v/>
      </c>
    </row>
    <row r="63" spans="1:8" x14ac:dyDescent="0.2">
      <c r="A63" t="s">
        <v>7</v>
      </c>
      <c r="B63" s="3">
        <v>2020</v>
      </c>
      <c r="C63" t="s">
        <v>25</v>
      </c>
      <c r="D63" t="s">
        <v>27</v>
      </c>
      <c r="E63" t="s">
        <v>26</v>
      </c>
      <c r="F63" s="4">
        <v>183932</v>
      </c>
      <c r="G63" s="4" t="s">
        <v>7</v>
      </c>
      <c r="H63" t="str">
        <f>IFERROR(VLOOKUP(E63,'GASB Match'!$A$2:$B$240,2,FALSE),"")</f>
        <v/>
      </c>
    </row>
    <row r="64" spans="1:8" x14ac:dyDescent="0.2">
      <c r="A64" t="s">
        <v>7</v>
      </c>
      <c r="B64" s="3">
        <v>2021</v>
      </c>
      <c r="C64" t="s">
        <v>25</v>
      </c>
      <c r="D64" t="s">
        <v>27</v>
      </c>
      <c r="E64" t="s">
        <v>26</v>
      </c>
      <c r="F64" s="4">
        <v>147682</v>
      </c>
      <c r="G64" s="4" t="s">
        <v>7</v>
      </c>
      <c r="H64" t="str">
        <f>IFERROR(VLOOKUP(E64,'GASB Match'!$A$2:$B$240,2,FALSE),"")</f>
        <v/>
      </c>
    </row>
    <row r="65" spans="1:8" x14ac:dyDescent="0.2">
      <c r="A65" t="s">
        <v>7</v>
      </c>
      <c r="B65" s="3">
        <v>2022</v>
      </c>
      <c r="C65" t="s">
        <v>25</v>
      </c>
      <c r="D65" t="s">
        <v>26</v>
      </c>
      <c r="E65" t="s">
        <v>26</v>
      </c>
      <c r="F65" s="4">
        <v>199797</v>
      </c>
      <c r="G65" s="4" t="s">
        <v>7</v>
      </c>
      <c r="H65" t="str">
        <f>IFERROR(VLOOKUP(E65,'GASB Match'!$A$2:$B$240,2,FALSE),"")</f>
        <v/>
      </c>
    </row>
    <row r="66" spans="1:8" x14ac:dyDescent="0.2">
      <c r="A66" t="s">
        <v>7</v>
      </c>
      <c r="B66" s="3">
        <v>2023</v>
      </c>
      <c r="C66" t="s">
        <v>25</v>
      </c>
      <c r="D66" t="s">
        <v>26</v>
      </c>
      <c r="E66" t="s">
        <v>26</v>
      </c>
      <c r="F66" s="4">
        <v>263497</v>
      </c>
      <c r="G66" s="4" t="s">
        <v>7</v>
      </c>
      <c r="H66" t="str">
        <f>IFERROR(VLOOKUP(E66,'GASB Match'!$A$2:$B$240,2,FALSE),"")</f>
        <v/>
      </c>
    </row>
    <row r="67" spans="1:8" x14ac:dyDescent="0.2">
      <c r="A67">
        <v>1300027</v>
      </c>
      <c r="B67" s="3">
        <v>2015</v>
      </c>
      <c r="C67" t="s">
        <v>28</v>
      </c>
      <c r="D67" t="s">
        <v>29</v>
      </c>
      <c r="E67" t="s">
        <v>29</v>
      </c>
      <c r="F67" s="4">
        <v>30903.98</v>
      </c>
      <c r="G67" s="4" t="s">
        <v>7</v>
      </c>
      <c r="H67">
        <f>IFERROR(VLOOKUP(E67,'GASB Match'!$A$2:$B$240,2,FALSE),"")</f>
        <v>1300027</v>
      </c>
    </row>
    <row r="68" spans="1:8" x14ac:dyDescent="0.2">
      <c r="A68">
        <v>1300027</v>
      </c>
      <c r="B68" s="3">
        <v>2016</v>
      </c>
      <c r="C68" t="s">
        <v>28</v>
      </c>
      <c r="D68" t="s">
        <v>29</v>
      </c>
      <c r="E68" t="s">
        <v>29</v>
      </c>
      <c r="F68" s="4">
        <v>41851.699999999997</v>
      </c>
      <c r="G68" s="4" t="s">
        <v>7</v>
      </c>
      <c r="H68">
        <f>IFERROR(VLOOKUP(E68,'GASB Match'!$A$2:$B$240,2,FALSE),"")</f>
        <v>1300027</v>
      </c>
    </row>
    <row r="69" spans="1:8" x14ac:dyDescent="0.2">
      <c r="A69">
        <v>1300027</v>
      </c>
      <c r="B69" s="3">
        <v>2017</v>
      </c>
      <c r="C69" t="s">
        <v>28</v>
      </c>
      <c r="D69" t="s">
        <v>29</v>
      </c>
      <c r="E69" t="s">
        <v>29</v>
      </c>
      <c r="F69" s="4">
        <v>73617</v>
      </c>
      <c r="G69" s="4" t="s">
        <v>7</v>
      </c>
      <c r="H69">
        <f>IFERROR(VLOOKUP(E69,'GASB Match'!$A$2:$B$240,2,FALSE),"")</f>
        <v>1300027</v>
      </c>
    </row>
    <row r="70" spans="1:8" x14ac:dyDescent="0.2">
      <c r="A70">
        <v>1300027</v>
      </c>
      <c r="B70" s="3">
        <v>2018</v>
      </c>
      <c r="C70" t="s">
        <v>28</v>
      </c>
      <c r="D70" t="s">
        <v>29</v>
      </c>
      <c r="E70" t="s">
        <v>29</v>
      </c>
      <c r="F70" s="4">
        <v>100104</v>
      </c>
      <c r="G70" s="4" t="s">
        <v>7</v>
      </c>
      <c r="H70">
        <f>IFERROR(VLOOKUP(E70,'GASB Match'!$A$2:$B$240,2,FALSE),"")</f>
        <v>1300027</v>
      </c>
    </row>
    <row r="71" spans="1:8" x14ac:dyDescent="0.2">
      <c r="A71">
        <v>1300027</v>
      </c>
      <c r="B71" s="3">
        <v>2019</v>
      </c>
      <c r="C71" t="s">
        <v>28</v>
      </c>
      <c r="D71" t="s">
        <v>29</v>
      </c>
      <c r="E71" t="s">
        <v>29</v>
      </c>
      <c r="F71" s="4">
        <v>102528</v>
      </c>
      <c r="G71" s="4" t="s">
        <v>7</v>
      </c>
      <c r="H71">
        <f>IFERROR(VLOOKUP(E71,'GASB Match'!$A$2:$B$240,2,FALSE),"")</f>
        <v>1300027</v>
      </c>
    </row>
    <row r="72" spans="1:8" x14ac:dyDescent="0.2">
      <c r="A72">
        <v>1300027</v>
      </c>
      <c r="B72" s="3">
        <v>2020</v>
      </c>
      <c r="C72" t="s">
        <v>28</v>
      </c>
      <c r="D72" t="s">
        <v>29</v>
      </c>
      <c r="E72" t="s">
        <v>29</v>
      </c>
      <c r="F72" s="4">
        <v>116495</v>
      </c>
      <c r="G72" s="4" t="s">
        <v>7</v>
      </c>
      <c r="H72">
        <f>IFERROR(VLOOKUP(E72,'GASB Match'!$A$2:$B$240,2,FALSE),"")</f>
        <v>1300027</v>
      </c>
    </row>
    <row r="73" spans="1:8" x14ac:dyDescent="0.2">
      <c r="A73">
        <v>1300027</v>
      </c>
      <c r="B73" s="3">
        <v>2021</v>
      </c>
      <c r="C73" t="s">
        <v>28</v>
      </c>
      <c r="D73" t="s">
        <v>29</v>
      </c>
      <c r="E73" t="s">
        <v>29</v>
      </c>
      <c r="F73" s="4">
        <v>114946</v>
      </c>
      <c r="G73" s="4" t="s">
        <v>7</v>
      </c>
      <c r="H73">
        <f>IFERROR(VLOOKUP(E73,'GASB Match'!$A$2:$B$240,2,FALSE),"")</f>
        <v>1300027</v>
      </c>
    </row>
    <row r="74" spans="1:8" x14ac:dyDescent="0.2">
      <c r="A74">
        <v>1300027</v>
      </c>
      <c r="B74" s="3">
        <v>2022</v>
      </c>
      <c r="C74" t="s">
        <v>28</v>
      </c>
      <c r="D74" t="s">
        <v>29</v>
      </c>
      <c r="E74" t="s">
        <v>29</v>
      </c>
      <c r="F74" s="4">
        <v>35636</v>
      </c>
      <c r="G74" s="4" t="s">
        <v>7</v>
      </c>
      <c r="H74">
        <f>IFERROR(VLOOKUP(E74,'GASB Match'!$A$2:$B$240,2,FALSE),"")</f>
        <v>1300027</v>
      </c>
    </row>
    <row r="75" spans="1:8" x14ac:dyDescent="0.2">
      <c r="A75">
        <v>1300027</v>
      </c>
      <c r="B75" s="3">
        <v>2023</v>
      </c>
      <c r="C75" t="s">
        <v>28</v>
      </c>
      <c r="D75" t="s">
        <v>29</v>
      </c>
      <c r="E75" t="s">
        <v>29</v>
      </c>
      <c r="F75" s="4">
        <v>41802</v>
      </c>
      <c r="G75" s="4" t="s">
        <v>7</v>
      </c>
      <c r="H75">
        <f>IFERROR(VLOOKUP(E75,'GASB Match'!$A$2:$B$240,2,FALSE),"")</f>
        <v>1300027</v>
      </c>
    </row>
    <row r="76" spans="1:8" x14ac:dyDescent="0.2">
      <c r="A76" t="s">
        <v>7</v>
      </c>
      <c r="B76" s="3">
        <v>2016</v>
      </c>
      <c r="C76" t="s">
        <v>30</v>
      </c>
      <c r="D76" t="s">
        <v>31</v>
      </c>
      <c r="E76" t="s">
        <v>31</v>
      </c>
      <c r="F76" s="4">
        <v>11523.03</v>
      </c>
      <c r="G76" s="4" t="s">
        <v>7</v>
      </c>
      <c r="H76" t="str">
        <f>IFERROR(VLOOKUP(E76,'GASB Match'!$A$2:$B$240,2,FALSE),"")</f>
        <v/>
      </c>
    </row>
    <row r="77" spans="1:8" x14ac:dyDescent="0.2">
      <c r="A77" t="s">
        <v>7</v>
      </c>
      <c r="B77" s="3">
        <v>2017</v>
      </c>
      <c r="C77" t="s">
        <v>30</v>
      </c>
      <c r="D77" t="s">
        <v>31</v>
      </c>
      <c r="E77" t="s">
        <v>31</v>
      </c>
      <c r="F77" s="4">
        <v>14701</v>
      </c>
      <c r="G77" s="4" t="s">
        <v>7</v>
      </c>
      <c r="H77" t="str">
        <f>IFERROR(VLOOKUP(E77,'GASB Match'!$A$2:$B$240,2,FALSE),"")</f>
        <v/>
      </c>
    </row>
    <row r="78" spans="1:8" x14ac:dyDescent="0.2">
      <c r="A78" t="s">
        <v>7</v>
      </c>
      <c r="B78" s="3">
        <v>2018</v>
      </c>
      <c r="C78" t="s">
        <v>30</v>
      </c>
      <c r="D78" t="s">
        <v>31</v>
      </c>
      <c r="E78" t="s">
        <v>31</v>
      </c>
      <c r="F78" s="4">
        <v>25264</v>
      </c>
      <c r="G78" s="4" t="s">
        <v>7</v>
      </c>
      <c r="H78" t="str">
        <f>IFERROR(VLOOKUP(E78,'GASB Match'!$A$2:$B$240,2,FALSE),"")</f>
        <v/>
      </c>
    </row>
    <row r="79" spans="1:8" x14ac:dyDescent="0.2">
      <c r="A79" t="s">
        <v>7</v>
      </c>
      <c r="B79" s="3">
        <v>2019</v>
      </c>
      <c r="C79" t="s">
        <v>30</v>
      </c>
      <c r="D79" t="s">
        <v>31</v>
      </c>
      <c r="E79" t="s">
        <v>31</v>
      </c>
      <c r="F79" s="4">
        <v>49116</v>
      </c>
      <c r="G79" s="4" t="s">
        <v>7</v>
      </c>
      <c r="H79" t="str">
        <f>IFERROR(VLOOKUP(E79,'GASB Match'!$A$2:$B$240,2,FALSE),"")</f>
        <v/>
      </c>
    </row>
    <row r="80" spans="1:8" x14ac:dyDescent="0.2">
      <c r="A80" t="s">
        <v>7</v>
      </c>
      <c r="B80" s="3">
        <v>2020</v>
      </c>
      <c r="C80" t="s">
        <v>30</v>
      </c>
      <c r="D80" t="s">
        <v>31</v>
      </c>
      <c r="E80" t="s">
        <v>31</v>
      </c>
      <c r="F80" s="4">
        <v>40136</v>
      </c>
      <c r="G80" s="4" t="s">
        <v>7</v>
      </c>
      <c r="H80" t="str">
        <f>IFERROR(VLOOKUP(E80,'GASB Match'!$A$2:$B$240,2,FALSE),"")</f>
        <v/>
      </c>
    </row>
    <row r="81" spans="1:8" x14ac:dyDescent="0.2">
      <c r="A81" t="s">
        <v>7</v>
      </c>
      <c r="B81" s="3">
        <v>2021</v>
      </c>
      <c r="C81" t="s">
        <v>30</v>
      </c>
      <c r="D81" t="s">
        <v>31</v>
      </c>
      <c r="E81" t="s">
        <v>31</v>
      </c>
      <c r="F81" s="4">
        <v>27265</v>
      </c>
      <c r="G81" s="4" t="s">
        <v>7</v>
      </c>
      <c r="H81" t="str">
        <f>IFERROR(VLOOKUP(E81,'GASB Match'!$A$2:$B$240,2,FALSE),"")</f>
        <v/>
      </c>
    </row>
    <row r="82" spans="1:8" x14ac:dyDescent="0.2">
      <c r="A82" t="s">
        <v>7</v>
      </c>
      <c r="B82" s="3">
        <v>2022</v>
      </c>
      <c r="C82" t="s">
        <v>30</v>
      </c>
      <c r="D82" t="s">
        <v>31</v>
      </c>
      <c r="E82" t="s">
        <v>31</v>
      </c>
      <c r="F82" s="4">
        <v>13124</v>
      </c>
      <c r="G82" s="4" t="s">
        <v>7</v>
      </c>
      <c r="H82" t="str">
        <f>IFERROR(VLOOKUP(E82,'GASB Match'!$A$2:$B$240,2,FALSE),"")</f>
        <v/>
      </c>
    </row>
    <row r="83" spans="1:8" x14ac:dyDescent="0.2">
      <c r="A83" t="s">
        <v>7</v>
      </c>
      <c r="B83" s="3">
        <v>2023</v>
      </c>
      <c r="C83" t="s">
        <v>30</v>
      </c>
      <c r="D83" t="s">
        <v>31</v>
      </c>
      <c r="E83" t="s">
        <v>31</v>
      </c>
      <c r="F83" s="4">
        <v>14186</v>
      </c>
      <c r="G83" s="4" t="s">
        <v>7</v>
      </c>
      <c r="H83" t="str">
        <f>IFERROR(VLOOKUP(E83,'GASB Match'!$A$2:$B$240,2,FALSE),"")</f>
        <v/>
      </c>
    </row>
    <row r="84" spans="1:8" x14ac:dyDescent="0.2">
      <c r="A84" t="s">
        <v>7</v>
      </c>
      <c r="B84" s="3">
        <v>2015</v>
      </c>
      <c r="C84" t="s">
        <v>32</v>
      </c>
      <c r="D84" t="s">
        <v>34</v>
      </c>
      <c r="E84" t="s">
        <v>33</v>
      </c>
      <c r="F84" s="4">
        <v>9574.85</v>
      </c>
      <c r="G84" s="4" t="s">
        <v>7</v>
      </c>
      <c r="H84" t="str">
        <f>IFERROR(VLOOKUP(E84,'GASB Match'!$A$2:$B$240,2,FALSE),"")</f>
        <v/>
      </c>
    </row>
    <row r="85" spans="1:8" x14ac:dyDescent="0.2">
      <c r="A85" t="s">
        <v>7</v>
      </c>
      <c r="B85" s="3">
        <v>2016</v>
      </c>
      <c r="C85" t="s">
        <v>32</v>
      </c>
      <c r="D85" t="s">
        <v>34</v>
      </c>
      <c r="E85" t="s">
        <v>33</v>
      </c>
      <c r="F85" s="4">
        <v>6881.52</v>
      </c>
      <c r="G85" s="4" t="s">
        <v>7</v>
      </c>
      <c r="H85" t="str">
        <f>IFERROR(VLOOKUP(E85,'GASB Match'!$A$2:$B$240,2,FALSE),"")</f>
        <v/>
      </c>
    </row>
    <row r="86" spans="1:8" x14ac:dyDescent="0.2">
      <c r="A86" t="s">
        <v>7</v>
      </c>
      <c r="B86" s="3">
        <v>2017</v>
      </c>
      <c r="C86" t="s">
        <v>32</v>
      </c>
      <c r="D86" t="s">
        <v>34</v>
      </c>
      <c r="E86" t="s">
        <v>33</v>
      </c>
      <c r="F86" s="4">
        <v>16839</v>
      </c>
      <c r="G86" s="4" t="s">
        <v>7</v>
      </c>
      <c r="H86" t="str">
        <f>IFERROR(VLOOKUP(E86,'GASB Match'!$A$2:$B$240,2,FALSE),"")</f>
        <v/>
      </c>
    </row>
    <row r="87" spans="1:8" x14ac:dyDescent="0.2">
      <c r="A87" t="s">
        <v>7</v>
      </c>
      <c r="B87" s="3">
        <v>2018</v>
      </c>
      <c r="C87" t="s">
        <v>32</v>
      </c>
      <c r="D87" t="s">
        <v>34</v>
      </c>
      <c r="E87" t="s">
        <v>33</v>
      </c>
      <c r="F87" s="4">
        <v>21786</v>
      </c>
      <c r="G87" s="4" t="s">
        <v>7</v>
      </c>
      <c r="H87" t="str">
        <f>IFERROR(VLOOKUP(E87,'GASB Match'!$A$2:$B$240,2,FALSE),"")</f>
        <v/>
      </c>
    </row>
    <row r="88" spans="1:8" x14ac:dyDescent="0.2">
      <c r="A88" t="s">
        <v>7</v>
      </c>
      <c r="B88" s="3">
        <v>2019</v>
      </c>
      <c r="C88" t="s">
        <v>32</v>
      </c>
      <c r="D88" t="s">
        <v>34</v>
      </c>
      <c r="E88" t="s">
        <v>33</v>
      </c>
      <c r="F88" s="4">
        <v>8569</v>
      </c>
      <c r="G88" s="4" t="s">
        <v>7</v>
      </c>
      <c r="H88" t="str">
        <f>IFERROR(VLOOKUP(E88,'GASB Match'!$A$2:$B$240,2,FALSE),"")</f>
        <v/>
      </c>
    </row>
    <row r="89" spans="1:8" x14ac:dyDescent="0.2">
      <c r="A89" t="s">
        <v>7</v>
      </c>
      <c r="B89" s="3">
        <v>2020</v>
      </c>
      <c r="C89" t="s">
        <v>32</v>
      </c>
      <c r="D89" t="s">
        <v>34</v>
      </c>
      <c r="E89" t="s">
        <v>33</v>
      </c>
      <c r="F89" s="4">
        <v>6412</v>
      </c>
      <c r="G89" s="4" t="s">
        <v>7</v>
      </c>
      <c r="H89" t="str">
        <f>IFERROR(VLOOKUP(E89,'GASB Match'!$A$2:$B$240,2,FALSE),"")</f>
        <v/>
      </c>
    </row>
    <row r="90" spans="1:8" x14ac:dyDescent="0.2">
      <c r="A90" t="s">
        <v>7</v>
      </c>
      <c r="B90" s="3">
        <v>2021</v>
      </c>
      <c r="C90" t="s">
        <v>32</v>
      </c>
      <c r="D90" t="s">
        <v>34</v>
      </c>
      <c r="E90" t="s">
        <v>33</v>
      </c>
      <c r="F90" s="4">
        <v>11827</v>
      </c>
      <c r="G90" s="4" t="s">
        <v>7</v>
      </c>
      <c r="H90" t="str">
        <f>IFERROR(VLOOKUP(E90,'GASB Match'!$A$2:$B$240,2,FALSE),"")</f>
        <v/>
      </c>
    </row>
    <row r="91" spans="1:8" x14ac:dyDescent="0.2">
      <c r="A91" t="s">
        <v>7</v>
      </c>
      <c r="B91" s="3">
        <v>2022</v>
      </c>
      <c r="C91" t="s">
        <v>32</v>
      </c>
      <c r="D91" t="s">
        <v>33</v>
      </c>
      <c r="E91" t="s">
        <v>33</v>
      </c>
      <c r="F91" s="4">
        <v>21088</v>
      </c>
      <c r="G91" s="4" t="s">
        <v>7</v>
      </c>
      <c r="H91" t="str">
        <f>IFERROR(VLOOKUP(E91,'GASB Match'!$A$2:$B$240,2,FALSE),"")</f>
        <v/>
      </c>
    </row>
    <row r="92" spans="1:8" x14ac:dyDescent="0.2">
      <c r="A92" t="s">
        <v>7</v>
      </c>
      <c r="B92" s="3">
        <v>2023</v>
      </c>
      <c r="C92" t="s">
        <v>32</v>
      </c>
      <c r="D92" t="s">
        <v>33</v>
      </c>
      <c r="E92" t="s">
        <v>33</v>
      </c>
      <c r="F92" s="4">
        <v>23334</v>
      </c>
      <c r="G92" s="4" t="s">
        <v>7</v>
      </c>
      <c r="H92" t="str">
        <f>IFERROR(VLOOKUP(E92,'GASB Match'!$A$2:$B$240,2,FALSE),"")</f>
        <v/>
      </c>
    </row>
    <row r="93" spans="1:8" x14ac:dyDescent="0.2">
      <c r="A93" t="s">
        <v>7</v>
      </c>
      <c r="B93" s="3">
        <v>2015</v>
      </c>
      <c r="C93" t="s">
        <v>35</v>
      </c>
      <c r="D93" t="s">
        <v>36</v>
      </c>
      <c r="E93" t="s">
        <v>36</v>
      </c>
      <c r="F93" s="4">
        <v>212027</v>
      </c>
      <c r="G93" s="4" t="s">
        <v>7</v>
      </c>
      <c r="H93" t="str">
        <f>IFERROR(VLOOKUP(E93,'GASB Match'!$A$2:$B$240,2,FALSE),"")</f>
        <v/>
      </c>
    </row>
    <row r="94" spans="1:8" x14ac:dyDescent="0.2">
      <c r="A94" t="s">
        <v>7</v>
      </c>
      <c r="B94" s="3">
        <v>2016</v>
      </c>
      <c r="C94" t="s">
        <v>35</v>
      </c>
      <c r="D94" t="s">
        <v>36</v>
      </c>
      <c r="E94" t="s">
        <v>36</v>
      </c>
      <c r="F94" s="4">
        <v>265302.73</v>
      </c>
      <c r="G94" s="4" t="s">
        <v>7</v>
      </c>
      <c r="H94" t="str">
        <f>IFERROR(VLOOKUP(E94,'GASB Match'!$A$2:$B$240,2,FALSE),"")</f>
        <v/>
      </c>
    </row>
    <row r="95" spans="1:8" x14ac:dyDescent="0.2">
      <c r="A95" t="s">
        <v>7</v>
      </c>
      <c r="B95" s="3">
        <v>2017</v>
      </c>
      <c r="C95" t="s">
        <v>35</v>
      </c>
      <c r="D95" t="s">
        <v>36</v>
      </c>
      <c r="E95" t="s">
        <v>36</v>
      </c>
      <c r="F95" s="4">
        <v>318419</v>
      </c>
      <c r="G95" s="4" t="s">
        <v>7</v>
      </c>
      <c r="H95" t="str">
        <f>IFERROR(VLOOKUP(E95,'GASB Match'!$A$2:$B$240,2,FALSE),"")</f>
        <v/>
      </c>
    </row>
    <row r="96" spans="1:8" x14ac:dyDescent="0.2">
      <c r="A96" t="s">
        <v>7</v>
      </c>
      <c r="B96" s="3">
        <v>2018</v>
      </c>
      <c r="C96" t="s">
        <v>35</v>
      </c>
      <c r="D96" t="s">
        <v>36</v>
      </c>
      <c r="E96" t="s">
        <v>36</v>
      </c>
      <c r="F96" s="4">
        <v>419373</v>
      </c>
      <c r="G96" s="4" t="s">
        <v>7</v>
      </c>
      <c r="H96" t="str">
        <f>IFERROR(VLOOKUP(E96,'GASB Match'!$A$2:$B$240,2,FALSE),"")</f>
        <v/>
      </c>
    </row>
    <row r="97" spans="1:8" x14ac:dyDescent="0.2">
      <c r="A97" t="s">
        <v>7</v>
      </c>
      <c r="B97" s="3">
        <v>2019</v>
      </c>
      <c r="C97" t="s">
        <v>35</v>
      </c>
      <c r="D97" t="s">
        <v>36</v>
      </c>
      <c r="E97" t="s">
        <v>36</v>
      </c>
      <c r="F97" s="4">
        <v>655080</v>
      </c>
      <c r="G97" s="4" t="s">
        <v>7</v>
      </c>
      <c r="H97" t="str">
        <f>IFERROR(VLOOKUP(E97,'GASB Match'!$A$2:$B$240,2,FALSE),"")</f>
        <v/>
      </c>
    </row>
    <row r="98" spans="1:8" x14ac:dyDescent="0.2">
      <c r="A98" t="s">
        <v>7</v>
      </c>
      <c r="B98" s="3">
        <v>2020</v>
      </c>
      <c r="C98" t="s">
        <v>35</v>
      </c>
      <c r="D98" t="s">
        <v>36</v>
      </c>
      <c r="E98" t="s">
        <v>36</v>
      </c>
      <c r="F98" s="4">
        <v>640152</v>
      </c>
      <c r="G98" s="4" t="s">
        <v>7</v>
      </c>
      <c r="H98" t="str">
        <f>IFERROR(VLOOKUP(E98,'GASB Match'!$A$2:$B$240,2,FALSE),"")</f>
        <v/>
      </c>
    </row>
    <row r="99" spans="1:8" x14ac:dyDescent="0.2">
      <c r="A99" t="s">
        <v>7</v>
      </c>
      <c r="B99" s="3">
        <v>2021</v>
      </c>
      <c r="C99" t="s">
        <v>35</v>
      </c>
      <c r="D99" t="s">
        <v>36</v>
      </c>
      <c r="E99" t="s">
        <v>36</v>
      </c>
      <c r="F99" s="4">
        <v>451391</v>
      </c>
      <c r="G99" s="4" t="s">
        <v>7</v>
      </c>
      <c r="H99" t="str">
        <f>IFERROR(VLOOKUP(E99,'GASB Match'!$A$2:$B$240,2,FALSE),"")</f>
        <v/>
      </c>
    </row>
    <row r="100" spans="1:8" x14ac:dyDescent="0.2">
      <c r="A100" t="s">
        <v>7</v>
      </c>
      <c r="B100" s="3">
        <v>2022</v>
      </c>
      <c r="C100" t="s">
        <v>35</v>
      </c>
      <c r="D100" t="s">
        <v>36</v>
      </c>
      <c r="E100" t="s">
        <v>36</v>
      </c>
      <c r="F100" s="4">
        <v>454830</v>
      </c>
      <c r="G100" s="4" t="s">
        <v>7</v>
      </c>
      <c r="H100" t="str">
        <f>IFERROR(VLOOKUP(E100,'GASB Match'!$A$2:$B$240,2,FALSE),"")</f>
        <v/>
      </c>
    </row>
    <row r="101" spans="1:8" x14ac:dyDescent="0.2">
      <c r="A101" t="s">
        <v>7</v>
      </c>
      <c r="B101" s="3">
        <v>2023</v>
      </c>
      <c r="C101" t="s">
        <v>35</v>
      </c>
      <c r="D101" t="s">
        <v>36</v>
      </c>
      <c r="E101" t="s">
        <v>36</v>
      </c>
      <c r="F101" s="4">
        <v>511374</v>
      </c>
      <c r="G101" s="4" t="s">
        <v>7</v>
      </c>
      <c r="H101" t="str">
        <f>IFERROR(VLOOKUP(E101,'GASB Match'!$A$2:$B$240,2,FALSE),"")</f>
        <v/>
      </c>
    </row>
    <row r="102" spans="1:8" x14ac:dyDescent="0.2">
      <c r="A102" t="s">
        <v>7</v>
      </c>
      <c r="B102" s="3">
        <v>2015</v>
      </c>
      <c r="C102" t="s">
        <v>37</v>
      </c>
      <c r="D102" t="s">
        <v>38</v>
      </c>
      <c r="E102" t="s">
        <v>38</v>
      </c>
      <c r="F102" s="4">
        <v>16261.47</v>
      </c>
      <c r="G102" s="4" t="s">
        <v>7</v>
      </c>
      <c r="H102" t="str">
        <f>IFERROR(VLOOKUP(E102,'GASB Match'!$A$2:$B$240,2,FALSE),"")</f>
        <v/>
      </c>
    </row>
    <row r="103" spans="1:8" x14ac:dyDescent="0.2">
      <c r="A103" t="s">
        <v>7</v>
      </c>
      <c r="B103" s="3">
        <v>2016</v>
      </c>
      <c r="C103" t="s">
        <v>37</v>
      </c>
      <c r="D103" t="s">
        <v>38</v>
      </c>
      <c r="E103" t="s">
        <v>38</v>
      </c>
      <c r="F103" s="4">
        <v>15590.21</v>
      </c>
      <c r="G103" s="4" t="s">
        <v>7</v>
      </c>
      <c r="H103" t="str">
        <f>IFERROR(VLOOKUP(E103,'GASB Match'!$A$2:$B$240,2,FALSE),"")</f>
        <v/>
      </c>
    </row>
    <row r="104" spans="1:8" x14ac:dyDescent="0.2">
      <c r="A104" t="s">
        <v>7</v>
      </c>
      <c r="B104" s="3">
        <v>2017</v>
      </c>
      <c r="C104" t="s">
        <v>37</v>
      </c>
      <c r="D104" t="s">
        <v>38</v>
      </c>
      <c r="E104" t="s">
        <v>38</v>
      </c>
      <c r="F104" s="4">
        <v>22652</v>
      </c>
      <c r="G104" s="4" t="s">
        <v>7</v>
      </c>
      <c r="H104" t="str">
        <f>IFERROR(VLOOKUP(E104,'GASB Match'!$A$2:$B$240,2,FALSE),"")</f>
        <v/>
      </c>
    </row>
    <row r="105" spans="1:8" x14ac:dyDescent="0.2">
      <c r="A105" t="s">
        <v>7</v>
      </c>
      <c r="B105" s="3">
        <v>2018</v>
      </c>
      <c r="C105" t="s">
        <v>37</v>
      </c>
      <c r="D105" t="s">
        <v>38</v>
      </c>
      <c r="E105" t="s">
        <v>38</v>
      </c>
      <c r="F105" s="4">
        <v>51442</v>
      </c>
      <c r="G105" s="4" t="s">
        <v>7</v>
      </c>
      <c r="H105" t="str">
        <f>IFERROR(VLOOKUP(E105,'GASB Match'!$A$2:$B$240,2,FALSE),"")</f>
        <v/>
      </c>
    </row>
    <row r="106" spans="1:8" x14ac:dyDescent="0.2">
      <c r="A106" t="s">
        <v>7</v>
      </c>
      <c r="B106" s="3">
        <v>2019</v>
      </c>
      <c r="C106" t="s">
        <v>37</v>
      </c>
      <c r="D106" t="s">
        <v>38</v>
      </c>
      <c r="E106" t="s">
        <v>38</v>
      </c>
      <c r="F106" s="4">
        <v>81639</v>
      </c>
      <c r="G106" s="4" t="s">
        <v>7</v>
      </c>
      <c r="H106" t="str">
        <f>IFERROR(VLOOKUP(E106,'GASB Match'!$A$2:$B$240,2,FALSE),"")</f>
        <v/>
      </c>
    </row>
    <row r="107" spans="1:8" x14ac:dyDescent="0.2">
      <c r="A107" t="s">
        <v>7</v>
      </c>
      <c r="B107" s="3">
        <v>2020</v>
      </c>
      <c r="C107" t="s">
        <v>37</v>
      </c>
      <c r="D107" t="s">
        <v>38</v>
      </c>
      <c r="E107" t="s">
        <v>38</v>
      </c>
      <c r="F107" s="4">
        <v>79874</v>
      </c>
      <c r="G107" s="4" t="s">
        <v>7</v>
      </c>
      <c r="H107" t="str">
        <f>IFERROR(VLOOKUP(E107,'GASB Match'!$A$2:$B$240,2,FALSE),"")</f>
        <v/>
      </c>
    </row>
    <row r="108" spans="1:8" x14ac:dyDescent="0.2">
      <c r="A108" t="s">
        <v>7</v>
      </c>
      <c r="B108" s="3">
        <v>2021</v>
      </c>
      <c r="C108" t="s">
        <v>37</v>
      </c>
      <c r="D108" t="s">
        <v>38</v>
      </c>
      <c r="E108" t="s">
        <v>38</v>
      </c>
      <c r="F108" s="4">
        <v>63767</v>
      </c>
      <c r="G108" s="4" t="s">
        <v>7</v>
      </c>
      <c r="H108" t="str">
        <f>IFERROR(VLOOKUP(E108,'GASB Match'!$A$2:$B$240,2,FALSE),"")</f>
        <v/>
      </c>
    </row>
    <row r="109" spans="1:8" x14ac:dyDescent="0.2">
      <c r="A109" t="s">
        <v>7</v>
      </c>
      <c r="B109" s="3">
        <v>2022</v>
      </c>
      <c r="C109" t="s">
        <v>37</v>
      </c>
      <c r="D109" t="s">
        <v>38</v>
      </c>
      <c r="E109" t="s">
        <v>38</v>
      </c>
      <c r="F109" s="4">
        <v>58546</v>
      </c>
      <c r="G109" s="4" t="s">
        <v>7</v>
      </c>
      <c r="H109" t="str">
        <f>IFERROR(VLOOKUP(E109,'GASB Match'!$A$2:$B$240,2,FALSE),"")</f>
        <v/>
      </c>
    </row>
    <row r="110" spans="1:8" x14ac:dyDescent="0.2">
      <c r="A110" t="s">
        <v>7</v>
      </c>
      <c r="B110" s="3">
        <v>2023</v>
      </c>
      <c r="C110" t="s">
        <v>37</v>
      </c>
      <c r="D110" t="s">
        <v>38</v>
      </c>
      <c r="E110" t="s">
        <v>38</v>
      </c>
      <c r="F110" s="4">
        <v>47517</v>
      </c>
      <c r="G110" s="4" t="s">
        <v>7</v>
      </c>
      <c r="H110" t="str">
        <f>IFERROR(VLOOKUP(E110,'GASB Match'!$A$2:$B$240,2,FALSE),"")</f>
        <v/>
      </c>
    </row>
    <row r="111" spans="1:8" x14ac:dyDescent="0.2">
      <c r="A111" t="s">
        <v>7</v>
      </c>
      <c r="B111" s="3">
        <v>2016</v>
      </c>
      <c r="C111" t="s">
        <v>39</v>
      </c>
      <c r="D111" t="s">
        <v>41</v>
      </c>
      <c r="E111" t="s">
        <v>40</v>
      </c>
      <c r="F111" s="4">
        <v>4552.1499999999996</v>
      </c>
      <c r="G111" s="4" t="s">
        <v>7</v>
      </c>
      <c r="H111" t="str">
        <f>IFERROR(VLOOKUP(E111,'GASB Match'!$A$2:$B$240,2,FALSE),"")</f>
        <v/>
      </c>
    </row>
    <row r="112" spans="1:8" x14ac:dyDescent="0.2">
      <c r="A112" t="s">
        <v>7</v>
      </c>
      <c r="B112" s="3">
        <v>2017</v>
      </c>
      <c r="C112" t="s">
        <v>39</v>
      </c>
      <c r="D112" t="s">
        <v>41</v>
      </c>
      <c r="E112" t="s">
        <v>40</v>
      </c>
      <c r="F112" s="4">
        <v>9133</v>
      </c>
      <c r="G112" s="4" t="s">
        <v>7</v>
      </c>
      <c r="H112" t="str">
        <f>IFERROR(VLOOKUP(E112,'GASB Match'!$A$2:$B$240,2,FALSE),"")</f>
        <v/>
      </c>
    </row>
    <row r="113" spans="1:8" x14ac:dyDescent="0.2">
      <c r="A113" t="s">
        <v>7</v>
      </c>
      <c r="B113" s="3">
        <v>2018</v>
      </c>
      <c r="C113" t="s">
        <v>39</v>
      </c>
      <c r="D113" t="s">
        <v>41</v>
      </c>
      <c r="E113" t="s">
        <v>40</v>
      </c>
      <c r="F113" s="4">
        <v>11011</v>
      </c>
      <c r="G113" s="4" t="s">
        <v>7</v>
      </c>
      <c r="H113" t="str">
        <f>IFERROR(VLOOKUP(E113,'GASB Match'!$A$2:$B$240,2,FALSE),"")</f>
        <v/>
      </c>
    </row>
    <row r="114" spans="1:8" x14ac:dyDescent="0.2">
      <c r="A114" t="s">
        <v>7</v>
      </c>
      <c r="B114" s="3">
        <v>2019</v>
      </c>
      <c r="C114" t="s">
        <v>39</v>
      </c>
      <c r="D114" t="s">
        <v>41</v>
      </c>
      <c r="E114" t="s">
        <v>40</v>
      </c>
      <c r="F114" s="4">
        <v>13861</v>
      </c>
      <c r="G114" s="4" t="s">
        <v>7</v>
      </c>
      <c r="H114" t="str">
        <f>IFERROR(VLOOKUP(E114,'GASB Match'!$A$2:$B$240,2,FALSE),"")</f>
        <v/>
      </c>
    </row>
    <row r="115" spans="1:8" x14ac:dyDescent="0.2">
      <c r="A115" t="s">
        <v>7</v>
      </c>
      <c r="B115" s="3">
        <v>2020</v>
      </c>
      <c r="C115" t="s">
        <v>39</v>
      </c>
      <c r="D115" t="s">
        <v>41</v>
      </c>
      <c r="E115" t="s">
        <v>40</v>
      </c>
      <c r="F115" s="4">
        <v>14583</v>
      </c>
      <c r="G115" s="4" t="s">
        <v>7</v>
      </c>
      <c r="H115" t="str">
        <f>IFERROR(VLOOKUP(E115,'GASB Match'!$A$2:$B$240,2,FALSE),"")</f>
        <v/>
      </c>
    </row>
    <row r="116" spans="1:8" x14ac:dyDescent="0.2">
      <c r="A116" t="s">
        <v>7</v>
      </c>
      <c r="B116" s="3">
        <v>2021</v>
      </c>
      <c r="C116" t="s">
        <v>39</v>
      </c>
      <c r="D116" t="s">
        <v>41</v>
      </c>
      <c r="E116" t="s">
        <v>40</v>
      </c>
      <c r="F116" s="4">
        <v>13148</v>
      </c>
      <c r="G116" s="4" t="s">
        <v>7</v>
      </c>
      <c r="H116" t="str">
        <f>IFERROR(VLOOKUP(E116,'GASB Match'!$A$2:$B$240,2,FALSE),"")</f>
        <v/>
      </c>
    </row>
    <row r="117" spans="1:8" x14ac:dyDescent="0.2">
      <c r="A117" t="s">
        <v>7</v>
      </c>
      <c r="B117" s="3">
        <v>2022</v>
      </c>
      <c r="C117" t="s">
        <v>39</v>
      </c>
      <c r="D117" t="s">
        <v>40</v>
      </c>
      <c r="E117" t="s">
        <v>40</v>
      </c>
      <c r="F117" s="4">
        <v>13913</v>
      </c>
      <c r="G117" s="4" t="s">
        <v>7</v>
      </c>
      <c r="H117" t="str">
        <f>IFERROR(VLOOKUP(E117,'GASB Match'!$A$2:$B$240,2,FALSE),"")</f>
        <v/>
      </c>
    </row>
    <row r="118" spans="1:8" x14ac:dyDescent="0.2">
      <c r="A118" t="s">
        <v>7</v>
      </c>
      <c r="B118" s="3">
        <v>2023</v>
      </c>
      <c r="C118" t="s">
        <v>39</v>
      </c>
      <c r="D118" t="s">
        <v>40</v>
      </c>
      <c r="E118" t="s">
        <v>40</v>
      </c>
      <c r="F118" s="4">
        <v>14782</v>
      </c>
      <c r="G118" s="4" t="s">
        <v>7</v>
      </c>
      <c r="H118" t="str">
        <f>IFERROR(VLOOKUP(E118,'GASB Match'!$A$2:$B$240,2,FALSE),"")</f>
        <v/>
      </c>
    </row>
    <row r="119" spans="1:8" x14ac:dyDescent="0.2">
      <c r="A119" t="s">
        <v>7</v>
      </c>
      <c r="B119" s="3">
        <v>2015</v>
      </c>
      <c r="C119" t="s">
        <v>42</v>
      </c>
      <c r="D119" t="s">
        <v>43</v>
      </c>
      <c r="E119" t="s">
        <v>43</v>
      </c>
      <c r="F119" s="4">
        <v>50580.58</v>
      </c>
      <c r="G119" s="4" t="s">
        <v>7</v>
      </c>
      <c r="H119" t="str">
        <f>IFERROR(VLOOKUP(E119,'GASB Match'!$A$2:$B$240,2,FALSE),"")</f>
        <v/>
      </c>
    </row>
    <row r="120" spans="1:8" x14ac:dyDescent="0.2">
      <c r="A120" t="s">
        <v>7</v>
      </c>
      <c r="B120" s="3">
        <v>2016</v>
      </c>
      <c r="C120" t="s">
        <v>42</v>
      </c>
      <c r="D120" t="s">
        <v>43</v>
      </c>
      <c r="E120" t="s">
        <v>43</v>
      </c>
      <c r="F120" s="4">
        <v>43114.65</v>
      </c>
      <c r="G120" s="4" t="s">
        <v>7</v>
      </c>
      <c r="H120" t="str">
        <f>IFERROR(VLOOKUP(E120,'GASB Match'!$A$2:$B$240,2,FALSE),"")</f>
        <v/>
      </c>
    </row>
    <row r="121" spans="1:8" x14ac:dyDescent="0.2">
      <c r="A121" t="s">
        <v>7</v>
      </c>
      <c r="B121" s="3">
        <v>2017</v>
      </c>
      <c r="C121" t="s">
        <v>42</v>
      </c>
      <c r="D121" t="s">
        <v>43</v>
      </c>
      <c r="E121" t="s">
        <v>43</v>
      </c>
      <c r="F121" s="4">
        <v>37546</v>
      </c>
      <c r="G121" s="4" t="s">
        <v>7</v>
      </c>
      <c r="H121" t="str">
        <f>IFERROR(VLOOKUP(E121,'GASB Match'!$A$2:$B$240,2,FALSE),"")</f>
        <v/>
      </c>
    </row>
    <row r="122" spans="1:8" x14ac:dyDescent="0.2">
      <c r="A122" t="s">
        <v>7</v>
      </c>
      <c r="B122" s="3">
        <v>2018</v>
      </c>
      <c r="C122" t="s">
        <v>42</v>
      </c>
      <c r="D122" t="s">
        <v>43</v>
      </c>
      <c r="E122" t="s">
        <v>43</v>
      </c>
      <c r="F122" s="4">
        <v>45001</v>
      </c>
      <c r="G122" s="4" t="s">
        <v>7</v>
      </c>
      <c r="H122" t="str">
        <f>IFERROR(VLOOKUP(E122,'GASB Match'!$A$2:$B$240,2,FALSE),"")</f>
        <v/>
      </c>
    </row>
    <row r="123" spans="1:8" x14ac:dyDescent="0.2">
      <c r="A123" t="s">
        <v>7</v>
      </c>
      <c r="B123" s="3">
        <v>2019</v>
      </c>
      <c r="C123" t="s">
        <v>42</v>
      </c>
      <c r="D123" t="s">
        <v>43</v>
      </c>
      <c r="E123" t="s">
        <v>43</v>
      </c>
      <c r="F123" s="4">
        <v>56719</v>
      </c>
      <c r="G123" s="4" t="s">
        <v>7</v>
      </c>
      <c r="H123" t="str">
        <f>IFERROR(VLOOKUP(E123,'GASB Match'!$A$2:$B$240,2,FALSE),"")</f>
        <v/>
      </c>
    </row>
    <row r="124" spans="1:8" x14ac:dyDescent="0.2">
      <c r="A124" t="s">
        <v>7</v>
      </c>
      <c r="B124" s="3">
        <v>2020</v>
      </c>
      <c r="C124" t="s">
        <v>42</v>
      </c>
      <c r="D124" t="s">
        <v>43</v>
      </c>
      <c r="E124" t="s">
        <v>43</v>
      </c>
      <c r="F124" s="4">
        <v>53151</v>
      </c>
      <c r="G124" s="4" t="s">
        <v>7</v>
      </c>
      <c r="H124" t="str">
        <f>IFERROR(VLOOKUP(E124,'GASB Match'!$A$2:$B$240,2,FALSE),"")</f>
        <v/>
      </c>
    </row>
    <row r="125" spans="1:8" x14ac:dyDescent="0.2">
      <c r="A125" t="s">
        <v>7</v>
      </c>
      <c r="B125" s="3">
        <v>2021</v>
      </c>
      <c r="C125" t="s">
        <v>42</v>
      </c>
      <c r="D125" t="s">
        <v>43</v>
      </c>
      <c r="E125" t="s">
        <v>43</v>
      </c>
      <c r="F125" s="4">
        <v>48918</v>
      </c>
      <c r="G125" s="4" t="s">
        <v>7</v>
      </c>
      <c r="H125" t="str">
        <f>IFERROR(VLOOKUP(E125,'GASB Match'!$A$2:$B$240,2,FALSE),"")</f>
        <v/>
      </c>
    </row>
    <row r="126" spans="1:8" x14ac:dyDescent="0.2">
      <c r="A126" t="s">
        <v>7</v>
      </c>
      <c r="B126" s="3">
        <v>2022</v>
      </c>
      <c r="C126" t="s">
        <v>42</v>
      </c>
      <c r="D126" t="s">
        <v>43</v>
      </c>
      <c r="E126" t="s">
        <v>43</v>
      </c>
      <c r="F126" s="4">
        <v>48929</v>
      </c>
      <c r="G126" s="4" t="s">
        <v>7</v>
      </c>
      <c r="H126" t="str">
        <f>IFERROR(VLOOKUP(E126,'GASB Match'!$A$2:$B$240,2,FALSE),"")</f>
        <v/>
      </c>
    </row>
    <row r="127" spans="1:8" x14ac:dyDescent="0.2">
      <c r="A127" t="s">
        <v>7</v>
      </c>
      <c r="B127" s="3">
        <v>2023</v>
      </c>
      <c r="C127" t="s">
        <v>42</v>
      </c>
      <c r="D127" t="s">
        <v>43</v>
      </c>
      <c r="E127" t="s">
        <v>43</v>
      </c>
      <c r="F127" s="4">
        <v>59207</v>
      </c>
      <c r="G127" s="4" t="s">
        <v>7</v>
      </c>
      <c r="H127" t="str">
        <f>IFERROR(VLOOKUP(E127,'GASB Match'!$A$2:$B$240,2,FALSE),"")</f>
        <v/>
      </c>
    </row>
    <row r="128" spans="1:8" x14ac:dyDescent="0.2">
      <c r="A128">
        <v>1300025</v>
      </c>
      <c r="B128" s="3">
        <v>2015</v>
      </c>
      <c r="C128" t="s">
        <v>44</v>
      </c>
      <c r="D128" t="s">
        <v>45</v>
      </c>
      <c r="E128" t="s">
        <v>45</v>
      </c>
      <c r="F128" s="4">
        <v>49401.38</v>
      </c>
      <c r="G128" s="4" t="s">
        <v>7</v>
      </c>
      <c r="H128">
        <f>IFERROR(VLOOKUP(E128,'GASB Match'!$A$2:$B$240,2,FALSE),"")</f>
        <v>1300025</v>
      </c>
    </row>
    <row r="129" spans="1:8" x14ac:dyDescent="0.2">
      <c r="A129">
        <v>1300025</v>
      </c>
      <c r="B129" s="3">
        <v>2016</v>
      </c>
      <c r="C129" t="s">
        <v>44</v>
      </c>
      <c r="D129" t="s">
        <v>45</v>
      </c>
      <c r="E129" t="s">
        <v>45</v>
      </c>
      <c r="F129" s="4">
        <v>150403.04</v>
      </c>
      <c r="G129" s="4" t="s">
        <v>7</v>
      </c>
      <c r="H129">
        <f>IFERROR(VLOOKUP(E129,'GASB Match'!$A$2:$B$240,2,FALSE),"")</f>
        <v>1300025</v>
      </c>
    </row>
    <row r="130" spans="1:8" x14ac:dyDescent="0.2">
      <c r="A130">
        <v>1300025</v>
      </c>
      <c r="B130" s="3">
        <v>2017</v>
      </c>
      <c r="C130" t="s">
        <v>44</v>
      </c>
      <c r="D130" t="s">
        <v>45</v>
      </c>
      <c r="E130" t="s">
        <v>45</v>
      </c>
      <c r="F130" s="4">
        <v>232749</v>
      </c>
      <c r="G130" s="4" t="s">
        <v>7</v>
      </c>
      <c r="H130">
        <f>IFERROR(VLOOKUP(E130,'GASB Match'!$A$2:$B$240,2,FALSE),"")</f>
        <v>1300025</v>
      </c>
    </row>
    <row r="131" spans="1:8" x14ac:dyDescent="0.2">
      <c r="A131">
        <v>1300025</v>
      </c>
      <c r="B131" s="3">
        <v>2018</v>
      </c>
      <c r="C131" t="s">
        <v>44</v>
      </c>
      <c r="D131" t="s">
        <v>45</v>
      </c>
      <c r="E131" t="s">
        <v>45</v>
      </c>
      <c r="F131" s="4">
        <v>401454</v>
      </c>
      <c r="G131" s="4" t="s">
        <v>7</v>
      </c>
      <c r="H131">
        <f>IFERROR(VLOOKUP(E131,'GASB Match'!$A$2:$B$240,2,FALSE),"")</f>
        <v>1300025</v>
      </c>
    </row>
    <row r="132" spans="1:8" x14ac:dyDescent="0.2">
      <c r="A132">
        <v>1300025</v>
      </c>
      <c r="B132" s="3">
        <v>2019</v>
      </c>
      <c r="C132" t="s">
        <v>44</v>
      </c>
      <c r="D132" t="s">
        <v>45</v>
      </c>
      <c r="E132" t="s">
        <v>45</v>
      </c>
      <c r="F132" s="4">
        <v>540222</v>
      </c>
      <c r="G132" s="4" t="s">
        <v>7</v>
      </c>
      <c r="H132">
        <f>IFERROR(VLOOKUP(E132,'GASB Match'!$A$2:$B$240,2,FALSE),"")</f>
        <v>1300025</v>
      </c>
    </row>
    <row r="133" spans="1:8" x14ac:dyDescent="0.2">
      <c r="A133">
        <v>1300025</v>
      </c>
      <c r="B133" s="3">
        <v>2020</v>
      </c>
      <c r="C133" t="s">
        <v>44</v>
      </c>
      <c r="D133" t="s">
        <v>45</v>
      </c>
      <c r="E133" t="s">
        <v>45</v>
      </c>
      <c r="F133" s="4">
        <v>440279</v>
      </c>
      <c r="G133" s="4" t="s">
        <v>7</v>
      </c>
      <c r="H133">
        <f>IFERROR(VLOOKUP(E133,'GASB Match'!$A$2:$B$240,2,FALSE),"")</f>
        <v>1300025</v>
      </c>
    </row>
    <row r="134" spans="1:8" x14ac:dyDescent="0.2">
      <c r="A134">
        <v>1300025</v>
      </c>
      <c r="B134" s="3">
        <v>2021</v>
      </c>
      <c r="C134" t="s">
        <v>44</v>
      </c>
      <c r="D134" t="s">
        <v>45</v>
      </c>
      <c r="E134" t="s">
        <v>45</v>
      </c>
      <c r="F134" s="4">
        <v>294998</v>
      </c>
      <c r="G134" s="4" t="s">
        <v>7</v>
      </c>
      <c r="H134">
        <f>IFERROR(VLOOKUP(E134,'GASB Match'!$A$2:$B$240,2,FALSE),"")</f>
        <v>1300025</v>
      </c>
    </row>
    <row r="135" spans="1:8" x14ac:dyDescent="0.2">
      <c r="A135">
        <v>1300025</v>
      </c>
      <c r="B135" s="3">
        <v>2022</v>
      </c>
      <c r="C135" t="s">
        <v>44</v>
      </c>
      <c r="D135" t="s">
        <v>45</v>
      </c>
      <c r="E135" t="s">
        <v>45</v>
      </c>
      <c r="F135" s="4">
        <v>325343</v>
      </c>
      <c r="G135" s="4" t="s">
        <v>7</v>
      </c>
      <c r="H135">
        <f>IFERROR(VLOOKUP(E135,'GASB Match'!$A$2:$B$240,2,FALSE),"")</f>
        <v>1300025</v>
      </c>
    </row>
    <row r="136" spans="1:8" x14ac:dyDescent="0.2">
      <c r="A136">
        <v>1300025</v>
      </c>
      <c r="B136" s="3">
        <v>2023</v>
      </c>
      <c r="C136" t="s">
        <v>44</v>
      </c>
      <c r="D136" t="s">
        <v>45</v>
      </c>
      <c r="E136" t="s">
        <v>45</v>
      </c>
      <c r="F136" s="4">
        <v>317056</v>
      </c>
      <c r="G136" s="4" t="s">
        <v>7</v>
      </c>
      <c r="H136">
        <f>IFERROR(VLOOKUP(E136,'GASB Match'!$A$2:$B$240,2,FALSE),"")</f>
        <v>1300025</v>
      </c>
    </row>
    <row r="137" spans="1:8" x14ac:dyDescent="0.2">
      <c r="A137" t="s">
        <v>7</v>
      </c>
      <c r="B137" s="3">
        <v>2015</v>
      </c>
      <c r="C137" t="s">
        <v>46</v>
      </c>
      <c r="D137" t="s">
        <v>48</v>
      </c>
      <c r="E137" t="s">
        <v>47</v>
      </c>
      <c r="F137" s="4">
        <v>71460.33</v>
      </c>
      <c r="G137" s="4" t="s">
        <v>7</v>
      </c>
      <c r="H137" t="str">
        <f>IFERROR(VLOOKUP(E137,'GASB Match'!$A$2:$B$240,2,FALSE),"")</f>
        <v/>
      </c>
    </row>
    <row r="138" spans="1:8" x14ac:dyDescent="0.2">
      <c r="A138" t="s">
        <v>7</v>
      </c>
      <c r="B138" s="3">
        <v>2016</v>
      </c>
      <c r="C138" t="s">
        <v>46</v>
      </c>
      <c r="D138" t="s">
        <v>48</v>
      </c>
      <c r="E138" t="s">
        <v>47</v>
      </c>
      <c r="F138" s="4">
        <v>78470.070000000007</v>
      </c>
      <c r="G138" s="4" t="s">
        <v>7</v>
      </c>
      <c r="H138" t="str">
        <f>IFERROR(VLOOKUP(E138,'GASB Match'!$A$2:$B$240,2,FALSE),"")</f>
        <v/>
      </c>
    </row>
    <row r="139" spans="1:8" x14ac:dyDescent="0.2">
      <c r="A139" t="s">
        <v>7</v>
      </c>
      <c r="B139" s="3">
        <v>2017</v>
      </c>
      <c r="C139" t="s">
        <v>46</v>
      </c>
      <c r="D139" t="s">
        <v>48</v>
      </c>
      <c r="E139" t="s">
        <v>47</v>
      </c>
      <c r="F139" s="4">
        <v>88528</v>
      </c>
      <c r="G139" s="4" t="s">
        <v>7</v>
      </c>
      <c r="H139" t="str">
        <f>IFERROR(VLOOKUP(E139,'GASB Match'!$A$2:$B$240,2,FALSE),"")</f>
        <v/>
      </c>
    </row>
    <row r="140" spans="1:8" x14ac:dyDescent="0.2">
      <c r="A140" t="s">
        <v>7</v>
      </c>
      <c r="B140" s="3">
        <v>2018</v>
      </c>
      <c r="C140" t="s">
        <v>46</v>
      </c>
      <c r="D140" t="s">
        <v>48</v>
      </c>
      <c r="E140" t="s">
        <v>47</v>
      </c>
      <c r="F140" s="4">
        <v>116732</v>
      </c>
      <c r="G140" s="4" t="s">
        <v>7</v>
      </c>
      <c r="H140" t="str">
        <f>IFERROR(VLOOKUP(E140,'GASB Match'!$A$2:$B$240,2,FALSE),"")</f>
        <v/>
      </c>
    </row>
    <row r="141" spans="1:8" x14ac:dyDescent="0.2">
      <c r="A141" t="s">
        <v>7</v>
      </c>
      <c r="B141" s="3">
        <v>2019</v>
      </c>
      <c r="C141" t="s">
        <v>46</v>
      </c>
      <c r="D141" t="s">
        <v>48</v>
      </c>
      <c r="E141" t="s">
        <v>47</v>
      </c>
      <c r="F141" s="4">
        <v>125913</v>
      </c>
      <c r="G141" s="4" t="s">
        <v>7</v>
      </c>
      <c r="H141" t="str">
        <f>IFERROR(VLOOKUP(E141,'GASB Match'!$A$2:$B$240,2,FALSE),"")</f>
        <v/>
      </c>
    </row>
    <row r="142" spans="1:8" x14ac:dyDescent="0.2">
      <c r="A142" t="s">
        <v>7</v>
      </c>
      <c r="B142" s="3">
        <v>2020</v>
      </c>
      <c r="C142" t="s">
        <v>46</v>
      </c>
      <c r="D142" t="s">
        <v>48</v>
      </c>
      <c r="E142" t="s">
        <v>47</v>
      </c>
      <c r="F142" s="4">
        <v>126433</v>
      </c>
      <c r="G142" s="4" t="s">
        <v>7</v>
      </c>
      <c r="H142" t="str">
        <f>IFERROR(VLOOKUP(E142,'GASB Match'!$A$2:$B$240,2,FALSE),"")</f>
        <v/>
      </c>
    </row>
    <row r="143" spans="1:8" x14ac:dyDescent="0.2">
      <c r="A143" t="s">
        <v>7</v>
      </c>
      <c r="B143" s="3">
        <v>2021</v>
      </c>
      <c r="C143" t="s">
        <v>46</v>
      </c>
      <c r="D143" t="s">
        <v>48</v>
      </c>
      <c r="E143" t="s">
        <v>47</v>
      </c>
      <c r="F143" s="4">
        <v>107781</v>
      </c>
      <c r="G143" s="4" t="s">
        <v>7</v>
      </c>
      <c r="H143" t="str">
        <f>IFERROR(VLOOKUP(E143,'GASB Match'!$A$2:$B$240,2,FALSE),"")</f>
        <v/>
      </c>
    </row>
    <row r="144" spans="1:8" x14ac:dyDescent="0.2">
      <c r="A144" t="s">
        <v>7</v>
      </c>
      <c r="B144" s="3">
        <v>2022</v>
      </c>
      <c r="C144" t="s">
        <v>46</v>
      </c>
      <c r="D144" t="s">
        <v>47</v>
      </c>
      <c r="E144" t="s">
        <v>47</v>
      </c>
      <c r="F144" s="4">
        <v>138484</v>
      </c>
      <c r="G144" s="4" t="s">
        <v>7</v>
      </c>
      <c r="H144" t="str">
        <f>IFERROR(VLOOKUP(E144,'GASB Match'!$A$2:$B$240,2,FALSE),"")</f>
        <v/>
      </c>
    </row>
    <row r="145" spans="1:8" x14ac:dyDescent="0.2">
      <c r="A145" t="s">
        <v>7</v>
      </c>
      <c r="B145" s="3">
        <v>2023</v>
      </c>
      <c r="C145" t="s">
        <v>46</v>
      </c>
      <c r="D145" t="s">
        <v>47</v>
      </c>
      <c r="E145" t="s">
        <v>47</v>
      </c>
      <c r="F145" s="4">
        <v>140662</v>
      </c>
      <c r="G145" s="4" t="s">
        <v>7</v>
      </c>
      <c r="H145" t="str">
        <f>IFERROR(VLOOKUP(E145,'GASB Match'!$A$2:$B$240,2,FALSE),"")</f>
        <v/>
      </c>
    </row>
    <row r="146" spans="1:8" x14ac:dyDescent="0.2">
      <c r="A146" t="s">
        <v>7</v>
      </c>
      <c r="B146" s="3">
        <v>2015</v>
      </c>
      <c r="C146" t="s">
        <v>49</v>
      </c>
      <c r="D146" t="s">
        <v>50</v>
      </c>
      <c r="E146" t="s">
        <v>50</v>
      </c>
      <c r="F146" s="4">
        <v>3412152.7</v>
      </c>
      <c r="G146" s="4" t="s">
        <v>7</v>
      </c>
      <c r="H146" t="str">
        <f>IFERROR(VLOOKUP(E146,'GASB Match'!$A$2:$B$240,2,FALSE),"")</f>
        <v/>
      </c>
    </row>
    <row r="147" spans="1:8" x14ac:dyDescent="0.2">
      <c r="A147" t="s">
        <v>7</v>
      </c>
      <c r="B147" s="3">
        <v>2016</v>
      </c>
      <c r="C147" t="s">
        <v>49</v>
      </c>
      <c r="D147" t="s">
        <v>50</v>
      </c>
      <c r="E147" t="s">
        <v>50</v>
      </c>
      <c r="F147" s="4">
        <v>4035643.09</v>
      </c>
      <c r="G147" s="4" t="s">
        <v>7</v>
      </c>
      <c r="H147" t="str">
        <f>IFERROR(VLOOKUP(E147,'GASB Match'!$A$2:$B$240,2,FALSE),"")</f>
        <v/>
      </c>
    </row>
    <row r="148" spans="1:8" x14ac:dyDescent="0.2">
      <c r="A148" t="s">
        <v>7</v>
      </c>
      <c r="B148" s="3">
        <v>2017</v>
      </c>
      <c r="C148" t="s">
        <v>49</v>
      </c>
      <c r="D148" t="s">
        <v>50</v>
      </c>
      <c r="E148" t="s">
        <v>50</v>
      </c>
      <c r="F148" s="4">
        <v>4351427</v>
      </c>
      <c r="G148" s="4" t="s">
        <v>7</v>
      </c>
      <c r="H148" t="str">
        <f>IFERROR(VLOOKUP(E148,'GASB Match'!$A$2:$B$240,2,FALSE),"")</f>
        <v/>
      </c>
    </row>
    <row r="149" spans="1:8" x14ac:dyDescent="0.2">
      <c r="A149" t="s">
        <v>7</v>
      </c>
      <c r="B149" s="3">
        <v>2018</v>
      </c>
      <c r="C149" t="s">
        <v>49</v>
      </c>
      <c r="D149" t="s">
        <v>50</v>
      </c>
      <c r="E149" t="s">
        <v>50</v>
      </c>
      <c r="F149" s="4">
        <v>5431138</v>
      </c>
      <c r="G149" s="4" t="s">
        <v>7</v>
      </c>
      <c r="H149" t="str">
        <f>IFERROR(VLOOKUP(E149,'GASB Match'!$A$2:$B$240,2,FALSE),"")</f>
        <v/>
      </c>
    </row>
    <row r="150" spans="1:8" x14ac:dyDescent="0.2">
      <c r="A150" t="s">
        <v>7</v>
      </c>
      <c r="B150" s="3">
        <v>2019</v>
      </c>
      <c r="C150" t="s">
        <v>49</v>
      </c>
      <c r="D150" t="s">
        <v>50</v>
      </c>
      <c r="E150" t="s">
        <v>50</v>
      </c>
      <c r="F150" s="4">
        <v>6770362</v>
      </c>
      <c r="G150" s="4" t="s">
        <v>7</v>
      </c>
      <c r="H150" t="str">
        <f>IFERROR(VLOOKUP(E150,'GASB Match'!$A$2:$B$240,2,FALSE),"")</f>
        <v/>
      </c>
    </row>
    <row r="151" spans="1:8" x14ac:dyDescent="0.2">
      <c r="A151" t="s">
        <v>7</v>
      </c>
      <c r="B151" s="3">
        <v>2020</v>
      </c>
      <c r="C151" t="s">
        <v>49</v>
      </c>
      <c r="D151" t="s">
        <v>50</v>
      </c>
      <c r="E151" t="s">
        <v>50</v>
      </c>
      <c r="F151" s="4">
        <v>6996302</v>
      </c>
      <c r="G151" s="4" t="s">
        <v>7</v>
      </c>
      <c r="H151" t="str">
        <f>IFERROR(VLOOKUP(E151,'GASB Match'!$A$2:$B$240,2,FALSE),"")</f>
        <v/>
      </c>
    </row>
    <row r="152" spans="1:8" x14ac:dyDescent="0.2">
      <c r="A152" t="s">
        <v>7</v>
      </c>
      <c r="B152" s="3">
        <v>2021</v>
      </c>
      <c r="C152" t="s">
        <v>49</v>
      </c>
      <c r="D152" t="s">
        <v>50</v>
      </c>
      <c r="E152" t="s">
        <v>50</v>
      </c>
      <c r="F152" s="4">
        <v>6225046</v>
      </c>
      <c r="G152" s="4" t="s">
        <v>7</v>
      </c>
      <c r="H152" t="str">
        <f>IFERROR(VLOOKUP(E152,'GASB Match'!$A$2:$B$240,2,FALSE),"")</f>
        <v/>
      </c>
    </row>
    <row r="153" spans="1:8" x14ac:dyDescent="0.2">
      <c r="A153" t="s">
        <v>7</v>
      </c>
      <c r="B153" s="3">
        <v>2022</v>
      </c>
      <c r="C153" t="s">
        <v>49</v>
      </c>
      <c r="D153" t="s">
        <v>50</v>
      </c>
      <c r="E153" t="s">
        <v>50</v>
      </c>
      <c r="F153" s="4">
        <v>6461428</v>
      </c>
      <c r="G153" s="4" t="s">
        <v>7</v>
      </c>
      <c r="H153" t="str">
        <f>IFERROR(VLOOKUP(E153,'GASB Match'!$A$2:$B$240,2,FALSE),"")</f>
        <v/>
      </c>
    </row>
    <row r="154" spans="1:8" x14ac:dyDescent="0.2">
      <c r="A154" t="s">
        <v>7</v>
      </c>
      <c r="B154" s="3">
        <v>2023</v>
      </c>
      <c r="C154" t="s">
        <v>49</v>
      </c>
      <c r="D154" t="s">
        <v>50</v>
      </c>
      <c r="E154" t="s">
        <v>50</v>
      </c>
      <c r="F154" s="4">
        <v>6792095</v>
      </c>
      <c r="G154" s="4" t="s">
        <v>7</v>
      </c>
      <c r="H154" t="str">
        <f>IFERROR(VLOOKUP(E154,'GASB Match'!$A$2:$B$240,2,FALSE),"")</f>
        <v/>
      </c>
    </row>
    <row r="155" spans="1:8" x14ac:dyDescent="0.2">
      <c r="A155" t="s">
        <v>7</v>
      </c>
      <c r="B155" s="3">
        <v>2015</v>
      </c>
      <c r="C155" t="s">
        <v>51</v>
      </c>
      <c r="D155" t="s">
        <v>52</v>
      </c>
      <c r="E155" t="s">
        <v>52</v>
      </c>
      <c r="F155" s="4">
        <v>4339.5600000000004</v>
      </c>
      <c r="G155" s="4" t="s">
        <v>7</v>
      </c>
      <c r="H155" t="str">
        <f>IFERROR(VLOOKUP(E155,'GASB Match'!$A$2:$B$240,2,FALSE),"")</f>
        <v/>
      </c>
    </row>
    <row r="156" spans="1:8" x14ac:dyDescent="0.2">
      <c r="A156" t="s">
        <v>7</v>
      </c>
      <c r="B156" s="3">
        <v>2016</v>
      </c>
      <c r="C156" t="s">
        <v>51</v>
      </c>
      <c r="D156" t="s">
        <v>52</v>
      </c>
      <c r="E156" t="s">
        <v>52</v>
      </c>
      <c r="F156" s="4">
        <v>4709.16</v>
      </c>
      <c r="G156" s="4" t="s">
        <v>7</v>
      </c>
      <c r="H156" t="str">
        <f>IFERROR(VLOOKUP(E156,'GASB Match'!$A$2:$B$240,2,FALSE),"")</f>
        <v/>
      </c>
    </row>
    <row r="157" spans="1:8" x14ac:dyDescent="0.2">
      <c r="A157" t="s">
        <v>7</v>
      </c>
      <c r="B157" s="3">
        <v>2017</v>
      </c>
      <c r="C157" t="s">
        <v>51</v>
      </c>
      <c r="D157" t="s">
        <v>52</v>
      </c>
      <c r="E157" t="s">
        <v>52</v>
      </c>
      <c r="F157" s="4">
        <v>4935</v>
      </c>
      <c r="G157" s="4" t="s">
        <v>7</v>
      </c>
      <c r="H157" t="str">
        <f>IFERROR(VLOOKUP(E157,'GASB Match'!$A$2:$B$240,2,FALSE),"")</f>
        <v/>
      </c>
    </row>
    <row r="158" spans="1:8" x14ac:dyDescent="0.2">
      <c r="A158" t="s">
        <v>7</v>
      </c>
      <c r="B158" s="3">
        <v>2018</v>
      </c>
      <c r="C158" t="s">
        <v>51</v>
      </c>
      <c r="D158" t="s">
        <v>52</v>
      </c>
      <c r="E158" t="s">
        <v>52</v>
      </c>
      <c r="F158" s="4">
        <v>12677</v>
      </c>
      <c r="G158" s="4" t="s">
        <v>7</v>
      </c>
      <c r="H158" t="str">
        <f>IFERROR(VLOOKUP(E158,'GASB Match'!$A$2:$B$240,2,FALSE),"")</f>
        <v/>
      </c>
    </row>
    <row r="159" spans="1:8" x14ac:dyDescent="0.2">
      <c r="A159" t="s">
        <v>7</v>
      </c>
      <c r="B159" s="3">
        <v>2019</v>
      </c>
      <c r="C159" t="s">
        <v>51</v>
      </c>
      <c r="D159" t="s">
        <v>52</v>
      </c>
      <c r="E159" t="s">
        <v>52</v>
      </c>
      <c r="F159" s="4">
        <v>15762</v>
      </c>
      <c r="G159" s="4" t="s">
        <v>7</v>
      </c>
      <c r="H159" t="str">
        <f>IFERROR(VLOOKUP(E159,'GASB Match'!$A$2:$B$240,2,FALSE),"")</f>
        <v/>
      </c>
    </row>
    <row r="160" spans="1:8" x14ac:dyDescent="0.2">
      <c r="A160" t="s">
        <v>7</v>
      </c>
      <c r="B160" s="3">
        <v>2020</v>
      </c>
      <c r="C160" t="s">
        <v>51</v>
      </c>
      <c r="D160" t="s">
        <v>52</v>
      </c>
      <c r="E160" t="s">
        <v>52</v>
      </c>
      <c r="F160" s="4">
        <v>17129</v>
      </c>
      <c r="G160" s="4" t="s">
        <v>7</v>
      </c>
      <c r="H160" t="str">
        <f>IFERROR(VLOOKUP(E160,'GASB Match'!$A$2:$B$240,2,FALSE),"")</f>
        <v/>
      </c>
    </row>
    <row r="161" spans="1:8" x14ac:dyDescent="0.2">
      <c r="A161" t="s">
        <v>7</v>
      </c>
      <c r="B161" s="3">
        <v>2021</v>
      </c>
      <c r="C161" t="s">
        <v>51</v>
      </c>
      <c r="D161" t="s">
        <v>52</v>
      </c>
      <c r="E161" t="s">
        <v>52</v>
      </c>
      <c r="F161" s="4">
        <v>18041</v>
      </c>
      <c r="G161" s="4" t="s">
        <v>7</v>
      </c>
      <c r="H161" t="str">
        <f>IFERROR(VLOOKUP(E161,'GASB Match'!$A$2:$B$240,2,FALSE),"")</f>
        <v/>
      </c>
    </row>
    <row r="162" spans="1:8" x14ac:dyDescent="0.2">
      <c r="A162" t="s">
        <v>7</v>
      </c>
      <c r="B162" s="3">
        <v>2022</v>
      </c>
      <c r="C162" t="s">
        <v>51</v>
      </c>
      <c r="D162" t="s">
        <v>52</v>
      </c>
      <c r="E162" t="s">
        <v>52</v>
      </c>
      <c r="F162" s="4">
        <v>18916</v>
      </c>
      <c r="G162" s="4" t="s">
        <v>7</v>
      </c>
      <c r="H162" t="str">
        <f>IFERROR(VLOOKUP(E162,'GASB Match'!$A$2:$B$240,2,FALSE),"")</f>
        <v/>
      </c>
    </row>
    <row r="163" spans="1:8" x14ac:dyDescent="0.2">
      <c r="A163" t="s">
        <v>7</v>
      </c>
      <c r="B163" s="3">
        <v>2023</v>
      </c>
      <c r="C163" t="s">
        <v>51</v>
      </c>
      <c r="D163" t="s">
        <v>52</v>
      </c>
      <c r="E163" t="s">
        <v>52</v>
      </c>
      <c r="F163" s="4">
        <v>12693</v>
      </c>
      <c r="G163" s="4" t="s">
        <v>7</v>
      </c>
      <c r="H163" t="str">
        <f>IFERROR(VLOOKUP(E163,'GASB Match'!$A$2:$B$240,2,FALSE),"")</f>
        <v/>
      </c>
    </row>
    <row r="164" spans="1:8" x14ac:dyDescent="0.2">
      <c r="A164" t="s">
        <v>7</v>
      </c>
      <c r="B164" s="3">
        <v>2015</v>
      </c>
      <c r="C164" t="s">
        <v>53</v>
      </c>
      <c r="D164" t="s">
        <v>54</v>
      </c>
      <c r="E164" t="s">
        <v>54</v>
      </c>
      <c r="F164" s="4">
        <v>10877.21</v>
      </c>
      <c r="G164" s="4" t="s">
        <v>7</v>
      </c>
      <c r="H164" t="str">
        <f>IFERROR(VLOOKUP(E164,'GASB Match'!$A$2:$B$240,2,FALSE),"")</f>
        <v/>
      </c>
    </row>
    <row r="165" spans="1:8" x14ac:dyDescent="0.2">
      <c r="A165" t="s">
        <v>7</v>
      </c>
      <c r="B165" s="3">
        <v>2016</v>
      </c>
      <c r="C165" t="s">
        <v>53</v>
      </c>
      <c r="D165" t="s">
        <v>54</v>
      </c>
      <c r="E165" t="s">
        <v>54</v>
      </c>
      <c r="F165" s="4">
        <v>11772.75</v>
      </c>
      <c r="G165" s="4" t="s">
        <v>7</v>
      </c>
      <c r="H165" t="str">
        <f>IFERROR(VLOOKUP(E165,'GASB Match'!$A$2:$B$240,2,FALSE),"")</f>
        <v/>
      </c>
    </row>
    <row r="166" spans="1:8" x14ac:dyDescent="0.2">
      <c r="A166" t="s">
        <v>7</v>
      </c>
      <c r="B166" s="3">
        <v>2017</v>
      </c>
      <c r="C166" t="s">
        <v>53</v>
      </c>
      <c r="D166" t="s">
        <v>54</v>
      </c>
      <c r="E166" t="s">
        <v>54</v>
      </c>
      <c r="F166" s="4">
        <v>13900</v>
      </c>
      <c r="G166" s="4" t="s">
        <v>7</v>
      </c>
      <c r="H166" t="str">
        <f>IFERROR(VLOOKUP(E166,'GASB Match'!$A$2:$B$240,2,FALSE),"")</f>
        <v/>
      </c>
    </row>
    <row r="167" spans="1:8" x14ac:dyDescent="0.2">
      <c r="A167" t="s">
        <v>7</v>
      </c>
      <c r="B167" s="3">
        <v>2018</v>
      </c>
      <c r="C167" t="s">
        <v>53</v>
      </c>
      <c r="D167" t="s">
        <v>54</v>
      </c>
      <c r="E167" t="s">
        <v>54</v>
      </c>
      <c r="F167" s="4">
        <v>17793</v>
      </c>
      <c r="G167" s="4" t="s">
        <v>7</v>
      </c>
      <c r="H167" t="str">
        <f>IFERROR(VLOOKUP(E167,'GASB Match'!$A$2:$B$240,2,FALSE),"")</f>
        <v/>
      </c>
    </row>
    <row r="168" spans="1:8" x14ac:dyDescent="0.2">
      <c r="A168" t="s">
        <v>7</v>
      </c>
      <c r="B168" s="3">
        <v>2019</v>
      </c>
      <c r="C168" t="s">
        <v>53</v>
      </c>
      <c r="D168" t="s">
        <v>54</v>
      </c>
      <c r="E168" t="s">
        <v>54</v>
      </c>
      <c r="F168" s="4">
        <v>22842</v>
      </c>
      <c r="G168" s="4" t="s">
        <v>7</v>
      </c>
      <c r="H168" t="str">
        <f>IFERROR(VLOOKUP(E168,'GASB Match'!$A$2:$B$240,2,FALSE),"")</f>
        <v/>
      </c>
    </row>
    <row r="169" spans="1:8" x14ac:dyDescent="0.2">
      <c r="A169" t="s">
        <v>7</v>
      </c>
      <c r="B169" s="3">
        <v>2020</v>
      </c>
      <c r="C169" t="s">
        <v>53</v>
      </c>
      <c r="D169" t="s">
        <v>54</v>
      </c>
      <c r="E169" t="s">
        <v>54</v>
      </c>
      <c r="F169" s="4">
        <v>23567</v>
      </c>
      <c r="G169" s="4" t="s">
        <v>7</v>
      </c>
      <c r="H169" t="str">
        <f>IFERROR(VLOOKUP(E169,'GASB Match'!$A$2:$B$240,2,FALSE),"")</f>
        <v/>
      </c>
    </row>
    <row r="170" spans="1:8" x14ac:dyDescent="0.2">
      <c r="A170" t="s">
        <v>7</v>
      </c>
      <c r="B170" s="3">
        <v>2021</v>
      </c>
      <c r="C170" t="s">
        <v>53</v>
      </c>
      <c r="D170" t="s">
        <v>54</v>
      </c>
      <c r="E170" t="s">
        <v>54</v>
      </c>
      <c r="F170" s="4">
        <v>21248</v>
      </c>
      <c r="G170" s="4" t="s">
        <v>7</v>
      </c>
      <c r="H170" t="str">
        <f>IFERROR(VLOOKUP(E170,'GASB Match'!$A$2:$B$240,2,FALSE),"")</f>
        <v/>
      </c>
    </row>
    <row r="171" spans="1:8" x14ac:dyDescent="0.2">
      <c r="A171" t="s">
        <v>7</v>
      </c>
      <c r="B171" s="3">
        <v>2022</v>
      </c>
      <c r="C171" t="s">
        <v>53</v>
      </c>
      <c r="D171" t="s">
        <v>54</v>
      </c>
      <c r="E171" t="s">
        <v>54</v>
      </c>
      <c r="F171" s="4">
        <v>23270</v>
      </c>
      <c r="G171" s="4" t="s">
        <v>7</v>
      </c>
      <c r="H171" t="str">
        <f>IFERROR(VLOOKUP(E171,'GASB Match'!$A$2:$B$240,2,FALSE),"")</f>
        <v/>
      </c>
    </row>
    <row r="172" spans="1:8" x14ac:dyDescent="0.2">
      <c r="A172" t="s">
        <v>7</v>
      </c>
      <c r="B172" s="3">
        <v>2015</v>
      </c>
      <c r="C172" t="s">
        <v>55</v>
      </c>
      <c r="D172" t="s">
        <v>56</v>
      </c>
      <c r="E172" t="s">
        <v>56</v>
      </c>
      <c r="F172" s="4">
        <v>42410.17</v>
      </c>
      <c r="G172" s="4" t="s">
        <v>7</v>
      </c>
      <c r="H172" t="str">
        <f>IFERROR(VLOOKUP(E172,'GASB Match'!$A$2:$B$240,2,FALSE),"")</f>
        <v/>
      </c>
    </row>
    <row r="173" spans="1:8" x14ac:dyDescent="0.2">
      <c r="A173" t="s">
        <v>7</v>
      </c>
      <c r="B173" s="3">
        <v>2016</v>
      </c>
      <c r="C173" t="s">
        <v>55</v>
      </c>
      <c r="D173" t="s">
        <v>56</v>
      </c>
      <c r="E173" t="s">
        <v>56</v>
      </c>
      <c r="F173" s="4">
        <v>56081.54</v>
      </c>
      <c r="G173" s="4" t="s">
        <v>7</v>
      </c>
      <c r="H173" t="str">
        <f>IFERROR(VLOOKUP(E173,'GASB Match'!$A$2:$B$240,2,FALSE),"")</f>
        <v/>
      </c>
    </row>
    <row r="174" spans="1:8" x14ac:dyDescent="0.2">
      <c r="A174" t="s">
        <v>7</v>
      </c>
      <c r="B174" s="3">
        <v>2017</v>
      </c>
      <c r="C174" t="s">
        <v>55</v>
      </c>
      <c r="D174" t="s">
        <v>56</v>
      </c>
      <c r="E174" t="s">
        <v>56</v>
      </c>
      <c r="F174" s="4">
        <v>62847</v>
      </c>
      <c r="G174" s="4" t="s">
        <v>7</v>
      </c>
      <c r="H174" t="str">
        <f>IFERROR(VLOOKUP(E174,'GASB Match'!$A$2:$B$240,2,FALSE),"")</f>
        <v/>
      </c>
    </row>
    <row r="175" spans="1:8" x14ac:dyDescent="0.2">
      <c r="A175" t="s">
        <v>7</v>
      </c>
      <c r="B175" s="3">
        <v>2018</v>
      </c>
      <c r="C175" t="s">
        <v>55</v>
      </c>
      <c r="D175" t="s">
        <v>56</v>
      </c>
      <c r="E175" t="s">
        <v>56</v>
      </c>
      <c r="F175" s="4">
        <v>78294</v>
      </c>
      <c r="G175" s="4" t="s">
        <v>7</v>
      </c>
      <c r="H175" t="str">
        <f>IFERROR(VLOOKUP(E175,'GASB Match'!$A$2:$B$240,2,FALSE),"")</f>
        <v/>
      </c>
    </row>
    <row r="176" spans="1:8" x14ac:dyDescent="0.2">
      <c r="A176" t="s">
        <v>7</v>
      </c>
      <c r="B176" s="3">
        <v>2019</v>
      </c>
      <c r="C176" t="s">
        <v>55</v>
      </c>
      <c r="D176" t="s">
        <v>56</v>
      </c>
      <c r="E176" t="s">
        <v>56</v>
      </c>
      <c r="F176" s="4">
        <v>119720</v>
      </c>
      <c r="G176" s="4" t="s">
        <v>7</v>
      </c>
      <c r="H176" t="str">
        <f>IFERROR(VLOOKUP(E176,'GASB Match'!$A$2:$B$240,2,FALSE),"")</f>
        <v/>
      </c>
    </row>
    <row r="177" spans="1:8" x14ac:dyDescent="0.2">
      <c r="A177" t="s">
        <v>7</v>
      </c>
      <c r="B177" s="3">
        <v>2020</v>
      </c>
      <c r="C177" t="s">
        <v>55</v>
      </c>
      <c r="D177" t="s">
        <v>56</v>
      </c>
      <c r="E177" t="s">
        <v>56</v>
      </c>
      <c r="F177" s="4">
        <v>141350</v>
      </c>
      <c r="G177" s="4" t="s">
        <v>7</v>
      </c>
      <c r="H177" t="str">
        <f>IFERROR(VLOOKUP(E177,'GASB Match'!$A$2:$B$240,2,FALSE),"")</f>
        <v/>
      </c>
    </row>
    <row r="178" spans="1:8" x14ac:dyDescent="0.2">
      <c r="A178" t="s">
        <v>7</v>
      </c>
      <c r="B178" s="3">
        <v>2021</v>
      </c>
      <c r="C178" t="s">
        <v>55</v>
      </c>
      <c r="D178" t="s">
        <v>56</v>
      </c>
      <c r="E178" t="s">
        <v>56</v>
      </c>
      <c r="F178" s="4">
        <v>127310</v>
      </c>
      <c r="G178" s="4" t="s">
        <v>7</v>
      </c>
      <c r="H178" t="str">
        <f>IFERROR(VLOOKUP(E178,'GASB Match'!$A$2:$B$240,2,FALSE),"")</f>
        <v/>
      </c>
    </row>
    <row r="179" spans="1:8" x14ac:dyDescent="0.2">
      <c r="A179" t="s">
        <v>7</v>
      </c>
      <c r="B179" s="3">
        <v>2022</v>
      </c>
      <c r="C179" t="s">
        <v>55</v>
      </c>
      <c r="D179" t="s">
        <v>56</v>
      </c>
      <c r="E179" t="s">
        <v>56</v>
      </c>
      <c r="F179" s="4">
        <v>136929</v>
      </c>
      <c r="G179" s="4" t="s">
        <v>7</v>
      </c>
      <c r="H179" t="str">
        <f>IFERROR(VLOOKUP(E179,'GASB Match'!$A$2:$B$240,2,FALSE),"")</f>
        <v/>
      </c>
    </row>
    <row r="180" spans="1:8" x14ac:dyDescent="0.2">
      <c r="A180" t="s">
        <v>7</v>
      </c>
      <c r="B180" s="3">
        <v>2023</v>
      </c>
      <c r="C180" t="s">
        <v>55</v>
      </c>
      <c r="D180" t="s">
        <v>56</v>
      </c>
      <c r="E180" t="s">
        <v>56</v>
      </c>
      <c r="F180" s="4">
        <v>140023</v>
      </c>
      <c r="G180" s="4" t="s">
        <v>7</v>
      </c>
      <c r="H180" t="str">
        <f>IFERROR(VLOOKUP(E180,'GASB Match'!$A$2:$B$240,2,FALSE),"")</f>
        <v/>
      </c>
    </row>
    <row r="181" spans="1:8" x14ac:dyDescent="0.2">
      <c r="A181" t="s">
        <v>7</v>
      </c>
      <c r="B181" s="3">
        <v>2015</v>
      </c>
      <c r="C181" t="s">
        <v>57</v>
      </c>
      <c r="D181" t="s">
        <v>58</v>
      </c>
      <c r="E181" t="s">
        <v>58</v>
      </c>
      <c r="F181" s="4">
        <v>7570.44</v>
      </c>
      <c r="G181" s="4" t="s">
        <v>7</v>
      </c>
      <c r="H181" t="str">
        <f>IFERROR(VLOOKUP(E181,'GASB Match'!$A$2:$B$240,2,FALSE),"")</f>
        <v/>
      </c>
    </row>
    <row r="182" spans="1:8" x14ac:dyDescent="0.2">
      <c r="A182" t="s">
        <v>7</v>
      </c>
      <c r="B182" s="3">
        <v>2016</v>
      </c>
      <c r="C182" t="s">
        <v>57</v>
      </c>
      <c r="D182" t="s">
        <v>58</v>
      </c>
      <c r="E182" t="s">
        <v>58</v>
      </c>
      <c r="F182" s="4">
        <v>9214.92</v>
      </c>
      <c r="G182" s="4" t="s">
        <v>7</v>
      </c>
      <c r="H182" t="str">
        <f>IFERROR(VLOOKUP(E182,'GASB Match'!$A$2:$B$240,2,FALSE),"")</f>
        <v/>
      </c>
    </row>
    <row r="183" spans="1:8" x14ac:dyDescent="0.2">
      <c r="A183" t="s">
        <v>7</v>
      </c>
      <c r="B183" s="3">
        <v>2017</v>
      </c>
      <c r="C183" t="s">
        <v>57</v>
      </c>
      <c r="D183" t="s">
        <v>58</v>
      </c>
      <c r="E183" t="s">
        <v>58</v>
      </c>
      <c r="F183" s="4">
        <v>9491</v>
      </c>
      <c r="G183" s="4" t="s">
        <v>7</v>
      </c>
      <c r="H183" t="str">
        <f>IFERROR(VLOOKUP(E183,'GASB Match'!$A$2:$B$240,2,FALSE),"")</f>
        <v/>
      </c>
    </row>
    <row r="184" spans="1:8" x14ac:dyDescent="0.2">
      <c r="A184" t="s">
        <v>7</v>
      </c>
      <c r="B184" s="3">
        <v>2018</v>
      </c>
      <c r="C184" t="s">
        <v>57</v>
      </c>
      <c r="D184" t="s">
        <v>58</v>
      </c>
      <c r="E184" t="s">
        <v>58</v>
      </c>
      <c r="F184" s="4">
        <v>18969</v>
      </c>
      <c r="G184" s="4" t="s">
        <v>7</v>
      </c>
      <c r="H184" t="str">
        <f>IFERROR(VLOOKUP(E184,'GASB Match'!$A$2:$B$240,2,FALSE),"")</f>
        <v/>
      </c>
    </row>
    <row r="185" spans="1:8" x14ac:dyDescent="0.2">
      <c r="A185" t="s">
        <v>7</v>
      </c>
      <c r="B185" s="3">
        <v>2019</v>
      </c>
      <c r="C185" t="s">
        <v>57</v>
      </c>
      <c r="D185" t="s">
        <v>58</v>
      </c>
      <c r="E185" t="s">
        <v>58</v>
      </c>
      <c r="F185" s="4">
        <v>32291</v>
      </c>
      <c r="G185" s="4" t="s">
        <v>7</v>
      </c>
      <c r="H185" t="str">
        <f>IFERROR(VLOOKUP(E185,'GASB Match'!$A$2:$B$240,2,FALSE),"")</f>
        <v/>
      </c>
    </row>
    <row r="186" spans="1:8" x14ac:dyDescent="0.2">
      <c r="A186" t="s">
        <v>7</v>
      </c>
      <c r="B186" s="3">
        <v>2020</v>
      </c>
      <c r="C186" t="s">
        <v>57</v>
      </c>
      <c r="D186" t="s">
        <v>58</v>
      </c>
      <c r="E186" t="s">
        <v>58</v>
      </c>
      <c r="F186" s="4">
        <v>34717</v>
      </c>
      <c r="G186" s="4" t="s">
        <v>7</v>
      </c>
      <c r="H186" t="str">
        <f>IFERROR(VLOOKUP(E186,'GASB Match'!$A$2:$B$240,2,FALSE),"")</f>
        <v/>
      </c>
    </row>
    <row r="187" spans="1:8" x14ac:dyDescent="0.2">
      <c r="A187" t="s">
        <v>7</v>
      </c>
      <c r="B187" s="3">
        <v>2021</v>
      </c>
      <c r="C187" t="s">
        <v>57</v>
      </c>
      <c r="D187" t="s">
        <v>58</v>
      </c>
      <c r="E187" t="s">
        <v>58</v>
      </c>
      <c r="F187" s="4">
        <v>35604</v>
      </c>
      <c r="G187" s="4" t="s">
        <v>7</v>
      </c>
      <c r="H187" t="str">
        <f>IFERROR(VLOOKUP(E187,'GASB Match'!$A$2:$B$240,2,FALSE),"")</f>
        <v/>
      </c>
    </row>
    <row r="188" spans="1:8" x14ac:dyDescent="0.2">
      <c r="A188" t="s">
        <v>7</v>
      </c>
      <c r="B188" s="3">
        <v>2022</v>
      </c>
      <c r="C188" t="s">
        <v>57</v>
      </c>
      <c r="D188" t="s">
        <v>58</v>
      </c>
      <c r="E188" t="s">
        <v>58</v>
      </c>
      <c r="F188" s="4">
        <v>37500</v>
      </c>
      <c r="G188" s="4" t="s">
        <v>7</v>
      </c>
      <c r="H188" t="str">
        <f>IFERROR(VLOOKUP(E188,'GASB Match'!$A$2:$B$240,2,FALSE),"")</f>
        <v/>
      </c>
    </row>
    <row r="189" spans="1:8" x14ac:dyDescent="0.2">
      <c r="A189" t="s">
        <v>7</v>
      </c>
      <c r="B189" s="3">
        <v>2023</v>
      </c>
      <c r="C189" t="s">
        <v>57</v>
      </c>
      <c r="D189" t="s">
        <v>58</v>
      </c>
      <c r="E189" t="s">
        <v>58</v>
      </c>
      <c r="F189" s="4">
        <v>40253</v>
      </c>
      <c r="G189" s="4" t="s">
        <v>7</v>
      </c>
      <c r="H189" t="str">
        <f>IFERROR(VLOOKUP(E189,'GASB Match'!$A$2:$B$240,2,FALSE),"")</f>
        <v/>
      </c>
    </row>
    <row r="190" spans="1:8" x14ac:dyDescent="0.2">
      <c r="A190" t="s">
        <v>7</v>
      </c>
      <c r="B190" s="3">
        <v>2015</v>
      </c>
      <c r="C190" t="s">
        <v>59</v>
      </c>
      <c r="D190" t="s">
        <v>61</v>
      </c>
      <c r="E190" t="s">
        <v>60</v>
      </c>
      <c r="F190" s="4">
        <v>8742.1200000000008</v>
      </c>
      <c r="G190" s="4" t="s">
        <v>7</v>
      </c>
      <c r="H190" t="str">
        <f>IFERROR(VLOOKUP(E190,'GASB Match'!$A$2:$B$240,2,FALSE),"")</f>
        <v/>
      </c>
    </row>
    <row r="191" spans="1:8" x14ac:dyDescent="0.2">
      <c r="A191" t="s">
        <v>7</v>
      </c>
      <c r="B191" s="3">
        <v>2016</v>
      </c>
      <c r="C191" t="s">
        <v>59</v>
      </c>
      <c r="D191" t="s">
        <v>61</v>
      </c>
      <c r="E191" t="s">
        <v>60</v>
      </c>
      <c r="F191" s="4">
        <v>5165.76</v>
      </c>
      <c r="G191" s="4" t="s">
        <v>7</v>
      </c>
      <c r="H191" t="str">
        <f>IFERROR(VLOOKUP(E191,'GASB Match'!$A$2:$B$240,2,FALSE),"")</f>
        <v/>
      </c>
    </row>
    <row r="192" spans="1:8" x14ac:dyDescent="0.2">
      <c r="A192" t="s">
        <v>7</v>
      </c>
      <c r="B192" s="3">
        <v>2017</v>
      </c>
      <c r="C192" t="s">
        <v>59</v>
      </c>
      <c r="D192" t="s">
        <v>61</v>
      </c>
      <c r="E192" t="s">
        <v>60</v>
      </c>
      <c r="F192" s="4">
        <v>13798</v>
      </c>
      <c r="G192" s="4" t="s">
        <v>7</v>
      </c>
      <c r="H192" t="str">
        <f>IFERROR(VLOOKUP(E192,'GASB Match'!$A$2:$B$240,2,FALSE),"")</f>
        <v/>
      </c>
    </row>
    <row r="193" spans="1:8" x14ac:dyDescent="0.2">
      <c r="A193" t="s">
        <v>7</v>
      </c>
      <c r="B193" s="3">
        <v>2018</v>
      </c>
      <c r="C193" t="s">
        <v>59</v>
      </c>
      <c r="D193" t="s">
        <v>61</v>
      </c>
      <c r="E193" t="s">
        <v>60</v>
      </c>
      <c r="F193" s="4">
        <v>21124</v>
      </c>
      <c r="G193" s="4" t="s">
        <v>7</v>
      </c>
      <c r="H193" t="str">
        <f>IFERROR(VLOOKUP(E193,'GASB Match'!$A$2:$B$240,2,FALSE),"")</f>
        <v/>
      </c>
    </row>
    <row r="194" spans="1:8" x14ac:dyDescent="0.2">
      <c r="A194" t="s">
        <v>7</v>
      </c>
      <c r="B194" s="3">
        <v>2019</v>
      </c>
      <c r="C194" t="s">
        <v>59</v>
      </c>
      <c r="D194" t="s">
        <v>61</v>
      </c>
      <c r="E194" t="s">
        <v>60</v>
      </c>
      <c r="F194" s="4">
        <v>24494</v>
      </c>
      <c r="G194" s="4" t="s">
        <v>7</v>
      </c>
      <c r="H194" t="str">
        <f>IFERROR(VLOOKUP(E194,'GASB Match'!$A$2:$B$240,2,FALSE),"")</f>
        <v/>
      </c>
    </row>
    <row r="195" spans="1:8" x14ac:dyDescent="0.2">
      <c r="A195" t="s">
        <v>7</v>
      </c>
      <c r="B195" s="3">
        <v>2020</v>
      </c>
      <c r="C195" t="s">
        <v>59</v>
      </c>
      <c r="D195" t="s">
        <v>61</v>
      </c>
      <c r="E195" t="s">
        <v>60</v>
      </c>
      <c r="F195" s="4">
        <v>19299</v>
      </c>
      <c r="G195" s="4" t="s">
        <v>7</v>
      </c>
      <c r="H195" t="str">
        <f>IFERROR(VLOOKUP(E195,'GASB Match'!$A$2:$B$240,2,FALSE),"")</f>
        <v/>
      </c>
    </row>
    <row r="196" spans="1:8" x14ac:dyDescent="0.2">
      <c r="A196" t="s">
        <v>7</v>
      </c>
      <c r="B196" s="3">
        <v>2021</v>
      </c>
      <c r="C196" t="s">
        <v>59</v>
      </c>
      <c r="D196" t="s">
        <v>61</v>
      </c>
      <c r="E196" t="s">
        <v>60</v>
      </c>
      <c r="F196" s="4">
        <v>17834</v>
      </c>
      <c r="G196" s="4" t="s">
        <v>7</v>
      </c>
      <c r="H196" t="str">
        <f>IFERROR(VLOOKUP(E196,'GASB Match'!$A$2:$B$240,2,FALSE),"")</f>
        <v/>
      </c>
    </row>
    <row r="197" spans="1:8" x14ac:dyDescent="0.2">
      <c r="A197" t="s">
        <v>7</v>
      </c>
      <c r="B197" s="3">
        <v>2022</v>
      </c>
      <c r="C197" t="s">
        <v>59</v>
      </c>
      <c r="D197" t="s">
        <v>60</v>
      </c>
      <c r="E197" t="s">
        <v>60</v>
      </c>
      <c r="F197" s="4">
        <v>18612</v>
      </c>
      <c r="G197" s="4" t="s">
        <v>7</v>
      </c>
      <c r="H197" t="str">
        <f>IFERROR(VLOOKUP(E197,'GASB Match'!$A$2:$B$240,2,FALSE),"")</f>
        <v/>
      </c>
    </row>
    <row r="198" spans="1:8" x14ac:dyDescent="0.2">
      <c r="A198" t="s">
        <v>7</v>
      </c>
      <c r="B198" s="3">
        <v>2023</v>
      </c>
      <c r="C198" t="s">
        <v>59</v>
      </c>
      <c r="D198" t="s">
        <v>60</v>
      </c>
      <c r="E198" t="s">
        <v>60</v>
      </c>
      <c r="F198" s="4">
        <v>30102</v>
      </c>
      <c r="G198" s="4" t="s">
        <v>7</v>
      </c>
      <c r="H198" t="str">
        <f>IFERROR(VLOOKUP(E198,'GASB Match'!$A$2:$B$240,2,FALSE),"")</f>
        <v/>
      </c>
    </row>
    <row r="199" spans="1:8" x14ac:dyDescent="0.2">
      <c r="A199" t="s">
        <v>7</v>
      </c>
      <c r="B199" s="3">
        <v>2015</v>
      </c>
      <c r="C199" t="s">
        <v>62</v>
      </c>
      <c r="D199" t="s">
        <v>63</v>
      </c>
      <c r="E199" t="s">
        <v>63</v>
      </c>
      <c r="F199" s="4">
        <v>31092123.18</v>
      </c>
      <c r="G199" s="4" t="s">
        <v>7</v>
      </c>
      <c r="H199" t="str">
        <f>IFERROR(VLOOKUP(E199,'GASB Match'!$A$2:$B$240,2,FALSE),"")</f>
        <v/>
      </c>
    </row>
    <row r="200" spans="1:8" x14ac:dyDescent="0.2">
      <c r="A200" t="s">
        <v>7</v>
      </c>
      <c r="B200" s="3">
        <v>2016</v>
      </c>
      <c r="C200" t="s">
        <v>62</v>
      </c>
      <c r="D200" t="s">
        <v>63</v>
      </c>
      <c r="E200" t="s">
        <v>63</v>
      </c>
      <c r="F200" s="4">
        <v>35822999.840000004</v>
      </c>
      <c r="G200" s="4" t="s">
        <v>7</v>
      </c>
      <c r="H200" t="str">
        <f>IFERROR(VLOOKUP(E200,'GASB Match'!$A$2:$B$240,2,FALSE),"")</f>
        <v/>
      </c>
    </row>
    <row r="201" spans="1:8" x14ac:dyDescent="0.2">
      <c r="A201" t="s">
        <v>7</v>
      </c>
      <c r="B201" s="3">
        <v>2017</v>
      </c>
      <c r="C201" t="s">
        <v>62</v>
      </c>
      <c r="D201" t="s">
        <v>63</v>
      </c>
      <c r="E201" t="s">
        <v>63</v>
      </c>
      <c r="F201" s="4">
        <v>38530452</v>
      </c>
      <c r="G201" s="4" t="s">
        <v>7</v>
      </c>
      <c r="H201" t="str">
        <f>IFERROR(VLOOKUP(E201,'GASB Match'!$A$2:$B$240,2,FALSE),"")</f>
        <v/>
      </c>
    </row>
    <row r="202" spans="1:8" x14ac:dyDescent="0.2">
      <c r="A202" t="s">
        <v>7</v>
      </c>
      <c r="B202" s="3">
        <v>2018</v>
      </c>
      <c r="C202" t="s">
        <v>62</v>
      </c>
      <c r="D202" t="s">
        <v>63</v>
      </c>
      <c r="E202" t="s">
        <v>63</v>
      </c>
      <c r="F202" s="4">
        <v>48453111</v>
      </c>
      <c r="G202" s="4" t="s">
        <v>7</v>
      </c>
      <c r="H202" t="str">
        <f>IFERROR(VLOOKUP(E202,'GASB Match'!$A$2:$B$240,2,FALSE),"")</f>
        <v/>
      </c>
    </row>
    <row r="203" spans="1:8" x14ac:dyDescent="0.2">
      <c r="A203" t="s">
        <v>7</v>
      </c>
      <c r="B203" s="3">
        <v>2019</v>
      </c>
      <c r="C203" t="s">
        <v>62</v>
      </c>
      <c r="D203" t="s">
        <v>63</v>
      </c>
      <c r="E203" t="s">
        <v>63</v>
      </c>
      <c r="F203" s="4">
        <v>63292632</v>
      </c>
      <c r="G203" s="4" t="s">
        <v>7</v>
      </c>
      <c r="H203" t="str">
        <f>IFERROR(VLOOKUP(E203,'GASB Match'!$A$2:$B$240,2,FALSE),"")</f>
        <v/>
      </c>
    </row>
    <row r="204" spans="1:8" x14ac:dyDescent="0.2">
      <c r="A204" t="s">
        <v>7</v>
      </c>
      <c r="B204" s="3">
        <v>2020</v>
      </c>
      <c r="C204" t="s">
        <v>62</v>
      </c>
      <c r="D204" t="s">
        <v>63</v>
      </c>
      <c r="E204" t="s">
        <v>63</v>
      </c>
      <c r="F204" s="4">
        <v>68640040</v>
      </c>
      <c r="G204" s="4" t="s">
        <v>7</v>
      </c>
      <c r="H204" t="str">
        <f>IFERROR(VLOOKUP(E204,'GASB Match'!$A$2:$B$240,2,FALSE),"")</f>
        <v/>
      </c>
    </row>
    <row r="205" spans="1:8" x14ac:dyDescent="0.2">
      <c r="A205" t="s">
        <v>7</v>
      </c>
      <c r="B205" s="3">
        <v>2021</v>
      </c>
      <c r="C205" t="s">
        <v>62</v>
      </c>
      <c r="D205" t="s">
        <v>63</v>
      </c>
      <c r="E205" t="s">
        <v>63</v>
      </c>
      <c r="F205" s="4">
        <v>63373599</v>
      </c>
      <c r="G205" s="4" t="s">
        <v>7</v>
      </c>
      <c r="H205" t="str">
        <f>IFERROR(VLOOKUP(E205,'GASB Match'!$A$2:$B$240,2,FALSE),"")</f>
        <v/>
      </c>
    </row>
    <row r="206" spans="1:8" x14ac:dyDescent="0.2">
      <c r="A206" t="s">
        <v>7</v>
      </c>
      <c r="B206" s="3">
        <v>2022</v>
      </c>
      <c r="C206" t="s">
        <v>62</v>
      </c>
      <c r="D206" t="s">
        <v>63</v>
      </c>
      <c r="E206" t="s">
        <v>63</v>
      </c>
      <c r="F206" s="4">
        <v>72697833</v>
      </c>
      <c r="G206" s="4" t="s">
        <v>7</v>
      </c>
      <c r="H206" t="str">
        <f>IFERROR(VLOOKUP(E206,'GASB Match'!$A$2:$B$240,2,FALSE),"")</f>
        <v/>
      </c>
    </row>
    <row r="207" spans="1:8" x14ac:dyDescent="0.2">
      <c r="A207" t="s">
        <v>7</v>
      </c>
      <c r="B207" s="3">
        <v>2023</v>
      </c>
      <c r="C207" t="s">
        <v>62</v>
      </c>
      <c r="D207" t="s">
        <v>63</v>
      </c>
      <c r="E207" t="s">
        <v>63</v>
      </c>
      <c r="F207" s="4">
        <v>86587157</v>
      </c>
      <c r="G207" s="4" t="s">
        <v>7</v>
      </c>
      <c r="H207" t="str">
        <f>IFERROR(VLOOKUP(E207,'GASB Match'!$A$2:$B$240,2,FALSE),"")</f>
        <v/>
      </c>
    </row>
    <row r="208" spans="1:8" x14ac:dyDescent="0.2">
      <c r="A208" t="s">
        <v>7</v>
      </c>
      <c r="B208" s="3">
        <v>2015</v>
      </c>
      <c r="C208" t="s">
        <v>64</v>
      </c>
      <c r="D208" t="s">
        <v>65</v>
      </c>
      <c r="E208" t="s">
        <v>65</v>
      </c>
      <c r="F208" s="4">
        <v>17472966.379999999</v>
      </c>
      <c r="G208" s="4" t="s">
        <v>7</v>
      </c>
      <c r="H208" t="str">
        <f>IFERROR(VLOOKUP(E208,'GASB Match'!$A$2:$B$240,2,FALSE),"")</f>
        <v/>
      </c>
    </row>
    <row r="209" spans="1:8" x14ac:dyDescent="0.2">
      <c r="A209" t="s">
        <v>7</v>
      </c>
      <c r="B209" s="3">
        <v>2016</v>
      </c>
      <c r="C209" t="s">
        <v>64</v>
      </c>
      <c r="D209" t="s">
        <v>65</v>
      </c>
      <c r="E209" t="s">
        <v>65</v>
      </c>
      <c r="F209" s="4">
        <v>19933909.32</v>
      </c>
      <c r="G209" s="4" t="s">
        <v>7</v>
      </c>
      <c r="H209" t="str">
        <f>IFERROR(VLOOKUP(E209,'GASB Match'!$A$2:$B$240,2,FALSE),"")</f>
        <v/>
      </c>
    </row>
    <row r="210" spans="1:8" x14ac:dyDescent="0.2">
      <c r="A210" t="s">
        <v>7</v>
      </c>
      <c r="B210" s="3">
        <v>2017</v>
      </c>
      <c r="C210" t="s">
        <v>64</v>
      </c>
      <c r="D210" t="s">
        <v>65</v>
      </c>
      <c r="E210" t="s">
        <v>65</v>
      </c>
      <c r="F210" s="4">
        <v>26748181</v>
      </c>
      <c r="G210" s="4" t="s">
        <v>7</v>
      </c>
      <c r="H210" t="str">
        <f>IFERROR(VLOOKUP(E210,'GASB Match'!$A$2:$B$240,2,FALSE),"")</f>
        <v/>
      </c>
    </row>
    <row r="211" spans="1:8" x14ac:dyDescent="0.2">
      <c r="A211" t="s">
        <v>7</v>
      </c>
      <c r="B211" s="3">
        <v>2018</v>
      </c>
      <c r="C211" t="s">
        <v>64</v>
      </c>
      <c r="D211" t="s">
        <v>65</v>
      </c>
      <c r="E211" t="s">
        <v>65</v>
      </c>
      <c r="F211" s="4">
        <v>33076694</v>
      </c>
      <c r="G211" s="4" t="s">
        <v>7</v>
      </c>
      <c r="H211" t="str">
        <f>IFERROR(VLOOKUP(E211,'GASB Match'!$A$2:$B$240,2,FALSE),"")</f>
        <v/>
      </c>
    </row>
    <row r="212" spans="1:8" x14ac:dyDescent="0.2">
      <c r="A212" t="s">
        <v>7</v>
      </c>
      <c r="B212" s="3">
        <v>2019</v>
      </c>
      <c r="C212" t="s">
        <v>64</v>
      </c>
      <c r="D212" t="s">
        <v>65</v>
      </c>
      <c r="E212" t="s">
        <v>65</v>
      </c>
      <c r="F212" s="4">
        <v>42311984</v>
      </c>
      <c r="G212" s="4" t="s">
        <v>7</v>
      </c>
      <c r="H212" t="str">
        <f>IFERROR(VLOOKUP(E212,'GASB Match'!$A$2:$B$240,2,FALSE),"")</f>
        <v/>
      </c>
    </row>
    <row r="213" spans="1:8" x14ac:dyDescent="0.2">
      <c r="A213" t="s">
        <v>7</v>
      </c>
      <c r="B213" s="3">
        <v>2020</v>
      </c>
      <c r="C213" t="s">
        <v>64</v>
      </c>
      <c r="D213" t="s">
        <v>65</v>
      </c>
      <c r="E213" t="s">
        <v>65</v>
      </c>
      <c r="F213" s="4">
        <v>45242769</v>
      </c>
      <c r="G213" s="4" t="s">
        <v>7</v>
      </c>
      <c r="H213" t="str">
        <f>IFERROR(VLOOKUP(E213,'GASB Match'!$A$2:$B$240,2,FALSE),"")</f>
        <v/>
      </c>
    </row>
    <row r="214" spans="1:8" x14ac:dyDescent="0.2">
      <c r="A214" t="s">
        <v>7</v>
      </c>
      <c r="B214" s="3">
        <v>2021</v>
      </c>
      <c r="C214" t="s">
        <v>64</v>
      </c>
      <c r="D214" t="s">
        <v>65</v>
      </c>
      <c r="E214" t="s">
        <v>65</v>
      </c>
      <c r="F214" s="4">
        <v>39939185</v>
      </c>
      <c r="G214" s="4" t="s">
        <v>7</v>
      </c>
      <c r="H214" t="str">
        <f>IFERROR(VLOOKUP(E214,'GASB Match'!$A$2:$B$240,2,FALSE),"")</f>
        <v/>
      </c>
    </row>
    <row r="215" spans="1:8" x14ac:dyDescent="0.2">
      <c r="A215" t="s">
        <v>7</v>
      </c>
      <c r="B215" s="3">
        <v>2022</v>
      </c>
      <c r="C215" t="s">
        <v>64</v>
      </c>
      <c r="D215" t="s">
        <v>65</v>
      </c>
      <c r="E215" t="s">
        <v>65</v>
      </c>
      <c r="F215" s="4">
        <v>40860872</v>
      </c>
      <c r="G215" s="4" t="s">
        <v>7</v>
      </c>
      <c r="H215" t="str">
        <f>IFERROR(VLOOKUP(E215,'GASB Match'!$A$2:$B$240,2,FALSE),"")</f>
        <v/>
      </c>
    </row>
    <row r="216" spans="1:8" x14ac:dyDescent="0.2">
      <c r="A216" t="s">
        <v>7</v>
      </c>
      <c r="B216" s="3">
        <v>2023</v>
      </c>
      <c r="C216" t="s">
        <v>64</v>
      </c>
      <c r="D216" t="s">
        <v>65</v>
      </c>
      <c r="E216" t="s">
        <v>65</v>
      </c>
      <c r="F216" s="4">
        <v>46547425</v>
      </c>
      <c r="G216" s="4" t="s">
        <v>7</v>
      </c>
      <c r="H216" t="str">
        <f>IFERROR(VLOOKUP(E216,'GASB Match'!$A$2:$B$240,2,FALSE),"")</f>
        <v/>
      </c>
    </row>
    <row r="217" spans="1:8" x14ac:dyDescent="0.2">
      <c r="A217" t="s">
        <v>7</v>
      </c>
      <c r="B217" s="3">
        <v>2015</v>
      </c>
      <c r="C217" t="s">
        <v>66</v>
      </c>
      <c r="D217" t="s">
        <v>68</v>
      </c>
      <c r="E217" t="s">
        <v>67</v>
      </c>
      <c r="F217" s="4">
        <v>23828300.809999999</v>
      </c>
      <c r="G217" s="4" t="s">
        <v>7</v>
      </c>
      <c r="H217" t="str">
        <f>IFERROR(VLOOKUP(E217,'GASB Match'!$A$2:$B$240,2,FALSE),"")</f>
        <v/>
      </c>
    </row>
    <row r="218" spans="1:8" x14ac:dyDescent="0.2">
      <c r="A218" t="s">
        <v>7</v>
      </c>
      <c r="B218" s="3">
        <v>2016</v>
      </c>
      <c r="C218" t="s">
        <v>66</v>
      </c>
      <c r="D218" t="s">
        <v>67</v>
      </c>
      <c r="E218" t="s">
        <v>67</v>
      </c>
      <c r="F218" s="4">
        <v>26227537.02</v>
      </c>
      <c r="G218" s="4" t="s">
        <v>7</v>
      </c>
      <c r="H218" t="str">
        <f>IFERROR(VLOOKUP(E218,'GASB Match'!$A$2:$B$240,2,FALSE),"")</f>
        <v/>
      </c>
    </row>
    <row r="219" spans="1:8" x14ac:dyDescent="0.2">
      <c r="A219" t="s">
        <v>7</v>
      </c>
      <c r="B219" s="3">
        <v>2017</v>
      </c>
      <c r="C219" t="s">
        <v>66</v>
      </c>
      <c r="D219" t="s">
        <v>67</v>
      </c>
      <c r="E219" t="s">
        <v>67</v>
      </c>
      <c r="F219" s="4">
        <v>27470184</v>
      </c>
      <c r="G219" s="4" t="s">
        <v>7</v>
      </c>
      <c r="H219" t="str">
        <f>IFERROR(VLOOKUP(E219,'GASB Match'!$A$2:$B$240,2,FALSE),"")</f>
        <v/>
      </c>
    </row>
    <row r="220" spans="1:8" x14ac:dyDescent="0.2">
      <c r="A220" t="s">
        <v>7</v>
      </c>
      <c r="B220" s="3">
        <v>2018</v>
      </c>
      <c r="C220" t="s">
        <v>66</v>
      </c>
      <c r="D220" t="s">
        <v>67</v>
      </c>
      <c r="E220" t="s">
        <v>67</v>
      </c>
      <c r="F220" s="4">
        <v>34277694</v>
      </c>
      <c r="G220" s="4" t="s">
        <v>7</v>
      </c>
      <c r="H220" t="str">
        <f>IFERROR(VLOOKUP(E220,'GASB Match'!$A$2:$B$240,2,FALSE),"")</f>
        <v/>
      </c>
    </row>
    <row r="221" spans="1:8" x14ac:dyDescent="0.2">
      <c r="A221" t="s">
        <v>7</v>
      </c>
      <c r="B221" s="3">
        <v>2019</v>
      </c>
      <c r="C221" t="s">
        <v>66</v>
      </c>
      <c r="D221" t="s">
        <v>67</v>
      </c>
      <c r="E221" t="s">
        <v>67</v>
      </c>
      <c r="F221" s="4">
        <v>43581763</v>
      </c>
      <c r="G221" s="4" t="s">
        <v>7</v>
      </c>
      <c r="H221" t="str">
        <f>IFERROR(VLOOKUP(E221,'GASB Match'!$A$2:$B$240,2,FALSE),"")</f>
        <v/>
      </c>
    </row>
    <row r="222" spans="1:8" x14ac:dyDescent="0.2">
      <c r="A222" t="s">
        <v>7</v>
      </c>
      <c r="B222" s="3">
        <v>2020</v>
      </c>
      <c r="C222" t="s">
        <v>66</v>
      </c>
      <c r="D222" t="s">
        <v>67</v>
      </c>
      <c r="E222" t="s">
        <v>67</v>
      </c>
      <c r="F222" s="4">
        <v>46950698</v>
      </c>
      <c r="G222" s="4" t="s">
        <v>7</v>
      </c>
      <c r="H222" t="str">
        <f>IFERROR(VLOOKUP(E222,'GASB Match'!$A$2:$B$240,2,FALSE),"")</f>
        <v/>
      </c>
    </row>
    <row r="223" spans="1:8" x14ac:dyDescent="0.2">
      <c r="A223" t="s">
        <v>7</v>
      </c>
      <c r="B223" s="3">
        <v>2021</v>
      </c>
      <c r="C223" t="s">
        <v>66</v>
      </c>
      <c r="D223" t="s">
        <v>67</v>
      </c>
      <c r="E223" t="s">
        <v>67</v>
      </c>
      <c r="F223" s="4">
        <v>40822040</v>
      </c>
      <c r="G223" s="4" t="s">
        <v>7</v>
      </c>
      <c r="H223" t="str">
        <f>IFERROR(VLOOKUP(E223,'GASB Match'!$A$2:$B$240,2,FALSE),"")</f>
        <v/>
      </c>
    </row>
    <row r="224" spans="1:8" x14ac:dyDescent="0.2">
      <c r="A224" t="s">
        <v>7</v>
      </c>
      <c r="B224" s="3">
        <v>2022</v>
      </c>
      <c r="C224" t="s">
        <v>66</v>
      </c>
      <c r="D224" t="s">
        <v>67</v>
      </c>
      <c r="E224" t="s">
        <v>67</v>
      </c>
      <c r="F224" s="4">
        <v>37067935</v>
      </c>
      <c r="G224" s="4" t="s">
        <v>7</v>
      </c>
      <c r="H224" t="str">
        <f>IFERROR(VLOOKUP(E224,'GASB Match'!$A$2:$B$240,2,FALSE),"")</f>
        <v/>
      </c>
    </row>
    <row r="225" spans="1:8" x14ac:dyDescent="0.2">
      <c r="A225" t="s">
        <v>7</v>
      </c>
      <c r="B225" s="3">
        <v>2023</v>
      </c>
      <c r="C225" t="s">
        <v>66</v>
      </c>
      <c r="D225" t="s">
        <v>67</v>
      </c>
      <c r="E225" t="s">
        <v>67</v>
      </c>
      <c r="F225" s="4">
        <v>40735139</v>
      </c>
      <c r="G225" s="4" t="s">
        <v>7</v>
      </c>
      <c r="H225" t="str">
        <f>IFERROR(VLOOKUP(E225,'GASB Match'!$A$2:$B$240,2,FALSE),"")</f>
        <v/>
      </c>
    </row>
    <row r="226" spans="1:8" x14ac:dyDescent="0.2">
      <c r="A226" t="s">
        <v>7</v>
      </c>
      <c r="B226" s="3">
        <v>2015</v>
      </c>
      <c r="C226" t="s">
        <v>69</v>
      </c>
      <c r="D226" t="s">
        <v>70</v>
      </c>
      <c r="E226" t="s">
        <v>70</v>
      </c>
      <c r="F226" s="4">
        <v>49533466.280000001</v>
      </c>
      <c r="G226" s="4" t="s">
        <v>7</v>
      </c>
      <c r="H226" t="str">
        <f>IFERROR(VLOOKUP(E226,'GASB Match'!$A$2:$B$240,2,FALSE),"")</f>
        <v/>
      </c>
    </row>
    <row r="227" spans="1:8" x14ac:dyDescent="0.2">
      <c r="A227" t="s">
        <v>7</v>
      </c>
      <c r="B227" s="3">
        <v>2016</v>
      </c>
      <c r="C227" t="s">
        <v>69</v>
      </c>
      <c r="D227" t="s">
        <v>70</v>
      </c>
      <c r="E227" t="s">
        <v>70</v>
      </c>
      <c r="F227" s="4">
        <v>57493976.340000004</v>
      </c>
      <c r="G227" s="4" t="s">
        <v>7</v>
      </c>
      <c r="H227" t="str">
        <f>IFERROR(VLOOKUP(E227,'GASB Match'!$A$2:$B$240,2,FALSE),"")</f>
        <v/>
      </c>
    </row>
    <row r="228" spans="1:8" x14ac:dyDescent="0.2">
      <c r="A228" t="s">
        <v>7</v>
      </c>
      <c r="B228" s="3">
        <v>2017</v>
      </c>
      <c r="C228" t="s">
        <v>69</v>
      </c>
      <c r="D228" t="s">
        <v>70</v>
      </c>
      <c r="E228" t="s">
        <v>70</v>
      </c>
      <c r="F228" s="4">
        <v>60687703</v>
      </c>
      <c r="G228" s="4" t="s">
        <v>7</v>
      </c>
      <c r="H228" t="str">
        <f>IFERROR(VLOOKUP(E228,'GASB Match'!$A$2:$B$240,2,FALSE),"")</f>
        <v/>
      </c>
    </row>
    <row r="229" spans="1:8" x14ac:dyDescent="0.2">
      <c r="A229" t="s">
        <v>7</v>
      </c>
      <c r="B229" s="3">
        <v>2018</v>
      </c>
      <c r="C229" t="s">
        <v>69</v>
      </c>
      <c r="D229" t="s">
        <v>70</v>
      </c>
      <c r="E229" t="s">
        <v>70</v>
      </c>
      <c r="F229" s="4">
        <v>72807808</v>
      </c>
      <c r="G229" s="4" t="s">
        <v>7</v>
      </c>
      <c r="H229" t="str">
        <f>IFERROR(VLOOKUP(E229,'GASB Match'!$A$2:$B$240,2,FALSE),"")</f>
        <v/>
      </c>
    </row>
    <row r="230" spans="1:8" x14ac:dyDescent="0.2">
      <c r="A230" t="s">
        <v>7</v>
      </c>
      <c r="B230" s="3">
        <v>2019</v>
      </c>
      <c r="C230" t="s">
        <v>69</v>
      </c>
      <c r="D230" t="s">
        <v>70</v>
      </c>
      <c r="E230" t="s">
        <v>70</v>
      </c>
      <c r="F230" s="4">
        <v>93965185</v>
      </c>
      <c r="G230" s="4" t="s">
        <v>7</v>
      </c>
      <c r="H230" t="str">
        <f>IFERROR(VLOOKUP(E230,'GASB Match'!$A$2:$B$240,2,FALSE),"")</f>
        <v/>
      </c>
    </row>
    <row r="231" spans="1:8" x14ac:dyDescent="0.2">
      <c r="A231" t="s">
        <v>7</v>
      </c>
      <c r="B231" s="3">
        <v>2020</v>
      </c>
      <c r="C231" t="s">
        <v>69</v>
      </c>
      <c r="D231" t="s">
        <v>70</v>
      </c>
      <c r="E231" t="s">
        <v>70</v>
      </c>
      <c r="F231" s="4">
        <v>98153106</v>
      </c>
      <c r="G231" s="4" t="s">
        <v>7</v>
      </c>
      <c r="H231" t="str">
        <f>IFERROR(VLOOKUP(E231,'GASB Match'!$A$2:$B$240,2,FALSE),"")</f>
        <v/>
      </c>
    </row>
    <row r="232" spans="1:8" x14ac:dyDescent="0.2">
      <c r="A232" t="s">
        <v>7</v>
      </c>
      <c r="B232" s="3">
        <v>2021</v>
      </c>
      <c r="C232" t="s">
        <v>69</v>
      </c>
      <c r="D232" t="s">
        <v>70</v>
      </c>
      <c r="E232" t="s">
        <v>70</v>
      </c>
      <c r="F232" s="4">
        <v>86896481</v>
      </c>
      <c r="G232" s="4" t="s">
        <v>7</v>
      </c>
      <c r="H232" t="str">
        <f>IFERROR(VLOOKUP(E232,'GASB Match'!$A$2:$B$240,2,FALSE),"")</f>
        <v/>
      </c>
    </row>
    <row r="233" spans="1:8" x14ac:dyDescent="0.2">
      <c r="A233" t="s">
        <v>7</v>
      </c>
      <c r="B233" s="3">
        <v>2022</v>
      </c>
      <c r="C233" t="s">
        <v>69</v>
      </c>
      <c r="D233" t="s">
        <v>70</v>
      </c>
      <c r="E233" t="s">
        <v>70</v>
      </c>
      <c r="F233" s="4">
        <v>92507006</v>
      </c>
      <c r="G233" s="4" t="s">
        <v>7</v>
      </c>
      <c r="H233" t="str">
        <f>IFERROR(VLOOKUP(E233,'GASB Match'!$A$2:$B$240,2,FALSE),"")</f>
        <v/>
      </c>
    </row>
    <row r="234" spans="1:8" x14ac:dyDescent="0.2">
      <c r="A234" t="s">
        <v>7</v>
      </c>
      <c r="B234" s="3">
        <v>2023</v>
      </c>
      <c r="C234" t="s">
        <v>69</v>
      </c>
      <c r="D234" t="s">
        <v>70</v>
      </c>
      <c r="E234" t="s">
        <v>70</v>
      </c>
      <c r="F234" s="4">
        <v>105920123</v>
      </c>
      <c r="G234" s="4" t="s">
        <v>7</v>
      </c>
      <c r="H234" t="str">
        <f>IFERROR(VLOOKUP(E234,'GASB Match'!$A$2:$B$240,2,FALSE),"")</f>
        <v/>
      </c>
    </row>
    <row r="235" spans="1:8" x14ac:dyDescent="0.2">
      <c r="A235" t="s">
        <v>7</v>
      </c>
      <c r="B235" s="3">
        <v>2015</v>
      </c>
      <c r="C235" t="s">
        <v>71</v>
      </c>
      <c r="D235" t="s">
        <v>72</v>
      </c>
      <c r="E235" t="s">
        <v>72</v>
      </c>
      <c r="F235" s="4">
        <v>2544385.17</v>
      </c>
      <c r="G235" s="4" t="s">
        <v>7</v>
      </c>
      <c r="H235" t="str">
        <f>IFERROR(VLOOKUP(E235,'GASB Match'!$A$2:$B$240,2,FALSE),"")</f>
        <v/>
      </c>
    </row>
    <row r="236" spans="1:8" x14ac:dyDescent="0.2">
      <c r="A236" t="s">
        <v>7</v>
      </c>
      <c r="B236" s="3">
        <v>2016</v>
      </c>
      <c r="C236" t="s">
        <v>71</v>
      </c>
      <c r="D236" t="s">
        <v>72</v>
      </c>
      <c r="E236" t="s">
        <v>72</v>
      </c>
      <c r="F236" s="4">
        <v>2634701.15</v>
      </c>
      <c r="G236" s="4" t="s">
        <v>7</v>
      </c>
      <c r="H236" t="str">
        <f>IFERROR(VLOOKUP(E236,'GASB Match'!$A$2:$B$240,2,FALSE),"")</f>
        <v/>
      </c>
    </row>
    <row r="237" spans="1:8" x14ac:dyDescent="0.2">
      <c r="A237" t="s">
        <v>7</v>
      </c>
      <c r="B237" s="3">
        <v>2017</v>
      </c>
      <c r="C237" t="s">
        <v>71</v>
      </c>
      <c r="D237" t="s">
        <v>72</v>
      </c>
      <c r="E237" t="s">
        <v>72</v>
      </c>
      <c r="F237" s="4">
        <v>2377453</v>
      </c>
      <c r="G237" s="4" t="s">
        <v>7</v>
      </c>
      <c r="H237" t="str">
        <f>IFERROR(VLOOKUP(E237,'GASB Match'!$A$2:$B$240,2,FALSE),"")</f>
        <v/>
      </c>
    </row>
    <row r="238" spans="1:8" x14ac:dyDescent="0.2">
      <c r="A238" t="s">
        <v>7</v>
      </c>
      <c r="B238" s="3">
        <v>2018</v>
      </c>
      <c r="C238" t="s">
        <v>71</v>
      </c>
      <c r="D238" t="s">
        <v>72</v>
      </c>
      <c r="E238" t="s">
        <v>72</v>
      </c>
      <c r="F238" s="4">
        <v>4474299</v>
      </c>
      <c r="G238" s="4" t="s">
        <v>7</v>
      </c>
      <c r="H238" t="str">
        <f>IFERROR(VLOOKUP(E238,'GASB Match'!$A$2:$B$240,2,FALSE),"")</f>
        <v/>
      </c>
    </row>
    <row r="239" spans="1:8" x14ac:dyDescent="0.2">
      <c r="A239" t="s">
        <v>7</v>
      </c>
      <c r="B239" s="3">
        <v>2019</v>
      </c>
      <c r="C239" t="s">
        <v>71</v>
      </c>
      <c r="D239" t="s">
        <v>72</v>
      </c>
      <c r="E239" t="s">
        <v>72</v>
      </c>
      <c r="F239" s="4">
        <v>5382209</v>
      </c>
      <c r="G239" s="4" t="s">
        <v>7</v>
      </c>
      <c r="H239" t="str">
        <f>IFERROR(VLOOKUP(E239,'GASB Match'!$A$2:$B$240,2,FALSE),"")</f>
        <v/>
      </c>
    </row>
    <row r="240" spans="1:8" x14ac:dyDescent="0.2">
      <c r="A240" t="s">
        <v>7</v>
      </c>
      <c r="B240" s="3">
        <v>2020</v>
      </c>
      <c r="C240" t="s">
        <v>71</v>
      </c>
      <c r="D240" t="s">
        <v>72</v>
      </c>
      <c r="E240" t="s">
        <v>72</v>
      </c>
      <c r="F240" s="4">
        <v>5498918</v>
      </c>
      <c r="G240" s="4" t="s">
        <v>7</v>
      </c>
      <c r="H240" t="str">
        <f>IFERROR(VLOOKUP(E240,'GASB Match'!$A$2:$B$240,2,FALSE),"")</f>
        <v/>
      </c>
    </row>
    <row r="241" spans="1:8" x14ac:dyDescent="0.2">
      <c r="A241" t="s">
        <v>7</v>
      </c>
      <c r="B241" s="3">
        <v>2021</v>
      </c>
      <c r="C241" t="s">
        <v>71</v>
      </c>
      <c r="D241" t="s">
        <v>72</v>
      </c>
      <c r="E241" t="s">
        <v>72</v>
      </c>
      <c r="F241" s="4">
        <v>4823072</v>
      </c>
      <c r="G241" s="4" t="s">
        <v>7</v>
      </c>
      <c r="H241" t="str">
        <f>IFERROR(VLOOKUP(E241,'GASB Match'!$A$2:$B$240,2,FALSE),"")</f>
        <v/>
      </c>
    </row>
    <row r="242" spans="1:8" x14ac:dyDescent="0.2">
      <c r="A242" t="s">
        <v>7</v>
      </c>
      <c r="B242" s="3">
        <v>2022</v>
      </c>
      <c r="C242" t="s">
        <v>71</v>
      </c>
      <c r="D242" t="s">
        <v>72</v>
      </c>
      <c r="E242" t="s">
        <v>72</v>
      </c>
      <c r="F242" s="4">
        <v>5122930</v>
      </c>
      <c r="G242" s="4" t="s">
        <v>7</v>
      </c>
      <c r="H242" t="str">
        <f>IFERROR(VLOOKUP(E242,'GASB Match'!$A$2:$B$240,2,FALSE),"")</f>
        <v/>
      </c>
    </row>
    <row r="243" spans="1:8" x14ac:dyDescent="0.2">
      <c r="A243" t="s">
        <v>7</v>
      </c>
      <c r="B243" s="3">
        <v>2023</v>
      </c>
      <c r="C243" t="s">
        <v>71</v>
      </c>
      <c r="D243" t="s">
        <v>72</v>
      </c>
      <c r="E243" t="s">
        <v>72</v>
      </c>
      <c r="F243" s="4">
        <v>5762873</v>
      </c>
      <c r="G243" s="4" t="s">
        <v>7</v>
      </c>
      <c r="H243" t="str">
        <f>IFERROR(VLOOKUP(E243,'GASB Match'!$A$2:$B$240,2,FALSE),"")</f>
        <v/>
      </c>
    </row>
    <row r="244" spans="1:8" x14ac:dyDescent="0.2">
      <c r="A244" t="s">
        <v>7</v>
      </c>
      <c r="B244" s="3">
        <v>2015</v>
      </c>
      <c r="C244" t="s">
        <v>73</v>
      </c>
      <c r="D244" t="s">
        <v>74</v>
      </c>
      <c r="E244" t="s">
        <v>74</v>
      </c>
      <c r="F244" s="4">
        <v>2164167.1</v>
      </c>
      <c r="G244" s="4" t="s">
        <v>7</v>
      </c>
      <c r="H244" t="str">
        <f>IFERROR(VLOOKUP(E244,'GASB Match'!$A$2:$B$240,2,FALSE),"")</f>
        <v/>
      </c>
    </row>
    <row r="245" spans="1:8" x14ac:dyDescent="0.2">
      <c r="A245" t="s">
        <v>7</v>
      </c>
      <c r="B245" s="3">
        <v>2016</v>
      </c>
      <c r="C245" t="s">
        <v>73</v>
      </c>
      <c r="D245" t="s">
        <v>74</v>
      </c>
      <c r="E245" t="s">
        <v>74</v>
      </c>
      <c r="F245" s="4">
        <v>2373367.7000000002</v>
      </c>
      <c r="G245" s="4" t="s">
        <v>7</v>
      </c>
      <c r="H245" t="str">
        <f>IFERROR(VLOOKUP(E245,'GASB Match'!$A$2:$B$240,2,FALSE),"")</f>
        <v/>
      </c>
    </row>
    <row r="246" spans="1:8" x14ac:dyDescent="0.2">
      <c r="A246" t="s">
        <v>7</v>
      </c>
      <c r="B246" s="3">
        <v>2017</v>
      </c>
      <c r="C246" t="s">
        <v>73</v>
      </c>
      <c r="D246" t="s">
        <v>74</v>
      </c>
      <c r="E246" t="s">
        <v>74</v>
      </c>
      <c r="F246" s="4">
        <v>2578411</v>
      </c>
      <c r="G246" s="4" t="s">
        <v>7</v>
      </c>
      <c r="H246" t="str">
        <f>IFERROR(VLOOKUP(E246,'GASB Match'!$A$2:$B$240,2,FALSE),"")</f>
        <v/>
      </c>
    </row>
    <row r="247" spans="1:8" x14ac:dyDescent="0.2">
      <c r="A247" t="s">
        <v>7</v>
      </c>
      <c r="B247" s="3">
        <v>2018</v>
      </c>
      <c r="C247" t="s">
        <v>73</v>
      </c>
      <c r="D247" t="s">
        <v>74</v>
      </c>
      <c r="E247" t="s">
        <v>74</v>
      </c>
      <c r="F247" s="4">
        <v>2861761</v>
      </c>
      <c r="G247" s="4" t="s">
        <v>7</v>
      </c>
      <c r="H247" t="str">
        <f>IFERROR(VLOOKUP(E247,'GASB Match'!$A$2:$B$240,2,FALSE),"")</f>
        <v/>
      </c>
    </row>
    <row r="248" spans="1:8" x14ac:dyDescent="0.2">
      <c r="A248" t="s">
        <v>7</v>
      </c>
      <c r="B248" s="3">
        <v>2015</v>
      </c>
      <c r="C248" t="s">
        <v>75</v>
      </c>
      <c r="D248" t="s">
        <v>76</v>
      </c>
      <c r="E248" t="s">
        <v>76</v>
      </c>
      <c r="F248" s="4">
        <v>2399797.73</v>
      </c>
      <c r="G248" s="4" t="s">
        <v>7</v>
      </c>
      <c r="H248" t="str">
        <f>IFERROR(VLOOKUP(E248,'GASB Match'!$A$2:$B$240,2,FALSE),"")</f>
        <v/>
      </c>
    </row>
    <row r="249" spans="1:8" x14ac:dyDescent="0.2">
      <c r="A249" t="s">
        <v>7</v>
      </c>
      <c r="B249" s="3">
        <v>2016</v>
      </c>
      <c r="C249" t="s">
        <v>75</v>
      </c>
      <c r="D249" t="s">
        <v>76</v>
      </c>
      <c r="E249" t="s">
        <v>76</v>
      </c>
      <c r="F249" s="4">
        <v>2626013.75</v>
      </c>
      <c r="G249" s="4" t="s">
        <v>7</v>
      </c>
      <c r="H249" t="str">
        <f>IFERROR(VLOOKUP(E249,'GASB Match'!$A$2:$B$240,2,FALSE),"")</f>
        <v/>
      </c>
    </row>
    <row r="250" spans="1:8" x14ac:dyDescent="0.2">
      <c r="A250" t="s">
        <v>7</v>
      </c>
      <c r="B250" s="3">
        <v>2017</v>
      </c>
      <c r="C250" t="s">
        <v>75</v>
      </c>
      <c r="D250" t="s">
        <v>76</v>
      </c>
      <c r="E250" t="s">
        <v>76</v>
      </c>
      <c r="F250" s="4">
        <v>2712674</v>
      </c>
      <c r="G250" s="4" t="s">
        <v>7</v>
      </c>
      <c r="H250" t="str">
        <f>IFERROR(VLOOKUP(E250,'GASB Match'!$A$2:$B$240,2,FALSE),"")</f>
        <v/>
      </c>
    </row>
    <row r="251" spans="1:8" x14ac:dyDescent="0.2">
      <c r="A251" t="s">
        <v>7</v>
      </c>
      <c r="B251" s="3">
        <v>2018</v>
      </c>
      <c r="C251" t="s">
        <v>75</v>
      </c>
      <c r="D251" t="s">
        <v>76</v>
      </c>
      <c r="E251" t="s">
        <v>76</v>
      </c>
      <c r="F251" s="4">
        <v>3353994</v>
      </c>
      <c r="G251" s="4" t="s">
        <v>7</v>
      </c>
      <c r="H251" t="str">
        <f>IFERROR(VLOOKUP(E251,'GASB Match'!$A$2:$B$240,2,FALSE),"")</f>
        <v/>
      </c>
    </row>
    <row r="252" spans="1:8" x14ac:dyDescent="0.2">
      <c r="A252" t="s">
        <v>7</v>
      </c>
      <c r="B252" s="3">
        <v>2019</v>
      </c>
      <c r="C252" t="s">
        <v>75</v>
      </c>
      <c r="D252" t="s">
        <v>76</v>
      </c>
      <c r="E252" t="s">
        <v>76</v>
      </c>
      <c r="F252" s="4">
        <v>4451578</v>
      </c>
      <c r="G252" s="4" t="s">
        <v>7</v>
      </c>
      <c r="H252" t="str">
        <f>IFERROR(VLOOKUP(E252,'GASB Match'!$A$2:$B$240,2,FALSE),"")</f>
        <v/>
      </c>
    </row>
    <row r="253" spans="1:8" x14ac:dyDescent="0.2">
      <c r="A253" t="s">
        <v>7</v>
      </c>
      <c r="B253" s="3">
        <v>2020</v>
      </c>
      <c r="C253" t="s">
        <v>75</v>
      </c>
      <c r="D253" t="s">
        <v>76</v>
      </c>
      <c r="E253" t="s">
        <v>76</v>
      </c>
      <c r="F253" s="4">
        <v>4637429</v>
      </c>
      <c r="G253" s="4" t="s">
        <v>7</v>
      </c>
      <c r="H253" t="str">
        <f>IFERROR(VLOOKUP(E253,'GASB Match'!$A$2:$B$240,2,FALSE),"")</f>
        <v/>
      </c>
    </row>
    <row r="254" spans="1:8" x14ac:dyDescent="0.2">
      <c r="A254" t="s">
        <v>7</v>
      </c>
      <c r="B254" s="3">
        <v>2021</v>
      </c>
      <c r="C254" t="s">
        <v>75</v>
      </c>
      <c r="D254" t="s">
        <v>76</v>
      </c>
      <c r="E254" t="s">
        <v>76</v>
      </c>
      <c r="F254" s="4">
        <v>4111538</v>
      </c>
      <c r="G254" s="4" t="s">
        <v>7</v>
      </c>
      <c r="H254" t="str">
        <f>IFERROR(VLOOKUP(E254,'GASB Match'!$A$2:$B$240,2,FALSE),"")</f>
        <v/>
      </c>
    </row>
    <row r="255" spans="1:8" x14ac:dyDescent="0.2">
      <c r="A255" t="s">
        <v>7</v>
      </c>
      <c r="B255" s="3">
        <v>2022</v>
      </c>
      <c r="C255" t="s">
        <v>75</v>
      </c>
      <c r="D255" t="s">
        <v>76</v>
      </c>
      <c r="E255" t="s">
        <v>76</v>
      </c>
      <c r="F255" s="4">
        <v>4158978</v>
      </c>
      <c r="G255" s="4" t="s">
        <v>7</v>
      </c>
      <c r="H255" t="str">
        <f>IFERROR(VLOOKUP(E255,'GASB Match'!$A$2:$B$240,2,FALSE),"")</f>
        <v/>
      </c>
    </row>
    <row r="256" spans="1:8" x14ac:dyDescent="0.2">
      <c r="A256" t="s">
        <v>7</v>
      </c>
      <c r="B256" s="3">
        <v>2023</v>
      </c>
      <c r="C256" t="s">
        <v>75</v>
      </c>
      <c r="D256" t="s">
        <v>76</v>
      </c>
      <c r="E256" t="s">
        <v>76</v>
      </c>
      <c r="F256" s="4">
        <v>4283857</v>
      </c>
      <c r="G256" s="4" t="s">
        <v>7</v>
      </c>
      <c r="H256" t="str">
        <f>IFERROR(VLOOKUP(E256,'GASB Match'!$A$2:$B$240,2,FALSE),"")</f>
        <v/>
      </c>
    </row>
    <row r="257" spans="1:8" x14ac:dyDescent="0.2">
      <c r="A257" t="s">
        <v>7</v>
      </c>
      <c r="B257" s="3">
        <v>2015</v>
      </c>
      <c r="C257" t="s">
        <v>77</v>
      </c>
      <c r="D257" t="s">
        <v>78</v>
      </c>
      <c r="E257" t="s">
        <v>78</v>
      </c>
      <c r="F257" s="4">
        <v>3227912.62</v>
      </c>
      <c r="G257" s="4" t="s">
        <v>7</v>
      </c>
      <c r="H257" t="str">
        <f>IFERROR(VLOOKUP(E257,'GASB Match'!$A$2:$B$240,2,FALSE),"")</f>
        <v/>
      </c>
    </row>
    <row r="258" spans="1:8" x14ac:dyDescent="0.2">
      <c r="A258" t="s">
        <v>7</v>
      </c>
      <c r="B258" s="3">
        <v>2016</v>
      </c>
      <c r="C258" t="s">
        <v>77</v>
      </c>
      <c r="D258" t="s">
        <v>78</v>
      </c>
      <c r="E258" t="s">
        <v>78</v>
      </c>
      <c r="F258" s="4">
        <v>3569721.23</v>
      </c>
      <c r="G258" s="4" t="s">
        <v>7</v>
      </c>
      <c r="H258" t="str">
        <f>IFERROR(VLOOKUP(E258,'GASB Match'!$A$2:$B$240,2,FALSE),"")</f>
        <v/>
      </c>
    </row>
    <row r="259" spans="1:8" x14ac:dyDescent="0.2">
      <c r="A259" t="s">
        <v>7</v>
      </c>
      <c r="B259" s="3">
        <v>2017</v>
      </c>
      <c r="C259" t="s">
        <v>77</v>
      </c>
      <c r="D259" t="s">
        <v>78</v>
      </c>
      <c r="E259" t="s">
        <v>78</v>
      </c>
      <c r="F259" s="4">
        <v>3815748</v>
      </c>
      <c r="G259" s="4" t="s">
        <v>7</v>
      </c>
      <c r="H259" t="str">
        <f>IFERROR(VLOOKUP(E259,'GASB Match'!$A$2:$B$240,2,FALSE),"")</f>
        <v/>
      </c>
    </row>
    <row r="260" spans="1:8" x14ac:dyDescent="0.2">
      <c r="A260" t="s">
        <v>7</v>
      </c>
      <c r="B260" s="3">
        <v>2018</v>
      </c>
      <c r="C260" t="s">
        <v>77</v>
      </c>
      <c r="D260" t="s">
        <v>78</v>
      </c>
      <c r="E260" t="s">
        <v>78</v>
      </c>
      <c r="F260" s="4">
        <v>4827596</v>
      </c>
      <c r="G260" s="4" t="s">
        <v>7</v>
      </c>
      <c r="H260" t="str">
        <f>IFERROR(VLOOKUP(E260,'GASB Match'!$A$2:$B$240,2,FALSE),"")</f>
        <v/>
      </c>
    </row>
    <row r="261" spans="1:8" x14ac:dyDescent="0.2">
      <c r="A261" t="s">
        <v>7</v>
      </c>
      <c r="B261" s="3">
        <v>2019</v>
      </c>
      <c r="C261" t="s">
        <v>77</v>
      </c>
      <c r="D261" t="s">
        <v>78</v>
      </c>
      <c r="E261" t="s">
        <v>78</v>
      </c>
      <c r="F261" s="4">
        <v>6089787</v>
      </c>
      <c r="G261" s="4" t="s">
        <v>7</v>
      </c>
      <c r="H261" t="str">
        <f>IFERROR(VLOOKUP(E261,'GASB Match'!$A$2:$B$240,2,FALSE),"")</f>
        <v/>
      </c>
    </row>
    <row r="262" spans="1:8" x14ac:dyDescent="0.2">
      <c r="A262" t="s">
        <v>7</v>
      </c>
      <c r="B262" s="3">
        <v>2020</v>
      </c>
      <c r="C262" t="s">
        <v>77</v>
      </c>
      <c r="D262" t="s">
        <v>78</v>
      </c>
      <c r="E262" t="s">
        <v>78</v>
      </c>
      <c r="F262" s="4">
        <v>6235174</v>
      </c>
      <c r="G262" s="4" t="s">
        <v>7</v>
      </c>
      <c r="H262" t="str">
        <f>IFERROR(VLOOKUP(E262,'GASB Match'!$A$2:$B$240,2,FALSE),"")</f>
        <v/>
      </c>
    </row>
    <row r="263" spans="1:8" x14ac:dyDescent="0.2">
      <c r="A263" t="s">
        <v>7</v>
      </c>
      <c r="B263" s="3">
        <v>2021</v>
      </c>
      <c r="C263" t="s">
        <v>77</v>
      </c>
      <c r="D263" t="s">
        <v>78</v>
      </c>
      <c r="E263" t="s">
        <v>78</v>
      </c>
      <c r="F263" s="4">
        <v>5314332</v>
      </c>
      <c r="G263" s="4" t="s">
        <v>7</v>
      </c>
      <c r="H263" t="str">
        <f>IFERROR(VLOOKUP(E263,'GASB Match'!$A$2:$B$240,2,FALSE),"")</f>
        <v/>
      </c>
    </row>
    <row r="264" spans="1:8" x14ac:dyDescent="0.2">
      <c r="A264" t="s">
        <v>7</v>
      </c>
      <c r="B264" s="3">
        <v>2022</v>
      </c>
      <c r="C264" t="s">
        <v>77</v>
      </c>
      <c r="D264" t="s">
        <v>78</v>
      </c>
      <c r="E264" t="s">
        <v>78</v>
      </c>
      <c r="F264" s="4">
        <v>5525035</v>
      </c>
      <c r="G264" s="4" t="s">
        <v>7</v>
      </c>
      <c r="H264" t="str">
        <f>IFERROR(VLOOKUP(E264,'GASB Match'!$A$2:$B$240,2,FALSE),"")</f>
        <v/>
      </c>
    </row>
    <row r="265" spans="1:8" x14ac:dyDescent="0.2">
      <c r="A265" t="s">
        <v>7</v>
      </c>
      <c r="B265" s="3">
        <v>2023</v>
      </c>
      <c r="C265" t="s">
        <v>77</v>
      </c>
      <c r="D265" t="s">
        <v>78</v>
      </c>
      <c r="E265" t="s">
        <v>78</v>
      </c>
      <c r="F265" s="4">
        <v>5699212</v>
      </c>
      <c r="G265" s="4" t="s">
        <v>7</v>
      </c>
      <c r="H265" t="str">
        <f>IFERROR(VLOOKUP(E265,'GASB Match'!$A$2:$B$240,2,FALSE),"")</f>
        <v/>
      </c>
    </row>
    <row r="266" spans="1:8" x14ac:dyDescent="0.2">
      <c r="A266" t="s">
        <v>7</v>
      </c>
      <c r="B266" s="3">
        <v>2015</v>
      </c>
      <c r="C266" t="s">
        <v>79</v>
      </c>
      <c r="D266" t="s">
        <v>80</v>
      </c>
      <c r="E266" t="s">
        <v>80</v>
      </c>
      <c r="F266" s="4">
        <v>2415340.65</v>
      </c>
      <c r="G266" s="4" t="s">
        <v>7</v>
      </c>
      <c r="H266" t="str">
        <f>IFERROR(VLOOKUP(E266,'GASB Match'!$A$2:$B$240,2,FALSE),"")</f>
        <v/>
      </c>
    </row>
    <row r="267" spans="1:8" x14ac:dyDescent="0.2">
      <c r="A267" t="s">
        <v>7</v>
      </c>
      <c r="B267" s="3">
        <v>2016</v>
      </c>
      <c r="C267" t="s">
        <v>79</v>
      </c>
      <c r="D267" t="s">
        <v>80</v>
      </c>
      <c r="E267" t="s">
        <v>80</v>
      </c>
      <c r="F267" s="4">
        <v>2537633.5299999998</v>
      </c>
      <c r="G267" s="4" t="s">
        <v>7</v>
      </c>
      <c r="H267" t="str">
        <f>IFERROR(VLOOKUP(E267,'GASB Match'!$A$2:$B$240,2,FALSE),"")</f>
        <v/>
      </c>
    </row>
    <row r="268" spans="1:8" x14ac:dyDescent="0.2">
      <c r="A268" t="s">
        <v>7</v>
      </c>
      <c r="B268" s="3">
        <v>2017</v>
      </c>
      <c r="C268" t="s">
        <v>79</v>
      </c>
      <c r="D268" t="s">
        <v>80</v>
      </c>
      <c r="E268" t="s">
        <v>80</v>
      </c>
      <c r="F268" s="4">
        <v>2571819</v>
      </c>
      <c r="G268" s="4" t="s">
        <v>7</v>
      </c>
      <c r="H268" t="str">
        <f>IFERROR(VLOOKUP(E268,'GASB Match'!$A$2:$B$240,2,FALSE),"")</f>
        <v/>
      </c>
    </row>
    <row r="269" spans="1:8" x14ac:dyDescent="0.2">
      <c r="A269" t="s">
        <v>7</v>
      </c>
      <c r="B269" s="3">
        <v>2018</v>
      </c>
      <c r="C269" t="s">
        <v>79</v>
      </c>
      <c r="D269" t="s">
        <v>80</v>
      </c>
      <c r="E269" t="s">
        <v>80</v>
      </c>
      <c r="F269" s="4">
        <v>3335136</v>
      </c>
      <c r="G269" s="4" t="s">
        <v>7</v>
      </c>
      <c r="H269" t="str">
        <f>IFERROR(VLOOKUP(E269,'GASB Match'!$A$2:$B$240,2,FALSE),"")</f>
        <v/>
      </c>
    </row>
    <row r="270" spans="1:8" x14ac:dyDescent="0.2">
      <c r="A270" t="s">
        <v>7</v>
      </c>
      <c r="B270" s="3">
        <v>2019</v>
      </c>
      <c r="C270" t="s">
        <v>79</v>
      </c>
      <c r="D270" t="s">
        <v>80</v>
      </c>
      <c r="E270" t="s">
        <v>80</v>
      </c>
      <c r="F270" s="4">
        <v>4282233</v>
      </c>
      <c r="G270" s="4" t="s">
        <v>7</v>
      </c>
      <c r="H270" t="str">
        <f>IFERROR(VLOOKUP(E270,'GASB Match'!$A$2:$B$240,2,FALSE),"")</f>
        <v/>
      </c>
    </row>
    <row r="271" spans="1:8" x14ac:dyDescent="0.2">
      <c r="A271" t="s">
        <v>7</v>
      </c>
      <c r="B271" s="3">
        <v>2020</v>
      </c>
      <c r="C271" t="s">
        <v>79</v>
      </c>
      <c r="D271" t="s">
        <v>80</v>
      </c>
      <c r="E271" t="s">
        <v>80</v>
      </c>
      <c r="F271" s="4">
        <v>4443423</v>
      </c>
      <c r="G271" s="4" t="s">
        <v>7</v>
      </c>
      <c r="H271" t="str">
        <f>IFERROR(VLOOKUP(E271,'GASB Match'!$A$2:$B$240,2,FALSE),"")</f>
        <v/>
      </c>
    </row>
    <row r="272" spans="1:8" x14ac:dyDescent="0.2">
      <c r="A272" t="s">
        <v>7</v>
      </c>
      <c r="B272" s="3">
        <v>2021</v>
      </c>
      <c r="C272" t="s">
        <v>79</v>
      </c>
      <c r="D272" t="s">
        <v>80</v>
      </c>
      <c r="E272" t="s">
        <v>80</v>
      </c>
      <c r="F272" s="4">
        <v>3792150</v>
      </c>
      <c r="G272" s="4" t="s">
        <v>7</v>
      </c>
      <c r="H272" t="str">
        <f>IFERROR(VLOOKUP(E272,'GASB Match'!$A$2:$B$240,2,FALSE),"")</f>
        <v/>
      </c>
    </row>
    <row r="273" spans="1:8" x14ac:dyDescent="0.2">
      <c r="A273" t="s">
        <v>7</v>
      </c>
      <c r="B273" s="3">
        <v>2022</v>
      </c>
      <c r="C273" t="s">
        <v>79</v>
      </c>
      <c r="D273" t="s">
        <v>80</v>
      </c>
      <c r="E273" t="s">
        <v>80</v>
      </c>
      <c r="F273" s="4">
        <v>4010872</v>
      </c>
      <c r="G273" s="4" t="s">
        <v>7</v>
      </c>
      <c r="H273" t="str">
        <f>IFERROR(VLOOKUP(E273,'GASB Match'!$A$2:$B$240,2,FALSE),"")</f>
        <v/>
      </c>
    </row>
    <row r="274" spans="1:8" x14ac:dyDescent="0.2">
      <c r="A274" t="s">
        <v>7</v>
      </c>
      <c r="B274" s="3">
        <v>2023</v>
      </c>
      <c r="C274" t="s">
        <v>79</v>
      </c>
      <c r="D274" t="s">
        <v>80</v>
      </c>
      <c r="E274" t="s">
        <v>80</v>
      </c>
      <c r="F274" s="4">
        <v>4558957</v>
      </c>
      <c r="G274" s="4" t="s">
        <v>7</v>
      </c>
      <c r="H274" t="str">
        <f>IFERROR(VLOOKUP(E274,'GASB Match'!$A$2:$B$240,2,FALSE),"")</f>
        <v/>
      </c>
    </row>
    <row r="275" spans="1:8" x14ac:dyDescent="0.2">
      <c r="A275" t="s">
        <v>7</v>
      </c>
      <c r="B275" s="3">
        <v>2015</v>
      </c>
      <c r="C275" t="s">
        <v>81</v>
      </c>
      <c r="D275" t="s">
        <v>82</v>
      </c>
      <c r="E275" t="s">
        <v>82</v>
      </c>
      <c r="F275" s="4">
        <v>3630711.58</v>
      </c>
      <c r="G275" s="4" t="s">
        <v>7</v>
      </c>
      <c r="H275" t="str">
        <f>IFERROR(VLOOKUP(E275,'GASB Match'!$A$2:$B$240,2,FALSE),"")</f>
        <v/>
      </c>
    </row>
    <row r="276" spans="1:8" x14ac:dyDescent="0.2">
      <c r="A276" t="s">
        <v>7</v>
      </c>
      <c r="B276" s="3">
        <v>2016</v>
      </c>
      <c r="C276" t="s">
        <v>81</v>
      </c>
      <c r="D276" t="s">
        <v>82</v>
      </c>
      <c r="E276" t="s">
        <v>82</v>
      </c>
      <c r="F276" s="4">
        <v>4307570.16</v>
      </c>
      <c r="G276" s="4" t="s">
        <v>7</v>
      </c>
      <c r="H276" t="str">
        <f>IFERROR(VLOOKUP(E276,'GASB Match'!$A$2:$B$240,2,FALSE),"")</f>
        <v/>
      </c>
    </row>
    <row r="277" spans="1:8" x14ac:dyDescent="0.2">
      <c r="A277" t="s">
        <v>7</v>
      </c>
      <c r="B277" s="3">
        <v>2017</v>
      </c>
      <c r="C277" t="s">
        <v>81</v>
      </c>
      <c r="D277" t="s">
        <v>82</v>
      </c>
      <c r="E277" t="s">
        <v>82</v>
      </c>
      <c r="F277" s="4">
        <v>4705057</v>
      </c>
      <c r="G277" s="4" t="s">
        <v>7</v>
      </c>
      <c r="H277" t="str">
        <f>IFERROR(VLOOKUP(E277,'GASB Match'!$A$2:$B$240,2,FALSE),"")</f>
        <v/>
      </c>
    </row>
    <row r="278" spans="1:8" x14ac:dyDescent="0.2">
      <c r="A278" t="s">
        <v>7</v>
      </c>
      <c r="B278" s="3">
        <v>2018</v>
      </c>
      <c r="C278" t="s">
        <v>81</v>
      </c>
      <c r="D278" t="s">
        <v>82</v>
      </c>
      <c r="E278" t="s">
        <v>82</v>
      </c>
      <c r="F278" s="4">
        <v>5701711</v>
      </c>
      <c r="G278" s="4" t="s">
        <v>7</v>
      </c>
      <c r="H278" t="str">
        <f>IFERROR(VLOOKUP(E278,'GASB Match'!$A$2:$B$240,2,FALSE),"")</f>
        <v/>
      </c>
    </row>
    <row r="279" spans="1:8" x14ac:dyDescent="0.2">
      <c r="A279" t="s">
        <v>7</v>
      </c>
      <c r="B279" s="3">
        <v>2019</v>
      </c>
      <c r="C279" t="s">
        <v>81</v>
      </c>
      <c r="D279" t="s">
        <v>82</v>
      </c>
      <c r="E279" t="s">
        <v>82</v>
      </c>
      <c r="F279" s="4">
        <v>7339021</v>
      </c>
      <c r="G279" s="4" t="s">
        <v>7</v>
      </c>
      <c r="H279" t="str">
        <f>IFERROR(VLOOKUP(E279,'GASB Match'!$A$2:$B$240,2,FALSE),"")</f>
        <v/>
      </c>
    </row>
    <row r="280" spans="1:8" x14ac:dyDescent="0.2">
      <c r="A280" t="s">
        <v>7</v>
      </c>
      <c r="B280" s="3">
        <v>2020</v>
      </c>
      <c r="C280" t="s">
        <v>81</v>
      </c>
      <c r="D280" t="s">
        <v>82</v>
      </c>
      <c r="E280" t="s">
        <v>82</v>
      </c>
      <c r="F280" s="4">
        <v>7849376</v>
      </c>
      <c r="G280" s="4" t="s">
        <v>7</v>
      </c>
      <c r="H280" t="str">
        <f>IFERROR(VLOOKUP(E280,'GASB Match'!$A$2:$B$240,2,FALSE),"")</f>
        <v/>
      </c>
    </row>
    <row r="281" spans="1:8" x14ac:dyDescent="0.2">
      <c r="A281" t="s">
        <v>7</v>
      </c>
      <c r="B281" s="3">
        <v>2021</v>
      </c>
      <c r="C281" t="s">
        <v>81</v>
      </c>
      <c r="D281" t="s">
        <v>82</v>
      </c>
      <c r="E281" t="s">
        <v>82</v>
      </c>
      <c r="F281" s="4">
        <v>6900038</v>
      </c>
      <c r="G281" s="4" t="s">
        <v>7</v>
      </c>
      <c r="H281" t="str">
        <f>IFERROR(VLOOKUP(E281,'GASB Match'!$A$2:$B$240,2,FALSE),"")</f>
        <v/>
      </c>
    </row>
    <row r="282" spans="1:8" x14ac:dyDescent="0.2">
      <c r="A282" t="s">
        <v>7</v>
      </c>
      <c r="B282" s="3">
        <v>2022</v>
      </c>
      <c r="C282" t="s">
        <v>81</v>
      </c>
      <c r="D282" t="s">
        <v>82</v>
      </c>
      <c r="E282" t="s">
        <v>82</v>
      </c>
      <c r="F282" s="4">
        <v>6988418</v>
      </c>
      <c r="G282" s="4" t="s">
        <v>7</v>
      </c>
      <c r="H282" t="str">
        <f>IFERROR(VLOOKUP(E282,'GASB Match'!$A$2:$B$240,2,FALSE),"")</f>
        <v/>
      </c>
    </row>
    <row r="283" spans="1:8" x14ac:dyDescent="0.2">
      <c r="A283" t="s">
        <v>7</v>
      </c>
      <c r="B283" s="3">
        <v>2023</v>
      </c>
      <c r="C283" t="s">
        <v>81</v>
      </c>
      <c r="D283" t="s">
        <v>82</v>
      </c>
      <c r="E283" t="s">
        <v>82</v>
      </c>
      <c r="F283" s="4">
        <v>7549483</v>
      </c>
      <c r="G283" s="4" t="s">
        <v>7</v>
      </c>
      <c r="H283" t="str">
        <f>IFERROR(VLOOKUP(E283,'GASB Match'!$A$2:$B$240,2,FALSE),"")</f>
        <v/>
      </c>
    </row>
    <row r="284" spans="1:8" x14ac:dyDescent="0.2">
      <c r="A284" t="s">
        <v>7</v>
      </c>
      <c r="B284" s="3">
        <v>2015</v>
      </c>
      <c r="C284" t="s">
        <v>83</v>
      </c>
      <c r="D284" t="s">
        <v>84</v>
      </c>
      <c r="E284" t="s">
        <v>84</v>
      </c>
      <c r="F284" s="4">
        <v>8575190.8699999899</v>
      </c>
      <c r="G284" s="4" t="s">
        <v>7</v>
      </c>
      <c r="H284" t="str">
        <f>IFERROR(VLOOKUP(E284,'GASB Match'!$A$2:$B$240,2,FALSE),"")</f>
        <v/>
      </c>
    </row>
    <row r="285" spans="1:8" x14ac:dyDescent="0.2">
      <c r="A285" t="s">
        <v>7</v>
      </c>
      <c r="B285" s="3">
        <v>2016</v>
      </c>
      <c r="C285" t="s">
        <v>83</v>
      </c>
      <c r="D285" t="s">
        <v>84</v>
      </c>
      <c r="E285" t="s">
        <v>84</v>
      </c>
      <c r="F285" s="4">
        <v>9772386.9399999902</v>
      </c>
      <c r="G285" s="4" t="s">
        <v>7</v>
      </c>
      <c r="H285" t="str">
        <f>IFERROR(VLOOKUP(E285,'GASB Match'!$A$2:$B$240,2,FALSE),"")</f>
        <v/>
      </c>
    </row>
    <row r="286" spans="1:8" x14ac:dyDescent="0.2">
      <c r="A286" t="s">
        <v>7</v>
      </c>
      <c r="B286" s="3">
        <v>2017</v>
      </c>
      <c r="C286" t="s">
        <v>83</v>
      </c>
      <c r="D286" t="s">
        <v>84</v>
      </c>
      <c r="E286" t="s">
        <v>84</v>
      </c>
      <c r="F286" s="4">
        <v>10299816</v>
      </c>
      <c r="G286" s="4" t="s">
        <v>7</v>
      </c>
      <c r="H286" t="str">
        <f>IFERROR(VLOOKUP(E286,'GASB Match'!$A$2:$B$240,2,FALSE),"")</f>
        <v/>
      </c>
    </row>
    <row r="287" spans="1:8" x14ac:dyDescent="0.2">
      <c r="A287" t="s">
        <v>7</v>
      </c>
      <c r="B287" s="3">
        <v>2018</v>
      </c>
      <c r="C287" t="s">
        <v>83</v>
      </c>
      <c r="D287" t="s">
        <v>84</v>
      </c>
      <c r="E287" t="s">
        <v>84</v>
      </c>
      <c r="F287" s="4">
        <v>12537974</v>
      </c>
      <c r="G287" s="4" t="s">
        <v>7</v>
      </c>
      <c r="H287" t="str">
        <f>IFERROR(VLOOKUP(E287,'GASB Match'!$A$2:$B$240,2,FALSE),"")</f>
        <v/>
      </c>
    </row>
    <row r="288" spans="1:8" x14ac:dyDescent="0.2">
      <c r="A288" t="s">
        <v>7</v>
      </c>
      <c r="B288" s="3">
        <v>2019</v>
      </c>
      <c r="C288" t="s">
        <v>83</v>
      </c>
      <c r="D288" t="s">
        <v>84</v>
      </c>
      <c r="E288" t="s">
        <v>84</v>
      </c>
      <c r="F288" s="4">
        <v>19338783</v>
      </c>
      <c r="G288" s="4" t="s">
        <v>7</v>
      </c>
      <c r="H288" t="str">
        <f>IFERROR(VLOOKUP(E288,'GASB Match'!$A$2:$B$240,2,FALSE),"")</f>
        <v/>
      </c>
    </row>
    <row r="289" spans="1:8" x14ac:dyDescent="0.2">
      <c r="A289" t="s">
        <v>7</v>
      </c>
      <c r="B289" s="3">
        <v>2020</v>
      </c>
      <c r="C289" t="s">
        <v>83</v>
      </c>
      <c r="D289" t="s">
        <v>84</v>
      </c>
      <c r="E289" t="s">
        <v>84</v>
      </c>
      <c r="F289" s="4">
        <v>20118801</v>
      </c>
      <c r="G289" s="4" t="s">
        <v>7</v>
      </c>
      <c r="H289" t="str">
        <f>IFERROR(VLOOKUP(E289,'GASB Match'!$A$2:$B$240,2,FALSE),"")</f>
        <v/>
      </c>
    </row>
    <row r="290" spans="1:8" x14ac:dyDescent="0.2">
      <c r="A290" t="s">
        <v>7</v>
      </c>
      <c r="B290" s="3">
        <v>2021</v>
      </c>
      <c r="C290" t="s">
        <v>83</v>
      </c>
      <c r="D290" t="s">
        <v>84</v>
      </c>
      <c r="E290" t="s">
        <v>84</v>
      </c>
      <c r="F290" s="4">
        <v>17730057</v>
      </c>
      <c r="G290" s="4" t="s">
        <v>7</v>
      </c>
      <c r="H290" t="str">
        <f>IFERROR(VLOOKUP(E290,'GASB Match'!$A$2:$B$240,2,FALSE),"")</f>
        <v/>
      </c>
    </row>
    <row r="291" spans="1:8" x14ac:dyDescent="0.2">
      <c r="A291" t="s">
        <v>7</v>
      </c>
      <c r="B291" s="3">
        <v>2022</v>
      </c>
      <c r="C291" t="s">
        <v>83</v>
      </c>
      <c r="D291" t="s">
        <v>84</v>
      </c>
      <c r="E291" t="s">
        <v>84</v>
      </c>
      <c r="F291" s="4">
        <v>18629472</v>
      </c>
      <c r="G291" s="4" t="s">
        <v>7</v>
      </c>
      <c r="H291" t="str">
        <f>IFERROR(VLOOKUP(E291,'GASB Match'!$A$2:$B$240,2,FALSE),"")</f>
        <v/>
      </c>
    </row>
    <row r="292" spans="1:8" x14ac:dyDescent="0.2">
      <c r="A292" t="s">
        <v>7</v>
      </c>
      <c r="B292" s="3">
        <v>2023</v>
      </c>
      <c r="C292" t="s">
        <v>83</v>
      </c>
      <c r="D292" t="s">
        <v>84</v>
      </c>
      <c r="E292" t="s">
        <v>84</v>
      </c>
      <c r="F292" s="4">
        <v>20213344</v>
      </c>
      <c r="G292" s="4" t="s">
        <v>7</v>
      </c>
      <c r="H292" t="str">
        <f>IFERROR(VLOOKUP(E292,'GASB Match'!$A$2:$B$240,2,FALSE),"")</f>
        <v/>
      </c>
    </row>
    <row r="293" spans="1:8" x14ac:dyDescent="0.2">
      <c r="A293" t="s">
        <v>7</v>
      </c>
      <c r="B293" s="3">
        <v>2015</v>
      </c>
      <c r="C293" t="s">
        <v>85</v>
      </c>
      <c r="D293" t="s">
        <v>86</v>
      </c>
      <c r="E293" t="s">
        <v>86</v>
      </c>
      <c r="F293" s="4">
        <v>2861133.52</v>
      </c>
      <c r="G293" s="4" t="s">
        <v>7</v>
      </c>
      <c r="H293" t="str">
        <f>IFERROR(VLOOKUP(E293,'GASB Match'!$A$2:$B$240,2,FALSE),"")</f>
        <v/>
      </c>
    </row>
    <row r="294" spans="1:8" x14ac:dyDescent="0.2">
      <c r="A294" t="s">
        <v>7</v>
      </c>
      <c r="B294" s="3">
        <v>2016</v>
      </c>
      <c r="C294" t="s">
        <v>85</v>
      </c>
      <c r="D294" t="s">
        <v>86</v>
      </c>
      <c r="E294" t="s">
        <v>86</v>
      </c>
      <c r="F294" s="4">
        <v>3433252.63</v>
      </c>
      <c r="G294" s="4" t="s">
        <v>7</v>
      </c>
      <c r="H294" t="str">
        <f>IFERROR(VLOOKUP(E294,'GASB Match'!$A$2:$B$240,2,FALSE),"")</f>
        <v/>
      </c>
    </row>
    <row r="295" spans="1:8" x14ac:dyDescent="0.2">
      <c r="A295" t="s">
        <v>7</v>
      </c>
      <c r="B295" s="3">
        <v>2017</v>
      </c>
      <c r="C295" t="s">
        <v>85</v>
      </c>
      <c r="D295" t="s">
        <v>86</v>
      </c>
      <c r="E295" t="s">
        <v>86</v>
      </c>
      <c r="F295" s="4">
        <v>3849879</v>
      </c>
      <c r="G295" s="4" t="s">
        <v>7</v>
      </c>
      <c r="H295" t="str">
        <f>IFERROR(VLOOKUP(E295,'GASB Match'!$A$2:$B$240,2,FALSE),"")</f>
        <v/>
      </c>
    </row>
    <row r="296" spans="1:8" x14ac:dyDescent="0.2">
      <c r="A296" t="s">
        <v>7</v>
      </c>
      <c r="B296" s="3">
        <v>2018</v>
      </c>
      <c r="C296" t="s">
        <v>85</v>
      </c>
      <c r="D296" t="s">
        <v>86</v>
      </c>
      <c r="E296" t="s">
        <v>86</v>
      </c>
      <c r="F296" s="4">
        <v>4902458</v>
      </c>
      <c r="G296" s="4" t="s">
        <v>7</v>
      </c>
      <c r="H296" t="str">
        <f>IFERROR(VLOOKUP(E296,'GASB Match'!$A$2:$B$240,2,FALSE),"")</f>
        <v/>
      </c>
    </row>
    <row r="297" spans="1:8" x14ac:dyDescent="0.2">
      <c r="A297" t="s">
        <v>7</v>
      </c>
      <c r="B297" s="3">
        <v>2019</v>
      </c>
      <c r="C297" t="s">
        <v>85</v>
      </c>
      <c r="D297" t="s">
        <v>86</v>
      </c>
      <c r="E297" t="s">
        <v>86</v>
      </c>
      <c r="F297" s="4">
        <v>6333212</v>
      </c>
      <c r="G297" s="4" t="s">
        <v>7</v>
      </c>
      <c r="H297" t="str">
        <f>IFERROR(VLOOKUP(E297,'GASB Match'!$A$2:$B$240,2,FALSE),"")</f>
        <v/>
      </c>
    </row>
    <row r="298" spans="1:8" x14ac:dyDescent="0.2">
      <c r="A298" t="s">
        <v>7</v>
      </c>
      <c r="B298" s="3">
        <v>2020</v>
      </c>
      <c r="C298" t="s">
        <v>85</v>
      </c>
      <c r="D298" t="s">
        <v>86</v>
      </c>
      <c r="E298" t="s">
        <v>86</v>
      </c>
      <c r="F298" s="4">
        <v>6972552</v>
      </c>
      <c r="G298" s="4" t="s">
        <v>7</v>
      </c>
      <c r="H298" t="str">
        <f>IFERROR(VLOOKUP(E298,'GASB Match'!$A$2:$B$240,2,FALSE),"")</f>
        <v/>
      </c>
    </row>
    <row r="299" spans="1:8" x14ac:dyDescent="0.2">
      <c r="A299" t="s">
        <v>7</v>
      </c>
      <c r="B299" s="3">
        <v>2021</v>
      </c>
      <c r="C299" t="s">
        <v>85</v>
      </c>
      <c r="D299" t="s">
        <v>86</v>
      </c>
      <c r="E299" t="s">
        <v>86</v>
      </c>
      <c r="F299" s="4">
        <v>6098129</v>
      </c>
      <c r="G299" s="4" t="s">
        <v>7</v>
      </c>
      <c r="H299" t="str">
        <f>IFERROR(VLOOKUP(E299,'GASB Match'!$A$2:$B$240,2,FALSE),"")</f>
        <v/>
      </c>
    </row>
    <row r="300" spans="1:8" x14ac:dyDescent="0.2">
      <c r="A300" t="s">
        <v>7</v>
      </c>
      <c r="B300" s="3">
        <v>2022</v>
      </c>
      <c r="C300" t="s">
        <v>85</v>
      </c>
      <c r="D300" t="s">
        <v>86</v>
      </c>
      <c r="E300" t="s">
        <v>86</v>
      </c>
      <c r="F300" s="4">
        <v>6385383</v>
      </c>
      <c r="G300" s="4" t="s">
        <v>7</v>
      </c>
      <c r="H300" t="str">
        <f>IFERROR(VLOOKUP(E300,'GASB Match'!$A$2:$B$240,2,FALSE),"")</f>
        <v/>
      </c>
    </row>
    <row r="301" spans="1:8" x14ac:dyDescent="0.2">
      <c r="A301" t="s">
        <v>7</v>
      </c>
      <c r="B301" s="3">
        <v>2023</v>
      </c>
      <c r="C301" t="s">
        <v>85</v>
      </c>
      <c r="D301" t="s">
        <v>86</v>
      </c>
      <c r="E301" t="s">
        <v>86</v>
      </c>
      <c r="F301" s="4">
        <v>7012414</v>
      </c>
      <c r="G301" s="4" t="s">
        <v>7</v>
      </c>
      <c r="H301" t="str">
        <f>IFERROR(VLOOKUP(E301,'GASB Match'!$A$2:$B$240,2,FALSE),"")</f>
        <v/>
      </c>
    </row>
    <row r="302" spans="1:8" x14ac:dyDescent="0.2">
      <c r="A302" t="s">
        <v>7</v>
      </c>
      <c r="B302" s="3">
        <v>2015</v>
      </c>
      <c r="C302" t="s">
        <v>87</v>
      </c>
      <c r="D302" t="s">
        <v>89</v>
      </c>
      <c r="E302" t="s">
        <v>88</v>
      </c>
      <c r="F302" s="4">
        <v>971841</v>
      </c>
      <c r="G302" s="4" t="s">
        <v>7</v>
      </c>
      <c r="H302" t="str">
        <f>IFERROR(VLOOKUP(E302,'GASB Match'!$A$2:$B$240,2,FALSE),"")</f>
        <v/>
      </c>
    </row>
    <row r="303" spans="1:8" x14ac:dyDescent="0.2">
      <c r="A303" t="s">
        <v>7</v>
      </c>
      <c r="B303" s="3">
        <v>2016</v>
      </c>
      <c r="C303" t="s">
        <v>87</v>
      </c>
      <c r="D303" t="s">
        <v>89</v>
      </c>
      <c r="E303" t="s">
        <v>88</v>
      </c>
      <c r="F303" s="4">
        <v>1034685.6</v>
      </c>
      <c r="G303" s="4" t="s">
        <v>7</v>
      </c>
      <c r="H303" t="str">
        <f>IFERROR(VLOOKUP(E303,'GASB Match'!$A$2:$B$240,2,FALSE),"")</f>
        <v/>
      </c>
    </row>
    <row r="304" spans="1:8" x14ac:dyDescent="0.2">
      <c r="A304" t="s">
        <v>7</v>
      </c>
      <c r="B304" s="3">
        <v>2017</v>
      </c>
      <c r="C304" t="s">
        <v>87</v>
      </c>
      <c r="D304" t="s">
        <v>89</v>
      </c>
      <c r="E304" t="s">
        <v>88</v>
      </c>
      <c r="F304" s="4">
        <v>1133578</v>
      </c>
      <c r="G304" s="4" t="s">
        <v>7</v>
      </c>
      <c r="H304" t="str">
        <f>IFERROR(VLOOKUP(E304,'GASB Match'!$A$2:$B$240,2,FALSE),"")</f>
        <v/>
      </c>
    </row>
    <row r="305" spans="1:8" x14ac:dyDescent="0.2">
      <c r="A305" t="s">
        <v>7</v>
      </c>
      <c r="B305" s="3">
        <v>2018</v>
      </c>
      <c r="C305" t="s">
        <v>87</v>
      </c>
      <c r="D305" t="s">
        <v>89</v>
      </c>
      <c r="E305" t="s">
        <v>88</v>
      </c>
      <c r="F305" s="4">
        <v>1423716</v>
      </c>
      <c r="G305" s="4" t="s">
        <v>7</v>
      </c>
      <c r="H305" t="str">
        <f>IFERROR(VLOOKUP(E305,'GASB Match'!$A$2:$B$240,2,FALSE),"")</f>
        <v/>
      </c>
    </row>
    <row r="306" spans="1:8" x14ac:dyDescent="0.2">
      <c r="A306" t="s">
        <v>7</v>
      </c>
      <c r="B306" s="3">
        <v>2019</v>
      </c>
      <c r="C306" t="s">
        <v>87</v>
      </c>
      <c r="D306" t="s">
        <v>89</v>
      </c>
      <c r="E306" t="s">
        <v>88</v>
      </c>
      <c r="F306" s="4">
        <v>1892445</v>
      </c>
      <c r="G306" s="4" t="s">
        <v>7</v>
      </c>
      <c r="H306" t="str">
        <f>IFERROR(VLOOKUP(E306,'GASB Match'!$A$2:$B$240,2,FALSE),"")</f>
        <v/>
      </c>
    </row>
    <row r="307" spans="1:8" x14ac:dyDescent="0.2">
      <c r="A307" t="s">
        <v>7</v>
      </c>
      <c r="B307" s="3">
        <v>2020</v>
      </c>
      <c r="C307" t="s">
        <v>87</v>
      </c>
      <c r="D307" t="s">
        <v>89</v>
      </c>
      <c r="E307" t="s">
        <v>88</v>
      </c>
      <c r="F307" s="4">
        <v>1984100</v>
      </c>
      <c r="G307" s="4" t="s">
        <v>7</v>
      </c>
      <c r="H307" t="str">
        <f>IFERROR(VLOOKUP(E307,'GASB Match'!$A$2:$B$240,2,FALSE),"")</f>
        <v/>
      </c>
    </row>
    <row r="308" spans="1:8" x14ac:dyDescent="0.2">
      <c r="A308" t="s">
        <v>7</v>
      </c>
      <c r="B308" s="3">
        <v>2021</v>
      </c>
      <c r="C308" t="s">
        <v>87</v>
      </c>
      <c r="D308" t="s">
        <v>90</v>
      </c>
      <c r="E308" t="s">
        <v>88</v>
      </c>
      <c r="F308" s="4">
        <v>1810193</v>
      </c>
      <c r="G308" s="4" t="s">
        <v>7</v>
      </c>
      <c r="H308" t="str">
        <f>IFERROR(VLOOKUP(E308,'GASB Match'!$A$2:$B$240,2,FALSE),"")</f>
        <v/>
      </c>
    </row>
    <row r="309" spans="1:8" x14ac:dyDescent="0.2">
      <c r="A309" t="s">
        <v>7</v>
      </c>
      <c r="B309" s="3">
        <v>2022</v>
      </c>
      <c r="C309" t="s">
        <v>87</v>
      </c>
      <c r="D309" t="s">
        <v>88</v>
      </c>
      <c r="E309" t="s">
        <v>88</v>
      </c>
      <c r="F309" s="4">
        <v>1898567</v>
      </c>
      <c r="G309" s="4" t="s">
        <v>7</v>
      </c>
      <c r="H309" t="str">
        <f>IFERROR(VLOOKUP(E309,'GASB Match'!$A$2:$B$240,2,FALSE),"")</f>
        <v/>
      </c>
    </row>
    <row r="310" spans="1:8" x14ac:dyDescent="0.2">
      <c r="A310" t="s">
        <v>7</v>
      </c>
      <c r="B310" s="3">
        <v>2023</v>
      </c>
      <c r="C310" t="s">
        <v>87</v>
      </c>
      <c r="D310" t="s">
        <v>88</v>
      </c>
      <c r="E310" t="s">
        <v>88</v>
      </c>
      <c r="F310" s="4">
        <v>2240678</v>
      </c>
      <c r="G310" s="4" t="s">
        <v>7</v>
      </c>
      <c r="H310" t="str">
        <f>IFERROR(VLOOKUP(E310,'GASB Match'!$A$2:$B$240,2,FALSE),"")</f>
        <v/>
      </c>
    </row>
    <row r="311" spans="1:8" x14ac:dyDescent="0.2">
      <c r="A311" t="s">
        <v>7</v>
      </c>
      <c r="B311" s="3">
        <v>2015</v>
      </c>
      <c r="C311" t="s">
        <v>91</v>
      </c>
      <c r="D311" t="s">
        <v>92</v>
      </c>
      <c r="E311" t="s">
        <v>92</v>
      </c>
      <c r="F311" s="4">
        <v>10510981.720000001</v>
      </c>
      <c r="G311" s="4" t="s">
        <v>7</v>
      </c>
      <c r="H311" t="str">
        <f>IFERROR(VLOOKUP(E311,'GASB Match'!$A$2:$B$240,2,FALSE),"")</f>
        <v/>
      </c>
    </row>
    <row r="312" spans="1:8" x14ac:dyDescent="0.2">
      <c r="A312" t="s">
        <v>7</v>
      </c>
      <c r="B312" s="3">
        <v>2016</v>
      </c>
      <c r="C312" t="s">
        <v>91</v>
      </c>
      <c r="D312" t="s">
        <v>92</v>
      </c>
      <c r="E312" t="s">
        <v>92</v>
      </c>
      <c r="F312" s="4">
        <v>13563106.35</v>
      </c>
      <c r="G312" s="4" t="s">
        <v>7</v>
      </c>
      <c r="H312" t="str">
        <f>IFERROR(VLOOKUP(E312,'GASB Match'!$A$2:$B$240,2,FALSE),"")</f>
        <v/>
      </c>
    </row>
    <row r="313" spans="1:8" x14ac:dyDescent="0.2">
      <c r="A313" t="s">
        <v>7</v>
      </c>
      <c r="B313" s="3">
        <v>2017</v>
      </c>
      <c r="C313" t="s">
        <v>91</v>
      </c>
      <c r="D313" t="s">
        <v>92</v>
      </c>
      <c r="E313" t="s">
        <v>92</v>
      </c>
      <c r="F313" s="4">
        <v>14727957</v>
      </c>
      <c r="G313" s="4" t="s">
        <v>7</v>
      </c>
      <c r="H313" t="str">
        <f>IFERROR(VLOOKUP(E313,'GASB Match'!$A$2:$B$240,2,FALSE),"")</f>
        <v/>
      </c>
    </row>
    <row r="314" spans="1:8" x14ac:dyDescent="0.2">
      <c r="A314" t="s">
        <v>7</v>
      </c>
      <c r="B314" s="3">
        <v>2018</v>
      </c>
      <c r="C314" t="s">
        <v>91</v>
      </c>
      <c r="D314" t="s">
        <v>92</v>
      </c>
      <c r="E314" t="s">
        <v>92</v>
      </c>
      <c r="F314" s="4">
        <v>19635088</v>
      </c>
      <c r="G314" s="4" t="s">
        <v>7</v>
      </c>
      <c r="H314" t="str">
        <f>IFERROR(VLOOKUP(E314,'GASB Match'!$A$2:$B$240,2,FALSE),"")</f>
        <v/>
      </c>
    </row>
    <row r="315" spans="1:8" x14ac:dyDescent="0.2">
      <c r="A315" t="s">
        <v>7</v>
      </c>
      <c r="B315" s="3">
        <v>2019</v>
      </c>
      <c r="C315" t="s">
        <v>91</v>
      </c>
      <c r="D315" t="s">
        <v>92</v>
      </c>
      <c r="E315" t="s">
        <v>92</v>
      </c>
      <c r="F315" s="4">
        <v>25278442</v>
      </c>
      <c r="G315" s="4" t="s">
        <v>7</v>
      </c>
      <c r="H315" t="str">
        <f>IFERROR(VLOOKUP(E315,'GASB Match'!$A$2:$B$240,2,FALSE),"")</f>
        <v/>
      </c>
    </row>
    <row r="316" spans="1:8" x14ac:dyDescent="0.2">
      <c r="A316" t="s">
        <v>7</v>
      </c>
      <c r="B316" s="3">
        <v>2020</v>
      </c>
      <c r="C316" t="s">
        <v>91</v>
      </c>
      <c r="D316" t="s">
        <v>92</v>
      </c>
      <c r="E316" t="s">
        <v>92</v>
      </c>
      <c r="F316" s="4">
        <v>26437854</v>
      </c>
      <c r="G316" s="4" t="s">
        <v>7</v>
      </c>
      <c r="H316" t="str">
        <f>IFERROR(VLOOKUP(E316,'GASB Match'!$A$2:$B$240,2,FALSE),"")</f>
        <v/>
      </c>
    </row>
    <row r="317" spans="1:8" x14ac:dyDescent="0.2">
      <c r="A317" t="s">
        <v>7</v>
      </c>
      <c r="B317" s="3">
        <v>2021</v>
      </c>
      <c r="C317" t="s">
        <v>91</v>
      </c>
      <c r="D317" t="s">
        <v>92</v>
      </c>
      <c r="E317" t="s">
        <v>92</v>
      </c>
      <c r="F317" s="4">
        <v>23793623</v>
      </c>
      <c r="G317" s="4" t="s">
        <v>7</v>
      </c>
      <c r="H317" t="str">
        <f>IFERROR(VLOOKUP(E317,'GASB Match'!$A$2:$B$240,2,FALSE),"")</f>
        <v/>
      </c>
    </row>
    <row r="318" spans="1:8" x14ac:dyDescent="0.2">
      <c r="A318" t="s">
        <v>7</v>
      </c>
      <c r="B318" s="3">
        <v>2022</v>
      </c>
      <c r="C318" t="s">
        <v>91</v>
      </c>
      <c r="D318" t="s">
        <v>92</v>
      </c>
      <c r="E318" t="s">
        <v>92</v>
      </c>
      <c r="F318" s="4">
        <v>26388913</v>
      </c>
      <c r="G318" s="4" t="s">
        <v>7</v>
      </c>
      <c r="H318" t="str">
        <f>IFERROR(VLOOKUP(E318,'GASB Match'!$A$2:$B$240,2,FALSE),"")</f>
        <v/>
      </c>
    </row>
    <row r="319" spans="1:8" x14ac:dyDescent="0.2">
      <c r="A319" t="s">
        <v>7</v>
      </c>
      <c r="B319" s="3">
        <v>2023</v>
      </c>
      <c r="C319" t="s">
        <v>91</v>
      </c>
      <c r="D319" t="s">
        <v>92</v>
      </c>
      <c r="E319" t="s">
        <v>92</v>
      </c>
      <c r="F319" s="4">
        <v>30625312</v>
      </c>
      <c r="G319" s="4" t="s">
        <v>7</v>
      </c>
      <c r="H319" t="str">
        <f>IFERROR(VLOOKUP(E319,'GASB Match'!$A$2:$B$240,2,FALSE),"")</f>
        <v/>
      </c>
    </row>
    <row r="320" spans="1:8" x14ac:dyDescent="0.2">
      <c r="A320" t="s">
        <v>7</v>
      </c>
      <c r="B320" s="3">
        <v>2015</v>
      </c>
      <c r="C320" t="s">
        <v>93</v>
      </c>
      <c r="D320" t="s">
        <v>94</v>
      </c>
      <c r="E320" t="s">
        <v>94</v>
      </c>
      <c r="F320" s="4">
        <v>6049892.71</v>
      </c>
      <c r="G320" s="4" t="s">
        <v>7</v>
      </c>
      <c r="H320" t="str">
        <f>IFERROR(VLOOKUP(E320,'GASB Match'!$A$2:$B$240,2,FALSE),"")</f>
        <v/>
      </c>
    </row>
    <row r="321" spans="1:8" x14ac:dyDescent="0.2">
      <c r="A321" t="s">
        <v>7</v>
      </c>
      <c r="B321" s="3">
        <v>2016</v>
      </c>
      <c r="C321" t="s">
        <v>93</v>
      </c>
      <c r="D321" t="s">
        <v>94</v>
      </c>
      <c r="E321" t="s">
        <v>94</v>
      </c>
      <c r="F321" s="4">
        <v>7395219.3200000003</v>
      </c>
      <c r="G321" s="4" t="s">
        <v>7</v>
      </c>
      <c r="H321" t="str">
        <f>IFERROR(VLOOKUP(E321,'GASB Match'!$A$2:$B$240,2,FALSE),"")</f>
        <v/>
      </c>
    </row>
    <row r="322" spans="1:8" x14ac:dyDescent="0.2">
      <c r="A322" t="s">
        <v>7</v>
      </c>
      <c r="B322" s="3">
        <v>2017</v>
      </c>
      <c r="C322" t="s">
        <v>93</v>
      </c>
      <c r="D322" t="s">
        <v>94</v>
      </c>
      <c r="E322" t="s">
        <v>94</v>
      </c>
      <c r="F322" s="4">
        <v>8105424</v>
      </c>
      <c r="G322" s="4" t="s">
        <v>7</v>
      </c>
      <c r="H322" t="str">
        <f>IFERROR(VLOOKUP(E322,'GASB Match'!$A$2:$B$240,2,FALSE),"")</f>
        <v/>
      </c>
    </row>
    <row r="323" spans="1:8" x14ac:dyDescent="0.2">
      <c r="A323" t="s">
        <v>7</v>
      </c>
      <c r="B323" s="3">
        <v>2018</v>
      </c>
      <c r="C323" t="s">
        <v>93</v>
      </c>
      <c r="D323" t="s">
        <v>94</v>
      </c>
      <c r="E323" t="s">
        <v>94</v>
      </c>
      <c r="F323" s="4">
        <v>10668087</v>
      </c>
      <c r="G323" s="4" t="s">
        <v>7</v>
      </c>
      <c r="H323" t="str">
        <f>IFERROR(VLOOKUP(E323,'GASB Match'!$A$2:$B$240,2,FALSE),"")</f>
        <v/>
      </c>
    </row>
    <row r="324" spans="1:8" x14ac:dyDescent="0.2">
      <c r="A324" t="s">
        <v>7</v>
      </c>
      <c r="B324" s="3">
        <v>2019</v>
      </c>
      <c r="C324" t="s">
        <v>93</v>
      </c>
      <c r="D324" t="s">
        <v>94</v>
      </c>
      <c r="E324" t="s">
        <v>94</v>
      </c>
      <c r="F324" s="4">
        <v>14176099</v>
      </c>
      <c r="G324" s="4" t="s">
        <v>7</v>
      </c>
      <c r="H324" t="str">
        <f>IFERROR(VLOOKUP(E324,'GASB Match'!$A$2:$B$240,2,FALSE),"")</f>
        <v/>
      </c>
    </row>
    <row r="325" spans="1:8" x14ac:dyDescent="0.2">
      <c r="A325" t="s">
        <v>7</v>
      </c>
      <c r="B325" s="3">
        <v>2020</v>
      </c>
      <c r="C325" t="s">
        <v>93</v>
      </c>
      <c r="D325" t="s">
        <v>94</v>
      </c>
      <c r="E325" t="s">
        <v>94</v>
      </c>
      <c r="F325" s="4">
        <v>15367020</v>
      </c>
      <c r="G325" s="4" t="s">
        <v>7</v>
      </c>
      <c r="H325" t="str">
        <f>IFERROR(VLOOKUP(E325,'GASB Match'!$A$2:$B$240,2,FALSE),"")</f>
        <v/>
      </c>
    </row>
    <row r="326" spans="1:8" x14ac:dyDescent="0.2">
      <c r="A326" t="s">
        <v>7</v>
      </c>
      <c r="B326" s="3">
        <v>2021</v>
      </c>
      <c r="C326" t="s">
        <v>93</v>
      </c>
      <c r="D326" t="s">
        <v>94</v>
      </c>
      <c r="E326" t="s">
        <v>94</v>
      </c>
      <c r="F326" s="4">
        <v>13789601</v>
      </c>
      <c r="G326" s="4" t="s">
        <v>7</v>
      </c>
      <c r="H326" t="str">
        <f>IFERROR(VLOOKUP(E326,'GASB Match'!$A$2:$B$240,2,FALSE),"")</f>
        <v/>
      </c>
    </row>
    <row r="327" spans="1:8" x14ac:dyDescent="0.2">
      <c r="A327" t="s">
        <v>7</v>
      </c>
      <c r="B327" s="3">
        <v>2022</v>
      </c>
      <c r="C327" t="s">
        <v>93</v>
      </c>
      <c r="D327" t="s">
        <v>94</v>
      </c>
      <c r="E327" t="s">
        <v>94</v>
      </c>
      <c r="F327" s="4">
        <v>14450933</v>
      </c>
      <c r="G327" s="4" t="s">
        <v>7</v>
      </c>
      <c r="H327" t="str">
        <f>IFERROR(VLOOKUP(E327,'GASB Match'!$A$2:$B$240,2,FALSE),"")</f>
        <v/>
      </c>
    </row>
    <row r="328" spans="1:8" x14ac:dyDescent="0.2">
      <c r="A328" t="s">
        <v>7</v>
      </c>
      <c r="B328" s="3">
        <v>2023</v>
      </c>
      <c r="C328" t="s">
        <v>93</v>
      </c>
      <c r="D328" t="s">
        <v>94</v>
      </c>
      <c r="E328" t="s">
        <v>94</v>
      </c>
      <c r="F328" s="4">
        <v>15743132</v>
      </c>
      <c r="G328" s="4" t="s">
        <v>7</v>
      </c>
      <c r="H328" t="str">
        <f>IFERROR(VLOOKUP(E328,'GASB Match'!$A$2:$B$240,2,FALSE),"")</f>
        <v/>
      </c>
    </row>
    <row r="329" spans="1:8" x14ac:dyDescent="0.2">
      <c r="A329" t="s">
        <v>7</v>
      </c>
      <c r="B329" s="3">
        <v>2015</v>
      </c>
      <c r="C329" t="s">
        <v>95</v>
      </c>
      <c r="D329" t="s">
        <v>96</v>
      </c>
      <c r="E329" t="s">
        <v>96</v>
      </c>
      <c r="F329" s="4">
        <v>2610328.41</v>
      </c>
      <c r="G329" s="4" t="s">
        <v>7</v>
      </c>
      <c r="H329" t="str">
        <f>IFERROR(VLOOKUP(E329,'GASB Match'!$A$2:$B$240,2,FALSE),"")</f>
        <v/>
      </c>
    </row>
    <row r="330" spans="1:8" x14ac:dyDescent="0.2">
      <c r="A330" t="s">
        <v>7</v>
      </c>
      <c r="B330" s="3">
        <v>2016</v>
      </c>
      <c r="C330" t="s">
        <v>95</v>
      </c>
      <c r="D330" t="s">
        <v>96</v>
      </c>
      <c r="E330" t="s">
        <v>96</v>
      </c>
      <c r="F330" s="4">
        <v>2999119.84</v>
      </c>
      <c r="G330" s="4" t="s">
        <v>7</v>
      </c>
      <c r="H330" t="str">
        <f>IFERROR(VLOOKUP(E330,'GASB Match'!$A$2:$B$240,2,FALSE),"")</f>
        <v/>
      </c>
    </row>
    <row r="331" spans="1:8" x14ac:dyDescent="0.2">
      <c r="A331" t="s">
        <v>7</v>
      </c>
      <c r="B331" s="3">
        <v>2017</v>
      </c>
      <c r="C331" t="s">
        <v>95</v>
      </c>
      <c r="D331" t="s">
        <v>96</v>
      </c>
      <c r="E331" t="s">
        <v>96</v>
      </c>
      <c r="F331" s="4">
        <v>3082794</v>
      </c>
      <c r="G331" s="4" t="s">
        <v>7</v>
      </c>
      <c r="H331" t="str">
        <f>IFERROR(VLOOKUP(E331,'GASB Match'!$A$2:$B$240,2,FALSE),"")</f>
        <v/>
      </c>
    </row>
    <row r="332" spans="1:8" x14ac:dyDescent="0.2">
      <c r="A332" t="s">
        <v>7</v>
      </c>
      <c r="B332" s="3">
        <v>2018</v>
      </c>
      <c r="C332" t="s">
        <v>95</v>
      </c>
      <c r="D332" t="s">
        <v>96</v>
      </c>
      <c r="E332" t="s">
        <v>96</v>
      </c>
      <c r="F332" s="4">
        <v>3746205</v>
      </c>
      <c r="G332" s="4" t="s">
        <v>7</v>
      </c>
      <c r="H332" t="str">
        <f>IFERROR(VLOOKUP(E332,'GASB Match'!$A$2:$B$240,2,FALSE),"")</f>
        <v/>
      </c>
    </row>
    <row r="333" spans="1:8" x14ac:dyDescent="0.2">
      <c r="A333" t="s">
        <v>7</v>
      </c>
      <c r="B333" s="3">
        <v>2019</v>
      </c>
      <c r="C333" t="s">
        <v>95</v>
      </c>
      <c r="D333" t="s">
        <v>96</v>
      </c>
      <c r="E333" t="s">
        <v>96</v>
      </c>
      <c r="F333" s="4">
        <v>4449265</v>
      </c>
      <c r="G333" s="4" t="s">
        <v>7</v>
      </c>
      <c r="H333" t="str">
        <f>IFERROR(VLOOKUP(E333,'GASB Match'!$A$2:$B$240,2,FALSE),"")</f>
        <v/>
      </c>
    </row>
    <row r="334" spans="1:8" x14ac:dyDescent="0.2">
      <c r="A334" t="s">
        <v>7</v>
      </c>
      <c r="B334" s="3">
        <v>2020</v>
      </c>
      <c r="C334" t="s">
        <v>95</v>
      </c>
      <c r="D334" t="s">
        <v>96</v>
      </c>
      <c r="E334" t="s">
        <v>96</v>
      </c>
      <c r="F334" s="4">
        <v>4062728</v>
      </c>
      <c r="G334" s="4" t="s">
        <v>7</v>
      </c>
      <c r="H334" t="str">
        <f>IFERROR(VLOOKUP(E334,'GASB Match'!$A$2:$B$240,2,FALSE),"")</f>
        <v/>
      </c>
    </row>
    <row r="335" spans="1:8" x14ac:dyDescent="0.2">
      <c r="A335" t="s">
        <v>7</v>
      </c>
      <c r="B335" s="3">
        <v>2021</v>
      </c>
      <c r="C335" t="s">
        <v>95</v>
      </c>
      <c r="D335" t="s">
        <v>96</v>
      </c>
      <c r="E335" t="s">
        <v>96</v>
      </c>
      <c r="F335" s="4">
        <v>3307542</v>
      </c>
      <c r="G335" s="4" t="s">
        <v>7</v>
      </c>
      <c r="H335" t="str">
        <f>IFERROR(VLOOKUP(E335,'GASB Match'!$A$2:$B$240,2,FALSE),"")</f>
        <v/>
      </c>
    </row>
    <row r="336" spans="1:8" x14ac:dyDescent="0.2">
      <c r="A336" t="s">
        <v>7</v>
      </c>
      <c r="B336" s="3">
        <v>2022</v>
      </c>
      <c r="C336" t="s">
        <v>95</v>
      </c>
      <c r="D336" t="s">
        <v>96</v>
      </c>
      <c r="E336" t="s">
        <v>96</v>
      </c>
      <c r="F336" s="4">
        <v>3299523</v>
      </c>
      <c r="G336" s="4" t="s">
        <v>7</v>
      </c>
      <c r="H336" t="str">
        <f>IFERROR(VLOOKUP(E336,'GASB Match'!$A$2:$B$240,2,FALSE),"")</f>
        <v/>
      </c>
    </row>
    <row r="337" spans="1:8" x14ac:dyDescent="0.2">
      <c r="A337" t="s">
        <v>7</v>
      </c>
      <c r="B337" s="3">
        <v>2023</v>
      </c>
      <c r="C337" t="s">
        <v>95</v>
      </c>
      <c r="D337" t="s">
        <v>96</v>
      </c>
      <c r="E337" t="s">
        <v>96</v>
      </c>
      <c r="F337" s="4">
        <v>3229128</v>
      </c>
      <c r="G337" s="4" t="s">
        <v>7</v>
      </c>
      <c r="H337" t="str">
        <f>IFERROR(VLOOKUP(E337,'GASB Match'!$A$2:$B$240,2,FALSE),"")</f>
        <v/>
      </c>
    </row>
    <row r="338" spans="1:8" x14ac:dyDescent="0.2">
      <c r="A338" t="s">
        <v>7</v>
      </c>
      <c r="B338" s="3">
        <v>2015</v>
      </c>
      <c r="C338" t="s">
        <v>97</v>
      </c>
      <c r="D338" t="s">
        <v>98</v>
      </c>
      <c r="E338" t="s">
        <v>98</v>
      </c>
      <c r="F338" s="4">
        <v>4993690.75</v>
      </c>
      <c r="G338" s="4" t="s">
        <v>7</v>
      </c>
      <c r="H338" t="str">
        <f>IFERROR(VLOOKUP(E338,'GASB Match'!$A$2:$B$240,2,FALSE),"")</f>
        <v/>
      </c>
    </row>
    <row r="339" spans="1:8" x14ac:dyDescent="0.2">
      <c r="A339" t="s">
        <v>7</v>
      </c>
      <c r="B339" s="3">
        <v>2016</v>
      </c>
      <c r="C339" t="s">
        <v>97</v>
      </c>
      <c r="D339" t="s">
        <v>98</v>
      </c>
      <c r="E339" t="s">
        <v>98</v>
      </c>
      <c r="F339" s="4">
        <v>5032042.5199999996</v>
      </c>
      <c r="G339" s="4" t="s">
        <v>7</v>
      </c>
      <c r="H339" t="str">
        <f>IFERROR(VLOOKUP(E339,'GASB Match'!$A$2:$B$240,2,FALSE),"")</f>
        <v/>
      </c>
    </row>
    <row r="340" spans="1:8" x14ac:dyDescent="0.2">
      <c r="A340" t="s">
        <v>7</v>
      </c>
      <c r="B340" s="3">
        <v>2017</v>
      </c>
      <c r="C340" t="s">
        <v>97</v>
      </c>
      <c r="D340" t="s">
        <v>98</v>
      </c>
      <c r="E340" t="s">
        <v>98</v>
      </c>
      <c r="F340" s="4">
        <v>4978297</v>
      </c>
      <c r="G340" s="4" t="s">
        <v>7</v>
      </c>
      <c r="H340" t="str">
        <f>IFERROR(VLOOKUP(E340,'GASB Match'!$A$2:$B$240,2,FALSE),"")</f>
        <v/>
      </c>
    </row>
    <row r="341" spans="1:8" x14ac:dyDescent="0.2">
      <c r="A341" t="s">
        <v>7</v>
      </c>
      <c r="B341" s="3">
        <v>2018</v>
      </c>
      <c r="C341" t="s">
        <v>97</v>
      </c>
      <c r="D341" t="s">
        <v>98</v>
      </c>
      <c r="E341" t="s">
        <v>98</v>
      </c>
      <c r="F341" s="4">
        <v>6016468</v>
      </c>
      <c r="G341" s="4" t="s">
        <v>7</v>
      </c>
      <c r="H341" t="str">
        <f>IFERROR(VLOOKUP(E341,'GASB Match'!$A$2:$B$240,2,FALSE),"")</f>
        <v/>
      </c>
    </row>
    <row r="342" spans="1:8" x14ac:dyDescent="0.2">
      <c r="A342" t="s">
        <v>7</v>
      </c>
      <c r="B342" s="3">
        <v>2019</v>
      </c>
      <c r="C342" t="s">
        <v>97</v>
      </c>
      <c r="D342" t="s">
        <v>98</v>
      </c>
      <c r="E342" t="s">
        <v>98</v>
      </c>
      <c r="F342" s="4">
        <v>7665421</v>
      </c>
      <c r="G342" s="4" t="s">
        <v>7</v>
      </c>
      <c r="H342" t="str">
        <f>IFERROR(VLOOKUP(E342,'GASB Match'!$A$2:$B$240,2,FALSE),"")</f>
        <v/>
      </c>
    </row>
    <row r="343" spans="1:8" x14ac:dyDescent="0.2">
      <c r="A343" t="s">
        <v>7</v>
      </c>
      <c r="B343" s="3">
        <v>2020</v>
      </c>
      <c r="C343" t="s">
        <v>97</v>
      </c>
      <c r="D343" t="s">
        <v>98</v>
      </c>
      <c r="E343" t="s">
        <v>98</v>
      </c>
      <c r="F343" s="4">
        <v>7839516</v>
      </c>
      <c r="G343" s="4" t="s">
        <v>7</v>
      </c>
      <c r="H343" t="str">
        <f>IFERROR(VLOOKUP(E343,'GASB Match'!$A$2:$B$240,2,FALSE),"")</f>
        <v/>
      </c>
    </row>
    <row r="344" spans="1:8" x14ac:dyDescent="0.2">
      <c r="A344" t="s">
        <v>7</v>
      </c>
      <c r="B344" s="3">
        <v>2021</v>
      </c>
      <c r="C344" t="s">
        <v>97</v>
      </c>
      <c r="D344" t="s">
        <v>98</v>
      </c>
      <c r="E344" t="s">
        <v>98</v>
      </c>
      <c r="F344" s="4">
        <v>6777150</v>
      </c>
      <c r="G344" s="4" t="s">
        <v>7</v>
      </c>
      <c r="H344" t="str">
        <f>IFERROR(VLOOKUP(E344,'GASB Match'!$A$2:$B$240,2,FALSE),"")</f>
        <v/>
      </c>
    </row>
    <row r="345" spans="1:8" x14ac:dyDescent="0.2">
      <c r="A345" t="s">
        <v>7</v>
      </c>
      <c r="B345" s="3">
        <v>2022</v>
      </c>
      <c r="C345" t="s">
        <v>97</v>
      </c>
      <c r="D345" t="s">
        <v>98</v>
      </c>
      <c r="E345" t="s">
        <v>98</v>
      </c>
      <c r="F345" s="4">
        <v>7178443</v>
      </c>
      <c r="G345" s="4" t="s">
        <v>7</v>
      </c>
      <c r="H345" t="str">
        <f>IFERROR(VLOOKUP(E345,'GASB Match'!$A$2:$B$240,2,FALSE),"")</f>
        <v/>
      </c>
    </row>
    <row r="346" spans="1:8" x14ac:dyDescent="0.2">
      <c r="A346" t="s">
        <v>7</v>
      </c>
      <c r="B346" s="3">
        <v>2023</v>
      </c>
      <c r="C346" t="s">
        <v>97</v>
      </c>
      <c r="D346" t="s">
        <v>98</v>
      </c>
      <c r="E346" t="s">
        <v>98</v>
      </c>
      <c r="F346" s="4">
        <v>7556713</v>
      </c>
      <c r="G346" s="4" t="s">
        <v>7</v>
      </c>
      <c r="H346" t="str">
        <f>IFERROR(VLOOKUP(E346,'GASB Match'!$A$2:$B$240,2,FALSE),"")</f>
        <v/>
      </c>
    </row>
    <row r="347" spans="1:8" x14ac:dyDescent="0.2">
      <c r="A347" t="s">
        <v>7</v>
      </c>
      <c r="B347" s="3">
        <v>2015</v>
      </c>
      <c r="C347" t="s">
        <v>99</v>
      </c>
      <c r="D347" t="s">
        <v>100</v>
      </c>
      <c r="E347" t="s">
        <v>100</v>
      </c>
      <c r="F347" s="4">
        <v>5224342.04</v>
      </c>
      <c r="G347" s="4" t="s">
        <v>7</v>
      </c>
      <c r="H347" t="str">
        <f>IFERROR(VLOOKUP(E347,'GASB Match'!$A$2:$B$240,2,FALSE),"")</f>
        <v/>
      </c>
    </row>
    <row r="348" spans="1:8" x14ac:dyDescent="0.2">
      <c r="A348" t="s">
        <v>7</v>
      </c>
      <c r="B348" s="3">
        <v>2016</v>
      </c>
      <c r="C348" t="s">
        <v>99</v>
      </c>
      <c r="D348" t="s">
        <v>100</v>
      </c>
      <c r="E348" t="s">
        <v>100</v>
      </c>
      <c r="F348" s="4">
        <v>6069585.7300000004</v>
      </c>
      <c r="G348" s="4" t="s">
        <v>7</v>
      </c>
      <c r="H348" t="str">
        <f>IFERROR(VLOOKUP(E348,'GASB Match'!$A$2:$B$240,2,FALSE),"")</f>
        <v/>
      </c>
    </row>
    <row r="349" spans="1:8" x14ac:dyDescent="0.2">
      <c r="A349" t="s">
        <v>7</v>
      </c>
      <c r="B349" s="3">
        <v>2017</v>
      </c>
      <c r="C349" t="s">
        <v>99</v>
      </c>
      <c r="D349" t="s">
        <v>100</v>
      </c>
      <c r="E349" t="s">
        <v>100</v>
      </c>
      <c r="F349" s="4">
        <v>6985510</v>
      </c>
      <c r="G349" s="4" t="s">
        <v>7</v>
      </c>
      <c r="H349" t="str">
        <f>IFERROR(VLOOKUP(E349,'GASB Match'!$A$2:$B$240,2,FALSE),"")</f>
        <v/>
      </c>
    </row>
    <row r="350" spans="1:8" x14ac:dyDescent="0.2">
      <c r="A350" t="s">
        <v>7</v>
      </c>
      <c r="B350" s="3">
        <v>2018</v>
      </c>
      <c r="C350" t="s">
        <v>99</v>
      </c>
      <c r="D350" t="s">
        <v>100</v>
      </c>
      <c r="E350" t="s">
        <v>100</v>
      </c>
      <c r="F350" s="4">
        <v>9049567</v>
      </c>
      <c r="G350" s="4" t="s">
        <v>7</v>
      </c>
      <c r="H350" t="str">
        <f>IFERROR(VLOOKUP(E350,'GASB Match'!$A$2:$B$240,2,FALSE),"")</f>
        <v/>
      </c>
    </row>
    <row r="351" spans="1:8" x14ac:dyDescent="0.2">
      <c r="A351" t="s">
        <v>7</v>
      </c>
      <c r="B351" s="3">
        <v>2019</v>
      </c>
      <c r="C351" t="s">
        <v>99</v>
      </c>
      <c r="D351" t="s">
        <v>100</v>
      </c>
      <c r="E351" t="s">
        <v>100</v>
      </c>
      <c r="F351" s="4">
        <v>11523315</v>
      </c>
      <c r="G351" s="4" t="s">
        <v>7</v>
      </c>
      <c r="H351" t="str">
        <f>IFERROR(VLOOKUP(E351,'GASB Match'!$A$2:$B$240,2,FALSE),"")</f>
        <v/>
      </c>
    </row>
    <row r="352" spans="1:8" x14ac:dyDescent="0.2">
      <c r="A352" t="s">
        <v>7</v>
      </c>
      <c r="B352" s="3">
        <v>2020</v>
      </c>
      <c r="C352" t="s">
        <v>99</v>
      </c>
      <c r="D352" t="s">
        <v>100</v>
      </c>
      <c r="E352" t="s">
        <v>100</v>
      </c>
      <c r="F352" s="4">
        <v>11917025</v>
      </c>
      <c r="G352" s="4" t="s">
        <v>7</v>
      </c>
      <c r="H352" t="str">
        <f>IFERROR(VLOOKUP(E352,'GASB Match'!$A$2:$B$240,2,FALSE),"")</f>
        <v/>
      </c>
    </row>
    <row r="353" spans="1:8" x14ac:dyDescent="0.2">
      <c r="A353" t="s">
        <v>7</v>
      </c>
      <c r="B353" s="3">
        <v>2021</v>
      </c>
      <c r="C353" t="s">
        <v>99</v>
      </c>
      <c r="D353" t="s">
        <v>100</v>
      </c>
      <c r="E353" t="s">
        <v>100</v>
      </c>
      <c r="F353" s="4">
        <v>9965656</v>
      </c>
      <c r="G353" s="4" t="s">
        <v>7</v>
      </c>
      <c r="H353" t="str">
        <f>IFERROR(VLOOKUP(E353,'GASB Match'!$A$2:$B$240,2,FALSE),"")</f>
        <v/>
      </c>
    </row>
    <row r="354" spans="1:8" x14ac:dyDescent="0.2">
      <c r="A354" t="s">
        <v>7</v>
      </c>
      <c r="B354" s="3">
        <v>2022</v>
      </c>
      <c r="C354" t="s">
        <v>99</v>
      </c>
      <c r="D354" t="s">
        <v>100</v>
      </c>
      <c r="E354" t="s">
        <v>100</v>
      </c>
      <c r="F354" s="4">
        <v>10094902</v>
      </c>
      <c r="G354" s="4" t="s">
        <v>7</v>
      </c>
      <c r="H354" t="str">
        <f>IFERROR(VLOOKUP(E354,'GASB Match'!$A$2:$B$240,2,FALSE),"")</f>
        <v/>
      </c>
    </row>
    <row r="355" spans="1:8" x14ac:dyDescent="0.2">
      <c r="A355" t="s">
        <v>7</v>
      </c>
      <c r="B355" s="3">
        <v>2023</v>
      </c>
      <c r="C355" t="s">
        <v>99</v>
      </c>
      <c r="D355" t="s">
        <v>100</v>
      </c>
      <c r="E355" t="s">
        <v>100</v>
      </c>
      <c r="F355" s="4">
        <v>11153008</v>
      </c>
      <c r="G355" s="4" t="s">
        <v>7</v>
      </c>
      <c r="H355" t="str">
        <f>IFERROR(VLOOKUP(E355,'GASB Match'!$A$2:$B$240,2,FALSE),"")</f>
        <v/>
      </c>
    </row>
    <row r="356" spans="1:8" x14ac:dyDescent="0.2">
      <c r="A356" t="s">
        <v>7</v>
      </c>
      <c r="B356" s="3">
        <v>2015</v>
      </c>
      <c r="C356" t="s">
        <v>101</v>
      </c>
      <c r="D356" t="s">
        <v>103</v>
      </c>
      <c r="E356" t="s">
        <v>102</v>
      </c>
      <c r="F356" s="4">
        <v>1233459.6599999999</v>
      </c>
      <c r="G356" s="4" t="s">
        <v>7</v>
      </c>
      <c r="H356" t="str">
        <f>IFERROR(VLOOKUP(E356,'GASB Match'!$A$2:$B$240,2,FALSE),"")</f>
        <v/>
      </c>
    </row>
    <row r="357" spans="1:8" x14ac:dyDescent="0.2">
      <c r="A357" t="s">
        <v>7</v>
      </c>
      <c r="B357" s="3">
        <v>2016</v>
      </c>
      <c r="C357" t="s">
        <v>101</v>
      </c>
      <c r="D357" t="s">
        <v>103</v>
      </c>
      <c r="E357" t="s">
        <v>102</v>
      </c>
      <c r="F357" s="4">
        <v>1372723.61</v>
      </c>
      <c r="G357" s="4" t="s">
        <v>7</v>
      </c>
      <c r="H357" t="str">
        <f>IFERROR(VLOOKUP(E357,'GASB Match'!$A$2:$B$240,2,FALSE),"")</f>
        <v/>
      </c>
    </row>
    <row r="358" spans="1:8" x14ac:dyDescent="0.2">
      <c r="A358" t="s">
        <v>7</v>
      </c>
      <c r="B358" s="3">
        <v>2017</v>
      </c>
      <c r="C358" t="s">
        <v>101</v>
      </c>
      <c r="D358" t="s">
        <v>103</v>
      </c>
      <c r="E358" t="s">
        <v>102</v>
      </c>
      <c r="F358" s="4">
        <v>1432950</v>
      </c>
      <c r="G358" s="4" t="s">
        <v>7</v>
      </c>
      <c r="H358" t="str">
        <f>IFERROR(VLOOKUP(E358,'GASB Match'!$A$2:$B$240,2,FALSE),"")</f>
        <v/>
      </c>
    </row>
    <row r="359" spans="1:8" x14ac:dyDescent="0.2">
      <c r="A359" t="s">
        <v>7</v>
      </c>
      <c r="B359" s="3">
        <v>2018</v>
      </c>
      <c r="C359" t="s">
        <v>101</v>
      </c>
      <c r="D359" t="s">
        <v>103</v>
      </c>
      <c r="E359" t="s">
        <v>102</v>
      </c>
      <c r="F359" s="4">
        <v>2579209</v>
      </c>
      <c r="G359" s="4" t="s">
        <v>7</v>
      </c>
      <c r="H359" t="str">
        <f>IFERROR(VLOOKUP(E359,'GASB Match'!$A$2:$B$240,2,FALSE),"")</f>
        <v/>
      </c>
    </row>
    <row r="360" spans="1:8" x14ac:dyDescent="0.2">
      <c r="A360" t="s">
        <v>7</v>
      </c>
      <c r="B360" s="3">
        <v>2019</v>
      </c>
      <c r="C360" t="s">
        <v>101</v>
      </c>
      <c r="D360" t="s">
        <v>103</v>
      </c>
      <c r="E360" t="s">
        <v>102</v>
      </c>
      <c r="F360" s="4">
        <v>3105752</v>
      </c>
      <c r="G360" s="4" t="s">
        <v>7</v>
      </c>
      <c r="H360" t="str">
        <f>IFERROR(VLOOKUP(E360,'GASB Match'!$A$2:$B$240,2,FALSE),"")</f>
        <v/>
      </c>
    </row>
    <row r="361" spans="1:8" x14ac:dyDescent="0.2">
      <c r="A361" t="s">
        <v>7</v>
      </c>
      <c r="B361" s="3">
        <v>2020</v>
      </c>
      <c r="C361" t="s">
        <v>101</v>
      </c>
      <c r="D361" t="s">
        <v>103</v>
      </c>
      <c r="E361" t="s">
        <v>102</v>
      </c>
      <c r="F361" s="4">
        <v>3268067</v>
      </c>
      <c r="G361" s="4" t="s">
        <v>7</v>
      </c>
      <c r="H361" t="str">
        <f>IFERROR(VLOOKUP(E361,'GASB Match'!$A$2:$B$240,2,FALSE),"")</f>
        <v/>
      </c>
    </row>
    <row r="362" spans="1:8" x14ac:dyDescent="0.2">
      <c r="A362" t="s">
        <v>7</v>
      </c>
      <c r="B362" s="3">
        <v>2021</v>
      </c>
      <c r="C362" t="s">
        <v>101</v>
      </c>
      <c r="D362" t="s">
        <v>103</v>
      </c>
      <c r="E362" t="s">
        <v>102</v>
      </c>
      <c r="F362" s="4">
        <v>2816762</v>
      </c>
      <c r="G362" s="4" t="s">
        <v>7</v>
      </c>
      <c r="H362" t="str">
        <f>IFERROR(VLOOKUP(E362,'GASB Match'!$A$2:$B$240,2,FALSE),"")</f>
        <v/>
      </c>
    </row>
    <row r="363" spans="1:8" x14ac:dyDescent="0.2">
      <c r="A363" t="s">
        <v>7</v>
      </c>
      <c r="B363" s="3">
        <v>2022</v>
      </c>
      <c r="C363" t="s">
        <v>101</v>
      </c>
      <c r="D363" t="s">
        <v>102</v>
      </c>
      <c r="E363" t="s">
        <v>102</v>
      </c>
      <c r="F363" s="4">
        <v>2959001</v>
      </c>
      <c r="G363" s="4" t="s">
        <v>7</v>
      </c>
      <c r="H363" t="str">
        <f>IFERROR(VLOOKUP(E363,'GASB Match'!$A$2:$B$240,2,FALSE),"")</f>
        <v/>
      </c>
    </row>
    <row r="364" spans="1:8" x14ac:dyDescent="0.2">
      <c r="A364" t="s">
        <v>7</v>
      </c>
      <c r="B364" s="3">
        <v>2023</v>
      </c>
      <c r="C364" t="s">
        <v>101</v>
      </c>
      <c r="D364" t="s">
        <v>102</v>
      </c>
      <c r="E364" t="s">
        <v>102</v>
      </c>
      <c r="F364" s="4">
        <v>3242833</v>
      </c>
      <c r="G364" s="4" t="s">
        <v>7</v>
      </c>
      <c r="H364" t="str">
        <f>IFERROR(VLOOKUP(E364,'GASB Match'!$A$2:$B$240,2,FALSE),"")</f>
        <v/>
      </c>
    </row>
    <row r="365" spans="1:8" x14ac:dyDescent="0.2">
      <c r="A365" t="s">
        <v>7</v>
      </c>
      <c r="B365" s="3">
        <v>2015</v>
      </c>
      <c r="C365" t="s">
        <v>104</v>
      </c>
      <c r="D365" t="s">
        <v>105</v>
      </c>
      <c r="E365" t="s">
        <v>105</v>
      </c>
      <c r="F365" s="4">
        <v>1648032.06</v>
      </c>
      <c r="G365" s="4" t="s">
        <v>7</v>
      </c>
      <c r="H365" t="str">
        <f>IFERROR(VLOOKUP(E365,'GASB Match'!$A$2:$B$240,2,FALSE),"")</f>
        <v/>
      </c>
    </row>
    <row r="366" spans="1:8" x14ac:dyDescent="0.2">
      <c r="A366" t="s">
        <v>7</v>
      </c>
      <c r="B366" s="3">
        <v>2016</v>
      </c>
      <c r="C366" t="s">
        <v>104</v>
      </c>
      <c r="D366" t="s">
        <v>105</v>
      </c>
      <c r="E366" t="s">
        <v>105</v>
      </c>
      <c r="F366" s="4">
        <v>1742741.15</v>
      </c>
      <c r="G366" s="4" t="s">
        <v>7</v>
      </c>
      <c r="H366" t="str">
        <f>IFERROR(VLOOKUP(E366,'GASB Match'!$A$2:$B$240,2,FALSE),"")</f>
        <v/>
      </c>
    </row>
    <row r="367" spans="1:8" x14ac:dyDescent="0.2">
      <c r="A367" t="s">
        <v>7</v>
      </c>
      <c r="B367" s="3">
        <v>2017</v>
      </c>
      <c r="C367" t="s">
        <v>104</v>
      </c>
      <c r="D367" t="s">
        <v>105</v>
      </c>
      <c r="E367" t="s">
        <v>105</v>
      </c>
      <c r="F367" s="4">
        <v>1643180</v>
      </c>
      <c r="G367" s="4" t="s">
        <v>7</v>
      </c>
      <c r="H367" t="str">
        <f>IFERROR(VLOOKUP(E367,'GASB Match'!$A$2:$B$240,2,FALSE),"")</f>
        <v/>
      </c>
    </row>
    <row r="368" spans="1:8" x14ac:dyDescent="0.2">
      <c r="A368" t="s">
        <v>7</v>
      </c>
      <c r="B368" s="3">
        <v>2015</v>
      </c>
      <c r="C368" t="s">
        <v>106</v>
      </c>
      <c r="D368" t="s">
        <v>107</v>
      </c>
      <c r="E368" t="s">
        <v>107</v>
      </c>
      <c r="F368" s="4">
        <v>815670.06</v>
      </c>
      <c r="G368" s="4" t="s">
        <v>7</v>
      </c>
      <c r="H368" t="str">
        <f>IFERROR(VLOOKUP(E368,'GASB Match'!$A$2:$B$240,2,FALSE),"")</f>
        <v/>
      </c>
    </row>
    <row r="369" spans="1:8" x14ac:dyDescent="0.2">
      <c r="A369" t="s">
        <v>7</v>
      </c>
      <c r="B369" s="3">
        <v>2016</v>
      </c>
      <c r="C369" t="s">
        <v>106</v>
      </c>
      <c r="D369" t="s">
        <v>107</v>
      </c>
      <c r="E369" t="s">
        <v>107</v>
      </c>
      <c r="F369" s="4">
        <v>771312.31</v>
      </c>
      <c r="G369" s="4" t="s">
        <v>7</v>
      </c>
      <c r="H369" t="str">
        <f>IFERROR(VLOOKUP(E369,'GASB Match'!$A$2:$B$240,2,FALSE),"")</f>
        <v/>
      </c>
    </row>
    <row r="370" spans="1:8" x14ac:dyDescent="0.2">
      <c r="A370" t="s">
        <v>7</v>
      </c>
      <c r="B370" s="3">
        <v>2017</v>
      </c>
      <c r="C370" t="s">
        <v>106</v>
      </c>
      <c r="D370" t="s">
        <v>107</v>
      </c>
      <c r="E370" t="s">
        <v>107</v>
      </c>
      <c r="F370" s="4">
        <v>776631</v>
      </c>
      <c r="G370" s="4" t="s">
        <v>7</v>
      </c>
      <c r="H370" t="str">
        <f>IFERROR(VLOOKUP(E370,'GASB Match'!$A$2:$B$240,2,FALSE),"")</f>
        <v/>
      </c>
    </row>
    <row r="371" spans="1:8" x14ac:dyDescent="0.2">
      <c r="A371" t="s">
        <v>7</v>
      </c>
      <c r="B371" s="3">
        <v>2015</v>
      </c>
      <c r="C371" t="s">
        <v>108</v>
      </c>
      <c r="D371" t="s">
        <v>109</v>
      </c>
      <c r="E371" t="s">
        <v>109</v>
      </c>
      <c r="F371" s="4">
        <v>808622.48</v>
      </c>
      <c r="G371" s="4" t="s">
        <v>7</v>
      </c>
      <c r="H371" t="str">
        <f>IFERROR(VLOOKUP(E371,'GASB Match'!$A$2:$B$240,2,FALSE),"")</f>
        <v/>
      </c>
    </row>
    <row r="372" spans="1:8" x14ac:dyDescent="0.2">
      <c r="A372" t="s">
        <v>7</v>
      </c>
      <c r="B372" s="3">
        <v>2016</v>
      </c>
      <c r="C372" t="s">
        <v>108</v>
      </c>
      <c r="D372" t="s">
        <v>109</v>
      </c>
      <c r="E372" t="s">
        <v>109</v>
      </c>
      <c r="F372" s="4">
        <v>895026.62</v>
      </c>
      <c r="G372" s="4" t="s">
        <v>7</v>
      </c>
      <c r="H372" t="str">
        <f>IFERROR(VLOOKUP(E372,'GASB Match'!$A$2:$B$240,2,FALSE),"")</f>
        <v/>
      </c>
    </row>
    <row r="373" spans="1:8" x14ac:dyDescent="0.2">
      <c r="A373" t="s">
        <v>7</v>
      </c>
      <c r="B373" s="3">
        <v>2017</v>
      </c>
      <c r="C373" t="s">
        <v>108</v>
      </c>
      <c r="D373" t="s">
        <v>109</v>
      </c>
      <c r="E373" t="s">
        <v>109</v>
      </c>
      <c r="F373" s="4">
        <v>964141</v>
      </c>
      <c r="G373" s="4" t="s">
        <v>7</v>
      </c>
      <c r="H373" t="str">
        <f>IFERROR(VLOOKUP(E373,'GASB Match'!$A$2:$B$240,2,FALSE),"")</f>
        <v/>
      </c>
    </row>
    <row r="374" spans="1:8" x14ac:dyDescent="0.2">
      <c r="A374" t="s">
        <v>7</v>
      </c>
      <c r="B374" s="3">
        <v>2018</v>
      </c>
      <c r="C374" t="s">
        <v>108</v>
      </c>
      <c r="D374" t="s">
        <v>109</v>
      </c>
      <c r="E374" t="s">
        <v>109</v>
      </c>
      <c r="F374" s="4">
        <v>1274308</v>
      </c>
      <c r="G374" s="4" t="s">
        <v>7</v>
      </c>
      <c r="H374" t="str">
        <f>IFERROR(VLOOKUP(E374,'GASB Match'!$A$2:$B$240,2,FALSE),"")</f>
        <v/>
      </c>
    </row>
    <row r="375" spans="1:8" x14ac:dyDescent="0.2">
      <c r="A375" t="s">
        <v>7</v>
      </c>
      <c r="B375" s="3">
        <v>2019</v>
      </c>
      <c r="C375" t="s">
        <v>108</v>
      </c>
      <c r="D375" t="s">
        <v>109</v>
      </c>
      <c r="E375" t="s">
        <v>109</v>
      </c>
      <c r="F375" s="4">
        <v>1738141</v>
      </c>
      <c r="G375" s="4" t="s">
        <v>7</v>
      </c>
      <c r="H375" t="str">
        <f>IFERROR(VLOOKUP(E375,'GASB Match'!$A$2:$B$240,2,FALSE),"")</f>
        <v/>
      </c>
    </row>
    <row r="376" spans="1:8" x14ac:dyDescent="0.2">
      <c r="A376" t="s">
        <v>7</v>
      </c>
      <c r="B376" s="3">
        <v>2020</v>
      </c>
      <c r="C376" t="s">
        <v>108</v>
      </c>
      <c r="D376" t="s">
        <v>109</v>
      </c>
      <c r="E376" t="s">
        <v>109</v>
      </c>
      <c r="F376" s="4">
        <v>1823093</v>
      </c>
      <c r="G376" s="4" t="s">
        <v>7</v>
      </c>
      <c r="H376" t="str">
        <f>IFERROR(VLOOKUP(E376,'GASB Match'!$A$2:$B$240,2,FALSE),"")</f>
        <v/>
      </c>
    </row>
    <row r="377" spans="1:8" x14ac:dyDescent="0.2">
      <c r="A377" t="s">
        <v>7</v>
      </c>
      <c r="B377" s="3">
        <v>2021</v>
      </c>
      <c r="C377" t="s">
        <v>108</v>
      </c>
      <c r="D377" t="s">
        <v>109</v>
      </c>
      <c r="E377" t="s">
        <v>109</v>
      </c>
      <c r="F377" s="4">
        <v>1599135</v>
      </c>
      <c r="G377" s="4" t="s">
        <v>7</v>
      </c>
      <c r="H377" t="str">
        <f>IFERROR(VLOOKUP(E377,'GASB Match'!$A$2:$B$240,2,FALSE),"")</f>
        <v/>
      </c>
    </row>
    <row r="378" spans="1:8" x14ac:dyDescent="0.2">
      <c r="A378" t="s">
        <v>7</v>
      </c>
      <c r="B378" s="3">
        <v>2022</v>
      </c>
      <c r="C378" t="s">
        <v>108</v>
      </c>
      <c r="D378" t="s">
        <v>109</v>
      </c>
      <c r="E378" t="s">
        <v>109</v>
      </c>
      <c r="F378" s="4">
        <v>1696809</v>
      </c>
      <c r="G378" s="4" t="s">
        <v>7</v>
      </c>
      <c r="H378" t="str">
        <f>IFERROR(VLOOKUP(E378,'GASB Match'!$A$2:$B$240,2,FALSE),"")</f>
        <v/>
      </c>
    </row>
    <row r="379" spans="1:8" x14ac:dyDescent="0.2">
      <c r="A379" t="s">
        <v>7</v>
      </c>
      <c r="B379" s="3">
        <v>2023</v>
      </c>
      <c r="C379" t="s">
        <v>108</v>
      </c>
      <c r="D379" t="s">
        <v>109</v>
      </c>
      <c r="E379" t="s">
        <v>109</v>
      </c>
      <c r="F379" s="4">
        <v>1913709</v>
      </c>
      <c r="G379" s="4" t="s">
        <v>7</v>
      </c>
      <c r="H379" t="str">
        <f>IFERROR(VLOOKUP(E379,'GASB Match'!$A$2:$B$240,2,FALSE),"")</f>
        <v/>
      </c>
    </row>
    <row r="380" spans="1:8" x14ac:dyDescent="0.2">
      <c r="A380" t="s">
        <v>7</v>
      </c>
      <c r="B380" s="3">
        <v>2015</v>
      </c>
      <c r="C380" t="s">
        <v>110</v>
      </c>
      <c r="D380" t="s">
        <v>111</v>
      </c>
      <c r="E380" t="s">
        <v>111</v>
      </c>
      <c r="F380" s="4">
        <v>1318561.3</v>
      </c>
      <c r="G380" s="4" t="s">
        <v>7</v>
      </c>
      <c r="H380" t="str">
        <f>IFERROR(VLOOKUP(E380,'GASB Match'!$A$2:$B$240,2,FALSE),"")</f>
        <v/>
      </c>
    </row>
    <row r="381" spans="1:8" x14ac:dyDescent="0.2">
      <c r="A381" t="s">
        <v>7</v>
      </c>
      <c r="B381" s="3">
        <v>2016</v>
      </c>
      <c r="C381" t="s">
        <v>110</v>
      </c>
      <c r="D381" t="s">
        <v>111</v>
      </c>
      <c r="E381" t="s">
        <v>111</v>
      </c>
      <c r="F381" s="4">
        <v>1513212.77</v>
      </c>
      <c r="G381" s="4" t="s">
        <v>7</v>
      </c>
      <c r="H381" t="str">
        <f>IFERROR(VLOOKUP(E381,'GASB Match'!$A$2:$B$240,2,FALSE),"")</f>
        <v/>
      </c>
    </row>
    <row r="382" spans="1:8" x14ac:dyDescent="0.2">
      <c r="A382" t="s">
        <v>7</v>
      </c>
      <c r="B382" s="3">
        <v>2017</v>
      </c>
      <c r="C382" t="s">
        <v>110</v>
      </c>
      <c r="D382" t="s">
        <v>111</v>
      </c>
      <c r="E382" t="s">
        <v>111</v>
      </c>
      <c r="F382" s="4">
        <v>1503582</v>
      </c>
      <c r="G382" s="4" t="s">
        <v>7</v>
      </c>
      <c r="H382" t="str">
        <f>IFERROR(VLOOKUP(E382,'GASB Match'!$A$2:$B$240,2,FALSE),"")</f>
        <v/>
      </c>
    </row>
    <row r="383" spans="1:8" x14ac:dyDescent="0.2">
      <c r="A383" t="s">
        <v>7</v>
      </c>
      <c r="B383" s="3">
        <v>2018</v>
      </c>
      <c r="C383" t="s">
        <v>110</v>
      </c>
      <c r="D383" t="s">
        <v>111</v>
      </c>
      <c r="E383" t="s">
        <v>111</v>
      </c>
      <c r="F383" s="4">
        <v>1809354</v>
      </c>
      <c r="G383" s="4" t="s">
        <v>7</v>
      </c>
      <c r="H383" t="str">
        <f>IFERROR(VLOOKUP(E383,'GASB Match'!$A$2:$B$240,2,FALSE),"")</f>
        <v/>
      </c>
    </row>
    <row r="384" spans="1:8" x14ac:dyDescent="0.2">
      <c r="A384" t="s">
        <v>7</v>
      </c>
      <c r="B384" s="3">
        <v>2019</v>
      </c>
      <c r="C384" t="s">
        <v>110</v>
      </c>
      <c r="D384" t="s">
        <v>111</v>
      </c>
      <c r="E384" t="s">
        <v>111</v>
      </c>
      <c r="F384" s="4">
        <v>2244981</v>
      </c>
      <c r="G384" s="4" t="s">
        <v>7</v>
      </c>
      <c r="H384" t="str">
        <f>IFERROR(VLOOKUP(E384,'GASB Match'!$A$2:$B$240,2,FALSE),"")</f>
        <v/>
      </c>
    </row>
    <row r="385" spans="1:8" x14ac:dyDescent="0.2">
      <c r="A385" t="s">
        <v>7</v>
      </c>
      <c r="B385" s="3">
        <v>2020</v>
      </c>
      <c r="C385" t="s">
        <v>110</v>
      </c>
      <c r="D385" t="s">
        <v>111</v>
      </c>
      <c r="E385" t="s">
        <v>111</v>
      </c>
      <c r="F385" s="4">
        <v>2397965</v>
      </c>
      <c r="G385" s="4" t="s">
        <v>7</v>
      </c>
      <c r="H385" t="str">
        <f>IFERROR(VLOOKUP(E385,'GASB Match'!$A$2:$B$240,2,FALSE),"")</f>
        <v/>
      </c>
    </row>
    <row r="386" spans="1:8" x14ac:dyDescent="0.2">
      <c r="A386" t="s">
        <v>7</v>
      </c>
      <c r="B386" s="3">
        <v>2021</v>
      </c>
      <c r="C386" t="s">
        <v>110</v>
      </c>
      <c r="D386" t="s">
        <v>111</v>
      </c>
      <c r="E386" t="s">
        <v>111</v>
      </c>
      <c r="F386" s="4">
        <v>2090111</v>
      </c>
      <c r="G386" s="4" t="s">
        <v>7</v>
      </c>
      <c r="H386" t="str">
        <f>IFERROR(VLOOKUP(E386,'GASB Match'!$A$2:$B$240,2,FALSE),"")</f>
        <v/>
      </c>
    </row>
    <row r="387" spans="1:8" x14ac:dyDescent="0.2">
      <c r="A387" t="s">
        <v>7</v>
      </c>
      <c r="B387" s="3">
        <v>2022</v>
      </c>
      <c r="C387" t="s">
        <v>110</v>
      </c>
      <c r="D387" t="s">
        <v>111</v>
      </c>
      <c r="E387" t="s">
        <v>111</v>
      </c>
      <c r="F387" s="4">
        <v>2145069</v>
      </c>
      <c r="G387" s="4" t="s">
        <v>7</v>
      </c>
      <c r="H387" t="str">
        <f>IFERROR(VLOOKUP(E387,'GASB Match'!$A$2:$B$240,2,FALSE),"")</f>
        <v/>
      </c>
    </row>
    <row r="388" spans="1:8" x14ac:dyDescent="0.2">
      <c r="A388" t="s">
        <v>7</v>
      </c>
      <c r="B388" s="3">
        <v>2023</v>
      </c>
      <c r="C388" t="s">
        <v>110</v>
      </c>
      <c r="D388" t="s">
        <v>111</v>
      </c>
      <c r="E388" t="s">
        <v>111</v>
      </c>
      <c r="F388" s="4">
        <v>2247412</v>
      </c>
      <c r="G388" s="4" t="s">
        <v>7</v>
      </c>
      <c r="H388" t="str">
        <f>IFERROR(VLOOKUP(E388,'GASB Match'!$A$2:$B$240,2,FALSE),"")</f>
        <v/>
      </c>
    </row>
    <row r="389" spans="1:8" x14ac:dyDescent="0.2">
      <c r="A389" t="s">
        <v>7</v>
      </c>
      <c r="B389" s="3">
        <v>2015</v>
      </c>
      <c r="C389" t="s">
        <v>112</v>
      </c>
      <c r="D389" t="s">
        <v>113</v>
      </c>
      <c r="E389" t="s">
        <v>113</v>
      </c>
      <c r="F389" s="4">
        <v>5160449.7300000004</v>
      </c>
      <c r="G389" s="4" t="s">
        <v>7</v>
      </c>
      <c r="H389" t="str">
        <f>IFERROR(VLOOKUP(E389,'GASB Match'!$A$2:$B$240,2,FALSE),"")</f>
        <v/>
      </c>
    </row>
    <row r="390" spans="1:8" x14ac:dyDescent="0.2">
      <c r="A390" t="s">
        <v>7</v>
      </c>
      <c r="B390" s="3">
        <v>2016</v>
      </c>
      <c r="C390" t="s">
        <v>112</v>
      </c>
      <c r="D390" t="s">
        <v>113</v>
      </c>
      <c r="E390" t="s">
        <v>113</v>
      </c>
      <c r="F390" s="4">
        <v>5458413.96</v>
      </c>
      <c r="G390" s="4" t="s">
        <v>7</v>
      </c>
      <c r="H390" t="str">
        <f>IFERROR(VLOOKUP(E390,'GASB Match'!$A$2:$B$240,2,FALSE),"")</f>
        <v/>
      </c>
    </row>
    <row r="391" spans="1:8" x14ac:dyDescent="0.2">
      <c r="A391" t="s">
        <v>7</v>
      </c>
      <c r="B391" s="3">
        <v>2015</v>
      </c>
      <c r="C391" t="s">
        <v>114</v>
      </c>
      <c r="D391" t="s">
        <v>115</v>
      </c>
      <c r="E391" t="s">
        <v>115</v>
      </c>
      <c r="F391" s="4">
        <v>754062.04</v>
      </c>
      <c r="G391" s="4" t="s">
        <v>7</v>
      </c>
      <c r="H391" t="str">
        <f>IFERROR(VLOOKUP(E391,'GASB Match'!$A$2:$B$240,2,FALSE),"")</f>
        <v/>
      </c>
    </row>
    <row r="392" spans="1:8" x14ac:dyDescent="0.2">
      <c r="A392" t="s">
        <v>7</v>
      </c>
      <c r="B392" s="3">
        <v>2016</v>
      </c>
      <c r="C392" t="s">
        <v>114</v>
      </c>
      <c r="D392" t="s">
        <v>115</v>
      </c>
      <c r="E392" t="s">
        <v>115</v>
      </c>
      <c r="F392" s="4">
        <v>878126.06999999902</v>
      </c>
      <c r="G392" s="4" t="s">
        <v>7</v>
      </c>
      <c r="H392" t="str">
        <f>IFERROR(VLOOKUP(E392,'GASB Match'!$A$2:$B$240,2,FALSE),"")</f>
        <v/>
      </c>
    </row>
    <row r="393" spans="1:8" x14ac:dyDescent="0.2">
      <c r="A393" t="s">
        <v>7</v>
      </c>
      <c r="B393" s="3">
        <v>2017</v>
      </c>
      <c r="C393" t="s">
        <v>114</v>
      </c>
      <c r="D393" t="s">
        <v>115</v>
      </c>
      <c r="E393" t="s">
        <v>115</v>
      </c>
      <c r="F393" s="4">
        <v>965937</v>
      </c>
      <c r="G393" s="4" t="s">
        <v>7</v>
      </c>
      <c r="H393" t="str">
        <f>IFERROR(VLOOKUP(E393,'GASB Match'!$A$2:$B$240,2,FALSE),"")</f>
        <v/>
      </c>
    </row>
    <row r="394" spans="1:8" x14ac:dyDescent="0.2">
      <c r="A394" t="s">
        <v>7</v>
      </c>
      <c r="B394" s="3">
        <v>2018</v>
      </c>
      <c r="C394" t="s">
        <v>114</v>
      </c>
      <c r="D394" t="s">
        <v>115</v>
      </c>
      <c r="E394" t="s">
        <v>115</v>
      </c>
      <c r="F394" s="4">
        <v>1181389</v>
      </c>
      <c r="G394" s="4" t="s">
        <v>7</v>
      </c>
      <c r="H394" t="str">
        <f>IFERROR(VLOOKUP(E394,'GASB Match'!$A$2:$B$240,2,FALSE),"")</f>
        <v/>
      </c>
    </row>
    <row r="395" spans="1:8" x14ac:dyDescent="0.2">
      <c r="A395" t="s">
        <v>7</v>
      </c>
      <c r="B395" s="3">
        <v>2019</v>
      </c>
      <c r="C395" t="s">
        <v>114</v>
      </c>
      <c r="D395" t="s">
        <v>115</v>
      </c>
      <c r="E395" t="s">
        <v>115</v>
      </c>
      <c r="F395" s="4">
        <v>1467780</v>
      </c>
      <c r="G395" s="4" t="s">
        <v>7</v>
      </c>
      <c r="H395" t="str">
        <f>IFERROR(VLOOKUP(E395,'GASB Match'!$A$2:$B$240,2,FALSE),"")</f>
        <v/>
      </c>
    </row>
    <row r="396" spans="1:8" x14ac:dyDescent="0.2">
      <c r="A396" t="s">
        <v>7</v>
      </c>
      <c r="B396" s="3">
        <v>2020</v>
      </c>
      <c r="C396" t="s">
        <v>114</v>
      </c>
      <c r="D396" t="s">
        <v>115</v>
      </c>
      <c r="E396" t="s">
        <v>115</v>
      </c>
      <c r="F396" s="4">
        <v>1508009</v>
      </c>
      <c r="G396" s="4" t="s">
        <v>7</v>
      </c>
      <c r="H396" t="str">
        <f>IFERROR(VLOOKUP(E396,'GASB Match'!$A$2:$B$240,2,FALSE),"")</f>
        <v/>
      </c>
    </row>
    <row r="397" spans="1:8" x14ac:dyDescent="0.2">
      <c r="A397" t="s">
        <v>7</v>
      </c>
      <c r="B397" s="3">
        <v>2021</v>
      </c>
      <c r="C397" t="s">
        <v>114</v>
      </c>
      <c r="D397" t="s">
        <v>115</v>
      </c>
      <c r="E397" t="s">
        <v>115</v>
      </c>
      <c r="F397" s="4">
        <v>1329515</v>
      </c>
      <c r="G397" s="4" t="s">
        <v>7</v>
      </c>
      <c r="H397" t="str">
        <f>IFERROR(VLOOKUP(E397,'GASB Match'!$A$2:$B$240,2,FALSE),"")</f>
        <v/>
      </c>
    </row>
    <row r="398" spans="1:8" x14ac:dyDescent="0.2">
      <c r="A398" t="s">
        <v>7</v>
      </c>
      <c r="B398" s="3">
        <v>2022</v>
      </c>
      <c r="C398" t="s">
        <v>114</v>
      </c>
      <c r="D398" t="s">
        <v>115</v>
      </c>
      <c r="E398" t="s">
        <v>115</v>
      </c>
      <c r="F398" s="4">
        <v>1207922</v>
      </c>
      <c r="G398" s="4" t="s">
        <v>7</v>
      </c>
      <c r="H398" t="str">
        <f>IFERROR(VLOOKUP(E398,'GASB Match'!$A$2:$B$240,2,FALSE),"")</f>
        <v/>
      </c>
    </row>
    <row r="399" spans="1:8" x14ac:dyDescent="0.2">
      <c r="A399" t="s">
        <v>7</v>
      </c>
      <c r="B399" s="3">
        <v>2023</v>
      </c>
      <c r="C399" t="s">
        <v>114</v>
      </c>
      <c r="D399" t="s">
        <v>115</v>
      </c>
      <c r="E399" t="s">
        <v>115</v>
      </c>
      <c r="F399" s="4">
        <v>1246819</v>
      </c>
      <c r="G399" s="4" t="s">
        <v>7</v>
      </c>
      <c r="H399" t="str">
        <f>IFERROR(VLOOKUP(E399,'GASB Match'!$A$2:$B$240,2,FALSE),"")</f>
        <v/>
      </c>
    </row>
    <row r="400" spans="1:8" x14ac:dyDescent="0.2">
      <c r="A400" t="s">
        <v>7</v>
      </c>
      <c r="B400" s="3">
        <v>2015</v>
      </c>
      <c r="C400" t="s">
        <v>116</v>
      </c>
      <c r="D400" t="s">
        <v>117</v>
      </c>
      <c r="E400" t="s">
        <v>117</v>
      </c>
      <c r="F400" s="4">
        <v>1451709.38</v>
      </c>
      <c r="G400" s="4" t="s">
        <v>7</v>
      </c>
      <c r="H400" t="str">
        <f>IFERROR(VLOOKUP(E400,'GASB Match'!$A$2:$B$240,2,FALSE),"")</f>
        <v/>
      </c>
    </row>
    <row r="401" spans="1:8" x14ac:dyDescent="0.2">
      <c r="A401" t="s">
        <v>7</v>
      </c>
      <c r="B401" s="3">
        <v>2016</v>
      </c>
      <c r="C401" t="s">
        <v>116</v>
      </c>
      <c r="D401" t="s">
        <v>117</v>
      </c>
      <c r="E401" t="s">
        <v>117</v>
      </c>
      <c r="F401" s="4">
        <v>1635984.4</v>
      </c>
      <c r="G401" s="4" t="s">
        <v>7</v>
      </c>
      <c r="H401" t="str">
        <f>IFERROR(VLOOKUP(E401,'GASB Match'!$A$2:$B$240,2,FALSE),"")</f>
        <v/>
      </c>
    </row>
    <row r="402" spans="1:8" x14ac:dyDescent="0.2">
      <c r="A402" t="s">
        <v>7</v>
      </c>
      <c r="B402" s="3">
        <v>2017</v>
      </c>
      <c r="C402" t="s">
        <v>116</v>
      </c>
      <c r="D402" t="s">
        <v>117</v>
      </c>
      <c r="E402" t="s">
        <v>117</v>
      </c>
      <c r="F402" s="4">
        <v>1648378</v>
      </c>
      <c r="G402" s="4" t="s">
        <v>7</v>
      </c>
      <c r="H402" t="str">
        <f>IFERROR(VLOOKUP(E402,'GASB Match'!$A$2:$B$240,2,FALSE),"")</f>
        <v/>
      </c>
    </row>
    <row r="403" spans="1:8" x14ac:dyDescent="0.2">
      <c r="A403" t="s">
        <v>7</v>
      </c>
      <c r="B403" s="3">
        <v>2018</v>
      </c>
      <c r="C403" t="s">
        <v>116</v>
      </c>
      <c r="D403" t="s">
        <v>117</v>
      </c>
      <c r="E403" t="s">
        <v>117</v>
      </c>
      <c r="F403" s="4">
        <v>2101184</v>
      </c>
      <c r="G403" s="4" t="s">
        <v>7</v>
      </c>
      <c r="H403" t="str">
        <f>IFERROR(VLOOKUP(E403,'GASB Match'!$A$2:$B$240,2,FALSE),"")</f>
        <v/>
      </c>
    </row>
    <row r="404" spans="1:8" x14ac:dyDescent="0.2">
      <c r="A404" t="s">
        <v>7</v>
      </c>
      <c r="B404" s="3">
        <v>2019</v>
      </c>
      <c r="C404" t="s">
        <v>116</v>
      </c>
      <c r="D404" t="s">
        <v>117</v>
      </c>
      <c r="E404" t="s">
        <v>117</v>
      </c>
      <c r="F404" s="4">
        <v>2749055</v>
      </c>
      <c r="G404" s="4" t="s">
        <v>7</v>
      </c>
      <c r="H404" t="str">
        <f>IFERROR(VLOOKUP(E404,'GASB Match'!$A$2:$B$240,2,FALSE),"")</f>
        <v/>
      </c>
    </row>
    <row r="405" spans="1:8" x14ac:dyDescent="0.2">
      <c r="A405" t="s">
        <v>7</v>
      </c>
      <c r="B405" s="3">
        <v>2020</v>
      </c>
      <c r="C405" t="s">
        <v>116</v>
      </c>
      <c r="D405" t="s">
        <v>117</v>
      </c>
      <c r="E405" t="s">
        <v>117</v>
      </c>
      <c r="F405" s="4">
        <v>2843223</v>
      </c>
      <c r="G405" s="4" t="s">
        <v>7</v>
      </c>
      <c r="H405" t="str">
        <f>IFERROR(VLOOKUP(E405,'GASB Match'!$A$2:$B$240,2,FALSE),"")</f>
        <v/>
      </c>
    </row>
    <row r="406" spans="1:8" x14ac:dyDescent="0.2">
      <c r="A406" t="s">
        <v>7</v>
      </c>
      <c r="B406" s="3">
        <v>2021</v>
      </c>
      <c r="C406" t="s">
        <v>116</v>
      </c>
      <c r="D406" t="s">
        <v>117</v>
      </c>
      <c r="E406" t="s">
        <v>117</v>
      </c>
      <c r="F406" s="4">
        <v>2516609</v>
      </c>
      <c r="G406" s="4" t="s">
        <v>7</v>
      </c>
      <c r="H406" t="str">
        <f>IFERROR(VLOOKUP(E406,'GASB Match'!$A$2:$B$240,2,FALSE),"")</f>
        <v/>
      </c>
    </row>
    <row r="407" spans="1:8" x14ac:dyDescent="0.2">
      <c r="A407" t="s">
        <v>7</v>
      </c>
      <c r="B407" s="3">
        <v>2022</v>
      </c>
      <c r="C407" t="s">
        <v>116</v>
      </c>
      <c r="D407" t="s">
        <v>117</v>
      </c>
      <c r="E407" t="s">
        <v>117</v>
      </c>
      <c r="F407" s="4">
        <v>2554790</v>
      </c>
      <c r="G407" s="4" t="s">
        <v>7</v>
      </c>
      <c r="H407" t="str">
        <f>IFERROR(VLOOKUP(E407,'GASB Match'!$A$2:$B$240,2,FALSE),"")</f>
        <v/>
      </c>
    </row>
    <row r="408" spans="1:8" x14ac:dyDescent="0.2">
      <c r="A408" t="s">
        <v>7</v>
      </c>
      <c r="B408" s="3">
        <v>2023</v>
      </c>
      <c r="C408" t="s">
        <v>116</v>
      </c>
      <c r="D408" t="s">
        <v>117</v>
      </c>
      <c r="E408" t="s">
        <v>117</v>
      </c>
      <c r="F408" s="4">
        <v>2785825</v>
      </c>
      <c r="G408" s="4" t="s">
        <v>7</v>
      </c>
      <c r="H408" t="str">
        <f>IFERROR(VLOOKUP(E408,'GASB Match'!$A$2:$B$240,2,FALSE),"")</f>
        <v/>
      </c>
    </row>
    <row r="409" spans="1:8" x14ac:dyDescent="0.2">
      <c r="A409" t="s">
        <v>7</v>
      </c>
      <c r="B409" s="3">
        <v>2015</v>
      </c>
      <c r="C409" t="s">
        <v>118</v>
      </c>
      <c r="D409" t="s">
        <v>119</v>
      </c>
      <c r="E409" t="s">
        <v>119</v>
      </c>
      <c r="F409" s="4">
        <v>1306879.2</v>
      </c>
      <c r="G409" s="4" t="s">
        <v>7</v>
      </c>
      <c r="H409" t="str">
        <f>IFERROR(VLOOKUP(E409,'GASB Match'!$A$2:$B$240,2,FALSE),"")</f>
        <v/>
      </c>
    </row>
    <row r="410" spans="1:8" x14ac:dyDescent="0.2">
      <c r="A410" t="s">
        <v>7</v>
      </c>
      <c r="B410" s="3">
        <v>2016</v>
      </c>
      <c r="C410" t="s">
        <v>118</v>
      </c>
      <c r="D410" t="s">
        <v>119</v>
      </c>
      <c r="E410" t="s">
        <v>119</v>
      </c>
      <c r="F410" s="4">
        <v>1453833.77</v>
      </c>
      <c r="G410" s="4" t="s">
        <v>7</v>
      </c>
      <c r="H410" t="str">
        <f>IFERROR(VLOOKUP(E410,'GASB Match'!$A$2:$B$240,2,FALSE),"")</f>
        <v/>
      </c>
    </row>
    <row r="411" spans="1:8" x14ac:dyDescent="0.2">
      <c r="A411" t="s">
        <v>7</v>
      </c>
      <c r="B411" s="3">
        <v>2017</v>
      </c>
      <c r="C411" t="s">
        <v>118</v>
      </c>
      <c r="D411" t="s">
        <v>119</v>
      </c>
      <c r="E411" t="s">
        <v>119</v>
      </c>
      <c r="F411" s="4">
        <v>1498275</v>
      </c>
      <c r="G411" s="4" t="s">
        <v>7</v>
      </c>
      <c r="H411" t="str">
        <f>IFERROR(VLOOKUP(E411,'GASB Match'!$A$2:$B$240,2,FALSE),"")</f>
        <v/>
      </c>
    </row>
    <row r="412" spans="1:8" x14ac:dyDescent="0.2">
      <c r="A412" t="s">
        <v>7</v>
      </c>
      <c r="B412" s="3">
        <v>2018</v>
      </c>
      <c r="C412" t="s">
        <v>118</v>
      </c>
      <c r="D412" t="s">
        <v>119</v>
      </c>
      <c r="E412" t="s">
        <v>119</v>
      </c>
      <c r="F412" s="4">
        <v>1828136</v>
      </c>
      <c r="G412" s="4" t="s">
        <v>7</v>
      </c>
      <c r="H412" t="str">
        <f>IFERROR(VLOOKUP(E412,'GASB Match'!$A$2:$B$240,2,FALSE),"")</f>
        <v/>
      </c>
    </row>
    <row r="413" spans="1:8" x14ac:dyDescent="0.2">
      <c r="A413" t="s">
        <v>7</v>
      </c>
      <c r="B413" s="3">
        <v>2019</v>
      </c>
      <c r="C413" t="s">
        <v>118</v>
      </c>
      <c r="D413" t="s">
        <v>119</v>
      </c>
      <c r="E413" t="s">
        <v>119</v>
      </c>
      <c r="F413" s="4">
        <v>2335375</v>
      </c>
      <c r="G413" s="4" t="s">
        <v>7</v>
      </c>
      <c r="H413" t="str">
        <f>IFERROR(VLOOKUP(E413,'GASB Match'!$A$2:$B$240,2,FALSE),"")</f>
        <v/>
      </c>
    </row>
    <row r="414" spans="1:8" x14ac:dyDescent="0.2">
      <c r="A414" t="s">
        <v>7</v>
      </c>
      <c r="B414" s="3">
        <v>2020</v>
      </c>
      <c r="C414" t="s">
        <v>118</v>
      </c>
      <c r="D414" t="s">
        <v>119</v>
      </c>
      <c r="E414" t="s">
        <v>119</v>
      </c>
      <c r="F414" s="4">
        <v>2294290</v>
      </c>
      <c r="G414" s="4" t="s">
        <v>7</v>
      </c>
      <c r="H414" t="str">
        <f>IFERROR(VLOOKUP(E414,'GASB Match'!$A$2:$B$240,2,FALSE),"")</f>
        <v/>
      </c>
    </row>
    <row r="415" spans="1:8" x14ac:dyDescent="0.2">
      <c r="A415" t="s">
        <v>7</v>
      </c>
      <c r="B415" s="3">
        <v>2021</v>
      </c>
      <c r="C415" t="s">
        <v>118</v>
      </c>
      <c r="D415" t="s">
        <v>119</v>
      </c>
      <c r="E415" t="s">
        <v>119</v>
      </c>
      <c r="F415" s="4">
        <v>1905760</v>
      </c>
      <c r="G415" s="4" t="s">
        <v>7</v>
      </c>
      <c r="H415" t="str">
        <f>IFERROR(VLOOKUP(E415,'GASB Match'!$A$2:$B$240,2,FALSE),"")</f>
        <v/>
      </c>
    </row>
    <row r="416" spans="1:8" x14ac:dyDescent="0.2">
      <c r="A416" t="s">
        <v>7</v>
      </c>
      <c r="B416" s="3">
        <v>2022</v>
      </c>
      <c r="C416" t="s">
        <v>118</v>
      </c>
      <c r="D416" t="s">
        <v>119</v>
      </c>
      <c r="E416" t="s">
        <v>119</v>
      </c>
      <c r="F416" s="4">
        <v>1830946</v>
      </c>
      <c r="G416" s="4" t="s">
        <v>7</v>
      </c>
      <c r="H416" t="str">
        <f>IFERROR(VLOOKUP(E416,'GASB Match'!$A$2:$B$240,2,FALSE),"")</f>
        <v/>
      </c>
    </row>
    <row r="417" spans="1:8" x14ac:dyDescent="0.2">
      <c r="A417" t="s">
        <v>7</v>
      </c>
      <c r="B417" s="3">
        <v>2023</v>
      </c>
      <c r="C417" t="s">
        <v>118</v>
      </c>
      <c r="D417" t="s">
        <v>119</v>
      </c>
      <c r="E417" t="s">
        <v>119</v>
      </c>
      <c r="F417" s="4">
        <v>1960093</v>
      </c>
      <c r="G417" s="4" t="s">
        <v>7</v>
      </c>
      <c r="H417" t="str">
        <f>IFERROR(VLOOKUP(E417,'GASB Match'!$A$2:$B$240,2,FALSE),"")</f>
        <v/>
      </c>
    </row>
    <row r="418" spans="1:8" x14ac:dyDescent="0.2">
      <c r="A418" t="s">
        <v>7</v>
      </c>
      <c r="B418" s="3">
        <v>2015</v>
      </c>
      <c r="C418" t="s">
        <v>120</v>
      </c>
      <c r="D418" t="s">
        <v>121</v>
      </c>
      <c r="E418" t="s">
        <v>121</v>
      </c>
      <c r="F418" s="4">
        <v>2876159.86</v>
      </c>
      <c r="G418" s="4" t="s">
        <v>7</v>
      </c>
      <c r="H418" t="str">
        <f>IFERROR(VLOOKUP(E418,'GASB Match'!$A$2:$B$240,2,FALSE),"")</f>
        <v/>
      </c>
    </row>
    <row r="419" spans="1:8" x14ac:dyDescent="0.2">
      <c r="A419" t="s">
        <v>7</v>
      </c>
      <c r="B419" s="3">
        <v>2016</v>
      </c>
      <c r="C419" t="s">
        <v>120</v>
      </c>
      <c r="D419" t="s">
        <v>121</v>
      </c>
      <c r="E419" t="s">
        <v>121</v>
      </c>
      <c r="F419" s="4">
        <v>3296467.29</v>
      </c>
      <c r="G419" s="4" t="s">
        <v>7</v>
      </c>
      <c r="H419" t="str">
        <f>IFERROR(VLOOKUP(E419,'GASB Match'!$A$2:$B$240,2,FALSE),"")</f>
        <v/>
      </c>
    </row>
    <row r="420" spans="1:8" x14ac:dyDescent="0.2">
      <c r="A420" t="s">
        <v>7</v>
      </c>
      <c r="B420" s="3">
        <v>2017</v>
      </c>
      <c r="C420" t="s">
        <v>120</v>
      </c>
      <c r="D420" t="s">
        <v>121</v>
      </c>
      <c r="E420" t="s">
        <v>121</v>
      </c>
      <c r="F420" s="4">
        <v>3441445</v>
      </c>
      <c r="G420" s="4" t="s">
        <v>7</v>
      </c>
      <c r="H420" t="str">
        <f>IFERROR(VLOOKUP(E420,'GASB Match'!$A$2:$B$240,2,FALSE),"")</f>
        <v/>
      </c>
    </row>
    <row r="421" spans="1:8" x14ac:dyDescent="0.2">
      <c r="A421" t="s">
        <v>7</v>
      </c>
      <c r="B421" s="3">
        <v>2018</v>
      </c>
      <c r="C421" t="s">
        <v>120</v>
      </c>
      <c r="D421" t="s">
        <v>121</v>
      </c>
      <c r="E421" t="s">
        <v>121</v>
      </c>
      <c r="F421" s="4">
        <v>4170523</v>
      </c>
      <c r="G421" s="4" t="s">
        <v>7</v>
      </c>
      <c r="H421" t="str">
        <f>IFERROR(VLOOKUP(E421,'GASB Match'!$A$2:$B$240,2,FALSE),"")</f>
        <v/>
      </c>
    </row>
    <row r="422" spans="1:8" x14ac:dyDescent="0.2">
      <c r="A422" t="s">
        <v>7</v>
      </c>
      <c r="B422" s="3">
        <v>2019</v>
      </c>
      <c r="C422" t="s">
        <v>120</v>
      </c>
      <c r="D422" t="s">
        <v>121</v>
      </c>
      <c r="E422" t="s">
        <v>121</v>
      </c>
      <c r="F422" s="4">
        <v>5391071</v>
      </c>
      <c r="G422" s="4" t="s">
        <v>7</v>
      </c>
      <c r="H422" t="str">
        <f>IFERROR(VLOOKUP(E422,'GASB Match'!$A$2:$B$240,2,FALSE),"")</f>
        <v/>
      </c>
    </row>
    <row r="423" spans="1:8" x14ac:dyDescent="0.2">
      <c r="A423" t="s">
        <v>7</v>
      </c>
      <c r="B423" s="3">
        <v>2020</v>
      </c>
      <c r="C423" t="s">
        <v>120</v>
      </c>
      <c r="D423" t="s">
        <v>121</v>
      </c>
      <c r="E423" t="s">
        <v>121</v>
      </c>
      <c r="F423" s="4">
        <v>5664767</v>
      </c>
      <c r="G423" s="4" t="s">
        <v>7</v>
      </c>
      <c r="H423" t="str">
        <f>IFERROR(VLOOKUP(E423,'GASB Match'!$A$2:$B$240,2,FALSE),"")</f>
        <v/>
      </c>
    </row>
    <row r="424" spans="1:8" x14ac:dyDescent="0.2">
      <c r="A424" t="s">
        <v>7</v>
      </c>
      <c r="B424" s="3">
        <v>2021</v>
      </c>
      <c r="C424" t="s">
        <v>120</v>
      </c>
      <c r="D424" t="s">
        <v>121</v>
      </c>
      <c r="E424" t="s">
        <v>121</v>
      </c>
      <c r="F424" s="4">
        <v>5147309</v>
      </c>
      <c r="G424" s="4" t="s">
        <v>7</v>
      </c>
      <c r="H424" t="str">
        <f>IFERROR(VLOOKUP(E424,'GASB Match'!$A$2:$B$240,2,FALSE),"")</f>
        <v/>
      </c>
    </row>
    <row r="425" spans="1:8" x14ac:dyDescent="0.2">
      <c r="A425" t="s">
        <v>7</v>
      </c>
      <c r="B425" s="3">
        <v>2022</v>
      </c>
      <c r="C425" t="s">
        <v>120</v>
      </c>
      <c r="D425" t="s">
        <v>121</v>
      </c>
      <c r="E425" t="s">
        <v>121</v>
      </c>
      <c r="F425" s="4">
        <v>5694055</v>
      </c>
      <c r="G425" s="4" t="s">
        <v>7</v>
      </c>
      <c r="H425" t="str">
        <f>IFERROR(VLOOKUP(E425,'GASB Match'!$A$2:$B$240,2,FALSE),"")</f>
        <v/>
      </c>
    </row>
    <row r="426" spans="1:8" x14ac:dyDescent="0.2">
      <c r="A426" t="s">
        <v>7</v>
      </c>
      <c r="B426" s="3">
        <v>2023</v>
      </c>
      <c r="C426" t="s">
        <v>120</v>
      </c>
      <c r="D426" t="s">
        <v>121</v>
      </c>
      <c r="E426" t="s">
        <v>121</v>
      </c>
      <c r="F426" s="4">
        <v>6230392</v>
      </c>
      <c r="G426" s="4" t="s">
        <v>7</v>
      </c>
      <c r="H426" t="str">
        <f>IFERROR(VLOOKUP(E426,'GASB Match'!$A$2:$B$240,2,FALSE),"")</f>
        <v/>
      </c>
    </row>
    <row r="427" spans="1:8" x14ac:dyDescent="0.2">
      <c r="A427" t="s">
        <v>7</v>
      </c>
      <c r="B427" s="3">
        <v>2015</v>
      </c>
      <c r="C427" t="s">
        <v>122</v>
      </c>
      <c r="D427" t="s">
        <v>123</v>
      </c>
      <c r="E427" t="s">
        <v>123</v>
      </c>
      <c r="F427" s="4">
        <v>809670.91</v>
      </c>
      <c r="G427" s="4" t="s">
        <v>7</v>
      </c>
      <c r="H427" t="str">
        <f>IFERROR(VLOOKUP(E427,'GASB Match'!$A$2:$B$240,2,FALSE),"")</f>
        <v/>
      </c>
    </row>
    <row r="428" spans="1:8" x14ac:dyDescent="0.2">
      <c r="A428" t="s">
        <v>7</v>
      </c>
      <c r="B428" s="3">
        <v>2016</v>
      </c>
      <c r="C428" t="s">
        <v>122</v>
      </c>
      <c r="D428" t="s">
        <v>123</v>
      </c>
      <c r="E428" t="s">
        <v>123</v>
      </c>
      <c r="F428" s="4">
        <v>876533.06</v>
      </c>
      <c r="G428" s="4" t="s">
        <v>7</v>
      </c>
      <c r="H428" t="str">
        <f>IFERROR(VLOOKUP(E428,'GASB Match'!$A$2:$B$240,2,FALSE),"")</f>
        <v/>
      </c>
    </row>
    <row r="429" spans="1:8" x14ac:dyDescent="0.2">
      <c r="A429" t="s">
        <v>7</v>
      </c>
      <c r="B429" s="3">
        <v>2017</v>
      </c>
      <c r="C429" t="s">
        <v>122</v>
      </c>
      <c r="D429" t="s">
        <v>123</v>
      </c>
      <c r="E429" t="s">
        <v>123</v>
      </c>
      <c r="F429" s="4">
        <v>866656</v>
      </c>
      <c r="G429" s="4" t="s">
        <v>7</v>
      </c>
      <c r="H429" t="str">
        <f>IFERROR(VLOOKUP(E429,'GASB Match'!$A$2:$B$240,2,FALSE),"")</f>
        <v/>
      </c>
    </row>
    <row r="430" spans="1:8" x14ac:dyDescent="0.2">
      <c r="A430" t="s">
        <v>7</v>
      </c>
      <c r="B430" s="3">
        <v>2018</v>
      </c>
      <c r="C430" t="s">
        <v>122</v>
      </c>
      <c r="D430" t="s">
        <v>123</v>
      </c>
      <c r="E430" t="s">
        <v>123</v>
      </c>
      <c r="F430" s="4">
        <v>1067028</v>
      </c>
      <c r="G430" s="4" t="s">
        <v>7</v>
      </c>
      <c r="H430" t="str">
        <f>IFERROR(VLOOKUP(E430,'GASB Match'!$A$2:$B$240,2,FALSE),"")</f>
        <v/>
      </c>
    </row>
    <row r="431" spans="1:8" x14ac:dyDescent="0.2">
      <c r="A431" t="s">
        <v>7</v>
      </c>
      <c r="B431" s="3">
        <v>2019</v>
      </c>
      <c r="C431" t="s">
        <v>122</v>
      </c>
      <c r="D431" t="s">
        <v>123</v>
      </c>
      <c r="E431" t="s">
        <v>123</v>
      </c>
      <c r="F431" s="4">
        <v>1415844</v>
      </c>
      <c r="G431" s="4" t="s">
        <v>7</v>
      </c>
      <c r="H431" t="str">
        <f>IFERROR(VLOOKUP(E431,'GASB Match'!$A$2:$B$240,2,FALSE),"")</f>
        <v/>
      </c>
    </row>
    <row r="432" spans="1:8" x14ac:dyDescent="0.2">
      <c r="A432" t="s">
        <v>7</v>
      </c>
      <c r="B432" s="3">
        <v>2020</v>
      </c>
      <c r="C432" t="s">
        <v>122</v>
      </c>
      <c r="D432" t="s">
        <v>123</v>
      </c>
      <c r="E432" t="s">
        <v>123</v>
      </c>
      <c r="F432" s="4">
        <v>1600820</v>
      </c>
      <c r="G432" s="4" t="s">
        <v>7</v>
      </c>
      <c r="H432" t="str">
        <f>IFERROR(VLOOKUP(E432,'GASB Match'!$A$2:$B$240,2,FALSE),"")</f>
        <v/>
      </c>
    </row>
    <row r="433" spans="1:8" x14ac:dyDescent="0.2">
      <c r="A433" t="s">
        <v>7</v>
      </c>
      <c r="B433" s="3">
        <v>2021</v>
      </c>
      <c r="C433" t="s">
        <v>122</v>
      </c>
      <c r="D433" t="s">
        <v>123</v>
      </c>
      <c r="E433" t="s">
        <v>123</v>
      </c>
      <c r="F433" s="4">
        <v>1349012</v>
      </c>
      <c r="G433" s="4" t="s">
        <v>7</v>
      </c>
      <c r="H433" t="str">
        <f>IFERROR(VLOOKUP(E433,'GASB Match'!$A$2:$B$240,2,FALSE),"")</f>
        <v/>
      </c>
    </row>
    <row r="434" spans="1:8" x14ac:dyDescent="0.2">
      <c r="A434" t="s">
        <v>7</v>
      </c>
      <c r="B434" s="3">
        <v>2022</v>
      </c>
      <c r="C434" t="s">
        <v>122</v>
      </c>
      <c r="D434" t="s">
        <v>123</v>
      </c>
      <c r="E434" t="s">
        <v>123</v>
      </c>
      <c r="F434" s="4">
        <v>1422266</v>
      </c>
      <c r="G434" s="4" t="s">
        <v>7</v>
      </c>
      <c r="H434" t="str">
        <f>IFERROR(VLOOKUP(E434,'GASB Match'!$A$2:$B$240,2,FALSE),"")</f>
        <v/>
      </c>
    </row>
    <row r="435" spans="1:8" x14ac:dyDescent="0.2">
      <c r="A435" t="s">
        <v>7</v>
      </c>
      <c r="B435" s="3">
        <v>2023</v>
      </c>
      <c r="C435" t="s">
        <v>122</v>
      </c>
      <c r="D435" t="s">
        <v>123</v>
      </c>
      <c r="E435" t="s">
        <v>123</v>
      </c>
      <c r="F435" s="4">
        <v>1552235</v>
      </c>
      <c r="G435" s="4" t="s">
        <v>7</v>
      </c>
      <c r="H435" t="str">
        <f>IFERROR(VLOOKUP(E435,'GASB Match'!$A$2:$B$240,2,FALSE),"")</f>
        <v/>
      </c>
    </row>
    <row r="436" spans="1:8" x14ac:dyDescent="0.2">
      <c r="A436" t="s">
        <v>7</v>
      </c>
      <c r="B436" s="3">
        <v>2015</v>
      </c>
      <c r="C436" t="s">
        <v>124</v>
      </c>
      <c r="D436" t="s">
        <v>125</v>
      </c>
      <c r="E436" t="s">
        <v>125</v>
      </c>
      <c r="F436" s="4">
        <v>1154204.72</v>
      </c>
      <c r="G436" s="4" t="s">
        <v>7</v>
      </c>
      <c r="H436" t="str">
        <f>IFERROR(VLOOKUP(E436,'GASB Match'!$A$2:$B$240,2,FALSE),"")</f>
        <v/>
      </c>
    </row>
    <row r="437" spans="1:8" x14ac:dyDescent="0.2">
      <c r="A437" t="s">
        <v>7</v>
      </c>
      <c r="B437" s="3">
        <v>2016</v>
      </c>
      <c r="C437" t="s">
        <v>124</v>
      </c>
      <c r="D437" t="s">
        <v>125</v>
      </c>
      <c r="E437" t="s">
        <v>125</v>
      </c>
      <c r="F437" s="4">
        <v>1296112.3999999999</v>
      </c>
      <c r="G437" s="4" t="s">
        <v>7</v>
      </c>
      <c r="H437" t="str">
        <f>IFERROR(VLOOKUP(E437,'GASB Match'!$A$2:$B$240,2,FALSE),"")</f>
        <v/>
      </c>
    </row>
    <row r="438" spans="1:8" x14ac:dyDescent="0.2">
      <c r="A438" t="s">
        <v>7</v>
      </c>
      <c r="B438" s="3">
        <v>2017</v>
      </c>
      <c r="C438" t="s">
        <v>124</v>
      </c>
      <c r="D438" t="s">
        <v>125</v>
      </c>
      <c r="E438" t="s">
        <v>125</v>
      </c>
      <c r="F438" s="4">
        <v>1391951</v>
      </c>
      <c r="G438" s="4" t="s">
        <v>7</v>
      </c>
      <c r="H438" t="str">
        <f>IFERROR(VLOOKUP(E438,'GASB Match'!$A$2:$B$240,2,FALSE),"")</f>
        <v/>
      </c>
    </row>
    <row r="439" spans="1:8" x14ac:dyDescent="0.2">
      <c r="A439" t="s">
        <v>7</v>
      </c>
      <c r="B439" s="3">
        <v>2018</v>
      </c>
      <c r="C439" t="s">
        <v>124</v>
      </c>
      <c r="D439" t="s">
        <v>125</v>
      </c>
      <c r="E439" t="s">
        <v>125</v>
      </c>
      <c r="F439" s="4">
        <v>1466789</v>
      </c>
      <c r="G439" s="4" t="s">
        <v>7</v>
      </c>
      <c r="H439" t="str">
        <f>IFERROR(VLOOKUP(E439,'GASB Match'!$A$2:$B$240,2,FALSE),"")</f>
        <v/>
      </c>
    </row>
    <row r="440" spans="1:8" x14ac:dyDescent="0.2">
      <c r="A440" t="s">
        <v>7</v>
      </c>
      <c r="B440" s="3">
        <v>2019</v>
      </c>
      <c r="C440" t="s">
        <v>124</v>
      </c>
      <c r="D440" t="s">
        <v>125</v>
      </c>
      <c r="E440" t="s">
        <v>125</v>
      </c>
      <c r="F440" s="4">
        <v>1647938</v>
      </c>
      <c r="G440" s="4" t="s">
        <v>7</v>
      </c>
      <c r="H440" t="str">
        <f>IFERROR(VLOOKUP(E440,'GASB Match'!$A$2:$B$240,2,FALSE),"")</f>
        <v/>
      </c>
    </row>
    <row r="441" spans="1:8" x14ac:dyDescent="0.2">
      <c r="A441" t="s">
        <v>7</v>
      </c>
      <c r="B441" s="3">
        <v>2020</v>
      </c>
      <c r="C441" t="s">
        <v>124</v>
      </c>
      <c r="D441" t="s">
        <v>125</v>
      </c>
      <c r="E441" t="s">
        <v>125</v>
      </c>
      <c r="F441" s="4">
        <v>1316150</v>
      </c>
      <c r="G441" s="4" t="s">
        <v>7</v>
      </c>
      <c r="H441" t="str">
        <f>IFERROR(VLOOKUP(E441,'GASB Match'!$A$2:$B$240,2,FALSE),"")</f>
        <v/>
      </c>
    </row>
    <row r="442" spans="1:8" x14ac:dyDescent="0.2">
      <c r="A442" t="s">
        <v>7</v>
      </c>
      <c r="B442" s="3">
        <v>2021</v>
      </c>
      <c r="C442" t="s">
        <v>124</v>
      </c>
      <c r="D442" t="s">
        <v>125</v>
      </c>
      <c r="E442" t="s">
        <v>125</v>
      </c>
      <c r="F442" s="4">
        <v>1041751</v>
      </c>
      <c r="G442" s="4" t="s">
        <v>7</v>
      </c>
      <c r="H442" t="str">
        <f>IFERROR(VLOOKUP(E442,'GASB Match'!$A$2:$B$240,2,FALSE),"")</f>
        <v/>
      </c>
    </row>
    <row r="443" spans="1:8" x14ac:dyDescent="0.2">
      <c r="A443" t="s">
        <v>7</v>
      </c>
      <c r="B443" s="3">
        <v>2022</v>
      </c>
      <c r="C443" t="s">
        <v>124</v>
      </c>
      <c r="D443" t="s">
        <v>125</v>
      </c>
      <c r="E443" t="s">
        <v>125</v>
      </c>
      <c r="F443" s="4">
        <v>933243</v>
      </c>
      <c r="G443" s="4" t="s">
        <v>7</v>
      </c>
      <c r="H443" t="str">
        <f>IFERROR(VLOOKUP(E443,'GASB Match'!$A$2:$B$240,2,FALSE),"")</f>
        <v/>
      </c>
    </row>
    <row r="444" spans="1:8" x14ac:dyDescent="0.2">
      <c r="A444" t="s">
        <v>7</v>
      </c>
      <c r="B444" s="3">
        <v>2023</v>
      </c>
      <c r="C444" t="s">
        <v>124</v>
      </c>
      <c r="D444" t="s">
        <v>125</v>
      </c>
      <c r="E444" t="s">
        <v>125</v>
      </c>
      <c r="F444" s="4">
        <v>993299</v>
      </c>
      <c r="G444" s="4" t="s">
        <v>7</v>
      </c>
      <c r="H444" t="str">
        <f>IFERROR(VLOOKUP(E444,'GASB Match'!$A$2:$B$240,2,FALSE),"")</f>
        <v/>
      </c>
    </row>
    <row r="445" spans="1:8" x14ac:dyDescent="0.2">
      <c r="A445">
        <v>1300060</v>
      </c>
      <c r="B445" s="3">
        <v>2015</v>
      </c>
      <c r="C445" t="s">
        <v>126</v>
      </c>
      <c r="D445" t="s">
        <v>127</v>
      </c>
      <c r="E445" t="s">
        <v>127</v>
      </c>
      <c r="F445" s="4">
        <v>2538305.6800000002</v>
      </c>
      <c r="G445" s="4">
        <v>52737.87</v>
      </c>
      <c r="H445">
        <f>IFERROR(VLOOKUP(E445,'GASB Match'!$A$2:$B$240,2,FALSE),"")</f>
        <v>1300060</v>
      </c>
    </row>
    <row r="446" spans="1:8" x14ac:dyDescent="0.2">
      <c r="A446">
        <v>1300060</v>
      </c>
      <c r="B446" s="3">
        <v>2016</v>
      </c>
      <c r="C446" t="s">
        <v>126</v>
      </c>
      <c r="D446" t="s">
        <v>127</v>
      </c>
      <c r="E446" t="s">
        <v>127</v>
      </c>
      <c r="F446" s="4">
        <v>2802144.35</v>
      </c>
      <c r="G446" s="4">
        <v>45497.64</v>
      </c>
      <c r="H446">
        <f>IFERROR(VLOOKUP(E446,'GASB Match'!$A$2:$B$240,2,FALSE),"")</f>
        <v>1300060</v>
      </c>
    </row>
    <row r="447" spans="1:8" x14ac:dyDescent="0.2">
      <c r="A447">
        <v>1300060</v>
      </c>
      <c r="B447" s="3">
        <v>2017</v>
      </c>
      <c r="C447" t="s">
        <v>126</v>
      </c>
      <c r="D447" t="s">
        <v>127</v>
      </c>
      <c r="E447" t="s">
        <v>127</v>
      </c>
      <c r="F447" s="4">
        <v>2835052</v>
      </c>
      <c r="G447" s="4">
        <v>39621</v>
      </c>
      <c r="H447">
        <f>IFERROR(VLOOKUP(E447,'GASB Match'!$A$2:$B$240,2,FALSE),"")</f>
        <v>1300060</v>
      </c>
    </row>
    <row r="448" spans="1:8" x14ac:dyDescent="0.2">
      <c r="A448">
        <v>1300060</v>
      </c>
      <c r="B448" s="3">
        <v>2018</v>
      </c>
      <c r="C448" t="s">
        <v>126</v>
      </c>
      <c r="D448" t="s">
        <v>127</v>
      </c>
      <c r="E448" t="s">
        <v>127</v>
      </c>
      <c r="F448" s="4">
        <v>3355287</v>
      </c>
      <c r="G448" s="4">
        <v>36438</v>
      </c>
      <c r="H448">
        <f>IFERROR(VLOOKUP(E448,'GASB Match'!$A$2:$B$240,2,FALSE),"")</f>
        <v>1300060</v>
      </c>
    </row>
    <row r="449" spans="1:8" x14ac:dyDescent="0.2">
      <c r="A449">
        <v>1300060</v>
      </c>
      <c r="B449" s="3">
        <v>2019</v>
      </c>
      <c r="C449" t="s">
        <v>126</v>
      </c>
      <c r="D449" t="s">
        <v>127</v>
      </c>
      <c r="E449" t="s">
        <v>127</v>
      </c>
      <c r="F449" s="4">
        <v>4248442</v>
      </c>
      <c r="G449" s="4">
        <v>46649</v>
      </c>
      <c r="H449">
        <f>IFERROR(VLOOKUP(E449,'GASB Match'!$A$2:$B$240,2,FALSE),"")</f>
        <v>1300060</v>
      </c>
    </row>
    <row r="450" spans="1:8" x14ac:dyDescent="0.2">
      <c r="A450">
        <v>1300060</v>
      </c>
      <c r="B450" s="3">
        <v>2020</v>
      </c>
      <c r="C450" t="s">
        <v>126</v>
      </c>
      <c r="D450" t="s">
        <v>127</v>
      </c>
      <c r="E450" t="s">
        <v>127</v>
      </c>
      <c r="F450" s="4">
        <v>4448981</v>
      </c>
      <c r="G450" s="4">
        <v>50169</v>
      </c>
      <c r="H450">
        <f>IFERROR(VLOOKUP(E450,'GASB Match'!$A$2:$B$240,2,FALSE),"")</f>
        <v>1300060</v>
      </c>
    </row>
    <row r="451" spans="1:8" x14ac:dyDescent="0.2">
      <c r="A451">
        <v>1300060</v>
      </c>
      <c r="B451" s="3">
        <v>2021</v>
      </c>
      <c r="C451" t="s">
        <v>126</v>
      </c>
      <c r="D451" t="s">
        <v>127</v>
      </c>
      <c r="E451" t="s">
        <v>127</v>
      </c>
      <c r="F451" s="4">
        <v>4232264</v>
      </c>
      <c r="G451" s="4">
        <v>46644</v>
      </c>
      <c r="H451">
        <f>IFERROR(VLOOKUP(E451,'GASB Match'!$A$2:$B$240,2,FALSE),"")</f>
        <v>1300060</v>
      </c>
    </row>
    <row r="452" spans="1:8" x14ac:dyDescent="0.2">
      <c r="A452">
        <v>1300060</v>
      </c>
      <c r="B452" s="3">
        <v>2022</v>
      </c>
      <c r="C452" t="s">
        <v>126</v>
      </c>
      <c r="D452" t="s">
        <v>127</v>
      </c>
      <c r="E452" t="s">
        <v>127</v>
      </c>
      <c r="F452" s="4">
        <v>4453994</v>
      </c>
      <c r="G452" s="4">
        <v>35093</v>
      </c>
      <c r="H452">
        <f>IFERROR(VLOOKUP(E452,'GASB Match'!$A$2:$B$240,2,FALSE),"")</f>
        <v>1300060</v>
      </c>
    </row>
    <row r="453" spans="1:8" x14ac:dyDescent="0.2">
      <c r="A453">
        <v>1300060</v>
      </c>
      <c r="B453" s="3">
        <v>2023</v>
      </c>
      <c r="C453" t="s">
        <v>126</v>
      </c>
      <c r="D453" t="s">
        <v>127</v>
      </c>
      <c r="E453" t="s">
        <v>127</v>
      </c>
      <c r="F453" s="4">
        <v>4749437</v>
      </c>
      <c r="G453" s="4">
        <v>27466</v>
      </c>
      <c r="H453">
        <f>IFERROR(VLOOKUP(E453,'GASB Match'!$A$2:$B$240,2,FALSE),"")</f>
        <v>1300060</v>
      </c>
    </row>
    <row r="454" spans="1:8" x14ac:dyDescent="0.2">
      <c r="A454">
        <v>1300090</v>
      </c>
      <c r="B454" s="3">
        <v>2015</v>
      </c>
      <c r="C454" t="s">
        <v>128</v>
      </c>
      <c r="D454" t="s">
        <v>129</v>
      </c>
      <c r="E454" t="s">
        <v>129</v>
      </c>
      <c r="F454" s="4">
        <v>1123783.8600000001</v>
      </c>
      <c r="G454" s="4">
        <v>6274.19</v>
      </c>
      <c r="H454">
        <f>IFERROR(VLOOKUP(E454,'GASB Match'!$A$2:$B$240,2,FALSE),"")</f>
        <v>1300090</v>
      </c>
    </row>
    <row r="455" spans="1:8" x14ac:dyDescent="0.2">
      <c r="A455">
        <v>1300090</v>
      </c>
      <c r="B455" s="3">
        <v>2016</v>
      </c>
      <c r="C455" t="s">
        <v>128</v>
      </c>
      <c r="D455" t="s">
        <v>129</v>
      </c>
      <c r="E455" t="s">
        <v>129</v>
      </c>
      <c r="F455" s="4">
        <v>1221427.1200000001</v>
      </c>
      <c r="G455" s="4">
        <v>7011.31</v>
      </c>
      <c r="H455">
        <f>IFERROR(VLOOKUP(E455,'GASB Match'!$A$2:$B$240,2,FALSE),"")</f>
        <v>1300090</v>
      </c>
    </row>
    <row r="456" spans="1:8" x14ac:dyDescent="0.2">
      <c r="A456">
        <v>1300090</v>
      </c>
      <c r="B456" s="3">
        <v>2017</v>
      </c>
      <c r="C456" t="s">
        <v>128</v>
      </c>
      <c r="D456" t="s">
        <v>129</v>
      </c>
      <c r="E456" t="s">
        <v>129</v>
      </c>
      <c r="F456" s="4">
        <v>1262927</v>
      </c>
      <c r="G456" s="4">
        <v>7148</v>
      </c>
      <c r="H456">
        <f>IFERROR(VLOOKUP(E456,'GASB Match'!$A$2:$B$240,2,FALSE),"")</f>
        <v>1300090</v>
      </c>
    </row>
    <row r="457" spans="1:8" x14ac:dyDescent="0.2">
      <c r="A457">
        <v>1300090</v>
      </c>
      <c r="B457" s="3">
        <v>2018</v>
      </c>
      <c r="C457" t="s">
        <v>128</v>
      </c>
      <c r="D457" t="s">
        <v>129</v>
      </c>
      <c r="E457" t="s">
        <v>129</v>
      </c>
      <c r="F457" s="4">
        <v>1488319</v>
      </c>
      <c r="G457" s="4">
        <v>8643</v>
      </c>
      <c r="H457">
        <f>IFERROR(VLOOKUP(E457,'GASB Match'!$A$2:$B$240,2,FALSE),"")</f>
        <v>1300090</v>
      </c>
    </row>
    <row r="458" spans="1:8" x14ac:dyDescent="0.2">
      <c r="A458">
        <v>1300090</v>
      </c>
      <c r="B458" s="3">
        <v>2019</v>
      </c>
      <c r="C458" t="s">
        <v>128</v>
      </c>
      <c r="D458" t="s">
        <v>130</v>
      </c>
      <c r="E458" t="s">
        <v>129</v>
      </c>
      <c r="F458" s="4">
        <v>1871426</v>
      </c>
      <c r="G458" s="4">
        <v>13495</v>
      </c>
      <c r="H458">
        <f>IFERROR(VLOOKUP(E458,'GASB Match'!$A$2:$B$240,2,FALSE),"")</f>
        <v>1300090</v>
      </c>
    </row>
    <row r="459" spans="1:8" x14ac:dyDescent="0.2">
      <c r="A459">
        <v>1300090</v>
      </c>
      <c r="B459" s="3">
        <v>2020</v>
      </c>
      <c r="C459" t="s">
        <v>128</v>
      </c>
      <c r="D459" t="s">
        <v>129</v>
      </c>
      <c r="E459" t="s">
        <v>129</v>
      </c>
      <c r="F459" s="4">
        <v>2004328</v>
      </c>
      <c r="G459" s="4">
        <v>17478</v>
      </c>
      <c r="H459">
        <f>IFERROR(VLOOKUP(E459,'GASB Match'!$A$2:$B$240,2,FALSE),"")</f>
        <v>1300090</v>
      </c>
    </row>
    <row r="460" spans="1:8" x14ac:dyDescent="0.2">
      <c r="A460">
        <v>1300090</v>
      </c>
      <c r="B460" s="3">
        <v>2021</v>
      </c>
      <c r="C460" t="s">
        <v>128</v>
      </c>
      <c r="D460" t="s">
        <v>129</v>
      </c>
      <c r="E460" t="s">
        <v>129</v>
      </c>
      <c r="F460" s="4">
        <v>1778640</v>
      </c>
      <c r="G460" s="4">
        <v>15871</v>
      </c>
      <c r="H460">
        <f>IFERROR(VLOOKUP(E460,'GASB Match'!$A$2:$B$240,2,FALSE),"")</f>
        <v>1300090</v>
      </c>
    </row>
    <row r="461" spans="1:8" x14ac:dyDescent="0.2">
      <c r="A461">
        <v>1300090</v>
      </c>
      <c r="B461" s="3">
        <v>2022</v>
      </c>
      <c r="C461" t="s">
        <v>128</v>
      </c>
      <c r="D461" t="s">
        <v>129</v>
      </c>
      <c r="E461" t="s">
        <v>129</v>
      </c>
      <c r="F461" s="4">
        <v>1953354</v>
      </c>
      <c r="G461" s="4">
        <v>16845</v>
      </c>
      <c r="H461">
        <f>IFERROR(VLOOKUP(E461,'GASB Match'!$A$2:$B$240,2,FALSE),"")</f>
        <v>1300090</v>
      </c>
    </row>
    <row r="462" spans="1:8" x14ac:dyDescent="0.2">
      <c r="A462">
        <v>1300090</v>
      </c>
      <c r="B462" s="3">
        <v>2023</v>
      </c>
      <c r="C462" t="s">
        <v>128</v>
      </c>
      <c r="D462" t="s">
        <v>129</v>
      </c>
      <c r="E462" t="s">
        <v>129</v>
      </c>
      <c r="F462" s="4">
        <v>2079466</v>
      </c>
      <c r="G462" s="4">
        <v>17925</v>
      </c>
      <c r="H462">
        <f>IFERROR(VLOOKUP(E462,'GASB Match'!$A$2:$B$240,2,FALSE),"")</f>
        <v>1300090</v>
      </c>
    </row>
    <row r="463" spans="1:8" x14ac:dyDescent="0.2">
      <c r="A463">
        <v>1300180</v>
      </c>
      <c r="B463" s="3">
        <v>2015</v>
      </c>
      <c r="C463" t="s">
        <v>131</v>
      </c>
      <c r="D463" t="s">
        <v>132</v>
      </c>
      <c r="E463" t="s">
        <v>132</v>
      </c>
      <c r="F463" s="4">
        <v>1395724.29</v>
      </c>
      <c r="G463" s="4">
        <v>3061.8</v>
      </c>
      <c r="H463">
        <f>IFERROR(VLOOKUP(E463,'GASB Match'!$A$2:$B$240,2,FALSE),"")</f>
        <v>1300180</v>
      </c>
    </row>
    <row r="464" spans="1:8" x14ac:dyDescent="0.2">
      <c r="A464">
        <v>1300180</v>
      </c>
      <c r="B464" s="3">
        <v>2016</v>
      </c>
      <c r="C464" t="s">
        <v>131</v>
      </c>
      <c r="D464" t="s">
        <v>132</v>
      </c>
      <c r="E464" t="s">
        <v>132</v>
      </c>
      <c r="F464" s="4">
        <v>1523508.08</v>
      </c>
      <c r="G464" s="4">
        <v>3518.46</v>
      </c>
      <c r="H464">
        <f>IFERROR(VLOOKUP(E464,'GASB Match'!$A$2:$B$240,2,FALSE),"")</f>
        <v>1300180</v>
      </c>
    </row>
    <row r="465" spans="1:8" x14ac:dyDescent="0.2">
      <c r="A465">
        <v>1300180</v>
      </c>
      <c r="B465" s="3">
        <v>2017</v>
      </c>
      <c r="C465" t="s">
        <v>131</v>
      </c>
      <c r="D465" t="s">
        <v>132</v>
      </c>
      <c r="E465" t="s">
        <v>132</v>
      </c>
      <c r="F465" s="4">
        <v>1606762</v>
      </c>
      <c r="G465" s="4">
        <v>3663</v>
      </c>
      <c r="H465">
        <f>IFERROR(VLOOKUP(E465,'GASB Match'!$A$2:$B$240,2,FALSE),"")</f>
        <v>1300180</v>
      </c>
    </row>
    <row r="466" spans="1:8" x14ac:dyDescent="0.2">
      <c r="A466">
        <v>1300180</v>
      </c>
      <c r="B466" s="3">
        <v>2018</v>
      </c>
      <c r="C466" t="s">
        <v>131</v>
      </c>
      <c r="D466" t="s">
        <v>132</v>
      </c>
      <c r="E466" t="s">
        <v>132</v>
      </c>
      <c r="F466" s="4">
        <v>1913352</v>
      </c>
      <c r="G466" s="4">
        <v>4659</v>
      </c>
      <c r="H466">
        <f>IFERROR(VLOOKUP(E466,'GASB Match'!$A$2:$B$240,2,FALSE),"")</f>
        <v>1300180</v>
      </c>
    </row>
    <row r="467" spans="1:8" x14ac:dyDescent="0.2">
      <c r="A467">
        <v>1300180</v>
      </c>
      <c r="B467" s="3">
        <v>2019</v>
      </c>
      <c r="C467" t="s">
        <v>131</v>
      </c>
      <c r="D467" t="s">
        <v>133</v>
      </c>
      <c r="E467" t="s">
        <v>132</v>
      </c>
      <c r="F467" s="4">
        <v>2457624</v>
      </c>
      <c r="G467" s="4">
        <v>5832</v>
      </c>
      <c r="H467">
        <f>IFERROR(VLOOKUP(E467,'GASB Match'!$A$2:$B$240,2,FALSE),"")</f>
        <v>1300180</v>
      </c>
    </row>
    <row r="468" spans="1:8" x14ac:dyDescent="0.2">
      <c r="A468">
        <v>1300180</v>
      </c>
      <c r="B468" s="3">
        <v>2020</v>
      </c>
      <c r="C468" t="s">
        <v>131</v>
      </c>
      <c r="D468" t="s">
        <v>132</v>
      </c>
      <c r="E468" t="s">
        <v>132</v>
      </c>
      <c r="F468" s="4">
        <v>2657147</v>
      </c>
      <c r="G468" s="4">
        <v>6108</v>
      </c>
      <c r="H468">
        <f>IFERROR(VLOOKUP(E468,'GASB Match'!$A$2:$B$240,2,FALSE),"")</f>
        <v>1300180</v>
      </c>
    </row>
    <row r="469" spans="1:8" x14ac:dyDescent="0.2">
      <c r="A469">
        <v>1300180</v>
      </c>
      <c r="B469" s="3">
        <v>2021</v>
      </c>
      <c r="C469" t="s">
        <v>131</v>
      </c>
      <c r="D469" t="s">
        <v>132</v>
      </c>
      <c r="E469" t="s">
        <v>132</v>
      </c>
      <c r="F469" s="4">
        <v>2406086</v>
      </c>
      <c r="G469" s="4">
        <v>5546</v>
      </c>
      <c r="H469">
        <f>IFERROR(VLOOKUP(E469,'GASB Match'!$A$2:$B$240,2,FALSE),"")</f>
        <v>1300180</v>
      </c>
    </row>
    <row r="470" spans="1:8" x14ac:dyDescent="0.2">
      <c r="A470">
        <v>1300180</v>
      </c>
      <c r="B470" s="3">
        <v>2022</v>
      </c>
      <c r="C470" t="s">
        <v>131</v>
      </c>
      <c r="D470" t="s">
        <v>132</v>
      </c>
      <c r="E470" t="s">
        <v>132</v>
      </c>
      <c r="F470" s="4">
        <v>2603042</v>
      </c>
      <c r="G470" s="4">
        <v>5282</v>
      </c>
      <c r="H470">
        <f>IFERROR(VLOOKUP(E470,'GASB Match'!$A$2:$B$240,2,FALSE),"")</f>
        <v>1300180</v>
      </c>
    </row>
    <row r="471" spans="1:8" x14ac:dyDescent="0.2">
      <c r="A471">
        <v>1300180</v>
      </c>
      <c r="B471" s="3">
        <v>2023</v>
      </c>
      <c r="C471" t="s">
        <v>131</v>
      </c>
      <c r="D471" t="s">
        <v>132</v>
      </c>
      <c r="E471" t="s">
        <v>132</v>
      </c>
      <c r="F471" s="4">
        <v>2824472</v>
      </c>
      <c r="G471" s="4">
        <v>5498</v>
      </c>
      <c r="H471">
        <f>IFERROR(VLOOKUP(E471,'GASB Match'!$A$2:$B$240,2,FALSE),"")</f>
        <v>1300180</v>
      </c>
    </row>
    <row r="472" spans="1:8" x14ac:dyDescent="0.2">
      <c r="A472" t="s">
        <v>7</v>
      </c>
      <c r="B472" s="3">
        <v>2015</v>
      </c>
      <c r="C472" t="s">
        <v>134</v>
      </c>
      <c r="D472" t="s">
        <v>135</v>
      </c>
      <c r="E472" t="s">
        <v>135</v>
      </c>
      <c r="F472" s="4">
        <v>237954.89</v>
      </c>
      <c r="G472" s="4">
        <v>2077.1</v>
      </c>
      <c r="H472" t="str">
        <f>IFERROR(VLOOKUP(E472,'GASB Match'!$A$2:$B$240,2,FALSE),"")</f>
        <v/>
      </c>
    </row>
    <row r="473" spans="1:8" x14ac:dyDescent="0.2">
      <c r="A473" t="s">
        <v>7</v>
      </c>
      <c r="B473" s="3">
        <v>2016</v>
      </c>
      <c r="C473" t="s">
        <v>134</v>
      </c>
      <c r="D473" t="s">
        <v>135</v>
      </c>
      <c r="E473" t="s">
        <v>135</v>
      </c>
      <c r="F473" s="4">
        <v>275065.95</v>
      </c>
      <c r="G473" s="4">
        <v>4746.67</v>
      </c>
      <c r="H473" t="str">
        <f>IFERROR(VLOOKUP(E473,'GASB Match'!$A$2:$B$240,2,FALSE),"")</f>
        <v/>
      </c>
    </row>
    <row r="474" spans="1:8" x14ac:dyDescent="0.2">
      <c r="A474" t="s">
        <v>7</v>
      </c>
      <c r="B474" s="3">
        <v>2017</v>
      </c>
      <c r="C474" t="s">
        <v>134</v>
      </c>
      <c r="D474" t="s">
        <v>135</v>
      </c>
      <c r="E474" t="s">
        <v>135</v>
      </c>
      <c r="F474" s="4">
        <v>287822</v>
      </c>
      <c r="G474" s="4">
        <v>1219</v>
      </c>
      <c r="H474" t="str">
        <f>IFERROR(VLOOKUP(E474,'GASB Match'!$A$2:$B$240,2,FALSE),"")</f>
        <v/>
      </c>
    </row>
    <row r="475" spans="1:8" x14ac:dyDescent="0.2">
      <c r="A475" t="s">
        <v>7</v>
      </c>
      <c r="B475" s="3">
        <v>2018</v>
      </c>
      <c r="C475" t="s">
        <v>134</v>
      </c>
      <c r="D475" t="s">
        <v>135</v>
      </c>
      <c r="E475" t="s">
        <v>135</v>
      </c>
      <c r="F475" s="4">
        <v>322696</v>
      </c>
      <c r="G475" s="4">
        <v>5189</v>
      </c>
      <c r="H475" t="str">
        <f>IFERROR(VLOOKUP(E475,'GASB Match'!$A$2:$B$240,2,FALSE),"")</f>
        <v/>
      </c>
    </row>
    <row r="476" spans="1:8" x14ac:dyDescent="0.2">
      <c r="A476" t="s">
        <v>7</v>
      </c>
      <c r="B476" s="3">
        <v>2019</v>
      </c>
      <c r="C476" t="s">
        <v>134</v>
      </c>
      <c r="D476" t="s">
        <v>136</v>
      </c>
      <c r="E476" t="s">
        <v>135</v>
      </c>
      <c r="F476" s="4">
        <v>496700</v>
      </c>
      <c r="G476" s="4" t="s">
        <v>7</v>
      </c>
      <c r="H476" t="str">
        <f>IFERROR(VLOOKUP(E476,'GASB Match'!$A$2:$B$240,2,FALSE),"")</f>
        <v/>
      </c>
    </row>
    <row r="477" spans="1:8" x14ac:dyDescent="0.2">
      <c r="A477" t="s">
        <v>7</v>
      </c>
      <c r="B477" s="3">
        <v>2020</v>
      </c>
      <c r="C477" t="s">
        <v>134</v>
      </c>
      <c r="D477" t="s">
        <v>135</v>
      </c>
      <c r="E477" t="s">
        <v>135</v>
      </c>
      <c r="F477" s="4">
        <v>539353</v>
      </c>
      <c r="G477" s="4" t="s">
        <v>7</v>
      </c>
      <c r="H477" t="str">
        <f>IFERROR(VLOOKUP(E477,'GASB Match'!$A$2:$B$240,2,FALSE),"")</f>
        <v/>
      </c>
    </row>
    <row r="478" spans="1:8" x14ac:dyDescent="0.2">
      <c r="A478" t="s">
        <v>7</v>
      </c>
      <c r="B478" s="3">
        <v>2021</v>
      </c>
      <c r="C478" t="s">
        <v>134</v>
      </c>
      <c r="D478" t="s">
        <v>135</v>
      </c>
      <c r="E478" t="s">
        <v>135</v>
      </c>
      <c r="F478" s="4">
        <v>432223</v>
      </c>
      <c r="G478" s="4" t="s">
        <v>7</v>
      </c>
      <c r="H478" t="str">
        <f>IFERROR(VLOOKUP(E478,'GASB Match'!$A$2:$B$240,2,FALSE),"")</f>
        <v/>
      </c>
    </row>
    <row r="479" spans="1:8" x14ac:dyDescent="0.2">
      <c r="A479" t="s">
        <v>7</v>
      </c>
      <c r="B479" s="3">
        <v>2022</v>
      </c>
      <c r="C479" t="s">
        <v>134</v>
      </c>
      <c r="D479" t="s">
        <v>135</v>
      </c>
      <c r="E479" t="s">
        <v>135</v>
      </c>
      <c r="F479" s="4">
        <v>430972</v>
      </c>
      <c r="G479" s="4" t="s">
        <v>7</v>
      </c>
      <c r="H479" t="str">
        <f>IFERROR(VLOOKUP(E479,'GASB Match'!$A$2:$B$240,2,FALSE),"")</f>
        <v/>
      </c>
    </row>
    <row r="480" spans="1:8" x14ac:dyDescent="0.2">
      <c r="A480" t="s">
        <v>7</v>
      </c>
      <c r="B480" s="3">
        <v>2023</v>
      </c>
      <c r="C480" t="s">
        <v>134</v>
      </c>
      <c r="D480" t="s">
        <v>135</v>
      </c>
      <c r="E480" t="s">
        <v>135</v>
      </c>
      <c r="F480" s="4">
        <v>455183</v>
      </c>
      <c r="G480" s="4" t="s">
        <v>7</v>
      </c>
      <c r="H480" t="str">
        <f>IFERROR(VLOOKUP(E480,'GASB Match'!$A$2:$B$240,2,FALSE),"")</f>
        <v/>
      </c>
    </row>
    <row r="481" spans="1:8" x14ac:dyDescent="0.2">
      <c r="A481">
        <v>1300210</v>
      </c>
      <c r="B481" s="3">
        <v>2015</v>
      </c>
      <c r="C481" t="s">
        <v>137</v>
      </c>
      <c r="D481" t="s">
        <v>138</v>
      </c>
      <c r="E481" t="s">
        <v>138</v>
      </c>
      <c r="F481" s="4">
        <v>3482207.49</v>
      </c>
      <c r="G481" s="4">
        <v>19519.52</v>
      </c>
      <c r="H481">
        <f>IFERROR(VLOOKUP(E481,'GASB Match'!$A$2:$B$240,2,FALSE),"")</f>
        <v>1300210</v>
      </c>
    </row>
    <row r="482" spans="1:8" x14ac:dyDescent="0.2">
      <c r="A482">
        <v>1300210</v>
      </c>
      <c r="B482" s="3">
        <v>2016</v>
      </c>
      <c r="C482" t="s">
        <v>137</v>
      </c>
      <c r="D482" t="s">
        <v>138</v>
      </c>
      <c r="E482" t="s">
        <v>138</v>
      </c>
      <c r="F482" s="4">
        <v>3674203.08</v>
      </c>
      <c r="G482" s="4">
        <v>23078.7</v>
      </c>
      <c r="H482">
        <f>IFERROR(VLOOKUP(E482,'GASB Match'!$A$2:$B$240,2,FALSE),"")</f>
        <v>1300210</v>
      </c>
    </row>
    <row r="483" spans="1:8" x14ac:dyDescent="0.2">
      <c r="A483">
        <v>1300210</v>
      </c>
      <c r="B483" s="3">
        <v>2017</v>
      </c>
      <c r="C483" t="s">
        <v>137</v>
      </c>
      <c r="D483" t="s">
        <v>138</v>
      </c>
      <c r="E483" t="s">
        <v>138</v>
      </c>
      <c r="F483" s="4">
        <v>3721167</v>
      </c>
      <c r="G483" s="4">
        <v>27155</v>
      </c>
      <c r="H483">
        <f>IFERROR(VLOOKUP(E483,'GASB Match'!$A$2:$B$240,2,FALSE),"")</f>
        <v>1300210</v>
      </c>
    </row>
    <row r="484" spans="1:8" x14ac:dyDescent="0.2">
      <c r="A484">
        <v>1300210</v>
      </c>
      <c r="B484" s="3">
        <v>2018</v>
      </c>
      <c r="C484" t="s">
        <v>137</v>
      </c>
      <c r="D484" t="s">
        <v>138</v>
      </c>
      <c r="E484" t="s">
        <v>138</v>
      </c>
      <c r="F484" s="4">
        <v>4293038</v>
      </c>
      <c r="G484" s="4">
        <v>32627</v>
      </c>
      <c r="H484">
        <f>IFERROR(VLOOKUP(E484,'GASB Match'!$A$2:$B$240,2,FALSE),"")</f>
        <v>1300210</v>
      </c>
    </row>
    <row r="485" spans="1:8" x14ac:dyDescent="0.2">
      <c r="A485">
        <v>1300210</v>
      </c>
      <c r="B485" s="3">
        <v>2019</v>
      </c>
      <c r="C485" t="s">
        <v>137</v>
      </c>
      <c r="D485" t="s">
        <v>139</v>
      </c>
      <c r="E485" t="s">
        <v>138</v>
      </c>
      <c r="F485" s="4">
        <v>5617040</v>
      </c>
      <c r="G485" s="4">
        <v>44660</v>
      </c>
      <c r="H485">
        <f>IFERROR(VLOOKUP(E485,'GASB Match'!$A$2:$B$240,2,FALSE),"")</f>
        <v>1300210</v>
      </c>
    </row>
    <row r="486" spans="1:8" x14ac:dyDescent="0.2">
      <c r="A486">
        <v>1300210</v>
      </c>
      <c r="B486" s="3">
        <v>2020</v>
      </c>
      <c r="C486" t="s">
        <v>137</v>
      </c>
      <c r="D486" t="s">
        <v>138</v>
      </c>
      <c r="E486" t="s">
        <v>138</v>
      </c>
      <c r="F486" s="4">
        <v>5922892</v>
      </c>
      <c r="G486" s="4">
        <v>32559</v>
      </c>
      <c r="H486">
        <f>IFERROR(VLOOKUP(E486,'GASB Match'!$A$2:$B$240,2,FALSE),"")</f>
        <v>1300210</v>
      </c>
    </row>
    <row r="487" spans="1:8" x14ac:dyDescent="0.2">
      <c r="A487">
        <v>1300210</v>
      </c>
      <c r="B487" s="3">
        <v>2021</v>
      </c>
      <c r="C487" t="s">
        <v>137</v>
      </c>
      <c r="D487" t="s">
        <v>138</v>
      </c>
      <c r="E487" t="s">
        <v>138</v>
      </c>
      <c r="F487" s="4">
        <v>5411801</v>
      </c>
      <c r="G487" s="4">
        <v>25205</v>
      </c>
      <c r="H487">
        <f>IFERROR(VLOOKUP(E487,'GASB Match'!$A$2:$B$240,2,FALSE),"")</f>
        <v>1300210</v>
      </c>
    </row>
    <row r="488" spans="1:8" x14ac:dyDescent="0.2">
      <c r="A488">
        <v>1300210</v>
      </c>
      <c r="B488" s="3">
        <v>2022</v>
      </c>
      <c r="C488" t="s">
        <v>137</v>
      </c>
      <c r="D488" t="s">
        <v>138</v>
      </c>
      <c r="E488" t="s">
        <v>138</v>
      </c>
      <c r="F488" s="4">
        <v>5994808</v>
      </c>
      <c r="G488" s="4">
        <v>18948</v>
      </c>
      <c r="H488">
        <f>IFERROR(VLOOKUP(E488,'GASB Match'!$A$2:$B$240,2,FALSE),"")</f>
        <v>1300210</v>
      </c>
    </row>
    <row r="489" spans="1:8" x14ac:dyDescent="0.2">
      <c r="A489">
        <v>1300210</v>
      </c>
      <c r="B489" s="3">
        <v>2023</v>
      </c>
      <c r="C489" t="s">
        <v>137</v>
      </c>
      <c r="D489" t="s">
        <v>138</v>
      </c>
      <c r="E489" t="s">
        <v>138</v>
      </c>
      <c r="F489" s="4">
        <v>6284593</v>
      </c>
      <c r="G489" s="4">
        <v>42446</v>
      </c>
      <c r="H489">
        <f>IFERROR(VLOOKUP(E489,'GASB Match'!$A$2:$B$240,2,FALSE),"")</f>
        <v>1300210</v>
      </c>
    </row>
    <row r="490" spans="1:8" x14ac:dyDescent="0.2">
      <c r="A490" t="s">
        <v>7</v>
      </c>
      <c r="B490" s="3">
        <v>2015</v>
      </c>
      <c r="C490" t="s">
        <v>140</v>
      </c>
      <c r="D490" t="s">
        <v>141</v>
      </c>
      <c r="E490" t="s">
        <v>141</v>
      </c>
      <c r="F490" s="4">
        <v>2096622.47</v>
      </c>
      <c r="G490" s="4" t="s">
        <v>7</v>
      </c>
      <c r="H490" t="str">
        <f>IFERROR(VLOOKUP(E490,'GASB Match'!$A$2:$B$240,2,FALSE),"")</f>
        <v/>
      </c>
    </row>
    <row r="491" spans="1:8" x14ac:dyDescent="0.2">
      <c r="A491" t="s">
        <v>7</v>
      </c>
      <c r="B491" s="3">
        <v>2016</v>
      </c>
      <c r="C491" t="s">
        <v>140</v>
      </c>
      <c r="D491" t="s">
        <v>141</v>
      </c>
      <c r="E491" t="s">
        <v>141</v>
      </c>
      <c r="F491" s="4">
        <v>2838945.55</v>
      </c>
      <c r="G491" s="4" t="s">
        <v>7</v>
      </c>
      <c r="H491" t="str">
        <f>IFERROR(VLOOKUP(E491,'GASB Match'!$A$2:$B$240,2,FALSE),"")</f>
        <v/>
      </c>
    </row>
    <row r="492" spans="1:8" x14ac:dyDescent="0.2">
      <c r="A492" t="s">
        <v>7</v>
      </c>
      <c r="B492" s="3">
        <v>2017</v>
      </c>
      <c r="C492" t="s">
        <v>140</v>
      </c>
      <c r="D492" t="s">
        <v>141</v>
      </c>
      <c r="E492" t="s">
        <v>141</v>
      </c>
      <c r="F492" s="4">
        <v>3042807</v>
      </c>
      <c r="G492" s="4" t="s">
        <v>7</v>
      </c>
      <c r="H492" t="str">
        <f>IFERROR(VLOOKUP(E492,'GASB Match'!$A$2:$B$240,2,FALSE),"")</f>
        <v/>
      </c>
    </row>
    <row r="493" spans="1:8" x14ac:dyDescent="0.2">
      <c r="A493" t="s">
        <v>7</v>
      </c>
      <c r="B493" s="3">
        <v>2018</v>
      </c>
      <c r="C493" t="s">
        <v>140</v>
      </c>
      <c r="D493" t="s">
        <v>141</v>
      </c>
      <c r="E493" t="s">
        <v>141</v>
      </c>
      <c r="F493" s="4">
        <v>3729798</v>
      </c>
      <c r="G493" s="4" t="s">
        <v>7</v>
      </c>
      <c r="H493" t="str">
        <f>IFERROR(VLOOKUP(E493,'GASB Match'!$A$2:$B$240,2,FALSE),"")</f>
        <v/>
      </c>
    </row>
    <row r="494" spans="1:8" x14ac:dyDescent="0.2">
      <c r="A494" t="s">
        <v>7</v>
      </c>
      <c r="B494" s="3">
        <v>2019</v>
      </c>
      <c r="C494" t="s">
        <v>140</v>
      </c>
      <c r="D494" t="s">
        <v>141</v>
      </c>
      <c r="E494" t="s">
        <v>141</v>
      </c>
      <c r="F494" s="4">
        <v>4705708</v>
      </c>
      <c r="G494" s="4" t="s">
        <v>7</v>
      </c>
      <c r="H494" t="str">
        <f>IFERROR(VLOOKUP(E494,'GASB Match'!$A$2:$B$240,2,FALSE),"")</f>
        <v/>
      </c>
    </row>
    <row r="495" spans="1:8" x14ac:dyDescent="0.2">
      <c r="A495" t="s">
        <v>7</v>
      </c>
      <c r="B495" s="3">
        <v>2020</v>
      </c>
      <c r="C495" t="s">
        <v>140</v>
      </c>
      <c r="D495" t="s">
        <v>141</v>
      </c>
      <c r="E495" t="s">
        <v>141</v>
      </c>
      <c r="F495" s="4">
        <v>5102177</v>
      </c>
      <c r="G495" s="4" t="s">
        <v>7</v>
      </c>
      <c r="H495" t="str">
        <f>IFERROR(VLOOKUP(E495,'GASB Match'!$A$2:$B$240,2,FALSE),"")</f>
        <v/>
      </c>
    </row>
    <row r="496" spans="1:8" x14ac:dyDescent="0.2">
      <c r="A496" t="s">
        <v>7</v>
      </c>
      <c r="B496" s="3">
        <v>2021</v>
      </c>
      <c r="C496" t="s">
        <v>140</v>
      </c>
      <c r="D496" t="s">
        <v>141</v>
      </c>
      <c r="E496" t="s">
        <v>141</v>
      </c>
      <c r="F496" s="4">
        <v>4614780</v>
      </c>
      <c r="G496" s="4" t="s">
        <v>7</v>
      </c>
      <c r="H496" t="str">
        <f>IFERROR(VLOOKUP(E496,'GASB Match'!$A$2:$B$240,2,FALSE),"")</f>
        <v/>
      </c>
    </row>
    <row r="497" spans="1:8" x14ac:dyDescent="0.2">
      <c r="A497" t="s">
        <v>7</v>
      </c>
      <c r="B497" s="3">
        <v>2022</v>
      </c>
      <c r="C497" t="s">
        <v>140</v>
      </c>
      <c r="D497" t="s">
        <v>141</v>
      </c>
      <c r="E497" t="s">
        <v>141</v>
      </c>
      <c r="F497" s="4">
        <v>4716618</v>
      </c>
      <c r="G497" s="4" t="s">
        <v>7</v>
      </c>
      <c r="H497" t="str">
        <f>IFERROR(VLOOKUP(E497,'GASB Match'!$A$2:$B$240,2,FALSE),"")</f>
        <v/>
      </c>
    </row>
    <row r="498" spans="1:8" x14ac:dyDescent="0.2">
      <c r="A498" t="s">
        <v>7</v>
      </c>
      <c r="B498" s="3">
        <v>2023</v>
      </c>
      <c r="C498" t="s">
        <v>140</v>
      </c>
      <c r="D498" t="s">
        <v>141</v>
      </c>
      <c r="E498" t="s">
        <v>141</v>
      </c>
      <c r="F498" s="4">
        <v>4629606</v>
      </c>
      <c r="G498" s="4" t="s">
        <v>7</v>
      </c>
      <c r="H498" t="str">
        <f>IFERROR(VLOOKUP(E498,'GASB Match'!$A$2:$B$240,2,FALSE),"")</f>
        <v/>
      </c>
    </row>
    <row r="499" spans="1:8" x14ac:dyDescent="0.2">
      <c r="A499">
        <v>1300240</v>
      </c>
      <c r="B499" s="3">
        <v>2015</v>
      </c>
      <c r="C499" t="s">
        <v>142</v>
      </c>
      <c r="D499" t="s">
        <v>143</v>
      </c>
      <c r="E499" t="s">
        <v>143</v>
      </c>
      <c r="F499" s="4">
        <v>1840253.41</v>
      </c>
      <c r="G499" s="4">
        <v>12034.97</v>
      </c>
      <c r="H499">
        <f>IFERROR(VLOOKUP(E499,'GASB Match'!$A$2:$B$240,2,FALSE),"")</f>
        <v>1300240</v>
      </c>
    </row>
    <row r="500" spans="1:8" x14ac:dyDescent="0.2">
      <c r="A500">
        <v>1300240</v>
      </c>
      <c r="B500" s="3">
        <v>2016</v>
      </c>
      <c r="C500" t="s">
        <v>142</v>
      </c>
      <c r="D500" t="s">
        <v>143</v>
      </c>
      <c r="E500" t="s">
        <v>143</v>
      </c>
      <c r="F500" s="4">
        <v>2043317.89</v>
      </c>
      <c r="G500" s="4">
        <v>13492.86</v>
      </c>
      <c r="H500">
        <f>IFERROR(VLOOKUP(E500,'GASB Match'!$A$2:$B$240,2,FALSE),"")</f>
        <v>1300240</v>
      </c>
    </row>
    <row r="501" spans="1:8" x14ac:dyDescent="0.2">
      <c r="A501">
        <v>1300240</v>
      </c>
      <c r="B501" s="3">
        <v>2017</v>
      </c>
      <c r="C501" t="s">
        <v>142</v>
      </c>
      <c r="D501" t="s">
        <v>143</v>
      </c>
      <c r="E501" t="s">
        <v>143</v>
      </c>
      <c r="F501" s="4">
        <v>2102636</v>
      </c>
      <c r="G501" s="4">
        <v>13061</v>
      </c>
      <c r="H501">
        <f>IFERROR(VLOOKUP(E501,'GASB Match'!$A$2:$B$240,2,FALSE),"")</f>
        <v>1300240</v>
      </c>
    </row>
    <row r="502" spans="1:8" x14ac:dyDescent="0.2">
      <c r="A502">
        <v>1300240</v>
      </c>
      <c r="B502" s="3">
        <v>2018</v>
      </c>
      <c r="C502" t="s">
        <v>142</v>
      </c>
      <c r="D502" t="s">
        <v>143</v>
      </c>
      <c r="E502" t="s">
        <v>143</v>
      </c>
      <c r="F502" s="4">
        <v>2584308</v>
      </c>
      <c r="G502" s="4">
        <v>15127</v>
      </c>
      <c r="H502">
        <f>IFERROR(VLOOKUP(E502,'GASB Match'!$A$2:$B$240,2,FALSE),"")</f>
        <v>1300240</v>
      </c>
    </row>
    <row r="503" spans="1:8" x14ac:dyDescent="0.2">
      <c r="A503">
        <v>1300240</v>
      </c>
      <c r="B503" s="3">
        <v>2019</v>
      </c>
      <c r="C503" t="s">
        <v>142</v>
      </c>
      <c r="D503" t="s">
        <v>144</v>
      </c>
      <c r="E503" t="s">
        <v>143</v>
      </c>
      <c r="F503" s="4">
        <v>3311511</v>
      </c>
      <c r="G503" s="4">
        <v>19973</v>
      </c>
      <c r="H503">
        <f>IFERROR(VLOOKUP(E503,'GASB Match'!$A$2:$B$240,2,FALSE),"")</f>
        <v>1300240</v>
      </c>
    </row>
    <row r="504" spans="1:8" x14ac:dyDescent="0.2">
      <c r="A504">
        <v>1300240</v>
      </c>
      <c r="B504" s="3">
        <v>2020</v>
      </c>
      <c r="C504" t="s">
        <v>142</v>
      </c>
      <c r="D504" t="s">
        <v>143</v>
      </c>
      <c r="E504" t="s">
        <v>143</v>
      </c>
      <c r="F504" s="4">
        <v>3548709</v>
      </c>
      <c r="G504" s="4">
        <v>21079</v>
      </c>
      <c r="H504">
        <f>IFERROR(VLOOKUP(E504,'GASB Match'!$A$2:$B$240,2,FALSE),"")</f>
        <v>1300240</v>
      </c>
    </row>
    <row r="505" spans="1:8" x14ac:dyDescent="0.2">
      <c r="A505">
        <v>1300240</v>
      </c>
      <c r="B505" s="3">
        <v>2021</v>
      </c>
      <c r="C505" t="s">
        <v>142</v>
      </c>
      <c r="D505" t="s">
        <v>143</v>
      </c>
      <c r="E505" t="s">
        <v>143</v>
      </c>
      <c r="F505" s="4">
        <v>3140654</v>
      </c>
      <c r="G505" s="4">
        <v>18800</v>
      </c>
      <c r="H505">
        <f>IFERROR(VLOOKUP(E505,'GASB Match'!$A$2:$B$240,2,FALSE),"")</f>
        <v>1300240</v>
      </c>
    </row>
    <row r="506" spans="1:8" x14ac:dyDescent="0.2">
      <c r="A506">
        <v>1300240</v>
      </c>
      <c r="B506" s="3">
        <v>2022</v>
      </c>
      <c r="C506" t="s">
        <v>142</v>
      </c>
      <c r="D506" t="s">
        <v>143</v>
      </c>
      <c r="E506" t="s">
        <v>143</v>
      </c>
      <c r="F506" s="4">
        <v>3488238</v>
      </c>
      <c r="G506" s="4">
        <v>20277</v>
      </c>
      <c r="H506">
        <f>IFERROR(VLOOKUP(E506,'GASB Match'!$A$2:$B$240,2,FALSE),"")</f>
        <v>1300240</v>
      </c>
    </row>
    <row r="507" spans="1:8" x14ac:dyDescent="0.2">
      <c r="A507">
        <v>1300240</v>
      </c>
      <c r="B507" s="3">
        <v>2023</v>
      </c>
      <c r="C507" t="s">
        <v>142</v>
      </c>
      <c r="D507" t="s">
        <v>143</v>
      </c>
      <c r="E507" t="s">
        <v>143</v>
      </c>
      <c r="F507" s="4">
        <v>3837175</v>
      </c>
      <c r="G507" s="4">
        <v>21515</v>
      </c>
      <c r="H507">
        <f>IFERROR(VLOOKUP(E507,'GASB Match'!$A$2:$B$240,2,FALSE),"")</f>
        <v>1300240</v>
      </c>
    </row>
    <row r="508" spans="1:8" x14ac:dyDescent="0.2">
      <c r="A508" t="s">
        <v>7</v>
      </c>
      <c r="B508" s="3">
        <v>2015</v>
      </c>
      <c r="C508" t="s">
        <v>145</v>
      </c>
      <c r="D508" t="s">
        <v>146</v>
      </c>
      <c r="E508" t="s">
        <v>146</v>
      </c>
      <c r="F508" s="4">
        <v>8326431.4800000004</v>
      </c>
      <c r="G508" s="4">
        <v>35920.800000000003</v>
      </c>
      <c r="H508" t="str">
        <f>IFERROR(VLOOKUP(E508,'GASB Match'!$A$2:$B$240,2,FALSE),"")</f>
        <v/>
      </c>
    </row>
    <row r="509" spans="1:8" x14ac:dyDescent="0.2">
      <c r="A509" t="s">
        <v>7</v>
      </c>
      <c r="B509" s="3">
        <v>2016</v>
      </c>
      <c r="C509" t="s">
        <v>145</v>
      </c>
      <c r="D509" t="s">
        <v>146</v>
      </c>
      <c r="E509" t="s">
        <v>146</v>
      </c>
      <c r="F509" s="4">
        <v>9454909.9299999997</v>
      </c>
      <c r="G509" s="4">
        <v>40134.06</v>
      </c>
      <c r="H509" t="str">
        <f>IFERROR(VLOOKUP(E509,'GASB Match'!$A$2:$B$240,2,FALSE),"")</f>
        <v/>
      </c>
    </row>
    <row r="510" spans="1:8" x14ac:dyDescent="0.2">
      <c r="A510" t="s">
        <v>7</v>
      </c>
      <c r="B510" s="3">
        <v>2017</v>
      </c>
      <c r="C510" t="s">
        <v>145</v>
      </c>
      <c r="D510" t="s">
        <v>146</v>
      </c>
      <c r="E510" t="s">
        <v>146</v>
      </c>
      <c r="F510" s="4">
        <v>9956161</v>
      </c>
      <c r="G510" s="4">
        <v>36312</v>
      </c>
      <c r="H510" t="str">
        <f>IFERROR(VLOOKUP(E510,'GASB Match'!$A$2:$B$240,2,FALSE),"")</f>
        <v/>
      </c>
    </row>
    <row r="511" spans="1:8" x14ac:dyDescent="0.2">
      <c r="A511" t="s">
        <v>7</v>
      </c>
      <c r="B511" s="3">
        <v>2018</v>
      </c>
      <c r="C511" t="s">
        <v>145</v>
      </c>
      <c r="D511" t="s">
        <v>146</v>
      </c>
      <c r="E511" t="s">
        <v>146</v>
      </c>
      <c r="F511" s="4">
        <v>11907363</v>
      </c>
      <c r="G511" s="4">
        <v>50901</v>
      </c>
      <c r="H511" t="str">
        <f>IFERROR(VLOOKUP(E511,'GASB Match'!$A$2:$B$240,2,FALSE),"")</f>
        <v/>
      </c>
    </row>
    <row r="512" spans="1:8" x14ac:dyDescent="0.2">
      <c r="A512" t="s">
        <v>7</v>
      </c>
      <c r="B512" s="3">
        <v>2019</v>
      </c>
      <c r="C512" t="s">
        <v>145</v>
      </c>
      <c r="D512" t="s">
        <v>147</v>
      </c>
      <c r="E512" t="s">
        <v>146</v>
      </c>
      <c r="F512" s="4">
        <v>15300940</v>
      </c>
      <c r="G512" s="4">
        <v>61663</v>
      </c>
      <c r="H512" t="str">
        <f>IFERROR(VLOOKUP(E512,'GASB Match'!$A$2:$B$240,2,FALSE),"")</f>
        <v/>
      </c>
    </row>
    <row r="513" spans="1:8" x14ac:dyDescent="0.2">
      <c r="A513" t="s">
        <v>7</v>
      </c>
      <c r="B513" s="3">
        <v>2020</v>
      </c>
      <c r="C513" t="s">
        <v>145</v>
      </c>
      <c r="D513" t="s">
        <v>146</v>
      </c>
      <c r="E513" t="s">
        <v>146</v>
      </c>
      <c r="F513" s="4">
        <v>16480083</v>
      </c>
      <c r="G513" s="4">
        <v>48702</v>
      </c>
      <c r="H513" t="str">
        <f>IFERROR(VLOOKUP(E513,'GASB Match'!$A$2:$B$240,2,FALSE),"")</f>
        <v/>
      </c>
    </row>
    <row r="514" spans="1:8" x14ac:dyDescent="0.2">
      <c r="A514" t="s">
        <v>7</v>
      </c>
      <c r="B514" s="3">
        <v>2021</v>
      </c>
      <c r="C514" t="s">
        <v>145</v>
      </c>
      <c r="D514" t="s">
        <v>146</v>
      </c>
      <c r="E514" t="s">
        <v>146</v>
      </c>
      <c r="F514" s="4">
        <v>15578678</v>
      </c>
      <c r="G514" s="4">
        <v>47784</v>
      </c>
      <c r="H514" t="str">
        <f>IFERROR(VLOOKUP(E514,'GASB Match'!$A$2:$B$240,2,FALSE),"")</f>
        <v/>
      </c>
    </row>
    <row r="515" spans="1:8" x14ac:dyDescent="0.2">
      <c r="A515" t="s">
        <v>7</v>
      </c>
      <c r="B515" s="3">
        <v>2022</v>
      </c>
      <c r="C515" t="s">
        <v>145</v>
      </c>
      <c r="D515" t="s">
        <v>146</v>
      </c>
      <c r="E515" t="s">
        <v>146</v>
      </c>
      <c r="F515" s="4">
        <v>17951931</v>
      </c>
      <c r="G515" s="4">
        <v>57687</v>
      </c>
      <c r="H515" t="str">
        <f>IFERROR(VLOOKUP(E515,'GASB Match'!$A$2:$B$240,2,FALSE),"")</f>
        <v/>
      </c>
    </row>
    <row r="516" spans="1:8" x14ac:dyDescent="0.2">
      <c r="A516" t="s">
        <v>7</v>
      </c>
      <c r="B516" s="3">
        <v>2023</v>
      </c>
      <c r="C516" t="s">
        <v>145</v>
      </c>
      <c r="D516" t="s">
        <v>146</v>
      </c>
      <c r="E516" t="s">
        <v>146</v>
      </c>
      <c r="F516" s="4">
        <v>18665506</v>
      </c>
      <c r="G516" s="4">
        <v>61158</v>
      </c>
      <c r="H516" t="str">
        <f>IFERROR(VLOOKUP(E516,'GASB Match'!$A$2:$B$240,2,FALSE),"")</f>
        <v/>
      </c>
    </row>
    <row r="517" spans="1:8" x14ac:dyDescent="0.2">
      <c r="A517" t="s">
        <v>7</v>
      </c>
      <c r="B517" s="3">
        <v>2015</v>
      </c>
      <c r="C517" t="s">
        <v>148</v>
      </c>
      <c r="D517" t="s">
        <v>149</v>
      </c>
      <c r="E517" t="s">
        <v>149</v>
      </c>
      <c r="F517" s="4">
        <v>61304.08</v>
      </c>
      <c r="G517" s="4" t="s">
        <v>7</v>
      </c>
      <c r="H517" t="str">
        <f>IFERROR(VLOOKUP(E517,'GASB Match'!$A$2:$B$240,2,FALSE),"")</f>
        <v/>
      </c>
    </row>
    <row r="518" spans="1:8" x14ac:dyDescent="0.2">
      <c r="A518" t="s">
        <v>7</v>
      </c>
      <c r="B518" s="3">
        <v>2016</v>
      </c>
      <c r="C518" t="s">
        <v>148</v>
      </c>
      <c r="D518" t="s">
        <v>149</v>
      </c>
      <c r="E518" t="s">
        <v>149</v>
      </c>
      <c r="F518" s="4">
        <v>70261.52</v>
      </c>
      <c r="G518" s="4" t="s">
        <v>7</v>
      </c>
      <c r="H518" t="str">
        <f>IFERROR(VLOOKUP(E518,'GASB Match'!$A$2:$B$240,2,FALSE),"")</f>
        <v/>
      </c>
    </row>
    <row r="519" spans="1:8" x14ac:dyDescent="0.2">
      <c r="A519" t="s">
        <v>7</v>
      </c>
      <c r="B519" s="3">
        <v>2017</v>
      </c>
      <c r="C519" t="s">
        <v>148</v>
      </c>
      <c r="D519" t="s">
        <v>149</v>
      </c>
      <c r="E519" t="s">
        <v>149</v>
      </c>
      <c r="F519" s="4">
        <v>72057</v>
      </c>
      <c r="G519" s="4" t="s">
        <v>7</v>
      </c>
      <c r="H519" t="str">
        <f>IFERROR(VLOOKUP(E519,'GASB Match'!$A$2:$B$240,2,FALSE),"")</f>
        <v/>
      </c>
    </row>
    <row r="520" spans="1:8" x14ac:dyDescent="0.2">
      <c r="A520" t="s">
        <v>7</v>
      </c>
      <c r="B520" s="3">
        <v>2018</v>
      </c>
      <c r="C520" t="s">
        <v>148</v>
      </c>
      <c r="D520" t="s">
        <v>149</v>
      </c>
      <c r="E520" t="s">
        <v>149</v>
      </c>
      <c r="F520" s="4">
        <v>83417</v>
      </c>
      <c r="G520" s="4" t="s">
        <v>7</v>
      </c>
      <c r="H520" t="str">
        <f>IFERROR(VLOOKUP(E520,'GASB Match'!$A$2:$B$240,2,FALSE),"")</f>
        <v/>
      </c>
    </row>
    <row r="521" spans="1:8" x14ac:dyDescent="0.2">
      <c r="A521" t="s">
        <v>7</v>
      </c>
      <c r="B521" s="3">
        <v>2019</v>
      </c>
      <c r="C521" t="s">
        <v>148</v>
      </c>
      <c r="D521" t="s">
        <v>149</v>
      </c>
      <c r="E521" t="s">
        <v>149</v>
      </c>
      <c r="F521" s="4">
        <v>102157</v>
      </c>
      <c r="G521" s="4" t="s">
        <v>7</v>
      </c>
      <c r="H521" t="str">
        <f>IFERROR(VLOOKUP(E521,'GASB Match'!$A$2:$B$240,2,FALSE),"")</f>
        <v/>
      </c>
    </row>
    <row r="522" spans="1:8" x14ac:dyDescent="0.2">
      <c r="A522" t="s">
        <v>7</v>
      </c>
      <c r="B522" s="3">
        <v>2020</v>
      </c>
      <c r="C522" t="s">
        <v>148</v>
      </c>
      <c r="D522" t="s">
        <v>149</v>
      </c>
      <c r="E522" t="s">
        <v>149</v>
      </c>
      <c r="F522" s="4">
        <v>115692</v>
      </c>
      <c r="G522" s="4" t="s">
        <v>7</v>
      </c>
      <c r="H522" t="str">
        <f>IFERROR(VLOOKUP(E522,'GASB Match'!$A$2:$B$240,2,FALSE),"")</f>
        <v/>
      </c>
    </row>
    <row r="523" spans="1:8" x14ac:dyDescent="0.2">
      <c r="A523" t="s">
        <v>7</v>
      </c>
      <c r="B523" s="3">
        <v>2021</v>
      </c>
      <c r="C523" t="s">
        <v>148</v>
      </c>
      <c r="D523" t="s">
        <v>149</v>
      </c>
      <c r="E523" t="s">
        <v>149</v>
      </c>
      <c r="F523" s="4">
        <v>112143</v>
      </c>
      <c r="G523" s="4" t="s">
        <v>7</v>
      </c>
      <c r="H523" t="str">
        <f>IFERROR(VLOOKUP(E523,'GASB Match'!$A$2:$B$240,2,FALSE),"")</f>
        <v/>
      </c>
    </row>
    <row r="524" spans="1:8" x14ac:dyDescent="0.2">
      <c r="A524" t="s">
        <v>7</v>
      </c>
      <c r="B524" s="3">
        <v>2022</v>
      </c>
      <c r="C524" t="s">
        <v>148</v>
      </c>
      <c r="D524" t="s">
        <v>149</v>
      </c>
      <c r="E524" t="s">
        <v>149</v>
      </c>
      <c r="F524" s="4">
        <v>122134</v>
      </c>
      <c r="G524" s="4" t="s">
        <v>7</v>
      </c>
      <c r="H524" t="str">
        <f>IFERROR(VLOOKUP(E524,'GASB Match'!$A$2:$B$240,2,FALSE),"")</f>
        <v/>
      </c>
    </row>
    <row r="525" spans="1:8" x14ac:dyDescent="0.2">
      <c r="A525" t="s">
        <v>7</v>
      </c>
      <c r="B525" s="3">
        <v>2023</v>
      </c>
      <c r="C525" t="s">
        <v>148</v>
      </c>
      <c r="D525" t="s">
        <v>149</v>
      </c>
      <c r="E525" t="s">
        <v>149</v>
      </c>
      <c r="F525" s="4">
        <v>128852</v>
      </c>
      <c r="G525" s="4" t="s">
        <v>7</v>
      </c>
      <c r="H525" t="str">
        <f>IFERROR(VLOOKUP(E525,'GASB Match'!$A$2:$B$240,2,FALSE),"")</f>
        <v/>
      </c>
    </row>
    <row r="526" spans="1:8" x14ac:dyDescent="0.2">
      <c r="A526">
        <v>1300330</v>
      </c>
      <c r="B526" s="3">
        <v>2015</v>
      </c>
      <c r="C526" t="s">
        <v>150</v>
      </c>
      <c r="D526" t="s">
        <v>151</v>
      </c>
      <c r="E526" t="s">
        <v>151</v>
      </c>
      <c r="F526" s="4">
        <v>9186451.2599999998</v>
      </c>
      <c r="G526" s="4">
        <v>56944.1</v>
      </c>
      <c r="H526">
        <f>IFERROR(VLOOKUP(E526,'GASB Match'!$A$2:$B$240,2,FALSE),"")</f>
        <v>1300330</v>
      </c>
    </row>
    <row r="527" spans="1:8" x14ac:dyDescent="0.2">
      <c r="A527">
        <v>1300330</v>
      </c>
      <c r="B527" s="3">
        <v>2016</v>
      </c>
      <c r="C527" t="s">
        <v>150</v>
      </c>
      <c r="D527" t="s">
        <v>151</v>
      </c>
      <c r="E527" t="s">
        <v>151</v>
      </c>
      <c r="F527" s="4">
        <v>9800120.5399999898</v>
      </c>
      <c r="G527" s="4">
        <v>64441.75</v>
      </c>
      <c r="H527">
        <f>IFERROR(VLOOKUP(E527,'GASB Match'!$A$2:$B$240,2,FALSE),"")</f>
        <v>1300330</v>
      </c>
    </row>
    <row r="528" spans="1:8" x14ac:dyDescent="0.2">
      <c r="A528">
        <v>1300330</v>
      </c>
      <c r="B528" s="3">
        <v>2017</v>
      </c>
      <c r="C528" t="s">
        <v>150</v>
      </c>
      <c r="D528" t="s">
        <v>151</v>
      </c>
      <c r="E528" t="s">
        <v>151</v>
      </c>
      <c r="F528" s="4">
        <v>9698676</v>
      </c>
      <c r="G528" s="4">
        <v>53484</v>
      </c>
      <c r="H528">
        <f>IFERROR(VLOOKUP(E528,'GASB Match'!$A$2:$B$240,2,FALSE),"")</f>
        <v>1300330</v>
      </c>
    </row>
    <row r="529" spans="1:8" x14ac:dyDescent="0.2">
      <c r="A529">
        <v>1300330</v>
      </c>
      <c r="B529" s="3">
        <v>2018</v>
      </c>
      <c r="C529" t="s">
        <v>150</v>
      </c>
      <c r="D529" t="s">
        <v>151</v>
      </c>
      <c r="E529" t="s">
        <v>151</v>
      </c>
      <c r="F529" s="4">
        <v>11437580</v>
      </c>
      <c r="G529" s="4">
        <v>55384</v>
      </c>
      <c r="H529">
        <f>IFERROR(VLOOKUP(E529,'GASB Match'!$A$2:$B$240,2,FALSE),"")</f>
        <v>1300330</v>
      </c>
    </row>
    <row r="530" spans="1:8" x14ac:dyDescent="0.2">
      <c r="A530">
        <v>1300330</v>
      </c>
      <c r="B530" s="3">
        <v>2019</v>
      </c>
      <c r="C530" t="s">
        <v>150</v>
      </c>
      <c r="D530" t="s">
        <v>152</v>
      </c>
      <c r="E530" t="s">
        <v>151</v>
      </c>
      <c r="F530" s="4">
        <v>14643780</v>
      </c>
      <c r="G530" s="4">
        <v>71771</v>
      </c>
      <c r="H530">
        <f>IFERROR(VLOOKUP(E530,'GASB Match'!$A$2:$B$240,2,FALSE),"")</f>
        <v>1300330</v>
      </c>
    </row>
    <row r="531" spans="1:8" x14ac:dyDescent="0.2">
      <c r="A531">
        <v>1300330</v>
      </c>
      <c r="B531" s="3">
        <v>2020</v>
      </c>
      <c r="C531" t="s">
        <v>150</v>
      </c>
      <c r="D531" t="s">
        <v>151</v>
      </c>
      <c r="E531" t="s">
        <v>151</v>
      </c>
      <c r="F531" s="4">
        <v>16410316</v>
      </c>
      <c r="G531" s="4">
        <v>76669</v>
      </c>
      <c r="H531">
        <f>IFERROR(VLOOKUP(E531,'GASB Match'!$A$2:$B$240,2,FALSE),"")</f>
        <v>1300330</v>
      </c>
    </row>
    <row r="532" spans="1:8" x14ac:dyDescent="0.2">
      <c r="A532">
        <v>1300330</v>
      </c>
      <c r="B532" s="3">
        <v>2021</v>
      </c>
      <c r="C532" t="s">
        <v>150</v>
      </c>
      <c r="D532" t="s">
        <v>151</v>
      </c>
      <c r="E532" t="s">
        <v>151</v>
      </c>
      <c r="F532" s="4">
        <v>15421743</v>
      </c>
      <c r="G532" s="4">
        <v>62531</v>
      </c>
      <c r="H532">
        <f>IFERROR(VLOOKUP(E532,'GASB Match'!$A$2:$B$240,2,FALSE),"")</f>
        <v>1300330</v>
      </c>
    </row>
    <row r="533" spans="1:8" x14ac:dyDescent="0.2">
      <c r="A533">
        <v>1300330</v>
      </c>
      <c r="B533" s="3">
        <v>2022</v>
      </c>
      <c r="C533" t="s">
        <v>150</v>
      </c>
      <c r="D533" t="s">
        <v>151</v>
      </c>
      <c r="E533" t="s">
        <v>151</v>
      </c>
      <c r="F533" s="4">
        <v>17000775</v>
      </c>
      <c r="G533" s="4">
        <v>69830</v>
      </c>
      <c r="H533">
        <f>IFERROR(VLOOKUP(E533,'GASB Match'!$A$2:$B$240,2,FALSE),"")</f>
        <v>1300330</v>
      </c>
    </row>
    <row r="534" spans="1:8" x14ac:dyDescent="0.2">
      <c r="A534">
        <v>1300330</v>
      </c>
      <c r="B534" s="3">
        <v>2023</v>
      </c>
      <c r="C534" t="s">
        <v>150</v>
      </c>
      <c r="D534" t="s">
        <v>151</v>
      </c>
      <c r="E534" t="s">
        <v>151</v>
      </c>
      <c r="F534" s="4">
        <v>20087341</v>
      </c>
      <c r="G534" s="4">
        <v>79923</v>
      </c>
      <c r="H534">
        <f>IFERROR(VLOOKUP(E534,'GASB Match'!$A$2:$B$240,2,FALSE),"")</f>
        <v>1300330</v>
      </c>
    </row>
    <row r="535" spans="1:8" x14ac:dyDescent="0.2">
      <c r="A535" t="s">
        <v>7</v>
      </c>
      <c r="B535" s="3">
        <v>2015</v>
      </c>
      <c r="C535" t="s">
        <v>153</v>
      </c>
      <c r="D535" t="s">
        <v>154</v>
      </c>
      <c r="E535" t="s">
        <v>154</v>
      </c>
      <c r="F535" s="4">
        <v>104824.9</v>
      </c>
      <c r="G535" s="4" t="s">
        <v>7</v>
      </c>
      <c r="H535" t="str">
        <f>IFERROR(VLOOKUP(E535,'GASB Match'!$A$2:$B$240,2,FALSE),"")</f>
        <v/>
      </c>
    </row>
    <row r="536" spans="1:8" x14ac:dyDescent="0.2">
      <c r="A536" t="s">
        <v>7</v>
      </c>
      <c r="B536" s="3">
        <v>2016</v>
      </c>
      <c r="C536" t="s">
        <v>153</v>
      </c>
      <c r="D536" t="s">
        <v>154</v>
      </c>
      <c r="E536" t="s">
        <v>154</v>
      </c>
      <c r="F536" s="4">
        <v>115007.08</v>
      </c>
      <c r="G536" s="4" t="s">
        <v>7</v>
      </c>
      <c r="H536" t="str">
        <f>IFERROR(VLOOKUP(E536,'GASB Match'!$A$2:$B$240,2,FALSE),"")</f>
        <v/>
      </c>
    </row>
    <row r="537" spans="1:8" x14ac:dyDescent="0.2">
      <c r="A537" t="s">
        <v>7</v>
      </c>
      <c r="B537" s="3">
        <v>2017</v>
      </c>
      <c r="C537" t="s">
        <v>153</v>
      </c>
      <c r="D537" t="s">
        <v>154</v>
      </c>
      <c r="E537" t="s">
        <v>154</v>
      </c>
      <c r="F537" s="4">
        <v>119265</v>
      </c>
      <c r="G537" s="4" t="s">
        <v>7</v>
      </c>
      <c r="H537" t="str">
        <f>IFERROR(VLOOKUP(E537,'GASB Match'!$A$2:$B$240,2,FALSE),"")</f>
        <v/>
      </c>
    </row>
    <row r="538" spans="1:8" x14ac:dyDescent="0.2">
      <c r="A538" t="s">
        <v>7</v>
      </c>
      <c r="B538" s="3">
        <v>2018</v>
      </c>
      <c r="C538" t="s">
        <v>153</v>
      </c>
      <c r="D538" t="s">
        <v>154</v>
      </c>
      <c r="E538" t="s">
        <v>154</v>
      </c>
      <c r="F538" s="4">
        <v>139107</v>
      </c>
      <c r="G538" s="4" t="s">
        <v>7</v>
      </c>
      <c r="H538" t="str">
        <f>IFERROR(VLOOKUP(E538,'GASB Match'!$A$2:$B$240,2,FALSE),"")</f>
        <v/>
      </c>
    </row>
    <row r="539" spans="1:8" x14ac:dyDescent="0.2">
      <c r="A539" t="s">
        <v>7</v>
      </c>
      <c r="B539" s="3">
        <v>2019</v>
      </c>
      <c r="C539" t="s">
        <v>153</v>
      </c>
      <c r="D539" t="s">
        <v>154</v>
      </c>
      <c r="E539" t="s">
        <v>154</v>
      </c>
      <c r="F539" s="4">
        <v>168512</v>
      </c>
      <c r="G539" s="4" t="s">
        <v>7</v>
      </c>
      <c r="H539" t="str">
        <f>IFERROR(VLOOKUP(E539,'GASB Match'!$A$2:$B$240,2,FALSE),"")</f>
        <v/>
      </c>
    </row>
    <row r="540" spans="1:8" x14ac:dyDescent="0.2">
      <c r="A540" t="s">
        <v>7</v>
      </c>
      <c r="B540" s="3">
        <v>2020</v>
      </c>
      <c r="C540" t="s">
        <v>153</v>
      </c>
      <c r="D540" t="s">
        <v>154</v>
      </c>
      <c r="E540" t="s">
        <v>154</v>
      </c>
      <c r="F540" s="4">
        <v>168996</v>
      </c>
      <c r="G540" s="4" t="s">
        <v>7</v>
      </c>
      <c r="H540" t="str">
        <f>IFERROR(VLOOKUP(E540,'GASB Match'!$A$2:$B$240,2,FALSE),"")</f>
        <v/>
      </c>
    </row>
    <row r="541" spans="1:8" x14ac:dyDescent="0.2">
      <c r="A541" t="s">
        <v>7</v>
      </c>
      <c r="B541" s="3">
        <v>2021</v>
      </c>
      <c r="C541" t="s">
        <v>153</v>
      </c>
      <c r="D541" t="s">
        <v>154</v>
      </c>
      <c r="E541" t="s">
        <v>154</v>
      </c>
      <c r="F541" s="4">
        <v>152124</v>
      </c>
      <c r="G541" s="4" t="s">
        <v>7</v>
      </c>
      <c r="H541" t="str">
        <f>IFERROR(VLOOKUP(E541,'GASB Match'!$A$2:$B$240,2,FALSE),"")</f>
        <v/>
      </c>
    </row>
    <row r="542" spans="1:8" x14ac:dyDescent="0.2">
      <c r="A542" t="s">
        <v>7</v>
      </c>
      <c r="B542" s="3">
        <v>2022</v>
      </c>
      <c r="C542" t="s">
        <v>153</v>
      </c>
      <c r="D542" t="s">
        <v>154</v>
      </c>
      <c r="E542" t="s">
        <v>154</v>
      </c>
      <c r="F542" s="4">
        <v>162960</v>
      </c>
      <c r="G542" s="4" t="s">
        <v>7</v>
      </c>
      <c r="H542" t="str">
        <f>IFERROR(VLOOKUP(E542,'GASB Match'!$A$2:$B$240,2,FALSE),"")</f>
        <v/>
      </c>
    </row>
    <row r="543" spans="1:8" x14ac:dyDescent="0.2">
      <c r="A543" t="s">
        <v>7</v>
      </c>
      <c r="B543" s="3">
        <v>2023</v>
      </c>
      <c r="C543" t="s">
        <v>153</v>
      </c>
      <c r="D543" t="s">
        <v>154</v>
      </c>
      <c r="E543" t="s">
        <v>154</v>
      </c>
      <c r="F543" s="4">
        <v>164439</v>
      </c>
      <c r="G543" s="4" t="s">
        <v>7</v>
      </c>
      <c r="H543" t="str">
        <f>IFERROR(VLOOKUP(E543,'GASB Match'!$A$2:$B$240,2,FALSE),"")</f>
        <v/>
      </c>
    </row>
    <row r="544" spans="1:8" x14ac:dyDescent="0.2">
      <c r="A544">
        <v>1300360</v>
      </c>
      <c r="B544" s="3">
        <v>2015</v>
      </c>
      <c r="C544" t="s">
        <v>155</v>
      </c>
      <c r="D544" t="s">
        <v>156</v>
      </c>
      <c r="E544" t="s">
        <v>156</v>
      </c>
      <c r="F544" s="4">
        <v>2041487.41</v>
      </c>
      <c r="G544" s="4">
        <v>17329.740000000002</v>
      </c>
      <c r="H544">
        <f>IFERROR(VLOOKUP(E544,'GASB Match'!$A$2:$B$240,2,FALSE),"")</f>
        <v>1300360</v>
      </c>
    </row>
    <row r="545" spans="1:8" x14ac:dyDescent="0.2">
      <c r="A545">
        <v>1300360</v>
      </c>
      <c r="B545" s="3">
        <v>2016</v>
      </c>
      <c r="C545" t="s">
        <v>155</v>
      </c>
      <c r="D545" t="s">
        <v>156</v>
      </c>
      <c r="E545" t="s">
        <v>156</v>
      </c>
      <c r="F545" s="4">
        <v>2234321.7999999998</v>
      </c>
      <c r="G545" s="4">
        <v>18510.72</v>
      </c>
      <c r="H545">
        <f>IFERROR(VLOOKUP(E545,'GASB Match'!$A$2:$B$240,2,FALSE),"")</f>
        <v>1300360</v>
      </c>
    </row>
    <row r="546" spans="1:8" x14ac:dyDescent="0.2">
      <c r="A546">
        <v>1300360</v>
      </c>
      <c r="B546" s="3">
        <v>2017</v>
      </c>
      <c r="C546" t="s">
        <v>155</v>
      </c>
      <c r="D546" t="s">
        <v>156</v>
      </c>
      <c r="E546" t="s">
        <v>156</v>
      </c>
      <c r="F546" s="4">
        <v>2309711</v>
      </c>
      <c r="G546" s="4">
        <v>18864</v>
      </c>
      <c r="H546">
        <f>IFERROR(VLOOKUP(E546,'GASB Match'!$A$2:$B$240,2,FALSE),"")</f>
        <v>1300360</v>
      </c>
    </row>
    <row r="547" spans="1:8" x14ac:dyDescent="0.2">
      <c r="A547">
        <v>1300360</v>
      </c>
      <c r="B547" s="3">
        <v>2018</v>
      </c>
      <c r="C547" t="s">
        <v>155</v>
      </c>
      <c r="D547" t="s">
        <v>156</v>
      </c>
      <c r="E547" t="s">
        <v>156</v>
      </c>
      <c r="F547" s="4">
        <v>2676145</v>
      </c>
      <c r="G547" s="4">
        <v>12569</v>
      </c>
      <c r="H547">
        <f>IFERROR(VLOOKUP(E547,'GASB Match'!$A$2:$B$240,2,FALSE),"")</f>
        <v>1300360</v>
      </c>
    </row>
    <row r="548" spans="1:8" x14ac:dyDescent="0.2">
      <c r="A548">
        <v>1300360</v>
      </c>
      <c r="B548" s="3">
        <v>2019</v>
      </c>
      <c r="C548" t="s">
        <v>155</v>
      </c>
      <c r="D548" t="s">
        <v>156</v>
      </c>
      <c r="E548" t="s">
        <v>156</v>
      </c>
      <c r="F548" s="4">
        <v>3322544</v>
      </c>
      <c r="G548" s="4">
        <v>12791</v>
      </c>
      <c r="H548">
        <f>IFERROR(VLOOKUP(E548,'GASB Match'!$A$2:$B$240,2,FALSE),"")</f>
        <v>1300360</v>
      </c>
    </row>
    <row r="549" spans="1:8" x14ac:dyDescent="0.2">
      <c r="A549">
        <v>1300360</v>
      </c>
      <c r="B549" s="3">
        <v>2020</v>
      </c>
      <c r="C549" t="s">
        <v>155</v>
      </c>
      <c r="D549" t="s">
        <v>156</v>
      </c>
      <c r="E549" t="s">
        <v>156</v>
      </c>
      <c r="F549" s="4">
        <v>3622141</v>
      </c>
      <c r="G549" s="4">
        <v>13585</v>
      </c>
      <c r="H549">
        <f>IFERROR(VLOOKUP(E549,'GASB Match'!$A$2:$B$240,2,FALSE),"")</f>
        <v>1300360</v>
      </c>
    </row>
    <row r="550" spans="1:8" x14ac:dyDescent="0.2">
      <c r="A550">
        <v>1300360</v>
      </c>
      <c r="B550" s="3">
        <v>2021</v>
      </c>
      <c r="C550" t="s">
        <v>155</v>
      </c>
      <c r="D550" t="s">
        <v>156</v>
      </c>
      <c r="E550" t="s">
        <v>156</v>
      </c>
      <c r="F550" s="4">
        <v>3327473</v>
      </c>
      <c r="G550" s="4">
        <v>44695</v>
      </c>
      <c r="H550">
        <f>IFERROR(VLOOKUP(E550,'GASB Match'!$A$2:$B$240,2,FALSE),"")</f>
        <v>1300360</v>
      </c>
    </row>
    <row r="551" spans="1:8" x14ac:dyDescent="0.2">
      <c r="A551">
        <v>1300360</v>
      </c>
      <c r="B551" s="3">
        <v>2022</v>
      </c>
      <c r="C551" t="s">
        <v>155</v>
      </c>
      <c r="D551" t="s">
        <v>156</v>
      </c>
      <c r="E551" t="s">
        <v>156</v>
      </c>
      <c r="F551" s="4">
        <v>3869541</v>
      </c>
      <c r="G551" s="4">
        <v>51010</v>
      </c>
      <c r="H551">
        <f>IFERROR(VLOOKUP(E551,'GASB Match'!$A$2:$B$240,2,FALSE),"")</f>
        <v>1300360</v>
      </c>
    </row>
    <row r="552" spans="1:8" x14ac:dyDescent="0.2">
      <c r="A552">
        <v>1300360</v>
      </c>
      <c r="B552" s="3">
        <v>2023</v>
      </c>
      <c r="C552" t="s">
        <v>155</v>
      </c>
      <c r="D552" t="s">
        <v>156</v>
      </c>
      <c r="E552" t="s">
        <v>156</v>
      </c>
      <c r="F552" s="4">
        <v>4091847</v>
      </c>
      <c r="G552" s="4">
        <v>56253</v>
      </c>
      <c r="H552">
        <f>IFERROR(VLOOKUP(E552,'GASB Match'!$A$2:$B$240,2,FALSE),"")</f>
        <v>1300360</v>
      </c>
    </row>
    <row r="553" spans="1:8" x14ac:dyDescent="0.2">
      <c r="A553" t="s">
        <v>7</v>
      </c>
      <c r="B553" s="3">
        <v>2015</v>
      </c>
      <c r="C553" t="s">
        <v>157</v>
      </c>
      <c r="D553" t="s">
        <v>158</v>
      </c>
      <c r="E553" t="s">
        <v>158</v>
      </c>
      <c r="F553" s="4">
        <v>21449.86</v>
      </c>
      <c r="G553" s="4" t="s">
        <v>7</v>
      </c>
      <c r="H553" t="str">
        <f>IFERROR(VLOOKUP(E553,'GASB Match'!$A$2:$B$240,2,FALSE),"")</f>
        <v/>
      </c>
    </row>
    <row r="554" spans="1:8" x14ac:dyDescent="0.2">
      <c r="A554" t="s">
        <v>7</v>
      </c>
      <c r="B554" s="3">
        <v>2016</v>
      </c>
      <c r="C554" t="s">
        <v>157</v>
      </c>
      <c r="D554" t="s">
        <v>158</v>
      </c>
      <c r="E554" t="s">
        <v>158</v>
      </c>
      <c r="F554" s="4">
        <v>23456.99</v>
      </c>
      <c r="G554" s="4" t="s">
        <v>7</v>
      </c>
      <c r="H554" t="str">
        <f>IFERROR(VLOOKUP(E554,'GASB Match'!$A$2:$B$240,2,FALSE),"")</f>
        <v/>
      </c>
    </row>
    <row r="555" spans="1:8" x14ac:dyDescent="0.2">
      <c r="A555" t="s">
        <v>7</v>
      </c>
      <c r="B555" s="3">
        <v>2017</v>
      </c>
      <c r="C555" t="s">
        <v>157</v>
      </c>
      <c r="D555" t="s">
        <v>158</v>
      </c>
      <c r="E555" t="s">
        <v>158</v>
      </c>
      <c r="F555" s="4">
        <v>29329</v>
      </c>
      <c r="G555" s="4" t="s">
        <v>7</v>
      </c>
      <c r="H555" t="str">
        <f>IFERROR(VLOOKUP(E555,'GASB Match'!$A$2:$B$240,2,FALSE),"")</f>
        <v/>
      </c>
    </row>
    <row r="556" spans="1:8" x14ac:dyDescent="0.2">
      <c r="A556" t="s">
        <v>7</v>
      </c>
      <c r="B556" s="3">
        <v>2018</v>
      </c>
      <c r="C556" t="s">
        <v>157</v>
      </c>
      <c r="D556" t="s">
        <v>158</v>
      </c>
      <c r="E556" t="s">
        <v>158</v>
      </c>
      <c r="F556" s="4">
        <v>29768</v>
      </c>
      <c r="G556" s="4" t="s">
        <v>7</v>
      </c>
      <c r="H556" t="str">
        <f>IFERROR(VLOOKUP(E556,'GASB Match'!$A$2:$B$240,2,FALSE),"")</f>
        <v/>
      </c>
    </row>
    <row r="557" spans="1:8" x14ac:dyDescent="0.2">
      <c r="A557">
        <v>1300390</v>
      </c>
      <c r="B557" s="3">
        <v>2015</v>
      </c>
      <c r="C557" t="s">
        <v>159</v>
      </c>
      <c r="D557" t="s">
        <v>160</v>
      </c>
      <c r="E557" t="s">
        <v>160</v>
      </c>
      <c r="F557" s="4">
        <v>1917003.59</v>
      </c>
      <c r="G557" s="4">
        <v>12905.23</v>
      </c>
      <c r="H557">
        <f>IFERROR(VLOOKUP(E557,'GASB Match'!$A$2:$B$240,2,FALSE),"")</f>
        <v>1300390</v>
      </c>
    </row>
    <row r="558" spans="1:8" x14ac:dyDescent="0.2">
      <c r="A558">
        <v>1300390</v>
      </c>
      <c r="B558" s="3">
        <v>2016</v>
      </c>
      <c r="C558" t="s">
        <v>159</v>
      </c>
      <c r="D558" t="s">
        <v>160</v>
      </c>
      <c r="E558" t="s">
        <v>160</v>
      </c>
      <c r="F558" s="4">
        <v>2108659</v>
      </c>
      <c r="G558" s="4">
        <v>8767.2000000000007</v>
      </c>
      <c r="H558">
        <f>IFERROR(VLOOKUP(E558,'GASB Match'!$A$2:$B$240,2,FALSE),"")</f>
        <v>1300390</v>
      </c>
    </row>
    <row r="559" spans="1:8" x14ac:dyDescent="0.2">
      <c r="A559">
        <v>1300390</v>
      </c>
      <c r="B559" s="3">
        <v>2017</v>
      </c>
      <c r="C559" t="s">
        <v>159</v>
      </c>
      <c r="D559" t="s">
        <v>160</v>
      </c>
      <c r="E559" t="s">
        <v>160</v>
      </c>
      <c r="F559" s="4">
        <v>2185652</v>
      </c>
      <c r="G559" s="4">
        <v>10926</v>
      </c>
      <c r="H559">
        <f>IFERROR(VLOOKUP(E559,'GASB Match'!$A$2:$B$240,2,FALSE),"")</f>
        <v>1300390</v>
      </c>
    </row>
    <row r="560" spans="1:8" x14ac:dyDescent="0.2">
      <c r="A560">
        <v>1300390</v>
      </c>
      <c r="B560" s="3">
        <v>2018</v>
      </c>
      <c r="C560" t="s">
        <v>159</v>
      </c>
      <c r="D560" t="s">
        <v>160</v>
      </c>
      <c r="E560" t="s">
        <v>160</v>
      </c>
      <c r="F560" s="4">
        <v>2588312</v>
      </c>
      <c r="G560" s="4">
        <v>11914</v>
      </c>
      <c r="H560">
        <f>IFERROR(VLOOKUP(E560,'GASB Match'!$A$2:$B$240,2,FALSE),"")</f>
        <v>1300390</v>
      </c>
    </row>
    <row r="561" spans="1:8" x14ac:dyDescent="0.2">
      <c r="A561">
        <v>1300390</v>
      </c>
      <c r="B561" s="3">
        <v>2019</v>
      </c>
      <c r="C561" t="s">
        <v>159</v>
      </c>
      <c r="D561" t="s">
        <v>160</v>
      </c>
      <c r="E561" t="s">
        <v>160</v>
      </c>
      <c r="F561" s="4">
        <v>3242503</v>
      </c>
      <c r="G561" s="4">
        <v>12398</v>
      </c>
      <c r="H561">
        <f>IFERROR(VLOOKUP(E561,'GASB Match'!$A$2:$B$240,2,FALSE),"")</f>
        <v>1300390</v>
      </c>
    </row>
    <row r="562" spans="1:8" x14ac:dyDescent="0.2">
      <c r="A562">
        <v>1300390</v>
      </c>
      <c r="B562" s="3">
        <v>2020</v>
      </c>
      <c r="C562" t="s">
        <v>159</v>
      </c>
      <c r="D562" t="s">
        <v>160</v>
      </c>
      <c r="E562" t="s">
        <v>160</v>
      </c>
      <c r="F562" s="4">
        <v>3474489</v>
      </c>
      <c r="G562" s="4">
        <v>14438</v>
      </c>
      <c r="H562">
        <f>IFERROR(VLOOKUP(E562,'GASB Match'!$A$2:$B$240,2,FALSE),"")</f>
        <v>1300390</v>
      </c>
    </row>
    <row r="563" spans="1:8" x14ac:dyDescent="0.2">
      <c r="A563">
        <v>1300390</v>
      </c>
      <c r="B563" s="3">
        <v>2021</v>
      </c>
      <c r="C563" t="s">
        <v>159</v>
      </c>
      <c r="D563" t="s">
        <v>160</v>
      </c>
      <c r="E563" t="s">
        <v>160</v>
      </c>
      <c r="F563" s="4">
        <v>3123539</v>
      </c>
      <c r="G563" s="4">
        <v>14421</v>
      </c>
      <c r="H563">
        <f>IFERROR(VLOOKUP(E563,'GASB Match'!$A$2:$B$240,2,FALSE),"")</f>
        <v>1300390</v>
      </c>
    </row>
    <row r="564" spans="1:8" x14ac:dyDescent="0.2">
      <c r="A564">
        <v>1300390</v>
      </c>
      <c r="B564" s="3">
        <v>2022</v>
      </c>
      <c r="C564" t="s">
        <v>159</v>
      </c>
      <c r="D564" t="s">
        <v>160</v>
      </c>
      <c r="E564" t="s">
        <v>160</v>
      </c>
      <c r="F564" s="4">
        <v>3322043</v>
      </c>
      <c r="G564" s="4">
        <v>15141</v>
      </c>
      <c r="H564">
        <f>IFERROR(VLOOKUP(E564,'GASB Match'!$A$2:$B$240,2,FALSE),"")</f>
        <v>1300390</v>
      </c>
    </row>
    <row r="565" spans="1:8" x14ac:dyDescent="0.2">
      <c r="A565">
        <v>1300390</v>
      </c>
      <c r="B565" s="3">
        <v>2023</v>
      </c>
      <c r="C565" t="s">
        <v>159</v>
      </c>
      <c r="D565" t="s">
        <v>160</v>
      </c>
      <c r="E565" t="s">
        <v>160</v>
      </c>
      <c r="F565" s="4">
        <v>3572297</v>
      </c>
      <c r="G565" s="4">
        <v>17413</v>
      </c>
      <c r="H565">
        <f>IFERROR(VLOOKUP(E565,'GASB Match'!$A$2:$B$240,2,FALSE),"")</f>
        <v>1300390</v>
      </c>
    </row>
    <row r="566" spans="1:8" x14ac:dyDescent="0.2">
      <c r="A566">
        <v>1300420</v>
      </c>
      <c r="B566" s="3">
        <v>2015</v>
      </c>
      <c r="C566" t="s">
        <v>161</v>
      </c>
      <c r="D566" t="s">
        <v>162</v>
      </c>
      <c r="E566" t="s">
        <v>162</v>
      </c>
      <c r="F566" s="4">
        <v>15797893.960000001</v>
      </c>
      <c r="G566" s="4">
        <v>16146.47</v>
      </c>
      <c r="H566">
        <f>IFERROR(VLOOKUP(E566,'GASB Match'!$A$2:$B$240,2,FALSE),"")</f>
        <v>1300420</v>
      </c>
    </row>
    <row r="567" spans="1:8" x14ac:dyDescent="0.2">
      <c r="A567">
        <v>1300420</v>
      </c>
      <c r="B567" s="3">
        <v>2016</v>
      </c>
      <c r="C567" t="s">
        <v>161</v>
      </c>
      <c r="D567" t="s">
        <v>162</v>
      </c>
      <c r="E567" t="s">
        <v>162</v>
      </c>
      <c r="F567" s="4">
        <v>16646039.880000001</v>
      </c>
      <c r="G567" s="4">
        <v>10203.9</v>
      </c>
      <c r="H567">
        <f>IFERROR(VLOOKUP(E567,'GASB Match'!$A$2:$B$240,2,FALSE),"")</f>
        <v>1300420</v>
      </c>
    </row>
    <row r="568" spans="1:8" x14ac:dyDescent="0.2">
      <c r="A568">
        <v>1300420</v>
      </c>
      <c r="B568" s="3">
        <v>2017</v>
      </c>
      <c r="C568" t="s">
        <v>161</v>
      </c>
      <c r="D568" t="s">
        <v>162</v>
      </c>
      <c r="E568" t="s">
        <v>162</v>
      </c>
      <c r="F568" s="4">
        <v>16842031</v>
      </c>
      <c r="G568" s="4">
        <v>8493</v>
      </c>
      <c r="H568">
        <f>IFERROR(VLOOKUP(E568,'GASB Match'!$A$2:$B$240,2,FALSE),"")</f>
        <v>1300420</v>
      </c>
    </row>
    <row r="569" spans="1:8" x14ac:dyDescent="0.2">
      <c r="A569">
        <v>1300420</v>
      </c>
      <c r="B569" s="3">
        <v>2018</v>
      </c>
      <c r="C569" t="s">
        <v>161</v>
      </c>
      <c r="D569" t="s">
        <v>162</v>
      </c>
      <c r="E569" t="s">
        <v>162</v>
      </c>
      <c r="F569" s="4">
        <v>20888729</v>
      </c>
      <c r="G569" s="4">
        <v>3974</v>
      </c>
      <c r="H569">
        <f>IFERROR(VLOOKUP(E569,'GASB Match'!$A$2:$B$240,2,FALSE),"")</f>
        <v>1300420</v>
      </c>
    </row>
    <row r="570" spans="1:8" x14ac:dyDescent="0.2">
      <c r="A570">
        <v>1300420</v>
      </c>
      <c r="B570" s="3">
        <v>2019</v>
      </c>
      <c r="C570" t="s">
        <v>161</v>
      </c>
      <c r="D570" t="s">
        <v>162</v>
      </c>
      <c r="E570" t="s">
        <v>162</v>
      </c>
      <c r="F570" s="4">
        <v>26192587</v>
      </c>
      <c r="G570" s="4" t="s">
        <v>7</v>
      </c>
      <c r="H570">
        <f>IFERROR(VLOOKUP(E570,'GASB Match'!$A$2:$B$240,2,FALSE),"")</f>
        <v>1300420</v>
      </c>
    </row>
    <row r="571" spans="1:8" x14ac:dyDescent="0.2">
      <c r="A571">
        <v>1300420</v>
      </c>
      <c r="B571" s="3">
        <v>2020</v>
      </c>
      <c r="C571" t="s">
        <v>161</v>
      </c>
      <c r="D571" t="s">
        <v>162</v>
      </c>
      <c r="E571" t="s">
        <v>162</v>
      </c>
      <c r="F571" s="4">
        <v>27867080</v>
      </c>
      <c r="G571" s="4" t="s">
        <v>7</v>
      </c>
      <c r="H571">
        <f>IFERROR(VLOOKUP(E571,'GASB Match'!$A$2:$B$240,2,FALSE),"")</f>
        <v>1300420</v>
      </c>
    </row>
    <row r="572" spans="1:8" x14ac:dyDescent="0.2">
      <c r="A572">
        <v>1300420</v>
      </c>
      <c r="B572" s="3">
        <v>2021</v>
      </c>
      <c r="C572" t="s">
        <v>161</v>
      </c>
      <c r="D572" t="s">
        <v>162</v>
      </c>
      <c r="E572" t="s">
        <v>162</v>
      </c>
      <c r="F572" s="4">
        <v>24969561</v>
      </c>
      <c r="G572" s="4" t="s">
        <v>7</v>
      </c>
      <c r="H572">
        <f>IFERROR(VLOOKUP(E572,'GASB Match'!$A$2:$B$240,2,FALSE),"")</f>
        <v>1300420</v>
      </c>
    </row>
    <row r="573" spans="1:8" x14ac:dyDescent="0.2">
      <c r="A573">
        <v>1300420</v>
      </c>
      <c r="B573" s="3">
        <v>2022</v>
      </c>
      <c r="C573" t="s">
        <v>161</v>
      </c>
      <c r="D573" t="s">
        <v>162</v>
      </c>
      <c r="E573" t="s">
        <v>162</v>
      </c>
      <c r="F573" s="4">
        <v>27532885</v>
      </c>
      <c r="G573" s="4" t="s">
        <v>7</v>
      </c>
      <c r="H573">
        <f>IFERROR(VLOOKUP(E573,'GASB Match'!$A$2:$B$240,2,FALSE),"")</f>
        <v>1300420</v>
      </c>
    </row>
    <row r="574" spans="1:8" x14ac:dyDescent="0.2">
      <c r="A574">
        <v>1300420</v>
      </c>
      <c r="B574" s="3">
        <v>2023</v>
      </c>
      <c r="C574" t="s">
        <v>161</v>
      </c>
      <c r="D574" t="s">
        <v>162</v>
      </c>
      <c r="E574" t="s">
        <v>162</v>
      </c>
      <c r="F574" s="4">
        <v>28798379</v>
      </c>
      <c r="G574" s="4" t="s">
        <v>7</v>
      </c>
      <c r="H574">
        <f>IFERROR(VLOOKUP(E574,'GASB Match'!$A$2:$B$240,2,FALSE),"")</f>
        <v>1300420</v>
      </c>
    </row>
    <row r="575" spans="1:8" x14ac:dyDescent="0.2">
      <c r="A575" t="s">
        <v>7</v>
      </c>
      <c r="B575" s="3">
        <v>2015</v>
      </c>
      <c r="C575" t="s">
        <v>163</v>
      </c>
      <c r="D575" t="s">
        <v>164</v>
      </c>
      <c r="E575" t="s">
        <v>164</v>
      </c>
      <c r="F575" s="4">
        <v>191729.51</v>
      </c>
      <c r="G575" s="4" t="s">
        <v>7</v>
      </c>
      <c r="H575" t="str">
        <f>IFERROR(VLOOKUP(E575,'GASB Match'!$A$2:$B$240,2,FALSE),"")</f>
        <v/>
      </c>
    </row>
    <row r="576" spans="1:8" x14ac:dyDescent="0.2">
      <c r="A576" t="s">
        <v>7</v>
      </c>
      <c r="B576" s="3">
        <v>2016</v>
      </c>
      <c r="C576" t="s">
        <v>163</v>
      </c>
      <c r="D576" t="s">
        <v>164</v>
      </c>
      <c r="E576" t="s">
        <v>164</v>
      </c>
      <c r="F576" s="4">
        <v>218865.31</v>
      </c>
      <c r="G576" s="4" t="s">
        <v>7</v>
      </c>
      <c r="H576" t="str">
        <f>IFERROR(VLOOKUP(E576,'GASB Match'!$A$2:$B$240,2,FALSE),"")</f>
        <v/>
      </c>
    </row>
    <row r="577" spans="1:8" x14ac:dyDescent="0.2">
      <c r="A577" t="s">
        <v>7</v>
      </c>
      <c r="B577" s="3">
        <v>2017</v>
      </c>
      <c r="C577" t="s">
        <v>163</v>
      </c>
      <c r="D577" t="s">
        <v>164</v>
      </c>
      <c r="E577" t="s">
        <v>164</v>
      </c>
      <c r="F577" s="4">
        <v>220509</v>
      </c>
      <c r="G577" s="4" t="s">
        <v>7</v>
      </c>
      <c r="H577" t="str">
        <f>IFERROR(VLOOKUP(E577,'GASB Match'!$A$2:$B$240,2,FALSE),"")</f>
        <v/>
      </c>
    </row>
    <row r="578" spans="1:8" x14ac:dyDescent="0.2">
      <c r="A578" t="s">
        <v>7</v>
      </c>
      <c r="B578" s="3">
        <v>2018</v>
      </c>
      <c r="C578" t="s">
        <v>163</v>
      </c>
      <c r="D578" t="s">
        <v>164</v>
      </c>
      <c r="E578" t="s">
        <v>164</v>
      </c>
      <c r="F578" s="4">
        <v>263799</v>
      </c>
      <c r="G578" s="4" t="s">
        <v>7</v>
      </c>
      <c r="H578" t="str">
        <f>IFERROR(VLOOKUP(E578,'GASB Match'!$A$2:$B$240,2,FALSE),"")</f>
        <v/>
      </c>
    </row>
    <row r="579" spans="1:8" x14ac:dyDescent="0.2">
      <c r="A579" t="s">
        <v>7</v>
      </c>
      <c r="B579" s="3">
        <v>2019</v>
      </c>
      <c r="C579" t="s">
        <v>163</v>
      </c>
      <c r="D579" t="s">
        <v>164</v>
      </c>
      <c r="E579" t="s">
        <v>164</v>
      </c>
      <c r="F579" s="4">
        <v>315044</v>
      </c>
      <c r="G579" s="4" t="s">
        <v>7</v>
      </c>
      <c r="H579" t="str">
        <f>IFERROR(VLOOKUP(E579,'GASB Match'!$A$2:$B$240,2,FALSE),"")</f>
        <v/>
      </c>
    </row>
    <row r="580" spans="1:8" x14ac:dyDescent="0.2">
      <c r="A580" t="s">
        <v>7</v>
      </c>
      <c r="B580" s="3">
        <v>2020</v>
      </c>
      <c r="C580" t="s">
        <v>163</v>
      </c>
      <c r="D580" t="s">
        <v>164</v>
      </c>
      <c r="E580" t="s">
        <v>164</v>
      </c>
      <c r="F580" s="4">
        <v>329961</v>
      </c>
      <c r="G580" s="4" t="s">
        <v>7</v>
      </c>
      <c r="H580" t="str">
        <f>IFERROR(VLOOKUP(E580,'GASB Match'!$A$2:$B$240,2,FALSE),"")</f>
        <v/>
      </c>
    </row>
    <row r="581" spans="1:8" x14ac:dyDescent="0.2">
      <c r="A581" t="s">
        <v>7</v>
      </c>
      <c r="B581" s="3">
        <v>2021</v>
      </c>
      <c r="C581" t="s">
        <v>163</v>
      </c>
      <c r="D581" t="s">
        <v>164</v>
      </c>
      <c r="E581" t="s">
        <v>164</v>
      </c>
      <c r="F581" s="4">
        <v>294036</v>
      </c>
      <c r="G581" s="4" t="s">
        <v>7</v>
      </c>
      <c r="H581" t="str">
        <f>IFERROR(VLOOKUP(E581,'GASB Match'!$A$2:$B$240,2,FALSE),"")</f>
        <v/>
      </c>
    </row>
    <row r="582" spans="1:8" x14ac:dyDescent="0.2">
      <c r="A582" t="s">
        <v>7</v>
      </c>
      <c r="B582" s="3">
        <v>2022</v>
      </c>
      <c r="C582" t="s">
        <v>163</v>
      </c>
      <c r="D582" t="s">
        <v>164</v>
      </c>
      <c r="E582" t="s">
        <v>164</v>
      </c>
      <c r="F582" s="4">
        <v>383108</v>
      </c>
      <c r="G582" s="4" t="s">
        <v>7</v>
      </c>
      <c r="H582" t="str">
        <f>IFERROR(VLOOKUP(E582,'GASB Match'!$A$2:$B$240,2,FALSE),"")</f>
        <v/>
      </c>
    </row>
    <row r="583" spans="1:8" x14ac:dyDescent="0.2">
      <c r="A583" t="s">
        <v>7</v>
      </c>
      <c r="B583" s="3">
        <v>2023</v>
      </c>
      <c r="C583" t="s">
        <v>163</v>
      </c>
      <c r="D583" t="s">
        <v>164</v>
      </c>
      <c r="E583" t="s">
        <v>164</v>
      </c>
      <c r="F583" s="4">
        <v>492728</v>
      </c>
      <c r="G583" s="4" t="s">
        <v>7</v>
      </c>
      <c r="H583" t="str">
        <f>IFERROR(VLOOKUP(E583,'GASB Match'!$A$2:$B$240,2,FALSE),"")</f>
        <v/>
      </c>
    </row>
    <row r="584" spans="1:8" x14ac:dyDescent="0.2">
      <c r="A584">
        <v>1300440</v>
      </c>
      <c r="B584" s="3">
        <v>2015</v>
      </c>
      <c r="C584" t="s">
        <v>165</v>
      </c>
      <c r="D584" t="s">
        <v>166</v>
      </c>
      <c r="E584" t="s">
        <v>166</v>
      </c>
      <c r="F584" s="4">
        <v>1579743.31</v>
      </c>
      <c r="G584" s="4">
        <v>37628.28</v>
      </c>
      <c r="H584">
        <f>IFERROR(VLOOKUP(E584,'GASB Match'!$A$2:$B$240,2,FALSE),"")</f>
        <v>1300440</v>
      </c>
    </row>
    <row r="585" spans="1:8" x14ac:dyDescent="0.2">
      <c r="A585">
        <v>1300440</v>
      </c>
      <c r="B585" s="3">
        <v>2016</v>
      </c>
      <c r="C585" t="s">
        <v>165</v>
      </c>
      <c r="D585" t="s">
        <v>166</v>
      </c>
      <c r="E585" t="s">
        <v>166</v>
      </c>
      <c r="F585" s="4">
        <v>1766347.56</v>
      </c>
      <c r="G585" s="4">
        <v>41179.360000000001</v>
      </c>
      <c r="H585">
        <f>IFERROR(VLOOKUP(E585,'GASB Match'!$A$2:$B$240,2,FALSE),"")</f>
        <v>1300440</v>
      </c>
    </row>
    <row r="586" spans="1:8" x14ac:dyDescent="0.2">
      <c r="A586">
        <v>1300440</v>
      </c>
      <c r="B586" s="3">
        <v>2017</v>
      </c>
      <c r="C586" t="s">
        <v>165</v>
      </c>
      <c r="D586" t="s">
        <v>166</v>
      </c>
      <c r="E586" t="s">
        <v>166</v>
      </c>
      <c r="F586" s="4">
        <v>1834154</v>
      </c>
      <c r="G586" s="4">
        <v>30280</v>
      </c>
      <c r="H586">
        <f>IFERROR(VLOOKUP(E586,'GASB Match'!$A$2:$B$240,2,FALSE),"")</f>
        <v>1300440</v>
      </c>
    </row>
    <row r="587" spans="1:8" x14ac:dyDescent="0.2">
      <c r="A587">
        <v>1300440</v>
      </c>
      <c r="B587" s="3">
        <v>2018</v>
      </c>
      <c r="C587" t="s">
        <v>165</v>
      </c>
      <c r="D587" t="s">
        <v>166</v>
      </c>
      <c r="E587" t="s">
        <v>166</v>
      </c>
      <c r="F587" s="4">
        <v>2313807</v>
      </c>
      <c r="G587" s="4">
        <v>21390</v>
      </c>
      <c r="H587">
        <f>IFERROR(VLOOKUP(E587,'GASB Match'!$A$2:$B$240,2,FALSE),"")</f>
        <v>1300440</v>
      </c>
    </row>
    <row r="588" spans="1:8" x14ac:dyDescent="0.2">
      <c r="A588">
        <v>1300440</v>
      </c>
      <c r="B588" s="3">
        <v>2019</v>
      </c>
      <c r="C588" t="s">
        <v>165</v>
      </c>
      <c r="D588" t="s">
        <v>166</v>
      </c>
      <c r="E588" t="s">
        <v>166</v>
      </c>
      <c r="F588" s="4">
        <v>2756888</v>
      </c>
      <c r="G588" s="4">
        <v>26348</v>
      </c>
      <c r="H588">
        <f>IFERROR(VLOOKUP(E588,'GASB Match'!$A$2:$B$240,2,FALSE),"")</f>
        <v>1300440</v>
      </c>
    </row>
    <row r="589" spans="1:8" x14ac:dyDescent="0.2">
      <c r="A589">
        <v>1300440</v>
      </c>
      <c r="B589" s="3">
        <v>2020</v>
      </c>
      <c r="C589" t="s">
        <v>165</v>
      </c>
      <c r="D589" t="s">
        <v>166</v>
      </c>
      <c r="E589" t="s">
        <v>166</v>
      </c>
      <c r="F589" s="4">
        <v>2927988</v>
      </c>
      <c r="G589" s="4">
        <v>26596</v>
      </c>
      <c r="H589">
        <f>IFERROR(VLOOKUP(E589,'GASB Match'!$A$2:$B$240,2,FALSE),"")</f>
        <v>1300440</v>
      </c>
    </row>
    <row r="590" spans="1:8" x14ac:dyDescent="0.2">
      <c r="A590">
        <v>1300440</v>
      </c>
      <c r="B590" s="3">
        <v>2021</v>
      </c>
      <c r="C590" t="s">
        <v>165</v>
      </c>
      <c r="D590" t="s">
        <v>166</v>
      </c>
      <c r="E590" t="s">
        <v>166</v>
      </c>
      <c r="F590" s="4">
        <v>2862855</v>
      </c>
      <c r="G590" s="4">
        <v>26606</v>
      </c>
      <c r="H590">
        <f>IFERROR(VLOOKUP(E590,'GASB Match'!$A$2:$B$240,2,FALSE),"")</f>
        <v>1300440</v>
      </c>
    </row>
    <row r="591" spans="1:8" x14ac:dyDescent="0.2">
      <c r="A591">
        <v>1300440</v>
      </c>
      <c r="B591" s="3">
        <v>2022</v>
      </c>
      <c r="C591" t="s">
        <v>165</v>
      </c>
      <c r="D591" t="s">
        <v>166</v>
      </c>
      <c r="E591" t="s">
        <v>166</v>
      </c>
      <c r="F591" s="4">
        <v>2995588</v>
      </c>
      <c r="G591" s="4">
        <v>25837</v>
      </c>
      <c r="H591">
        <f>IFERROR(VLOOKUP(E591,'GASB Match'!$A$2:$B$240,2,FALSE),"")</f>
        <v>1300440</v>
      </c>
    </row>
    <row r="592" spans="1:8" x14ac:dyDescent="0.2">
      <c r="A592">
        <v>1300440</v>
      </c>
      <c r="B592" s="3">
        <v>2023</v>
      </c>
      <c r="C592" t="s">
        <v>165</v>
      </c>
      <c r="D592" t="s">
        <v>166</v>
      </c>
      <c r="E592" t="s">
        <v>166</v>
      </c>
      <c r="F592" s="4">
        <v>3225117</v>
      </c>
      <c r="G592" s="4">
        <v>29697</v>
      </c>
      <c r="H592">
        <f>IFERROR(VLOOKUP(E592,'GASB Match'!$A$2:$B$240,2,FALSE),"")</f>
        <v>1300440</v>
      </c>
    </row>
    <row r="593" spans="1:8" x14ac:dyDescent="0.2">
      <c r="A593">
        <v>1300480</v>
      </c>
      <c r="B593" s="3">
        <v>2015</v>
      </c>
      <c r="C593" t="s">
        <v>167</v>
      </c>
      <c r="D593" t="s">
        <v>168</v>
      </c>
      <c r="E593" t="s">
        <v>168</v>
      </c>
      <c r="F593" s="4">
        <v>2352163.33</v>
      </c>
      <c r="G593" s="4">
        <v>3401.16</v>
      </c>
      <c r="H593">
        <f>IFERROR(VLOOKUP(E593,'GASB Match'!$A$2:$B$240,2,FALSE),"")</f>
        <v>1300480</v>
      </c>
    </row>
    <row r="594" spans="1:8" x14ac:dyDescent="0.2">
      <c r="A594">
        <v>1300480</v>
      </c>
      <c r="B594" s="3">
        <v>2016</v>
      </c>
      <c r="C594" t="s">
        <v>167</v>
      </c>
      <c r="D594" t="s">
        <v>168</v>
      </c>
      <c r="E594" t="s">
        <v>168</v>
      </c>
      <c r="F594" s="4">
        <v>2550451.62</v>
      </c>
      <c r="G594" s="4">
        <v>3696.54</v>
      </c>
      <c r="H594">
        <f>IFERROR(VLOOKUP(E594,'GASB Match'!$A$2:$B$240,2,FALSE),"")</f>
        <v>1300480</v>
      </c>
    </row>
    <row r="595" spans="1:8" x14ac:dyDescent="0.2">
      <c r="A595">
        <v>1300480</v>
      </c>
      <c r="B595" s="3">
        <v>2017</v>
      </c>
      <c r="C595" t="s">
        <v>167</v>
      </c>
      <c r="D595" t="s">
        <v>168</v>
      </c>
      <c r="E595" t="s">
        <v>168</v>
      </c>
      <c r="F595" s="4">
        <v>2612559</v>
      </c>
      <c r="G595" s="4">
        <v>3876</v>
      </c>
      <c r="H595">
        <f>IFERROR(VLOOKUP(E595,'GASB Match'!$A$2:$B$240,2,FALSE),"")</f>
        <v>1300480</v>
      </c>
    </row>
    <row r="596" spans="1:8" x14ac:dyDescent="0.2">
      <c r="A596">
        <v>1300480</v>
      </c>
      <c r="B596" s="3">
        <v>2018</v>
      </c>
      <c r="C596" t="s">
        <v>167</v>
      </c>
      <c r="D596" t="s">
        <v>168</v>
      </c>
      <c r="E596" t="s">
        <v>168</v>
      </c>
      <c r="F596" s="4">
        <v>3087288</v>
      </c>
      <c r="G596" s="4">
        <v>4796</v>
      </c>
      <c r="H596">
        <f>IFERROR(VLOOKUP(E596,'GASB Match'!$A$2:$B$240,2,FALSE),"")</f>
        <v>1300480</v>
      </c>
    </row>
    <row r="597" spans="1:8" x14ac:dyDescent="0.2">
      <c r="A597">
        <v>1300480</v>
      </c>
      <c r="B597" s="3">
        <v>2019</v>
      </c>
      <c r="C597" t="s">
        <v>167</v>
      </c>
      <c r="D597" t="s">
        <v>168</v>
      </c>
      <c r="E597" t="s">
        <v>168</v>
      </c>
      <c r="F597" s="4">
        <v>3897569</v>
      </c>
      <c r="G597" s="4">
        <v>6050</v>
      </c>
      <c r="H597">
        <f>IFERROR(VLOOKUP(E597,'GASB Match'!$A$2:$B$240,2,FALSE),"")</f>
        <v>1300480</v>
      </c>
    </row>
    <row r="598" spans="1:8" x14ac:dyDescent="0.2">
      <c r="A598">
        <v>1300480</v>
      </c>
      <c r="B598" s="3">
        <v>2020</v>
      </c>
      <c r="C598" t="s">
        <v>167</v>
      </c>
      <c r="D598" t="s">
        <v>168</v>
      </c>
      <c r="E598" t="s">
        <v>168</v>
      </c>
      <c r="F598" s="4">
        <v>4216851</v>
      </c>
      <c r="G598" s="4">
        <v>17137</v>
      </c>
      <c r="H598">
        <f>IFERROR(VLOOKUP(E598,'GASB Match'!$A$2:$B$240,2,FALSE),"")</f>
        <v>1300480</v>
      </c>
    </row>
    <row r="599" spans="1:8" x14ac:dyDescent="0.2">
      <c r="A599">
        <v>1300480</v>
      </c>
      <c r="B599" s="3">
        <v>2021</v>
      </c>
      <c r="C599" t="s">
        <v>167</v>
      </c>
      <c r="D599" t="s">
        <v>168</v>
      </c>
      <c r="E599" t="s">
        <v>168</v>
      </c>
      <c r="F599" s="4">
        <v>3835944</v>
      </c>
      <c r="G599" s="4">
        <v>25644</v>
      </c>
      <c r="H599">
        <f>IFERROR(VLOOKUP(E599,'GASB Match'!$A$2:$B$240,2,FALSE),"")</f>
        <v>1300480</v>
      </c>
    </row>
    <row r="600" spans="1:8" x14ac:dyDescent="0.2">
      <c r="A600">
        <v>1300480</v>
      </c>
      <c r="B600" s="3">
        <v>2022</v>
      </c>
      <c r="C600" t="s">
        <v>167</v>
      </c>
      <c r="D600" t="s">
        <v>168</v>
      </c>
      <c r="E600" t="s">
        <v>168</v>
      </c>
      <c r="F600" s="4">
        <v>4081898</v>
      </c>
      <c r="G600" s="4">
        <v>27794</v>
      </c>
      <c r="H600">
        <f>IFERROR(VLOOKUP(E600,'GASB Match'!$A$2:$B$240,2,FALSE),"")</f>
        <v>1300480</v>
      </c>
    </row>
    <row r="601" spans="1:8" x14ac:dyDescent="0.2">
      <c r="A601">
        <v>1300480</v>
      </c>
      <c r="B601" s="3">
        <v>2023</v>
      </c>
      <c r="C601" t="s">
        <v>167</v>
      </c>
      <c r="D601" t="s">
        <v>168</v>
      </c>
      <c r="E601" t="s">
        <v>168</v>
      </c>
      <c r="F601" s="4">
        <v>4327503</v>
      </c>
      <c r="G601" s="4">
        <v>30831</v>
      </c>
      <c r="H601">
        <f>IFERROR(VLOOKUP(E601,'GASB Match'!$A$2:$B$240,2,FALSE),"")</f>
        <v>1300480</v>
      </c>
    </row>
    <row r="602" spans="1:8" x14ac:dyDescent="0.2">
      <c r="A602">
        <v>1300540</v>
      </c>
      <c r="B602" s="3">
        <v>2015</v>
      </c>
      <c r="C602" t="s">
        <v>169</v>
      </c>
      <c r="D602" t="s">
        <v>170</v>
      </c>
      <c r="E602" t="s">
        <v>170</v>
      </c>
      <c r="F602" s="4">
        <v>1404857.7</v>
      </c>
      <c r="G602" s="4">
        <v>25419.5</v>
      </c>
      <c r="H602">
        <f>IFERROR(VLOOKUP(E602,'GASB Match'!$A$2:$B$240,2,FALSE),"")</f>
        <v>1300540</v>
      </c>
    </row>
    <row r="603" spans="1:8" x14ac:dyDescent="0.2">
      <c r="A603">
        <v>1300540</v>
      </c>
      <c r="B603" s="3">
        <v>2016</v>
      </c>
      <c r="C603" t="s">
        <v>169</v>
      </c>
      <c r="D603" t="s">
        <v>170</v>
      </c>
      <c r="E603" t="s">
        <v>170</v>
      </c>
      <c r="F603" s="4">
        <v>1508828.38</v>
      </c>
      <c r="G603" s="4">
        <v>29144.15</v>
      </c>
      <c r="H603">
        <f>IFERROR(VLOOKUP(E603,'GASB Match'!$A$2:$B$240,2,FALSE),"")</f>
        <v>1300540</v>
      </c>
    </row>
    <row r="604" spans="1:8" x14ac:dyDescent="0.2">
      <c r="A604">
        <v>1300540</v>
      </c>
      <c r="B604" s="3">
        <v>2017</v>
      </c>
      <c r="C604" t="s">
        <v>169</v>
      </c>
      <c r="D604" t="s">
        <v>170</v>
      </c>
      <c r="E604" t="s">
        <v>170</v>
      </c>
      <c r="F604" s="4">
        <v>1578044</v>
      </c>
      <c r="G604" s="4">
        <v>22560</v>
      </c>
      <c r="H604">
        <f>IFERROR(VLOOKUP(E604,'GASB Match'!$A$2:$B$240,2,FALSE),"")</f>
        <v>1300540</v>
      </c>
    </row>
    <row r="605" spans="1:8" x14ac:dyDescent="0.2">
      <c r="A605">
        <v>1300540</v>
      </c>
      <c r="B605" s="3">
        <v>2018</v>
      </c>
      <c r="C605" t="s">
        <v>169</v>
      </c>
      <c r="D605" t="s">
        <v>170</v>
      </c>
      <c r="E605" t="s">
        <v>170</v>
      </c>
      <c r="F605" s="4">
        <v>1947936</v>
      </c>
      <c r="G605" s="4">
        <v>14749</v>
      </c>
      <c r="H605">
        <f>IFERROR(VLOOKUP(E605,'GASB Match'!$A$2:$B$240,2,FALSE),"")</f>
        <v>1300540</v>
      </c>
    </row>
    <row r="606" spans="1:8" x14ac:dyDescent="0.2">
      <c r="A606">
        <v>1300540</v>
      </c>
      <c r="B606" s="3">
        <v>2019</v>
      </c>
      <c r="C606" t="s">
        <v>169</v>
      </c>
      <c r="D606" t="s">
        <v>170</v>
      </c>
      <c r="E606" t="s">
        <v>170</v>
      </c>
      <c r="F606" s="4">
        <v>2560136</v>
      </c>
      <c r="G606" s="4">
        <v>19245</v>
      </c>
      <c r="H606">
        <f>IFERROR(VLOOKUP(E606,'GASB Match'!$A$2:$B$240,2,FALSE),"")</f>
        <v>1300540</v>
      </c>
    </row>
    <row r="607" spans="1:8" x14ac:dyDescent="0.2">
      <c r="A607">
        <v>1300540</v>
      </c>
      <c r="B607" s="3">
        <v>2020</v>
      </c>
      <c r="C607" t="s">
        <v>169</v>
      </c>
      <c r="D607" t="s">
        <v>170</v>
      </c>
      <c r="E607" t="s">
        <v>170</v>
      </c>
      <c r="F607" s="4">
        <v>2823345</v>
      </c>
      <c r="G607" s="4">
        <v>21615</v>
      </c>
      <c r="H607">
        <f>IFERROR(VLOOKUP(E607,'GASB Match'!$A$2:$B$240,2,FALSE),"")</f>
        <v>1300540</v>
      </c>
    </row>
    <row r="608" spans="1:8" x14ac:dyDescent="0.2">
      <c r="A608">
        <v>1300540</v>
      </c>
      <c r="B608" s="3">
        <v>2021</v>
      </c>
      <c r="C608" t="s">
        <v>169</v>
      </c>
      <c r="D608" t="s">
        <v>170</v>
      </c>
      <c r="E608" t="s">
        <v>170</v>
      </c>
      <c r="F608" s="4">
        <v>2536460</v>
      </c>
      <c r="G608" s="4">
        <v>22063</v>
      </c>
      <c r="H608">
        <f>IFERROR(VLOOKUP(E608,'GASB Match'!$A$2:$B$240,2,FALSE),"")</f>
        <v>1300540</v>
      </c>
    </row>
    <row r="609" spans="1:8" x14ac:dyDescent="0.2">
      <c r="A609">
        <v>1300540</v>
      </c>
      <c r="B609" s="3">
        <v>2022</v>
      </c>
      <c r="C609" t="s">
        <v>169</v>
      </c>
      <c r="D609" t="s">
        <v>170</v>
      </c>
      <c r="E609" t="s">
        <v>170</v>
      </c>
      <c r="F609" s="4">
        <v>2705492</v>
      </c>
      <c r="G609" s="4">
        <v>25147</v>
      </c>
      <c r="H609">
        <f>IFERROR(VLOOKUP(E609,'GASB Match'!$A$2:$B$240,2,FALSE),"")</f>
        <v>1300540</v>
      </c>
    </row>
    <row r="610" spans="1:8" x14ac:dyDescent="0.2">
      <c r="A610">
        <v>1300540</v>
      </c>
      <c r="B610" s="3">
        <v>2023</v>
      </c>
      <c r="C610" t="s">
        <v>169</v>
      </c>
      <c r="D610" t="s">
        <v>170</v>
      </c>
      <c r="E610" t="s">
        <v>170</v>
      </c>
      <c r="F610" s="4">
        <v>2820395</v>
      </c>
      <c r="G610" s="4">
        <v>25186</v>
      </c>
      <c r="H610">
        <f>IFERROR(VLOOKUP(E610,'GASB Match'!$A$2:$B$240,2,FALSE),"")</f>
        <v>1300540</v>
      </c>
    </row>
    <row r="611" spans="1:8" x14ac:dyDescent="0.2">
      <c r="A611" t="s">
        <v>7</v>
      </c>
      <c r="B611" s="3">
        <v>2015</v>
      </c>
      <c r="C611" t="s">
        <v>171</v>
      </c>
      <c r="D611" t="s">
        <v>172</v>
      </c>
      <c r="E611" t="s">
        <v>172</v>
      </c>
      <c r="F611" s="4">
        <v>17165.87</v>
      </c>
      <c r="G611" s="4" t="s">
        <v>7</v>
      </c>
      <c r="H611" t="str">
        <f>IFERROR(VLOOKUP(E611,'GASB Match'!$A$2:$B$240,2,FALSE),"")</f>
        <v/>
      </c>
    </row>
    <row r="612" spans="1:8" x14ac:dyDescent="0.2">
      <c r="A612" t="s">
        <v>7</v>
      </c>
      <c r="B612" s="3">
        <v>2016</v>
      </c>
      <c r="C612" t="s">
        <v>171</v>
      </c>
      <c r="D612" t="s">
        <v>172</v>
      </c>
      <c r="E612" t="s">
        <v>172</v>
      </c>
      <c r="F612" s="4">
        <v>14506.27</v>
      </c>
      <c r="G612" s="4" t="s">
        <v>7</v>
      </c>
      <c r="H612" t="str">
        <f>IFERROR(VLOOKUP(E612,'GASB Match'!$A$2:$B$240,2,FALSE),"")</f>
        <v/>
      </c>
    </row>
    <row r="613" spans="1:8" x14ac:dyDescent="0.2">
      <c r="A613" t="s">
        <v>7</v>
      </c>
      <c r="B613" s="3">
        <v>2017</v>
      </c>
      <c r="C613" t="s">
        <v>171</v>
      </c>
      <c r="D613" t="s">
        <v>172</v>
      </c>
      <c r="E613" t="s">
        <v>172</v>
      </c>
      <c r="F613" s="4">
        <v>13683</v>
      </c>
      <c r="G613" s="4" t="s">
        <v>7</v>
      </c>
      <c r="H613" t="str">
        <f>IFERROR(VLOOKUP(E613,'GASB Match'!$A$2:$B$240,2,FALSE),"")</f>
        <v/>
      </c>
    </row>
    <row r="614" spans="1:8" x14ac:dyDescent="0.2">
      <c r="A614" t="s">
        <v>7</v>
      </c>
      <c r="B614" s="3">
        <v>2018</v>
      </c>
      <c r="C614" t="s">
        <v>171</v>
      </c>
      <c r="D614" t="s">
        <v>172</v>
      </c>
      <c r="E614" t="s">
        <v>172</v>
      </c>
      <c r="F614" s="4">
        <v>16549</v>
      </c>
      <c r="G614" s="4" t="s">
        <v>7</v>
      </c>
      <c r="H614" t="str">
        <f>IFERROR(VLOOKUP(E614,'GASB Match'!$A$2:$B$240,2,FALSE),"")</f>
        <v/>
      </c>
    </row>
    <row r="615" spans="1:8" x14ac:dyDescent="0.2">
      <c r="A615" t="s">
        <v>7</v>
      </c>
      <c r="B615" s="3">
        <v>2019</v>
      </c>
      <c r="C615" t="s">
        <v>171</v>
      </c>
      <c r="D615" t="s">
        <v>172</v>
      </c>
      <c r="E615" t="s">
        <v>172</v>
      </c>
      <c r="F615" s="4">
        <v>20712</v>
      </c>
      <c r="G615" s="4" t="s">
        <v>7</v>
      </c>
      <c r="H615" t="str">
        <f>IFERROR(VLOOKUP(E615,'GASB Match'!$A$2:$B$240,2,FALSE),"")</f>
        <v/>
      </c>
    </row>
    <row r="616" spans="1:8" x14ac:dyDescent="0.2">
      <c r="A616" t="s">
        <v>7</v>
      </c>
      <c r="B616" s="3">
        <v>2020</v>
      </c>
      <c r="C616" t="s">
        <v>171</v>
      </c>
      <c r="D616" t="s">
        <v>172</v>
      </c>
      <c r="E616" t="s">
        <v>172</v>
      </c>
      <c r="F616" s="4">
        <v>21502</v>
      </c>
      <c r="G616" s="4" t="s">
        <v>7</v>
      </c>
      <c r="H616" t="str">
        <f>IFERROR(VLOOKUP(E616,'GASB Match'!$A$2:$B$240,2,FALSE),"")</f>
        <v/>
      </c>
    </row>
    <row r="617" spans="1:8" x14ac:dyDescent="0.2">
      <c r="A617" t="s">
        <v>7</v>
      </c>
      <c r="B617" s="3">
        <v>2021</v>
      </c>
      <c r="C617" t="s">
        <v>171</v>
      </c>
      <c r="D617" t="s">
        <v>172</v>
      </c>
      <c r="E617" t="s">
        <v>172</v>
      </c>
      <c r="F617" s="4">
        <v>19903</v>
      </c>
      <c r="G617" s="4" t="s">
        <v>7</v>
      </c>
      <c r="H617" t="str">
        <f>IFERROR(VLOOKUP(E617,'GASB Match'!$A$2:$B$240,2,FALSE),"")</f>
        <v/>
      </c>
    </row>
    <row r="618" spans="1:8" x14ac:dyDescent="0.2">
      <c r="A618" t="s">
        <v>7</v>
      </c>
      <c r="B618" s="3">
        <v>2022</v>
      </c>
      <c r="C618" t="s">
        <v>171</v>
      </c>
      <c r="D618" t="s">
        <v>172</v>
      </c>
      <c r="E618" t="s">
        <v>172</v>
      </c>
      <c r="F618" s="4">
        <v>21564</v>
      </c>
      <c r="G618" s="4" t="s">
        <v>7</v>
      </c>
      <c r="H618" t="str">
        <f>IFERROR(VLOOKUP(E618,'GASB Match'!$A$2:$B$240,2,FALSE),"")</f>
        <v/>
      </c>
    </row>
    <row r="619" spans="1:8" x14ac:dyDescent="0.2">
      <c r="A619" t="s">
        <v>7</v>
      </c>
      <c r="B619" s="3">
        <v>2023</v>
      </c>
      <c r="C619" t="s">
        <v>171</v>
      </c>
      <c r="D619" t="s">
        <v>172</v>
      </c>
      <c r="E619" t="s">
        <v>172</v>
      </c>
      <c r="F619" s="4">
        <v>22652</v>
      </c>
      <c r="G619" s="4" t="s">
        <v>7</v>
      </c>
      <c r="H619" t="str">
        <f>IFERROR(VLOOKUP(E619,'GASB Match'!$A$2:$B$240,2,FALSE),"")</f>
        <v/>
      </c>
    </row>
    <row r="620" spans="1:8" x14ac:dyDescent="0.2">
      <c r="A620">
        <v>1300570</v>
      </c>
      <c r="B620" s="3">
        <v>2015</v>
      </c>
      <c r="C620" t="s">
        <v>173</v>
      </c>
      <c r="D620" t="s">
        <v>174</v>
      </c>
      <c r="E620" t="s">
        <v>174</v>
      </c>
      <c r="F620" s="4">
        <v>4500531.3499999996</v>
      </c>
      <c r="G620" s="4" t="s">
        <v>7</v>
      </c>
      <c r="H620">
        <f>IFERROR(VLOOKUP(E620,'GASB Match'!$A$2:$B$240,2,FALSE),"")</f>
        <v>1300570</v>
      </c>
    </row>
    <row r="621" spans="1:8" x14ac:dyDescent="0.2">
      <c r="A621">
        <v>1300570</v>
      </c>
      <c r="B621" s="3">
        <v>2016</v>
      </c>
      <c r="C621" t="s">
        <v>173</v>
      </c>
      <c r="D621" t="s">
        <v>174</v>
      </c>
      <c r="E621" t="s">
        <v>174</v>
      </c>
      <c r="F621" s="4">
        <v>5227485.3</v>
      </c>
      <c r="G621" s="4" t="s">
        <v>7</v>
      </c>
      <c r="H621">
        <f>IFERROR(VLOOKUP(E621,'GASB Match'!$A$2:$B$240,2,FALSE),"")</f>
        <v>1300570</v>
      </c>
    </row>
    <row r="622" spans="1:8" x14ac:dyDescent="0.2">
      <c r="A622">
        <v>1300570</v>
      </c>
      <c r="B622" s="3">
        <v>2017</v>
      </c>
      <c r="C622" t="s">
        <v>173</v>
      </c>
      <c r="D622" t="s">
        <v>174</v>
      </c>
      <c r="E622" t="s">
        <v>174</v>
      </c>
      <c r="F622" s="4">
        <v>5756375</v>
      </c>
      <c r="G622" s="4" t="s">
        <v>7</v>
      </c>
      <c r="H622">
        <f>IFERROR(VLOOKUP(E622,'GASB Match'!$A$2:$B$240,2,FALSE),"")</f>
        <v>1300570</v>
      </c>
    </row>
    <row r="623" spans="1:8" x14ac:dyDescent="0.2">
      <c r="A623">
        <v>1300570</v>
      </c>
      <c r="B623" s="3">
        <v>2018</v>
      </c>
      <c r="C623" t="s">
        <v>173</v>
      </c>
      <c r="D623" t="s">
        <v>174</v>
      </c>
      <c r="E623" t="s">
        <v>174</v>
      </c>
      <c r="F623" s="4">
        <v>7416745</v>
      </c>
      <c r="G623" s="4" t="s">
        <v>7</v>
      </c>
      <c r="H623">
        <f>IFERROR(VLOOKUP(E623,'GASB Match'!$A$2:$B$240,2,FALSE),"")</f>
        <v>1300570</v>
      </c>
    </row>
    <row r="624" spans="1:8" x14ac:dyDescent="0.2">
      <c r="A624">
        <v>1300570</v>
      </c>
      <c r="B624" s="3">
        <v>2019</v>
      </c>
      <c r="C624" t="s">
        <v>173</v>
      </c>
      <c r="D624" t="s">
        <v>174</v>
      </c>
      <c r="E624" t="s">
        <v>174</v>
      </c>
      <c r="F624" s="4">
        <v>9866783</v>
      </c>
      <c r="G624" s="4" t="s">
        <v>7</v>
      </c>
      <c r="H624">
        <f>IFERROR(VLOOKUP(E624,'GASB Match'!$A$2:$B$240,2,FALSE),"")</f>
        <v>1300570</v>
      </c>
    </row>
    <row r="625" spans="1:8" x14ac:dyDescent="0.2">
      <c r="A625">
        <v>1300570</v>
      </c>
      <c r="B625" s="3">
        <v>2020</v>
      </c>
      <c r="C625" t="s">
        <v>173</v>
      </c>
      <c r="D625" t="s">
        <v>174</v>
      </c>
      <c r="E625" t="s">
        <v>174</v>
      </c>
      <c r="F625" s="4">
        <v>10937917</v>
      </c>
      <c r="G625" s="4" t="s">
        <v>7</v>
      </c>
      <c r="H625">
        <f>IFERROR(VLOOKUP(E625,'GASB Match'!$A$2:$B$240,2,FALSE),"")</f>
        <v>1300570</v>
      </c>
    </row>
    <row r="626" spans="1:8" x14ac:dyDescent="0.2">
      <c r="A626">
        <v>1300570</v>
      </c>
      <c r="B626" s="3">
        <v>2021</v>
      </c>
      <c r="C626" t="s">
        <v>173</v>
      </c>
      <c r="D626" t="s">
        <v>174</v>
      </c>
      <c r="E626" t="s">
        <v>174</v>
      </c>
      <c r="F626" s="4">
        <v>10180708</v>
      </c>
      <c r="G626" s="4" t="s">
        <v>7</v>
      </c>
      <c r="H626">
        <f>IFERROR(VLOOKUP(E626,'GASB Match'!$A$2:$B$240,2,FALSE),"")</f>
        <v>1300570</v>
      </c>
    </row>
    <row r="627" spans="1:8" x14ac:dyDescent="0.2">
      <c r="A627">
        <v>1300570</v>
      </c>
      <c r="B627" s="3">
        <v>2022</v>
      </c>
      <c r="C627" t="s">
        <v>173</v>
      </c>
      <c r="D627" t="s">
        <v>174</v>
      </c>
      <c r="E627" t="s">
        <v>174</v>
      </c>
      <c r="F627" s="4">
        <v>11078437</v>
      </c>
      <c r="G627" s="4" t="s">
        <v>7</v>
      </c>
      <c r="H627">
        <f>IFERROR(VLOOKUP(E627,'GASB Match'!$A$2:$B$240,2,FALSE),"")</f>
        <v>1300570</v>
      </c>
    </row>
    <row r="628" spans="1:8" x14ac:dyDescent="0.2">
      <c r="A628">
        <v>1300570</v>
      </c>
      <c r="B628" s="3">
        <v>2023</v>
      </c>
      <c r="C628" t="s">
        <v>173</v>
      </c>
      <c r="D628" t="s">
        <v>174</v>
      </c>
      <c r="E628" t="s">
        <v>174</v>
      </c>
      <c r="F628" s="4">
        <v>12696955</v>
      </c>
      <c r="G628" s="4" t="s">
        <v>7</v>
      </c>
      <c r="H628">
        <f>IFERROR(VLOOKUP(E628,'GASB Match'!$A$2:$B$240,2,FALSE),"")</f>
        <v>1300570</v>
      </c>
    </row>
    <row r="629" spans="1:8" x14ac:dyDescent="0.2">
      <c r="A629">
        <v>1300630</v>
      </c>
      <c r="B629" s="3">
        <v>2015</v>
      </c>
      <c r="C629" t="s">
        <v>175</v>
      </c>
      <c r="D629" t="s">
        <v>176</v>
      </c>
      <c r="E629" t="s">
        <v>176</v>
      </c>
      <c r="F629" s="4">
        <v>6156764.5700000003</v>
      </c>
      <c r="G629" s="4">
        <v>77823.38</v>
      </c>
      <c r="H629">
        <f>IFERROR(VLOOKUP(E629,'GASB Match'!$A$2:$B$240,2,FALSE),"")</f>
        <v>1300630</v>
      </c>
    </row>
    <row r="630" spans="1:8" x14ac:dyDescent="0.2">
      <c r="A630">
        <v>1300630</v>
      </c>
      <c r="B630" s="3">
        <v>2016</v>
      </c>
      <c r="C630" t="s">
        <v>175</v>
      </c>
      <c r="D630" t="s">
        <v>176</v>
      </c>
      <c r="E630" t="s">
        <v>176</v>
      </c>
      <c r="F630" s="4">
        <v>7091693.2400000002</v>
      </c>
      <c r="G630" s="4">
        <v>84577.02</v>
      </c>
      <c r="H630">
        <f>IFERROR(VLOOKUP(E630,'GASB Match'!$A$2:$B$240,2,FALSE),"")</f>
        <v>1300630</v>
      </c>
    </row>
    <row r="631" spans="1:8" x14ac:dyDescent="0.2">
      <c r="A631">
        <v>1300630</v>
      </c>
      <c r="B631" s="3">
        <v>2017</v>
      </c>
      <c r="C631" t="s">
        <v>175</v>
      </c>
      <c r="D631" t="s">
        <v>176</v>
      </c>
      <c r="E631" t="s">
        <v>176</v>
      </c>
      <c r="F631" s="4">
        <v>7592759</v>
      </c>
      <c r="G631" s="4">
        <v>64131</v>
      </c>
      <c r="H631">
        <f>IFERROR(VLOOKUP(E631,'GASB Match'!$A$2:$B$240,2,FALSE),"")</f>
        <v>1300630</v>
      </c>
    </row>
    <row r="632" spans="1:8" x14ac:dyDescent="0.2">
      <c r="A632">
        <v>1300630</v>
      </c>
      <c r="B632" s="3">
        <v>2018</v>
      </c>
      <c r="C632" t="s">
        <v>175</v>
      </c>
      <c r="D632" t="s">
        <v>176</v>
      </c>
      <c r="E632" t="s">
        <v>176</v>
      </c>
      <c r="F632" s="4">
        <v>9058772</v>
      </c>
      <c r="G632" s="4">
        <v>43500</v>
      </c>
      <c r="H632">
        <f>IFERROR(VLOOKUP(E632,'GASB Match'!$A$2:$B$240,2,FALSE),"")</f>
        <v>1300630</v>
      </c>
    </row>
    <row r="633" spans="1:8" x14ac:dyDescent="0.2">
      <c r="A633">
        <v>1300630</v>
      </c>
      <c r="B633" s="3">
        <v>2019</v>
      </c>
      <c r="C633" t="s">
        <v>175</v>
      </c>
      <c r="D633" t="s">
        <v>176</v>
      </c>
      <c r="E633" t="s">
        <v>176</v>
      </c>
      <c r="F633" s="4">
        <v>11850746</v>
      </c>
      <c r="G633" s="4">
        <v>54828</v>
      </c>
      <c r="H633">
        <f>IFERROR(VLOOKUP(E633,'GASB Match'!$A$2:$B$240,2,FALSE),"")</f>
        <v>1300630</v>
      </c>
    </row>
    <row r="634" spans="1:8" x14ac:dyDescent="0.2">
      <c r="A634">
        <v>1300630</v>
      </c>
      <c r="B634" s="3">
        <v>2020</v>
      </c>
      <c r="C634" t="s">
        <v>175</v>
      </c>
      <c r="D634" t="s">
        <v>176</v>
      </c>
      <c r="E634" t="s">
        <v>176</v>
      </c>
      <c r="F634" s="4">
        <v>12843016</v>
      </c>
      <c r="G634" s="4">
        <v>50257</v>
      </c>
      <c r="H634">
        <f>IFERROR(VLOOKUP(E634,'GASB Match'!$A$2:$B$240,2,FALSE),"")</f>
        <v>1300630</v>
      </c>
    </row>
    <row r="635" spans="1:8" x14ac:dyDescent="0.2">
      <c r="A635">
        <v>1300630</v>
      </c>
      <c r="B635" s="3">
        <v>2021</v>
      </c>
      <c r="C635" t="s">
        <v>175</v>
      </c>
      <c r="D635" t="s">
        <v>176</v>
      </c>
      <c r="E635" t="s">
        <v>176</v>
      </c>
      <c r="F635" s="4">
        <v>11659420</v>
      </c>
      <c r="G635" s="4">
        <v>46885</v>
      </c>
      <c r="H635">
        <f>IFERROR(VLOOKUP(E635,'GASB Match'!$A$2:$B$240,2,FALSE),"")</f>
        <v>1300630</v>
      </c>
    </row>
    <row r="636" spans="1:8" x14ac:dyDescent="0.2">
      <c r="A636">
        <v>1300630</v>
      </c>
      <c r="B636" s="3">
        <v>2022</v>
      </c>
      <c r="C636" t="s">
        <v>175</v>
      </c>
      <c r="D636" t="s">
        <v>176</v>
      </c>
      <c r="E636" t="s">
        <v>176</v>
      </c>
      <c r="F636" s="4">
        <v>12997711</v>
      </c>
      <c r="G636" s="4">
        <v>49776</v>
      </c>
      <c r="H636">
        <f>IFERROR(VLOOKUP(E636,'GASB Match'!$A$2:$B$240,2,FALSE),"")</f>
        <v>1300630</v>
      </c>
    </row>
    <row r="637" spans="1:8" x14ac:dyDescent="0.2">
      <c r="A637">
        <v>1300630</v>
      </c>
      <c r="B637" s="3">
        <v>2023</v>
      </c>
      <c r="C637" t="s">
        <v>175</v>
      </c>
      <c r="D637" t="s">
        <v>176</v>
      </c>
      <c r="E637" t="s">
        <v>176</v>
      </c>
      <c r="F637" s="4">
        <v>15016072</v>
      </c>
      <c r="G637" s="4">
        <v>55436</v>
      </c>
      <c r="H637">
        <f>IFERROR(VLOOKUP(E637,'GASB Match'!$A$2:$B$240,2,FALSE),"")</f>
        <v>1300630</v>
      </c>
    </row>
    <row r="638" spans="1:8" x14ac:dyDescent="0.2">
      <c r="A638" t="s">
        <v>7</v>
      </c>
      <c r="B638" s="3">
        <v>2015</v>
      </c>
      <c r="C638" t="s">
        <v>177</v>
      </c>
      <c r="D638" t="s">
        <v>178</v>
      </c>
      <c r="E638" t="s">
        <v>178</v>
      </c>
      <c r="F638" s="4">
        <v>120578.81</v>
      </c>
      <c r="G638" s="4" t="s">
        <v>7</v>
      </c>
      <c r="H638" t="str">
        <f>IFERROR(VLOOKUP(E638,'GASB Match'!$A$2:$B$240,2,FALSE),"")</f>
        <v/>
      </c>
    </row>
    <row r="639" spans="1:8" x14ac:dyDescent="0.2">
      <c r="A639" t="s">
        <v>7</v>
      </c>
      <c r="B639" s="3">
        <v>2016</v>
      </c>
      <c r="C639" t="s">
        <v>177</v>
      </c>
      <c r="D639" t="s">
        <v>178</v>
      </c>
      <c r="E639" t="s">
        <v>178</v>
      </c>
      <c r="F639" s="4">
        <v>135230.1</v>
      </c>
      <c r="G639" s="4" t="s">
        <v>7</v>
      </c>
      <c r="H639" t="str">
        <f>IFERROR(VLOOKUP(E639,'GASB Match'!$A$2:$B$240,2,FALSE),"")</f>
        <v/>
      </c>
    </row>
    <row r="640" spans="1:8" x14ac:dyDescent="0.2">
      <c r="A640" t="s">
        <v>7</v>
      </c>
      <c r="B640" s="3">
        <v>2017</v>
      </c>
      <c r="C640" t="s">
        <v>177</v>
      </c>
      <c r="D640" t="s">
        <v>178</v>
      </c>
      <c r="E640" t="s">
        <v>178</v>
      </c>
      <c r="F640" s="4">
        <v>138660</v>
      </c>
      <c r="G640" s="4" t="s">
        <v>7</v>
      </c>
      <c r="H640" t="str">
        <f>IFERROR(VLOOKUP(E640,'GASB Match'!$A$2:$B$240,2,FALSE),"")</f>
        <v/>
      </c>
    </row>
    <row r="641" spans="1:8" x14ac:dyDescent="0.2">
      <c r="A641" t="s">
        <v>7</v>
      </c>
      <c r="B641" s="3">
        <v>2018</v>
      </c>
      <c r="C641" t="s">
        <v>177</v>
      </c>
      <c r="D641" t="s">
        <v>178</v>
      </c>
      <c r="E641" t="s">
        <v>178</v>
      </c>
      <c r="F641" s="4">
        <v>155003</v>
      </c>
      <c r="G641" s="4" t="s">
        <v>7</v>
      </c>
      <c r="H641" t="str">
        <f>IFERROR(VLOOKUP(E641,'GASB Match'!$A$2:$B$240,2,FALSE),"")</f>
        <v/>
      </c>
    </row>
    <row r="642" spans="1:8" x14ac:dyDescent="0.2">
      <c r="A642" t="s">
        <v>7</v>
      </c>
      <c r="B642" s="3">
        <v>2019</v>
      </c>
      <c r="C642" t="s">
        <v>177</v>
      </c>
      <c r="D642" t="s">
        <v>178</v>
      </c>
      <c r="E642" t="s">
        <v>178</v>
      </c>
      <c r="F642" s="4">
        <v>200815</v>
      </c>
      <c r="G642" s="4" t="s">
        <v>7</v>
      </c>
      <c r="H642" t="str">
        <f>IFERROR(VLOOKUP(E642,'GASB Match'!$A$2:$B$240,2,FALSE),"")</f>
        <v/>
      </c>
    </row>
    <row r="643" spans="1:8" x14ac:dyDescent="0.2">
      <c r="A643" t="s">
        <v>7</v>
      </c>
      <c r="B643" s="3">
        <v>2020</v>
      </c>
      <c r="C643" t="s">
        <v>177</v>
      </c>
      <c r="D643" t="s">
        <v>178</v>
      </c>
      <c r="E643" t="s">
        <v>178</v>
      </c>
      <c r="F643" s="4">
        <v>208966</v>
      </c>
      <c r="G643" s="4" t="s">
        <v>7</v>
      </c>
      <c r="H643" t="str">
        <f>IFERROR(VLOOKUP(E643,'GASB Match'!$A$2:$B$240,2,FALSE),"")</f>
        <v/>
      </c>
    </row>
    <row r="644" spans="1:8" x14ac:dyDescent="0.2">
      <c r="A644" t="s">
        <v>7</v>
      </c>
      <c r="B644" s="3">
        <v>2021</v>
      </c>
      <c r="C644" t="s">
        <v>177</v>
      </c>
      <c r="D644" t="s">
        <v>178</v>
      </c>
      <c r="E644" t="s">
        <v>178</v>
      </c>
      <c r="F644" s="4">
        <v>194274</v>
      </c>
      <c r="G644" s="4" t="s">
        <v>7</v>
      </c>
      <c r="H644" t="str">
        <f>IFERROR(VLOOKUP(E644,'GASB Match'!$A$2:$B$240,2,FALSE),"")</f>
        <v/>
      </c>
    </row>
    <row r="645" spans="1:8" x14ac:dyDescent="0.2">
      <c r="A645" t="s">
        <v>7</v>
      </c>
      <c r="B645" s="3">
        <v>2022</v>
      </c>
      <c r="C645" t="s">
        <v>177</v>
      </c>
      <c r="D645" t="s">
        <v>178</v>
      </c>
      <c r="E645" t="s">
        <v>178</v>
      </c>
      <c r="F645" s="4">
        <v>206941</v>
      </c>
      <c r="G645" s="4" t="s">
        <v>7</v>
      </c>
      <c r="H645" t="str">
        <f>IFERROR(VLOOKUP(E645,'GASB Match'!$A$2:$B$240,2,FALSE),"")</f>
        <v/>
      </c>
    </row>
    <row r="646" spans="1:8" x14ac:dyDescent="0.2">
      <c r="A646" t="s">
        <v>7</v>
      </c>
      <c r="B646" s="3">
        <v>2023</v>
      </c>
      <c r="C646" t="s">
        <v>177</v>
      </c>
      <c r="D646" t="s">
        <v>178</v>
      </c>
      <c r="E646" t="s">
        <v>178</v>
      </c>
      <c r="F646" s="4">
        <v>200547</v>
      </c>
      <c r="G646" s="4" t="s">
        <v>7</v>
      </c>
      <c r="H646" t="str">
        <f>IFERROR(VLOOKUP(E646,'GASB Match'!$A$2:$B$240,2,FALSE),"")</f>
        <v/>
      </c>
    </row>
    <row r="647" spans="1:8" x14ac:dyDescent="0.2">
      <c r="A647">
        <v>1300660</v>
      </c>
      <c r="B647" s="3">
        <v>2015</v>
      </c>
      <c r="C647" t="s">
        <v>179</v>
      </c>
      <c r="D647" t="s">
        <v>180</v>
      </c>
      <c r="E647" t="s">
        <v>180</v>
      </c>
      <c r="F647" s="4">
        <v>3594496.51</v>
      </c>
      <c r="G647" s="4" t="s">
        <v>7</v>
      </c>
      <c r="H647">
        <f>IFERROR(VLOOKUP(E647,'GASB Match'!$A$2:$B$240,2,FALSE),"")</f>
        <v>1300660</v>
      </c>
    </row>
    <row r="648" spans="1:8" x14ac:dyDescent="0.2">
      <c r="A648">
        <v>1300660</v>
      </c>
      <c r="B648" s="3">
        <v>2016</v>
      </c>
      <c r="C648" t="s">
        <v>179</v>
      </c>
      <c r="D648" t="s">
        <v>180</v>
      </c>
      <c r="E648" t="s">
        <v>180</v>
      </c>
      <c r="F648" s="4">
        <v>3880121.03</v>
      </c>
      <c r="G648" s="4" t="s">
        <v>7</v>
      </c>
      <c r="H648">
        <f>IFERROR(VLOOKUP(E648,'GASB Match'!$A$2:$B$240,2,FALSE),"")</f>
        <v>1300660</v>
      </c>
    </row>
    <row r="649" spans="1:8" x14ac:dyDescent="0.2">
      <c r="A649">
        <v>1300660</v>
      </c>
      <c r="B649" s="3">
        <v>2017</v>
      </c>
      <c r="C649" t="s">
        <v>179</v>
      </c>
      <c r="D649" t="s">
        <v>180</v>
      </c>
      <c r="E649" t="s">
        <v>180</v>
      </c>
      <c r="F649" s="4">
        <v>3963259</v>
      </c>
      <c r="G649" s="4" t="s">
        <v>7</v>
      </c>
      <c r="H649">
        <f>IFERROR(VLOOKUP(E649,'GASB Match'!$A$2:$B$240,2,FALSE),"")</f>
        <v>1300660</v>
      </c>
    </row>
    <row r="650" spans="1:8" x14ac:dyDescent="0.2">
      <c r="A650">
        <v>1300660</v>
      </c>
      <c r="B650" s="3">
        <v>2018</v>
      </c>
      <c r="C650" t="s">
        <v>179</v>
      </c>
      <c r="D650" t="s">
        <v>180</v>
      </c>
      <c r="E650" t="s">
        <v>180</v>
      </c>
      <c r="F650" s="4">
        <v>4908142</v>
      </c>
      <c r="G650" s="4" t="s">
        <v>7</v>
      </c>
      <c r="H650">
        <f>IFERROR(VLOOKUP(E650,'GASB Match'!$A$2:$B$240,2,FALSE),"")</f>
        <v>1300660</v>
      </c>
    </row>
    <row r="651" spans="1:8" x14ac:dyDescent="0.2">
      <c r="A651">
        <v>1300660</v>
      </c>
      <c r="B651" s="3">
        <v>2019</v>
      </c>
      <c r="C651" t="s">
        <v>179</v>
      </c>
      <c r="D651" t="s">
        <v>180</v>
      </c>
      <c r="E651" t="s">
        <v>180</v>
      </c>
      <c r="F651" s="4">
        <v>6262534</v>
      </c>
      <c r="G651" s="4" t="s">
        <v>7</v>
      </c>
      <c r="H651">
        <f>IFERROR(VLOOKUP(E651,'GASB Match'!$A$2:$B$240,2,FALSE),"")</f>
        <v>1300660</v>
      </c>
    </row>
    <row r="652" spans="1:8" x14ac:dyDescent="0.2">
      <c r="A652">
        <v>1300660</v>
      </c>
      <c r="B652" s="3">
        <v>2020</v>
      </c>
      <c r="C652" t="s">
        <v>179</v>
      </c>
      <c r="D652" t="s">
        <v>180</v>
      </c>
      <c r="E652" t="s">
        <v>180</v>
      </c>
      <c r="F652" s="4">
        <v>6617167</v>
      </c>
      <c r="G652" s="4" t="s">
        <v>7</v>
      </c>
      <c r="H652">
        <f>IFERROR(VLOOKUP(E652,'GASB Match'!$A$2:$B$240,2,FALSE),"")</f>
        <v>1300660</v>
      </c>
    </row>
    <row r="653" spans="1:8" x14ac:dyDescent="0.2">
      <c r="A653">
        <v>1300660</v>
      </c>
      <c r="B653" s="3">
        <v>2021</v>
      </c>
      <c r="C653" t="s">
        <v>179</v>
      </c>
      <c r="D653" t="s">
        <v>180</v>
      </c>
      <c r="E653" t="s">
        <v>180</v>
      </c>
      <c r="F653" s="4">
        <v>5990839</v>
      </c>
      <c r="G653" s="4" t="s">
        <v>7</v>
      </c>
      <c r="H653">
        <f>IFERROR(VLOOKUP(E653,'GASB Match'!$A$2:$B$240,2,FALSE),"")</f>
        <v>1300660</v>
      </c>
    </row>
    <row r="654" spans="1:8" x14ac:dyDescent="0.2">
      <c r="A654">
        <v>1300660</v>
      </c>
      <c r="B654" s="3">
        <v>2022</v>
      </c>
      <c r="C654" t="s">
        <v>179</v>
      </c>
      <c r="D654" t="s">
        <v>180</v>
      </c>
      <c r="E654" t="s">
        <v>180</v>
      </c>
      <c r="F654" s="4">
        <v>6353789</v>
      </c>
      <c r="G654" s="4" t="s">
        <v>7</v>
      </c>
      <c r="H654">
        <f>IFERROR(VLOOKUP(E654,'GASB Match'!$A$2:$B$240,2,FALSE),"")</f>
        <v>1300660</v>
      </c>
    </row>
    <row r="655" spans="1:8" x14ac:dyDescent="0.2">
      <c r="A655">
        <v>1300660</v>
      </c>
      <c r="B655" s="3">
        <v>2023</v>
      </c>
      <c r="C655" t="s">
        <v>179</v>
      </c>
      <c r="D655" t="s">
        <v>180</v>
      </c>
      <c r="E655" t="s">
        <v>180</v>
      </c>
      <c r="F655" s="4">
        <v>6713911</v>
      </c>
      <c r="G655" s="4" t="s">
        <v>7</v>
      </c>
      <c r="H655">
        <f>IFERROR(VLOOKUP(E655,'GASB Match'!$A$2:$B$240,2,FALSE),"")</f>
        <v>1300660</v>
      </c>
    </row>
    <row r="656" spans="1:8" x14ac:dyDescent="0.2">
      <c r="A656">
        <v>1300690</v>
      </c>
      <c r="B656" s="3">
        <v>2015</v>
      </c>
      <c r="C656" t="s">
        <v>181</v>
      </c>
      <c r="D656" t="s">
        <v>182</v>
      </c>
      <c r="E656" t="s">
        <v>182</v>
      </c>
      <c r="F656" s="4">
        <v>2151156.9</v>
      </c>
      <c r="G656" s="4">
        <v>33596.589999999997</v>
      </c>
      <c r="H656">
        <f>IFERROR(VLOOKUP(E656,'GASB Match'!$A$2:$B$240,2,FALSE),"")</f>
        <v>1300690</v>
      </c>
    </row>
    <row r="657" spans="1:8" x14ac:dyDescent="0.2">
      <c r="A657">
        <v>1300690</v>
      </c>
      <c r="B657" s="3">
        <v>2016</v>
      </c>
      <c r="C657" t="s">
        <v>181</v>
      </c>
      <c r="D657" t="s">
        <v>182</v>
      </c>
      <c r="E657" t="s">
        <v>182</v>
      </c>
      <c r="F657" s="4">
        <v>2351120.8199999998</v>
      </c>
      <c r="G657" s="4">
        <v>36856.61</v>
      </c>
      <c r="H657">
        <f>IFERROR(VLOOKUP(E657,'GASB Match'!$A$2:$B$240,2,FALSE),"")</f>
        <v>1300690</v>
      </c>
    </row>
    <row r="658" spans="1:8" x14ac:dyDescent="0.2">
      <c r="A658">
        <v>1300690</v>
      </c>
      <c r="B658" s="3">
        <v>2017</v>
      </c>
      <c r="C658" t="s">
        <v>181</v>
      </c>
      <c r="D658" t="s">
        <v>182</v>
      </c>
      <c r="E658" t="s">
        <v>182</v>
      </c>
      <c r="F658" s="4">
        <v>2423555</v>
      </c>
      <c r="G658" s="4">
        <v>31062</v>
      </c>
      <c r="H658">
        <f>IFERROR(VLOOKUP(E658,'GASB Match'!$A$2:$B$240,2,FALSE),"")</f>
        <v>1300690</v>
      </c>
    </row>
    <row r="659" spans="1:8" x14ac:dyDescent="0.2">
      <c r="A659">
        <v>1300690</v>
      </c>
      <c r="B659" s="3">
        <v>2018</v>
      </c>
      <c r="C659" t="s">
        <v>181</v>
      </c>
      <c r="D659" t="s">
        <v>182</v>
      </c>
      <c r="E659" t="s">
        <v>182</v>
      </c>
      <c r="F659" s="4">
        <v>3010559</v>
      </c>
      <c r="G659" s="4">
        <v>25702</v>
      </c>
      <c r="H659">
        <f>IFERROR(VLOOKUP(E659,'GASB Match'!$A$2:$B$240,2,FALSE),"")</f>
        <v>1300690</v>
      </c>
    </row>
    <row r="660" spans="1:8" x14ac:dyDescent="0.2">
      <c r="A660">
        <v>1300690</v>
      </c>
      <c r="B660" s="3">
        <v>2019</v>
      </c>
      <c r="C660" t="s">
        <v>181</v>
      </c>
      <c r="D660" t="s">
        <v>182</v>
      </c>
      <c r="E660" t="s">
        <v>182</v>
      </c>
      <c r="F660" s="4">
        <v>3836800</v>
      </c>
      <c r="G660" s="4">
        <v>35727</v>
      </c>
      <c r="H660">
        <f>IFERROR(VLOOKUP(E660,'GASB Match'!$A$2:$B$240,2,FALSE),"")</f>
        <v>1300690</v>
      </c>
    </row>
    <row r="661" spans="1:8" x14ac:dyDescent="0.2">
      <c r="A661">
        <v>1300690</v>
      </c>
      <c r="B661" s="3">
        <v>2020</v>
      </c>
      <c r="C661" t="s">
        <v>181</v>
      </c>
      <c r="D661" t="s">
        <v>182</v>
      </c>
      <c r="E661" t="s">
        <v>182</v>
      </c>
      <c r="F661" s="4">
        <v>4054080</v>
      </c>
      <c r="G661" s="4">
        <v>38960</v>
      </c>
      <c r="H661">
        <f>IFERROR(VLOOKUP(E661,'GASB Match'!$A$2:$B$240,2,FALSE),"")</f>
        <v>1300690</v>
      </c>
    </row>
    <row r="662" spans="1:8" x14ac:dyDescent="0.2">
      <c r="A662">
        <v>1300690</v>
      </c>
      <c r="B662" s="3">
        <v>2021</v>
      </c>
      <c r="C662" t="s">
        <v>181</v>
      </c>
      <c r="D662" t="s">
        <v>182</v>
      </c>
      <c r="E662" t="s">
        <v>182</v>
      </c>
      <c r="F662" s="4">
        <v>3756511</v>
      </c>
      <c r="G662" s="4">
        <v>35748</v>
      </c>
      <c r="H662">
        <f>IFERROR(VLOOKUP(E662,'GASB Match'!$A$2:$B$240,2,FALSE),"")</f>
        <v>1300690</v>
      </c>
    </row>
    <row r="663" spans="1:8" x14ac:dyDescent="0.2">
      <c r="A663">
        <v>1300690</v>
      </c>
      <c r="B663" s="3">
        <v>2022</v>
      </c>
      <c r="C663" t="s">
        <v>181</v>
      </c>
      <c r="D663" t="s">
        <v>182</v>
      </c>
      <c r="E663" t="s">
        <v>182</v>
      </c>
      <c r="F663" s="4">
        <v>3920378</v>
      </c>
      <c r="G663" s="4">
        <v>37802</v>
      </c>
      <c r="H663">
        <f>IFERROR(VLOOKUP(E663,'GASB Match'!$A$2:$B$240,2,FALSE),"")</f>
        <v>1300690</v>
      </c>
    </row>
    <row r="664" spans="1:8" x14ac:dyDescent="0.2">
      <c r="A664">
        <v>1300690</v>
      </c>
      <c r="B664" s="3">
        <v>2023</v>
      </c>
      <c r="C664" t="s">
        <v>181</v>
      </c>
      <c r="D664" t="s">
        <v>182</v>
      </c>
      <c r="E664" t="s">
        <v>182</v>
      </c>
      <c r="F664" s="4">
        <v>4128271</v>
      </c>
      <c r="G664" s="4">
        <v>40079</v>
      </c>
      <c r="H664">
        <f>IFERROR(VLOOKUP(E664,'GASB Match'!$A$2:$B$240,2,FALSE),"")</f>
        <v>1300690</v>
      </c>
    </row>
    <row r="665" spans="1:8" x14ac:dyDescent="0.2">
      <c r="A665" t="s">
        <v>7</v>
      </c>
      <c r="B665" s="3">
        <v>2015</v>
      </c>
      <c r="C665" t="s">
        <v>183</v>
      </c>
      <c r="D665" t="s">
        <v>184</v>
      </c>
      <c r="E665" t="s">
        <v>184</v>
      </c>
      <c r="F665" s="4">
        <v>5226.6400000000003</v>
      </c>
      <c r="G665" s="4" t="s">
        <v>7</v>
      </c>
      <c r="H665" t="str">
        <f>IFERROR(VLOOKUP(E665,'GASB Match'!$A$2:$B$240,2,FALSE),"")</f>
        <v/>
      </c>
    </row>
    <row r="666" spans="1:8" x14ac:dyDescent="0.2">
      <c r="A666" t="s">
        <v>7</v>
      </c>
      <c r="B666" s="3">
        <v>2016</v>
      </c>
      <c r="C666" t="s">
        <v>183</v>
      </c>
      <c r="D666" t="s">
        <v>184</v>
      </c>
      <c r="E666" t="s">
        <v>184</v>
      </c>
      <c r="F666" s="4">
        <v>5893.51</v>
      </c>
      <c r="G666" s="4" t="s">
        <v>7</v>
      </c>
      <c r="H666" t="str">
        <f>IFERROR(VLOOKUP(E666,'GASB Match'!$A$2:$B$240,2,FALSE),"")</f>
        <v/>
      </c>
    </row>
    <row r="667" spans="1:8" x14ac:dyDescent="0.2">
      <c r="A667" t="s">
        <v>7</v>
      </c>
      <c r="B667" s="3">
        <v>2017</v>
      </c>
      <c r="C667" t="s">
        <v>183</v>
      </c>
      <c r="D667" t="s">
        <v>184</v>
      </c>
      <c r="E667" t="s">
        <v>184</v>
      </c>
      <c r="F667" s="4">
        <v>925</v>
      </c>
      <c r="G667" s="4" t="s">
        <v>7</v>
      </c>
      <c r="H667" t="str">
        <f>IFERROR(VLOOKUP(E667,'GASB Match'!$A$2:$B$240,2,FALSE),"")</f>
        <v/>
      </c>
    </row>
    <row r="668" spans="1:8" x14ac:dyDescent="0.2">
      <c r="A668">
        <v>1300750</v>
      </c>
      <c r="B668" s="3">
        <v>2015</v>
      </c>
      <c r="C668" t="s">
        <v>185</v>
      </c>
      <c r="D668" t="s">
        <v>186</v>
      </c>
      <c r="E668" t="s">
        <v>186</v>
      </c>
      <c r="F668" s="4">
        <v>468922.7</v>
      </c>
      <c r="G668" s="4">
        <v>3848.4</v>
      </c>
      <c r="H668">
        <f>IFERROR(VLOOKUP(E668,'GASB Match'!$A$2:$B$240,2,FALSE),"")</f>
        <v>1300750</v>
      </c>
    </row>
    <row r="669" spans="1:8" x14ac:dyDescent="0.2">
      <c r="A669">
        <v>1300750</v>
      </c>
      <c r="B669" s="3">
        <v>2016</v>
      </c>
      <c r="C669" t="s">
        <v>185</v>
      </c>
      <c r="D669" t="s">
        <v>186</v>
      </c>
      <c r="E669" t="s">
        <v>186</v>
      </c>
      <c r="F669" s="4">
        <v>509950.8</v>
      </c>
      <c r="G669" s="4">
        <v>4176.12</v>
      </c>
      <c r="H669">
        <f>IFERROR(VLOOKUP(E669,'GASB Match'!$A$2:$B$240,2,FALSE),"")</f>
        <v>1300750</v>
      </c>
    </row>
    <row r="670" spans="1:8" x14ac:dyDescent="0.2">
      <c r="A670">
        <v>1300750</v>
      </c>
      <c r="B670" s="3">
        <v>2017</v>
      </c>
      <c r="C670" t="s">
        <v>185</v>
      </c>
      <c r="D670" t="s">
        <v>186</v>
      </c>
      <c r="E670" t="s">
        <v>186</v>
      </c>
      <c r="F670" s="4">
        <v>491719</v>
      </c>
      <c r="G670" s="4">
        <v>4176</v>
      </c>
      <c r="H670">
        <f>IFERROR(VLOOKUP(E670,'GASB Match'!$A$2:$B$240,2,FALSE),"")</f>
        <v>1300750</v>
      </c>
    </row>
    <row r="671" spans="1:8" x14ac:dyDescent="0.2">
      <c r="A671">
        <v>1300750</v>
      </c>
      <c r="B671" s="3">
        <v>2018</v>
      </c>
      <c r="C671" t="s">
        <v>185</v>
      </c>
      <c r="D671" t="s">
        <v>186</v>
      </c>
      <c r="E671" t="s">
        <v>186</v>
      </c>
      <c r="F671" s="4">
        <v>577410</v>
      </c>
      <c r="G671" s="4">
        <v>1196</v>
      </c>
      <c r="H671">
        <f>IFERROR(VLOOKUP(E671,'GASB Match'!$A$2:$B$240,2,FALSE),"")</f>
        <v>1300750</v>
      </c>
    </row>
    <row r="672" spans="1:8" x14ac:dyDescent="0.2">
      <c r="A672">
        <v>1300750</v>
      </c>
      <c r="B672" s="3">
        <v>2019</v>
      </c>
      <c r="C672" t="s">
        <v>185</v>
      </c>
      <c r="D672" t="s">
        <v>186</v>
      </c>
      <c r="E672" t="s">
        <v>186</v>
      </c>
      <c r="F672" s="4">
        <v>723662</v>
      </c>
      <c r="G672" s="4" t="s">
        <v>7</v>
      </c>
      <c r="H672">
        <f>IFERROR(VLOOKUP(E672,'GASB Match'!$A$2:$B$240,2,FALSE),"")</f>
        <v>1300750</v>
      </c>
    </row>
    <row r="673" spans="1:8" x14ac:dyDescent="0.2">
      <c r="A673">
        <v>1300750</v>
      </c>
      <c r="B673" s="3">
        <v>2020</v>
      </c>
      <c r="C673" t="s">
        <v>185</v>
      </c>
      <c r="D673" t="s">
        <v>186</v>
      </c>
      <c r="E673" t="s">
        <v>186</v>
      </c>
      <c r="F673" s="4">
        <v>705726</v>
      </c>
      <c r="G673" s="4" t="s">
        <v>7</v>
      </c>
      <c r="H673">
        <f>IFERROR(VLOOKUP(E673,'GASB Match'!$A$2:$B$240,2,FALSE),"")</f>
        <v>1300750</v>
      </c>
    </row>
    <row r="674" spans="1:8" x14ac:dyDescent="0.2">
      <c r="A674">
        <v>1300750</v>
      </c>
      <c r="B674" s="3">
        <v>2021</v>
      </c>
      <c r="C674" t="s">
        <v>185</v>
      </c>
      <c r="D674" t="s">
        <v>186</v>
      </c>
      <c r="E674" t="s">
        <v>186</v>
      </c>
      <c r="F674" s="4">
        <v>619803</v>
      </c>
      <c r="G674" s="4" t="s">
        <v>7</v>
      </c>
      <c r="H674">
        <f>IFERROR(VLOOKUP(E674,'GASB Match'!$A$2:$B$240,2,FALSE),"")</f>
        <v>1300750</v>
      </c>
    </row>
    <row r="675" spans="1:8" x14ac:dyDescent="0.2">
      <c r="A675">
        <v>1300750</v>
      </c>
      <c r="B675" s="3">
        <v>2022</v>
      </c>
      <c r="C675" t="s">
        <v>185</v>
      </c>
      <c r="D675" t="s">
        <v>186</v>
      </c>
      <c r="E675" t="s">
        <v>186</v>
      </c>
      <c r="F675" s="4">
        <v>684846</v>
      </c>
      <c r="G675" s="4" t="s">
        <v>7</v>
      </c>
      <c r="H675">
        <f>IFERROR(VLOOKUP(E675,'GASB Match'!$A$2:$B$240,2,FALSE),"")</f>
        <v>1300750</v>
      </c>
    </row>
    <row r="676" spans="1:8" x14ac:dyDescent="0.2">
      <c r="A676">
        <v>1300750</v>
      </c>
      <c r="B676" s="3">
        <v>2023</v>
      </c>
      <c r="C676" t="s">
        <v>185</v>
      </c>
      <c r="D676" t="s">
        <v>186</v>
      </c>
      <c r="E676" t="s">
        <v>186</v>
      </c>
      <c r="F676" s="4">
        <v>714357</v>
      </c>
      <c r="G676" s="4" t="s">
        <v>7</v>
      </c>
      <c r="H676">
        <f>IFERROR(VLOOKUP(E676,'GASB Match'!$A$2:$B$240,2,FALSE),"")</f>
        <v>1300750</v>
      </c>
    </row>
    <row r="677" spans="1:8" x14ac:dyDescent="0.2">
      <c r="A677">
        <v>1300780</v>
      </c>
      <c r="B677" s="3">
        <v>2015</v>
      </c>
      <c r="C677" t="s">
        <v>187</v>
      </c>
      <c r="D677" t="s">
        <v>188</v>
      </c>
      <c r="E677" t="s">
        <v>188</v>
      </c>
      <c r="F677" s="4">
        <v>6162221.5199999996</v>
      </c>
      <c r="G677" s="4">
        <v>67222.39</v>
      </c>
      <c r="H677">
        <f>IFERROR(VLOOKUP(E677,'GASB Match'!$A$2:$B$240,2,FALSE),"")</f>
        <v>1300780</v>
      </c>
    </row>
    <row r="678" spans="1:8" x14ac:dyDescent="0.2">
      <c r="A678">
        <v>1300780</v>
      </c>
      <c r="B678" s="3">
        <v>2016</v>
      </c>
      <c r="C678" t="s">
        <v>187</v>
      </c>
      <c r="D678" t="s">
        <v>188</v>
      </c>
      <c r="E678" t="s">
        <v>188</v>
      </c>
      <c r="F678" s="4">
        <v>6636911.4100000001</v>
      </c>
      <c r="G678" s="4">
        <v>70712.070000000007</v>
      </c>
      <c r="H678">
        <f>IFERROR(VLOOKUP(E678,'GASB Match'!$A$2:$B$240,2,FALSE),"")</f>
        <v>1300780</v>
      </c>
    </row>
    <row r="679" spans="1:8" x14ac:dyDescent="0.2">
      <c r="A679">
        <v>1300780</v>
      </c>
      <c r="B679" s="3">
        <v>2017</v>
      </c>
      <c r="C679" t="s">
        <v>187</v>
      </c>
      <c r="D679" t="s">
        <v>188</v>
      </c>
      <c r="E679" t="s">
        <v>188</v>
      </c>
      <c r="F679" s="4">
        <v>6804851</v>
      </c>
      <c r="G679" s="4">
        <v>39331</v>
      </c>
      <c r="H679">
        <f>IFERROR(VLOOKUP(E679,'GASB Match'!$A$2:$B$240,2,FALSE),"")</f>
        <v>1300780</v>
      </c>
    </row>
    <row r="680" spans="1:8" x14ac:dyDescent="0.2">
      <c r="A680">
        <v>1300780</v>
      </c>
      <c r="B680" s="3">
        <v>2018</v>
      </c>
      <c r="C680" t="s">
        <v>187</v>
      </c>
      <c r="D680" t="s">
        <v>188</v>
      </c>
      <c r="E680" t="s">
        <v>188</v>
      </c>
      <c r="F680" s="4">
        <v>8020443</v>
      </c>
      <c r="G680" s="4" t="s">
        <v>7</v>
      </c>
      <c r="H680">
        <f>IFERROR(VLOOKUP(E680,'GASB Match'!$A$2:$B$240,2,FALSE),"")</f>
        <v>1300780</v>
      </c>
    </row>
    <row r="681" spans="1:8" x14ac:dyDescent="0.2">
      <c r="A681">
        <v>1300780</v>
      </c>
      <c r="B681" s="3">
        <v>2019</v>
      </c>
      <c r="C681" t="s">
        <v>187</v>
      </c>
      <c r="D681" t="s">
        <v>188</v>
      </c>
      <c r="E681" t="s">
        <v>188</v>
      </c>
      <c r="F681" s="4">
        <v>10414883</v>
      </c>
      <c r="G681" s="4" t="s">
        <v>7</v>
      </c>
      <c r="H681">
        <f>IFERROR(VLOOKUP(E681,'GASB Match'!$A$2:$B$240,2,FALSE),"")</f>
        <v>1300780</v>
      </c>
    </row>
    <row r="682" spans="1:8" x14ac:dyDescent="0.2">
      <c r="A682">
        <v>1300780</v>
      </c>
      <c r="B682" s="3">
        <v>2020</v>
      </c>
      <c r="C682" t="s">
        <v>187</v>
      </c>
      <c r="D682" t="s">
        <v>188</v>
      </c>
      <c r="E682" t="s">
        <v>188</v>
      </c>
      <c r="F682" s="4">
        <v>11157678</v>
      </c>
      <c r="G682" s="4">
        <v>2946</v>
      </c>
      <c r="H682">
        <f>IFERROR(VLOOKUP(E682,'GASB Match'!$A$2:$B$240,2,FALSE),"")</f>
        <v>1300780</v>
      </c>
    </row>
    <row r="683" spans="1:8" x14ac:dyDescent="0.2">
      <c r="A683">
        <v>1300780</v>
      </c>
      <c r="B683" s="3">
        <v>2021</v>
      </c>
      <c r="C683" t="s">
        <v>187</v>
      </c>
      <c r="D683" t="s">
        <v>188</v>
      </c>
      <c r="E683" t="s">
        <v>188</v>
      </c>
      <c r="F683" s="4">
        <v>10371402</v>
      </c>
      <c r="G683" s="4">
        <v>7969</v>
      </c>
      <c r="H683">
        <f>IFERROR(VLOOKUP(E683,'GASB Match'!$A$2:$B$240,2,FALSE),"")</f>
        <v>1300780</v>
      </c>
    </row>
    <row r="684" spans="1:8" x14ac:dyDescent="0.2">
      <c r="A684">
        <v>1300780</v>
      </c>
      <c r="B684" s="3">
        <v>2022</v>
      </c>
      <c r="C684" t="s">
        <v>187</v>
      </c>
      <c r="D684" t="s">
        <v>188</v>
      </c>
      <c r="E684" t="s">
        <v>188</v>
      </c>
      <c r="F684" s="4">
        <v>10912885</v>
      </c>
      <c r="G684" s="4">
        <v>8282</v>
      </c>
      <c r="H684">
        <f>IFERROR(VLOOKUP(E684,'GASB Match'!$A$2:$B$240,2,FALSE),"")</f>
        <v>1300780</v>
      </c>
    </row>
    <row r="685" spans="1:8" x14ac:dyDescent="0.2">
      <c r="A685">
        <v>1300780</v>
      </c>
      <c r="B685" s="3">
        <v>2023</v>
      </c>
      <c r="C685" t="s">
        <v>187</v>
      </c>
      <c r="D685" t="s">
        <v>188</v>
      </c>
      <c r="E685" t="s">
        <v>188</v>
      </c>
      <c r="F685" s="4">
        <v>11621962</v>
      </c>
      <c r="G685" s="4">
        <v>8520</v>
      </c>
      <c r="H685">
        <f>IFERROR(VLOOKUP(E685,'GASB Match'!$A$2:$B$240,2,FALSE),"")</f>
        <v>1300780</v>
      </c>
    </row>
    <row r="686" spans="1:8" x14ac:dyDescent="0.2">
      <c r="A686" t="s">
        <v>7</v>
      </c>
      <c r="B686" s="3">
        <v>2015</v>
      </c>
      <c r="C686" t="s">
        <v>189</v>
      </c>
      <c r="D686" t="s">
        <v>190</v>
      </c>
      <c r="E686" t="s">
        <v>190</v>
      </c>
      <c r="F686" s="4">
        <v>21688.31</v>
      </c>
      <c r="G686" s="4" t="s">
        <v>7</v>
      </c>
      <c r="H686" t="str">
        <f>IFERROR(VLOOKUP(E686,'GASB Match'!$A$2:$B$240,2,FALSE),"")</f>
        <v/>
      </c>
    </row>
    <row r="687" spans="1:8" x14ac:dyDescent="0.2">
      <c r="A687" t="s">
        <v>7</v>
      </c>
      <c r="B687" s="3">
        <v>2016</v>
      </c>
      <c r="C687" t="s">
        <v>189</v>
      </c>
      <c r="D687" t="s">
        <v>190</v>
      </c>
      <c r="E687" t="s">
        <v>190</v>
      </c>
      <c r="F687" s="4">
        <v>25218.53</v>
      </c>
      <c r="G687" s="4" t="s">
        <v>7</v>
      </c>
      <c r="H687" t="str">
        <f>IFERROR(VLOOKUP(E687,'GASB Match'!$A$2:$B$240,2,FALSE),"")</f>
        <v/>
      </c>
    </row>
    <row r="688" spans="1:8" x14ac:dyDescent="0.2">
      <c r="A688" t="s">
        <v>7</v>
      </c>
      <c r="B688" s="3">
        <v>2017</v>
      </c>
      <c r="C688" t="s">
        <v>189</v>
      </c>
      <c r="D688" t="s">
        <v>190</v>
      </c>
      <c r="E688" t="s">
        <v>190</v>
      </c>
      <c r="F688" s="4">
        <v>29975</v>
      </c>
      <c r="G688" s="4" t="s">
        <v>7</v>
      </c>
      <c r="H688" t="str">
        <f>IFERROR(VLOOKUP(E688,'GASB Match'!$A$2:$B$240,2,FALSE),"")</f>
        <v/>
      </c>
    </row>
    <row r="689" spans="1:8" x14ac:dyDescent="0.2">
      <c r="A689">
        <v>1300810</v>
      </c>
      <c r="B689" s="3">
        <v>2015</v>
      </c>
      <c r="C689" t="s">
        <v>191</v>
      </c>
      <c r="D689" t="s">
        <v>192</v>
      </c>
      <c r="E689" t="s">
        <v>192</v>
      </c>
      <c r="F689" s="4">
        <v>1259522.8</v>
      </c>
      <c r="G689" s="4">
        <v>14046.9</v>
      </c>
      <c r="H689">
        <f>IFERROR(VLOOKUP(E689,'GASB Match'!$A$2:$B$240,2,FALSE),"")</f>
        <v>1300810</v>
      </c>
    </row>
    <row r="690" spans="1:8" x14ac:dyDescent="0.2">
      <c r="A690">
        <v>1300810</v>
      </c>
      <c r="B690" s="3">
        <v>2016</v>
      </c>
      <c r="C690" t="s">
        <v>191</v>
      </c>
      <c r="D690" t="s">
        <v>192</v>
      </c>
      <c r="E690" t="s">
        <v>192</v>
      </c>
      <c r="F690" s="4">
        <v>1393144.93</v>
      </c>
      <c r="G690" s="4">
        <v>12918.9</v>
      </c>
      <c r="H690">
        <f>IFERROR(VLOOKUP(E690,'GASB Match'!$A$2:$B$240,2,FALSE),"")</f>
        <v>1300810</v>
      </c>
    </row>
    <row r="691" spans="1:8" x14ac:dyDescent="0.2">
      <c r="A691">
        <v>1300810</v>
      </c>
      <c r="B691" s="3">
        <v>2017</v>
      </c>
      <c r="C691" t="s">
        <v>191</v>
      </c>
      <c r="D691" t="s">
        <v>192</v>
      </c>
      <c r="E691" t="s">
        <v>192</v>
      </c>
      <c r="F691" s="4">
        <v>1404765</v>
      </c>
      <c r="G691" s="4">
        <v>13739</v>
      </c>
      <c r="H691">
        <f>IFERROR(VLOOKUP(E691,'GASB Match'!$A$2:$B$240,2,FALSE),"")</f>
        <v>1300810</v>
      </c>
    </row>
    <row r="692" spans="1:8" x14ac:dyDescent="0.2">
      <c r="A692">
        <v>1300810</v>
      </c>
      <c r="B692" s="3">
        <v>2018</v>
      </c>
      <c r="C692" t="s">
        <v>191</v>
      </c>
      <c r="D692" t="s">
        <v>192</v>
      </c>
      <c r="E692" t="s">
        <v>192</v>
      </c>
      <c r="F692" s="4">
        <v>1674220</v>
      </c>
      <c r="G692" s="4">
        <v>18358</v>
      </c>
      <c r="H692">
        <f>IFERROR(VLOOKUP(E692,'GASB Match'!$A$2:$B$240,2,FALSE),"")</f>
        <v>1300810</v>
      </c>
    </row>
    <row r="693" spans="1:8" x14ac:dyDescent="0.2">
      <c r="A693">
        <v>1300810</v>
      </c>
      <c r="B693" s="3">
        <v>2019</v>
      </c>
      <c r="C693" t="s">
        <v>191</v>
      </c>
      <c r="D693" t="s">
        <v>192</v>
      </c>
      <c r="E693" t="s">
        <v>192</v>
      </c>
      <c r="F693" s="4">
        <v>2133713</v>
      </c>
      <c r="G693" s="4">
        <v>21142</v>
      </c>
      <c r="H693">
        <f>IFERROR(VLOOKUP(E693,'GASB Match'!$A$2:$B$240,2,FALSE),"")</f>
        <v>1300810</v>
      </c>
    </row>
    <row r="694" spans="1:8" x14ac:dyDescent="0.2">
      <c r="A694">
        <v>1300810</v>
      </c>
      <c r="B694" s="3">
        <v>2020</v>
      </c>
      <c r="C694" t="s">
        <v>191</v>
      </c>
      <c r="D694" t="s">
        <v>192</v>
      </c>
      <c r="E694" t="s">
        <v>192</v>
      </c>
      <c r="F694" s="4">
        <v>2342836</v>
      </c>
      <c r="G694" s="4">
        <v>29683</v>
      </c>
      <c r="H694">
        <f>IFERROR(VLOOKUP(E694,'GASB Match'!$A$2:$B$240,2,FALSE),"")</f>
        <v>1300810</v>
      </c>
    </row>
    <row r="695" spans="1:8" x14ac:dyDescent="0.2">
      <c r="A695">
        <v>1300810</v>
      </c>
      <c r="B695" s="3">
        <v>2021</v>
      </c>
      <c r="C695" t="s">
        <v>191</v>
      </c>
      <c r="D695" t="s">
        <v>192</v>
      </c>
      <c r="E695" t="s">
        <v>192</v>
      </c>
      <c r="F695" s="4">
        <v>2146209</v>
      </c>
      <c r="G695" s="4">
        <v>26395</v>
      </c>
      <c r="H695">
        <f>IFERROR(VLOOKUP(E695,'GASB Match'!$A$2:$B$240,2,FALSE),"")</f>
        <v>1300810</v>
      </c>
    </row>
    <row r="696" spans="1:8" x14ac:dyDescent="0.2">
      <c r="A696">
        <v>1300810</v>
      </c>
      <c r="B696" s="3">
        <v>2022</v>
      </c>
      <c r="C696" t="s">
        <v>191</v>
      </c>
      <c r="D696" t="s">
        <v>192</v>
      </c>
      <c r="E696" t="s">
        <v>192</v>
      </c>
      <c r="F696" s="4">
        <v>2310651</v>
      </c>
      <c r="G696" s="4">
        <v>29558</v>
      </c>
      <c r="H696">
        <f>IFERROR(VLOOKUP(E696,'GASB Match'!$A$2:$B$240,2,FALSE),"")</f>
        <v>1300810</v>
      </c>
    </row>
    <row r="697" spans="1:8" x14ac:dyDescent="0.2">
      <c r="A697">
        <v>1300810</v>
      </c>
      <c r="B697" s="3">
        <v>2023</v>
      </c>
      <c r="C697" t="s">
        <v>191</v>
      </c>
      <c r="D697" t="s">
        <v>192</v>
      </c>
      <c r="E697" t="s">
        <v>192</v>
      </c>
      <c r="F697" s="4">
        <v>2477567</v>
      </c>
      <c r="G697" s="4">
        <v>29055</v>
      </c>
      <c r="H697">
        <f>IFERROR(VLOOKUP(E697,'GASB Match'!$A$2:$B$240,2,FALSE),"")</f>
        <v>1300810</v>
      </c>
    </row>
    <row r="698" spans="1:8" x14ac:dyDescent="0.2">
      <c r="A698">
        <v>1300840</v>
      </c>
      <c r="B698" s="3">
        <v>2015</v>
      </c>
      <c r="C698" t="s">
        <v>193</v>
      </c>
      <c r="D698" t="s">
        <v>194</v>
      </c>
      <c r="E698" t="s">
        <v>194</v>
      </c>
      <c r="F698" s="4">
        <v>9022059.8100000005</v>
      </c>
      <c r="G698" s="4">
        <v>28614.49</v>
      </c>
      <c r="H698">
        <f>IFERROR(VLOOKUP(E698,'GASB Match'!$A$2:$B$240,2,FALSE),"")</f>
        <v>1300840</v>
      </c>
    </row>
    <row r="699" spans="1:8" x14ac:dyDescent="0.2">
      <c r="A699">
        <v>1300840</v>
      </c>
      <c r="B699" s="3">
        <v>2016</v>
      </c>
      <c r="C699" t="s">
        <v>193</v>
      </c>
      <c r="D699" t="s">
        <v>194</v>
      </c>
      <c r="E699" t="s">
        <v>194</v>
      </c>
      <c r="F699" s="4">
        <v>9935813.8499999996</v>
      </c>
      <c r="G699" s="4">
        <v>31597.88</v>
      </c>
      <c r="H699">
        <f>IFERROR(VLOOKUP(E699,'GASB Match'!$A$2:$B$240,2,FALSE),"")</f>
        <v>1300840</v>
      </c>
    </row>
    <row r="700" spans="1:8" x14ac:dyDescent="0.2">
      <c r="A700">
        <v>1300840</v>
      </c>
      <c r="B700" s="3">
        <v>2017</v>
      </c>
      <c r="C700" t="s">
        <v>193</v>
      </c>
      <c r="D700" t="s">
        <v>194</v>
      </c>
      <c r="E700" t="s">
        <v>194</v>
      </c>
      <c r="F700" s="4">
        <v>10443956</v>
      </c>
      <c r="G700" s="4">
        <v>27389</v>
      </c>
      <c r="H700">
        <f>IFERROR(VLOOKUP(E700,'GASB Match'!$A$2:$B$240,2,FALSE),"")</f>
        <v>1300840</v>
      </c>
    </row>
    <row r="701" spans="1:8" x14ac:dyDescent="0.2">
      <c r="A701">
        <v>1300840</v>
      </c>
      <c r="B701" s="3">
        <v>2018</v>
      </c>
      <c r="C701" t="s">
        <v>193</v>
      </c>
      <c r="D701" t="s">
        <v>194</v>
      </c>
      <c r="E701" t="s">
        <v>194</v>
      </c>
      <c r="F701" s="4">
        <v>12755530</v>
      </c>
      <c r="G701" s="4">
        <v>24671</v>
      </c>
      <c r="H701">
        <f>IFERROR(VLOOKUP(E701,'GASB Match'!$A$2:$B$240,2,FALSE),"")</f>
        <v>1300840</v>
      </c>
    </row>
    <row r="702" spans="1:8" x14ac:dyDescent="0.2">
      <c r="A702">
        <v>1300840</v>
      </c>
      <c r="B702" s="3">
        <v>2019</v>
      </c>
      <c r="C702" t="s">
        <v>193</v>
      </c>
      <c r="D702" t="s">
        <v>194</v>
      </c>
      <c r="E702" t="s">
        <v>194</v>
      </c>
      <c r="F702" s="4">
        <v>16119440</v>
      </c>
      <c r="G702" s="4">
        <v>30754</v>
      </c>
      <c r="H702">
        <f>IFERROR(VLOOKUP(E702,'GASB Match'!$A$2:$B$240,2,FALSE),"")</f>
        <v>1300840</v>
      </c>
    </row>
    <row r="703" spans="1:8" x14ac:dyDescent="0.2">
      <c r="A703">
        <v>1300840</v>
      </c>
      <c r="B703" s="3">
        <v>2020</v>
      </c>
      <c r="C703" t="s">
        <v>193</v>
      </c>
      <c r="D703" t="s">
        <v>194</v>
      </c>
      <c r="E703" t="s">
        <v>194</v>
      </c>
      <c r="F703" s="4">
        <v>17218149</v>
      </c>
      <c r="G703" s="4">
        <v>30501</v>
      </c>
      <c r="H703">
        <f>IFERROR(VLOOKUP(E703,'GASB Match'!$A$2:$B$240,2,FALSE),"")</f>
        <v>1300840</v>
      </c>
    </row>
    <row r="704" spans="1:8" x14ac:dyDescent="0.2">
      <c r="A704">
        <v>1300840</v>
      </c>
      <c r="B704" s="3">
        <v>2021</v>
      </c>
      <c r="C704" t="s">
        <v>193</v>
      </c>
      <c r="D704" t="s">
        <v>194</v>
      </c>
      <c r="E704" t="s">
        <v>194</v>
      </c>
      <c r="F704" s="4">
        <v>15832025</v>
      </c>
      <c r="G704" s="4">
        <v>28549</v>
      </c>
      <c r="H704">
        <f>IFERROR(VLOOKUP(E704,'GASB Match'!$A$2:$B$240,2,FALSE),"")</f>
        <v>1300840</v>
      </c>
    </row>
    <row r="705" spans="1:8" x14ac:dyDescent="0.2">
      <c r="A705">
        <v>1300840</v>
      </c>
      <c r="B705" s="3">
        <v>2022</v>
      </c>
      <c r="C705" t="s">
        <v>193</v>
      </c>
      <c r="D705" t="s">
        <v>194</v>
      </c>
      <c r="E705" t="s">
        <v>194</v>
      </c>
      <c r="F705" s="4">
        <v>17200397</v>
      </c>
      <c r="G705" s="4">
        <v>30585</v>
      </c>
      <c r="H705">
        <f>IFERROR(VLOOKUP(E705,'GASB Match'!$A$2:$B$240,2,FALSE),"")</f>
        <v>1300840</v>
      </c>
    </row>
    <row r="706" spans="1:8" x14ac:dyDescent="0.2">
      <c r="A706">
        <v>1300840</v>
      </c>
      <c r="B706" s="3">
        <v>2023</v>
      </c>
      <c r="C706" t="s">
        <v>193</v>
      </c>
      <c r="D706" t="s">
        <v>194</v>
      </c>
      <c r="E706" t="s">
        <v>194</v>
      </c>
      <c r="F706" s="4">
        <v>18596380</v>
      </c>
      <c r="G706" s="4">
        <v>31046</v>
      </c>
      <c r="H706">
        <f>IFERROR(VLOOKUP(E706,'GASB Match'!$A$2:$B$240,2,FALSE),"")</f>
        <v>1300840</v>
      </c>
    </row>
    <row r="707" spans="1:8" x14ac:dyDescent="0.2">
      <c r="A707" t="s">
        <v>7</v>
      </c>
      <c r="B707" s="3">
        <v>2015</v>
      </c>
      <c r="C707" t="s">
        <v>195</v>
      </c>
      <c r="D707" t="s">
        <v>197</v>
      </c>
      <c r="E707" t="s">
        <v>196</v>
      </c>
      <c r="F707" s="4">
        <v>97890.539999999906</v>
      </c>
      <c r="G707" s="4" t="s">
        <v>7</v>
      </c>
      <c r="H707" t="str">
        <f>IFERROR(VLOOKUP(E707,'GASB Match'!$A$2:$B$240,2,FALSE),"")</f>
        <v/>
      </c>
    </row>
    <row r="708" spans="1:8" x14ac:dyDescent="0.2">
      <c r="A708" t="s">
        <v>7</v>
      </c>
      <c r="B708" s="3">
        <v>2016</v>
      </c>
      <c r="C708" t="s">
        <v>195</v>
      </c>
      <c r="D708" t="s">
        <v>197</v>
      </c>
      <c r="E708" t="s">
        <v>196</v>
      </c>
      <c r="F708" s="4">
        <v>131812.04</v>
      </c>
      <c r="G708" s="4" t="s">
        <v>7</v>
      </c>
      <c r="H708" t="str">
        <f>IFERROR(VLOOKUP(E708,'GASB Match'!$A$2:$B$240,2,FALSE),"")</f>
        <v/>
      </c>
    </row>
    <row r="709" spans="1:8" x14ac:dyDescent="0.2">
      <c r="A709" t="s">
        <v>7</v>
      </c>
      <c r="B709" s="3">
        <v>2017</v>
      </c>
      <c r="C709" t="s">
        <v>195</v>
      </c>
      <c r="D709" t="s">
        <v>197</v>
      </c>
      <c r="E709" t="s">
        <v>196</v>
      </c>
      <c r="F709" s="4">
        <v>128223</v>
      </c>
      <c r="G709" s="4" t="s">
        <v>7</v>
      </c>
      <c r="H709" t="str">
        <f>IFERROR(VLOOKUP(E709,'GASB Match'!$A$2:$B$240,2,FALSE),"")</f>
        <v/>
      </c>
    </row>
    <row r="710" spans="1:8" x14ac:dyDescent="0.2">
      <c r="A710" t="s">
        <v>7</v>
      </c>
      <c r="B710" s="3">
        <v>2018</v>
      </c>
      <c r="C710" t="s">
        <v>195</v>
      </c>
      <c r="D710" t="s">
        <v>197</v>
      </c>
      <c r="E710" t="s">
        <v>196</v>
      </c>
      <c r="F710" s="4">
        <v>152882</v>
      </c>
      <c r="G710" s="4" t="s">
        <v>7</v>
      </c>
      <c r="H710" t="str">
        <f>IFERROR(VLOOKUP(E710,'GASB Match'!$A$2:$B$240,2,FALSE),"")</f>
        <v/>
      </c>
    </row>
    <row r="711" spans="1:8" x14ac:dyDescent="0.2">
      <c r="A711" t="s">
        <v>7</v>
      </c>
      <c r="B711" s="3">
        <v>2019</v>
      </c>
      <c r="C711" t="s">
        <v>195</v>
      </c>
      <c r="D711" t="s">
        <v>197</v>
      </c>
      <c r="E711" t="s">
        <v>196</v>
      </c>
      <c r="F711" s="4">
        <v>187900</v>
      </c>
      <c r="G711" s="4" t="s">
        <v>7</v>
      </c>
      <c r="H711" t="str">
        <f>IFERROR(VLOOKUP(E711,'GASB Match'!$A$2:$B$240,2,FALSE),"")</f>
        <v/>
      </c>
    </row>
    <row r="712" spans="1:8" x14ac:dyDescent="0.2">
      <c r="A712" t="s">
        <v>7</v>
      </c>
      <c r="B712" s="3">
        <v>2020</v>
      </c>
      <c r="C712" t="s">
        <v>195</v>
      </c>
      <c r="D712" t="s">
        <v>197</v>
      </c>
      <c r="E712" t="s">
        <v>196</v>
      </c>
      <c r="F712" s="4">
        <v>198761</v>
      </c>
      <c r="G712" s="4" t="s">
        <v>7</v>
      </c>
      <c r="H712" t="str">
        <f>IFERROR(VLOOKUP(E712,'GASB Match'!$A$2:$B$240,2,FALSE),"")</f>
        <v/>
      </c>
    </row>
    <row r="713" spans="1:8" x14ac:dyDescent="0.2">
      <c r="A713" t="s">
        <v>7</v>
      </c>
      <c r="B713" s="3">
        <v>2021</v>
      </c>
      <c r="C713" t="s">
        <v>195</v>
      </c>
      <c r="D713" t="s">
        <v>196</v>
      </c>
      <c r="E713" t="s">
        <v>196</v>
      </c>
      <c r="F713" s="4">
        <v>187266</v>
      </c>
      <c r="G713" s="4" t="s">
        <v>7</v>
      </c>
      <c r="H713" t="str">
        <f>IFERROR(VLOOKUP(E713,'GASB Match'!$A$2:$B$240,2,FALSE),"")</f>
        <v/>
      </c>
    </row>
    <row r="714" spans="1:8" x14ac:dyDescent="0.2">
      <c r="A714" t="s">
        <v>7</v>
      </c>
      <c r="B714" s="3">
        <v>2022</v>
      </c>
      <c r="C714" t="s">
        <v>195</v>
      </c>
      <c r="D714" t="s">
        <v>196</v>
      </c>
      <c r="E714" t="s">
        <v>196</v>
      </c>
      <c r="F714" s="4">
        <v>193777</v>
      </c>
      <c r="G714" s="4" t="s">
        <v>7</v>
      </c>
      <c r="H714" t="str">
        <f>IFERROR(VLOOKUP(E714,'GASB Match'!$A$2:$B$240,2,FALSE),"")</f>
        <v/>
      </c>
    </row>
    <row r="715" spans="1:8" x14ac:dyDescent="0.2">
      <c r="A715" t="s">
        <v>7</v>
      </c>
      <c r="B715" s="3">
        <v>2023</v>
      </c>
      <c r="C715" t="s">
        <v>195</v>
      </c>
      <c r="D715" t="s">
        <v>196</v>
      </c>
      <c r="E715" t="s">
        <v>196</v>
      </c>
      <c r="F715" s="4">
        <v>195980</v>
      </c>
      <c r="G715" s="4" t="s">
        <v>7</v>
      </c>
      <c r="H715" t="str">
        <f>IFERROR(VLOOKUP(E715,'GASB Match'!$A$2:$B$240,2,FALSE),"")</f>
        <v/>
      </c>
    </row>
    <row r="716" spans="1:8" x14ac:dyDescent="0.2">
      <c r="A716">
        <v>1300930</v>
      </c>
      <c r="B716" s="3">
        <v>2015</v>
      </c>
      <c r="C716" t="s">
        <v>198</v>
      </c>
      <c r="D716" t="s">
        <v>199</v>
      </c>
      <c r="E716" t="s">
        <v>199</v>
      </c>
      <c r="F716" s="4">
        <v>7210180.9100000001</v>
      </c>
      <c r="G716" s="4">
        <v>13372.38</v>
      </c>
      <c r="H716">
        <f>IFERROR(VLOOKUP(E716,'GASB Match'!$A$2:$B$240,2,FALSE),"")</f>
        <v>1300930</v>
      </c>
    </row>
    <row r="717" spans="1:8" x14ac:dyDescent="0.2">
      <c r="A717">
        <v>1300930</v>
      </c>
      <c r="B717" s="3">
        <v>2016</v>
      </c>
      <c r="C717" t="s">
        <v>198</v>
      </c>
      <c r="D717" t="s">
        <v>199</v>
      </c>
      <c r="E717" t="s">
        <v>199</v>
      </c>
      <c r="F717" s="4">
        <v>8014167.1299999999</v>
      </c>
      <c r="G717" s="4">
        <v>14793.22</v>
      </c>
      <c r="H717">
        <f>IFERROR(VLOOKUP(E717,'GASB Match'!$A$2:$B$240,2,FALSE),"")</f>
        <v>1300930</v>
      </c>
    </row>
    <row r="718" spans="1:8" x14ac:dyDescent="0.2">
      <c r="A718">
        <v>1300930</v>
      </c>
      <c r="B718" s="3">
        <v>2017</v>
      </c>
      <c r="C718" t="s">
        <v>198</v>
      </c>
      <c r="D718" t="s">
        <v>199</v>
      </c>
      <c r="E718" t="s">
        <v>199</v>
      </c>
      <c r="F718" s="4">
        <v>8274446</v>
      </c>
      <c r="G718" s="4">
        <v>15653</v>
      </c>
      <c r="H718">
        <f>IFERROR(VLOOKUP(E718,'GASB Match'!$A$2:$B$240,2,FALSE),"")</f>
        <v>1300930</v>
      </c>
    </row>
    <row r="719" spans="1:8" x14ac:dyDescent="0.2">
      <c r="A719">
        <v>1300930</v>
      </c>
      <c r="B719" s="3">
        <v>2018</v>
      </c>
      <c r="C719" t="s">
        <v>198</v>
      </c>
      <c r="D719" t="s">
        <v>199</v>
      </c>
      <c r="E719" t="s">
        <v>199</v>
      </c>
      <c r="F719" s="4">
        <v>10026160</v>
      </c>
      <c r="G719" s="4">
        <v>19123</v>
      </c>
      <c r="H719">
        <f>IFERROR(VLOOKUP(E719,'GASB Match'!$A$2:$B$240,2,FALSE),"")</f>
        <v>1300930</v>
      </c>
    </row>
    <row r="720" spans="1:8" x14ac:dyDescent="0.2">
      <c r="A720">
        <v>1300930</v>
      </c>
      <c r="B720" s="3">
        <v>2019</v>
      </c>
      <c r="C720" t="s">
        <v>198</v>
      </c>
      <c r="D720" t="s">
        <v>199</v>
      </c>
      <c r="E720" t="s">
        <v>199</v>
      </c>
      <c r="F720" s="4">
        <v>12741656</v>
      </c>
      <c r="G720" s="4">
        <v>24092</v>
      </c>
      <c r="H720">
        <f>IFERROR(VLOOKUP(E720,'GASB Match'!$A$2:$B$240,2,FALSE),"")</f>
        <v>1300930</v>
      </c>
    </row>
    <row r="721" spans="1:8" x14ac:dyDescent="0.2">
      <c r="A721">
        <v>1300930</v>
      </c>
      <c r="B721" s="3">
        <v>2020</v>
      </c>
      <c r="C721" t="s">
        <v>198</v>
      </c>
      <c r="D721" t="s">
        <v>199</v>
      </c>
      <c r="E721" t="s">
        <v>199</v>
      </c>
      <c r="F721" s="4">
        <v>13619790</v>
      </c>
      <c r="G721" s="4">
        <v>24856</v>
      </c>
      <c r="H721">
        <f>IFERROR(VLOOKUP(E721,'GASB Match'!$A$2:$B$240,2,FALSE),"")</f>
        <v>1300930</v>
      </c>
    </row>
    <row r="722" spans="1:8" x14ac:dyDescent="0.2">
      <c r="A722">
        <v>1300930</v>
      </c>
      <c r="B722" s="3">
        <v>2021</v>
      </c>
      <c r="C722" t="s">
        <v>198</v>
      </c>
      <c r="D722" t="s">
        <v>199</v>
      </c>
      <c r="E722" t="s">
        <v>199</v>
      </c>
      <c r="F722" s="4">
        <v>12624364</v>
      </c>
      <c r="G722" s="4">
        <v>22828</v>
      </c>
      <c r="H722">
        <f>IFERROR(VLOOKUP(E722,'GASB Match'!$A$2:$B$240,2,FALSE),"")</f>
        <v>1300930</v>
      </c>
    </row>
    <row r="723" spans="1:8" x14ac:dyDescent="0.2">
      <c r="A723">
        <v>1300930</v>
      </c>
      <c r="B723" s="3">
        <v>2022</v>
      </c>
      <c r="C723" t="s">
        <v>198</v>
      </c>
      <c r="D723" t="s">
        <v>199</v>
      </c>
      <c r="E723" t="s">
        <v>199</v>
      </c>
      <c r="F723" s="4">
        <v>13424575</v>
      </c>
      <c r="G723" s="4">
        <v>23808</v>
      </c>
      <c r="H723">
        <f>IFERROR(VLOOKUP(E723,'GASB Match'!$A$2:$B$240,2,FALSE),"")</f>
        <v>1300930</v>
      </c>
    </row>
    <row r="724" spans="1:8" x14ac:dyDescent="0.2">
      <c r="A724">
        <v>1300930</v>
      </c>
      <c r="B724" s="3">
        <v>2023</v>
      </c>
      <c r="C724" t="s">
        <v>198</v>
      </c>
      <c r="D724" t="s">
        <v>199</v>
      </c>
      <c r="E724" t="s">
        <v>199</v>
      </c>
      <c r="F724" s="4">
        <v>14321226</v>
      </c>
      <c r="G724" s="4">
        <v>25840</v>
      </c>
      <c r="H724">
        <f>IFERROR(VLOOKUP(E724,'GASB Match'!$A$2:$B$240,2,FALSE),"")</f>
        <v>1300930</v>
      </c>
    </row>
    <row r="725" spans="1:8" x14ac:dyDescent="0.2">
      <c r="A725" t="s">
        <v>7</v>
      </c>
      <c r="B725" s="3">
        <v>2015</v>
      </c>
      <c r="C725" t="s">
        <v>200</v>
      </c>
      <c r="D725" t="s">
        <v>201</v>
      </c>
      <c r="E725" t="s">
        <v>201</v>
      </c>
      <c r="F725" s="4">
        <v>34362.239999999998</v>
      </c>
      <c r="G725" s="4" t="s">
        <v>7</v>
      </c>
      <c r="H725" t="str">
        <f>IFERROR(VLOOKUP(E725,'GASB Match'!$A$2:$B$240,2,FALSE),"")</f>
        <v/>
      </c>
    </row>
    <row r="726" spans="1:8" x14ac:dyDescent="0.2">
      <c r="A726" t="s">
        <v>7</v>
      </c>
      <c r="B726" s="3">
        <v>2016</v>
      </c>
      <c r="C726" t="s">
        <v>200</v>
      </c>
      <c r="D726" t="s">
        <v>201</v>
      </c>
      <c r="E726" t="s">
        <v>201</v>
      </c>
      <c r="F726" s="4">
        <v>40512.89</v>
      </c>
      <c r="G726" s="4" t="s">
        <v>7</v>
      </c>
      <c r="H726" t="str">
        <f>IFERROR(VLOOKUP(E726,'GASB Match'!$A$2:$B$240,2,FALSE),"")</f>
        <v/>
      </c>
    </row>
    <row r="727" spans="1:8" x14ac:dyDescent="0.2">
      <c r="A727" t="s">
        <v>7</v>
      </c>
      <c r="B727" s="3">
        <v>2017</v>
      </c>
      <c r="C727" t="s">
        <v>200</v>
      </c>
      <c r="D727" t="s">
        <v>201</v>
      </c>
      <c r="E727" t="s">
        <v>201</v>
      </c>
      <c r="F727" s="4">
        <v>40939</v>
      </c>
      <c r="G727" s="4" t="s">
        <v>7</v>
      </c>
      <c r="H727" t="str">
        <f>IFERROR(VLOOKUP(E727,'GASB Match'!$A$2:$B$240,2,FALSE),"")</f>
        <v/>
      </c>
    </row>
    <row r="728" spans="1:8" x14ac:dyDescent="0.2">
      <c r="A728" t="s">
        <v>7</v>
      </c>
      <c r="B728" s="3">
        <v>2018</v>
      </c>
      <c r="C728" t="s">
        <v>200</v>
      </c>
      <c r="D728" t="s">
        <v>201</v>
      </c>
      <c r="E728" t="s">
        <v>201</v>
      </c>
      <c r="F728" s="4">
        <v>49708</v>
      </c>
      <c r="G728" s="4" t="s">
        <v>7</v>
      </c>
      <c r="H728" t="str">
        <f>IFERROR(VLOOKUP(E728,'GASB Match'!$A$2:$B$240,2,FALSE),"")</f>
        <v/>
      </c>
    </row>
    <row r="729" spans="1:8" x14ac:dyDescent="0.2">
      <c r="A729" t="s">
        <v>7</v>
      </c>
      <c r="B729" s="3">
        <v>2019</v>
      </c>
      <c r="C729" t="s">
        <v>200</v>
      </c>
      <c r="D729" t="s">
        <v>201</v>
      </c>
      <c r="E729" t="s">
        <v>201</v>
      </c>
      <c r="F729" s="4">
        <v>56889</v>
      </c>
      <c r="G729" s="4" t="s">
        <v>7</v>
      </c>
      <c r="H729" t="str">
        <f>IFERROR(VLOOKUP(E729,'GASB Match'!$A$2:$B$240,2,FALSE),"")</f>
        <v/>
      </c>
    </row>
    <row r="730" spans="1:8" x14ac:dyDescent="0.2">
      <c r="A730" t="s">
        <v>7</v>
      </c>
      <c r="B730" s="3">
        <v>2020</v>
      </c>
      <c r="C730" t="s">
        <v>200</v>
      </c>
      <c r="D730" t="s">
        <v>201</v>
      </c>
      <c r="E730" t="s">
        <v>201</v>
      </c>
      <c r="F730" s="4">
        <v>59720</v>
      </c>
      <c r="G730" s="4" t="s">
        <v>7</v>
      </c>
      <c r="H730" t="str">
        <f>IFERROR(VLOOKUP(E730,'GASB Match'!$A$2:$B$240,2,FALSE),"")</f>
        <v/>
      </c>
    </row>
    <row r="731" spans="1:8" x14ac:dyDescent="0.2">
      <c r="A731" t="s">
        <v>7</v>
      </c>
      <c r="B731" s="3">
        <v>2021</v>
      </c>
      <c r="C731" t="s">
        <v>200</v>
      </c>
      <c r="D731" t="s">
        <v>201</v>
      </c>
      <c r="E731" t="s">
        <v>201</v>
      </c>
      <c r="F731" s="4">
        <v>53059</v>
      </c>
      <c r="G731" s="4" t="s">
        <v>7</v>
      </c>
      <c r="H731" t="str">
        <f>IFERROR(VLOOKUP(E731,'GASB Match'!$A$2:$B$240,2,FALSE),"")</f>
        <v/>
      </c>
    </row>
    <row r="732" spans="1:8" x14ac:dyDescent="0.2">
      <c r="A732" t="s">
        <v>7</v>
      </c>
      <c r="B732" s="3">
        <v>2022</v>
      </c>
      <c r="C732" t="s">
        <v>200</v>
      </c>
      <c r="D732" t="s">
        <v>201</v>
      </c>
      <c r="E732" t="s">
        <v>201</v>
      </c>
      <c r="F732" s="4">
        <v>63725</v>
      </c>
      <c r="G732" s="4" t="s">
        <v>7</v>
      </c>
      <c r="H732" t="str">
        <f>IFERROR(VLOOKUP(E732,'GASB Match'!$A$2:$B$240,2,FALSE),"")</f>
        <v/>
      </c>
    </row>
    <row r="733" spans="1:8" x14ac:dyDescent="0.2">
      <c r="A733" t="s">
        <v>7</v>
      </c>
      <c r="B733" s="3">
        <v>2023</v>
      </c>
      <c r="C733" t="s">
        <v>200</v>
      </c>
      <c r="D733" t="s">
        <v>201</v>
      </c>
      <c r="E733" t="s">
        <v>201</v>
      </c>
      <c r="F733" s="4">
        <v>74810</v>
      </c>
      <c r="G733" s="4" t="s">
        <v>7</v>
      </c>
      <c r="H733" t="str">
        <f>IFERROR(VLOOKUP(E733,'GASB Match'!$A$2:$B$240,2,FALSE),"")</f>
        <v/>
      </c>
    </row>
    <row r="734" spans="1:8" x14ac:dyDescent="0.2">
      <c r="A734">
        <v>1300990</v>
      </c>
      <c r="B734" s="3">
        <v>2015</v>
      </c>
      <c r="C734" t="s">
        <v>202</v>
      </c>
      <c r="D734" t="s">
        <v>203</v>
      </c>
      <c r="E734" t="s">
        <v>203</v>
      </c>
      <c r="F734" s="4">
        <v>1052155.3799999999</v>
      </c>
      <c r="G734" s="4">
        <v>16396.310000000001</v>
      </c>
      <c r="H734">
        <f>IFERROR(VLOOKUP(E734,'GASB Match'!$A$2:$B$240,2,FALSE),"")</f>
        <v>1300990</v>
      </c>
    </row>
    <row r="735" spans="1:8" x14ac:dyDescent="0.2">
      <c r="A735">
        <v>1300990</v>
      </c>
      <c r="B735" s="3">
        <v>2016</v>
      </c>
      <c r="C735" t="s">
        <v>202</v>
      </c>
      <c r="D735" t="s">
        <v>203</v>
      </c>
      <c r="E735" t="s">
        <v>203</v>
      </c>
      <c r="F735" s="4">
        <v>1189771.75</v>
      </c>
      <c r="G735" s="4">
        <v>17816.400000000001</v>
      </c>
      <c r="H735">
        <f>IFERROR(VLOOKUP(E735,'GASB Match'!$A$2:$B$240,2,FALSE),"")</f>
        <v>1300990</v>
      </c>
    </row>
    <row r="736" spans="1:8" x14ac:dyDescent="0.2">
      <c r="A736">
        <v>1300990</v>
      </c>
      <c r="B736" s="3">
        <v>2017</v>
      </c>
      <c r="C736" t="s">
        <v>202</v>
      </c>
      <c r="D736" t="s">
        <v>203</v>
      </c>
      <c r="E736" t="s">
        <v>203</v>
      </c>
      <c r="F736" s="4">
        <v>1227892</v>
      </c>
      <c r="G736" s="4">
        <v>18147</v>
      </c>
      <c r="H736">
        <f>IFERROR(VLOOKUP(E736,'GASB Match'!$A$2:$B$240,2,FALSE),"")</f>
        <v>1300990</v>
      </c>
    </row>
    <row r="737" spans="1:8" x14ac:dyDescent="0.2">
      <c r="A737">
        <v>1300990</v>
      </c>
      <c r="B737" s="3">
        <v>2018</v>
      </c>
      <c r="C737" t="s">
        <v>202</v>
      </c>
      <c r="D737" t="s">
        <v>203</v>
      </c>
      <c r="E737" t="s">
        <v>203</v>
      </c>
      <c r="F737" s="4">
        <v>1488707</v>
      </c>
      <c r="G737" s="4">
        <v>21369</v>
      </c>
      <c r="H737">
        <f>IFERROR(VLOOKUP(E737,'GASB Match'!$A$2:$B$240,2,FALSE),"")</f>
        <v>1300990</v>
      </c>
    </row>
    <row r="738" spans="1:8" x14ac:dyDescent="0.2">
      <c r="A738">
        <v>1300990</v>
      </c>
      <c r="B738" s="3">
        <v>2019</v>
      </c>
      <c r="C738" t="s">
        <v>202</v>
      </c>
      <c r="D738" t="s">
        <v>203</v>
      </c>
      <c r="E738" t="s">
        <v>203</v>
      </c>
      <c r="F738" s="4">
        <v>1868505</v>
      </c>
      <c r="G738" s="4">
        <v>26592</v>
      </c>
      <c r="H738">
        <f>IFERROR(VLOOKUP(E738,'GASB Match'!$A$2:$B$240,2,FALSE),"")</f>
        <v>1300990</v>
      </c>
    </row>
    <row r="739" spans="1:8" x14ac:dyDescent="0.2">
      <c r="A739">
        <v>1300990</v>
      </c>
      <c r="B739" s="3">
        <v>2020</v>
      </c>
      <c r="C739" t="s">
        <v>202</v>
      </c>
      <c r="D739" t="s">
        <v>203</v>
      </c>
      <c r="E739" t="s">
        <v>203</v>
      </c>
      <c r="F739" s="4">
        <v>2043684</v>
      </c>
      <c r="G739" s="4">
        <v>27908</v>
      </c>
      <c r="H739">
        <f>IFERROR(VLOOKUP(E739,'GASB Match'!$A$2:$B$240,2,FALSE),"")</f>
        <v>1300990</v>
      </c>
    </row>
    <row r="740" spans="1:8" x14ac:dyDescent="0.2">
      <c r="A740">
        <v>1300990</v>
      </c>
      <c r="B740" s="3">
        <v>2021</v>
      </c>
      <c r="C740" t="s">
        <v>202</v>
      </c>
      <c r="D740" t="s">
        <v>203</v>
      </c>
      <c r="E740" t="s">
        <v>203</v>
      </c>
      <c r="F740" s="4">
        <v>1779299</v>
      </c>
      <c r="G740" s="4">
        <v>11677</v>
      </c>
      <c r="H740">
        <f>IFERROR(VLOOKUP(E740,'GASB Match'!$A$2:$B$240,2,FALSE),"")</f>
        <v>1300990</v>
      </c>
    </row>
    <row r="741" spans="1:8" x14ac:dyDescent="0.2">
      <c r="A741">
        <v>1300990</v>
      </c>
      <c r="B741" s="3">
        <v>2022</v>
      </c>
      <c r="C741" t="s">
        <v>202</v>
      </c>
      <c r="D741" t="s">
        <v>203</v>
      </c>
      <c r="E741" t="s">
        <v>203</v>
      </c>
      <c r="F741" s="4">
        <v>1977530</v>
      </c>
      <c r="G741" s="4">
        <v>10857</v>
      </c>
      <c r="H741">
        <f>IFERROR(VLOOKUP(E741,'GASB Match'!$A$2:$B$240,2,FALSE),"")</f>
        <v>1300990</v>
      </c>
    </row>
    <row r="742" spans="1:8" x14ac:dyDescent="0.2">
      <c r="A742">
        <v>1300990</v>
      </c>
      <c r="B742" s="3">
        <v>2023</v>
      </c>
      <c r="C742" t="s">
        <v>202</v>
      </c>
      <c r="D742" t="s">
        <v>203</v>
      </c>
      <c r="E742" t="s">
        <v>203</v>
      </c>
      <c r="F742" s="4">
        <v>2136143</v>
      </c>
      <c r="G742" s="4">
        <v>8405</v>
      </c>
      <c r="H742">
        <f>IFERROR(VLOOKUP(E742,'GASB Match'!$A$2:$B$240,2,FALSE),"")</f>
        <v>1300990</v>
      </c>
    </row>
    <row r="743" spans="1:8" x14ac:dyDescent="0.2">
      <c r="A743">
        <v>1301020</v>
      </c>
      <c r="B743" s="3">
        <v>2015</v>
      </c>
      <c r="C743" t="s">
        <v>204</v>
      </c>
      <c r="D743" t="s">
        <v>205</v>
      </c>
      <c r="E743" t="s">
        <v>205</v>
      </c>
      <c r="F743" s="4">
        <v>25801046.09</v>
      </c>
      <c r="G743" s="4">
        <v>121188.78</v>
      </c>
      <c r="H743">
        <f>IFERROR(VLOOKUP(E743,'GASB Match'!$A$2:$B$240,2,FALSE),"")</f>
        <v>1301020</v>
      </c>
    </row>
    <row r="744" spans="1:8" x14ac:dyDescent="0.2">
      <c r="A744">
        <v>1301020</v>
      </c>
      <c r="B744" s="3">
        <v>2016</v>
      </c>
      <c r="C744" t="s">
        <v>204</v>
      </c>
      <c r="D744" t="s">
        <v>205</v>
      </c>
      <c r="E744" t="s">
        <v>205</v>
      </c>
      <c r="F744" s="4">
        <v>29648260.789999999</v>
      </c>
      <c r="G744" s="4">
        <v>154983.4</v>
      </c>
      <c r="H744">
        <f>IFERROR(VLOOKUP(E744,'GASB Match'!$A$2:$B$240,2,FALSE),"")</f>
        <v>1301020</v>
      </c>
    </row>
    <row r="745" spans="1:8" x14ac:dyDescent="0.2">
      <c r="A745">
        <v>1301020</v>
      </c>
      <c r="B745" s="3">
        <v>2017</v>
      </c>
      <c r="C745" t="s">
        <v>204</v>
      </c>
      <c r="D745" t="s">
        <v>205</v>
      </c>
      <c r="E745" t="s">
        <v>205</v>
      </c>
      <c r="F745" s="4">
        <v>30842401</v>
      </c>
      <c r="G745" s="4">
        <v>102951</v>
      </c>
      <c r="H745">
        <f>IFERROR(VLOOKUP(E745,'GASB Match'!$A$2:$B$240,2,FALSE),"")</f>
        <v>1301020</v>
      </c>
    </row>
    <row r="746" spans="1:8" x14ac:dyDescent="0.2">
      <c r="A746">
        <v>1301020</v>
      </c>
      <c r="B746" s="3">
        <v>2018</v>
      </c>
      <c r="C746" t="s">
        <v>204</v>
      </c>
      <c r="D746" t="s">
        <v>205</v>
      </c>
      <c r="E746" t="s">
        <v>205</v>
      </c>
      <c r="F746" s="4">
        <v>37189110</v>
      </c>
      <c r="G746" s="4">
        <v>57744</v>
      </c>
      <c r="H746">
        <f>IFERROR(VLOOKUP(E746,'GASB Match'!$A$2:$B$240,2,FALSE),"")</f>
        <v>1301020</v>
      </c>
    </row>
    <row r="747" spans="1:8" x14ac:dyDescent="0.2">
      <c r="A747">
        <v>1301020</v>
      </c>
      <c r="B747" s="3">
        <v>2019</v>
      </c>
      <c r="C747" t="s">
        <v>204</v>
      </c>
      <c r="D747" t="s">
        <v>205</v>
      </c>
      <c r="E747" t="s">
        <v>205</v>
      </c>
      <c r="F747" s="4">
        <v>46357436</v>
      </c>
      <c r="G747" s="4">
        <v>77336</v>
      </c>
      <c r="H747">
        <f>IFERROR(VLOOKUP(E747,'GASB Match'!$A$2:$B$240,2,FALSE),"")</f>
        <v>1301020</v>
      </c>
    </row>
    <row r="748" spans="1:8" x14ac:dyDescent="0.2">
      <c r="A748">
        <v>1301020</v>
      </c>
      <c r="B748" s="3">
        <v>2020</v>
      </c>
      <c r="C748" t="s">
        <v>204</v>
      </c>
      <c r="D748" t="s">
        <v>205</v>
      </c>
      <c r="E748" t="s">
        <v>205</v>
      </c>
      <c r="F748" s="4">
        <v>49223916</v>
      </c>
      <c r="G748" s="4">
        <v>80878</v>
      </c>
      <c r="H748">
        <f>IFERROR(VLOOKUP(E748,'GASB Match'!$A$2:$B$240,2,FALSE),"")</f>
        <v>1301020</v>
      </c>
    </row>
    <row r="749" spans="1:8" x14ac:dyDescent="0.2">
      <c r="A749">
        <v>1301020</v>
      </c>
      <c r="B749" s="3">
        <v>2021</v>
      </c>
      <c r="C749" t="s">
        <v>204</v>
      </c>
      <c r="D749" t="s">
        <v>205</v>
      </c>
      <c r="E749" t="s">
        <v>205</v>
      </c>
      <c r="F749" s="4">
        <v>45346263</v>
      </c>
      <c r="G749" s="4">
        <v>73608</v>
      </c>
      <c r="H749">
        <f>IFERROR(VLOOKUP(E749,'GASB Match'!$A$2:$B$240,2,FALSE),"")</f>
        <v>1301020</v>
      </c>
    </row>
    <row r="750" spans="1:8" x14ac:dyDescent="0.2">
      <c r="A750">
        <v>1301020</v>
      </c>
      <c r="B750" s="3">
        <v>2022</v>
      </c>
      <c r="C750" t="s">
        <v>204</v>
      </c>
      <c r="D750" t="s">
        <v>205</v>
      </c>
      <c r="E750" t="s">
        <v>205</v>
      </c>
      <c r="F750" s="4">
        <v>50134865</v>
      </c>
      <c r="G750" s="4">
        <v>84004</v>
      </c>
      <c r="H750">
        <f>IFERROR(VLOOKUP(E750,'GASB Match'!$A$2:$B$240,2,FALSE),"")</f>
        <v>1301020</v>
      </c>
    </row>
    <row r="751" spans="1:8" x14ac:dyDescent="0.2">
      <c r="A751">
        <v>1301020</v>
      </c>
      <c r="B751" s="3">
        <v>2023</v>
      </c>
      <c r="C751" t="s">
        <v>204</v>
      </c>
      <c r="D751" t="s">
        <v>205</v>
      </c>
      <c r="E751" t="s">
        <v>205</v>
      </c>
      <c r="F751" s="4">
        <v>56081997</v>
      </c>
      <c r="G751" s="4">
        <v>92550</v>
      </c>
      <c r="H751">
        <f>IFERROR(VLOOKUP(E751,'GASB Match'!$A$2:$B$240,2,FALSE),"")</f>
        <v>1301020</v>
      </c>
    </row>
    <row r="752" spans="1:8" x14ac:dyDescent="0.2">
      <c r="A752" t="s">
        <v>7</v>
      </c>
      <c r="B752" s="3">
        <v>2015</v>
      </c>
      <c r="C752" t="s">
        <v>206</v>
      </c>
      <c r="D752" t="s">
        <v>207</v>
      </c>
      <c r="E752" t="s">
        <v>207</v>
      </c>
      <c r="F752" s="4">
        <v>528505.88</v>
      </c>
      <c r="G752" s="4" t="s">
        <v>7</v>
      </c>
      <c r="H752" t="str">
        <f>IFERROR(VLOOKUP(E752,'GASB Match'!$A$2:$B$240,2,FALSE),"")</f>
        <v/>
      </c>
    </row>
    <row r="753" spans="1:8" x14ac:dyDescent="0.2">
      <c r="A753" t="s">
        <v>7</v>
      </c>
      <c r="B753" s="3">
        <v>2016</v>
      </c>
      <c r="C753" t="s">
        <v>206</v>
      </c>
      <c r="D753" t="s">
        <v>207</v>
      </c>
      <c r="E753" t="s">
        <v>207</v>
      </c>
      <c r="F753" s="4">
        <v>604332.88</v>
      </c>
      <c r="G753" s="4" t="s">
        <v>7</v>
      </c>
      <c r="H753" t="str">
        <f>IFERROR(VLOOKUP(E753,'GASB Match'!$A$2:$B$240,2,FALSE),"")</f>
        <v/>
      </c>
    </row>
    <row r="754" spans="1:8" x14ac:dyDescent="0.2">
      <c r="A754" t="s">
        <v>7</v>
      </c>
      <c r="B754" s="3">
        <v>2017</v>
      </c>
      <c r="C754" t="s">
        <v>206</v>
      </c>
      <c r="D754" t="s">
        <v>207</v>
      </c>
      <c r="E754" t="s">
        <v>207</v>
      </c>
      <c r="F754" s="4">
        <v>554036</v>
      </c>
      <c r="G754" s="4" t="s">
        <v>7</v>
      </c>
      <c r="H754" t="str">
        <f>IFERROR(VLOOKUP(E754,'GASB Match'!$A$2:$B$240,2,FALSE),"")</f>
        <v/>
      </c>
    </row>
    <row r="755" spans="1:8" x14ac:dyDescent="0.2">
      <c r="A755" t="s">
        <v>7</v>
      </c>
      <c r="B755" s="3">
        <v>2018</v>
      </c>
      <c r="C755" t="s">
        <v>206</v>
      </c>
      <c r="D755" t="s">
        <v>207</v>
      </c>
      <c r="E755" t="s">
        <v>207</v>
      </c>
      <c r="F755" s="4">
        <v>634761</v>
      </c>
      <c r="G755" s="4" t="s">
        <v>7</v>
      </c>
      <c r="H755" t="str">
        <f>IFERROR(VLOOKUP(E755,'GASB Match'!$A$2:$B$240,2,FALSE),"")</f>
        <v/>
      </c>
    </row>
    <row r="756" spans="1:8" x14ac:dyDescent="0.2">
      <c r="A756" t="s">
        <v>7</v>
      </c>
      <c r="B756" s="3">
        <v>2019</v>
      </c>
      <c r="C756" t="s">
        <v>206</v>
      </c>
      <c r="D756" t="s">
        <v>207</v>
      </c>
      <c r="E756" t="s">
        <v>207</v>
      </c>
      <c r="F756" s="4">
        <v>770138</v>
      </c>
      <c r="G756" s="4" t="s">
        <v>7</v>
      </c>
      <c r="H756" t="str">
        <f>IFERROR(VLOOKUP(E756,'GASB Match'!$A$2:$B$240,2,FALSE),"")</f>
        <v/>
      </c>
    </row>
    <row r="757" spans="1:8" x14ac:dyDescent="0.2">
      <c r="A757" t="s">
        <v>7</v>
      </c>
      <c r="B757" s="3">
        <v>2020</v>
      </c>
      <c r="C757" t="s">
        <v>206</v>
      </c>
      <c r="D757" t="s">
        <v>207</v>
      </c>
      <c r="E757" t="s">
        <v>207</v>
      </c>
      <c r="F757" s="4">
        <v>836856</v>
      </c>
      <c r="G757" s="4" t="s">
        <v>7</v>
      </c>
      <c r="H757" t="str">
        <f>IFERROR(VLOOKUP(E757,'GASB Match'!$A$2:$B$240,2,FALSE),"")</f>
        <v/>
      </c>
    </row>
    <row r="758" spans="1:8" x14ac:dyDescent="0.2">
      <c r="A758" t="s">
        <v>7</v>
      </c>
      <c r="B758" s="3">
        <v>2021</v>
      </c>
      <c r="C758" t="s">
        <v>206</v>
      </c>
      <c r="D758" t="s">
        <v>207</v>
      </c>
      <c r="E758" t="s">
        <v>207</v>
      </c>
      <c r="F758" s="4">
        <v>792962</v>
      </c>
      <c r="G758" s="4" t="s">
        <v>7</v>
      </c>
      <c r="H758" t="str">
        <f>IFERROR(VLOOKUP(E758,'GASB Match'!$A$2:$B$240,2,FALSE),"")</f>
        <v/>
      </c>
    </row>
    <row r="759" spans="1:8" x14ac:dyDescent="0.2">
      <c r="A759" t="s">
        <v>7</v>
      </c>
      <c r="B759" s="3">
        <v>2022</v>
      </c>
      <c r="C759" t="s">
        <v>206</v>
      </c>
      <c r="D759" t="s">
        <v>207</v>
      </c>
      <c r="E759" t="s">
        <v>207</v>
      </c>
      <c r="F759" s="4">
        <v>827959</v>
      </c>
      <c r="G759" s="4" t="s">
        <v>7</v>
      </c>
      <c r="H759" t="str">
        <f>IFERROR(VLOOKUP(E759,'GASB Match'!$A$2:$B$240,2,FALSE),"")</f>
        <v/>
      </c>
    </row>
    <row r="760" spans="1:8" x14ac:dyDescent="0.2">
      <c r="A760" t="s">
        <v>7</v>
      </c>
      <c r="B760" s="3">
        <v>2023</v>
      </c>
      <c r="C760" t="s">
        <v>206</v>
      </c>
      <c r="D760" t="s">
        <v>207</v>
      </c>
      <c r="E760" t="s">
        <v>207</v>
      </c>
      <c r="F760" s="4">
        <v>952440</v>
      </c>
      <c r="G760" s="4" t="s">
        <v>7</v>
      </c>
      <c r="H760" t="str">
        <f>IFERROR(VLOOKUP(E760,'GASB Match'!$A$2:$B$240,2,FALSE),"")</f>
        <v/>
      </c>
    </row>
    <row r="761" spans="1:8" x14ac:dyDescent="0.2">
      <c r="A761">
        <v>1301050</v>
      </c>
      <c r="B761" s="3">
        <v>2015</v>
      </c>
      <c r="C761" t="s">
        <v>208</v>
      </c>
      <c r="D761" t="s">
        <v>209</v>
      </c>
      <c r="E761" t="s">
        <v>209</v>
      </c>
      <c r="F761" s="4">
        <v>685418.43999999901</v>
      </c>
      <c r="G761" s="4">
        <v>11564.72</v>
      </c>
      <c r="H761">
        <f>IFERROR(VLOOKUP(E761,'GASB Match'!$A$2:$B$240,2,FALSE),"")</f>
        <v>1301050</v>
      </c>
    </row>
    <row r="762" spans="1:8" x14ac:dyDescent="0.2">
      <c r="A762">
        <v>1301050</v>
      </c>
      <c r="B762" s="3">
        <v>2016</v>
      </c>
      <c r="C762" t="s">
        <v>208</v>
      </c>
      <c r="D762" t="s">
        <v>209</v>
      </c>
      <c r="E762" t="s">
        <v>209</v>
      </c>
      <c r="F762" s="4">
        <v>726913.38</v>
      </c>
      <c r="G762" s="4">
        <v>13183.71</v>
      </c>
      <c r="H762">
        <f>IFERROR(VLOOKUP(E762,'GASB Match'!$A$2:$B$240,2,FALSE),"")</f>
        <v>1301050</v>
      </c>
    </row>
    <row r="763" spans="1:8" x14ac:dyDescent="0.2">
      <c r="A763">
        <v>1301050</v>
      </c>
      <c r="B763" s="3">
        <v>2017</v>
      </c>
      <c r="C763" t="s">
        <v>208</v>
      </c>
      <c r="D763" t="s">
        <v>209</v>
      </c>
      <c r="E763" t="s">
        <v>209</v>
      </c>
      <c r="F763" s="4">
        <v>715238</v>
      </c>
      <c r="G763" s="4">
        <v>11767</v>
      </c>
      <c r="H763">
        <f>IFERROR(VLOOKUP(E763,'GASB Match'!$A$2:$B$240,2,FALSE),"")</f>
        <v>1301050</v>
      </c>
    </row>
    <row r="764" spans="1:8" x14ac:dyDescent="0.2">
      <c r="A764">
        <v>1301050</v>
      </c>
      <c r="B764" s="3">
        <v>2018</v>
      </c>
      <c r="C764" t="s">
        <v>208</v>
      </c>
      <c r="D764" t="s">
        <v>209</v>
      </c>
      <c r="E764" t="s">
        <v>209</v>
      </c>
      <c r="F764" s="4">
        <v>828788</v>
      </c>
      <c r="G764" s="4">
        <v>12220</v>
      </c>
      <c r="H764">
        <f>IFERROR(VLOOKUP(E764,'GASB Match'!$A$2:$B$240,2,FALSE),"")</f>
        <v>1301050</v>
      </c>
    </row>
    <row r="765" spans="1:8" x14ac:dyDescent="0.2">
      <c r="A765">
        <v>1301050</v>
      </c>
      <c r="B765" s="3">
        <v>2019</v>
      </c>
      <c r="C765" t="s">
        <v>208</v>
      </c>
      <c r="D765" t="s">
        <v>209</v>
      </c>
      <c r="E765" t="s">
        <v>209</v>
      </c>
      <c r="F765" s="4">
        <v>1048856</v>
      </c>
      <c r="G765" s="4">
        <v>13343</v>
      </c>
      <c r="H765">
        <f>IFERROR(VLOOKUP(E765,'GASB Match'!$A$2:$B$240,2,FALSE),"")</f>
        <v>1301050</v>
      </c>
    </row>
    <row r="766" spans="1:8" x14ac:dyDescent="0.2">
      <c r="A766">
        <v>1301050</v>
      </c>
      <c r="B766" s="3">
        <v>2020</v>
      </c>
      <c r="C766" t="s">
        <v>208</v>
      </c>
      <c r="D766" t="s">
        <v>209</v>
      </c>
      <c r="E766" t="s">
        <v>209</v>
      </c>
      <c r="F766" s="4">
        <v>1112476</v>
      </c>
      <c r="G766" s="4">
        <v>15911</v>
      </c>
      <c r="H766">
        <f>IFERROR(VLOOKUP(E766,'GASB Match'!$A$2:$B$240,2,FALSE),"")</f>
        <v>1301050</v>
      </c>
    </row>
    <row r="767" spans="1:8" x14ac:dyDescent="0.2">
      <c r="A767">
        <v>1301050</v>
      </c>
      <c r="B767" s="3">
        <v>2021</v>
      </c>
      <c r="C767" t="s">
        <v>208</v>
      </c>
      <c r="D767" t="s">
        <v>209</v>
      </c>
      <c r="E767" t="s">
        <v>209</v>
      </c>
      <c r="F767" s="4">
        <v>965176</v>
      </c>
      <c r="G767" s="4">
        <v>13178</v>
      </c>
      <c r="H767">
        <f>IFERROR(VLOOKUP(E767,'GASB Match'!$A$2:$B$240,2,FALSE),"")</f>
        <v>1301050</v>
      </c>
    </row>
    <row r="768" spans="1:8" x14ac:dyDescent="0.2">
      <c r="A768">
        <v>1301050</v>
      </c>
      <c r="B768" s="3">
        <v>2022</v>
      </c>
      <c r="C768" t="s">
        <v>208</v>
      </c>
      <c r="D768" t="s">
        <v>209</v>
      </c>
      <c r="E768" t="s">
        <v>209</v>
      </c>
      <c r="F768" s="4">
        <v>1039808</v>
      </c>
      <c r="G768" s="4">
        <v>8784</v>
      </c>
      <c r="H768">
        <f>IFERROR(VLOOKUP(E768,'GASB Match'!$A$2:$B$240,2,FALSE),"")</f>
        <v>1301050</v>
      </c>
    </row>
    <row r="769" spans="1:8" x14ac:dyDescent="0.2">
      <c r="A769">
        <v>1301050</v>
      </c>
      <c r="B769" s="3">
        <v>2023</v>
      </c>
      <c r="C769" t="s">
        <v>208</v>
      </c>
      <c r="D769" t="s">
        <v>209</v>
      </c>
      <c r="E769" t="s">
        <v>209</v>
      </c>
      <c r="F769" s="4">
        <v>1153685</v>
      </c>
      <c r="G769" s="4">
        <v>7938</v>
      </c>
      <c r="H769">
        <f>IFERROR(VLOOKUP(E769,'GASB Match'!$A$2:$B$240,2,FALSE),"")</f>
        <v>1301050</v>
      </c>
    </row>
    <row r="770" spans="1:8" x14ac:dyDescent="0.2">
      <c r="A770">
        <v>1301080</v>
      </c>
      <c r="B770" s="3">
        <v>2015</v>
      </c>
      <c r="C770" t="s">
        <v>210</v>
      </c>
      <c r="D770" t="s">
        <v>211</v>
      </c>
      <c r="E770" t="s">
        <v>211</v>
      </c>
      <c r="F770" s="4">
        <v>1583519.52</v>
      </c>
      <c r="G770" s="4">
        <v>8756.4</v>
      </c>
      <c r="H770">
        <f>IFERROR(VLOOKUP(E770,'GASB Match'!$A$2:$B$240,2,FALSE),"")</f>
        <v>1301080</v>
      </c>
    </row>
    <row r="771" spans="1:8" x14ac:dyDescent="0.2">
      <c r="A771">
        <v>1301080</v>
      </c>
      <c r="B771" s="3">
        <v>2016</v>
      </c>
      <c r="C771" t="s">
        <v>210</v>
      </c>
      <c r="D771" t="s">
        <v>211</v>
      </c>
      <c r="E771" t="s">
        <v>211</v>
      </c>
      <c r="F771" s="4">
        <v>1752899.47</v>
      </c>
      <c r="G771" s="4">
        <v>9744.6399999999903</v>
      </c>
      <c r="H771">
        <f>IFERROR(VLOOKUP(E771,'GASB Match'!$A$2:$B$240,2,FALSE),"")</f>
        <v>1301080</v>
      </c>
    </row>
    <row r="772" spans="1:8" x14ac:dyDescent="0.2">
      <c r="A772">
        <v>1301080</v>
      </c>
      <c r="B772" s="3">
        <v>2017</v>
      </c>
      <c r="C772" t="s">
        <v>210</v>
      </c>
      <c r="D772" t="s">
        <v>211</v>
      </c>
      <c r="E772" t="s">
        <v>211</v>
      </c>
      <c r="F772" s="4">
        <v>1950323</v>
      </c>
      <c r="G772" s="4">
        <v>15812</v>
      </c>
      <c r="H772">
        <f>IFERROR(VLOOKUP(E772,'GASB Match'!$A$2:$B$240,2,FALSE),"")</f>
        <v>1301080</v>
      </c>
    </row>
    <row r="773" spans="1:8" x14ac:dyDescent="0.2">
      <c r="A773">
        <v>1301080</v>
      </c>
      <c r="B773" s="3">
        <v>2018</v>
      </c>
      <c r="C773" t="s">
        <v>210</v>
      </c>
      <c r="D773" t="s">
        <v>211</v>
      </c>
      <c r="E773" t="s">
        <v>211</v>
      </c>
      <c r="F773" s="4">
        <v>2342126</v>
      </c>
      <c r="G773" s="4">
        <v>22397</v>
      </c>
      <c r="H773">
        <f>IFERROR(VLOOKUP(E773,'GASB Match'!$A$2:$B$240,2,FALSE),"")</f>
        <v>1301080</v>
      </c>
    </row>
    <row r="774" spans="1:8" x14ac:dyDescent="0.2">
      <c r="A774">
        <v>1301080</v>
      </c>
      <c r="B774" s="3">
        <v>2019</v>
      </c>
      <c r="C774" t="s">
        <v>210</v>
      </c>
      <c r="D774" t="s">
        <v>211</v>
      </c>
      <c r="E774" t="s">
        <v>211</v>
      </c>
      <c r="F774" s="4">
        <v>2961717</v>
      </c>
      <c r="G774" s="4">
        <v>28521</v>
      </c>
      <c r="H774">
        <f>IFERROR(VLOOKUP(E774,'GASB Match'!$A$2:$B$240,2,FALSE),"")</f>
        <v>1301080</v>
      </c>
    </row>
    <row r="775" spans="1:8" x14ac:dyDescent="0.2">
      <c r="A775">
        <v>1301080</v>
      </c>
      <c r="B775" s="3">
        <v>2020</v>
      </c>
      <c r="C775" t="s">
        <v>210</v>
      </c>
      <c r="D775" t="s">
        <v>211</v>
      </c>
      <c r="E775" t="s">
        <v>211</v>
      </c>
      <c r="F775" s="4">
        <v>3090195</v>
      </c>
      <c r="G775" s="4">
        <v>30411</v>
      </c>
      <c r="H775">
        <f>IFERROR(VLOOKUP(E775,'GASB Match'!$A$2:$B$240,2,FALSE),"")</f>
        <v>1301080</v>
      </c>
    </row>
    <row r="776" spans="1:8" x14ac:dyDescent="0.2">
      <c r="A776">
        <v>1301080</v>
      </c>
      <c r="B776" s="3">
        <v>2021</v>
      </c>
      <c r="C776" t="s">
        <v>210</v>
      </c>
      <c r="D776" t="s">
        <v>211</v>
      </c>
      <c r="E776" t="s">
        <v>211</v>
      </c>
      <c r="F776" s="4">
        <v>2774909</v>
      </c>
      <c r="G776" s="4">
        <v>28317</v>
      </c>
      <c r="H776">
        <f>IFERROR(VLOOKUP(E776,'GASB Match'!$A$2:$B$240,2,FALSE),"")</f>
        <v>1301080</v>
      </c>
    </row>
    <row r="777" spans="1:8" x14ac:dyDescent="0.2">
      <c r="A777">
        <v>1301080</v>
      </c>
      <c r="B777" s="3">
        <v>2022</v>
      </c>
      <c r="C777" t="s">
        <v>210</v>
      </c>
      <c r="D777" t="s">
        <v>211</v>
      </c>
      <c r="E777" t="s">
        <v>211</v>
      </c>
      <c r="F777" s="4">
        <v>2996986</v>
      </c>
      <c r="G777" s="4">
        <v>28141</v>
      </c>
      <c r="H777">
        <f>IFERROR(VLOOKUP(E777,'GASB Match'!$A$2:$B$240,2,FALSE),"")</f>
        <v>1301080</v>
      </c>
    </row>
    <row r="778" spans="1:8" x14ac:dyDescent="0.2">
      <c r="A778">
        <v>1301080</v>
      </c>
      <c r="B778" s="3">
        <v>2023</v>
      </c>
      <c r="C778" t="s">
        <v>210</v>
      </c>
      <c r="D778" t="s">
        <v>211</v>
      </c>
      <c r="E778" t="s">
        <v>211</v>
      </c>
      <c r="F778" s="4">
        <v>3182101</v>
      </c>
      <c r="G778" s="4">
        <v>26164</v>
      </c>
      <c r="H778">
        <f>IFERROR(VLOOKUP(E778,'GASB Match'!$A$2:$B$240,2,FALSE),"")</f>
        <v>1301080</v>
      </c>
    </row>
    <row r="779" spans="1:8" x14ac:dyDescent="0.2">
      <c r="A779" t="s">
        <v>7</v>
      </c>
      <c r="B779" s="3">
        <v>2015</v>
      </c>
      <c r="C779" t="s">
        <v>212</v>
      </c>
      <c r="D779" t="s">
        <v>213</v>
      </c>
      <c r="E779" t="s">
        <v>213</v>
      </c>
      <c r="F779" s="4">
        <v>21081.54</v>
      </c>
      <c r="G779" s="4" t="s">
        <v>7</v>
      </c>
      <c r="H779" t="str">
        <f>IFERROR(VLOOKUP(E779,'GASB Match'!$A$2:$B$240,2,FALSE),"")</f>
        <v/>
      </c>
    </row>
    <row r="780" spans="1:8" x14ac:dyDescent="0.2">
      <c r="A780" t="s">
        <v>7</v>
      </c>
      <c r="B780" s="3">
        <v>2016</v>
      </c>
      <c r="C780" t="s">
        <v>212</v>
      </c>
      <c r="D780" t="s">
        <v>213</v>
      </c>
      <c r="E780" t="s">
        <v>213</v>
      </c>
      <c r="F780" s="4">
        <v>22170.560000000001</v>
      </c>
      <c r="G780" s="4" t="s">
        <v>7</v>
      </c>
      <c r="H780" t="str">
        <f>IFERROR(VLOOKUP(E780,'GASB Match'!$A$2:$B$240,2,FALSE),"")</f>
        <v/>
      </c>
    </row>
    <row r="781" spans="1:8" x14ac:dyDescent="0.2">
      <c r="A781" t="s">
        <v>7</v>
      </c>
      <c r="B781" s="3">
        <v>2017</v>
      </c>
      <c r="C781" t="s">
        <v>212</v>
      </c>
      <c r="D781" t="s">
        <v>213</v>
      </c>
      <c r="E781" t="s">
        <v>213</v>
      </c>
      <c r="F781" s="4">
        <v>22604</v>
      </c>
      <c r="G781" s="4" t="s">
        <v>7</v>
      </c>
      <c r="H781" t="str">
        <f>IFERROR(VLOOKUP(E781,'GASB Match'!$A$2:$B$240,2,FALSE),"")</f>
        <v/>
      </c>
    </row>
    <row r="782" spans="1:8" x14ac:dyDescent="0.2">
      <c r="A782" t="s">
        <v>7</v>
      </c>
      <c r="B782" s="3">
        <v>2018</v>
      </c>
      <c r="C782" t="s">
        <v>212</v>
      </c>
      <c r="D782" t="s">
        <v>213</v>
      </c>
      <c r="E782" t="s">
        <v>213</v>
      </c>
      <c r="F782" s="4">
        <v>23891</v>
      </c>
      <c r="G782" s="4" t="s">
        <v>7</v>
      </c>
      <c r="H782" t="str">
        <f>IFERROR(VLOOKUP(E782,'GASB Match'!$A$2:$B$240,2,FALSE),"")</f>
        <v/>
      </c>
    </row>
    <row r="783" spans="1:8" x14ac:dyDescent="0.2">
      <c r="A783" t="s">
        <v>7</v>
      </c>
      <c r="B783" s="3">
        <v>2019</v>
      </c>
      <c r="C783" t="s">
        <v>212</v>
      </c>
      <c r="D783" t="s">
        <v>213</v>
      </c>
      <c r="E783" t="s">
        <v>213</v>
      </c>
      <c r="F783" s="4">
        <v>29626</v>
      </c>
      <c r="G783" s="4" t="s">
        <v>7</v>
      </c>
      <c r="H783" t="str">
        <f>IFERROR(VLOOKUP(E783,'GASB Match'!$A$2:$B$240,2,FALSE),"")</f>
        <v/>
      </c>
    </row>
    <row r="784" spans="1:8" x14ac:dyDescent="0.2">
      <c r="A784" t="s">
        <v>7</v>
      </c>
      <c r="B784" s="3">
        <v>2020</v>
      </c>
      <c r="C784" t="s">
        <v>212</v>
      </c>
      <c r="D784" t="s">
        <v>213</v>
      </c>
      <c r="E784" t="s">
        <v>213</v>
      </c>
      <c r="F784" s="4">
        <v>32832</v>
      </c>
      <c r="G784" s="4" t="s">
        <v>7</v>
      </c>
      <c r="H784" t="str">
        <f>IFERROR(VLOOKUP(E784,'GASB Match'!$A$2:$B$240,2,FALSE),"")</f>
        <v/>
      </c>
    </row>
    <row r="785" spans="1:8" x14ac:dyDescent="0.2">
      <c r="A785">
        <v>1301110</v>
      </c>
      <c r="B785" s="3">
        <v>2015</v>
      </c>
      <c r="C785" t="s">
        <v>214</v>
      </c>
      <c r="D785" t="s">
        <v>215</v>
      </c>
      <c r="E785" t="s">
        <v>215</v>
      </c>
      <c r="F785" s="4">
        <v>26590342.359999999</v>
      </c>
      <c r="G785" s="4">
        <v>123792.33</v>
      </c>
      <c r="H785">
        <f>IFERROR(VLOOKUP(E785,'GASB Match'!$A$2:$B$240,2,FALSE),"")</f>
        <v>1301110</v>
      </c>
    </row>
    <row r="786" spans="1:8" x14ac:dyDescent="0.2">
      <c r="A786">
        <v>1301110</v>
      </c>
      <c r="B786" s="3">
        <v>2016</v>
      </c>
      <c r="C786" t="s">
        <v>214</v>
      </c>
      <c r="D786" t="s">
        <v>215</v>
      </c>
      <c r="E786" t="s">
        <v>215</v>
      </c>
      <c r="F786" s="4">
        <v>30146953.18</v>
      </c>
      <c r="G786" s="4">
        <v>131712.04</v>
      </c>
      <c r="H786">
        <f>IFERROR(VLOOKUP(E786,'GASB Match'!$A$2:$B$240,2,FALSE),"")</f>
        <v>1301110</v>
      </c>
    </row>
    <row r="787" spans="1:8" x14ac:dyDescent="0.2">
      <c r="A787">
        <v>1301110</v>
      </c>
      <c r="B787" s="3">
        <v>2017</v>
      </c>
      <c r="C787" t="s">
        <v>214</v>
      </c>
      <c r="D787" t="s">
        <v>215</v>
      </c>
      <c r="E787" t="s">
        <v>215</v>
      </c>
      <c r="F787" s="4">
        <v>31441169</v>
      </c>
      <c r="G787" s="4">
        <v>126017</v>
      </c>
      <c r="H787">
        <f>IFERROR(VLOOKUP(E787,'GASB Match'!$A$2:$B$240,2,FALSE),"")</f>
        <v>1301110</v>
      </c>
    </row>
    <row r="788" spans="1:8" x14ac:dyDescent="0.2">
      <c r="A788">
        <v>1301110</v>
      </c>
      <c r="B788" s="3">
        <v>2018</v>
      </c>
      <c r="C788" t="s">
        <v>214</v>
      </c>
      <c r="D788" t="s">
        <v>215</v>
      </c>
      <c r="E788" t="s">
        <v>215</v>
      </c>
      <c r="F788" s="4">
        <v>38801216</v>
      </c>
      <c r="G788" s="4">
        <v>128014</v>
      </c>
      <c r="H788">
        <f>IFERROR(VLOOKUP(E788,'GASB Match'!$A$2:$B$240,2,FALSE),"")</f>
        <v>1301110</v>
      </c>
    </row>
    <row r="789" spans="1:8" x14ac:dyDescent="0.2">
      <c r="A789">
        <v>1301110</v>
      </c>
      <c r="B789" s="3">
        <v>2019</v>
      </c>
      <c r="C789" t="s">
        <v>214</v>
      </c>
      <c r="D789" t="s">
        <v>215</v>
      </c>
      <c r="E789" t="s">
        <v>215</v>
      </c>
      <c r="F789" s="4">
        <v>49750957</v>
      </c>
      <c r="G789" s="4">
        <v>160765</v>
      </c>
      <c r="H789">
        <f>IFERROR(VLOOKUP(E789,'GASB Match'!$A$2:$B$240,2,FALSE),"")</f>
        <v>1301110</v>
      </c>
    </row>
    <row r="790" spans="1:8" x14ac:dyDescent="0.2">
      <c r="A790">
        <v>1301110</v>
      </c>
      <c r="B790" s="3">
        <v>2020</v>
      </c>
      <c r="C790" t="s">
        <v>214</v>
      </c>
      <c r="D790" t="s">
        <v>215</v>
      </c>
      <c r="E790" t="s">
        <v>215</v>
      </c>
      <c r="F790" s="4">
        <v>53413138</v>
      </c>
      <c r="G790" s="4">
        <v>164563</v>
      </c>
      <c r="H790">
        <f>IFERROR(VLOOKUP(E790,'GASB Match'!$A$2:$B$240,2,FALSE),"")</f>
        <v>1301110</v>
      </c>
    </row>
    <row r="791" spans="1:8" x14ac:dyDescent="0.2">
      <c r="A791">
        <v>1301110</v>
      </c>
      <c r="B791" s="3">
        <v>2021</v>
      </c>
      <c r="C791" t="s">
        <v>214</v>
      </c>
      <c r="D791" t="s">
        <v>215</v>
      </c>
      <c r="E791" t="s">
        <v>215</v>
      </c>
      <c r="F791" s="4">
        <v>48490215</v>
      </c>
      <c r="G791" s="4">
        <v>149053</v>
      </c>
      <c r="H791">
        <f>IFERROR(VLOOKUP(E791,'GASB Match'!$A$2:$B$240,2,FALSE),"")</f>
        <v>1301110</v>
      </c>
    </row>
    <row r="792" spans="1:8" x14ac:dyDescent="0.2">
      <c r="A792">
        <v>1301110</v>
      </c>
      <c r="B792" s="3">
        <v>2022</v>
      </c>
      <c r="C792" t="s">
        <v>214</v>
      </c>
      <c r="D792" t="s">
        <v>215</v>
      </c>
      <c r="E792" t="s">
        <v>215</v>
      </c>
      <c r="F792" s="4">
        <v>52967611</v>
      </c>
      <c r="G792" s="4">
        <v>150386</v>
      </c>
      <c r="H792">
        <f>IFERROR(VLOOKUP(E792,'GASB Match'!$A$2:$B$240,2,FALSE),"")</f>
        <v>1301110</v>
      </c>
    </row>
    <row r="793" spans="1:8" x14ac:dyDescent="0.2">
      <c r="A793">
        <v>1301110</v>
      </c>
      <c r="B793" s="3">
        <v>2023</v>
      </c>
      <c r="C793" t="s">
        <v>214</v>
      </c>
      <c r="D793" t="s">
        <v>215</v>
      </c>
      <c r="E793" t="s">
        <v>215</v>
      </c>
      <c r="F793" s="4">
        <v>57528269</v>
      </c>
      <c r="G793" s="4">
        <v>117366</v>
      </c>
      <c r="H793">
        <f>IFERROR(VLOOKUP(E793,'GASB Match'!$A$2:$B$240,2,FALSE),"")</f>
        <v>1301110</v>
      </c>
    </row>
    <row r="794" spans="1:8" x14ac:dyDescent="0.2">
      <c r="A794" t="s">
        <v>7</v>
      </c>
      <c r="B794" s="3">
        <v>2015</v>
      </c>
      <c r="C794" t="s">
        <v>216</v>
      </c>
      <c r="D794" t="s">
        <v>218</v>
      </c>
      <c r="E794" t="s">
        <v>217</v>
      </c>
      <c r="F794" s="4">
        <v>211030.17</v>
      </c>
      <c r="G794" s="4" t="s">
        <v>7</v>
      </c>
      <c r="H794" t="str">
        <f>IFERROR(VLOOKUP(E794,'GASB Match'!$A$2:$B$240,2,FALSE),"")</f>
        <v/>
      </c>
    </row>
    <row r="795" spans="1:8" x14ac:dyDescent="0.2">
      <c r="A795" t="s">
        <v>7</v>
      </c>
      <c r="B795" s="3">
        <v>2016</v>
      </c>
      <c r="C795" t="s">
        <v>216</v>
      </c>
      <c r="D795" t="s">
        <v>218</v>
      </c>
      <c r="E795" t="s">
        <v>217</v>
      </c>
      <c r="F795" s="4">
        <v>242702.45</v>
      </c>
      <c r="G795" s="4" t="s">
        <v>7</v>
      </c>
      <c r="H795" t="str">
        <f>IFERROR(VLOOKUP(E795,'GASB Match'!$A$2:$B$240,2,FALSE),"")</f>
        <v/>
      </c>
    </row>
    <row r="796" spans="1:8" x14ac:dyDescent="0.2">
      <c r="A796" t="s">
        <v>7</v>
      </c>
      <c r="B796" s="3">
        <v>2017</v>
      </c>
      <c r="C796" t="s">
        <v>216</v>
      </c>
      <c r="D796" t="s">
        <v>218</v>
      </c>
      <c r="E796" t="s">
        <v>217</v>
      </c>
      <c r="F796" s="4">
        <v>259513</v>
      </c>
      <c r="G796" s="4" t="s">
        <v>7</v>
      </c>
      <c r="H796" t="str">
        <f>IFERROR(VLOOKUP(E796,'GASB Match'!$A$2:$B$240,2,FALSE),"")</f>
        <v/>
      </c>
    </row>
    <row r="797" spans="1:8" x14ac:dyDescent="0.2">
      <c r="A797" t="s">
        <v>7</v>
      </c>
      <c r="B797" s="3">
        <v>2018</v>
      </c>
      <c r="C797" t="s">
        <v>216</v>
      </c>
      <c r="D797" t="s">
        <v>218</v>
      </c>
      <c r="E797" t="s">
        <v>217</v>
      </c>
      <c r="F797" s="4">
        <v>312161</v>
      </c>
      <c r="G797" s="4" t="s">
        <v>7</v>
      </c>
      <c r="H797" t="str">
        <f>IFERROR(VLOOKUP(E797,'GASB Match'!$A$2:$B$240,2,FALSE),"")</f>
        <v/>
      </c>
    </row>
    <row r="798" spans="1:8" x14ac:dyDescent="0.2">
      <c r="A798" t="s">
        <v>7</v>
      </c>
      <c r="B798" s="3">
        <v>2019</v>
      </c>
      <c r="C798" t="s">
        <v>216</v>
      </c>
      <c r="D798" t="s">
        <v>218</v>
      </c>
      <c r="E798" t="s">
        <v>217</v>
      </c>
      <c r="F798" s="4">
        <v>396334</v>
      </c>
      <c r="G798" s="4" t="s">
        <v>7</v>
      </c>
      <c r="H798" t="str">
        <f>IFERROR(VLOOKUP(E798,'GASB Match'!$A$2:$B$240,2,FALSE),"")</f>
        <v/>
      </c>
    </row>
    <row r="799" spans="1:8" x14ac:dyDescent="0.2">
      <c r="A799" t="s">
        <v>7</v>
      </c>
      <c r="B799" s="3">
        <v>2020</v>
      </c>
      <c r="C799" t="s">
        <v>216</v>
      </c>
      <c r="D799" t="s">
        <v>218</v>
      </c>
      <c r="E799" t="s">
        <v>217</v>
      </c>
      <c r="F799" s="4">
        <v>405768</v>
      </c>
      <c r="G799" s="4" t="s">
        <v>7</v>
      </c>
      <c r="H799" t="str">
        <f>IFERROR(VLOOKUP(E799,'GASB Match'!$A$2:$B$240,2,FALSE),"")</f>
        <v/>
      </c>
    </row>
    <row r="800" spans="1:8" x14ac:dyDescent="0.2">
      <c r="A800" t="s">
        <v>7</v>
      </c>
      <c r="B800" s="3">
        <v>2021</v>
      </c>
      <c r="C800" t="s">
        <v>216</v>
      </c>
      <c r="D800" t="s">
        <v>217</v>
      </c>
      <c r="E800" t="s">
        <v>217</v>
      </c>
      <c r="F800" s="4">
        <v>374241</v>
      </c>
      <c r="G800" s="4" t="s">
        <v>7</v>
      </c>
      <c r="H800" t="str">
        <f>IFERROR(VLOOKUP(E800,'GASB Match'!$A$2:$B$240,2,FALSE),"")</f>
        <v/>
      </c>
    </row>
    <row r="801" spans="1:8" x14ac:dyDescent="0.2">
      <c r="A801" t="s">
        <v>7</v>
      </c>
      <c r="B801" s="3">
        <v>2022</v>
      </c>
      <c r="C801" t="s">
        <v>216</v>
      </c>
      <c r="D801" t="s">
        <v>217</v>
      </c>
      <c r="E801" t="s">
        <v>217</v>
      </c>
      <c r="F801" s="4">
        <v>405734</v>
      </c>
      <c r="G801" s="4" t="s">
        <v>7</v>
      </c>
      <c r="H801" t="str">
        <f>IFERROR(VLOOKUP(E801,'GASB Match'!$A$2:$B$240,2,FALSE),"")</f>
        <v/>
      </c>
    </row>
    <row r="802" spans="1:8" x14ac:dyDescent="0.2">
      <c r="A802" t="s">
        <v>7</v>
      </c>
      <c r="B802" s="3">
        <v>2023</v>
      </c>
      <c r="C802" t="s">
        <v>216</v>
      </c>
      <c r="D802" t="s">
        <v>217</v>
      </c>
      <c r="E802" t="s">
        <v>217</v>
      </c>
      <c r="F802" s="4">
        <v>446458</v>
      </c>
      <c r="G802" s="4" t="s">
        <v>7</v>
      </c>
      <c r="H802" t="str">
        <f>IFERROR(VLOOKUP(E802,'GASB Match'!$A$2:$B$240,2,FALSE),"")</f>
        <v/>
      </c>
    </row>
    <row r="803" spans="1:8" x14ac:dyDescent="0.2">
      <c r="A803">
        <v>1301170</v>
      </c>
      <c r="B803" s="3">
        <v>2015</v>
      </c>
      <c r="C803" t="s">
        <v>219</v>
      </c>
      <c r="D803" t="s">
        <v>220</v>
      </c>
      <c r="E803" t="s">
        <v>220</v>
      </c>
      <c r="F803" s="4">
        <v>9853586.7400000002</v>
      </c>
      <c r="G803" s="4">
        <v>202926.92</v>
      </c>
      <c r="H803">
        <f>IFERROR(VLOOKUP(E803,'GASB Match'!$A$2:$B$240,2,FALSE),"")</f>
        <v>1301170</v>
      </c>
    </row>
    <row r="804" spans="1:8" x14ac:dyDescent="0.2">
      <c r="A804">
        <v>1301170</v>
      </c>
      <c r="B804" s="3">
        <v>2016</v>
      </c>
      <c r="C804" t="s">
        <v>219</v>
      </c>
      <c r="D804" t="s">
        <v>220</v>
      </c>
      <c r="E804" t="s">
        <v>220</v>
      </c>
      <c r="F804" s="4">
        <v>11084738.699999999</v>
      </c>
      <c r="G804" s="4">
        <v>223027.68</v>
      </c>
      <c r="H804">
        <f>IFERROR(VLOOKUP(E804,'GASB Match'!$A$2:$B$240,2,FALSE),"")</f>
        <v>1301170</v>
      </c>
    </row>
    <row r="805" spans="1:8" x14ac:dyDescent="0.2">
      <c r="A805">
        <v>1301170</v>
      </c>
      <c r="B805" s="3">
        <v>2017</v>
      </c>
      <c r="C805" t="s">
        <v>219</v>
      </c>
      <c r="D805" t="s">
        <v>220</v>
      </c>
      <c r="E805" t="s">
        <v>220</v>
      </c>
      <c r="F805" s="4">
        <v>11861278</v>
      </c>
      <c r="G805" s="4">
        <v>103077</v>
      </c>
      <c r="H805">
        <f>IFERROR(VLOOKUP(E805,'GASB Match'!$A$2:$B$240,2,FALSE),"")</f>
        <v>1301170</v>
      </c>
    </row>
    <row r="806" spans="1:8" x14ac:dyDescent="0.2">
      <c r="A806">
        <v>1301170</v>
      </c>
      <c r="B806" s="3">
        <v>2018</v>
      </c>
      <c r="C806" t="s">
        <v>219</v>
      </c>
      <c r="D806" t="s">
        <v>220</v>
      </c>
      <c r="E806" t="s">
        <v>220</v>
      </c>
      <c r="F806" s="4">
        <v>14620713</v>
      </c>
      <c r="G806" s="4">
        <v>38628</v>
      </c>
      <c r="H806">
        <f>IFERROR(VLOOKUP(E806,'GASB Match'!$A$2:$B$240,2,FALSE),"")</f>
        <v>1301170</v>
      </c>
    </row>
    <row r="807" spans="1:8" x14ac:dyDescent="0.2">
      <c r="A807">
        <v>1301170</v>
      </c>
      <c r="B807" s="3">
        <v>2019</v>
      </c>
      <c r="C807" t="s">
        <v>219</v>
      </c>
      <c r="D807" t="s">
        <v>221</v>
      </c>
      <c r="E807" t="s">
        <v>220</v>
      </c>
      <c r="F807" s="4">
        <v>18471234</v>
      </c>
      <c r="G807" s="4">
        <v>53673</v>
      </c>
      <c r="H807">
        <f>IFERROR(VLOOKUP(E807,'GASB Match'!$A$2:$B$240,2,FALSE),"")</f>
        <v>1301170</v>
      </c>
    </row>
    <row r="808" spans="1:8" x14ac:dyDescent="0.2">
      <c r="A808">
        <v>1301170</v>
      </c>
      <c r="B808" s="3">
        <v>2020</v>
      </c>
      <c r="C808" t="s">
        <v>219</v>
      </c>
      <c r="D808" t="s">
        <v>220</v>
      </c>
      <c r="E808" t="s">
        <v>220</v>
      </c>
      <c r="F808" s="4">
        <v>20333911</v>
      </c>
      <c r="G808" s="4">
        <v>53531</v>
      </c>
      <c r="H808">
        <f>IFERROR(VLOOKUP(E808,'GASB Match'!$A$2:$B$240,2,FALSE),"")</f>
        <v>1301170</v>
      </c>
    </row>
    <row r="809" spans="1:8" x14ac:dyDescent="0.2">
      <c r="A809">
        <v>1301170</v>
      </c>
      <c r="B809" s="3">
        <v>2021</v>
      </c>
      <c r="C809" t="s">
        <v>219</v>
      </c>
      <c r="D809" t="s">
        <v>220</v>
      </c>
      <c r="E809" t="s">
        <v>220</v>
      </c>
      <c r="F809" s="4">
        <v>18962460</v>
      </c>
      <c r="G809" s="4">
        <v>48768</v>
      </c>
      <c r="H809">
        <f>IFERROR(VLOOKUP(E809,'GASB Match'!$A$2:$B$240,2,FALSE),"")</f>
        <v>1301170</v>
      </c>
    </row>
    <row r="810" spans="1:8" x14ac:dyDescent="0.2">
      <c r="A810">
        <v>1301170</v>
      </c>
      <c r="B810" s="3">
        <v>2022</v>
      </c>
      <c r="C810" t="s">
        <v>219</v>
      </c>
      <c r="D810" t="s">
        <v>220</v>
      </c>
      <c r="E810" t="s">
        <v>220</v>
      </c>
      <c r="F810" s="4">
        <v>22125868</v>
      </c>
      <c r="G810" s="4">
        <v>54867</v>
      </c>
      <c r="H810">
        <f>IFERROR(VLOOKUP(E810,'GASB Match'!$A$2:$B$240,2,FALSE),"")</f>
        <v>1301170</v>
      </c>
    </row>
    <row r="811" spans="1:8" x14ac:dyDescent="0.2">
      <c r="A811">
        <v>1301170</v>
      </c>
      <c r="B811" s="3">
        <v>2023</v>
      </c>
      <c r="C811" t="s">
        <v>219</v>
      </c>
      <c r="D811" t="s">
        <v>220</v>
      </c>
      <c r="E811" t="s">
        <v>220</v>
      </c>
      <c r="F811" s="4">
        <v>22688301</v>
      </c>
      <c r="G811" s="4">
        <v>48898</v>
      </c>
      <c r="H811">
        <f>IFERROR(VLOOKUP(E811,'GASB Match'!$A$2:$B$240,2,FALSE),"")</f>
        <v>1301170</v>
      </c>
    </row>
    <row r="812" spans="1:8" x14ac:dyDescent="0.2">
      <c r="A812" t="s">
        <v>7</v>
      </c>
      <c r="B812" s="3">
        <v>2015</v>
      </c>
      <c r="C812" t="s">
        <v>222</v>
      </c>
      <c r="D812" t="s">
        <v>223</v>
      </c>
      <c r="E812" t="s">
        <v>223</v>
      </c>
      <c r="F812" s="4">
        <v>206387.25</v>
      </c>
      <c r="G812" s="4" t="s">
        <v>7</v>
      </c>
      <c r="H812" t="str">
        <f>IFERROR(VLOOKUP(E812,'GASB Match'!$A$2:$B$240,2,FALSE),"")</f>
        <v/>
      </c>
    </row>
    <row r="813" spans="1:8" x14ac:dyDescent="0.2">
      <c r="A813" t="s">
        <v>7</v>
      </c>
      <c r="B813" s="3">
        <v>2016</v>
      </c>
      <c r="C813" t="s">
        <v>222</v>
      </c>
      <c r="D813" t="s">
        <v>223</v>
      </c>
      <c r="E813" t="s">
        <v>223</v>
      </c>
      <c r="F813" s="4">
        <v>239505.58</v>
      </c>
      <c r="G813" s="4" t="s">
        <v>7</v>
      </c>
      <c r="H813" t="str">
        <f>IFERROR(VLOOKUP(E813,'GASB Match'!$A$2:$B$240,2,FALSE),"")</f>
        <v/>
      </c>
    </row>
    <row r="814" spans="1:8" x14ac:dyDescent="0.2">
      <c r="A814" t="s">
        <v>7</v>
      </c>
      <c r="B814" s="3">
        <v>2017</v>
      </c>
      <c r="C814" t="s">
        <v>222</v>
      </c>
      <c r="D814" t="s">
        <v>223</v>
      </c>
      <c r="E814" t="s">
        <v>223</v>
      </c>
      <c r="F814" s="4">
        <v>248210</v>
      </c>
      <c r="G814" s="4" t="s">
        <v>7</v>
      </c>
      <c r="H814" t="str">
        <f>IFERROR(VLOOKUP(E814,'GASB Match'!$A$2:$B$240,2,FALSE),"")</f>
        <v/>
      </c>
    </row>
    <row r="815" spans="1:8" x14ac:dyDescent="0.2">
      <c r="A815" t="s">
        <v>7</v>
      </c>
      <c r="B815" s="3">
        <v>2018</v>
      </c>
      <c r="C815" t="s">
        <v>222</v>
      </c>
      <c r="D815" t="s">
        <v>223</v>
      </c>
      <c r="E815" t="s">
        <v>223</v>
      </c>
      <c r="F815" s="4">
        <v>295620</v>
      </c>
      <c r="G815" s="4" t="s">
        <v>7</v>
      </c>
      <c r="H815" t="str">
        <f>IFERROR(VLOOKUP(E815,'GASB Match'!$A$2:$B$240,2,FALSE),"")</f>
        <v/>
      </c>
    </row>
    <row r="816" spans="1:8" x14ac:dyDescent="0.2">
      <c r="A816" t="s">
        <v>7</v>
      </c>
      <c r="B816" s="3">
        <v>2019</v>
      </c>
      <c r="C816" t="s">
        <v>222</v>
      </c>
      <c r="D816" t="s">
        <v>223</v>
      </c>
      <c r="E816" t="s">
        <v>223</v>
      </c>
      <c r="F816" s="4">
        <v>365303</v>
      </c>
      <c r="G816" s="4" t="s">
        <v>7</v>
      </c>
      <c r="H816" t="str">
        <f>IFERROR(VLOOKUP(E816,'GASB Match'!$A$2:$B$240,2,FALSE),"")</f>
        <v/>
      </c>
    </row>
    <row r="817" spans="1:8" x14ac:dyDescent="0.2">
      <c r="A817" t="s">
        <v>7</v>
      </c>
      <c r="B817" s="3">
        <v>2020</v>
      </c>
      <c r="C817" t="s">
        <v>222</v>
      </c>
      <c r="D817" t="s">
        <v>223</v>
      </c>
      <c r="E817" t="s">
        <v>223</v>
      </c>
      <c r="F817" s="4">
        <v>368920</v>
      </c>
      <c r="G817" s="4" t="s">
        <v>7</v>
      </c>
      <c r="H817" t="str">
        <f>IFERROR(VLOOKUP(E817,'GASB Match'!$A$2:$B$240,2,FALSE),"")</f>
        <v/>
      </c>
    </row>
    <row r="818" spans="1:8" x14ac:dyDescent="0.2">
      <c r="A818" t="s">
        <v>7</v>
      </c>
      <c r="B818" s="3">
        <v>2021</v>
      </c>
      <c r="C818" t="s">
        <v>222</v>
      </c>
      <c r="D818" t="s">
        <v>223</v>
      </c>
      <c r="E818" t="s">
        <v>223</v>
      </c>
      <c r="F818" s="4">
        <v>340595</v>
      </c>
      <c r="G818" s="4" t="s">
        <v>7</v>
      </c>
      <c r="H818" t="str">
        <f>IFERROR(VLOOKUP(E818,'GASB Match'!$A$2:$B$240,2,FALSE),"")</f>
        <v/>
      </c>
    </row>
    <row r="819" spans="1:8" x14ac:dyDescent="0.2">
      <c r="A819" t="s">
        <v>7</v>
      </c>
      <c r="B819" s="3">
        <v>2022</v>
      </c>
      <c r="C819" t="s">
        <v>222</v>
      </c>
      <c r="D819" t="s">
        <v>223</v>
      </c>
      <c r="E819" t="s">
        <v>223</v>
      </c>
      <c r="F819" s="4">
        <v>362166</v>
      </c>
      <c r="G819" s="4" t="s">
        <v>7</v>
      </c>
      <c r="H819" t="str">
        <f>IFERROR(VLOOKUP(E819,'GASB Match'!$A$2:$B$240,2,FALSE),"")</f>
        <v/>
      </c>
    </row>
    <row r="820" spans="1:8" x14ac:dyDescent="0.2">
      <c r="A820" t="s">
        <v>7</v>
      </c>
      <c r="B820" s="3">
        <v>2023</v>
      </c>
      <c r="C820" t="s">
        <v>222</v>
      </c>
      <c r="D820" t="s">
        <v>223</v>
      </c>
      <c r="E820" t="s">
        <v>223</v>
      </c>
      <c r="F820" s="4">
        <v>412005</v>
      </c>
      <c r="G820" s="4" t="s">
        <v>7</v>
      </c>
      <c r="H820" t="str">
        <f>IFERROR(VLOOKUP(E820,'GASB Match'!$A$2:$B$240,2,FALSE),"")</f>
        <v/>
      </c>
    </row>
    <row r="821" spans="1:8" x14ac:dyDescent="0.2">
      <c r="A821">
        <v>1301200</v>
      </c>
      <c r="B821" s="3">
        <v>2015</v>
      </c>
      <c r="C821" t="s">
        <v>224</v>
      </c>
      <c r="D821" t="s">
        <v>225</v>
      </c>
      <c r="E821" t="s">
        <v>225</v>
      </c>
      <c r="F821" s="4">
        <v>263861.25</v>
      </c>
      <c r="G821" s="4" t="s">
        <v>7</v>
      </c>
      <c r="H821">
        <f>IFERROR(VLOOKUP(E821,'GASB Match'!$A$2:$B$240,2,FALSE),"")</f>
        <v>1301200</v>
      </c>
    </row>
    <row r="822" spans="1:8" x14ac:dyDescent="0.2">
      <c r="A822">
        <v>1301200</v>
      </c>
      <c r="B822" s="3">
        <v>2016</v>
      </c>
      <c r="C822" t="s">
        <v>224</v>
      </c>
      <c r="D822" t="s">
        <v>225</v>
      </c>
      <c r="E822" t="s">
        <v>225</v>
      </c>
      <c r="F822" s="4">
        <v>274247.03999999998</v>
      </c>
      <c r="G822" s="4" t="s">
        <v>7</v>
      </c>
      <c r="H822">
        <f>IFERROR(VLOOKUP(E822,'GASB Match'!$A$2:$B$240,2,FALSE),"")</f>
        <v>1301200</v>
      </c>
    </row>
    <row r="823" spans="1:8" x14ac:dyDescent="0.2">
      <c r="A823">
        <v>1301200</v>
      </c>
      <c r="B823" s="3">
        <v>2017</v>
      </c>
      <c r="C823" t="s">
        <v>224</v>
      </c>
      <c r="D823" t="s">
        <v>225</v>
      </c>
      <c r="E823" t="s">
        <v>225</v>
      </c>
      <c r="F823" s="4">
        <v>248167</v>
      </c>
      <c r="G823" s="4" t="s">
        <v>7</v>
      </c>
      <c r="H823">
        <f>IFERROR(VLOOKUP(E823,'GASB Match'!$A$2:$B$240,2,FALSE),"")</f>
        <v>1301200</v>
      </c>
    </row>
    <row r="824" spans="1:8" x14ac:dyDescent="0.2">
      <c r="A824">
        <v>1301200</v>
      </c>
      <c r="B824" s="3">
        <v>2018</v>
      </c>
      <c r="C824" t="s">
        <v>224</v>
      </c>
      <c r="D824" t="s">
        <v>225</v>
      </c>
      <c r="E824" t="s">
        <v>225</v>
      </c>
      <c r="F824" s="4">
        <v>257324</v>
      </c>
      <c r="G824" s="4" t="s">
        <v>7</v>
      </c>
      <c r="H824">
        <f>IFERROR(VLOOKUP(E824,'GASB Match'!$A$2:$B$240,2,FALSE),"")</f>
        <v>1301200</v>
      </c>
    </row>
    <row r="825" spans="1:8" x14ac:dyDescent="0.2">
      <c r="A825">
        <v>1301200</v>
      </c>
      <c r="B825" s="3">
        <v>2019</v>
      </c>
      <c r="C825" t="s">
        <v>224</v>
      </c>
      <c r="D825" t="s">
        <v>225</v>
      </c>
      <c r="E825" t="s">
        <v>225</v>
      </c>
      <c r="F825" s="4">
        <v>326382</v>
      </c>
      <c r="G825" s="4" t="s">
        <v>7</v>
      </c>
      <c r="H825">
        <f>IFERROR(VLOOKUP(E825,'GASB Match'!$A$2:$B$240,2,FALSE),"")</f>
        <v>1301200</v>
      </c>
    </row>
    <row r="826" spans="1:8" x14ac:dyDescent="0.2">
      <c r="A826">
        <v>1301200</v>
      </c>
      <c r="B826" s="3">
        <v>2020</v>
      </c>
      <c r="C826" t="s">
        <v>224</v>
      </c>
      <c r="D826" t="s">
        <v>225</v>
      </c>
      <c r="E826" t="s">
        <v>225</v>
      </c>
      <c r="F826" s="4">
        <v>383806</v>
      </c>
      <c r="G826" s="4" t="s">
        <v>7</v>
      </c>
      <c r="H826">
        <f>IFERROR(VLOOKUP(E826,'GASB Match'!$A$2:$B$240,2,FALSE),"")</f>
        <v>1301200</v>
      </c>
    </row>
    <row r="827" spans="1:8" x14ac:dyDescent="0.2">
      <c r="A827">
        <v>1301200</v>
      </c>
      <c r="B827" s="3">
        <v>2021</v>
      </c>
      <c r="C827" t="s">
        <v>224</v>
      </c>
      <c r="D827" t="s">
        <v>225</v>
      </c>
      <c r="E827" t="s">
        <v>225</v>
      </c>
      <c r="F827" s="4">
        <v>368641</v>
      </c>
      <c r="G827" s="4" t="s">
        <v>7</v>
      </c>
      <c r="H827">
        <f>IFERROR(VLOOKUP(E827,'GASB Match'!$A$2:$B$240,2,FALSE),"")</f>
        <v>1301200</v>
      </c>
    </row>
    <row r="828" spans="1:8" x14ac:dyDescent="0.2">
      <c r="A828">
        <v>1301200</v>
      </c>
      <c r="B828" s="3">
        <v>2022</v>
      </c>
      <c r="C828" t="s">
        <v>224</v>
      </c>
      <c r="D828" t="s">
        <v>225</v>
      </c>
      <c r="E828" t="s">
        <v>225</v>
      </c>
      <c r="F828" s="4">
        <v>418902</v>
      </c>
      <c r="G828" s="4" t="s">
        <v>7</v>
      </c>
      <c r="H828">
        <f>IFERROR(VLOOKUP(E828,'GASB Match'!$A$2:$B$240,2,FALSE),"")</f>
        <v>1301200</v>
      </c>
    </row>
    <row r="829" spans="1:8" x14ac:dyDescent="0.2">
      <c r="A829">
        <v>1301200</v>
      </c>
      <c r="B829" s="3">
        <v>2023</v>
      </c>
      <c r="C829" t="s">
        <v>224</v>
      </c>
      <c r="D829" t="s">
        <v>225</v>
      </c>
      <c r="E829" t="s">
        <v>225</v>
      </c>
      <c r="F829" s="4">
        <v>460995</v>
      </c>
      <c r="G829" s="4" t="s">
        <v>7</v>
      </c>
      <c r="H829">
        <f>IFERROR(VLOOKUP(E829,'GASB Match'!$A$2:$B$240,2,FALSE),"")</f>
        <v>1301200</v>
      </c>
    </row>
    <row r="830" spans="1:8" x14ac:dyDescent="0.2">
      <c r="A830">
        <v>1301230</v>
      </c>
      <c r="B830" s="3">
        <v>2015</v>
      </c>
      <c r="C830" t="s">
        <v>226</v>
      </c>
      <c r="D830" t="s">
        <v>227</v>
      </c>
      <c r="E830" t="s">
        <v>227</v>
      </c>
      <c r="F830" s="4">
        <v>30496793.52</v>
      </c>
      <c r="G830" s="4">
        <v>62321.35</v>
      </c>
      <c r="H830">
        <f>IFERROR(VLOOKUP(E830,'GASB Match'!$A$2:$B$240,2,FALSE),"")</f>
        <v>1301230</v>
      </c>
    </row>
    <row r="831" spans="1:8" x14ac:dyDescent="0.2">
      <c r="A831">
        <v>1301230</v>
      </c>
      <c r="B831" s="3">
        <v>2016</v>
      </c>
      <c r="C831" t="s">
        <v>226</v>
      </c>
      <c r="D831" t="s">
        <v>227</v>
      </c>
      <c r="E831" t="s">
        <v>227</v>
      </c>
      <c r="F831" s="4">
        <v>33698063.799999997</v>
      </c>
      <c r="G831" s="4">
        <v>69840.62</v>
      </c>
      <c r="H831">
        <f>IFERROR(VLOOKUP(E831,'GASB Match'!$A$2:$B$240,2,FALSE),"")</f>
        <v>1301230</v>
      </c>
    </row>
    <row r="832" spans="1:8" x14ac:dyDescent="0.2">
      <c r="A832">
        <v>1301230</v>
      </c>
      <c r="B832" s="3">
        <v>2017</v>
      </c>
      <c r="C832" t="s">
        <v>226</v>
      </c>
      <c r="D832" t="s">
        <v>227</v>
      </c>
      <c r="E832" t="s">
        <v>227</v>
      </c>
      <c r="F832" s="4">
        <v>36766380</v>
      </c>
      <c r="G832" s="4">
        <v>56326</v>
      </c>
      <c r="H832">
        <f>IFERROR(VLOOKUP(E832,'GASB Match'!$A$2:$B$240,2,FALSE),"")</f>
        <v>1301230</v>
      </c>
    </row>
    <row r="833" spans="1:8" x14ac:dyDescent="0.2">
      <c r="A833">
        <v>1301230</v>
      </c>
      <c r="B833" s="3">
        <v>2018</v>
      </c>
      <c r="C833" t="s">
        <v>226</v>
      </c>
      <c r="D833" t="s">
        <v>227</v>
      </c>
      <c r="E833" t="s">
        <v>227</v>
      </c>
      <c r="F833" s="4">
        <v>47124602</v>
      </c>
      <c r="G833" s="4">
        <v>53966</v>
      </c>
      <c r="H833">
        <f>IFERROR(VLOOKUP(E833,'GASB Match'!$A$2:$B$240,2,FALSE),"")</f>
        <v>1301230</v>
      </c>
    </row>
    <row r="834" spans="1:8" x14ac:dyDescent="0.2">
      <c r="A834">
        <v>1301230</v>
      </c>
      <c r="B834" s="3">
        <v>2019</v>
      </c>
      <c r="C834" t="s">
        <v>226</v>
      </c>
      <c r="D834" t="s">
        <v>227</v>
      </c>
      <c r="E834" t="s">
        <v>227</v>
      </c>
      <c r="F834" s="4">
        <v>55443135</v>
      </c>
      <c r="G834" s="4">
        <v>49284</v>
      </c>
      <c r="H834">
        <f>IFERROR(VLOOKUP(E834,'GASB Match'!$A$2:$B$240,2,FALSE),"")</f>
        <v>1301230</v>
      </c>
    </row>
    <row r="835" spans="1:8" x14ac:dyDescent="0.2">
      <c r="A835">
        <v>1301230</v>
      </c>
      <c r="B835" s="3">
        <v>2020</v>
      </c>
      <c r="C835" t="s">
        <v>226</v>
      </c>
      <c r="D835" t="s">
        <v>227</v>
      </c>
      <c r="E835" t="s">
        <v>227</v>
      </c>
      <c r="F835" s="4">
        <v>59391913</v>
      </c>
      <c r="G835" s="4">
        <v>68747</v>
      </c>
      <c r="H835">
        <f>IFERROR(VLOOKUP(E835,'GASB Match'!$A$2:$B$240,2,FALSE),"")</f>
        <v>1301230</v>
      </c>
    </row>
    <row r="836" spans="1:8" x14ac:dyDescent="0.2">
      <c r="A836">
        <v>1301230</v>
      </c>
      <c r="B836" s="3">
        <v>2021</v>
      </c>
      <c r="C836" t="s">
        <v>226</v>
      </c>
      <c r="D836" t="s">
        <v>227</v>
      </c>
      <c r="E836" t="s">
        <v>227</v>
      </c>
      <c r="F836" s="4">
        <v>55822707</v>
      </c>
      <c r="G836" s="4">
        <v>56320</v>
      </c>
      <c r="H836">
        <f>IFERROR(VLOOKUP(E836,'GASB Match'!$A$2:$B$240,2,FALSE),"")</f>
        <v>1301230</v>
      </c>
    </row>
    <row r="837" spans="1:8" x14ac:dyDescent="0.2">
      <c r="A837">
        <v>1301230</v>
      </c>
      <c r="B837" s="3">
        <v>2022</v>
      </c>
      <c r="C837" t="s">
        <v>226</v>
      </c>
      <c r="D837" t="s">
        <v>227</v>
      </c>
      <c r="E837" t="s">
        <v>227</v>
      </c>
      <c r="F837" s="4">
        <v>61686346</v>
      </c>
      <c r="G837" s="4">
        <v>39255</v>
      </c>
      <c r="H837">
        <f>IFERROR(VLOOKUP(E837,'GASB Match'!$A$2:$B$240,2,FALSE),"")</f>
        <v>1301230</v>
      </c>
    </row>
    <row r="838" spans="1:8" x14ac:dyDescent="0.2">
      <c r="A838">
        <v>1301230</v>
      </c>
      <c r="B838" s="3">
        <v>2023</v>
      </c>
      <c r="C838" t="s">
        <v>226</v>
      </c>
      <c r="D838" t="s">
        <v>227</v>
      </c>
      <c r="E838" t="s">
        <v>227</v>
      </c>
      <c r="F838" s="4">
        <v>70364738</v>
      </c>
      <c r="G838" s="4">
        <v>42342</v>
      </c>
      <c r="H838">
        <f>IFERROR(VLOOKUP(E838,'GASB Match'!$A$2:$B$240,2,FALSE),"")</f>
        <v>1301230</v>
      </c>
    </row>
    <row r="839" spans="1:8" x14ac:dyDescent="0.2">
      <c r="A839" t="s">
        <v>7</v>
      </c>
      <c r="B839" s="3">
        <v>2015</v>
      </c>
      <c r="C839" t="s">
        <v>228</v>
      </c>
      <c r="D839" t="s">
        <v>230</v>
      </c>
      <c r="E839" t="s">
        <v>229</v>
      </c>
      <c r="F839" s="4">
        <v>23859.17</v>
      </c>
      <c r="G839" s="4" t="s">
        <v>7</v>
      </c>
      <c r="H839" t="str">
        <f>IFERROR(VLOOKUP(E839,'GASB Match'!$A$2:$B$240,2,FALSE),"")</f>
        <v/>
      </c>
    </row>
    <row r="840" spans="1:8" x14ac:dyDescent="0.2">
      <c r="A840" t="s">
        <v>7</v>
      </c>
      <c r="B840" s="3">
        <v>2016</v>
      </c>
      <c r="C840" t="s">
        <v>228</v>
      </c>
      <c r="D840" t="s">
        <v>230</v>
      </c>
      <c r="E840" t="s">
        <v>229</v>
      </c>
      <c r="F840" s="4">
        <v>33275.97</v>
      </c>
      <c r="G840" s="4" t="s">
        <v>7</v>
      </c>
      <c r="H840" t="str">
        <f>IFERROR(VLOOKUP(E840,'GASB Match'!$A$2:$B$240,2,FALSE),"")</f>
        <v/>
      </c>
    </row>
    <row r="841" spans="1:8" x14ac:dyDescent="0.2">
      <c r="A841" t="s">
        <v>7</v>
      </c>
      <c r="B841" s="3">
        <v>2017</v>
      </c>
      <c r="C841" t="s">
        <v>228</v>
      </c>
      <c r="D841" t="s">
        <v>230</v>
      </c>
      <c r="E841" t="s">
        <v>229</v>
      </c>
      <c r="F841" s="4">
        <v>32459</v>
      </c>
      <c r="G841" s="4" t="s">
        <v>7</v>
      </c>
      <c r="H841" t="str">
        <f>IFERROR(VLOOKUP(E841,'GASB Match'!$A$2:$B$240,2,FALSE),"")</f>
        <v/>
      </c>
    </row>
    <row r="842" spans="1:8" x14ac:dyDescent="0.2">
      <c r="A842" t="s">
        <v>7</v>
      </c>
      <c r="B842" s="3">
        <v>2018</v>
      </c>
      <c r="C842" t="s">
        <v>228</v>
      </c>
      <c r="D842" t="s">
        <v>230</v>
      </c>
      <c r="E842" t="s">
        <v>229</v>
      </c>
      <c r="F842" s="4">
        <v>35324</v>
      </c>
      <c r="G842" s="4" t="s">
        <v>7</v>
      </c>
      <c r="H842" t="str">
        <f>IFERROR(VLOOKUP(E842,'GASB Match'!$A$2:$B$240,2,FALSE),"")</f>
        <v/>
      </c>
    </row>
    <row r="843" spans="1:8" x14ac:dyDescent="0.2">
      <c r="A843" t="s">
        <v>7</v>
      </c>
      <c r="B843" s="3">
        <v>2019</v>
      </c>
      <c r="C843" t="s">
        <v>228</v>
      </c>
      <c r="D843" t="s">
        <v>230</v>
      </c>
      <c r="E843" t="s">
        <v>229</v>
      </c>
      <c r="F843" s="4">
        <v>45977</v>
      </c>
      <c r="G843" s="4" t="s">
        <v>7</v>
      </c>
      <c r="H843" t="str">
        <f>IFERROR(VLOOKUP(E843,'GASB Match'!$A$2:$B$240,2,FALSE),"")</f>
        <v/>
      </c>
    </row>
    <row r="844" spans="1:8" x14ac:dyDescent="0.2">
      <c r="A844" t="s">
        <v>7</v>
      </c>
      <c r="B844" s="3">
        <v>2020</v>
      </c>
      <c r="C844" t="s">
        <v>228</v>
      </c>
      <c r="D844" t="s">
        <v>230</v>
      </c>
      <c r="E844" t="s">
        <v>229</v>
      </c>
      <c r="F844" s="4">
        <v>42702</v>
      </c>
      <c r="G844" s="4" t="s">
        <v>7</v>
      </c>
      <c r="H844" t="str">
        <f>IFERROR(VLOOKUP(E844,'GASB Match'!$A$2:$B$240,2,FALSE),"")</f>
        <v/>
      </c>
    </row>
    <row r="845" spans="1:8" x14ac:dyDescent="0.2">
      <c r="A845" t="s">
        <v>7</v>
      </c>
      <c r="B845" s="3">
        <v>2021</v>
      </c>
      <c r="C845" t="s">
        <v>228</v>
      </c>
      <c r="D845" t="s">
        <v>229</v>
      </c>
      <c r="E845" t="s">
        <v>229</v>
      </c>
      <c r="F845" s="4">
        <v>40234</v>
      </c>
      <c r="G845" s="4" t="s">
        <v>7</v>
      </c>
      <c r="H845" t="str">
        <f>IFERROR(VLOOKUP(E845,'GASB Match'!$A$2:$B$240,2,FALSE),"")</f>
        <v/>
      </c>
    </row>
    <row r="846" spans="1:8" x14ac:dyDescent="0.2">
      <c r="A846" t="s">
        <v>7</v>
      </c>
      <c r="B846" s="3">
        <v>2022</v>
      </c>
      <c r="C846" t="s">
        <v>228</v>
      </c>
      <c r="D846" t="s">
        <v>229</v>
      </c>
      <c r="E846" t="s">
        <v>229</v>
      </c>
      <c r="F846" s="4">
        <v>49948</v>
      </c>
      <c r="G846" s="4" t="s">
        <v>7</v>
      </c>
      <c r="H846" t="str">
        <f>IFERROR(VLOOKUP(E846,'GASB Match'!$A$2:$B$240,2,FALSE),"")</f>
        <v/>
      </c>
    </row>
    <row r="847" spans="1:8" x14ac:dyDescent="0.2">
      <c r="A847" t="s">
        <v>7</v>
      </c>
      <c r="B847" s="3">
        <v>2023</v>
      </c>
      <c r="C847" t="s">
        <v>228</v>
      </c>
      <c r="D847" t="s">
        <v>229</v>
      </c>
      <c r="E847" t="s">
        <v>229</v>
      </c>
      <c r="F847" s="4">
        <v>43152</v>
      </c>
      <c r="G847" s="4" t="s">
        <v>7</v>
      </c>
      <c r="H847" t="str">
        <f>IFERROR(VLOOKUP(E847,'GASB Match'!$A$2:$B$240,2,FALSE),"")</f>
        <v/>
      </c>
    </row>
    <row r="848" spans="1:8" x14ac:dyDescent="0.2">
      <c r="A848">
        <v>1301260</v>
      </c>
      <c r="B848" s="3">
        <v>2015</v>
      </c>
      <c r="C848" t="s">
        <v>231</v>
      </c>
      <c r="D848" t="s">
        <v>232</v>
      </c>
      <c r="E848" t="s">
        <v>232</v>
      </c>
      <c r="F848" s="4">
        <v>927632.63</v>
      </c>
      <c r="G848" s="4" t="s">
        <v>7</v>
      </c>
      <c r="H848">
        <f>IFERROR(VLOOKUP(E848,'GASB Match'!$A$2:$B$240,2,FALSE),"")</f>
        <v>1301260</v>
      </c>
    </row>
    <row r="849" spans="1:8" x14ac:dyDescent="0.2">
      <c r="A849">
        <v>1301260</v>
      </c>
      <c r="B849" s="3">
        <v>2016</v>
      </c>
      <c r="C849" t="s">
        <v>231</v>
      </c>
      <c r="D849" t="s">
        <v>232</v>
      </c>
      <c r="E849" t="s">
        <v>232</v>
      </c>
      <c r="F849" s="4">
        <v>984851.62</v>
      </c>
      <c r="G849" s="4">
        <v>16157.64</v>
      </c>
      <c r="H849">
        <f>IFERROR(VLOOKUP(E849,'GASB Match'!$A$2:$B$240,2,FALSE),"")</f>
        <v>1301260</v>
      </c>
    </row>
    <row r="850" spans="1:8" x14ac:dyDescent="0.2">
      <c r="A850">
        <v>1301260</v>
      </c>
      <c r="B850" s="3">
        <v>2017</v>
      </c>
      <c r="C850" t="s">
        <v>231</v>
      </c>
      <c r="D850" t="s">
        <v>232</v>
      </c>
      <c r="E850" t="s">
        <v>232</v>
      </c>
      <c r="F850" s="4">
        <v>1031649</v>
      </c>
      <c r="G850" s="4">
        <v>9239</v>
      </c>
      <c r="H850">
        <f>IFERROR(VLOOKUP(E850,'GASB Match'!$A$2:$B$240,2,FALSE),"")</f>
        <v>1301260</v>
      </c>
    </row>
    <row r="851" spans="1:8" x14ac:dyDescent="0.2">
      <c r="A851">
        <v>1301260</v>
      </c>
      <c r="B851" s="3">
        <v>2018</v>
      </c>
      <c r="C851" t="s">
        <v>231</v>
      </c>
      <c r="D851" t="s">
        <v>232</v>
      </c>
      <c r="E851" t="s">
        <v>232</v>
      </c>
      <c r="F851" s="4">
        <v>1231853</v>
      </c>
      <c r="G851" s="4">
        <v>10958</v>
      </c>
      <c r="H851">
        <f>IFERROR(VLOOKUP(E851,'GASB Match'!$A$2:$B$240,2,FALSE),"")</f>
        <v>1301260</v>
      </c>
    </row>
    <row r="852" spans="1:8" x14ac:dyDescent="0.2">
      <c r="A852">
        <v>1301260</v>
      </c>
      <c r="B852" s="3">
        <v>2019</v>
      </c>
      <c r="C852" t="s">
        <v>231</v>
      </c>
      <c r="D852" t="s">
        <v>232</v>
      </c>
      <c r="E852" t="s">
        <v>232</v>
      </c>
      <c r="F852" s="4">
        <v>1550028</v>
      </c>
      <c r="G852" s="4">
        <v>13900</v>
      </c>
      <c r="H852">
        <f>IFERROR(VLOOKUP(E852,'GASB Match'!$A$2:$B$240,2,FALSE),"")</f>
        <v>1301260</v>
      </c>
    </row>
    <row r="853" spans="1:8" x14ac:dyDescent="0.2">
      <c r="A853">
        <v>1301260</v>
      </c>
      <c r="B853" s="3">
        <v>2020</v>
      </c>
      <c r="C853" t="s">
        <v>231</v>
      </c>
      <c r="D853" t="s">
        <v>232</v>
      </c>
      <c r="E853" t="s">
        <v>232</v>
      </c>
      <c r="F853" s="4">
        <v>1620459</v>
      </c>
      <c r="G853" s="4">
        <v>14374</v>
      </c>
      <c r="H853">
        <f>IFERROR(VLOOKUP(E853,'GASB Match'!$A$2:$B$240,2,FALSE),"")</f>
        <v>1301260</v>
      </c>
    </row>
    <row r="854" spans="1:8" x14ac:dyDescent="0.2">
      <c r="A854">
        <v>1301260</v>
      </c>
      <c r="B854" s="3">
        <v>2021</v>
      </c>
      <c r="C854" t="s">
        <v>231</v>
      </c>
      <c r="D854" t="s">
        <v>232</v>
      </c>
      <c r="E854" t="s">
        <v>232</v>
      </c>
      <c r="F854" s="4">
        <v>1471601</v>
      </c>
      <c r="G854" s="4">
        <v>11801</v>
      </c>
      <c r="H854">
        <f>IFERROR(VLOOKUP(E854,'GASB Match'!$A$2:$B$240,2,FALSE),"")</f>
        <v>1301260</v>
      </c>
    </row>
    <row r="855" spans="1:8" x14ac:dyDescent="0.2">
      <c r="A855">
        <v>1301260</v>
      </c>
      <c r="B855" s="3">
        <v>2022</v>
      </c>
      <c r="C855" t="s">
        <v>231</v>
      </c>
      <c r="D855" t="s">
        <v>232</v>
      </c>
      <c r="E855" t="s">
        <v>232</v>
      </c>
      <c r="F855" s="4">
        <v>1561181</v>
      </c>
      <c r="G855" s="4">
        <v>14130</v>
      </c>
      <c r="H855">
        <f>IFERROR(VLOOKUP(E855,'GASB Match'!$A$2:$B$240,2,FALSE),"")</f>
        <v>1301260</v>
      </c>
    </row>
    <row r="856" spans="1:8" x14ac:dyDescent="0.2">
      <c r="A856">
        <v>1301260</v>
      </c>
      <c r="B856" s="3">
        <v>2023</v>
      </c>
      <c r="C856" t="s">
        <v>231</v>
      </c>
      <c r="D856" t="s">
        <v>232</v>
      </c>
      <c r="E856" t="s">
        <v>232</v>
      </c>
      <c r="F856" s="4">
        <v>1635732</v>
      </c>
      <c r="G856" s="4">
        <v>18281</v>
      </c>
      <c r="H856">
        <f>IFERROR(VLOOKUP(E856,'GASB Match'!$A$2:$B$240,2,FALSE),"")</f>
        <v>1301260</v>
      </c>
    </row>
    <row r="857" spans="1:8" x14ac:dyDescent="0.2">
      <c r="A857">
        <v>1301290</v>
      </c>
      <c r="B857" s="3">
        <v>2015</v>
      </c>
      <c r="C857" t="s">
        <v>233</v>
      </c>
      <c r="D857" t="s">
        <v>234</v>
      </c>
      <c r="E857" t="s">
        <v>234</v>
      </c>
      <c r="F857" s="4">
        <v>75075599.090000004</v>
      </c>
      <c r="G857" s="4">
        <v>136531.51999999999</v>
      </c>
      <c r="H857">
        <f>IFERROR(VLOOKUP(E857,'GASB Match'!$A$2:$B$240,2,FALSE),"")</f>
        <v>1301290</v>
      </c>
    </row>
    <row r="858" spans="1:8" x14ac:dyDescent="0.2">
      <c r="A858">
        <v>1301290</v>
      </c>
      <c r="B858" s="3">
        <v>2016</v>
      </c>
      <c r="C858" t="s">
        <v>233</v>
      </c>
      <c r="D858" t="s">
        <v>234</v>
      </c>
      <c r="E858" t="s">
        <v>234</v>
      </c>
      <c r="F858" s="4">
        <v>87307373.5</v>
      </c>
      <c r="G858" s="4">
        <v>133638.10999999999</v>
      </c>
      <c r="H858">
        <f>IFERROR(VLOOKUP(E858,'GASB Match'!$A$2:$B$240,2,FALSE),"")</f>
        <v>1301290</v>
      </c>
    </row>
    <row r="859" spans="1:8" x14ac:dyDescent="0.2">
      <c r="A859">
        <v>1301290</v>
      </c>
      <c r="B859" s="3">
        <v>2017</v>
      </c>
      <c r="C859" t="s">
        <v>233</v>
      </c>
      <c r="D859" t="s">
        <v>234</v>
      </c>
      <c r="E859" t="s">
        <v>234</v>
      </c>
      <c r="F859" s="4">
        <v>90648868</v>
      </c>
      <c r="G859" s="4">
        <v>61131</v>
      </c>
      <c r="H859">
        <f>IFERROR(VLOOKUP(E859,'GASB Match'!$A$2:$B$240,2,FALSE),"")</f>
        <v>1301290</v>
      </c>
    </row>
    <row r="860" spans="1:8" x14ac:dyDescent="0.2">
      <c r="A860">
        <v>1301290</v>
      </c>
      <c r="B860" s="3">
        <v>2018</v>
      </c>
      <c r="C860" t="s">
        <v>233</v>
      </c>
      <c r="D860" t="s">
        <v>234</v>
      </c>
      <c r="E860" t="s">
        <v>234</v>
      </c>
      <c r="F860" s="4">
        <v>107442488</v>
      </c>
      <c r="G860" s="4">
        <v>26890</v>
      </c>
      <c r="H860">
        <f>IFERROR(VLOOKUP(E860,'GASB Match'!$A$2:$B$240,2,FALSE),"")</f>
        <v>1301290</v>
      </c>
    </row>
    <row r="861" spans="1:8" x14ac:dyDescent="0.2">
      <c r="A861">
        <v>1301290</v>
      </c>
      <c r="B861" s="3">
        <v>2019</v>
      </c>
      <c r="C861" t="s">
        <v>233</v>
      </c>
      <c r="D861" t="s">
        <v>234</v>
      </c>
      <c r="E861" t="s">
        <v>234</v>
      </c>
      <c r="F861" s="4">
        <v>137423253</v>
      </c>
      <c r="G861" s="4">
        <v>26124</v>
      </c>
      <c r="H861">
        <f>IFERROR(VLOOKUP(E861,'GASB Match'!$A$2:$B$240,2,FALSE),"")</f>
        <v>1301290</v>
      </c>
    </row>
    <row r="862" spans="1:8" x14ac:dyDescent="0.2">
      <c r="A862">
        <v>1301290</v>
      </c>
      <c r="B862" s="3">
        <v>2020</v>
      </c>
      <c r="C862" t="s">
        <v>233</v>
      </c>
      <c r="D862" t="s">
        <v>234</v>
      </c>
      <c r="E862" t="s">
        <v>234</v>
      </c>
      <c r="F862" s="4">
        <v>151993730</v>
      </c>
      <c r="G862" s="4">
        <v>35185</v>
      </c>
      <c r="H862">
        <f>IFERROR(VLOOKUP(E862,'GASB Match'!$A$2:$B$240,2,FALSE),"")</f>
        <v>1301290</v>
      </c>
    </row>
    <row r="863" spans="1:8" x14ac:dyDescent="0.2">
      <c r="A863">
        <v>1301290</v>
      </c>
      <c r="B863" s="3">
        <v>2021</v>
      </c>
      <c r="C863" t="s">
        <v>233</v>
      </c>
      <c r="D863" t="s">
        <v>234</v>
      </c>
      <c r="E863" t="s">
        <v>234</v>
      </c>
      <c r="F863" s="4">
        <v>139593685</v>
      </c>
      <c r="G863" s="4">
        <v>25764</v>
      </c>
      <c r="H863">
        <f>IFERROR(VLOOKUP(E863,'GASB Match'!$A$2:$B$240,2,FALSE),"")</f>
        <v>1301290</v>
      </c>
    </row>
    <row r="864" spans="1:8" x14ac:dyDescent="0.2">
      <c r="A864">
        <v>1301290</v>
      </c>
      <c r="B864" s="3">
        <v>2022</v>
      </c>
      <c r="C864" t="s">
        <v>233</v>
      </c>
      <c r="D864" t="s">
        <v>234</v>
      </c>
      <c r="E864" t="s">
        <v>234</v>
      </c>
      <c r="F864" s="4">
        <v>152578873</v>
      </c>
      <c r="G864" s="4">
        <v>29564</v>
      </c>
      <c r="H864">
        <f>IFERROR(VLOOKUP(E864,'GASB Match'!$A$2:$B$240,2,FALSE),"")</f>
        <v>1301290</v>
      </c>
    </row>
    <row r="865" spans="1:8" x14ac:dyDescent="0.2">
      <c r="A865">
        <v>1301290</v>
      </c>
      <c r="B865" s="3">
        <v>2023</v>
      </c>
      <c r="C865" t="s">
        <v>233</v>
      </c>
      <c r="D865" t="s">
        <v>234</v>
      </c>
      <c r="E865" t="s">
        <v>234</v>
      </c>
      <c r="F865" s="4">
        <v>169761544</v>
      </c>
      <c r="G865" s="4">
        <v>32778</v>
      </c>
      <c r="H865">
        <f>IFERROR(VLOOKUP(E865,'GASB Match'!$A$2:$B$240,2,FALSE),"")</f>
        <v>1301290</v>
      </c>
    </row>
    <row r="866" spans="1:8" x14ac:dyDescent="0.2">
      <c r="A866" t="s">
        <v>7</v>
      </c>
      <c r="B866" s="3">
        <v>2015</v>
      </c>
      <c r="C866" t="s">
        <v>235</v>
      </c>
      <c r="D866" t="s">
        <v>237</v>
      </c>
      <c r="E866" t="s">
        <v>236</v>
      </c>
      <c r="F866" s="4">
        <v>619940.04</v>
      </c>
      <c r="G866" s="4" t="s">
        <v>7</v>
      </c>
      <c r="H866" t="str">
        <f>IFERROR(VLOOKUP(E866,'GASB Match'!$A$2:$B$240,2,FALSE),"")</f>
        <v/>
      </c>
    </row>
    <row r="867" spans="1:8" x14ac:dyDescent="0.2">
      <c r="A867" t="s">
        <v>7</v>
      </c>
      <c r="B867" s="3">
        <v>2016</v>
      </c>
      <c r="C867" t="s">
        <v>235</v>
      </c>
      <c r="D867" t="s">
        <v>237</v>
      </c>
      <c r="E867" t="s">
        <v>236</v>
      </c>
      <c r="F867" s="4">
        <v>691789.29</v>
      </c>
      <c r="G867" s="4" t="s">
        <v>7</v>
      </c>
      <c r="H867" t="str">
        <f>IFERROR(VLOOKUP(E867,'GASB Match'!$A$2:$B$240,2,FALSE),"")</f>
        <v/>
      </c>
    </row>
    <row r="868" spans="1:8" x14ac:dyDescent="0.2">
      <c r="A868" t="s">
        <v>7</v>
      </c>
      <c r="B868" s="3">
        <v>2017</v>
      </c>
      <c r="C868" t="s">
        <v>235</v>
      </c>
      <c r="D868" t="s">
        <v>237</v>
      </c>
      <c r="E868" t="s">
        <v>236</v>
      </c>
      <c r="F868" s="4">
        <v>737885</v>
      </c>
      <c r="G868" s="4" t="s">
        <v>7</v>
      </c>
      <c r="H868" t="str">
        <f>IFERROR(VLOOKUP(E868,'GASB Match'!$A$2:$B$240,2,FALSE),"")</f>
        <v/>
      </c>
    </row>
    <row r="869" spans="1:8" x14ac:dyDescent="0.2">
      <c r="A869" t="s">
        <v>7</v>
      </c>
      <c r="B869" s="3">
        <v>2018</v>
      </c>
      <c r="C869" t="s">
        <v>235</v>
      </c>
      <c r="D869" t="s">
        <v>237</v>
      </c>
      <c r="E869" t="s">
        <v>236</v>
      </c>
      <c r="F869" s="4">
        <v>917471</v>
      </c>
      <c r="G869" s="4" t="s">
        <v>7</v>
      </c>
      <c r="H869" t="str">
        <f>IFERROR(VLOOKUP(E869,'GASB Match'!$A$2:$B$240,2,FALSE),"")</f>
        <v/>
      </c>
    </row>
    <row r="870" spans="1:8" x14ac:dyDescent="0.2">
      <c r="A870" t="s">
        <v>7</v>
      </c>
      <c r="B870" s="3">
        <v>2019</v>
      </c>
      <c r="C870" t="s">
        <v>235</v>
      </c>
      <c r="D870" t="s">
        <v>237</v>
      </c>
      <c r="E870" t="s">
        <v>236</v>
      </c>
      <c r="F870" s="4">
        <v>1098770</v>
      </c>
      <c r="G870" s="4" t="s">
        <v>7</v>
      </c>
      <c r="H870" t="str">
        <f>IFERROR(VLOOKUP(E870,'GASB Match'!$A$2:$B$240,2,FALSE),"")</f>
        <v/>
      </c>
    </row>
    <row r="871" spans="1:8" x14ac:dyDescent="0.2">
      <c r="A871" t="s">
        <v>7</v>
      </c>
      <c r="B871" s="3">
        <v>2020</v>
      </c>
      <c r="C871" t="s">
        <v>235</v>
      </c>
      <c r="D871" t="s">
        <v>237</v>
      </c>
      <c r="E871" t="s">
        <v>236</v>
      </c>
      <c r="F871" s="4">
        <v>1188938</v>
      </c>
      <c r="G871" s="4" t="s">
        <v>7</v>
      </c>
      <c r="H871" t="str">
        <f>IFERROR(VLOOKUP(E871,'GASB Match'!$A$2:$B$240,2,FALSE),"")</f>
        <v/>
      </c>
    </row>
    <row r="872" spans="1:8" x14ac:dyDescent="0.2">
      <c r="A872" t="s">
        <v>7</v>
      </c>
      <c r="B872" s="3">
        <v>2021</v>
      </c>
      <c r="C872" t="s">
        <v>235</v>
      </c>
      <c r="D872" t="s">
        <v>236</v>
      </c>
      <c r="E872" t="s">
        <v>236</v>
      </c>
      <c r="F872" s="4">
        <v>1056298</v>
      </c>
      <c r="G872" s="4" t="s">
        <v>7</v>
      </c>
      <c r="H872" t="str">
        <f>IFERROR(VLOOKUP(E872,'GASB Match'!$A$2:$B$240,2,FALSE),"")</f>
        <v/>
      </c>
    </row>
    <row r="873" spans="1:8" x14ac:dyDescent="0.2">
      <c r="A873" t="s">
        <v>7</v>
      </c>
      <c r="B873" s="3">
        <v>2022</v>
      </c>
      <c r="C873" t="s">
        <v>235</v>
      </c>
      <c r="D873" t="s">
        <v>236</v>
      </c>
      <c r="E873" t="s">
        <v>236</v>
      </c>
      <c r="F873" s="4">
        <v>1107103</v>
      </c>
      <c r="G873" s="4" t="s">
        <v>7</v>
      </c>
      <c r="H873" t="str">
        <f>IFERROR(VLOOKUP(E873,'GASB Match'!$A$2:$B$240,2,FALSE),"")</f>
        <v/>
      </c>
    </row>
    <row r="874" spans="1:8" x14ac:dyDescent="0.2">
      <c r="A874" t="s">
        <v>7</v>
      </c>
      <c r="B874" s="3">
        <v>2023</v>
      </c>
      <c r="C874" t="s">
        <v>235</v>
      </c>
      <c r="D874" t="s">
        <v>236</v>
      </c>
      <c r="E874" t="s">
        <v>236</v>
      </c>
      <c r="F874" s="4">
        <v>1335465</v>
      </c>
      <c r="G874" s="4" t="s">
        <v>7</v>
      </c>
      <c r="H874" t="str">
        <f>IFERROR(VLOOKUP(E874,'GASB Match'!$A$2:$B$240,2,FALSE),"")</f>
        <v/>
      </c>
    </row>
    <row r="875" spans="1:8" x14ac:dyDescent="0.2">
      <c r="A875">
        <v>1301350</v>
      </c>
      <c r="B875" s="3">
        <v>2015</v>
      </c>
      <c r="C875" t="s">
        <v>238</v>
      </c>
      <c r="D875" t="s">
        <v>239</v>
      </c>
      <c r="E875" t="s">
        <v>239</v>
      </c>
      <c r="F875" s="4">
        <v>5023284.37</v>
      </c>
      <c r="G875" s="4">
        <v>73969.97</v>
      </c>
      <c r="H875">
        <f>IFERROR(VLOOKUP(E875,'GASB Match'!$A$2:$B$240,2,FALSE),"")</f>
        <v>1301350</v>
      </c>
    </row>
    <row r="876" spans="1:8" x14ac:dyDescent="0.2">
      <c r="A876">
        <v>1301350</v>
      </c>
      <c r="B876" s="3">
        <v>2016</v>
      </c>
      <c r="C876" t="s">
        <v>238</v>
      </c>
      <c r="D876" t="s">
        <v>239</v>
      </c>
      <c r="E876" t="s">
        <v>239</v>
      </c>
      <c r="F876" s="4">
        <v>5491928.5700000003</v>
      </c>
      <c r="G876" s="4">
        <v>77393.95</v>
      </c>
      <c r="H876">
        <f>IFERROR(VLOOKUP(E876,'GASB Match'!$A$2:$B$240,2,FALSE),"")</f>
        <v>1301350</v>
      </c>
    </row>
    <row r="877" spans="1:8" x14ac:dyDescent="0.2">
      <c r="A877">
        <v>1301350</v>
      </c>
      <c r="B877" s="3">
        <v>2017</v>
      </c>
      <c r="C877" t="s">
        <v>238</v>
      </c>
      <c r="D877" t="s">
        <v>239</v>
      </c>
      <c r="E877" t="s">
        <v>239</v>
      </c>
      <c r="F877" s="4">
        <v>5576473</v>
      </c>
      <c r="G877" s="4">
        <v>57605</v>
      </c>
      <c r="H877">
        <f>IFERROR(VLOOKUP(E877,'GASB Match'!$A$2:$B$240,2,FALSE),"")</f>
        <v>1301350</v>
      </c>
    </row>
    <row r="878" spans="1:8" x14ac:dyDescent="0.2">
      <c r="A878">
        <v>1301350</v>
      </c>
      <c r="B878" s="3">
        <v>2018</v>
      </c>
      <c r="C878" t="s">
        <v>238</v>
      </c>
      <c r="D878" t="s">
        <v>239</v>
      </c>
      <c r="E878" t="s">
        <v>239</v>
      </c>
      <c r="F878" s="4">
        <v>6705384</v>
      </c>
      <c r="G878" s="4">
        <v>19418</v>
      </c>
      <c r="H878">
        <f>IFERROR(VLOOKUP(E878,'GASB Match'!$A$2:$B$240,2,FALSE),"")</f>
        <v>1301350</v>
      </c>
    </row>
    <row r="879" spans="1:8" x14ac:dyDescent="0.2">
      <c r="A879">
        <v>1301350</v>
      </c>
      <c r="B879" s="3">
        <v>2019</v>
      </c>
      <c r="C879" t="s">
        <v>238</v>
      </c>
      <c r="D879" t="s">
        <v>239</v>
      </c>
      <c r="E879" t="s">
        <v>239</v>
      </c>
      <c r="F879" s="4">
        <v>8525965</v>
      </c>
      <c r="G879" s="4">
        <v>38656</v>
      </c>
      <c r="H879">
        <f>IFERROR(VLOOKUP(E879,'GASB Match'!$A$2:$B$240,2,FALSE),"")</f>
        <v>1301350</v>
      </c>
    </row>
    <row r="880" spans="1:8" x14ac:dyDescent="0.2">
      <c r="A880">
        <v>1301350</v>
      </c>
      <c r="B880" s="3">
        <v>2020</v>
      </c>
      <c r="C880" t="s">
        <v>238</v>
      </c>
      <c r="D880" t="s">
        <v>239</v>
      </c>
      <c r="E880" t="s">
        <v>239</v>
      </c>
      <c r="F880" s="4">
        <v>9136713</v>
      </c>
      <c r="G880" s="4">
        <v>44982</v>
      </c>
      <c r="H880">
        <f>IFERROR(VLOOKUP(E880,'GASB Match'!$A$2:$B$240,2,FALSE),"")</f>
        <v>1301350</v>
      </c>
    </row>
    <row r="881" spans="1:8" x14ac:dyDescent="0.2">
      <c r="A881">
        <v>1301350</v>
      </c>
      <c r="B881" s="3">
        <v>2021</v>
      </c>
      <c r="C881" t="s">
        <v>238</v>
      </c>
      <c r="D881" t="s">
        <v>239</v>
      </c>
      <c r="E881" t="s">
        <v>239</v>
      </c>
      <c r="F881" s="4">
        <v>8386784</v>
      </c>
      <c r="G881" s="4">
        <v>45586</v>
      </c>
      <c r="H881">
        <f>IFERROR(VLOOKUP(E881,'GASB Match'!$A$2:$B$240,2,FALSE),"")</f>
        <v>1301350</v>
      </c>
    </row>
    <row r="882" spans="1:8" x14ac:dyDescent="0.2">
      <c r="A882">
        <v>1301350</v>
      </c>
      <c r="B882" s="3">
        <v>2022</v>
      </c>
      <c r="C882" t="s">
        <v>238</v>
      </c>
      <c r="D882" t="s">
        <v>239</v>
      </c>
      <c r="E882" t="s">
        <v>239</v>
      </c>
      <c r="F882" s="4">
        <v>8922784</v>
      </c>
      <c r="G882" s="4">
        <v>47945</v>
      </c>
      <c r="H882">
        <f>IFERROR(VLOOKUP(E882,'GASB Match'!$A$2:$B$240,2,FALSE),"")</f>
        <v>1301350</v>
      </c>
    </row>
    <row r="883" spans="1:8" x14ac:dyDescent="0.2">
      <c r="A883">
        <v>1301350</v>
      </c>
      <c r="B883" s="3">
        <v>2023</v>
      </c>
      <c r="C883" t="s">
        <v>238</v>
      </c>
      <c r="D883" t="s">
        <v>239</v>
      </c>
      <c r="E883" t="s">
        <v>239</v>
      </c>
      <c r="F883" s="4">
        <v>9363439</v>
      </c>
      <c r="G883" s="4">
        <v>50521</v>
      </c>
      <c r="H883">
        <f>IFERROR(VLOOKUP(E883,'GASB Match'!$A$2:$B$240,2,FALSE),"")</f>
        <v>1301350</v>
      </c>
    </row>
    <row r="884" spans="1:8" x14ac:dyDescent="0.2">
      <c r="A884" t="s">
        <v>7</v>
      </c>
      <c r="B884" s="3">
        <v>2015</v>
      </c>
      <c r="C884" t="s">
        <v>240</v>
      </c>
      <c r="D884" t="s">
        <v>241</v>
      </c>
      <c r="E884" t="s">
        <v>241</v>
      </c>
      <c r="F884" s="4">
        <v>26193.72</v>
      </c>
      <c r="G884" s="4" t="s">
        <v>7</v>
      </c>
      <c r="H884" t="str">
        <f>IFERROR(VLOOKUP(E884,'GASB Match'!$A$2:$B$240,2,FALSE),"")</f>
        <v/>
      </c>
    </row>
    <row r="885" spans="1:8" x14ac:dyDescent="0.2">
      <c r="A885" t="s">
        <v>7</v>
      </c>
      <c r="B885" s="3">
        <v>2016</v>
      </c>
      <c r="C885" t="s">
        <v>240</v>
      </c>
      <c r="D885" t="s">
        <v>241</v>
      </c>
      <c r="E885" t="s">
        <v>241</v>
      </c>
      <c r="F885" s="4">
        <v>31550.9</v>
      </c>
      <c r="G885" s="4" t="s">
        <v>7</v>
      </c>
      <c r="H885" t="str">
        <f>IFERROR(VLOOKUP(E885,'GASB Match'!$A$2:$B$240,2,FALSE),"")</f>
        <v/>
      </c>
    </row>
    <row r="886" spans="1:8" x14ac:dyDescent="0.2">
      <c r="A886" t="s">
        <v>7</v>
      </c>
      <c r="B886" s="3">
        <v>2017</v>
      </c>
      <c r="C886" t="s">
        <v>240</v>
      </c>
      <c r="D886" t="s">
        <v>241</v>
      </c>
      <c r="E886" t="s">
        <v>241</v>
      </c>
      <c r="F886" s="4">
        <v>31617</v>
      </c>
      <c r="G886" s="4" t="s">
        <v>7</v>
      </c>
      <c r="H886" t="str">
        <f>IFERROR(VLOOKUP(E886,'GASB Match'!$A$2:$B$240,2,FALSE),"")</f>
        <v/>
      </c>
    </row>
    <row r="887" spans="1:8" x14ac:dyDescent="0.2">
      <c r="A887" t="s">
        <v>7</v>
      </c>
      <c r="B887" s="3">
        <v>2018</v>
      </c>
      <c r="C887" t="s">
        <v>240</v>
      </c>
      <c r="D887" t="s">
        <v>241</v>
      </c>
      <c r="E887" t="s">
        <v>241</v>
      </c>
      <c r="F887" s="4">
        <v>38149</v>
      </c>
      <c r="G887" s="4" t="s">
        <v>7</v>
      </c>
      <c r="H887" t="str">
        <f>IFERROR(VLOOKUP(E887,'GASB Match'!$A$2:$B$240,2,FALSE),"")</f>
        <v/>
      </c>
    </row>
    <row r="888" spans="1:8" x14ac:dyDescent="0.2">
      <c r="A888" t="s">
        <v>7</v>
      </c>
      <c r="B888" s="3">
        <v>2019</v>
      </c>
      <c r="C888" t="s">
        <v>240</v>
      </c>
      <c r="D888" t="s">
        <v>241</v>
      </c>
      <c r="E888" t="s">
        <v>241</v>
      </c>
      <c r="F888" s="4">
        <v>39428</v>
      </c>
      <c r="G888" s="4" t="s">
        <v>7</v>
      </c>
      <c r="H888" t="str">
        <f>IFERROR(VLOOKUP(E888,'GASB Match'!$A$2:$B$240,2,FALSE),"")</f>
        <v/>
      </c>
    </row>
    <row r="889" spans="1:8" x14ac:dyDescent="0.2">
      <c r="A889" t="s">
        <v>7</v>
      </c>
      <c r="B889" s="3">
        <v>2020</v>
      </c>
      <c r="C889" t="s">
        <v>240</v>
      </c>
      <c r="D889" t="s">
        <v>241</v>
      </c>
      <c r="E889" t="s">
        <v>241</v>
      </c>
      <c r="F889" s="4">
        <v>27867</v>
      </c>
      <c r="G889" s="4" t="s">
        <v>7</v>
      </c>
      <c r="H889" t="str">
        <f>IFERROR(VLOOKUP(E889,'GASB Match'!$A$2:$B$240,2,FALSE),"")</f>
        <v/>
      </c>
    </row>
    <row r="890" spans="1:8" x14ac:dyDescent="0.2">
      <c r="A890" t="s">
        <v>7</v>
      </c>
      <c r="B890" s="3">
        <v>2021</v>
      </c>
      <c r="C890" t="s">
        <v>240</v>
      </c>
      <c r="D890" t="s">
        <v>241</v>
      </c>
      <c r="E890" t="s">
        <v>241</v>
      </c>
      <c r="F890" s="4">
        <v>25936</v>
      </c>
      <c r="G890" s="4" t="s">
        <v>7</v>
      </c>
      <c r="H890" t="str">
        <f>IFERROR(VLOOKUP(E890,'GASB Match'!$A$2:$B$240,2,FALSE),"")</f>
        <v/>
      </c>
    </row>
    <row r="891" spans="1:8" x14ac:dyDescent="0.2">
      <c r="A891" t="s">
        <v>7</v>
      </c>
      <c r="B891" s="3">
        <v>2022</v>
      </c>
      <c r="C891" t="s">
        <v>240</v>
      </c>
      <c r="D891" t="s">
        <v>241</v>
      </c>
      <c r="E891" t="s">
        <v>241</v>
      </c>
      <c r="F891" s="4">
        <v>26885</v>
      </c>
      <c r="G891" s="4" t="s">
        <v>7</v>
      </c>
      <c r="H891" t="str">
        <f>IFERROR(VLOOKUP(E891,'GASB Match'!$A$2:$B$240,2,FALSE),"")</f>
        <v/>
      </c>
    </row>
    <row r="892" spans="1:8" x14ac:dyDescent="0.2">
      <c r="A892" t="s">
        <v>7</v>
      </c>
      <c r="B892" s="3">
        <v>2023</v>
      </c>
      <c r="C892" t="s">
        <v>240</v>
      </c>
      <c r="D892" t="s">
        <v>241</v>
      </c>
      <c r="E892" t="s">
        <v>241</v>
      </c>
      <c r="F892" s="4">
        <v>29891</v>
      </c>
      <c r="G892" s="4" t="s">
        <v>7</v>
      </c>
      <c r="H892" t="str">
        <f>IFERROR(VLOOKUP(E892,'GASB Match'!$A$2:$B$240,2,FALSE),"")</f>
        <v/>
      </c>
    </row>
    <row r="893" spans="1:8" x14ac:dyDescent="0.2">
      <c r="A893">
        <v>1301380</v>
      </c>
      <c r="B893" s="3">
        <v>2015</v>
      </c>
      <c r="C893" t="s">
        <v>242</v>
      </c>
      <c r="D893" t="s">
        <v>243</v>
      </c>
      <c r="E893" t="s">
        <v>243</v>
      </c>
      <c r="F893" s="4">
        <v>6185079.5099999998</v>
      </c>
      <c r="G893" s="4">
        <v>40462.75</v>
      </c>
      <c r="H893">
        <f>IFERROR(VLOOKUP(E893,'GASB Match'!$A$2:$B$240,2,FALSE),"")</f>
        <v>1301380</v>
      </c>
    </row>
    <row r="894" spans="1:8" x14ac:dyDescent="0.2">
      <c r="A894">
        <v>1301380</v>
      </c>
      <c r="B894" s="3">
        <v>2016</v>
      </c>
      <c r="C894" t="s">
        <v>242</v>
      </c>
      <c r="D894" t="s">
        <v>243</v>
      </c>
      <c r="E894" t="s">
        <v>243</v>
      </c>
      <c r="F894" s="4">
        <v>6948974.3200000003</v>
      </c>
      <c r="G894" s="4">
        <v>45139.15</v>
      </c>
      <c r="H894">
        <f>IFERROR(VLOOKUP(E894,'GASB Match'!$A$2:$B$240,2,FALSE),"")</f>
        <v>1301380</v>
      </c>
    </row>
    <row r="895" spans="1:8" x14ac:dyDescent="0.2">
      <c r="A895">
        <v>1301380</v>
      </c>
      <c r="B895" s="3">
        <v>2017</v>
      </c>
      <c r="C895" t="s">
        <v>242</v>
      </c>
      <c r="D895" t="s">
        <v>243</v>
      </c>
      <c r="E895" t="s">
        <v>243</v>
      </c>
      <c r="F895" s="4">
        <v>7179190</v>
      </c>
      <c r="G895" s="4">
        <v>34708</v>
      </c>
      <c r="H895">
        <f>IFERROR(VLOOKUP(E895,'GASB Match'!$A$2:$B$240,2,FALSE),"")</f>
        <v>1301380</v>
      </c>
    </row>
    <row r="896" spans="1:8" x14ac:dyDescent="0.2">
      <c r="A896">
        <v>1301380</v>
      </c>
      <c r="B896" s="3">
        <v>2018</v>
      </c>
      <c r="C896" t="s">
        <v>242</v>
      </c>
      <c r="D896" t="s">
        <v>243</v>
      </c>
      <c r="E896" t="s">
        <v>243</v>
      </c>
      <c r="F896" s="4">
        <v>8593526</v>
      </c>
      <c r="G896" s="4">
        <v>24807</v>
      </c>
      <c r="H896">
        <f>IFERROR(VLOOKUP(E896,'GASB Match'!$A$2:$B$240,2,FALSE),"")</f>
        <v>1301380</v>
      </c>
    </row>
    <row r="897" spans="1:8" x14ac:dyDescent="0.2">
      <c r="A897">
        <v>1301380</v>
      </c>
      <c r="B897" s="3">
        <v>2019</v>
      </c>
      <c r="C897" t="s">
        <v>242</v>
      </c>
      <c r="D897" t="s">
        <v>243</v>
      </c>
      <c r="E897" t="s">
        <v>243</v>
      </c>
      <c r="F897" s="4">
        <v>10691310</v>
      </c>
      <c r="G897" s="4">
        <v>26810</v>
      </c>
      <c r="H897">
        <f>IFERROR(VLOOKUP(E897,'GASB Match'!$A$2:$B$240,2,FALSE),"")</f>
        <v>1301380</v>
      </c>
    </row>
    <row r="898" spans="1:8" x14ac:dyDescent="0.2">
      <c r="A898">
        <v>1301380</v>
      </c>
      <c r="B898" s="3">
        <v>2020</v>
      </c>
      <c r="C898" t="s">
        <v>242</v>
      </c>
      <c r="D898" t="s">
        <v>243</v>
      </c>
      <c r="E898" t="s">
        <v>243</v>
      </c>
      <c r="F898" s="4">
        <v>11416620</v>
      </c>
      <c r="G898" s="4">
        <v>27307</v>
      </c>
      <c r="H898">
        <f>IFERROR(VLOOKUP(E898,'GASB Match'!$A$2:$B$240,2,FALSE),"")</f>
        <v>1301380</v>
      </c>
    </row>
    <row r="899" spans="1:8" x14ac:dyDescent="0.2">
      <c r="A899">
        <v>1301380</v>
      </c>
      <c r="B899" s="3">
        <v>2021</v>
      </c>
      <c r="C899" t="s">
        <v>242</v>
      </c>
      <c r="D899" t="s">
        <v>243</v>
      </c>
      <c r="E899" t="s">
        <v>243</v>
      </c>
      <c r="F899" s="4">
        <v>10545612</v>
      </c>
      <c r="G899" s="4">
        <v>24661</v>
      </c>
      <c r="H899">
        <f>IFERROR(VLOOKUP(E899,'GASB Match'!$A$2:$B$240,2,FALSE),"")</f>
        <v>1301380</v>
      </c>
    </row>
    <row r="900" spans="1:8" x14ac:dyDescent="0.2">
      <c r="A900">
        <v>1301380</v>
      </c>
      <c r="B900" s="3">
        <v>2022</v>
      </c>
      <c r="C900" t="s">
        <v>242</v>
      </c>
      <c r="D900" t="s">
        <v>243</v>
      </c>
      <c r="E900" t="s">
        <v>243</v>
      </c>
      <c r="F900" s="4">
        <v>11199747</v>
      </c>
      <c r="G900" s="4">
        <v>24304</v>
      </c>
      <c r="H900">
        <f>IFERROR(VLOOKUP(E900,'GASB Match'!$A$2:$B$240,2,FALSE),"")</f>
        <v>1301380</v>
      </c>
    </row>
    <row r="901" spans="1:8" x14ac:dyDescent="0.2">
      <c r="A901">
        <v>1301380</v>
      </c>
      <c r="B901" s="3">
        <v>2023</v>
      </c>
      <c r="C901" t="s">
        <v>242</v>
      </c>
      <c r="D901" t="s">
        <v>243</v>
      </c>
      <c r="E901" t="s">
        <v>243</v>
      </c>
      <c r="F901" s="4">
        <v>11751107</v>
      </c>
      <c r="G901" s="4">
        <v>25401</v>
      </c>
      <c r="H901">
        <f>IFERROR(VLOOKUP(E901,'GASB Match'!$A$2:$B$240,2,FALSE),"")</f>
        <v>1301380</v>
      </c>
    </row>
    <row r="902" spans="1:8" x14ac:dyDescent="0.2">
      <c r="A902" t="s">
        <v>7</v>
      </c>
      <c r="B902" s="3">
        <v>2015</v>
      </c>
      <c r="C902" t="s">
        <v>244</v>
      </c>
      <c r="D902" t="s">
        <v>246</v>
      </c>
      <c r="E902" t="s">
        <v>245</v>
      </c>
      <c r="F902" s="4">
        <v>32228.76</v>
      </c>
      <c r="G902" s="4" t="s">
        <v>7</v>
      </c>
      <c r="H902" t="str">
        <f>IFERROR(VLOOKUP(E902,'GASB Match'!$A$2:$B$240,2,FALSE),"")</f>
        <v/>
      </c>
    </row>
    <row r="903" spans="1:8" x14ac:dyDescent="0.2">
      <c r="A903" t="s">
        <v>7</v>
      </c>
      <c r="B903" s="3">
        <v>2016</v>
      </c>
      <c r="C903" t="s">
        <v>244</v>
      </c>
      <c r="D903" t="s">
        <v>246</v>
      </c>
      <c r="E903" t="s">
        <v>245</v>
      </c>
      <c r="F903" s="4">
        <v>34609.660000000003</v>
      </c>
      <c r="G903" s="4" t="s">
        <v>7</v>
      </c>
      <c r="H903" t="str">
        <f>IFERROR(VLOOKUP(E903,'GASB Match'!$A$2:$B$240,2,FALSE),"")</f>
        <v/>
      </c>
    </row>
    <row r="904" spans="1:8" x14ac:dyDescent="0.2">
      <c r="A904" t="s">
        <v>7</v>
      </c>
      <c r="B904" s="3">
        <v>2017</v>
      </c>
      <c r="C904" t="s">
        <v>244</v>
      </c>
      <c r="D904" t="s">
        <v>246</v>
      </c>
      <c r="E904" t="s">
        <v>245</v>
      </c>
      <c r="F904" s="4">
        <v>36620</v>
      </c>
      <c r="G904" s="4" t="s">
        <v>7</v>
      </c>
      <c r="H904" t="str">
        <f>IFERROR(VLOOKUP(E904,'GASB Match'!$A$2:$B$240,2,FALSE),"")</f>
        <v/>
      </c>
    </row>
    <row r="905" spans="1:8" x14ac:dyDescent="0.2">
      <c r="A905" t="s">
        <v>7</v>
      </c>
      <c r="B905" s="3">
        <v>2018</v>
      </c>
      <c r="C905" t="s">
        <v>244</v>
      </c>
      <c r="D905" t="s">
        <v>246</v>
      </c>
      <c r="E905" t="s">
        <v>245</v>
      </c>
      <c r="F905" s="4">
        <v>42236</v>
      </c>
      <c r="G905" s="4" t="s">
        <v>7</v>
      </c>
      <c r="H905" t="str">
        <f>IFERROR(VLOOKUP(E905,'GASB Match'!$A$2:$B$240,2,FALSE),"")</f>
        <v/>
      </c>
    </row>
    <row r="906" spans="1:8" x14ac:dyDescent="0.2">
      <c r="A906" t="s">
        <v>7</v>
      </c>
      <c r="B906" s="3">
        <v>2019</v>
      </c>
      <c r="C906" t="s">
        <v>244</v>
      </c>
      <c r="D906" t="s">
        <v>246</v>
      </c>
      <c r="E906" t="s">
        <v>245</v>
      </c>
      <c r="F906" s="4">
        <v>57668</v>
      </c>
      <c r="G906" s="4" t="s">
        <v>7</v>
      </c>
      <c r="H906" t="str">
        <f>IFERROR(VLOOKUP(E906,'GASB Match'!$A$2:$B$240,2,FALSE),"")</f>
        <v/>
      </c>
    </row>
    <row r="907" spans="1:8" x14ac:dyDescent="0.2">
      <c r="A907" t="s">
        <v>7</v>
      </c>
      <c r="B907" s="3">
        <v>2020</v>
      </c>
      <c r="C907" t="s">
        <v>244</v>
      </c>
      <c r="D907" t="s">
        <v>246</v>
      </c>
      <c r="E907" t="s">
        <v>245</v>
      </c>
      <c r="F907" s="4">
        <v>64345</v>
      </c>
      <c r="G907" s="4" t="s">
        <v>7</v>
      </c>
      <c r="H907" t="str">
        <f>IFERROR(VLOOKUP(E907,'GASB Match'!$A$2:$B$240,2,FALSE),"")</f>
        <v/>
      </c>
    </row>
    <row r="908" spans="1:8" x14ac:dyDescent="0.2">
      <c r="A908" t="s">
        <v>7</v>
      </c>
      <c r="B908" s="3">
        <v>2021</v>
      </c>
      <c r="C908" t="s">
        <v>244</v>
      </c>
      <c r="D908" t="s">
        <v>247</v>
      </c>
      <c r="E908" t="s">
        <v>245</v>
      </c>
      <c r="F908" s="4">
        <v>55601</v>
      </c>
      <c r="G908" s="4" t="s">
        <v>7</v>
      </c>
      <c r="H908" t="str">
        <f>IFERROR(VLOOKUP(E908,'GASB Match'!$A$2:$B$240,2,FALSE),"")</f>
        <v/>
      </c>
    </row>
    <row r="909" spans="1:8" x14ac:dyDescent="0.2">
      <c r="A909" t="s">
        <v>7</v>
      </c>
      <c r="B909" s="3">
        <v>2022</v>
      </c>
      <c r="C909" t="s">
        <v>244</v>
      </c>
      <c r="D909" t="s">
        <v>247</v>
      </c>
      <c r="E909" t="s">
        <v>245</v>
      </c>
      <c r="F909" s="4">
        <v>56681</v>
      </c>
      <c r="G909" s="4" t="s">
        <v>7</v>
      </c>
      <c r="H909" t="str">
        <f>IFERROR(VLOOKUP(E909,'GASB Match'!$A$2:$B$240,2,FALSE),"")</f>
        <v/>
      </c>
    </row>
    <row r="910" spans="1:8" x14ac:dyDescent="0.2">
      <c r="A910" t="s">
        <v>7</v>
      </c>
      <c r="B910" s="3">
        <v>2023</v>
      </c>
      <c r="C910" t="s">
        <v>244</v>
      </c>
      <c r="D910" t="s">
        <v>245</v>
      </c>
      <c r="E910" t="s">
        <v>245</v>
      </c>
      <c r="F910" s="4">
        <v>56758</v>
      </c>
      <c r="G910" s="4" t="s">
        <v>7</v>
      </c>
      <c r="H910" t="str">
        <f>IFERROR(VLOOKUP(E910,'GASB Match'!$A$2:$B$240,2,FALSE),"")</f>
        <v/>
      </c>
    </row>
    <row r="911" spans="1:8" x14ac:dyDescent="0.2">
      <c r="A911">
        <v>1301410</v>
      </c>
      <c r="B911" s="3">
        <v>2015</v>
      </c>
      <c r="C911" t="s">
        <v>248</v>
      </c>
      <c r="D911" t="s">
        <v>249</v>
      </c>
      <c r="E911" t="s">
        <v>249</v>
      </c>
      <c r="F911" s="4">
        <v>15337150.83</v>
      </c>
      <c r="G911" s="4">
        <v>27127.439999999999</v>
      </c>
      <c r="H911">
        <f>IFERROR(VLOOKUP(E911,'GASB Match'!$A$2:$B$240,2,FALSE),"")</f>
        <v>1301410</v>
      </c>
    </row>
    <row r="912" spans="1:8" x14ac:dyDescent="0.2">
      <c r="A912">
        <v>1301410</v>
      </c>
      <c r="B912" s="3">
        <v>2016</v>
      </c>
      <c r="C912" t="s">
        <v>248</v>
      </c>
      <c r="D912" t="s">
        <v>249</v>
      </c>
      <c r="E912" t="s">
        <v>249</v>
      </c>
      <c r="F912" s="4">
        <v>17827961.48</v>
      </c>
      <c r="G912" s="4">
        <v>31983.59</v>
      </c>
      <c r="H912">
        <f>IFERROR(VLOOKUP(E912,'GASB Match'!$A$2:$B$240,2,FALSE),"")</f>
        <v>1301410</v>
      </c>
    </row>
    <row r="913" spans="1:8" x14ac:dyDescent="0.2">
      <c r="A913">
        <v>1301410</v>
      </c>
      <c r="B913" s="3">
        <v>2017</v>
      </c>
      <c r="C913" t="s">
        <v>248</v>
      </c>
      <c r="D913" t="s">
        <v>249</v>
      </c>
      <c r="E913" t="s">
        <v>249</v>
      </c>
      <c r="F913" s="4">
        <v>18811042</v>
      </c>
      <c r="G913" s="4">
        <v>37838</v>
      </c>
      <c r="H913">
        <f>IFERROR(VLOOKUP(E913,'GASB Match'!$A$2:$B$240,2,FALSE),"")</f>
        <v>1301410</v>
      </c>
    </row>
    <row r="914" spans="1:8" x14ac:dyDescent="0.2">
      <c r="A914">
        <v>1301410</v>
      </c>
      <c r="B914" s="3">
        <v>2018</v>
      </c>
      <c r="C914" t="s">
        <v>248</v>
      </c>
      <c r="D914" t="s">
        <v>249</v>
      </c>
      <c r="E914" t="s">
        <v>249</v>
      </c>
      <c r="F914" s="4">
        <v>23180940</v>
      </c>
      <c r="G914" s="4">
        <v>50353</v>
      </c>
      <c r="H914">
        <f>IFERROR(VLOOKUP(E914,'GASB Match'!$A$2:$B$240,2,FALSE),"")</f>
        <v>1301410</v>
      </c>
    </row>
    <row r="915" spans="1:8" x14ac:dyDescent="0.2">
      <c r="A915">
        <v>1301410</v>
      </c>
      <c r="B915" s="3">
        <v>2019</v>
      </c>
      <c r="C915" t="s">
        <v>248</v>
      </c>
      <c r="D915" t="s">
        <v>249</v>
      </c>
      <c r="E915" t="s">
        <v>249</v>
      </c>
      <c r="F915" s="4">
        <v>29825518</v>
      </c>
      <c r="G915" s="4">
        <v>36630</v>
      </c>
      <c r="H915">
        <f>IFERROR(VLOOKUP(E915,'GASB Match'!$A$2:$B$240,2,FALSE),"")</f>
        <v>1301410</v>
      </c>
    </row>
    <row r="916" spans="1:8" x14ac:dyDescent="0.2">
      <c r="A916">
        <v>1301410</v>
      </c>
      <c r="B916" s="3">
        <v>2020</v>
      </c>
      <c r="C916" t="s">
        <v>248</v>
      </c>
      <c r="D916" t="s">
        <v>249</v>
      </c>
      <c r="E916" t="s">
        <v>249</v>
      </c>
      <c r="F916" s="4">
        <v>32420796</v>
      </c>
      <c r="G916" s="4">
        <v>34620</v>
      </c>
      <c r="H916">
        <f>IFERROR(VLOOKUP(E916,'GASB Match'!$A$2:$B$240,2,FALSE),"")</f>
        <v>1301410</v>
      </c>
    </row>
    <row r="917" spans="1:8" x14ac:dyDescent="0.2">
      <c r="A917">
        <v>1301410</v>
      </c>
      <c r="B917" s="3">
        <v>2021</v>
      </c>
      <c r="C917" t="s">
        <v>248</v>
      </c>
      <c r="D917" t="s">
        <v>249</v>
      </c>
      <c r="E917" t="s">
        <v>249</v>
      </c>
      <c r="F917" s="4">
        <v>29784984</v>
      </c>
      <c r="G917" s="4">
        <v>13471</v>
      </c>
      <c r="H917">
        <f>IFERROR(VLOOKUP(E917,'GASB Match'!$A$2:$B$240,2,FALSE),"")</f>
        <v>1301410</v>
      </c>
    </row>
    <row r="918" spans="1:8" x14ac:dyDescent="0.2">
      <c r="A918">
        <v>1301410</v>
      </c>
      <c r="B918" s="3">
        <v>2022</v>
      </c>
      <c r="C918" t="s">
        <v>248</v>
      </c>
      <c r="D918" t="s">
        <v>249</v>
      </c>
      <c r="E918" t="s">
        <v>249</v>
      </c>
      <c r="F918" s="4">
        <v>32077086</v>
      </c>
      <c r="G918" s="4" t="s">
        <v>7</v>
      </c>
      <c r="H918">
        <f>IFERROR(VLOOKUP(E918,'GASB Match'!$A$2:$B$240,2,FALSE),"")</f>
        <v>1301410</v>
      </c>
    </row>
    <row r="919" spans="1:8" x14ac:dyDescent="0.2">
      <c r="A919">
        <v>1301410</v>
      </c>
      <c r="B919" s="3">
        <v>2023</v>
      </c>
      <c r="C919" t="s">
        <v>248</v>
      </c>
      <c r="D919" t="s">
        <v>249</v>
      </c>
      <c r="E919" t="s">
        <v>249</v>
      </c>
      <c r="F919" s="4">
        <v>34533686</v>
      </c>
      <c r="G919" s="4" t="s">
        <v>7</v>
      </c>
      <c r="H919">
        <f>IFERROR(VLOOKUP(E919,'GASB Match'!$A$2:$B$240,2,FALSE),"")</f>
        <v>1301410</v>
      </c>
    </row>
    <row r="920" spans="1:8" x14ac:dyDescent="0.2">
      <c r="A920">
        <v>1301470</v>
      </c>
      <c r="B920" s="3">
        <v>2015</v>
      </c>
      <c r="C920" t="s">
        <v>250</v>
      </c>
      <c r="D920" t="s">
        <v>251</v>
      </c>
      <c r="E920" t="s">
        <v>251</v>
      </c>
      <c r="F920" s="4">
        <v>1992311.43</v>
      </c>
      <c r="G920" s="4">
        <v>14180.69</v>
      </c>
      <c r="H920">
        <f>IFERROR(VLOOKUP(E920,'GASB Match'!$A$2:$B$240,2,FALSE),"")</f>
        <v>1301470</v>
      </c>
    </row>
    <row r="921" spans="1:8" x14ac:dyDescent="0.2">
      <c r="A921">
        <v>1301470</v>
      </c>
      <c r="B921" s="3">
        <v>2016</v>
      </c>
      <c r="C921" t="s">
        <v>250</v>
      </c>
      <c r="D921" t="s">
        <v>251</v>
      </c>
      <c r="E921" t="s">
        <v>251</v>
      </c>
      <c r="F921" s="4">
        <v>2139454.5699999998</v>
      </c>
      <c r="G921" s="4">
        <v>8889.59</v>
      </c>
      <c r="H921">
        <f>IFERROR(VLOOKUP(E921,'GASB Match'!$A$2:$B$240,2,FALSE),"")</f>
        <v>1301470</v>
      </c>
    </row>
    <row r="922" spans="1:8" x14ac:dyDescent="0.2">
      <c r="A922">
        <v>1301470</v>
      </c>
      <c r="B922" s="3">
        <v>2017</v>
      </c>
      <c r="C922" t="s">
        <v>250</v>
      </c>
      <c r="D922" t="s">
        <v>251</v>
      </c>
      <c r="E922" t="s">
        <v>251</v>
      </c>
      <c r="F922" s="4">
        <v>2140416</v>
      </c>
      <c r="G922" s="4">
        <v>14492</v>
      </c>
      <c r="H922">
        <f>IFERROR(VLOOKUP(E922,'GASB Match'!$A$2:$B$240,2,FALSE),"")</f>
        <v>1301470</v>
      </c>
    </row>
    <row r="923" spans="1:8" x14ac:dyDescent="0.2">
      <c r="A923">
        <v>1301470</v>
      </c>
      <c r="B923" s="3">
        <v>2018</v>
      </c>
      <c r="C923" t="s">
        <v>250</v>
      </c>
      <c r="D923" t="s">
        <v>251</v>
      </c>
      <c r="E923" t="s">
        <v>251</v>
      </c>
      <c r="F923" s="4">
        <v>2601421</v>
      </c>
      <c r="G923" s="4">
        <v>18760</v>
      </c>
      <c r="H923">
        <f>IFERROR(VLOOKUP(E923,'GASB Match'!$A$2:$B$240,2,FALSE),"")</f>
        <v>1301470</v>
      </c>
    </row>
    <row r="924" spans="1:8" x14ac:dyDescent="0.2">
      <c r="A924">
        <v>1301470</v>
      </c>
      <c r="B924" s="3">
        <v>2019</v>
      </c>
      <c r="C924" t="s">
        <v>250</v>
      </c>
      <c r="D924" t="s">
        <v>251</v>
      </c>
      <c r="E924" t="s">
        <v>251</v>
      </c>
      <c r="F924" s="4">
        <v>3318307</v>
      </c>
      <c r="G924" s="4">
        <v>23585</v>
      </c>
      <c r="H924">
        <f>IFERROR(VLOOKUP(E924,'GASB Match'!$A$2:$B$240,2,FALSE),"")</f>
        <v>1301470</v>
      </c>
    </row>
    <row r="925" spans="1:8" x14ac:dyDescent="0.2">
      <c r="A925">
        <v>1301470</v>
      </c>
      <c r="B925" s="3">
        <v>2020</v>
      </c>
      <c r="C925" t="s">
        <v>250</v>
      </c>
      <c r="D925" t="s">
        <v>251</v>
      </c>
      <c r="E925" t="s">
        <v>251</v>
      </c>
      <c r="F925" s="4">
        <v>3664722</v>
      </c>
      <c r="G925" s="4">
        <v>22106</v>
      </c>
      <c r="H925">
        <f>IFERROR(VLOOKUP(E925,'GASB Match'!$A$2:$B$240,2,FALSE),"")</f>
        <v>1301470</v>
      </c>
    </row>
    <row r="926" spans="1:8" x14ac:dyDescent="0.2">
      <c r="A926">
        <v>1301470</v>
      </c>
      <c r="B926" s="3">
        <v>2021</v>
      </c>
      <c r="C926" t="s">
        <v>250</v>
      </c>
      <c r="D926" t="s">
        <v>251</v>
      </c>
      <c r="E926" t="s">
        <v>251</v>
      </c>
      <c r="F926" s="4">
        <v>3333006</v>
      </c>
      <c r="G926" s="4">
        <v>19964</v>
      </c>
      <c r="H926">
        <f>IFERROR(VLOOKUP(E926,'GASB Match'!$A$2:$B$240,2,FALSE),"")</f>
        <v>1301470</v>
      </c>
    </row>
    <row r="927" spans="1:8" x14ac:dyDescent="0.2">
      <c r="A927">
        <v>1301470</v>
      </c>
      <c r="B927" s="3">
        <v>2022</v>
      </c>
      <c r="C927" t="s">
        <v>250</v>
      </c>
      <c r="D927" t="s">
        <v>251</v>
      </c>
      <c r="E927" t="s">
        <v>251</v>
      </c>
      <c r="F927" s="4">
        <v>3610951</v>
      </c>
      <c r="G927" s="4">
        <v>25827</v>
      </c>
      <c r="H927">
        <f>IFERROR(VLOOKUP(E927,'GASB Match'!$A$2:$B$240,2,FALSE),"")</f>
        <v>1301470</v>
      </c>
    </row>
    <row r="928" spans="1:8" x14ac:dyDescent="0.2">
      <c r="A928">
        <v>1301470</v>
      </c>
      <c r="B928" s="3">
        <v>2023</v>
      </c>
      <c r="C928" t="s">
        <v>250</v>
      </c>
      <c r="D928" t="s">
        <v>251</v>
      </c>
      <c r="E928" t="s">
        <v>251</v>
      </c>
      <c r="F928" s="4">
        <v>4076591</v>
      </c>
      <c r="G928" s="4">
        <v>27674</v>
      </c>
      <c r="H928">
        <f>IFERROR(VLOOKUP(E928,'GASB Match'!$A$2:$B$240,2,FALSE),"")</f>
        <v>1301470</v>
      </c>
    </row>
    <row r="929" spans="1:8" x14ac:dyDescent="0.2">
      <c r="A929">
        <v>1301500</v>
      </c>
      <c r="B929" s="3">
        <v>2015</v>
      </c>
      <c r="C929" t="s">
        <v>252</v>
      </c>
      <c r="D929" t="s">
        <v>253</v>
      </c>
      <c r="E929" t="s">
        <v>253</v>
      </c>
      <c r="F929" s="4">
        <v>14354144.550000001</v>
      </c>
      <c r="G929" s="4" t="s">
        <v>7</v>
      </c>
      <c r="H929">
        <f>IFERROR(VLOOKUP(E929,'GASB Match'!$A$2:$B$240,2,FALSE),"")</f>
        <v>1301500</v>
      </c>
    </row>
    <row r="930" spans="1:8" x14ac:dyDescent="0.2">
      <c r="A930">
        <v>1301500</v>
      </c>
      <c r="B930" s="3">
        <v>2016</v>
      </c>
      <c r="C930" t="s">
        <v>252</v>
      </c>
      <c r="D930" t="s">
        <v>253</v>
      </c>
      <c r="E930" t="s">
        <v>253</v>
      </c>
      <c r="F930" s="4">
        <v>16091626.689999999</v>
      </c>
      <c r="G930" s="4" t="s">
        <v>7</v>
      </c>
      <c r="H930">
        <f>IFERROR(VLOOKUP(E930,'GASB Match'!$A$2:$B$240,2,FALSE),"")</f>
        <v>1301500</v>
      </c>
    </row>
    <row r="931" spans="1:8" x14ac:dyDescent="0.2">
      <c r="A931">
        <v>1301500</v>
      </c>
      <c r="B931" s="3">
        <v>2017</v>
      </c>
      <c r="C931" t="s">
        <v>252</v>
      </c>
      <c r="D931" t="s">
        <v>253</v>
      </c>
      <c r="E931" t="s">
        <v>253</v>
      </c>
      <c r="F931" s="4">
        <v>16751265</v>
      </c>
      <c r="G931" s="4">
        <v>18390</v>
      </c>
      <c r="H931">
        <f>IFERROR(VLOOKUP(E931,'GASB Match'!$A$2:$B$240,2,FALSE),"")</f>
        <v>1301500</v>
      </c>
    </row>
    <row r="932" spans="1:8" x14ac:dyDescent="0.2">
      <c r="A932">
        <v>1301500</v>
      </c>
      <c r="B932" s="3">
        <v>2018</v>
      </c>
      <c r="C932" t="s">
        <v>252</v>
      </c>
      <c r="D932" t="s">
        <v>253</v>
      </c>
      <c r="E932" t="s">
        <v>253</v>
      </c>
      <c r="F932" s="4">
        <v>20460916</v>
      </c>
      <c r="G932" s="4">
        <v>44986</v>
      </c>
      <c r="H932">
        <f>IFERROR(VLOOKUP(E932,'GASB Match'!$A$2:$B$240,2,FALSE),"")</f>
        <v>1301500</v>
      </c>
    </row>
    <row r="933" spans="1:8" x14ac:dyDescent="0.2">
      <c r="A933">
        <v>1301500</v>
      </c>
      <c r="B933" s="3">
        <v>2019</v>
      </c>
      <c r="C933" t="s">
        <v>252</v>
      </c>
      <c r="D933" t="s">
        <v>253</v>
      </c>
      <c r="E933" t="s">
        <v>253</v>
      </c>
      <c r="F933" s="4">
        <v>26017027</v>
      </c>
      <c r="G933" s="4">
        <v>52313</v>
      </c>
      <c r="H933">
        <f>IFERROR(VLOOKUP(E933,'GASB Match'!$A$2:$B$240,2,FALSE),"")</f>
        <v>1301500</v>
      </c>
    </row>
    <row r="934" spans="1:8" x14ac:dyDescent="0.2">
      <c r="A934">
        <v>1301500</v>
      </c>
      <c r="B934" s="3">
        <v>2020</v>
      </c>
      <c r="C934" t="s">
        <v>252</v>
      </c>
      <c r="D934" t="s">
        <v>253</v>
      </c>
      <c r="E934" t="s">
        <v>253</v>
      </c>
      <c r="F934" s="4">
        <v>27749517</v>
      </c>
      <c r="G934" s="4">
        <v>52025</v>
      </c>
      <c r="H934">
        <f>IFERROR(VLOOKUP(E934,'GASB Match'!$A$2:$B$240,2,FALSE),"")</f>
        <v>1301500</v>
      </c>
    </row>
    <row r="935" spans="1:8" x14ac:dyDescent="0.2">
      <c r="A935">
        <v>1301500</v>
      </c>
      <c r="B935" s="3">
        <v>2021</v>
      </c>
      <c r="C935" t="s">
        <v>252</v>
      </c>
      <c r="D935" t="s">
        <v>253</v>
      </c>
      <c r="E935" t="s">
        <v>253</v>
      </c>
      <c r="F935" s="4">
        <v>25501180</v>
      </c>
      <c r="G935" s="4">
        <v>44954</v>
      </c>
      <c r="H935">
        <f>IFERROR(VLOOKUP(E935,'GASB Match'!$A$2:$B$240,2,FALSE),"")</f>
        <v>1301500</v>
      </c>
    </row>
    <row r="936" spans="1:8" x14ac:dyDescent="0.2">
      <c r="A936">
        <v>1301500</v>
      </c>
      <c r="B936" s="3">
        <v>2022</v>
      </c>
      <c r="C936" t="s">
        <v>252</v>
      </c>
      <c r="D936" t="s">
        <v>253</v>
      </c>
      <c r="E936" t="s">
        <v>253</v>
      </c>
      <c r="F936" s="4">
        <v>28274070</v>
      </c>
      <c r="G936" s="4">
        <v>44102</v>
      </c>
      <c r="H936">
        <f>IFERROR(VLOOKUP(E936,'GASB Match'!$A$2:$B$240,2,FALSE),"")</f>
        <v>1301500</v>
      </c>
    </row>
    <row r="937" spans="1:8" x14ac:dyDescent="0.2">
      <c r="A937">
        <v>1301500</v>
      </c>
      <c r="B937" s="3">
        <v>2023</v>
      </c>
      <c r="C937" t="s">
        <v>252</v>
      </c>
      <c r="D937" t="s">
        <v>253</v>
      </c>
      <c r="E937" t="s">
        <v>253</v>
      </c>
      <c r="F937" s="4">
        <v>30040352</v>
      </c>
      <c r="G937" s="4">
        <v>57920</v>
      </c>
      <c r="H937">
        <f>IFERROR(VLOOKUP(E937,'GASB Match'!$A$2:$B$240,2,FALSE),"")</f>
        <v>1301500</v>
      </c>
    </row>
    <row r="938" spans="1:8" x14ac:dyDescent="0.2">
      <c r="A938">
        <v>1301530</v>
      </c>
      <c r="B938" s="3">
        <v>2015</v>
      </c>
      <c r="C938" t="s">
        <v>254</v>
      </c>
      <c r="D938" t="s">
        <v>255</v>
      </c>
      <c r="E938" t="s">
        <v>255</v>
      </c>
      <c r="F938" s="4">
        <v>1070789.8600000001</v>
      </c>
      <c r="G938" s="4">
        <v>17544.400000000001</v>
      </c>
      <c r="H938">
        <f>IFERROR(VLOOKUP(E938,'GASB Match'!$A$2:$B$240,2,FALSE),"")</f>
        <v>1301530</v>
      </c>
    </row>
    <row r="939" spans="1:8" x14ac:dyDescent="0.2">
      <c r="A939">
        <v>1301530</v>
      </c>
      <c r="B939" s="3">
        <v>2016</v>
      </c>
      <c r="C939" t="s">
        <v>254</v>
      </c>
      <c r="D939" t="s">
        <v>255</v>
      </c>
      <c r="E939" t="s">
        <v>255</v>
      </c>
      <c r="F939" s="4">
        <v>1183081.0900000001</v>
      </c>
      <c r="G939" s="4">
        <v>19854.54</v>
      </c>
      <c r="H939">
        <f>IFERROR(VLOOKUP(E939,'GASB Match'!$A$2:$B$240,2,FALSE),"")</f>
        <v>1301530</v>
      </c>
    </row>
    <row r="940" spans="1:8" x14ac:dyDescent="0.2">
      <c r="A940">
        <v>1301530</v>
      </c>
      <c r="B940" s="3">
        <v>2017</v>
      </c>
      <c r="C940" t="s">
        <v>254</v>
      </c>
      <c r="D940" t="s">
        <v>255</v>
      </c>
      <c r="E940" t="s">
        <v>255</v>
      </c>
      <c r="F940" s="4">
        <v>1220870</v>
      </c>
      <c r="G940" s="4">
        <v>15693</v>
      </c>
      <c r="H940">
        <f>IFERROR(VLOOKUP(E940,'GASB Match'!$A$2:$B$240,2,FALSE),"")</f>
        <v>1301530</v>
      </c>
    </row>
    <row r="941" spans="1:8" x14ac:dyDescent="0.2">
      <c r="A941">
        <v>1301530</v>
      </c>
      <c r="B941" s="3">
        <v>2018</v>
      </c>
      <c r="C941" t="s">
        <v>254</v>
      </c>
      <c r="D941" t="s">
        <v>255</v>
      </c>
      <c r="E941" t="s">
        <v>255</v>
      </c>
      <c r="F941" s="4">
        <v>1489673</v>
      </c>
      <c r="G941" s="4">
        <v>6965</v>
      </c>
      <c r="H941">
        <f>IFERROR(VLOOKUP(E941,'GASB Match'!$A$2:$B$240,2,FALSE),"")</f>
        <v>1301530</v>
      </c>
    </row>
    <row r="942" spans="1:8" x14ac:dyDescent="0.2">
      <c r="A942">
        <v>1301530</v>
      </c>
      <c r="B942" s="3">
        <v>2019</v>
      </c>
      <c r="C942" t="s">
        <v>254</v>
      </c>
      <c r="D942" t="s">
        <v>255</v>
      </c>
      <c r="E942" t="s">
        <v>255</v>
      </c>
      <c r="F942" s="4">
        <v>1897142</v>
      </c>
      <c r="G942" s="4">
        <v>8660</v>
      </c>
      <c r="H942">
        <f>IFERROR(VLOOKUP(E942,'GASB Match'!$A$2:$B$240,2,FALSE),"")</f>
        <v>1301530</v>
      </c>
    </row>
    <row r="943" spans="1:8" x14ac:dyDescent="0.2">
      <c r="A943">
        <v>1301530</v>
      </c>
      <c r="B943" s="3">
        <v>2020</v>
      </c>
      <c r="C943" t="s">
        <v>254</v>
      </c>
      <c r="D943" t="s">
        <v>255</v>
      </c>
      <c r="E943" t="s">
        <v>255</v>
      </c>
      <c r="F943" s="4">
        <v>1968708</v>
      </c>
      <c r="G943" s="4">
        <v>8907</v>
      </c>
      <c r="H943">
        <f>IFERROR(VLOOKUP(E943,'GASB Match'!$A$2:$B$240,2,FALSE),"")</f>
        <v>1301530</v>
      </c>
    </row>
    <row r="944" spans="1:8" x14ac:dyDescent="0.2">
      <c r="A944">
        <v>1301530</v>
      </c>
      <c r="B944" s="3">
        <v>2021</v>
      </c>
      <c r="C944" t="s">
        <v>254</v>
      </c>
      <c r="D944" t="s">
        <v>255</v>
      </c>
      <c r="E944" t="s">
        <v>255</v>
      </c>
      <c r="F944" s="4">
        <v>1806189</v>
      </c>
      <c r="G944" s="4">
        <v>8031</v>
      </c>
      <c r="H944">
        <f>IFERROR(VLOOKUP(E944,'GASB Match'!$A$2:$B$240,2,FALSE),"")</f>
        <v>1301530</v>
      </c>
    </row>
    <row r="945" spans="1:8" x14ac:dyDescent="0.2">
      <c r="A945">
        <v>1301530</v>
      </c>
      <c r="B945" s="3">
        <v>2022</v>
      </c>
      <c r="C945" t="s">
        <v>254</v>
      </c>
      <c r="D945" t="s">
        <v>255</v>
      </c>
      <c r="E945" t="s">
        <v>255</v>
      </c>
      <c r="F945" s="4">
        <v>1905999</v>
      </c>
      <c r="G945" s="4">
        <v>8473</v>
      </c>
      <c r="H945">
        <f>IFERROR(VLOOKUP(E945,'GASB Match'!$A$2:$B$240,2,FALSE),"")</f>
        <v>1301530</v>
      </c>
    </row>
    <row r="946" spans="1:8" x14ac:dyDescent="0.2">
      <c r="A946">
        <v>1301530</v>
      </c>
      <c r="B946" s="3">
        <v>2023</v>
      </c>
      <c r="C946" t="s">
        <v>254</v>
      </c>
      <c r="D946" t="s">
        <v>255</v>
      </c>
      <c r="E946" t="s">
        <v>255</v>
      </c>
      <c r="F946" s="4">
        <v>2031201</v>
      </c>
      <c r="G946" s="4">
        <v>8945</v>
      </c>
      <c r="H946">
        <f>IFERROR(VLOOKUP(E946,'GASB Match'!$A$2:$B$240,2,FALSE),"")</f>
        <v>1301530</v>
      </c>
    </row>
    <row r="947" spans="1:8" x14ac:dyDescent="0.2">
      <c r="A947">
        <v>1301560</v>
      </c>
      <c r="B947" s="3">
        <v>2015</v>
      </c>
      <c r="C947" t="s">
        <v>256</v>
      </c>
      <c r="D947" t="s">
        <v>257</v>
      </c>
      <c r="E947" t="s">
        <v>257</v>
      </c>
      <c r="F947" s="4">
        <v>2721655.14</v>
      </c>
      <c r="G947" s="4">
        <v>37613.69</v>
      </c>
      <c r="H947">
        <f>IFERROR(VLOOKUP(E947,'GASB Match'!$A$2:$B$240,2,FALSE),"")</f>
        <v>1301560</v>
      </c>
    </row>
    <row r="948" spans="1:8" x14ac:dyDescent="0.2">
      <c r="A948">
        <v>1301560</v>
      </c>
      <c r="B948" s="3">
        <v>2016</v>
      </c>
      <c r="C948" t="s">
        <v>256</v>
      </c>
      <c r="D948" t="s">
        <v>257</v>
      </c>
      <c r="E948" t="s">
        <v>257</v>
      </c>
      <c r="F948" s="4">
        <v>3043067.15</v>
      </c>
      <c r="G948" s="4">
        <v>41699.08</v>
      </c>
      <c r="H948">
        <f>IFERROR(VLOOKUP(E948,'GASB Match'!$A$2:$B$240,2,FALSE),"")</f>
        <v>1301560</v>
      </c>
    </row>
    <row r="949" spans="1:8" x14ac:dyDescent="0.2">
      <c r="A949">
        <v>1301560</v>
      </c>
      <c r="B949" s="3">
        <v>2017</v>
      </c>
      <c r="C949" t="s">
        <v>256</v>
      </c>
      <c r="D949" t="s">
        <v>257</v>
      </c>
      <c r="E949" t="s">
        <v>257</v>
      </c>
      <c r="F949" s="4">
        <v>3121556</v>
      </c>
      <c r="G949" s="4">
        <v>30485</v>
      </c>
      <c r="H949">
        <f>IFERROR(VLOOKUP(E949,'GASB Match'!$A$2:$B$240,2,FALSE),"")</f>
        <v>1301560</v>
      </c>
    </row>
    <row r="950" spans="1:8" x14ac:dyDescent="0.2">
      <c r="A950">
        <v>1301560</v>
      </c>
      <c r="B950" s="3">
        <v>2018</v>
      </c>
      <c r="C950" t="s">
        <v>256</v>
      </c>
      <c r="D950" t="s">
        <v>257</v>
      </c>
      <c r="E950" t="s">
        <v>257</v>
      </c>
      <c r="F950" s="4">
        <v>3716380</v>
      </c>
      <c r="G950" s="4">
        <v>25790</v>
      </c>
      <c r="H950">
        <f>IFERROR(VLOOKUP(E950,'GASB Match'!$A$2:$B$240,2,FALSE),"")</f>
        <v>1301560</v>
      </c>
    </row>
    <row r="951" spans="1:8" x14ac:dyDescent="0.2">
      <c r="A951">
        <v>1301560</v>
      </c>
      <c r="B951" s="3">
        <v>2019</v>
      </c>
      <c r="C951" t="s">
        <v>256</v>
      </c>
      <c r="D951" t="s">
        <v>257</v>
      </c>
      <c r="E951" t="s">
        <v>257</v>
      </c>
      <c r="F951" s="4">
        <v>4946165</v>
      </c>
      <c r="G951" s="4">
        <v>31706</v>
      </c>
      <c r="H951">
        <f>IFERROR(VLOOKUP(E951,'GASB Match'!$A$2:$B$240,2,FALSE),"")</f>
        <v>1301560</v>
      </c>
    </row>
    <row r="952" spans="1:8" x14ac:dyDescent="0.2">
      <c r="A952">
        <v>1301560</v>
      </c>
      <c r="B952" s="3">
        <v>2020</v>
      </c>
      <c r="C952" t="s">
        <v>256</v>
      </c>
      <c r="D952" t="s">
        <v>257</v>
      </c>
      <c r="E952" t="s">
        <v>257</v>
      </c>
      <c r="F952" s="4">
        <v>4884360</v>
      </c>
      <c r="G952" s="4">
        <v>35174</v>
      </c>
      <c r="H952">
        <f>IFERROR(VLOOKUP(E952,'GASB Match'!$A$2:$B$240,2,FALSE),"")</f>
        <v>1301560</v>
      </c>
    </row>
    <row r="953" spans="1:8" x14ac:dyDescent="0.2">
      <c r="A953">
        <v>1301560</v>
      </c>
      <c r="B953" s="3">
        <v>2021</v>
      </c>
      <c r="C953" t="s">
        <v>256</v>
      </c>
      <c r="D953" t="s">
        <v>257</v>
      </c>
      <c r="E953" t="s">
        <v>257</v>
      </c>
      <c r="F953" s="4">
        <v>4305565</v>
      </c>
      <c r="G953" s="4">
        <v>30794</v>
      </c>
      <c r="H953">
        <f>IFERROR(VLOOKUP(E953,'GASB Match'!$A$2:$B$240,2,FALSE),"")</f>
        <v>1301560</v>
      </c>
    </row>
    <row r="954" spans="1:8" x14ac:dyDescent="0.2">
      <c r="A954">
        <v>1301560</v>
      </c>
      <c r="B954" s="3">
        <v>2022</v>
      </c>
      <c r="C954" t="s">
        <v>256</v>
      </c>
      <c r="D954" t="s">
        <v>257</v>
      </c>
      <c r="E954" t="s">
        <v>257</v>
      </c>
      <c r="F954" s="4">
        <v>4542597</v>
      </c>
      <c r="G954" s="4">
        <v>35989</v>
      </c>
      <c r="H954">
        <f>IFERROR(VLOOKUP(E954,'GASB Match'!$A$2:$B$240,2,FALSE),"")</f>
        <v>1301560</v>
      </c>
    </row>
    <row r="955" spans="1:8" x14ac:dyDescent="0.2">
      <c r="A955">
        <v>1301560</v>
      </c>
      <c r="B955" s="3">
        <v>2023</v>
      </c>
      <c r="C955" t="s">
        <v>256</v>
      </c>
      <c r="D955" t="s">
        <v>257</v>
      </c>
      <c r="E955" t="s">
        <v>257</v>
      </c>
      <c r="F955" s="4">
        <v>4729293</v>
      </c>
      <c r="G955" s="4">
        <v>42573</v>
      </c>
      <c r="H955">
        <f>IFERROR(VLOOKUP(E955,'GASB Match'!$A$2:$B$240,2,FALSE),"")</f>
        <v>1301560</v>
      </c>
    </row>
    <row r="956" spans="1:8" x14ac:dyDescent="0.2">
      <c r="A956">
        <v>1301590</v>
      </c>
      <c r="B956" s="3">
        <v>2015</v>
      </c>
      <c r="C956" t="s">
        <v>258</v>
      </c>
      <c r="D956" t="s">
        <v>259</v>
      </c>
      <c r="E956" t="s">
        <v>259</v>
      </c>
      <c r="F956" s="4">
        <v>1482702.81</v>
      </c>
      <c r="G956" s="4">
        <v>15896.94</v>
      </c>
      <c r="H956">
        <f>IFERROR(VLOOKUP(E956,'GASB Match'!$A$2:$B$240,2,FALSE),"")</f>
        <v>1301590</v>
      </c>
    </row>
    <row r="957" spans="1:8" x14ac:dyDescent="0.2">
      <c r="A957">
        <v>1301590</v>
      </c>
      <c r="B957" s="3">
        <v>2016</v>
      </c>
      <c r="C957" t="s">
        <v>258</v>
      </c>
      <c r="D957" t="s">
        <v>259</v>
      </c>
      <c r="E957" t="s">
        <v>259</v>
      </c>
      <c r="F957" s="4">
        <v>1646045.93</v>
      </c>
      <c r="G957" s="4">
        <v>17677.14</v>
      </c>
      <c r="H957">
        <f>IFERROR(VLOOKUP(E957,'GASB Match'!$A$2:$B$240,2,FALSE),"")</f>
        <v>1301590</v>
      </c>
    </row>
    <row r="958" spans="1:8" x14ac:dyDescent="0.2">
      <c r="A958">
        <v>1301590</v>
      </c>
      <c r="B958" s="3">
        <v>2017</v>
      </c>
      <c r="C958" t="s">
        <v>258</v>
      </c>
      <c r="D958" t="s">
        <v>259</v>
      </c>
      <c r="E958" t="s">
        <v>259</v>
      </c>
      <c r="F958" s="4">
        <v>1692529</v>
      </c>
      <c r="G958" s="4">
        <v>10872</v>
      </c>
      <c r="H958">
        <f>IFERROR(VLOOKUP(E958,'GASB Match'!$A$2:$B$240,2,FALSE),"")</f>
        <v>1301590</v>
      </c>
    </row>
    <row r="959" spans="1:8" x14ac:dyDescent="0.2">
      <c r="A959">
        <v>1301590</v>
      </c>
      <c r="B959" s="3">
        <v>2018</v>
      </c>
      <c r="C959" t="s">
        <v>258</v>
      </c>
      <c r="D959" t="s">
        <v>259</v>
      </c>
      <c r="E959" t="s">
        <v>259</v>
      </c>
      <c r="F959" s="4">
        <v>1944285</v>
      </c>
      <c r="G959" s="4">
        <v>25474</v>
      </c>
      <c r="H959">
        <f>IFERROR(VLOOKUP(E959,'GASB Match'!$A$2:$B$240,2,FALSE),"")</f>
        <v>1301590</v>
      </c>
    </row>
    <row r="960" spans="1:8" x14ac:dyDescent="0.2">
      <c r="A960">
        <v>1301590</v>
      </c>
      <c r="B960" s="3">
        <v>2019</v>
      </c>
      <c r="C960" t="s">
        <v>258</v>
      </c>
      <c r="D960" t="s">
        <v>259</v>
      </c>
      <c r="E960" t="s">
        <v>259</v>
      </c>
      <c r="F960" s="4">
        <v>2385620</v>
      </c>
      <c r="G960" s="4">
        <v>22280</v>
      </c>
      <c r="H960">
        <f>IFERROR(VLOOKUP(E960,'GASB Match'!$A$2:$B$240,2,FALSE),"")</f>
        <v>1301590</v>
      </c>
    </row>
    <row r="961" spans="1:8" x14ac:dyDescent="0.2">
      <c r="A961">
        <v>1301590</v>
      </c>
      <c r="B961" s="3">
        <v>2020</v>
      </c>
      <c r="C961" t="s">
        <v>258</v>
      </c>
      <c r="D961" t="s">
        <v>259</v>
      </c>
      <c r="E961" t="s">
        <v>259</v>
      </c>
      <c r="F961" s="4">
        <v>2519596</v>
      </c>
      <c r="G961" s="4">
        <v>13212</v>
      </c>
      <c r="H961">
        <f>IFERROR(VLOOKUP(E961,'GASB Match'!$A$2:$B$240,2,FALSE),"")</f>
        <v>1301590</v>
      </c>
    </row>
    <row r="962" spans="1:8" x14ac:dyDescent="0.2">
      <c r="A962">
        <v>1301590</v>
      </c>
      <c r="B962" s="3">
        <v>2021</v>
      </c>
      <c r="C962" t="s">
        <v>258</v>
      </c>
      <c r="D962" t="s">
        <v>259</v>
      </c>
      <c r="E962" t="s">
        <v>259</v>
      </c>
      <c r="F962" s="4">
        <v>2343327</v>
      </c>
      <c r="G962" s="4">
        <v>17038</v>
      </c>
      <c r="H962">
        <f>IFERROR(VLOOKUP(E962,'GASB Match'!$A$2:$B$240,2,FALSE),"")</f>
        <v>1301590</v>
      </c>
    </row>
    <row r="963" spans="1:8" x14ac:dyDescent="0.2">
      <c r="A963">
        <v>1301590</v>
      </c>
      <c r="B963" s="3">
        <v>2022</v>
      </c>
      <c r="C963" t="s">
        <v>258</v>
      </c>
      <c r="D963" t="s">
        <v>259</v>
      </c>
      <c r="E963" t="s">
        <v>259</v>
      </c>
      <c r="F963" s="4">
        <v>2439908</v>
      </c>
      <c r="G963" s="4">
        <v>18805</v>
      </c>
      <c r="H963">
        <f>IFERROR(VLOOKUP(E963,'GASB Match'!$A$2:$B$240,2,FALSE),"")</f>
        <v>1301590</v>
      </c>
    </row>
    <row r="964" spans="1:8" x14ac:dyDescent="0.2">
      <c r="A964">
        <v>1301590</v>
      </c>
      <c r="B964" s="3">
        <v>2023</v>
      </c>
      <c r="C964" t="s">
        <v>258</v>
      </c>
      <c r="D964" t="s">
        <v>259</v>
      </c>
      <c r="E964" t="s">
        <v>259</v>
      </c>
      <c r="F964" s="4">
        <v>2491013</v>
      </c>
      <c r="G964" s="4">
        <v>13348</v>
      </c>
      <c r="H964">
        <f>IFERROR(VLOOKUP(E964,'GASB Match'!$A$2:$B$240,2,FALSE),"")</f>
        <v>1301590</v>
      </c>
    </row>
    <row r="965" spans="1:8" x14ac:dyDescent="0.2">
      <c r="A965">
        <v>1301650</v>
      </c>
      <c r="B965" s="3">
        <v>2015</v>
      </c>
      <c r="C965" t="s">
        <v>260</v>
      </c>
      <c r="D965" t="s">
        <v>261</v>
      </c>
      <c r="E965" t="s">
        <v>261</v>
      </c>
      <c r="F965" s="4">
        <v>2644258.13</v>
      </c>
      <c r="G965" s="4">
        <v>90074.75</v>
      </c>
      <c r="H965">
        <f>IFERROR(VLOOKUP(E965,'GASB Match'!$A$2:$B$240,2,FALSE),"")</f>
        <v>1301650</v>
      </c>
    </row>
    <row r="966" spans="1:8" x14ac:dyDescent="0.2">
      <c r="A966">
        <v>1301650</v>
      </c>
      <c r="B966" s="3">
        <v>2016</v>
      </c>
      <c r="C966" t="s">
        <v>260</v>
      </c>
      <c r="D966" t="s">
        <v>261</v>
      </c>
      <c r="E966" t="s">
        <v>261</v>
      </c>
      <c r="F966" s="4">
        <v>3059617.49</v>
      </c>
      <c r="G966" s="4">
        <v>112460.68</v>
      </c>
      <c r="H966">
        <f>IFERROR(VLOOKUP(E966,'GASB Match'!$A$2:$B$240,2,FALSE),"")</f>
        <v>1301650</v>
      </c>
    </row>
    <row r="967" spans="1:8" x14ac:dyDescent="0.2">
      <c r="A967">
        <v>1301650</v>
      </c>
      <c r="B967" s="3">
        <v>2017</v>
      </c>
      <c r="C967" t="s">
        <v>260</v>
      </c>
      <c r="D967" t="s">
        <v>261</v>
      </c>
      <c r="E967" t="s">
        <v>261</v>
      </c>
      <c r="F967" s="4">
        <v>3261378</v>
      </c>
      <c r="G967" s="4">
        <v>69302</v>
      </c>
      <c r="H967">
        <f>IFERROR(VLOOKUP(E967,'GASB Match'!$A$2:$B$240,2,FALSE),"")</f>
        <v>1301650</v>
      </c>
    </row>
    <row r="968" spans="1:8" x14ac:dyDescent="0.2">
      <c r="A968">
        <v>1301650</v>
      </c>
      <c r="B968" s="3">
        <v>2018</v>
      </c>
      <c r="C968" t="s">
        <v>260</v>
      </c>
      <c r="D968" t="s">
        <v>261</v>
      </c>
      <c r="E968" t="s">
        <v>261</v>
      </c>
      <c r="F968" s="4">
        <v>4150480</v>
      </c>
      <c r="G968" s="4">
        <v>39175</v>
      </c>
      <c r="H968">
        <f>IFERROR(VLOOKUP(E968,'GASB Match'!$A$2:$B$240,2,FALSE),"")</f>
        <v>1301650</v>
      </c>
    </row>
    <row r="969" spans="1:8" x14ac:dyDescent="0.2">
      <c r="A969">
        <v>1301650</v>
      </c>
      <c r="B969" s="3">
        <v>2019</v>
      </c>
      <c r="C969" t="s">
        <v>260</v>
      </c>
      <c r="D969" t="s">
        <v>261</v>
      </c>
      <c r="E969" t="s">
        <v>261</v>
      </c>
      <c r="F969" s="4">
        <v>5286880</v>
      </c>
      <c r="G969" s="4">
        <v>49709</v>
      </c>
      <c r="H969">
        <f>IFERROR(VLOOKUP(E969,'GASB Match'!$A$2:$B$240,2,FALSE),"")</f>
        <v>1301650</v>
      </c>
    </row>
    <row r="970" spans="1:8" x14ac:dyDescent="0.2">
      <c r="A970">
        <v>1301650</v>
      </c>
      <c r="B970" s="3">
        <v>2020</v>
      </c>
      <c r="C970" t="s">
        <v>260</v>
      </c>
      <c r="D970" t="s">
        <v>261</v>
      </c>
      <c r="E970" t="s">
        <v>261</v>
      </c>
      <c r="F970" s="4">
        <v>5672614</v>
      </c>
      <c r="G970" s="4">
        <v>46838</v>
      </c>
      <c r="H970">
        <f>IFERROR(VLOOKUP(E970,'GASB Match'!$A$2:$B$240,2,FALSE),"")</f>
        <v>1301650</v>
      </c>
    </row>
    <row r="971" spans="1:8" x14ac:dyDescent="0.2">
      <c r="A971">
        <v>1301650</v>
      </c>
      <c r="B971" s="3">
        <v>2021</v>
      </c>
      <c r="C971" t="s">
        <v>260</v>
      </c>
      <c r="D971" t="s">
        <v>261</v>
      </c>
      <c r="E971" t="s">
        <v>261</v>
      </c>
      <c r="F971" s="4">
        <v>5102282</v>
      </c>
      <c r="G971" s="4">
        <v>47613</v>
      </c>
      <c r="H971">
        <f>IFERROR(VLOOKUP(E971,'GASB Match'!$A$2:$B$240,2,FALSE),"")</f>
        <v>1301650</v>
      </c>
    </row>
    <row r="972" spans="1:8" x14ac:dyDescent="0.2">
      <c r="A972">
        <v>1301650</v>
      </c>
      <c r="B972" s="3">
        <v>2022</v>
      </c>
      <c r="C972" t="s">
        <v>260</v>
      </c>
      <c r="D972" t="s">
        <v>261</v>
      </c>
      <c r="E972" t="s">
        <v>261</v>
      </c>
      <c r="F972" s="4">
        <v>5450548</v>
      </c>
      <c r="G972" s="4">
        <v>53755</v>
      </c>
      <c r="H972">
        <f>IFERROR(VLOOKUP(E972,'GASB Match'!$A$2:$B$240,2,FALSE),"")</f>
        <v>1301650</v>
      </c>
    </row>
    <row r="973" spans="1:8" x14ac:dyDescent="0.2">
      <c r="A973">
        <v>1301650</v>
      </c>
      <c r="B973" s="3">
        <v>2023</v>
      </c>
      <c r="C973" t="s">
        <v>260</v>
      </c>
      <c r="D973" t="s">
        <v>261</v>
      </c>
      <c r="E973" t="s">
        <v>261</v>
      </c>
      <c r="F973" s="4">
        <v>5806244</v>
      </c>
      <c r="G973" s="4">
        <v>65099</v>
      </c>
      <c r="H973">
        <f>IFERROR(VLOOKUP(E973,'GASB Match'!$A$2:$B$240,2,FALSE),"")</f>
        <v>1301650</v>
      </c>
    </row>
    <row r="974" spans="1:8" x14ac:dyDescent="0.2">
      <c r="A974">
        <v>1301710</v>
      </c>
      <c r="B974" s="3">
        <v>2015</v>
      </c>
      <c r="C974" t="s">
        <v>262</v>
      </c>
      <c r="D974" t="s">
        <v>263</v>
      </c>
      <c r="E974" t="s">
        <v>263</v>
      </c>
      <c r="F974" s="4">
        <v>3411169.96</v>
      </c>
      <c r="G974" s="4">
        <v>22053.279999999999</v>
      </c>
      <c r="H974">
        <f>IFERROR(VLOOKUP(E974,'GASB Match'!$A$2:$B$240,2,FALSE),"")</f>
        <v>1301710</v>
      </c>
    </row>
    <row r="975" spans="1:8" x14ac:dyDescent="0.2">
      <c r="A975">
        <v>1301710</v>
      </c>
      <c r="B975" s="3">
        <v>2016</v>
      </c>
      <c r="C975" t="s">
        <v>262</v>
      </c>
      <c r="D975" t="s">
        <v>263</v>
      </c>
      <c r="E975" t="s">
        <v>263</v>
      </c>
      <c r="F975" s="4">
        <v>3674847.35</v>
      </c>
      <c r="G975" s="4">
        <v>23610.37</v>
      </c>
      <c r="H975">
        <f>IFERROR(VLOOKUP(E975,'GASB Match'!$A$2:$B$240,2,FALSE),"")</f>
        <v>1301710</v>
      </c>
    </row>
    <row r="976" spans="1:8" x14ac:dyDescent="0.2">
      <c r="A976">
        <v>1301710</v>
      </c>
      <c r="B976" s="3">
        <v>2017</v>
      </c>
      <c r="C976" t="s">
        <v>262</v>
      </c>
      <c r="D976" t="s">
        <v>263</v>
      </c>
      <c r="E976" t="s">
        <v>263</v>
      </c>
      <c r="F976" s="4">
        <v>3722634</v>
      </c>
      <c r="G976" s="4">
        <v>20835</v>
      </c>
      <c r="H976">
        <f>IFERROR(VLOOKUP(E976,'GASB Match'!$A$2:$B$240,2,FALSE),"")</f>
        <v>1301710</v>
      </c>
    </row>
    <row r="977" spans="1:8" x14ac:dyDescent="0.2">
      <c r="A977">
        <v>1301710</v>
      </c>
      <c r="B977" s="3">
        <v>2018</v>
      </c>
      <c r="C977" t="s">
        <v>262</v>
      </c>
      <c r="D977" t="s">
        <v>263</v>
      </c>
      <c r="E977" t="s">
        <v>263</v>
      </c>
      <c r="F977" s="4">
        <v>4358854</v>
      </c>
      <c r="G977" s="4">
        <v>16382</v>
      </c>
      <c r="H977">
        <f>IFERROR(VLOOKUP(E977,'GASB Match'!$A$2:$B$240,2,FALSE),"")</f>
        <v>1301710</v>
      </c>
    </row>
    <row r="978" spans="1:8" x14ac:dyDescent="0.2">
      <c r="A978">
        <v>1301710</v>
      </c>
      <c r="B978" s="3">
        <v>2019</v>
      </c>
      <c r="C978" t="s">
        <v>262</v>
      </c>
      <c r="D978" t="s">
        <v>263</v>
      </c>
      <c r="E978" t="s">
        <v>263</v>
      </c>
      <c r="F978" s="4">
        <v>5349291</v>
      </c>
      <c r="G978" s="4">
        <v>21411</v>
      </c>
      <c r="H978">
        <f>IFERROR(VLOOKUP(E978,'GASB Match'!$A$2:$B$240,2,FALSE),"")</f>
        <v>1301710</v>
      </c>
    </row>
    <row r="979" spans="1:8" x14ac:dyDescent="0.2">
      <c r="A979">
        <v>1301710</v>
      </c>
      <c r="B979" s="3">
        <v>2020</v>
      </c>
      <c r="C979" t="s">
        <v>262</v>
      </c>
      <c r="D979" t="s">
        <v>263</v>
      </c>
      <c r="E979" t="s">
        <v>263</v>
      </c>
      <c r="F979" s="4">
        <v>5586758</v>
      </c>
      <c r="G979" s="4">
        <v>23741</v>
      </c>
      <c r="H979">
        <f>IFERROR(VLOOKUP(E979,'GASB Match'!$A$2:$B$240,2,FALSE),"")</f>
        <v>1301710</v>
      </c>
    </row>
    <row r="980" spans="1:8" x14ac:dyDescent="0.2">
      <c r="A980">
        <v>1301710</v>
      </c>
      <c r="B980" s="3">
        <v>2021</v>
      </c>
      <c r="C980" t="s">
        <v>262</v>
      </c>
      <c r="D980" t="s">
        <v>263</v>
      </c>
      <c r="E980" t="s">
        <v>263</v>
      </c>
      <c r="F980" s="4">
        <v>4949756</v>
      </c>
      <c r="G980" s="4">
        <v>27242</v>
      </c>
      <c r="H980">
        <f>IFERROR(VLOOKUP(E980,'GASB Match'!$A$2:$B$240,2,FALSE),"")</f>
        <v>1301710</v>
      </c>
    </row>
    <row r="981" spans="1:8" x14ac:dyDescent="0.2">
      <c r="A981">
        <v>1301710</v>
      </c>
      <c r="B981" s="3">
        <v>2022</v>
      </c>
      <c r="C981" t="s">
        <v>262</v>
      </c>
      <c r="D981" t="s">
        <v>263</v>
      </c>
      <c r="E981" t="s">
        <v>263</v>
      </c>
      <c r="F981" s="4">
        <v>4983358</v>
      </c>
      <c r="G981" s="4">
        <v>28414</v>
      </c>
      <c r="H981">
        <f>IFERROR(VLOOKUP(E981,'GASB Match'!$A$2:$B$240,2,FALSE),"")</f>
        <v>1301710</v>
      </c>
    </row>
    <row r="982" spans="1:8" x14ac:dyDescent="0.2">
      <c r="A982">
        <v>1301710</v>
      </c>
      <c r="B982" s="3">
        <v>2023</v>
      </c>
      <c r="C982" t="s">
        <v>262</v>
      </c>
      <c r="D982" t="s">
        <v>263</v>
      </c>
      <c r="E982" t="s">
        <v>263</v>
      </c>
      <c r="F982" s="4">
        <v>5130489</v>
      </c>
      <c r="G982" s="4">
        <v>30343</v>
      </c>
      <c r="H982">
        <f>IFERROR(VLOOKUP(E982,'GASB Match'!$A$2:$B$240,2,FALSE),"")</f>
        <v>1301710</v>
      </c>
    </row>
    <row r="983" spans="1:8" x14ac:dyDescent="0.2">
      <c r="A983" t="s">
        <v>7</v>
      </c>
      <c r="B983" s="3">
        <v>2015</v>
      </c>
      <c r="C983" t="s">
        <v>264</v>
      </c>
      <c r="D983" t="s">
        <v>266</v>
      </c>
      <c r="E983" t="s">
        <v>265</v>
      </c>
      <c r="F983" s="4">
        <v>63417.57</v>
      </c>
      <c r="G983" s="4" t="s">
        <v>7</v>
      </c>
      <c r="H983" t="str">
        <f>IFERROR(VLOOKUP(E983,'GASB Match'!$A$2:$B$240,2,FALSE),"")</f>
        <v/>
      </c>
    </row>
    <row r="984" spans="1:8" x14ac:dyDescent="0.2">
      <c r="A984" t="s">
        <v>7</v>
      </c>
      <c r="B984" s="3">
        <v>2016</v>
      </c>
      <c r="C984" t="s">
        <v>264</v>
      </c>
      <c r="D984" t="s">
        <v>266</v>
      </c>
      <c r="E984" t="s">
        <v>265</v>
      </c>
      <c r="F984" s="4">
        <v>72263.240000000005</v>
      </c>
      <c r="G984" s="4" t="s">
        <v>7</v>
      </c>
      <c r="H984" t="str">
        <f>IFERROR(VLOOKUP(E984,'GASB Match'!$A$2:$B$240,2,FALSE),"")</f>
        <v/>
      </c>
    </row>
    <row r="985" spans="1:8" x14ac:dyDescent="0.2">
      <c r="A985" t="s">
        <v>7</v>
      </c>
      <c r="B985" s="3">
        <v>2017</v>
      </c>
      <c r="C985" t="s">
        <v>264</v>
      </c>
      <c r="D985" t="s">
        <v>266</v>
      </c>
      <c r="E985" t="s">
        <v>265</v>
      </c>
      <c r="F985" s="4">
        <v>69332</v>
      </c>
      <c r="G985" s="4" t="s">
        <v>7</v>
      </c>
      <c r="H985" t="str">
        <f>IFERROR(VLOOKUP(E985,'GASB Match'!$A$2:$B$240,2,FALSE),"")</f>
        <v/>
      </c>
    </row>
    <row r="986" spans="1:8" x14ac:dyDescent="0.2">
      <c r="A986" t="s">
        <v>7</v>
      </c>
      <c r="B986" s="3">
        <v>2018</v>
      </c>
      <c r="C986" t="s">
        <v>264</v>
      </c>
      <c r="D986" t="s">
        <v>266</v>
      </c>
      <c r="E986" t="s">
        <v>265</v>
      </c>
      <c r="F986" s="4">
        <v>84647</v>
      </c>
      <c r="G986" s="4" t="s">
        <v>7</v>
      </c>
      <c r="H986" t="str">
        <f>IFERROR(VLOOKUP(E986,'GASB Match'!$A$2:$B$240,2,FALSE),"")</f>
        <v/>
      </c>
    </row>
    <row r="987" spans="1:8" x14ac:dyDescent="0.2">
      <c r="A987" t="s">
        <v>7</v>
      </c>
      <c r="B987" s="3">
        <v>2019</v>
      </c>
      <c r="C987" t="s">
        <v>264</v>
      </c>
      <c r="D987" t="s">
        <v>266</v>
      </c>
      <c r="E987" t="s">
        <v>265</v>
      </c>
      <c r="F987" s="4">
        <v>109245</v>
      </c>
      <c r="G987" s="4" t="s">
        <v>7</v>
      </c>
      <c r="H987" t="str">
        <f>IFERROR(VLOOKUP(E987,'GASB Match'!$A$2:$B$240,2,FALSE),"")</f>
        <v/>
      </c>
    </row>
    <row r="988" spans="1:8" x14ac:dyDescent="0.2">
      <c r="A988" t="s">
        <v>7</v>
      </c>
      <c r="B988" s="3">
        <v>2020</v>
      </c>
      <c r="C988" t="s">
        <v>264</v>
      </c>
      <c r="D988" t="s">
        <v>266</v>
      </c>
      <c r="E988" t="s">
        <v>265</v>
      </c>
      <c r="F988" s="4">
        <v>115978</v>
      </c>
      <c r="G988" s="4" t="s">
        <v>7</v>
      </c>
      <c r="H988" t="str">
        <f>IFERROR(VLOOKUP(E988,'GASB Match'!$A$2:$B$240,2,FALSE),"")</f>
        <v/>
      </c>
    </row>
    <row r="989" spans="1:8" x14ac:dyDescent="0.2">
      <c r="A989" t="s">
        <v>7</v>
      </c>
      <c r="B989" s="3">
        <v>2021</v>
      </c>
      <c r="C989" t="s">
        <v>264</v>
      </c>
      <c r="D989" t="s">
        <v>265</v>
      </c>
      <c r="E989" t="s">
        <v>265</v>
      </c>
      <c r="F989" s="4">
        <v>93234</v>
      </c>
      <c r="G989" s="4" t="s">
        <v>7</v>
      </c>
      <c r="H989" t="str">
        <f>IFERROR(VLOOKUP(E989,'GASB Match'!$A$2:$B$240,2,FALSE),"")</f>
        <v/>
      </c>
    </row>
    <row r="990" spans="1:8" x14ac:dyDescent="0.2">
      <c r="A990" t="s">
        <v>7</v>
      </c>
      <c r="B990" s="3">
        <v>2022</v>
      </c>
      <c r="C990" t="s">
        <v>264</v>
      </c>
      <c r="D990" t="s">
        <v>265</v>
      </c>
      <c r="E990" t="s">
        <v>265</v>
      </c>
      <c r="F990" s="4">
        <v>104692</v>
      </c>
      <c r="G990" s="4" t="s">
        <v>7</v>
      </c>
      <c r="H990" t="str">
        <f>IFERROR(VLOOKUP(E990,'GASB Match'!$A$2:$B$240,2,FALSE),"")</f>
        <v/>
      </c>
    </row>
    <row r="991" spans="1:8" x14ac:dyDescent="0.2">
      <c r="A991" t="s">
        <v>7</v>
      </c>
      <c r="B991" s="3">
        <v>2023</v>
      </c>
      <c r="C991" t="s">
        <v>264</v>
      </c>
      <c r="D991" t="s">
        <v>265</v>
      </c>
      <c r="E991" t="s">
        <v>265</v>
      </c>
      <c r="F991" s="4">
        <v>102134</v>
      </c>
      <c r="G991" s="4" t="s">
        <v>7</v>
      </c>
      <c r="H991" t="str">
        <f>IFERROR(VLOOKUP(E991,'GASB Match'!$A$2:$B$240,2,FALSE),"")</f>
        <v/>
      </c>
    </row>
    <row r="992" spans="1:8" x14ac:dyDescent="0.2">
      <c r="A992">
        <v>1301740</v>
      </c>
      <c r="B992" s="3">
        <v>2015</v>
      </c>
      <c r="C992" t="s">
        <v>267</v>
      </c>
      <c r="D992" t="s">
        <v>268</v>
      </c>
      <c r="E992" t="s">
        <v>268</v>
      </c>
      <c r="F992" s="4">
        <v>65415030.100000001</v>
      </c>
      <c r="G992" s="4">
        <v>535170.24</v>
      </c>
      <c r="H992">
        <f>IFERROR(VLOOKUP(E992,'GASB Match'!$A$2:$B$240,2,FALSE),"")</f>
        <v>1301740</v>
      </c>
    </row>
    <row r="993" spans="1:8" x14ac:dyDescent="0.2">
      <c r="A993">
        <v>1301740</v>
      </c>
      <c r="B993" s="3">
        <v>2016</v>
      </c>
      <c r="C993" t="s">
        <v>267</v>
      </c>
      <c r="D993" t="s">
        <v>268</v>
      </c>
      <c r="E993" t="s">
        <v>268</v>
      </c>
      <c r="F993" s="4">
        <v>75983172.640000001</v>
      </c>
      <c r="G993" s="4">
        <v>598117.43000000005</v>
      </c>
      <c r="H993">
        <f>IFERROR(VLOOKUP(E993,'GASB Match'!$A$2:$B$240,2,FALSE),"")</f>
        <v>1301740</v>
      </c>
    </row>
    <row r="994" spans="1:8" x14ac:dyDescent="0.2">
      <c r="A994">
        <v>1301740</v>
      </c>
      <c r="B994" s="3">
        <v>2017</v>
      </c>
      <c r="C994" t="s">
        <v>267</v>
      </c>
      <c r="D994" t="s">
        <v>268</v>
      </c>
      <c r="E994" t="s">
        <v>268</v>
      </c>
      <c r="F994" s="4">
        <v>82233400</v>
      </c>
      <c r="G994" s="4">
        <v>452822</v>
      </c>
      <c r="H994">
        <f>IFERROR(VLOOKUP(E994,'GASB Match'!$A$2:$B$240,2,FALSE),"")</f>
        <v>1301740</v>
      </c>
    </row>
    <row r="995" spans="1:8" x14ac:dyDescent="0.2">
      <c r="A995">
        <v>1301740</v>
      </c>
      <c r="B995" s="3">
        <v>2018</v>
      </c>
      <c r="C995" t="s">
        <v>267</v>
      </c>
      <c r="D995" t="s">
        <v>268</v>
      </c>
      <c r="E995" t="s">
        <v>268</v>
      </c>
      <c r="F995" s="4">
        <v>102873458</v>
      </c>
      <c r="G995" s="4">
        <v>134443</v>
      </c>
      <c r="H995">
        <f>IFERROR(VLOOKUP(E995,'GASB Match'!$A$2:$B$240,2,FALSE),"")</f>
        <v>1301740</v>
      </c>
    </row>
    <row r="996" spans="1:8" x14ac:dyDescent="0.2">
      <c r="A996">
        <v>1301740</v>
      </c>
      <c r="B996" s="3">
        <v>2019</v>
      </c>
      <c r="C996" t="s">
        <v>267</v>
      </c>
      <c r="D996" t="s">
        <v>268</v>
      </c>
      <c r="E996" t="s">
        <v>268</v>
      </c>
      <c r="F996" s="4">
        <v>133014219</v>
      </c>
      <c r="G996" s="4">
        <v>178240</v>
      </c>
      <c r="H996">
        <f>IFERROR(VLOOKUP(E996,'GASB Match'!$A$2:$B$240,2,FALSE),"")</f>
        <v>1301740</v>
      </c>
    </row>
    <row r="997" spans="1:8" x14ac:dyDescent="0.2">
      <c r="A997">
        <v>1301740</v>
      </c>
      <c r="B997" s="3">
        <v>2020</v>
      </c>
      <c r="C997" t="s">
        <v>267</v>
      </c>
      <c r="D997" t="s">
        <v>268</v>
      </c>
      <c r="E997" t="s">
        <v>268</v>
      </c>
      <c r="F997" s="4">
        <v>144035935</v>
      </c>
      <c r="G997" s="4">
        <v>196019</v>
      </c>
      <c r="H997">
        <f>IFERROR(VLOOKUP(E997,'GASB Match'!$A$2:$B$240,2,FALSE),"")</f>
        <v>1301740</v>
      </c>
    </row>
    <row r="998" spans="1:8" x14ac:dyDescent="0.2">
      <c r="A998">
        <v>1301740</v>
      </c>
      <c r="B998" s="3">
        <v>2021</v>
      </c>
      <c r="C998" t="s">
        <v>267</v>
      </c>
      <c r="D998" t="s">
        <v>268</v>
      </c>
      <c r="E998" t="s">
        <v>268</v>
      </c>
      <c r="F998" s="4">
        <v>128200588</v>
      </c>
      <c r="G998" s="4">
        <v>179516</v>
      </c>
      <c r="H998">
        <f>IFERROR(VLOOKUP(E998,'GASB Match'!$A$2:$B$240,2,FALSE),"")</f>
        <v>1301740</v>
      </c>
    </row>
    <row r="999" spans="1:8" x14ac:dyDescent="0.2">
      <c r="A999">
        <v>1301740</v>
      </c>
      <c r="B999" s="3">
        <v>2022</v>
      </c>
      <c r="C999" t="s">
        <v>267</v>
      </c>
      <c r="D999" t="s">
        <v>268</v>
      </c>
      <c r="E999" t="s">
        <v>268</v>
      </c>
      <c r="F999" s="4">
        <v>131623204</v>
      </c>
      <c r="G999" s="4">
        <v>178812</v>
      </c>
      <c r="H999">
        <f>IFERROR(VLOOKUP(E999,'GASB Match'!$A$2:$B$240,2,FALSE),"")</f>
        <v>1301740</v>
      </c>
    </row>
    <row r="1000" spans="1:8" x14ac:dyDescent="0.2">
      <c r="A1000">
        <v>1301740</v>
      </c>
      <c r="B1000" s="3">
        <v>2023</v>
      </c>
      <c r="C1000" t="s">
        <v>267</v>
      </c>
      <c r="D1000" t="s">
        <v>268</v>
      </c>
      <c r="E1000" t="s">
        <v>268</v>
      </c>
      <c r="F1000" s="4">
        <v>134653328</v>
      </c>
      <c r="G1000" s="4">
        <v>163908</v>
      </c>
      <c r="H1000">
        <f>IFERROR(VLOOKUP(E1000,'GASB Match'!$A$2:$B$240,2,FALSE),"")</f>
        <v>1301740</v>
      </c>
    </row>
    <row r="1001" spans="1:8" x14ac:dyDescent="0.2">
      <c r="A1001" t="s">
        <v>7</v>
      </c>
      <c r="B1001" s="3">
        <v>2015</v>
      </c>
      <c r="C1001" t="s">
        <v>269</v>
      </c>
      <c r="D1001" t="s">
        <v>270</v>
      </c>
      <c r="E1001" t="s">
        <v>270</v>
      </c>
      <c r="F1001" s="4">
        <v>916064.01</v>
      </c>
      <c r="G1001" s="4" t="s">
        <v>7</v>
      </c>
      <c r="H1001" t="str">
        <f>IFERROR(VLOOKUP(E1001,'GASB Match'!$A$2:$B$240,2,FALSE),"")</f>
        <v/>
      </c>
    </row>
    <row r="1002" spans="1:8" x14ac:dyDescent="0.2">
      <c r="A1002" t="s">
        <v>7</v>
      </c>
      <c r="B1002" s="3">
        <v>2016</v>
      </c>
      <c r="C1002" t="s">
        <v>269</v>
      </c>
      <c r="D1002" t="s">
        <v>270</v>
      </c>
      <c r="E1002" t="s">
        <v>270</v>
      </c>
      <c r="F1002" s="4">
        <v>1013220.07</v>
      </c>
      <c r="G1002" s="4" t="s">
        <v>7</v>
      </c>
      <c r="H1002" t="str">
        <f>IFERROR(VLOOKUP(E1002,'GASB Match'!$A$2:$B$240,2,FALSE),"")</f>
        <v/>
      </c>
    </row>
    <row r="1003" spans="1:8" x14ac:dyDescent="0.2">
      <c r="A1003" t="s">
        <v>7</v>
      </c>
      <c r="B1003" s="3">
        <v>2017</v>
      </c>
      <c r="C1003" t="s">
        <v>269</v>
      </c>
      <c r="D1003" t="s">
        <v>270</v>
      </c>
      <c r="E1003" t="s">
        <v>270</v>
      </c>
      <c r="F1003" s="4">
        <v>1148569</v>
      </c>
      <c r="G1003" s="4" t="s">
        <v>7</v>
      </c>
      <c r="H1003" t="str">
        <f>IFERROR(VLOOKUP(E1003,'GASB Match'!$A$2:$B$240,2,FALSE),"")</f>
        <v/>
      </c>
    </row>
    <row r="1004" spans="1:8" x14ac:dyDescent="0.2">
      <c r="A1004" t="s">
        <v>7</v>
      </c>
      <c r="B1004" s="3">
        <v>2018</v>
      </c>
      <c r="C1004" t="s">
        <v>269</v>
      </c>
      <c r="D1004" t="s">
        <v>270</v>
      </c>
      <c r="E1004" t="s">
        <v>270</v>
      </c>
      <c r="F1004" s="4">
        <v>1457079</v>
      </c>
      <c r="G1004" s="4" t="s">
        <v>7</v>
      </c>
      <c r="H1004" t="str">
        <f>IFERROR(VLOOKUP(E1004,'GASB Match'!$A$2:$B$240,2,FALSE),"")</f>
        <v/>
      </c>
    </row>
    <row r="1005" spans="1:8" x14ac:dyDescent="0.2">
      <c r="A1005" t="s">
        <v>7</v>
      </c>
      <c r="B1005" s="3">
        <v>2019</v>
      </c>
      <c r="C1005" t="s">
        <v>269</v>
      </c>
      <c r="D1005" t="s">
        <v>270</v>
      </c>
      <c r="E1005" t="s">
        <v>270</v>
      </c>
      <c r="F1005" s="4">
        <v>1915112</v>
      </c>
      <c r="G1005" s="4" t="s">
        <v>7</v>
      </c>
      <c r="H1005" t="str">
        <f>IFERROR(VLOOKUP(E1005,'GASB Match'!$A$2:$B$240,2,FALSE),"")</f>
        <v/>
      </c>
    </row>
    <row r="1006" spans="1:8" x14ac:dyDescent="0.2">
      <c r="A1006" t="s">
        <v>7</v>
      </c>
      <c r="B1006" s="3">
        <v>2020</v>
      </c>
      <c r="C1006" t="s">
        <v>269</v>
      </c>
      <c r="D1006" t="s">
        <v>270</v>
      </c>
      <c r="E1006" t="s">
        <v>270</v>
      </c>
      <c r="F1006" s="4">
        <v>2027363</v>
      </c>
      <c r="G1006" s="4" t="s">
        <v>7</v>
      </c>
      <c r="H1006" t="str">
        <f>IFERROR(VLOOKUP(E1006,'GASB Match'!$A$2:$B$240,2,FALSE),"")</f>
        <v/>
      </c>
    </row>
    <row r="1007" spans="1:8" x14ac:dyDescent="0.2">
      <c r="A1007" t="s">
        <v>7</v>
      </c>
      <c r="B1007" s="3">
        <v>2021</v>
      </c>
      <c r="C1007" t="s">
        <v>269</v>
      </c>
      <c r="D1007" t="s">
        <v>270</v>
      </c>
      <c r="E1007" t="s">
        <v>270</v>
      </c>
      <c r="F1007" s="4">
        <v>1880199</v>
      </c>
      <c r="G1007" s="4" t="s">
        <v>7</v>
      </c>
      <c r="H1007" t="str">
        <f>IFERROR(VLOOKUP(E1007,'GASB Match'!$A$2:$B$240,2,FALSE),"")</f>
        <v/>
      </c>
    </row>
    <row r="1008" spans="1:8" x14ac:dyDescent="0.2">
      <c r="A1008" t="s">
        <v>7</v>
      </c>
      <c r="B1008" s="3">
        <v>2022</v>
      </c>
      <c r="C1008" t="s">
        <v>269</v>
      </c>
      <c r="D1008" t="s">
        <v>270</v>
      </c>
      <c r="E1008" t="s">
        <v>270</v>
      </c>
      <c r="F1008" s="4">
        <v>2005397</v>
      </c>
      <c r="G1008" s="4" t="s">
        <v>7</v>
      </c>
      <c r="H1008" t="str">
        <f>IFERROR(VLOOKUP(E1008,'GASB Match'!$A$2:$B$240,2,FALSE),"")</f>
        <v/>
      </c>
    </row>
    <row r="1009" spans="1:8" x14ac:dyDescent="0.2">
      <c r="A1009" t="s">
        <v>7</v>
      </c>
      <c r="B1009" s="3">
        <v>2023</v>
      </c>
      <c r="C1009" t="s">
        <v>269</v>
      </c>
      <c r="D1009" t="s">
        <v>270</v>
      </c>
      <c r="E1009" t="s">
        <v>270</v>
      </c>
      <c r="F1009" s="4">
        <v>2213781</v>
      </c>
      <c r="G1009" s="4" t="s">
        <v>7</v>
      </c>
      <c r="H1009" t="str">
        <f>IFERROR(VLOOKUP(E1009,'GASB Match'!$A$2:$B$240,2,FALSE),"")</f>
        <v/>
      </c>
    </row>
    <row r="1010" spans="1:8" x14ac:dyDescent="0.2">
      <c r="A1010">
        <v>1301770</v>
      </c>
      <c r="B1010" s="3">
        <v>2015</v>
      </c>
      <c r="C1010" t="s">
        <v>271</v>
      </c>
      <c r="D1010" t="s">
        <v>272</v>
      </c>
      <c r="E1010" t="s">
        <v>272</v>
      </c>
      <c r="F1010" s="4">
        <v>2022450.62</v>
      </c>
      <c r="G1010" s="4">
        <v>30153.06</v>
      </c>
      <c r="H1010">
        <f>IFERROR(VLOOKUP(E1010,'GASB Match'!$A$2:$B$240,2,FALSE),"")</f>
        <v>1301770</v>
      </c>
    </row>
    <row r="1011" spans="1:8" x14ac:dyDescent="0.2">
      <c r="A1011">
        <v>1301770</v>
      </c>
      <c r="B1011" s="3">
        <v>2016</v>
      </c>
      <c r="C1011" t="s">
        <v>271</v>
      </c>
      <c r="D1011" t="s">
        <v>272</v>
      </c>
      <c r="E1011" t="s">
        <v>272</v>
      </c>
      <c r="F1011" s="4">
        <v>2228399.98</v>
      </c>
      <c r="G1011" s="4">
        <v>34228.44</v>
      </c>
      <c r="H1011">
        <f>IFERROR(VLOOKUP(E1011,'GASB Match'!$A$2:$B$240,2,FALSE),"")</f>
        <v>1301770</v>
      </c>
    </row>
    <row r="1012" spans="1:8" x14ac:dyDescent="0.2">
      <c r="A1012">
        <v>1301770</v>
      </c>
      <c r="B1012" s="3">
        <v>2017</v>
      </c>
      <c r="C1012" t="s">
        <v>271</v>
      </c>
      <c r="D1012" t="s">
        <v>272</v>
      </c>
      <c r="E1012" t="s">
        <v>272</v>
      </c>
      <c r="F1012" s="4">
        <v>2310171</v>
      </c>
      <c r="G1012" s="4">
        <v>29709</v>
      </c>
      <c r="H1012">
        <f>IFERROR(VLOOKUP(E1012,'GASB Match'!$A$2:$B$240,2,FALSE),"")</f>
        <v>1301770</v>
      </c>
    </row>
    <row r="1013" spans="1:8" x14ac:dyDescent="0.2">
      <c r="A1013">
        <v>1301770</v>
      </c>
      <c r="B1013" s="3">
        <v>2018</v>
      </c>
      <c r="C1013" t="s">
        <v>271</v>
      </c>
      <c r="D1013" t="s">
        <v>272</v>
      </c>
      <c r="E1013" t="s">
        <v>272</v>
      </c>
      <c r="F1013" s="4">
        <v>2922905</v>
      </c>
      <c r="G1013" s="4">
        <v>20768</v>
      </c>
      <c r="H1013">
        <f>IFERROR(VLOOKUP(E1013,'GASB Match'!$A$2:$B$240,2,FALSE),"")</f>
        <v>1301770</v>
      </c>
    </row>
    <row r="1014" spans="1:8" x14ac:dyDescent="0.2">
      <c r="A1014">
        <v>1301770</v>
      </c>
      <c r="B1014" s="3">
        <v>2019</v>
      </c>
      <c r="C1014" t="s">
        <v>271</v>
      </c>
      <c r="D1014" t="s">
        <v>272</v>
      </c>
      <c r="E1014" t="s">
        <v>272</v>
      </c>
      <c r="F1014" s="4">
        <v>3424900</v>
      </c>
      <c r="G1014" s="4">
        <v>25568</v>
      </c>
      <c r="H1014">
        <f>IFERROR(VLOOKUP(E1014,'GASB Match'!$A$2:$B$240,2,FALSE),"")</f>
        <v>1301770</v>
      </c>
    </row>
    <row r="1015" spans="1:8" x14ac:dyDescent="0.2">
      <c r="A1015">
        <v>1301770</v>
      </c>
      <c r="B1015" s="3">
        <v>2020</v>
      </c>
      <c r="C1015" t="s">
        <v>271</v>
      </c>
      <c r="D1015" t="s">
        <v>272</v>
      </c>
      <c r="E1015" t="s">
        <v>272</v>
      </c>
      <c r="F1015" s="4">
        <v>3575328</v>
      </c>
      <c r="G1015" s="4">
        <v>26493</v>
      </c>
      <c r="H1015">
        <f>IFERROR(VLOOKUP(E1015,'GASB Match'!$A$2:$B$240,2,FALSE),"")</f>
        <v>1301770</v>
      </c>
    </row>
    <row r="1016" spans="1:8" x14ac:dyDescent="0.2">
      <c r="A1016">
        <v>1301770</v>
      </c>
      <c r="B1016" s="3">
        <v>2021</v>
      </c>
      <c r="C1016" t="s">
        <v>271</v>
      </c>
      <c r="D1016" t="s">
        <v>272</v>
      </c>
      <c r="E1016" t="s">
        <v>272</v>
      </c>
      <c r="F1016" s="4">
        <v>3220916</v>
      </c>
      <c r="G1016" s="4">
        <v>13232</v>
      </c>
      <c r="H1016">
        <f>IFERROR(VLOOKUP(E1016,'GASB Match'!$A$2:$B$240,2,FALSE),"")</f>
        <v>1301770</v>
      </c>
    </row>
    <row r="1017" spans="1:8" x14ac:dyDescent="0.2">
      <c r="A1017">
        <v>1301770</v>
      </c>
      <c r="B1017" s="3">
        <v>2022</v>
      </c>
      <c r="C1017" t="s">
        <v>271</v>
      </c>
      <c r="D1017" t="s">
        <v>272</v>
      </c>
      <c r="E1017" t="s">
        <v>272</v>
      </c>
      <c r="F1017" s="4">
        <v>3274417</v>
      </c>
      <c r="G1017" s="4">
        <v>17164</v>
      </c>
      <c r="H1017">
        <f>IFERROR(VLOOKUP(E1017,'GASB Match'!$A$2:$B$240,2,FALSE),"")</f>
        <v>1301770</v>
      </c>
    </row>
    <row r="1018" spans="1:8" x14ac:dyDescent="0.2">
      <c r="A1018">
        <v>1301770</v>
      </c>
      <c r="B1018" s="3">
        <v>2023</v>
      </c>
      <c r="C1018" t="s">
        <v>271</v>
      </c>
      <c r="D1018" t="s">
        <v>272</v>
      </c>
      <c r="E1018" t="s">
        <v>272</v>
      </c>
      <c r="F1018" s="4">
        <v>3367917</v>
      </c>
      <c r="G1018" s="4">
        <v>18548</v>
      </c>
      <c r="H1018">
        <f>IFERROR(VLOOKUP(E1018,'GASB Match'!$A$2:$B$240,2,FALSE),"")</f>
        <v>1301770</v>
      </c>
    </row>
    <row r="1019" spans="1:8" x14ac:dyDescent="0.2">
      <c r="A1019" t="s">
        <v>7</v>
      </c>
      <c r="B1019" s="3">
        <v>2015</v>
      </c>
      <c r="C1019" t="s">
        <v>273</v>
      </c>
      <c r="D1019" t="s">
        <v>274</v>
      </c>
      <c r="E1019" t="s">
        <v>274</v>
      </c>
      <c r="F1019" s="4">
        <v>53894.03</v>
      </c>
      <c r="G1019" s="4" t="s">
        <v>7</v>
      </c>
      <c r="H1019" t="str">
        <f>IFERROR(VLOOKUP(E1019,'GASB Match'!$A$2:$B$240,2,FALSE),"")</f>
        <v/>
      </c>
    </row>
    <row r="1020" spans="1:8" x14ac:dyDescent="0.2">
      <c r="A1020" t="s">
        <v>7</v>
      </c>
      <c r="B1020" s="3">
        <v>2016</v>
      </c>
      <c r="C1020" t="s">
        <v>273</v>
      </c>
      <c r="D1020" t="s">
        <v>274</v>
      </c>
      <c r="E1020" t="s">
        <v>274</v>
      </c>
      <c r="F1020" s="4">
        <v>62068.95</v>
      </c>
      <c r="G1020" s="4" t="s">
        <v>7</v>
      </c>
      <c r="H1020" t="str">
        <f>IFERROR(VLOOKUP(E1020,'GASB Match'!$A$2:$B$240,2,FALSE),"")</f>
        <v/>
      </c>
    </row>
    <row r="1021" spans="1:8" x14ac:dyDescent="0.2">
      <c r="A1021" t="s">
        <v>7</v>
      </c>
      <c r="B1021" s="3">
        <v>2017</v>
      </c>
      <c r="C1021" t="s">
        <v>273</v>
      </c>
      <c r="D1021" t="s">
        <v>274</v>
      </c>
      <c r="E1021" t="s">
        <v>274</v>
      </c>
      <c r="F1021" s="4">
        <v>64296</v>
      </c>
      <c r="G1021" s="4" t="s">
        <v>7</v>
      </c>
      <c r="H1021" t="str">
        <f>IFERROR(VLOOKUP(E1021,'GASB Match'!$A$2:$B$240,2,FALSE),"")</f>
        <v/>
      </c>
    </row>
    <row r="1022" spans="1:8" x14ac:dyDescent="0.2">
      <c r="A1022" t="s">
        <v>7</v>
      </c>
      <c r="B1022" s="3">
        <v>2018</v>
      </c>
      <c r="C1022" t="s">
        <v>273</v>
      </c>
      <c r="D1022" t="s">
        <v>274</v>
      </c>
      <c r="E1022" t="s">
        <v>274</v>
      </c>
      <c r="F1022" s="4">
        <v>77489</v>
      </c>
      <c r="G1022" s="4" t="s">
        <v>7</v>
      </c>
      <c r="H1022" t="str">
        <f>IFERROR(VLOOKUP(E1022,'GASB Match'!$A$2:$B$240,2,FALSE),"")</f>
        <v/>
      </c>
    </row>
    <row r="1023" spans="1:8" x14ac:dyDescent="0.2">
      <c r="A1023" t="s">
        <v>7</v>
      </c>
      <c r="B1023" s="3">
        <v>2019</v>
      </c>
      <c r="C1023" t="s">
        <v>273</v>
      </c>
      <c r="D1023" t="s">
        <v>274</v>
      </c>
      <c r="E1023" t="s">
        <v>274</v>
      </c>
      <c r="F1023" s="4">
        <v>87794</v>
      </c>
      <c r="G1023" s="4" t="s">
        <v>7</v>
      </c>
      <c r="H1023" t="str">
        <f>IFERROR(VLOOKUP(E1023,'GASB Match'!$A$2:$B$240,2,FALSE),"")</f>
        <v/>
      </c>
    </row>
    <row r="1024" spans="1:8" x14ac:dyDescent="0.2">
      <c r="A1024" t="s">
        <v>7</v>
      </c>
      <c r="B1024" s="3">
        <v>2020</v>
      </c>
      <c r="C1024" t="s">
        <v>273</v>
      </c>
      <c r="D1024" t="s">
        <v>274</v>
      </c>
      <c r="E1024" t="s">
        <v>274</v>
      </c>
      <c r="F1024" s="4">
        <v>79370</v>
      </c>
      <c r="G1024" s="4" t="s">
        <v>7</v>
      </c>
      <c r="H1024" t="str">
        <f>IFERROR(VLOOKUP(E1024,'GASB Match'!$A$2:$B$240,2,FALSE),"")</f>
        <v/>
      </c>
    </row>
    <row r="1025" spans="1:8" x14ac:dyDescent="0.2">
      <c r="A1025" t="s">
        <v>7</v>
      </c>
      <c r="B1025" s="3">
        <v>2021</v>
      </c>
      <c r="C1025" t="s">
        <v>273</v>
      </c>
      <c r="D1025" t="s">
        <v>274</v>
      </c>
      <c r="E1025" t="s">
        <v>274</v>
      </c>
      <c r="F1025" s="4">
        <v>78391</v>
      </c>
      <c r="G1025" s="4" t="s">
        <v>7</v>
      </c>
      <c r="H1025" t="str">
        <f>IFERROR(VLOOKUP(E1025,'GASB Match'!$A$2:$B$240,2,FALSE),"")</f>
        <v/>
      </c>
    </row>
    <row r="1026" spans="1:8" x14ac:dyDescent="0.2">
      <c r="A1026" t="s">
        <v>7</v>
      </c>
      <c r="B1026" s="3">
        <v>2022</v>
      </c>
      <c r="C1026" t="s">
        <v>273</v>
      </c>
      <c r="D1026" t="s">
        <v>274</v>
      </c>
      <c r="E1026" t="s">
        <v>274</v>
      </c>
      <c r="F1026" s="4">
        <v>80127</v>
      </c>
      <c r="G1026" s="4" t="s">
        <v>7</v>
      </c>
      <c r="H1026" t="str">
        <f>IFERROR(VLOOKUP(E1026,'GASB Match'!$A$2:$B$240,2,FALSE),"")</f>
        <v/>
      </c>
    </row>
    <row r="1027" spans="1:8" x14ac:dyDescent="0.2">
      <c r="A1027" t="s">
        <v>7</v>
      </c>
      <c r="B1027" s="3">
        <v>2023</v>
      </c>
      <c r="C1027" t="s">
        <v>273</v>
      </c>
      <c r="D1027" t="s">
        <v>274</v>
      </c>
      <c r="E1027" t="s">
        <v>274</v>
      </c>
      <c r="F1027" s="4">
        <v>77990</v>
      </c>
      <c r="G1027" s="4" t="s">
        <v>7</v>
      </c>
      <c r="H1027" t="str">
        <f>IFERROR(VLOOKUP(E1027,'GASB Match'!$A$2:$B$240,2,FALSE),"")</f>
        <v/>
      </c>
    </row>
    <row r="1028" spans="1:8" x14ac:dyDescent="0.2">
      <c r="A1028">
        <v>1301800</v>
      </c>
      <c r="B1028" s="3">
        <v>2015</v>
      </c>
      <c r="C1028" t="s">
        <v>275</v>
      </c>
      <c r="D1028" t="s">
        <v>276</v>
      </c>
      <c r="E1028" t="s">
        <v>276</v>
      </c>
      <c r="F1028" s="4">
        <v>893146.04</v>
      </c>
      <c r="G1028" s="4">
        <v>12308.18</v>
      </c>
      <c r="H1028">
        <f>IFERROR(VLOOKUP(E1028,'GASB Match'!$A$2:$B$240,2,FALSE),"")</f>
        <v>1301800</v>
      </c>
    </row>
    <row r="1029" spans="1:8" x14ac:dyDescent="0.2">
      <c r="A1029">
        <v>1301800</v>
      </c>
      <c r="B1029" s="3">
        <v>2016</v>
      </c>
      <c r="C1029" t="s">
        <v>275</v>
      </c>
      <c r="D1029" t="s">
        <v>276</v>
      </c>
      <c r="E1029" t="s">
        <v>276</v>
      </c>
      <c r="F1029" s="4">
        <v>983287.06999999902</v>
      </c>
      <c r="G1029" s="4">
        <v>11735.68</v>
      </c>
      <c r="H1029">
        <f>IFERROR(VLOOKUP(E1029,'GASB Match'!$A$2:$B$240,2,FALSE),"")</f>
        <v>1301800</v>
      </c>
    </row>
    <row r="1030" spans="1:8" x14ac:dyDescent="0.2">
      <c r="A1030">
        <v>1301800</v>
      </c>
      <c r="B1030" s="3">
        <v>2017</v>
      </c>
      <c r="C1030" t="s">
        <v>275</v>
      </c>
      <c r="D1030" t="s">
        <v>276</v>
      </c>
      <c r="E1030" t="s">
        <v>276</v>
      </c>
      <c r="F1030" s="4">
        <v>1066068</v>
      </c>
      <c r="G1030" s="4">
        <v>8827</v>
      </c>
      <c r="H1030">
        <f>IFERROR(VLOOKUP(E1030,'GASB Match'!$A$2:$B$240,2,FALSE),"")</f>
        <v>1301800</v>
      </c>
    </row>
    <row r="1031" spans="1:8" x14ac:dyDescent="0.2">
      <c r="A1031">
        <v>1301800</v>
      </c>
      <c r="B1031" s="3">
        <v>2018</v>
      </c>
      <c r="C1031" t="s">
        <v>275</v>
      </c>
      <c r="D1031" t="s">
        <v>276</v>
      </c>
      <c r="E1031" t="s">
        <v>276</v>
      </c>
      <c r="F1031" s="4">
        <v>1233326</v>
      </c>
      <c r="G1031" s="4">
        <v>11704</v>
      </c>
      <c r="H1031">
        <f>IFERROR(VLOOKUP(E1031,'GASB Match'!$A$2:$B$240,2,FALSE),"")</f>
        <v>1301800</v>
      </c>
    </row>
    <row r="1032" spans="1:8" x14ac:dyDescent="0.2">
      <c r="A1032">
        <v>1301800</v>
      </c>
      <c r="B1032" s="3">
        <v>2019</v>
      </c>
      <c r="C1032" t="s">
        <v>275</v>
      </c>
      <c r="D1032" t="s">
        <v>276</v>
      </c>
      <c r="E1032" t="s">
        <v>276</v>
      </c>
      <c r="F1032" s="4">
        <v>1376492</v>
      </c>
      <c r="G1032" s="4">
        <v>14748</v>
      </c>
      <c r="H1032">
        <f>IFERROR(VLOOKUP(E1032,'GASB Match'!$A$2:$B$240,2,FALSE),"")</f>
        <v>1301800</v>
      </c>
    </row>
    <row r="1033" spans="1:8" x14ac:dyDescent="0.2">
      <c r="A1033">
        <v>1301800</v>
      </c>
      <c r="B1033" s="3">
        <v>2020</v>
      </c>
      <c r="C1033" t="s">
        <v>275</v>
      </c>
      <c r="D1033" t="s">
        <v>276</v>
      </c>
      <c r="E1033" t="s">
        <v>276</v>
      </c>
      <c r="F1033" s="4">
        <v>1453213</v>
      </c>
      <c r="G1033" s="4">
        <v>9174</v>
      </c>
      <c r="H1033">
        <f>IFERROR(VLOOKUP(E1033,'GASB Match'!$A$2:$B$240,2,FALSE),"")</f>
        <v>1301800</v>
      </c>
    </row>
    <row r="1034" spans="1:8" x14ac:dyDescent="0.2">
      <c r="A1034">
        <v>1301800</v>
      </c>
      <c r="B1034" s="3">
        <v>2021</v>
      </c>
      <c r="C1034" t="s">
        <v>275</v>
      </c>
      <c r="D1034" t="s">
        <v>276</v>
      </c>
      <c r="E1034" t="s">
        <v>276</v>
      </c>
      <c r="F1034" s="4">
        <v>1297566</v>
      </c>
      <c r="G1034" s="4">
        <v>9255</v>
      </c>
      <c r="H1034">
        <f>IFERROR(VLOOKUP(E1034,'GASB Match'!$A$2:$B$240,2,FALSE),"")</f>
        <v>1301800</v>
      </c>
    </row>
    <row r="1035" spans="1:8" x14ac:dyDescent="0.2">
      <c r="A1035">
        <v>1301800</v>
      </c>
      <c r="B1035" s="3">
        <v>2022</v>
      </c>
      <c r="C1035" t="s">
        <v>275</v>
      </c>
      <c r="D1035" t="s">
        <v>276</v>
      </c>
      <c r="E1035" t="s">
        <v>276</v>
      </c>
      <c r="F1035" s="4">
        <v>1450492</v>
      </c>
      <c r="G1035" s="4">
        <v>22720</v>
      </c>
      <c r="H1035">
        <f>IFERROR(VLOOKUP(E1035,'GASB Match'!$A$2:$B$240,2,FALSE),"")</f>
        <v>1301800</v>
      </c>
    </row>
    <row r="1036" spans="1:8" x14ac:dyDescent="0.2">
      <c r="A1036">
        <v>1301800</v>
      </c>
      <c r="B1036" s="3">
        <v>2023</v>
      </c>
      <c r="C1036" t="s">
        <v>275</v>
      </c>
      <c r="D1036" t="s">
        <v>276</v>
      </c>
      <c r="E1036" t="s">
        <v>276</v>
      </c>
      <c r="F1036" s="4">
        <v>1600351</v>
      </c>
      <c r="G1036" s="4">
        <v>25100</v>
      </c>
      <c r="H1036">
        <f>IFERROR(VLOOKUP(E1036,'GASB Match'!$A$2:$B$240,2,FALSE),"")</f>
        <v>1301800</v>
      </c>
    </row>
    <row r="1037" spans="1:8" x14ac:dyDescent="0.2">
      <c r="A1037">
        <v>1301830</v>
      </c>
      <c r="B1037" s="3">
        <v>2015</v>
      </c>
      <c r="C1037" t="s">
        <v>277</v>
      </c>
      <c r="D1037" t="s">
        <v>278</v>
      </c>
      <c r="E1037" t="s">
        <v>278</v>
      </c>
      <c r="F1037" s="4">
        <v>10353628.539999999</v>
      </c>
      <c r="G1037" s="4">
        <v>40699.69</v>
      </c>
      <c r="H1037">
        <f>IFERROR(VLOOKUP(E1037,'GASB Match'!$A$2:$B$240,2,FALSE),"")</f>
        <v>1301830</v>
      </c>
    </row>
    <row r="1038" spans="1:8" x14ac:dyDescent="0.2">
      <c r="A1038">
        <v>1301830</v>
      </c>
      <c r="B1038" s="3">
        <v>2016</v>
      </c>
      <c r="C1038" t="s">
        <v>277</v>
      </c>
      <c r="D1038" t="s">
        <v>278</v>
      </c>
      <c r="E1038" t="s">
        <v>278</v>
      </c>
      <c r="F1038" s="4">
        <v>11213568.76</v>
      </c>
      <c r="G1038" s="4">
        <v>44651.95</v>
      </c>
      <c r="H1038">
        <f>IFERROR(VLOOKUP(E1038,'GASB Match'!$A$2:$B$240,2,FALSE),"")</f>
        <v>1301830</v>
      </c>
    </row>
    <row r="1039" spans="1:8" x14ac:dyDescent="0.2">
      <c r="A1039">
        <v>1301830</v>
      </c>
      <c r="B1039" s="3">
        <v>2017</v>
      </c>
      <c r="C1039" t="s">
        <v>277</v>
      </c>
      <c r="D1039" t="s">
        <v>278</v>
      </c>
      <c r="E1039" t="s">
        <v>278</v>
      </c>
      <c r="F1039" s="4">
        <v>11247065</v>
      </c>
      <c r="G1039" s="4">
        <v>42300</v>
      </c>
      <c r="H1039">
        <f>IFERROR(VLOOKUP(E1039,'GASB Match'!$A$2:$B$240,2,FALSE),"")</f>
        <v>1301830</v>
      </c>
    </row>
    <row r="1040" spans="1:8" x14ac:dyDescent="0.2">
      <c r="A1040">
        <v>1301830</v>
      </c>
      <c r="B1040" s="3">
        <v>2018</v>
      </c>
      <c r="C1040" t="s">
        <v>277</v>
      </c>
      <c r="D1040" t="s">
        <v>278</v>
      </c>
      <c r="E1040" t="s">
        <v>278</v>
      </c>
      <c r="F1040" s="4">
        <v>13444896</v>
      </c>
      <c r="G1040" s="4">
        <v>44878</v>
      </c>
      <c r="H1040">
        <f>IFERROR(VLOOKUP(E1040,'GASB Match'!$A$2:$B$240,2,FALSE),"")</f>
        <v>1301830</v>
      </c>
    </row>
    <row r="1041" spans="1:8" x14ac:dyDescent="0.2">
      <c r="A1041">
        <v>1301830</v>
      </c>
      <c r="B1041" s="3">
        <v>2019</v>
      </c>
      <c r="C1041" t="s">
        <v>277</v>
      </c>
      <c r="D1041" t="s">
        <v>278</v>
      </c>
      <c r="E1041" t="s">
        <v>278</v>
      </c>
      <c r="F1041" s="4">
        <v>17062210</v>
      </c>
      <c r="G1041" s="4">
        <v>59287</v>
      </c>
      <c r="H1041">
        <f>IFERROR(VLOOKUP(E1041,'GASB Match'!$A$2:$B$240,2,FALSE),"")</f>
        <v>1301830</v>
      </c>
    </row>
    <row r="1042" spans="1:8" x14ac:dyDescent="0.2">
      <c r="A1042">
        <v>1301830</v>
      </c>
      <c r="B1042" s="3">
        <v>2020</v>
      </c>
      <c r="C1042" t="s">
        <v>277</v>
      </c>
      <c r="D1042" t="s">
        <v>278</v>
      </c>
      <c r="E1042" t="s">
        <v>278</v>
      </c>
      <c r="F1042" s="4">
        <v>17875391</v>
      </c>
      <c r="G1042" s="4">
        <v>61201</v>
      </c>
      <c r="H1042">
        <f>IFERROR(VLOOKUP(E1042,'GASB Match'!$A$2:$B$240,2,FALSE),"")</f>
        <v>1301830</v>
      </c>
    </row>
    <row r="1043" spans="1:8" x14ac:dyDescent="0.2">
      <c r="A1043">
        <v>1301830</v>
      </c>
      <c r="B1043" s="3">
        <v>2021</v>
      </c>
      <c r="C1043" t="s">
        <v>277</v>
      </c>
      <c r="D1043" t="s">
        <v>278</v>
      </c>
      <c r="E1043" t="s">
        <v>278</v>
      </c>
      <c r="F1043" s="4">
        <v>16351217</v>
      </c>
      <c r="G1043" s="4">
        <v>39133</v>
      </c>
      <c r="H1043">
        <f>IFERROR(VLOOKUP(E1043,'GASB Match'!$A$2:$B$240,2,FALSE),"")</f>
        <v>1301830</v>
      </c>
    </row>
    <row r="1044" spans="1:8" x14ac:dyDescent="0.2">
      <c r="A1044">
        <v>1301830</v>
      </c>
      <c r="B1044" s="3">
        <v>2022</v>
      </c>
      <c r="C1044" t="s">
        <v>277</v>
      </c>
      <c r="D1044" t="s">
        <v>278</v>
      </c>
      <c r="E1044" t="s">
        <v>278</v>
      </c>
      <c r="F1044" s="4">
        <v>17059386</v>
      </c>
      <c r="G1044" s="4">
        <v>39969</v>
      </c>
      <c r="H1044">
        <f>IFERROR(VLOOKUP(E1044,'GASB Match'!$A$2:$B$240,2,FALSE),"")</f>
        <v>1301830</v>
      </c>
    </row>
    <row r="1045" spans="1:8" x14ac:dyDescent="0.2">
      <c r="A1045">
        <v>1301830</v>
      </c>
      <c r="B1045" s="3">
        <v>2023</v>
      </c>
      <c r="C1045" t="s">
        <v>277</v>
      </c>
      <c r="D1045" t="s">
        <v>278</v>
      </c>
      <c r="E1045" t="s">
        <v>278</v>
      </c>
      <c r="F1045" s="4">
        <v>18277961</v>
      </c>
      <c r="G1045" s="4">
        <v>62848</v>
      </c>
      <c r="H1045">
        <f>IFERROR(VLOOKUP(E1045,'GASB Match'!$A$2:$B$240,2,FALSE),"")</f>
        <v>1301830</v>
      </c>
    </row>
    <row r="1046" spans="1:8" x14ac:dyDescent="0.2">
      <c r="A1046" t="s">
        <v>7</v>
      </c>
      <c r="B1046" s="3">
        <v>2015</v>
      </c>
      <c r="C1046" t="s">
        <v>279</v>
      </c>
      <c r="D1046" t="s">
        <v>280</v>
      </c>
      <c r="E1046" t="s">
        <v>280</v>
      </c>
      <c r="F1046" s="4">
        <v>129817.06</v>
      </c>
      <c r="G1046" s="4" t="s">
        <v>7</v>
      </c>
      <c r="H1046" t="str">
        <f>IFERROR(VLOOKUP(E1046,'GASB Match'!$A$2:$B$240,2,FALSE),"")</f>
        <v/>
      </c>
    </row>
    <row r="1047" spans="1:8" x14ac:dyDescent="0.2">
      <c r="A1047" t="s">
        <v>7</v>
      </c>
      <c r="B1047" s="3">
        <v>2016</v>
      </c>
      <c r="C1047" t="s">
        <v>279</v>
      </c>
      <c r="D1047" t="s">
        <v>280</v>
      </c>
      <c r="E1047" t="s">
        <v>280</v>
      </c>
      <c r="F1047" s="4">
        <v>161122.72</v>
      </c>
      <c r="G1047" s="4" t="s">
        <v>7</v>
      </c>
      <c r="H1047" t="str">
        <f>IFERROR(VLOOKUP(E1047,'GASB Match'!$A$2:$B$240,2,FALSE),"")</f>
        <v/>
      </c>
    </row>
    <row r="1048" spans="1:8" x14ac:dyDescent="0.2">
      <c r="A1048" t="s">
        <v>7</v>
      </c>
      <c r="B1048" s="3">
        <v>2017</v>
      </c>
      <c r="C1048" t="s">
        <v>279</v>
      </c>
      <c r="D1048" t="s">
        <v>280</v>
      </c>
      <c r="E1048" t="s">
        <v>280</v>
      </c>
      <c r="F1048" s="4">
        <v>178590</v>
      </c>
      <c r="G1048" s="4" t="s">
        <v>7</v>
      </c>
      <c r="H1048" t="str">
        <f>IFERROR(VLOOKUP(E1048,'GASB Match'!$A$2:$B$240,2,FALSE),"")</f>
        <v/>
      </c>
    </row>
    <row r="1049" spans="1:8" x14ac:dyDescent="0.2">
      <c r="A1049" t="s">
        <v>7</v>
      </c>
      <c r="B1049" s="3">
        <v>2018</v>
      </c>
      <c r="C1049" t="s">
        <v>279</v>
      </c>
      <c r="D1049" t="s">
        <v>280</v>
      </c>
      <c r="E1049" t="s">
        <v>280</v>
      </c>
      <c r="F1049" s="4">
        <v>203630</v>
      </c>
      <c r="G1049" s="4" t="s">
        <v>7</v>
      </c>
      <c r="H1049" t="str">
        <f>IFERROR(VLOOKUP(E1049,'GASB Match'!$A$2:$B$240,2,FALSE),"")</f>
        <v/>
      </c>
    </row>
    <row r="1050" spans="1:8" x14ac:dyDescent="0.2">
      <c r="A1050" t="s">
        <v>7</v>
      </c>
      <c r="B1050" s="3">
        <v>2019</v>
      </c>
      <c r="C1050" t="s">
        <v>279</v>
      </c>
      <c r="D1050" t="s">
        <v>280</v>
      </c>
      <c r="E1050" t="s">
        <v>280</v>
      </c>
      <c r="F1050" s="4">
        <v>254502</v>
      </c>
      <c r="G1050" s="4" t="s">
        <v>7</v>
      </c>
      <c r="H1050" t="str">
        <f>IFERROR(VLOOKUP(E1050,'GASB Match'!$A$2:$B$240,2,FALSE),"")</f>
        <v/>
      </c>
    </row>
    <row r="1051" spans="1:8" x14ac:dyDescent="0.2">
      <c r="A1051" t="s">
        <v>7</v>
      </c>
      <c r="B1051" s="3">
        <v>2020</v>
      </c>
      <c r="C1051" t="s">
        <v>279</v>
      </c>
      <c r="D1051" t="s">
        <v>280</v>
      </c>
      <c r="E1051" t="s">
        <v>280</v>
      </c>
      <c r="F1051" s="4">
        <v>272568</v>
      </c>
      <c r="G1051" s="4" t="s">
        <v>7</v>
      </c>
      <c r="H1051" t="str">
        <f>IFERROR(VLOOKUP(E1051,'GASB Match'!$A$2:$B$240,2,FALSE),"")</f>
        <v/>
      </c>
    </row>
    <row r="1052" spans="1:8" x14ac:dyDescent="0.2">
      <c r="A1052" t="s">
        <v>7</v>
      </c>
      <c r="B1052" s="3">
        <v>2021</v>
      </c>
      <c r="C1052" t="s">
        <v>279</v>
      </c>
      <c r="D1052" t="s">
        <v>280</v>
      </c>
      <c r="E1052" t="s">
        <v>280</v>
      </c>
      <c r="F1052" s="4">
        <v>233484</v>
      </c>
      <c r="G1052" s="4" t="s">
        <v>7</v>
      </c>
      <c r="H1052" t="str">
        <f>IFERROR(VLOOKUP(E1052,'GASB Match'!$A$2:$B$240,2,FALSE),"")</f>
        <v/>
      </c>
    </row>
    <row r="1053" spans="1:8" x14ac:dyDescent="0.2">
      <c r="A1053" t="s">
        <v>7</v>
      </c>
      <c r="B1053" s="3">
        <v>2022</v>
      </c>
      <c r="C1053" t="s">
        <v>279</v>
      </c>
      <c r="D1053" t="s">
        <v>280</v>
      </c>
      <c r="E1053" t="s">
        <v>280</v>
      </c>
      <c r="F1053" s="4">
        <v>235736</v>
      </c>
      <c r="G1053" s="4" t="s">
        <v>7</v>
      </c>
      <c r="H1053" t="str">
        <f>IFERROR(VLOOKUP(E1053,'GASB Match'!$A$2:$B$240,2,FALSE),"")</f>
        <v/>
      </c>
    </row>
    <row r="1054" spans="1:8" x14ac:dyDescent="0.2">
      <c r="A1054" t="s">
        <v>7</v>
      </c>
      <c r="B1054" s="3">
        <v>2023</v>
      </c>
      <c r="C1054" t="s">
        <v>279</v>
      </c>
      <c r="D1054" t="s">
        <v>280</v>
      </c>
      <c r="E1054" t="s">
        <v>280</v>
      </c>
      <c r="F1054" s="4">
        <v>287150</v>
      </c>
      <c r="G1054" s="4" t="s">
        <v>7</v>
      </c>
      <c r="H1054" t="str">
        <f>IFERROR(VLOOKUP(E1054,'GASB Match'!$A$2:$B$240,2,FALSE),"")</f>
        <v/>
      </c>
    </row>
    <row r="1055" spans="1:8" x14ac:dyDescent="0.2">
      <c r="A1055">
        <v>1301860</v>
      </c>
      <c r="B1055" s="3">
        <v>2015</v>
      </c>
      <c r="C1055" t="s">
        <v>281</v>
      </c>
      <c r="D1055" t="s">
        <v>282</v>
      </c>
      <c r="E1055" t="s">
        <v>282</v>
      </c>
      <c r="F1055" s="4">
        <v>16386396.220000001</v>
      </c>
      <c r="G1055" s="4">
        <v>39515.07</v>
      </c>
      <c r="H1055">
        <f>IFERROR(VLOOKUP(E1055,'GASB Match'!$A$2:$B$240,2,FALSE),"")</f>
        <v>1301860</v>
      </c>
    </row>
    <row r="1056" spans="1:8" x14ac:dyDescent="0.2">
      <c r="A1056">
        <v>1301860</v>
      </c>
      <c r="B1056" s="3">
        <v>2016</v>
      </c>
      <c r="C1056" t="s">
        <v>281</v>
      </c>
      <c r="D1056" t="s">
        <v>282</v>
      </c>
      <c r="E1056" t="s">
        <v>282</v>
      </c>
      <c r="F1056" s="4">
        <v>18531075.859999999</v>
      </c>
      <c r="G1056" s="4">
        <v>46955.13</v>
      </c>
      <c r="H1056">
        <f>IFERROR(VLOOKUP(E1056,'GASB Match'!$A$2:$B$240,2,FALSE),"")</f>
        <v>1301860</v>
      </c>
    </row>
    <row r="1057" spans="1:8" x14ac:dyDescent="0.2">
      <c r="A1057">
        <v>1301860</v>
      </c>
      <c r="B1057" s="3">
        <v>2017</v>
      </c>
      <c r="C1057" t="s">
        <v>281</v>
      </c>
      <c r="D1057" t="s">
        <v>282</v>
      </c>
      <c r="E1057" t="s">
        <v>282</v>
      </c>
      <c r="F1057" s="4">
        <v>19160896</v>
      </c>
      <c r="G1057" s="4">
        <v>33496</v>
      </c>
      <c r="H1057">
        <f>IFERROR(VLOOKUP(E1057,'GASB Match'!$A$2:$B$240,2,FALSE),"")</f>
        <v>1301860</v>
      </c>
    </row>
    <row r="1058" spans="1:8" x14ac:dyDescent="0.2">
      <c r="A1058">
        <v>1301860</v>
      </c>
      <c r="B1058" s="3">
        <v>2018</v>
      </c>
      <c r="C1058" t="s">
        <v>281</v>
      </c>
      <c r="D1058" t="s">
        <v>282</v>
      </c>
      <c r="E1058" t="s">
        <v>282</v>
      </c>
      <c r="F1058" s="4">
        <v>23557083</v>
      </c>
      <c r="G1058" s="4">
        <v>30468</v>
      </c>
      <c r="H1058">
        <f>IFERROR(VLOOKUP(E1058,'GASB Match'!$A$2:$B$240,2,FALSE),"")</f>
        <v>1301860</v>
      </c>
    </row>
    <row r="1059" spans="1:8" x14ac:dyDescent="0.2">
      <c r="A1059">
        <v>1301860</v>
      </c>
      <c r="B1059" s="3">
        <v>2019</v>
      </c>
      <c r="C1059" t="s">
        <v>281</v>
      </c>
      <c r="D1059" t="s">
        <v>282</v>
      </c>
      <c r="E1059" t="s">
        <v>282</v>
      </c>
      <c r="F1059" s="4">
        <v>30733931</v>
      </c>
      <c r="G1059" s="4">
        <v>30159</v>
      </c>
      <c r="H1059">
        <f>IFERROR(VLOOKUP(E1059,'GASB Match'!$A$2:$B$240,2,FALSE),"")</f>
        <v>1301860</v>
      </c>
    </row>
    <row r="1060" spans="1:8" x14ac:dyDescent="0.2">
      <c r="A1060">
        <v>1301860</v>
      </c>
      <c r="B1060" s="3">
        <v>2020</v>
      </c>
      <c r="C1060" t="s">
        <v>281</v>
      </c>
      <c r="D1060" t="s">
        <v>282</v>
      </c>
      <c r="E1060" t="s">
        <v>282</v>
      </c>
      <c r="F1060" s="4">
        <v>32140707</v>
      </c>
      <c r="G1060" s="4">
        <v>33220</v>
      </c>
      <c r="H1060">
        <f>IFERROR(VLOOKUP(E1060,'GASB Match'!$A$2:$B$240,2,FALSE),"")</f>
        <v>1301860</v>
      </c>
    </row>
    <row r="1061" spans="1:8" x14ac:dyDescent="0.2">
      <c r="A1061">
        <v>1301860</v>
      </c>
      <c r="B1061" s="3">
        <v>2021</v>
      </c>
      <c r="C1061" t="s">
        <v>281</v>
      </c>
      <c r="D1061" t="s">
        <v>282</v>
      </c>
      <c r="E1061" t="s">
        <v>282</v>
      </c>
      <c r="F1061" s="4">
        <v>29201902</v>
      </c>
      <c r="G1061" s="4">
        <v>29411</v>
      </c>
      <c r="H1061">
        <f>IFERROR(VLOOKUP(E1061,'GASB Match'!$A$2:$B$240,2,FALSE),"")</f>
        <v>1301860</v>
      </c>
    </row>
    <row r="1062" spans="1:8" x14ac:dyDescent="0.2">
      <c r="A1062">
        <v>1301860</v>
      </c>
      <c r="B1062" s="3">
        <v>2022</v>
      </c>
      <c r="C1062" t="s">
        <v>281</v>
      </c>
      <c r="D1062" t="s">
        <v>282</v>
      </c>
      <c r="E1062" t="s">
        <v>282</v>
      </c>
      <c r="F1062" s="4">
        <v>31470829</v>
      </c>
      <c r="G1062" s="4">
        <v>18932</v>
      </c>
      <c r="H1062">
        <f>IFERROR(VLOOKUP(E1062,'GASB Match'!$A$2:$B$240,2,FALSE),"")</f>
        <v>1301860</v>
      </c>
    </row>
    <row r="1063" spans="1:8" x14ac:dyDescent="0.2">
      <c r="A1063">
        <v>1301860</v>
      </c>
      <c r="B1063" s="3">
        <v>2023</v>
      </c>
      <c r="C1063" t="s">
        <v>281</v>
      </c>
      <c r="D1063" t="s">
        <v>282</v>
      </c>
      <c r="E1063" t="s">
        <v>282</v>
      </c>
      <c r="F1063" s="4">
        <v>32965204</v>
      </c>
      <c r="G1063" s="4">
        <v>19494</v>
      </c>
      <c r="H1063">
        <f>IFERROR(VLOOKUP(E1063,'GASB Match'!$A$2:$B$240,2,FALSE),"")</f>
        <v>1301860</v>
      </c>
    </row>
    <row r="1064" spans="1:8" x14ac:dyDescent="0.2">
      <c r="A1064">
        <v>1301920</v>
      </c>
      <c r="B1064" s="3">
        <v>2015</v>
      </c>
      <c r="C1064" t="s">
        <v>283</v>
      </c>
      <c r="D1064" t="s">
        <v>284</v>
      </c>
      <c r="E1064" t="s">
        <v>284</v>
      </c>
      <c r="F1064" s="4">
        <v>1596835.86</v>
      </c>
      <c r="G1064" s="4">
        <v>11067.59</v>
      </c>
      <c r="H1064">
        <f>IFERROR(VLOOKUP(E1064,'GASB Match'!$A$2:$B$240,2,FALSE),"")</f>
        <v>1301920</v>
      </c>
    </row>
    <row r="1065" spans="1:8" x14ac:dyDescent="0.2">
      <c r="A1065">
        <v>1301920</v>
      </c>
      <c r="B1065" s="3">
        <v>2016</v>
      </c>
      <c r="C1065" t="s">
        <v>283</v>
      </c>
      <c r="D1065" t="s">
        <v>284</v>
      </c>
      <c r="E1065" t="s">
        <v>284</v>
      </c>
      <c r="F1065" s="4">
        <v>1749433.9</v>
      </c>
      <c r="G1065" s="4">
        <v>15074</v>
      </c>
      <c r="H1065">
        <f>IFERROR(VLOOKUP(E1065,'GASB Match'!$A$2:$B$240,2,FALSE),"")</f>
        <v>1301920</v>
      </c>
    </row>
    <row r="1066" spans="1:8" x14ac:dyDescent="0.2">
      <c r="A1066">
        <v>1301920</v>
      </c>
      <c r="B1066" s="3">
        <v>2017</v>
      </c>
      <c r="C1066" t="s">
        <v>283</v>
      </c>
      <c r="D1066" t="s">
        <v>284</v>
      </c>
      <c r="E1066" t="s">
        <v>284</v>
      </c>
      <c r="F1066" s="4">
        <v>1739205</v>
      </c>
      <c r="G1066" s="4">
        <v>15851</v>
      </c>
      <c r="H1066">
        <f>IFERROR(VLOOKUP(E1066,'GASB Match'!$A$2:$B$240,2,FALSE),"")</f>
        <v>1301920</v>
      </c>
    </row>
    <row r="1067" spans="1:8" x14ac:dyDescent="0.2">
      <c r="A1067">
        <v>1301920</v>
      </c>
      <c r="B1067" s="3">
        <v>2018</v>
      </c>
      <c r="C1067" t="s">
        <v>283</v>
      </c>
      <c r="D1067" t="s">
        <v>284</v>
      </c>
      <c r="E1067" t="s">
        <v>284</v>
      </c>
      <c r="F1067" s="4">
        <v>2132889</v>
      </c>
      <c r="G1067" s="4">
        <v>14123</v>
      </c>
      <c r="H1067">
        <f>IFERROR(VLOOKUP(E1067,'GASB Match'!$A$2:$B$240,2,FALSE),"")</f>
        <v>1301920</v>
      </c>
    </row>
    <row r="1068" spans="1:8" x14ac:dyDescent="0.2">
      <c r="A1068">
        <v>1301920</v>
      </c>
      <c r="B1068" s="3">
        <v>2019</v>
      </c>
      <c r="C1068" t="s">
        <v>283</v>
      </c>
      <c r="D1068" t="s">
        <v>284</v>
      </c>
      <c r="E1068" t="s">
        <v>284</v>
      </c>
      <c r="F1068" s="4">
        <v>2559897</v>
      </c>
      <c r="G1068" s="4">
        <v>23781</v>
      </c>
      <c r="H1068">
        <f>IFERROR(VLOOKUP(E1068,'GASB Match'!$A$2:$B$240,2,FALSE),"")</f>
        <v>1301920</v>
      </c>
    </row>
    <row r="1069" spans="1:8" x14ac:dyDescent="0.2">
      <c r="A1069">
        <v>1301920</v>
      </c>
      <c r="B1069" s="3">
        <v>2020</v>
      </c>
      <c r="C1069" t="s">
        <v>283</v>
      </c>
      <c r="D1069" t="s">
        <v>284</v>
      </c>
      <c r="E1069" t="s">
        <v>284</v>
      </c>
      <c r="F1069" s="4">
        <v>2712502</v>
      </c>
      <c r="G1069" s="4">
        <v>21795</v>
      </c>
      <c r="H1069">
        <f>IFERROR(VLOOKUP(E1069,'GASB Match'!$A$2:$B$240,2,FALSE),"")</f>
        <v>1301920</v>
      </c>
    </row>
    <row r="1070" spans="1:8" x14ac:dyDescent="0.2">
      <c r="A1070">
        <v>1301920</v>
      </c>
      <c r="B1070" s="3">
        <v>2021</v>
      </c>
      <c r="C1070" t="s">
        <v>283</v>
      </c>
      <c r="D1070" t="s">
        <v>284</v>
      </c>
      <c r="E1070" t="s">
        <v>284</v>
      </c>
      <c r="F1070" s="4">
        <v>2353092</v>
      </c>
      <c r="G1070" s="4">
        <v>20003</v>
      </c>
      <c r="H1070">
        <f>IFERROR(VLOOKUP(E1070,'GASB Match'!$A$2:$B$240,2,FALSE),"")</f>
        <v>1301920</v>
      </c>
    </row>
    <row r="1071" spans="1:8" x14ac:dyDescent="0.2">
      <c r="A1071">
        <v>1301920</v>
      </c>
      <c r="B1071" s="3">
        <v>2022</v>
      </c>
      <c r="C1071" t="s">
        <v>283</v>
      </c>
      <c r="D1071" t="s">
        <v>284</v>
      </c>
      <c r="E1071" t="s">
        <v>284</v>
      </c>
      <c r="F1071" s="4">
        <v>2476647</v>
      </c>
      <c r="G1071" s="4">
        <v>29392</v>
      </c>
      <c r="H1071">
        <f>IFERROR(VLOOKUP(E1071,'GASB Match'!$A$2:$B$240,2,FALSE),"")</f>
        <v>1301920</v>
      </c>
    </row>
    <row r="1072" spans="1:8" x14ac:dyDescent="0.2">
      <c r="A1072">
        <v>1301920</v>
      </c>
      <c r="B1072" s="3">
        <v>2023</v>
      </c>
      <c r="C1072" t="s">
        <v>283</v>
      </c>
      <c r="D1072" t="s">
        <v>284</v>
      </c>
      <c r="E1072" t="s">
        <v>284</v>
      </c>
      <c r="F1072" s="4">
        <v>2636945</v>
      </c>
      <c r="G1072" s="4">
        <v>29983</v>
      </c>
      <c r="H1072">
        <f>IFERROR(VLOOKUP(E1072,'GASB Match'!$A$2:$B$240,2,FALSE),"")</f>
        <v>1301920</v>
      </c>
    </row>
    <row r="1073" spans="1:8" x14ac:dyDescent="0.2">
      <c r="A1073">
        <v>1301950</v>
      </c>
      <c r="B1073" s="3">
        <v>2015</v>
      </c>
      <c r="C1073" t="s">
        <v>285</v>
      </c>
      <c r="D1073" t="s">
        <v>286</v>
      </c>
      <c r="E1073" t="s">
        <v>286</v>
      </c>
      <c r="F1073" s="4">
        <v>548558.53</v>
      </c>
      <c r="G1073" s="4">
        <v>16124.4</v>
      </c>
      <c r="H1073">
        <f>IFERROR(VLOOKUP(E1073,'GASB Match'!$A$2:$B$240,2,FALSE),"")</f>
        <v>1301950</v>
      </c>
    </row>
    <row r="1074" spans="1:8" x14ac:dyDescent="0.2">
      <c r="A1074">
        <v>1301950</v>
      </c>
      <c r="B1074" s="3">
        <v>2016</v>
      </c>
      <c r="C1074" t="s">
        <v>285</v>
      </c>
      <c r="D1074" t="s">
        <v>286</v>
      </c>
      <c r="E1074" t="s">
        <v>286</v>
      </c>
      <c r="F1074" s="4">
        <v>622091.42000000004</v>
      </c>
      <c r="G1074" s="4">
        <v>18852.38</v>
      </c>
      <c r="H1074">
        <f>IFERROR(VLOOKUP(E1074,'GASB Match'!$A$2:$B$240,2,FALSE),"")</f>
        <v>1301950</v>
      </c>
    </row>
    <row r="1075" spans="1:8" x14ac:dyDescent="0.2">
      <c r="A1075">
        <v>1301950</v>
      </c>
      <c r="B1075" s="3">
        <v>2017</v>
      </c>
      <c r="C1075" t="s">
        <v>285</v>
      </c>
      <c r="D1075" t="s">
        <v>286</v>
      </c>
      <c r="E1075" t="s">
        <v>286</v>
      </c>
      <c r="F1075" s="4">
        <v>617203</v>
      </c>
      <c r="G1075" s="4">
        <v>15895</v>
      </c>
      <c r="H1075">
        <f>IFERROR(VLOOKUP(E1075,'GASB Match'!$A$2:$B$240,2,FALSE),"")</f>
        <v>1301950</v>
      </c>
    </row>
    <row r="1076" spans="1:8" x14ac:dyDescent="0.2">
      <c r="A1076">
        <v>1301950</v>
      </c>
      <c r="B1076" s="3">
        <v>2018</v>
      </c>
      <c r="C1076" t="s">
        <v>285</v>
      </c>
      <c r="D1076" t="s">
        <v>286</v>
      </c>
      <c r="E1076" t="s">
        <v>286</v>
      </c>
      <c r="F1076" s="4">
        <v>751751</v>
      </c>
      <c r="G1076" s="4">
        <v>16009</v>
      </c>
      <c r="H1076">
        <f>IFERROR(VLOOKUP(E1076,'GASB Match'!$A$2:$B$240,2,FALSE),"")</f>
        <v>1301950</v>
      </c>
    </row>
    <row r="1077" spans="1:8" x14ac:dyDescent="0.2">
      <c r="A1077">
        <v>1301950</v>
      </c>
      <c r="B1077" s="3">
        <v>2019</v>
      </c>
      <c r="C1077" t="s">
        <v>285</v>
      </c>
      <c r="D1077" t="s">
        <v>286</v>
      </c>
      <c r="E1077" t="s">
        <v>286</v>
      </c>
      <c r="F1077" s="4">
        <v>928122</v>
      </c>
      <c r="G1077" s="4">
        <v>19951</v>
      </c>
      <c r="H1077">
        <f>IFERROR(VLOOKUP(E1077,'GASB Match'!$A$2:$B$240,2,FALSE),"")</f>
        <v>1301950</v>
      </c>
    </row>
    <row r="1078" spans="1:8" x14ac:dyDescent="0.2">
      <c r="A1078">
        <v>1301950</v>
      </c>
      <c r="B1078" s="3">
        <v>2020</v>
      </c>
      <c r="C1078" t="s">
        <v>285</v>
      </c>
      <c r="D1078" t="s">
        <v>286</v>
      </c>
      <c r="E1078" t="s">
        <v>286</v>
      </c>
      <c r="F1078" s="4">
        <v>991190</v>
      </c>
      <c r="G1078" s="4">
        <v>23228</v>
      </c>
      <c r="H1078">
        <f>IFERROR(VLOOKUP(E1078,'GASB Match'!$A$2:$B$240,2,FALSE),"")</f>
        <v>1301950</v>
      </c>
    </row>
    <row r="1079" spans="1:8" x14ac:dyDescent="0.2">
      <c r="A1079">
        <v>1301950</v>
      </c>
      <c r="B1079" s="3">
        <v>2021</v>
      </c>
      <c r="C1079" t="s">
        <v>285</v>
      </c>
      <c r="D1079" t="s">
        <v>286</v>
      </c>
      <c r="E1079" t="s">
        <v>286</v>
      </c>
      <c r="F1079" s="4">
        <v>876712</v>
      </c>
      <c r="G1079" s="4">
        <v>20676</v>
      </c>
      <c r="H1079">
        <f>IFERROR(VLOOKUP(E1079,'GASB Match'!$A$2:$B$240,2,FALSE),"")</f>
        <v>1301950</v>
      </c>
    </row>
    <row r="1080" spans="1:8" x14ac:dyDescent="0.2">
      <c r="A1080">
        <v>1301950</v>
      </c>
      <c r="B1080" s="3">
        <v>2022</v>
      </c>
      <c r="C1080" t="s">
        <v>285</v>
      </c>
      <c r="D1080" t="s">
        <v>286</v>
      </c>
      <c r="E1080" t="s">
        <v>286</v>
      </c>
      <c r="F1080" s="4">
        <v>960772</v>
      </c>
      <c r="G1080" s="4">
        <v>18600</v>
      </c>
      <c r="H1080">
        <f>IFERROR(VLOOKUP(E1080,'GASB Match'!$A$2:$B$240,2,FALSE),"")</f>
        <v>1301950</v>
      </c>
    </row>
    <row r="1081" spans="1:8" x14ac:dyDescent="0.2">
      <c r="A1081">
        <v>1301950</v>
      </c>
      <c r="B1081" s="3">
        <v>2023</v>
      </c>
      <c r="C1081" t="s">
        <v>285</v>
      </c>
      <c r="D1081" t="s">
        <v>286</v>
      </c>
      <c r="E1081" t="s">
        <v>286</v>
      </c>
      <c r="F1081" s="4">
        <v>1019280</v>
      </c>
      <c r="G1081" s="4">
        <v>23640</v>
      </c>
      <c r="H1081">
        <f>IFERROR(VLOOKUP(E1081,'GASB Match'!$A$2:$B$240,2,FALSE),"")</f>
        <v>1301950</v>
      </c>
    </row>
    <row r="1082" spans="1:8" x14ac:dyDescent="0.2">
      <c r="A1082">
        <v>1301980</v>
      </c>
      <c r="B1082" s="3">
        <v>2015</v>
      </c>
      <c r="C1082" t="s">
        <v>287</v>
      </c>
      <c r="D1082" t="s">
        <v>288</v>
      </c>
      <c r="E1082" t="s">
        <v>288</v>
      </c>
      <c r="F1082" s="4">
        <v>7565252.4199999999</v>
      </c>
      <c r="G1082" s="4">
        <v>75991.259999999893</v>
      </c>
      <c r="H1082">
        <f>IFERROR(VLOOKUP(E1082,'GASB Match'!$A$2:$B$240,2,FALSE),"")</f>
        <v>1301980</v>
      </c>
    </row>
    <row r="1083" spans="1:8" x14ac:dyDescent="0.2">
      <c r="A1083">
        <v>1301980</v>
      </c>
      <c r="B1083" s="3">
        <v>2016</v>
      </c>
      <c r="C1083" t="s">
        <v>287</v>
      </c>
      <c r="D1083" t="s">
        <v>288</v>
      </c>
      <c r="E1083" t="s">
        <v>288</v>
      </c>
      <c r="F1083" s="4">
        <v>8587875.6600000001</v>
      </c>
      <c r="G1083" s="4">
        <v>87523.839999999997</v>
      </c>
      <c r="H1083">
        <f>IFERROR(VLOOKUP(E1083,'GASB Match'!$A$2:$B$240,2,FALSE),"")</f>
        <v>1301980</v>
      </c>
    </row>
    <row r="1084" spans="1:8" x14ac:dyDescent="0.2">
      <c r="A1084">
        <v>1301980</v>
      </c>
      <c r="B1084" s="3">
        <v>2017</v>
      </c>
      <c r="C1084" t="s">
        <v>287</v>
      </c>
      <c r="D1084" t="s">
        <v>288</v>
      </c>
      <c r="E1084" t="s">
        <v>288</v>
      </c>
      <c r="F1084" s="4">
        <v>9119044</v>
      </c>
      <c r="G1084" s="4">
        <v>56586</v>
      </c>
      <c r="H1084">
        <f>IFERROR(VLOOKUP(E1084,'GASB Match'!$A$2:$B$240,2,FALSE),"")</f>
        <v>1301980</v>
      </c>
    </row>
    <row r="1085" spans="1:8" x14ac:dyDescent="0.2">
      <c r="A1085">
        <v>1301980</v>
      </c>
      <c r="B1085" s="3">
        <v>2018</v>
      </c>
      <c r="C1085" t="s">
        <v>287</v>
      </c>
      <c r="D1085" t="s">
        <v>288</v>
      </c>
      <c r="E1085" t="s">
        <v>288</v>
      </c>
      <c r="F1085" s="4">
        <v>11428332</v>
      </c>
      <c r="G1085" s="4">
        <v>37461</v>
      </c>
      <c r="H1085">
        <f>IFERROR(VLOOKUP(E1085,'GASB Match'!$A$2:$B$240,2,FALSE),"")</f>
        <v>1301980</v>
      </c>
    </row>
    <row r="1086" spans="1:8" x14ac:dyDescent="0.2">
      <c r="A1086">
        <v>1301980</v>
      </c>
      <c r="B1086" s="3">
        <v>2019</v>
      </c>
      <c r="C1086" t="s">
        <v>287</v>
      </c>
      <c r="D1086" t="s">
        <v>288</v>
      </c>
      <c r="E1086" t="s">
        <v>288</v>
      </c>
      <c r="F1086" s="4">
        <v>14683215</v>
      </c>
      <c r="G1086" s="4">
        <v>46739</v>
      </c>
      <c r="H1086">
        <f>IFERROR(VLOOKUP(E1086,'GASB Match'!$A$2:$B$240,2,FALSE),"")</f>
        <v>1301980</v>
      </c>
    </row>
    <row r="1087" spans="1:8" x14ac:dyDescent="0.2">
      <c r="A1087">
        <v>1301980</v>
      </c>
      <c r="B1087" s="3">
        <v>2020</v>
      </c>
      <c r="C1087" t="s">
        <v>287</v>
      </c>
      <c r="D1087" t="s">
        <v>288</v>
      </c>
      <c r="E1087" t="s">
        <v>288</v>
      </c>
      <c r="F1087" s="4">
        <v>16009331</v>
      </c>
      <c r="G1087" s="4">
        <v>49692</v>
      </c>
      <c r="H1087">
        <f>IFERROR(VLOOKUP(E1087,'GASB Match'!$A$2:$B$240,2,FALSE),"")</f>
        <v>1301980</v>
      </c>
    </row>
    <row r="1088" spans="1:8" x14ac:dyDescent="0.2">
      <c r="A1088">
        <v>1301980</v>
      </c>
      <c r="B1088" s="3">
        <v>2021</v>
      </c>
      <c r="C1088" t="s">
        <v>287</v>
      </c>
      <c r="D1088" t="s">
        <v>288</v>
      </c>
      <c r="E1088" t="s">
        <v>288</v>
      </c>
      <c r="F1088" s="4">
        <v>14796659</v>
      </c>
      <c r="G1088" s="4">
        <v>41859</v>
      </c>
      <c r="H1088">
        <f>IFERROR(VLOOKUP(E1088,'GASB Match'!$A$2:$B$240,2,FALSE),"")</f>
        <v>1301980</v>
      </c>
    </row>
    <row r="1089" spans="1:8" x14ac:dyDescent="0.2">
      <c r="A1089">
        <v>1301980</v>
      </c>
      <c r="B1089" s="3">
        <v>2022</v>
      </c>
      <c r="C1089" t="s">
        <v>287</v>
      </c>
      <c r="D1089" t="s">
        <v>288</v>
      </c>
      <c r="E1089" t="s">
        <v>288</v>
      </c>
      <c r="F1089" s="4">
        <v>16079417</v>
      </c>
      <c r="G1089" s="4">
        <v>43794</v>
      </c>
      <c r="H1089">
        <f>IFERROR(VLOOKUP(E1089,'GASB Match'!$A$2:$B$240,2,FALSE),"")</f>
        <v>1301980</v>
      </c>
    </row>
    <row r="1090" spans="1:8" x14ac:dyDescent="0.2">
      <c r="A1090">
        <v>1301980</v>
      </c>
      <c r="B1090" s="3">
        <v>2023</v>
      </c>
      <c r="C1090" t="s">
        <v>287</v>
      </c>
      <c r="D1090" t="s">
        <v>288</v>
      </c>
      <c r="E1090" t="s">
        <v>288</v>
      </c>
      <c r="F1090" s="4">
        <v>17692010</v>
      </c>
      <c r="G1090" s="4">
        <v>41428</v>
      </c>
      <c r="H1090">
        <f>IFERROR(VLOOKUP(E1090,'GASB Match'!$A$2:$B$240,2,FALSE),"")</f>
        <v>1301980</v>
      </c>
    </row>
    <row r="1091" spans="1:8" x14ac:dyDescent="0.2">
      <c r="A1091">
        <v>1302010</v>
      </c>
      <c r="B1091" s="3">
        <v>2015</v>
      </c>
      <c r="C1091" t="s">
        <v>289</v>
      </c>
      <c r="D1091" t="s">
        <v>290</v>
      </c>
      <c r="E1091" t="s">
        <v>290</v>
      </c>
      <c r="F1091" s="4">
        <v>2102326.9</v>
      </c>
      <c r="G1091" s="4" t="s">
        <v>7</v>
      </c>
      <c r="H1091">
        <f>IFERROR(VLOOKUP(E1091,'GASB Match'!$A$2:$B$240,2,FALSE),"")</f>
        <v>1302010</v>
      </c>
    </row>
    <row r="1092" spans="1:8" x14ac:dyDescent="0.2">
      <c r="A1092">
        <v>1302010</v>
      </c>
      <c r="B1092" s="3">
        <v>2016</v>
      </c>
      <c r="C1092" t="s">
        <v>289</v>
      </c>
      <c r="D1092" t="s">
        <v>290</v>
      </c>
      <c r="E1092" t="s">
        <v>290</v>
      </c>
      <c r="F1092" s="4">
        <v>2287363.4700000002</v>
      </c>
      <c r="G1092" s="4" t="s">
        <v>7</v>
      </c>
      <c r="H1092">
        <f>IFERROR(VLOOKUP(E1092,'GASB Match'!$A$2:$B$240,2,FALSE),"")</f>
        <v>1302010</v>
      </c>
    </row>
    <row r="1093" spans="1:8" x14ac:dyDescent="0.2">
      <c r="A1093">
        <v>1302010</v>
      </c>
      <c r="B1093" s="3">
        <v>2017</v>
      </c>
      <c r="C1093" t="s">
        <v>289</v>
      </c>
      <c r="D1093" t="s">
        <v>290</v>
      </c>
      <c r="E1093" t="s">
        <v>290</v>
      </c>
      <c r="F1093" s="4">
        <v>2342339</v>
      </c>
      <c r="G1093" s="4" t="s">
        <v>7</v>
      </c>
      <c r="H1093">
        <f>IFERROR(VLOOKUP(E1093,'GASB Match'!$A$2:$B$240,2,FALSE),"")</f>
        <v>1302010</v>
      </c>
    </row>
    <row r="1094" spans="1:8" x14ac:dyDescent="0.2">
      <c r="A1094">
        <v>1302010</v>
      </c>
      <c r="B1094" s="3">
        <v>2018</v>
      </c>
      <c r="C1094" t="s">
        <v>289</v>
      </c>
      <c r="D1094" t="s">
        <v>290</v>
      </c>
      <c r="E1094" t="s">
        <v>290</v>
      </c>
      <c r="F1094" s="4">
        <v>3014380</v>
      </c>
      <c r="G1094" s="4" t="s">
        <v>7</v>
      </c>
      <c r="H1094">
        <f>IFERROR(VLOOKUP(E1094,'GASB Match'!$A$2:$B$240,2,FALSE),"")</f>
        <v>1302010</v>
      </c>
    </row>
    <row r="1095" spans="1:8" x14ac:dyDescent="0.2">
      <c r="A1095">
        <v>1302010</v>
      </c>
      <c r="B1095" s="3">
        <v>2019</v>
      </c>
      <c r="C1095" t="s">
        <v>289</v>
      </c>
      <c r="D1095" t="s">
        <v>290</v>
      </c>
      <c r="E1095" t="s">
        <v>290</v>
      </c>
      <c r="F1095" s="4">
        <v>3675155</v>
      </c>
      <c r="G1095" s="4" t="s">
        <v>7</v>
      </c>
      <c r="H1095">
        <f>IFERROR(VLOOKUP(E1095,'GASB Match'!$A$2:$B$240,2,FALSE),"")</f>
        <v>1302010</v>
      </c>
    </row>
    <row r="1096" spans="1:8" x14ac:dyDescent="0.2">
      <c r="A1096">
        <v>1302010</v>
      </c>
      <c r="B1096" s="3">
        <v>2020</v>
      </c>
      <c r="C1096" t="s">
        <v>289</v>
      </c>
      <c r="D1096" t="s">
        <v>290</v>
      </c>
      <c r="E1096" t="s">
        <v>290</v>
      </c>
      <c r="F1096" s="4">
        <v>3903296</v>
      </c>
      <c r="G1096" s="4" t="s">
        <v>7</v>
      </c>
      <c r="H1096">
        <f>IFERROR(VLOOKUP(E1096,'GASB Match'!$A$2:$B$240,2,FALSE),"")</f>
        <v>1302010</v>
      </c>
    </row>
    <row r="1097" spans="1:8" x14ac:dyDescent="0.2">
      <c r="A1097">
        <v>1302010</v>
      </c>
      <c r="B1097" s="3">
        <v>2021</v>
      </c>
      <c r="C1097" t="s">
        <v>289</v>
      </c>
      <c r="D1097" t="s">
        <v>290</v>
      </c>
      <c r="E1097" t="s">
        <v>290</v>
      </c>
      <c r="F1097" s="4">
        <v>3536334</v>
      </c>
      <c r="G1097" s="4" t="s">
        <v>7</v>
      </c>
      <c r="H1097">
        <f>IFERROR(VLOOKUP(E1097,'GASB Match'!$A$2:$B$240,2,FALSE),"")</f>
        <v>1302010</v>
      </c>
    </row>
    <row r="1098" spans="1:8" x14ac:dyDescent="0.2">
      <c r="A1098">
        <v>1302010</v>
      </c>
      <c r="B1098" s="3">
        <v>2022</v>
      </c>
      <c r="C1098" t="s">
        <v>289</v>
      </c>
      <c r="D1098" t="s">
        <v>290</v>
      </c>
      <c r="E1098" t="s">
        <v>290</v>
      </c>
      <c r="F1098" s="4">
        <v>3841286</v>
      </c>
      <c r="G1098" s="4" t="s">
        <v>7</v>
      </c>
      <c r="H1098">
        <f>IFERROR(VLOOKUP(E1098,'GASB Match'!$A$2:$B$240,2,FALSE),"")</f>
        <v>1302010</v>
      </c>
    </row>
    <row r="1099" spans="1:8" x14ac:dyDescent="0.2">
      <c r="A1099">
        <v>1302010</v>
      </c>
      <c r="B1099" s="3">
        <v>2023</v>
      </c>
      <c r="C1099" t="s">
        <v>289</v>
      </c>
      <c r="D1099" t="s">
        <v>290</v>
      </c>
      <c r="E1099" t="s">
        <v>290</v>
      </c>
      <c r="F1099" s="4">
        <v>4035214</v>
      </c>
      <c r="G1099" s="4" t="s">
        <v>7</v>
      </c>
      <c r="H1099">
        <f>IFERROR(VLOOKUP(E1099,'GASB Match'!$A$2:$B$240,2,FALSE),"")</f>
        <v>1302010</v>
      </c>
    </row>
    <row r="1100" spans="1:8" x14ac:dyDescent="0.2">
      <c r="A1100" t="s">
        <v>7</v>
      </c>
      <c r="B1100" s="3">
        <v>2015</v>
      </c>
      <c r="C1100" t="s">
        <v>291</v>
      </c>
      <c r="D1100" t="s">
        <v>292</v>
      </c>
      <c r="E1100" t="s">
        <v>292</v>
      </c>
      <c r="F1100" s="4">
        <v>18095.28</v>
      </c>
      <c r="G1100" s="4" t="s">
        <v>7</v>
      </c>
      <c r="H1100" t="str">
        <f>IFERROR(VLOOKUP(E1100,'GASB Match'!$A$2:$B$240,2,FALSE),"")</f>
        <v/>
      </c>
    </row>
    <row r="1101" spans="1:8" x14ac:dyDescent="0.2">
      <c r="A1101" t="s">
        <v>7</v>
      </c>
      <c r="B1101" s="3">
        <v>2016</v>
      </c>
      <c r="C1101" t="s">
        <v>291</v>
      </c>
      <c r="D1101" t="s">
        <v>292</v>
      </c>
      <c r="E1101" t="s">
        <v>292</v>
      </c>
      <c r="F1101" s="4">
        <v>15364.02</v>
      </c>
      <c r="G1101" s="4" t="s">
        <v>7</v>
      </c>
      <c r="H1101" t="str">
        <f>IFERROR(VLOOKUP(E1101,'GASB Match'!$A$2:$B$240,2,FALSE),"")</f>
        <v/>
      </c>
    </row>
    <row r="1102" spans="1:8" x14ac:dyDescent="0.2">
      <c r="A1102" t="s">
        <v>7</v>
      </c>
      <c r="B1102" s="3">
        <v>2017</v>
      </c>
      <c r="C1102" t="s">
        <v>291</v>
      </c>
      <c r="D1102" t="s">
        <v>292</v>
      </c>
      <c r="E1102" t="s">
        <v>292</v>
      </c>
      <c r="F1102" s="4">
        <v>12494</v>
      </c>
      <c r="G1102" s="4" t="s">
        <v>7</v>
      </c>
      <c r="H1102" t="str">
        <f>IFERROR(VLOOKUP(E1102,'GASB Match'!$A$2:$B$240,2,FALSE),"")</f>
        <v/>
      </c>
    </row>
    <row r="1103" spans="1:8" x14ac:dyDescent="0.2">
      <c r="A1103" t="s">
        <v>7</v>
      </c>
      <c r="B1103" s="3">
        <v>2018</v>
      </c>
      <c r="C1103" t="s">
        <v>291</v>
      </c>
      <c r="D1103" t="s">
        <v>292</v>
      </c>
      <c r="E1103" t="s">
        <v>292</v>
      </c>
      <c r="F1103" s="4">
        <v>15048</v>
      </c>
      <c r="G1103" s="4" t="s">
        <v>7</v>
      </c>
      <c r="H1103" t="str">
        <f>IFERROR(VLOOKUP(E1103,'GASB Match'!$A$2:$B$240,2,FALSE),"")</f>
        <v/>
      </c>
    </row>
    <row r="1104" spans="1:8" x14ac:dyDescent="0.2">
      <c r="A1104" t="s">
        <v>7</v>
      </c>
      <c r="B1104" s="3">
        <v>2019</v>
      </c>
      <c r="C1104" t="s">
        <v>291</v>
      </c>
      <c r="D1104" t="s">
        <v>292</v>
      </c>
      <c r="E1104" t="s">
        <v>292</v>
      </c>
      <c r="F1104" s="4">
        <v>19197</v>
      </c>
      <c r="G1104" s="4" t="s">
        <v>7</v>
      </c>
      <c r="H1104" t="str">
        <f>IFERROR(VLOOKUP(E1104,'GASB Match'!$A$2:$B$240,2,FALSE),"")</f>
        <v/>
      </c>
    </row>
    <row r="1105" spans="1:8" x14ac:dyDescent="0.2">
      <c r="A1105" t="s">
        <v>7</v>
      </c>
      <c r="B1105" s="3">
        <v>2020</v>
      </c>
      <c r="C1105" t="s">
        <v>291</v>
      </c>
      <c r="D1105" t="s">
        <v>292</v>
      </c>
      <c r="E1105" t="s">
        <v>292</v>
      </c>
      <c r="F1105" s="4">
        <v>19887</v>
      </c>
      <c r="G1105" s="4" t="s">
        <v>7</v>
      </c>
      <c r="H1105" t="str">
        <f>IFERROR(VLOOKUP(E1105,'GASB Match'!$A$2:$B$240,2,FALSE),"")</f>
        <v/>
      </c>
    </row>
    <row r="1106" spans="1:8" x14ac:dyDescent="0.2">
      <c r="A1106" t="s">
        <v>7</v>
      </c>
      <c r="B1106" s="3">
        <v>2021</v>
      </c>
      <c r="C1106" t="s">
        <v>291</v>
      </c>
      <c r="D1106" t="s">
        <v>292</v>
      </c>
      <c r="E1106" t="s">
        <v>292</v>
      </c>
      <c r="F1106" s="4">
        <v>17930</v>
      </c>
      <c r="G1106" s="4" t="s">
        <v>7</v>
      </c>
      <c r="H1106" t="str">
        <f>IFERROR(VLOOKUP(E1106,'GASB Match'!$A$2:$B$240,2,FALSE),"")</f>
        <v/>
      </c>
    </row>
    <row r="1107" spans="1:8" x14ac:dyDescent="0.2">
      <c r="A1107" t="s">
        <v>7</v>
      </c>
      <c r="B1107" s="3">
        <v>2022</v>
      </c>
      <c r="C1107" t="s">
        <v>291</v>
      </c>
      <c r="D1107" t="s">
        <v>292</v>
      </c>
      <c r="E1107" t="s">
        <v>292</v>
      </c>
      <c r="F1107" s="4">
        <v>19841</v>
      </c>
      <c r="G1107" s="4" t="s">
        <v>7</v>
      </c>
      <c r="H1107" t="str">
        <f>IFERROR(VLOOKUP(E1107,'GASB Match'!$A$2:$B$240,2,FALSE),"")</f>
        <v/>
      </c>
    </row>
    <row r="1108" spans="1:8" x14ac:dyDescent="0.2">
      <c r="A1108" t="s">
        <v>7</v>
      </c>
      <c r="B1108" s="3">
        <v>2023</v>
      </c>
      <c r="C1108" t="s">
        <v>291</v>
      </c>
      <c r="D1108" t="s">
        <v>292</v>
      </c>
      <c r="E1108" t="s">
        <v>292</v>
      </c>
      <c r="F1108" s="4">
        <v>20960</v>
      </c>
      <c r="G1108" s="4" t="s">
        <v>7</v>
      </c>
      <c r="H1108" t="str">
        <f>IFERROR(VLOOKUP(E1108,'GASB Match'!$A$2:$B$240,2,FALSE),"")</f>
        <v/>
      </c>
    </row>
    <row r="1109" spans="1:8" x14ac:dyDescent="0.2">
      <c r="A1109">
        <v>1302040</v>
      </c>
      <c r="B1109" s="3">
        <v>2015</v>
      </c>
      <c r="C1109" t="s">
        <v>293</v>
      </c>
      <c r="D1109" t="s">
        <v>294</v>
      </c>
      <c r="E1109" t="s">
        <v>294</v>
      </c>
      <c r="F1109" s="4">
        <v>2656997.88</v>
      </c>
      <c r="G1109" s="4">
        <v>39201.56</v>
      </c>
      <c r="H1109">
        <f>IFERROR(VLOOKUP(E1109,'GASB Match'!$A$2:$B$240,2,FALSE),"")</f>
        <v>1302040</v>
      </c>
    </row>
    <row r="1110" spans="1:8" x14ac:dyDescent="0.2">
      <c r="A1110">
        <v>1302040</v>
      </c>
      <c r="B1110" s="3">
        <v>2016</v>
      </c>
      <c r="C1110" t="s">
        <v>293</v>
      </c>
      <c r="D1110" t="s">
        <v>294</v>
      </c>
      <c r="E1110" t="s">
        <v>294</v>
      </c>
      <c r="F1110" s="4">
        <v>2946276.8</v>
      </c>
      <c r="G1110" s="4">
        <v>44140.98</v>
      </c>
      <c r="H1110">
        <f>IFERROR(VLOOKUP(E1110,'GASB Match'!$A$2:$B$240,2,FALSE),"")</f>
        <v>1302040</v>
      </c>
    </row>
    <row r="1111" spans="1:8" x14ac:dyDescent="0.2">
      <c r="A1111">
        <v>1302040</v>
      </c>
      <c r="B1111" s="3">
        <v>2017</v>
      </c>
      <c r="C1111" t="s">
        <v>293</v>
      </c>
      <c r="D1111" t="s">
        <v>294</v>
      </c>
      <c r="E1111" t="s">
        <v>294</v>
      </c>
      <c r="F1111" s="4">
        <v>3038289</v>
      </c>
      <c r="G1111" s="4">
        <v>31813</v>
      </c>
      <c r="H1111">
        <f>IFERROR(VLOOKUP(E1111,'GASB Match'!$A$2:$B$240,2,FALSE),"")</f>
        <v>1302040</v>
      </c>
    </row>
    <row r="1112" spans="1:8" x14ac:dyDescent="0.2">
      <c r="A1112">
        <v>1302040</v>
      </c>
      <c r="B1112" s="3">
        <v>2018</v>
      </c>
      <c r="C1112" t="s">
        <v>293</v>
      </c>
      <c r="D1112" t="s">
        <v>294</v>
      </c>
      <c r="E1112" t="s">
        <v>294</v>
      </c>
      <c r="F1112" s="4">
        <v>3756321</v>
      </c>
      <c r="G1112" s="4">
        <v>4784</v>
      </c>
      <c r="H1112">
        <f>IFERROR(VLOOKUP(E1112,'GASB Match'!$A$2:$B$240,2,FALSE),"")</f>
        <v>1302040</v>
      </c>
    </row>
    <row r="1113" spans="1:8" x14ac:dyDescent="0.2">
      <c r="A1113">
        <v>1302040</v>
      </c>
      <c r="B1113" s="3">
        <v>2019</v>
      </c>
      <c r="C1113" t="s">
        <v>293</v>
      </c>
      <c r="D1113" t="s">
        <v>294</v>
      </c>
      <c r="E1113" t="s">
        <v>294</v>
      </c>
      <c r="F1113" s="4">
        <v>4699922</v>
      </c>
      <c r="G1113" s="4">
        <v>6003</v>
      </c>
      <c r="H1113">
        <f>IFERROR(VLOOKUP(E1113,'GASB Match'!$A$2:$B$240,2,FALSE),"")</f>
        <v>1302040</v>
      </c>
    </row>
    <row r="1114" spans="1:8" x14ac:dyDescent="0.2">
      <c r="A1114">
        <v>1302040</v>
      </c>
      <c r="B1114" s="3">
        <v>2020</v>
      </c>
      <c r="C1114" t="s">
        <v>293</v>
      </c>
      <c r="D1114" t="s">
        <v>294</v>
      </c>
      <c r="E1114" t="s">
        <v>294</v>
      </c>
      <c r="F1114" s="4">
        <v>5080145</v>
      </c>
      <c r="G1114" s="4">
        <v>4919</v>
      </c>
      <c r="H1114">
        <f>IFERROR(VLOOKUP(E1114,'GASB Match'!$A$2:$B$240,2,FALSE),"")</f>
        <v>1302040</v>
      </c>
    </row>
    <row r="1115" spans="1:8" x14ac:dyDescent="0.2">
      <c r="A1115">
        <v>1302040</v>
      </c>
      <c r="B1115" s="3">
        <v>2021</v>
      </c>
      <c r="C1115" t="s">
        <v>293</v>
      </c>
      <c r="D1115" t="s">
        <v>294</v>
      </c>
      <c r="E1115" t="s">
        <v>294</v>
      </c>
      <c r="F1115" s="4">
        <v>4628956</v>
      </c>
      <c r="G1115" s="4">
        <v>5792</v>
      </c>
      <c r="H1115">
        <f>IFERROR(VLOOKUP(E1115,'GASB Match'!$A$2:$B$240,2,FALSE),"")</f>
        <v>1302040</v>
      </c>
    </row>
    <row r="1116" spans="1:8" x14ac:dyDescent="0.2">
      <c r="A1116">
        <v>1302040</v>
      </c>
      <c r="B1116" s="3">
        <v>2022</v>
      </c>
      <c r="C1116" t="s">
        <v>293</v>
      </c>
      <c r="D1116" t="s">
        <v>294</v>
      </c>
      <c r="E1116" t="s">
        <v>294</v>
      </c>
      <c r="F1116" s="4">
        <v>4788480</v>
      </c>
      <c r="G1116" s="4">
        <v>5726</v>
      </c>
      <c r="H1116">
        <f>IFERROR(VLOOKUP(E1116,'GASB Match'!$A$2:$B$240,2,FALSE),"")</f>
        <v>1302040</v>
      </c>
    </row>
    <row r="1117" spans="1:8" x14ac:dyDescent="0.2">
      <c r="A1117">
        <v>1302040</v>
      </c>
      <c r="B1117" s="3">
        <v>2023</v>
      </c>
      <c r="C1117" t="s">
        <v>293</v>
      </c>
      <c r="D1117" t="s">
        <v>294</v>
      </c>
      <c r="E1117" t="s">
        <v>294</v>
      </c>
      <c r="F1117" s="4">
        <v>5018577</v>
      </c>
      <c r="G1117" s="4">
        <v>6648</v>
      </c>
      <c r="H1117">
        <f>IFERROR(VLOOKUP(E1117,'GASB Match'!$A$2:$B$240,2,FALSE),"")</f>
        <v>1302040</v>
      </c>
    </row>
    <row r="1118" spans="1:8" x14ac:dyDescent="0.2">
      <c r="A1118">
        <v>1302070</v>
      </c>
      <c r="B1118" s="3">
        <v>2015</v>
      </c>
      <c r="C1118" t="s">
        <v>295</v>
      </c>
      <c r="D1118" t="s">
        <v>296</v>
      </c>
      <c r="E1118" t="s">
        <v>296</v>
      </c>
      <c r="F1118" s="4">
        <v>1203080.8899999999</v>
      </c>
      <c r="G1118" s="4">
        <v>13592.77</v>
      </c>
      <c r="H1118">
        <f>IFERROR(VLOOKUP(E1118,'GASB Match'!$A$2:$B$240,2,FALSE),"")</f>
        <v>1302070</v>
      </c>
    </row>
    <row r="1119" spans="1:8" x14ac:dyDescent="0.2">
      <c r="A1119">
        <v>1302070</v>
      </c>
      <c r="B1119" s="3">
        <v>2016</v>
      </c>
      <c r="C1119" t="s">
        <v>295</v>
      </c>
      <c r="D1119" t="s">
        <v>296</v>
      </c>
      <c r="E1119" t="s">
        <v>296</v>
      </c>
      <c r="F1119" s="4">
        <v>1325222.18</v>
      </c>
      <c r="G1119" s="4">
        <v>15070.67</v>
      </c>
      <c r="H1119">
        <f>IFERROR(VLOOKUP(E1119,'GASB Match'!$A$2:$B$240,2,FALSE),"")</f>
        <v>1302070</v>
      </c>
    </row>
    <row r="1120" spans="1:8" x14ac:dyDescent="0.2">
      <c r="A1120">
        <v>1302070</v>
      </c>
      <c r="B1120" s="3">
        <v>2017</v>
      </c>
      <c r="C1120" t="s">
        <v>295</v>
      </c>
      <c r="D1120" t="s">
        <v>296</v>
      </c>
      <c r="E1120" t="s">
        <v>296</v>
      </c>
      <c r="F1120" s="4">
        <v>1317987</v>
      </c>
      <c r="G1120" s="4">
        <v>13414</v>
      </c>
      <c r="H1120">
        <f>IFERROR(VLOOKUP(E1120,'GASB Match'!$A$2:$B$240,2,FALSE),"")</f>
        <v>1302070</v>
      </c>
    </row>
    <row r="1121" spans="1:8" x14ac:dyDescent="0.2">
      <c r="A1121">
        <v>1302070</v>
      </c>
      <c r="B1121" s="3">
        <v>2018</v>
      </c>
      <c r="C1121" t="s">
        <v>295</v>
      </c>
      <c r="D1121" t="s">
        <v>296</v>
      </c>
      <c r="E1121" t="s">
        <v>296</v>
      </c>
      <c r="F1121" s="4">
        <v>1592046</v>
      </c>
      <c r="G1121" s="4">
        <v>11839</v>
      </c>
      <c r="H1121">
        <f>IFERROR(VLOOKUP(E1121,'GASB Match'!$A$2:$B$240,2,FALSE),"")</f>
        <v>1302070</v>
      </c>
    </row>
    <row r="1122" spans="1:8" x14ac:dyDescent="0.2">
      <c r="A1122">
        <v>1302070</v>
      </c>
      <c r="B1122" s="3">
        <v>2019</v>
      </c>
      <c r="C1122" t="s">
        <v>295</v>
      </c>
      <c r="D1122" t="s">
        <v>296</v>
      </c>
      <c r="E1122" t="s">
        <v>296</v>
      </c>
      <c r="F1122" s="4">
        <v>1950877</v>
      </c>
      <c r="G1122" s="4">
        <v>7300</v>
      </c>
      <c r="H1122">
        <f>IFERROR(VLOOKUP(E1122,'GASB Match'!$A$2:$B$240,2,FALSE),"")</f>
        <v>1302070</v>
      </c>
    </row>
    <row r="1123" spans="1:8" x14ac:dyDescent="0.2">
      <c r="A1123">
        <v>1302070</v>
      </c>
      <c r="B1123" s="3">
        <v>2020</v>
      </c>
      <c r="C1123" t="s">
        <v>295</v>
      </c>
      <c r="D1123" t="s">
        <v>296</v>
      </c>
      <c r="E1123" t="s">
        <v>296</v>
      </c>
      <c r="F1123" s="4">
        <v>2177947</v>
      </c>
      <c r="G1123" s="4">
        <v>29359</v>
      </c>
      <c r="H1123">
        <f>IFERROR(VLOOKUP(E1123,'GASB Match'!$A$2:$B$240,2,FALSE),"")</f>
        <v>1302070</v>
      </c>
    </row>
    <row r="1124" spans="1:8" x14ac:dyDescent="0.2">
      <c r="A1124">
        <v>1302070</v>
      </c>
      <c r="B1124" s="3">
        <v>2021</v>
      </c>
      <c r="C1124" t="s">
        <v>295</v>
      </c>
      <c r="D1124" t="s">
        <v>296</v>
      </c>
      <c r="E1124" t="s">
        <v>296</v>
      </c>
      <c r="F1124" s="4">
        <v>2041184</v>
      </c>
      <c r="G1124" s="4">
        <v>35206</v>
      </c>
      <c r="H1124">
        <f>IFERROR(VLOOKUP(E1124,'GASB Match'!$A$2:$B$240,2,FALSE),"")</f>
        <v>1302070</v>
      </c>
    </row>
    <row r="1125" spans="1:8" x14ac:dyDescent="0.2">
      <c r="A1125">
        <v>1302070</v>
      </c>
      <c r="B1125" s="3">
        <v>2022</v>
      </c>
      <c r="C1125" t="s">
        <v>295</v>
      </c>
      <c r="D1125" t="s">
        <v>296</v>
      </c>
      <c r="E1125" t="s">
        <v>296</v>
      </c>
      <c r="F1125" s="4">
        <v>2371424</v>
      </c>
      <c r="G1125" s="4">
        <v>21080</v>
      </c>
      <c r="H1125">
        <f>IFERROR(VLOOKUP(E1125,'GASB Match'!$A$2:$B$240,2,FALSE),"")</f>
        <v>1302070</v>
      </c>
    </row>
    <row r="1126" spans="1:8" x14ac:dyDescent="0.2">
      <c r="A1126">
        <v>1302070</v>
      </c>
      <c r="B1126" s="3">
        <v>2023</v>
      </c>
      <c r="C1126" t="s">
        <v>295</v>
      </c>
      <c r="D1126" t="s">
        <v>296</v>
      </c>
      <c r="E1126" t="s">
        <v>296</v>
      </c>
      <c r="F1126" s="4">
        <v>2364756</v>
      </c>
      <c r="G1126" s="4">
        <v>19578</v>
      </c>
      <c r="H1126">
        <f>IFERROR(VLOOKUP(E1126,'GASB Match'!$A$2:$B$240,2,FALSE),"")</f>
        <v>1302070</v>
      </c>
    </row>
    <row r="1127" spans="1:8" x14ac:dyDescent="0.2">
      <c r="A1127">
        <v>1302100</v>
      </c>
      <c r="B1127" s="3">
        <v>2015</v>
      </c>
      <c r="C1127" t="s">
        <v>297</v>
      </c>
      <c r="D1127" t="s">
        <v>298</v>
      </c>
      <c r="E1127" t="s">
        <v>298</v>
      </c>
      <c r="F1127" s="4">
        <v>2252441.7400000002</v>
      </c>
      <c r="G1127" s="4">
        <v>49891.42</v>
      </c>
      <c r="H1127">
        <f>IFERROR(VLOOKUP(E1127,'GASB Match'!$A$2:$B$240,2,FALSE),"")</f>
        <v>1302100</v>
      </c>
    </row>
    <row r="1128" spans="1:8" x14ac:dyDescent="0.2">
      <c r="A1128">
        <v>1302100</v>
      </c>
      <c r="B1128" s="3">
        <v>2016</v>
      </c>
      <c r="C1128" t="s">
        <v>297</v>
      </c>
      <c r="D1128" t="s">
        <v>298</v>
      </c>
      <c r="E1128" t="s">
        <v>298</v>
      </c>
      <c r="F1128" s="4">
        <v>2490543.66</v>
      </c>
      <c r="G1128" s="4">
        <v>55041.64</v>
      </c>
      <c r="H1128">
        <f>IFERROR(VLOOKUP(E1128,'GASB Match'!$A$2:$B$240,2,FALSE),"")</f>
        <v>1302100</v>
      </c>
    </row>
    <row r="1129" spans="1:8" x14ac:dyDescent="0.2">
      <c r="A1129">
        <v>1302100</v>
      </c>
      <c r="B1129" s="3">
        <v>2017</v>
      </c>
      <c r="C1129" t="s">
        <v>297</v>
      </c>
      <c r="D1129" t="s">
        <v>298</v>
      </c>
      <c r="E1129" t="s">
        <v>298</v>
      </c>
      <c r="F1129" s="4">
        <v>2616978</v>
      </c>
      <c r="G1129" s="4">
        <v>32900</v>
      </c>
      <c r="H1129">
        <f>IFERROR(VLOOKUP(E1129,'GASB Match'!$A$2:$B$240,2,FALSE),"")</f>
        <v>1302100</v>
      </c>
    </row>
    <row r="1130" spans="1:8" x14ac:dyDescent="0.2">
      <c r="A1130">
        <v>1302100</v>
      </c>
      <c r="B1130" s="3">
        <v>2018</v>
      </c>
      <c r="C1130" t="s">
        <v>297</v>
      </c>
      <c r="D1130" t="s">
        <v>298</v>
      </c>
      <c r="E1130" t="s">
        <v>298</v>
      </c>
      <c r="F1130" s="4">
        <v>3078511</v>
      </c>
      <c r="G1130" s="4">
        <v>16355</v>
      </c>
      <c r="H1130">
        <f>IFERROR(VLOOKUP(E1130,'GASB Match'!$A$2:$B$240,2,FALSE),"")</f>
        <v>1302100</v>
      </c>
    </row>
    <row r="1131" spans="1:8" x14ac:dyDescent="0.2">
      <c r="A1131">
        <v>1302100</v>
      </c>
      <c r="B1131" s="3">
        <v>2019</v>
      </c>
      <c r="C1131" t="s">
        <v>297</v>
      </c>
      <c r="D1131" t="s">
        <v>298</v>
      </c>
      <c r="E1131" t="s">
        <v>298</v>
      </c>
      <c r="F1131" s="4">
        <v>3851164</v>
      </c>
      <c r="G1131" s="4">
        <v>14909</v>
      </c>
      <c r="H1131">
        <f>IFERROR(VLOOKUP(E1131,'GASB Match'!$A$2:$B$240,2,FALSE),"")</f>
        <v>1302100</v>
      </c>
    </row>
    <row r="1132" spans="1:8" x14ac:dyDescent="0.2">
      <c r="A1132">
        <v>1302100</v>
      </c>
      <c r="B1132" s="3">
        <v>2020</v>
      </c>
      <c r="C1132" t="s">
        <v>297</v>
      </c>
      <c r="D1132" t="s">
        <v>298</v>
      </c>
      <c r="E1132" t="s">
        <v>298</v>
      </c>
      <c r="F1132" s="4">
        <v>4036914</v>
      </c>
      <c r="G1132" s="4">
        <v>5236</v>
      </c>
      <c r="H1132">
        <f>IFERROR(VLOOKUP(E1132,'GASB Match'!$A$2:$B$240,2,FALSE),"")</f>
        <v>1302100</v>
      </c>
    </row>
    <row r="1133" spans="1:8" x14ac:dyDescent="0.2">
      <c r="A1133">
        <v>1302100</v>
      </c>
      <c r="B1133" s="3">
        <v>2021</v>
      </c>
      <c r="C1133" t="s">
        <v>297</v>
      </c>
      <c r="D1133" t="s">
        <v>298</v>
      </c>
      <c r="E1133" t="s">
        <v>298</v>
      </c>
      <c r="F1133" s="4">
        <v>3581394</v>
      </c>
      <c r="G1133" s="4">
        <v>5086</v>
      </c>
      <c r="H1133">
        <f>IFERROR(VLOOKUP(E1133,'GASB Match'!$A$2:$B$240,2,FALSE),"")</f>
        <v>1302100</v>
      </c>
    </row>
    <row r="1134" spans="1:8" x14ac:dyDescent="0.2">
      <c r="A1134">
        <v>1302100</v>
      </c>
      <c r="B1134" s="3">
        <v>2022</v>
      </c>
      <c r="C1134" t="s">
        <v>297</v>
      </c>
      <c r="D1134" t="s">
        <v>298</v>
      </c>
      <c r="E1134" t="s">
        <v>298</v>
      </c>
      <c r="F1134" s="4">
        <v>3873110</v>
      </c>
      <c r="G1134" s="4">
        <v>6218</v>
      </c>
      <c r="H1134">
        <f>IFERROR(VLOOKUP(E1134,'GASB Match'!$A$2:$B$240,2,FALSE),"")</f>
        <v>1302100</v>
      </c>
    </row>
    <row r="1135" spans="1:8" x14ac:dyDescent="0.2">
      <c r="A1135">
        <v>1302100</v>
      </c>
      <c r="B1135" s="3">
        <v>2023</v>
      </c>
      <c r="C1135" t="s">
        <v>297</v>
      </c>
      <c r="D1135" t="s">
        <v>298</v>
      </c>
      <c r="E1135" t="s">
        <v>298</v>
      </c>
      <c r="F1135" s="4">
        <v>4099892</v>
      </c>
      <c r="G1135" s="4">
        <v>6553</v>
      </c>
      <c r="H1135">
        <f>IFERROR(VLOOKUP(E1135,'GASB Match'!$A$2:$B$240,2,FALSE),"")</f>
        <v>1302100</v>
      </c>
    </row>
    <row r="1136" spans="1:8" x14ac:dyDescent="0.2">
      <c r="A1136">
        <v>1302130</v>
      </c>
      <c r="B1136" s="3">
        <v>2015</v>
      </c>
      <c r="C1136" t="s">
        <v>299</v>
      </c>
      <c r="D1136" t="s">
        <v>300</v>
      </c>
      <c r="E1136" t="s">
        <v>300</v>
      </c>
      <c r="F1136" s="4">
        <v>14013795.560000001</v>
      </c>
      <c r="G1136" s="4">
        <v>228201.67</v>
      </c>
      <c r="H1136">
        <f>IFERROR(VLOOKUP(E1136,'GASB Match'!$A$2:$B$240,2,FALSE),"")</f>
        <v>1302130</v>
      </c>
    </row>
    <row r="1137" spans="1:8" x14ac:dyDescent="0.2">
      <c r="A1137">
        <v>1302130</v>
      </c>
      <c r="B1137" s="3">
        <v>2016</v>
      </c>
      <c r="C1137" t="s">
        <v>299</v>
      </c>
      <c r="D1137" t="s">
        <v>300</v>
      </c>
      <c r="E1137" t="s">
        <v>300</v>
      </c>
      <c r="F1137" s="4">
        <v>16126285.09</v>
      </c>
      <c r="G1137" s="4">
        <v>261256.42</v>
      </c>
      <c r="H1137">
        <f>IFERROR(VLOOKUP(E1137,'GASB Match'!$A$2:$B$240,2,FALSE),"")</f>
        <v>1302130</v>
      </c>
    </row>
    <row r="1138" spans="1:8" x14ac:dyDescent="0.2">
      <c r="A1138">
        <v>1302130</v>
      </c>
      <c r="B1138" s="3">
        <v>2017</v>
      </c>
      <c r="C1138" t="s">
        <v>299</v>
      </c>
      <c r="D1138" t="s">
        <v>300</v>
      </c>
      <c r="E1138" t="s">
        <v>300</v>
      </c>
      <c r="F1138" s="4">
        <v>17118855</v>
      </c>
      <c r="G1138" s="4">
        <v>156747</v>
      </c>
      <c r="H1138">
        <f>IFERROR(VLOOKUP(E1138,'GASB Match'!$A$2:$B$240,2,FALSE),"")</f>
        <v>1302130</v>
      </c>
    </row>
    <row r="1139" spans="1:8" x14ac:dyDescent="0.2">
      <c r="A1139">
        <v>1302130</v>
      </c>
      <c r="B1139" s="3">
        <v>2018</v>
      </c>
      <c r="C1139" t="s">
        <v>299</v>
      </c>
      <c r="D1139" t="s">
        <v>300</v>
      </c>
      <c r="E1139" t="s">
        <v>300</v>
      </c>
      <c r="F1139" s="4">
        <v>22640776</v>
      </c>
      <c r="G1139" s="4">
        <v>63462</v>
      </c>
      <c r="H1139">
        <f>IFERROR(VLOOKUP(E1139,'GASB Match'!$A$2:$B$240,2,FALSE),"")</f>
        <v>1302130</v>
      </c>
    </row>
    <row r="1140" spans="1:8" x14ac:dyDescent="0.2">
      <c r="A1140">
        <v>1302130</v>
      </c>
      <c r="B1140" s="3">
        <v>2019</v>
      </c>
      <c r="C1140" t="s">
        <v>299</v>
      </c>
      <c r="D1140" t="s">
        <v>300</v>
      </c>
      <c r="E1140" t="s">
        <v>300</v>
      </c>
      <c r="F1140" s="4">
        <v>27002307</v>
      </c>
      <c r="G1140" s="4">
        <v>63705</v>
      </c>
      <c r="H1140">
        <f>IFERROR(VLOOKUP(E1140,'GASB Match'!$A$2:$B$240,2,FALSE),"")</f>
        <v>1302130</v>
      </c>
    </row>
    <row r="1141" spans="1:8" x14ac:dyDescent="0.2">
      <c r="A1141">
        <v>1302130</v>
      </c>
      <c r="B1141" s="3">
        <v>2020</v>
      </c>
      <c r="C1141" t="s">
        <v>299</v>
      </c>
      <c r="D1141" t="s">
        <v>300</v>
      </c>
      <c r="E1141" t="s">
        <v>300</v>
      </c>
      <c r="F1141" s="4">
        <v>29077427</v>
      </c>
      <c r="G1141" s="4">
        <v>67745</v>
      </c>
      <c r="H1141">
        <f>IFERROR(VLOOKUP(E1141,'GASB Match'!$A$2:$B$240,2,FALSE),"")</f>
        <v>1302130</v>
      </c>
    </row>
    <row r="1142" spans="1:8" x14ac:dyDescent="0.2">
      <c r="A1142">
        <v>1302130</v>
      </c>
      <c r="B1142" s="3">
        <v>2021</v>
      </c>
      <c r="C1142" t="s">
        <v>299</v>
      </c>
      <c r="D1142" t="s">
        <v>300</v>
      </c>
      <c r="E1142" t="s">
        <v>300</v>
      </c>
      <c r="F1142" s="4">
        <v>26486834</v>
      </c>
      <c r="G1142" s="4">
        <v>60296</v>
      </c>
      <c r="H1142">
        <f>IFERROR(VLOOKUP(E1142,'GASB Match'!$A$2:$B$240,2,FALSE),"")</f>
        <v>1302130</v>
      </c>
    </row>
    <row r="1143" spans="1:8" x14ac:dyDescent="0.2">
      <c r="A1143">
        <v>1302130</v>
      </c>
      <c r="B1143" s="3">
        <v>2022</v>
      </c>
      <c r="C1143" t="s">
        <v>299</v>
      </c>
      <c r="D1143" t="s">
        <v>300</v>
      </c>
      <c r="E1143" t="s">
        <v>300</v>
      </c>
      <c r="F1143" s="4">
        <v>27893578</v>
      </c>
      <c r="G1143" s="4">
        <v>63407</v>
      </c>
      <c r="H1143">
        <f>IFERROR(VLOOKUP(E1143,'GASB Match'!$A$2:$B$240,2,FALSE),"")</f>
        <v>1302130</v>
      </c>
    </row>
    <row r="1144" spans="1:8" x14ac:dyDescent="0.2">
      <c r="A1144">
        <v>1302130</v>
      </c>
      <c r="B1144" s="3">
        <v>2023</v>
      </c>
      <c r="C1144" t="s">
        <v>299</v>
      </c>
      <c r="D1144" t="s">
        <v>300</v>
      </c>
      <c r="E1144" t="s">
        <v>300</v>
      </c>
      <c r="F1144" s="4">
        <v>30710821</v>
      </c>
      <c r="G1144" s="4">
        <v>63839</v>
      </c>
      <c r="H1144">
        <f>IFERROR(VLOOKUP(E1144,'GASB Match'!$A$2:$B$240,2,FALSE),"")</f>
        <v>1302130</v>
      </c>
    </row>
    <row r="1145" spans="1:8" x14ac:dyDescent="0.2">
      <c r="A1145">
        <v>1302190</v>
      </c>
      <c r="B1145" s="3">
        <v>2015</v>
      </c>
      <c r="C1145" t="s">
        <v>301</v>
      </c>
      <c r="D1145" t="s">
        <v>302</v>
      </c>
      <c r="E1145" t="s">
        <v>302</v>
      </c>
      <c r="F1145" s="4">
        <v>7402845.5</v>
      </c>
      <c r="G1145" s="4">
        <v>22692.39</v>
      </c>
      <c r="H1145">
        <f>IFERROR(VLOOKUP(E1145,'GASB Match'!$A$2:$B$240,2,FALSE),"")</f>
        <v>1302190</v>
      </c>
    </row>
    <row r="1146" spans="1:8" x14ac:dyDescent="0.2">
      <c r="A1146">
        <v>1302190</v>
      </c>
      <c r="B1146" s="3">
        <v>2016</v>
      </c>
      <c r="C1146" t="s">
        <v>301</v>
      </c>
      <c r="D1146" t="s">
        <v>302</v>
      </c>
      <c r="E1146" t="s">
        <v>302</v>
      </c>
      <c r="F1146" s="4">
        <v>8174659.7599999998</v>
      </c>
      <c r="G1146" s="4">
        <v>20801.05</v>
      </c>
      <c r="H1146">
        <f>IFERROR(VLOOKUP(E1146,'GASB Match'!$A$2:$B$240,2,FALSE),"")</f>
        <v>1302190</v>
      </c>
    </row>
    <row r="1147" spans="1:8" x14ac:dyDescent="0.2">
      <c r="A1147">
        <v>1302190</v>
      </c>
      <c r="B1147" s="3">
        <v>2017</v>
      </c>
      <c r="C1147" t="s">
        <v>301</v>
      </c>
      <c r="D1147" t="s">
        <v>302</v>
      </c>
      <c r="E1147" t="s">
        <v>302</v>
      </c>
      <c r="F1147" s="4">
        <v>8323286</v>
      </c>
      <c r="G1147" s="4">
        <v>22339</v>
      </c>
      <c r="H1147">
        <f>IFERROR(VLOOKUP(E1147,'GASB Match'!$A$2:$B$240,2,FALSE),"")</f>
        <v>1302190</v>
      </c>
    </row>
    <row r="1148" spans="1:8" x14ac:dyDescent="0.2">
      <c r="A1148">
        <v>1302190</v>
      </c>
      <c r="B1148" s="3">
        <v>2018</v>
      </c>
      <c r="C1148" t="s">
        <v>301</v>
      </c>
      <c r="D1148" t="s">
        <v>302</v>
      </c>
      <c r="E1148" t="s">
        <v>302</v>
      </c>
      <c r="F1148" s="4">
        <v>9653820</v>
      </c>
      <c r="G1148" s="4">
        <v>21092</v>
      </c>
      <c r="H1148">
        <f>IFERROR(VLOOKUP(E1148,'GASB Match'!$A$2:$B$240,2,FALSE),"")</f>
        <v>1302190</v>
      </c>
    </row>
    <row r="1149" spans="1:8" x14ac:dyDescent="0.2">
      <c r="A1149">
        <v>1302190</v>
      </c>
      <c r="B1149" s="3">
        <v>2019</v>
      </c>
      <c r="C1149" t="s">
        <v>301</v>
      </c>
      <c r="D1149" t="s">
        <v>302</v>
      </c>
      <c r="E1149" t="s">
        <v>302</v>
      </c>
      <c r="F1149" s="4">
        <v>11962719</v>
      </c>
      <c r="G1149" s="4">
        <v>28392</v>
      </c>
      <c r="H1149">
        <f>IFERROR(VLOOKUP(E1149,'GASB Match'!$A$2:$B$240,2,FALSE),"")</f>
        <v>1302190</v>
      </c>
    </row>
    <row r="1150" spans="1:8" x14ac:dyDescent="0.2">
      <c r="A1150">
        <v>1302190</v>
      </c>
      <c r="B1150" s="3">
        <v>2020</v>
      </c>
      <c r="C1150" t="s">
        <v>301</v>
      </c>
      <c r="D1150" t="s">
        <v>302</v>
      </c>
      <c r="E1150" t="s">
        <v>302</v>
      </c>
      <c r="F1150" s="4">
        <v>12272226</v>
      </c>
      <c r="G1150" s="4">
        <v>30461</v>
      </c>
      <c r="H1150">
        <f>IFERROR(VLOOKUP(E1150,'GASB Match'!$A$2:$B$240,2,FALSE),"")</f>
        <v>1302190</v>
      </c>
    </row>
    <row r="1151" spans="1:8" x14ac:dyDescent="0.2">
      <c r="A1151">
        <v>1302190</v>
      </c>
      <c r="B1151" s="3">
        <v>2021</v>
      </c>
      <c r="C1151" t="s">
        <v>301</v>
      </c>
      <c r="D1151" t="s">
        <v>302</v>
      </c>
      <c r="E1151" t="s">
        <v>302</v>
      </c>
      <c r="F1151" s="4">
        <v>10999565</v>
      </c>
      <c r="G1151" s="4">
        <v>11365</v>
      </c>
      <c r="H1151">
        <f>IFERROR(VLOOKUP(E1151,'GASB Match'!$A$2:$B$240,2,FALSE),"")</f>
        <v>1302190</v>
      </c>
    </row>
    <row r="1152" spans="1:8" x14ac:dyDescent="0.2">
      <c r="A1152">
        <v>1302190</v>
      </c>
      <c r="B1152" s="3">
        <v>2022</v>
      </c>
      <c r="C1152" t="s">
        <v>301</v>
      </c>
      <c r="D1152" t="s">
        <v>302</v>
      </c>
      <c r="E1152" t="s">
        <v>302</v>
      </c>
      <c r="F1152" s="4">
        <v>11612936</v>
      </c>
      <c r="G1152" s="4">
        <v>10200</v>
      </c>
      <c r="H1152">
        <f>IFERROR(VLOOKUP(E1152,'GASB Match'!$A$2:$B$240,2,FALSE),"")</f>
        <v>1302190</v>
      </c>
    </row>
    <row r="1153" spans="1:8" x14ac:dyDescent="0.2">
      <c r="A1153">
        <v>1302190</v>
      </c>
      <c r="B1153" s="3">
        <v>2023</v>
      </c>
      <c r="C1153" t="s">
        <v>301</v>
      </c>
      <c r="D1153" t="s">
        <v>302</v>
      </c>
      <c r="E1153" t="s">
        <v>302</v>
      </c>
      <c r="F1153" s="4">
        <v>12446113</v>
      </c>
      <c r="G1153" s="4">
        <v>4468</v>
      </c>
      <c r="H1153">
        <f>IFERROR(VLOOKUP(E1153,'GASB Match'!$A$2:$B$240,2,FALSE),"")</f>
        <v>1302190</v>
      </c>
    </row>
    <row r="1154" spans="1:8" x14ac:dyDescent="0.2">
      <c r="A1154" t="s">
        <v>7</v>
      </c>
      <c r="B1154" s="3">
        <v>2015</v>
      </c>
      <c r="C1154" t="s">
        <v>303</v>
      </c>
      <c r="D1154" t="s">
        <v>305</v>
      </c>
      <c r="E1154" t="s">
        <v>304</v>
      </c>
      <c r="F1154" s="4">
        <v>111742.38</v>
      </c>
      <c r="G1154" s="4" t="s">
        <v>7</v>
      </c>
      <c r="H1154" t="str">
        <f>IFERROR(VLOOKUP(E1154,'GASB Match'!$A$2:$B$240,2,FALSE),"")</f>
        <v/>
      </c>
    </row>
    <row r="1155" spans="1:8" x14ac:dyDescent="0.2">
      <c r="A1155" t="s">
        <v>7</v>
      </c>
      <c r="B1155" s="3">
        <v>2016</v>
      </c>
      <c r="C1155" t="s">
        <v>303</v>
      </c>
      <c r="D1155" t="s">
        <v>305</v>
      </c>
      <c r="E1155" t="s">
        <v>304</v>
      </c>
      <c r="F1155" s="4">
        <v>119832.61</v>
      </c>
      <c r="G1155" s="4" t="s">
        <v>7</v>
      </c>
      <c r="H1155" t="str">
        <f>IFERROR(VLOOKUP(E1155,'GASB Match'!$A$2:$B$240,2,FALSE),"")</f>
        <v/>
      </c>
    </row>
    <row r="1156" spans="1:8" x14ac:dyDescent="0.2">
      <c r="A1156" t="s">
        <v>7</v>
      </c>
      <c r="B1156" s="3">
        <v>2017</v>
      </c>
      <c r="C1156" t="s">
        <v>303</v>
      </c>
      <c r="D1156" t="s">
        <v>305</v>
      </c>
      <c r="E1156" t="s">
        <v>304</v>
      </c>
      <c r="F1156" s="4">
        <v>115914</v>
      </c>
      <c r="G1156" s="4" t="s">
        <v>7</v>
      </c>
      <c r="H1156" t="str">
        <f>IFERROR(VLOOKUP(E1156,'GASB Match'!$A$2:$B$240,2,FALSE),"")</f>
        <v/>
      </c>
    </row>
    <row r="1157" spans="1:8" x14ac:dyDescent="0.2">
      <c r="A1157" t="s">
        <v>7</v>
      </c>
      <c r="B1157" s="3">
        <v>2018</v>
      </c>
      <c r="C1157" t="s">
        <v>303</v>
      </c>
      <c r="D1157" t="s">
        <v>305</v>
      </c>
      <c r="E1157" t="s">
        <v>304</v>
      </c>
      <c r="F1157" s="4">
        <v>138914</v>
      </c>
      <c r="G1157" s="4" t="s">
        <v>7</v>
      </c>
      <c r="H1157" t="str">
        <f>IFERROR(VLOOKUP(E1157,'GASB Match'!$A$2:$B$240,2,FALSE),"")</f>
        <v/>
      </c>
    </row>
    <row r="1158" spans="1:8" x14ac:dyDescent="0.2">
      <c r="A1158" t="s">
        <v>7</v>
      </c>
      <c r="B1158" s="3">
        <v>2019</v>
      </c>
      <c r="C1158" t="s">
        <v>303</v>
      </c>
      <c r="D1158" t="s">
        <v>305</v>
      </c>
      <c r="E1158" t="s">
        <v>304</v>
      </c>
      <c r="F1158" s="4">
        <v>173728</v>
      </c>
      <c r="G1158" s="4" t="s">
        <v>7</v>
      </c>
      <c r="H1158" t="str">
        <f>IFERROR(VLOOKUP(E1158,'GASB Match'!$A$2:$B$240,2,FALSE),"")</f>
        <v/>
      </c>
    </row>
    <row r="1159" spans="1:8" x14ac:dyDescent="0.2">
      <c r="A1159" t="s">
        <v>7</v>
      </c>
      <c r="B1159" s="3">
        <v>2020</v>
      </c>
      <c r="C1159" t="s">
        <v>303</v>
      </c>
      <c r="D1159" t="s">
        <v>305</v>
      </c>
      <c r="E1159" t="s">
        <v>304</v>
      </c>
      <c r="F1159" s="4">
        <v>176737</v>
      </c>
      <c r="G1159" s="4" t="s">
        <v>7</v>
      </c>
      <c r="H1159" t="str">
        <f>IFERROR(VLOOKUP(E1159,'GASB Match'!$A$2:$B$240,2,FALSE),"")</f>
        <v/>
      </c>
    </row>
    <row r="1160" spans="1:8" x14ac:dyDescent="0.2">
      <c r="A1160" t="s">
        <v>7</v>
      </c>
      <c r="B1160" s="3">
        <v>2021</v>
      </c>
      <c r="C1160" t="s">
        <v>303</v>
      </c>
      <c r="D1160" t="s">
        <v>304</v>
      </c>
      <c r="E1160" t="s">
        <v>304</v>
      </c>
      <c r="F1160" s="4">
        <v>191057</v>
      </c>
      <c r="G1160" s="4" t="s">
        <v>7</v>
      </c>
      <c r="H1160" t="str">
        <f>IFERROR(VLOOKUP(E1160,'GASB Match'!$A$2:$B$240,2,FALSE),"")</f>
        <v/>
      </c>
    </row>
    <row r="1161" spans="1:8" x14ac:dyDescent="0.2">
      <c r="A1161" t="s">
        <v>7</v>
      </c>
      <c r="B1161" s="3">
        <v>2022</v>
      </c>
      <c r="C1161" t="s">
        <v>303</v>
      </c>
      <c r="D1161" t="s">
        <v>304</v>
      </c>
      <c r="E1161" t="s">
        <v>304</v>
      </c>
      <c r="F1161" s="4">
        <v>211651</v>
      </c>
      <c r="G1161" s="4" t="s">
        <v>7</v>
      </c>
      <c r="H1161" t="str">
        <f>IFERROR(VLOOKUP(E1161,'GASB Match'!$A$2:$B$240,2,FALSE),"")</f>
        <v/>
      </c>
    </row>
    <row r="1162" spans="1:8" x14ac:dyDescent="0.2">
      <c r="A1162" t="s">
        <v>7</v>
      </c>
      <c r="B1162" s="3">
        <v>2023</v>
      </c>
      <c r="C1162" t="s">
        <v>303</v>
      </c>
      <c r="D1162" t="s">
        <v>304</v>
      </c>
      <c r="E1162" t="s">
        <v>304</v>
      </c>
      <c r="F1162" s="4">
        <v>222905</v>
      </c>
      <c r="G1162" s="4" t="s">
        <v>7</v>
      </c>
      <c r="H1162" t="str">
        <f>IFERROR(VLOOKUP(E1162,'GASB Match'!$A$2:$B$240,2,FALSE),"")</f>
        <v/>
      </c>
    </row>
    <row r="1163" spans="1:8" x14ac:dyDescent="0.2">
      <c r="A1163">
        <v>1302220</v>
      </c>
      <c r="B1163" s="3">
        <v>2015</v>
      </c>
      <c r="C1163" t="s">
        <v>306</v>
      </c>
      <c r="D1163" t="s">
        <v>307</v>
      </c>
      <c r="E1163" t="s">
        <v>307</v>
      </c>
      <c r="F1163" s="4">
        <v>24868904.350000001</v>
      </c>
      <c r="G1163" s="4">
        <v>32864.04</v>
      </c>
      <c r="H1163">
        <f>IFERROR(VLOOKUP(E1163,'GASB Match'!$A$2:$B$240,2,FALSE),"")</f>
        <v>1302220</v>
      </c>
    </row>
    <row r="1164" spans="1:8" x14ac:dyDescent="0.2">
      <c r="A1164">
        <v>1302220</v>
      </c>
      <c r="B1164" s="3">
        <v>2016</v>
      </c>
      <c r="C1164" t="s">
        <v>306</v>
      </c>
      <c r="D1164" t="s">
        <v>307</v>
      </c>
      <c r="E1164" t="s">
        <v>307</v>
      </c>
      <c r="F1164" s="4">
        <v>28802092.050000001</v>
      </c>
      <c r="G1164" s="4">
        <v>36621.54</v>
      </c>
      <c r="H1164">
        <f>IFERROR(VLOOKUP(E1164,'GASB Match'!$A$2:$B$240,2,FALSE),"")</f>
        <v>1302220</v>
      </c>
    </row>
    <row r="1165" spans="1:8" x14ac:dyDescent="0.2">
      <c r="A1165">
        <v>1302220</v>
      </c>
      <c r="B1165" s="3">
        <v>2017</v>
      </c>
      <c r="C1165" t="s">
        <v>306</v>
      </c>
      <c r="D1165" t="s">
        <v>307</v>
      </c>
      <c r="E1165" t="s">
        <v>307</v>
      </c>
      <c r="F1165" s="4">
        <v>31386901</v>
      </c>
      <c r="G1165" s="4">
        <v>37964</v>
      </c>
      <c r="H1165">
        <f>IFERROR(VLOOKUP(E1165,'GASB Match'!$A$2:$B$240,2,FALSE),"")</f>
        <v>1302220</v>
      </c>
    </row>
    <row r="1166" spans="1:8" x14ac:dyDescent="0.2">
      <c r="A1166">
        <v>1302220</v>
      </c>
      <c r="B1166" s="3">
        <v>2018</v>
      </c>
      <c r="C1166" t="s">
        <v>306</v>
      </c>
      <c r="D1166" t="s">
        <v>307</v>
      </c>
      <c r="E1166" t="s">
        <v>307</v>
      </c>
      <c r="F1166" s="4">
        <v>39732532</v>
      </c>
      <c r="G1166" s="4">
        <v>41511</v>
      </c>
      <c r="H1166">
        <f>IFERROR(VLOOKUP(E1166,'GASB Match'!$A$2:$B$240,2,FALSE),"")</f>
        <v>1302220</v>
      </c>
    </row>
    <row r="1167" spans="1:8" x14ac:dyDescent="0.2">
      <c r="A1167">
        <v>1302220</v>
      </c>
      <c r="B1167" s="3">
        <v>2019</v>
      </c>
      <c r="C1167" t="s">
        <v>306</v>
      </c>
      <c r="D1167" t="s">
        <v>307</v>
      </c>
      <c r="E1167" t="s">
        <v>307</v>
      </c>
      <c r="F1167" s="4">
        <v>52858898</v>
      </c>
      <c r="G1167" s="4">
        <v>39956</v>
      </c>
      <c r="H1167">
        <f>IFERROR(VLOOKUP(E1167,'GASB Match'!$A$2:$B$240,2,FALSE),"")</f>
        <v>1302220</v>
      </c>
    </row>
    <row r="1168" spans="1:8" x14ac:dyDescent="0.2">
      <c r="A1168">
        <v>1302220</v>
      </c>
      <c r="B1168" s="3">
        <v>2020</v>
      </c>
      <c r="C1168" t="s">
        <v>306</v>
      </c>
      <c r="D1168" t="s">
        <v>307</v>
      </c>
      <c r="E1168" t="s">
        <v>307</v>
      </c>
      <c r="F1168" s="4">
        <v>57923246</v>
      </c>
      <c r="G1168" s="4">
        <v>32396</v>
      </c>
      <c r="H1168">
        <f>IFERROR(VLOOKUP(E1168,'GASB Match'!$A$2:$B$240,2,FALSE),"")</f>
        <v>1302220</v>
      </c>
    </row>
    <row r="1169" spans="1:8" x14ac:dyDescent="0.2">
      <c r="A1169">
        <v>1302220</v>
      </c>
      <c r="B1169" s="3">
        <v>2021</v>
      </c>
      <c r="C1169" t="s">
        <v>306</v>
      </c>
      <c r="D1169" t="s">
        <v>307</v>
      </c>
      <c r="E1169" t="s">
        <v>307</v>
      </c>
      <c r="F1169" s="4">
        <v>53046599</v>
      </c>
      <c r="G1169" s="4">
        <v>72078</v>
      </c>
      <c r="H1169">
        <f>IFERROR(VLOOKUP(E1169,'GASB Match'!$A$2:$B$240,2,FALSE),"")</f>
        <v>1302220</v>
      </c>
    </row>
    <row r="1170" spans="1:8" x14ac:dyDescent="0.2">
      <c r="A1170">
        <v>1302220</v>
      </c>
      <c r="B1170" s="3">
        <v>2022</v>
      </c>
      <c r="C1170" t="s">
        <v>306</v>
      </c>
      <c r="D1170" t="s">
        <v>307</v>
      </c>
      <c r="E1170" t="s">
        <v>307</v>
      </c>
      <c r="F1170" s="4">
        <v>57507800</v>
      </c>
      <c r="G1170" s="4">
        <v>84715</v>
      </c>
      <c r="H1170">
        <f>IFERROR(VLOOKUP(E1170,'GASB Match'!$A$2:$B$240,2,FALSE),"")</f>
        <v>1302220</v>
      </c>
    </row>
    <row r="1171" spans="1:8" x14ac:dyDescent="0.2">
      <c r="A1171">
        <v>1302220</v>
      </c>
      <c r="B1171" s="3">
        <v>2023</v>
      </c>
      <c r="C1171" t="s">
        <v>306</v>
      </c>
      <c r="D1171" t="s">
        <v>307</v>
      </c>
      <c r="E1171" t="s">
        <v>307</v>
      </c>
      <c r="F1171" s="4">
        <v>64552629</v>
      </c>
      <c r="G1171" s="4">
        <v>86970</v>
      </c>
      <c r="H1171">
        <f>IFERROR(VLOOKUP(E1171,'GASB Match'!$A$2:$B$240,2,FALSE),"")</f>
        <v>1302220</v>
      </c>
    </row>
    <row r="1172" spans="1:8" x14ac:dyDescent="0.2">
      <c r="A1172" t="s">
        <v>7</v>
      </c>
      <c r="B1172" s="3">
        <v>2015</v>
      </c>
      <c r="C1172" t="s">
        <v>308</v>
      </c>
      <c r="D1172" t="s">
        <v>309</v>
      </c>
      <c r="E1172" t="s">
        <v>309</v>
      </c>
      <c r="F1172" s="4">
        <v>347624.01</v>
      </c>
      <c r="G1172" s="4" t="s">
        <v>7</v>
      </c>
      <c r="H1172" t="str">
        <f>IFERROR(VLOOKUP(E1172,'GASB Match'!$A$2:$B$240,2,FALSE),"")</f>
        <v/>
      </c>
    </row>
    <row r="1173" spans="1:8" x14ac:dyDescent="0.2">
      <c r="A1173" t="s">
        <v>7</v>
      </c>
      <c r="B1173" s="3">
        <v>2016</v>
      </c>
      <c r="C1173" t="s">
        <v>308</v>
      </c>
      <c r="D1173" t="s">
        <v>309</v>
      </c>
      <c r="E1173" t="s">
        <v>309</v>
      </c>
      <c r="F1173" s="4">
        <v>394949.93</v>
      </c>
      <c r="G1173" s="4" t="s">
        <v>7</v>
      </c>
      <c r="H1173" t="str">
        <f>IFERROR(VLOOKUP(E1173,'GASB Match'!$A$2:$B$240,2,FALSE),"")</f>
        <v/>
      </c>
    </row>
    <row r="1174" spans="1:8" x14ac:dyDescent="0.2">
      <c r="A1174" t="s">
        <v>7</v>
      </c>
      <c r="B1174" s="3">
        <v>2017</v>
      </c>
      <c r="C1174" t="s">
        <v>308</v>
      </c>
      <c r="D1174" t="s">
        <v>309</v>
      </c>
      <c r="E1174" t="s">
        <v>309</v>
      </c>
      <c r="F1174" s="4">
        <v>424301</v>
      </c>
      <c r="G1174" s="4" t="s">
        <v>7</v>
      </c>
      <c r="H1174" t="str">
        <f>IFERROR(VLOOKUP(E1174,'GASB Match'!$A$2:$B$240,2,FALSE),"")</f>
        <v/>
      </c>
    </row>
    <row r="1175" spans="1:8" x14ac:dyDescent="0.2">
      <c r="A1175" t="s">
        <v>7</v>
      </c>
      <c r="B1175" s="3">
        <v>2018</v>
      </c>
      <c r="C1175" t="s">
        <v>308</v>
      </c>
      <c r="D1175" t="s">
        <v>309</v>
      </c>
      <c r="E1175" t="s">
        <v>309</v>
      </c>
      <c r="F1175" s="4">
        <v>542098</v>
      </c>
      <c r="G1175" s="4" t="s">
        <v>7</v>
      </c>
      <c r="H1175" t="str">
        <f>IFERROR(VLOOKUP(E1175,'GASB Match'!$A$2:$B$240,2,FALSE),"")</f>
        <v/>
      </c>
    </row>
    <row r="1176" spans="1:8" x14ac:dyDescent="0.2">
      <c r="A1176" t="s">
        <v>7</v>
      </c>
      <c r="B1176" s="3">
        <v>2019</v>
      </c>
      <c r="C1176" t="s">
        <v>308</v>
      </c>
      <c r="D1176" t="s">
        <v>309</v>
      </c>
      <c r="E1176" t="s">
        <v>309</v>
      </c>
      <c r="F1176" s="4">
        <v>705026</v>
      </c>
      <c r="G1176" s="4" t="s">
        <v>7</v>
      </c>
      <c r="H1176" t="str">
        <f>IFERROR(VLOOKUP(E1176,'GASB Match'!$A$2:$B$240,2,FALSE),"")</f>
        <v/>
      </c>
    </row>
    <row r="1177" spans="1:8" x14ac:dyDescent="0.2">
      <c r="A1177" t="s">
        <v>7</v>
      </c>
      <c r="B1177" s="3">
        <v>2020</v>
      </c>
      <c r="C1177" t="s">
        <v>308</v>
      </c>
      <c r="D1177" t="s">
        <v>309</v>
      </c>
      <c r="E1177" t="s">
        <v>309</v>
      </c>
      <c r="F1177" s="4">
        <v>735859</v>
      </c>
      <c r="G1177" s="4" t="s">
        <v>7</v>
      </c>
      <c r="H1177" t="str">
        <f>IFERROR(VLOOKUP(E1177,'GASB Match'!$A$2:$B$240,2,FALSE),"")</f>
        <v/>
      </c>
    </row>
    <row r="1178" spans="1:8" x14ac:dyDescent="0.2">
      <c r="A1178" t="s">
        <v>7</v>
      </c>
      <c r="B1178" s="3">
        <v>2021</v>
      </c>
      <c r="C1178" t="s">
        <v>308</v>
      </c>
      <c r="D1178" t="s">
        <v>309</v>
      </c>
      <c r="E1178" t="s">
        <v>309</v>
      </c>
      <c r="F1178" s="4">
        <v>710118</v>
      </c>
      <c r="G1178" s="4" t="s">
        <v>7</v>
      </c>
      <c r="H1178" t="str">
        <f>IFERROR(VLOOKUP(E1178,'GASB Match'!$A$2:$B$240,2,FALSE),"")</f>
        <v/>
      </c>
    </row>
    <row r="1179" spans="1:8" x14ac:dyDescent="0.2">
      <c r="A1179" t="s">
        <v>7</v>
      </c>
      <c r="B1179" s="3">
        <v>2022</v>
      </c>
      <c r="C1179" t="s">
        <v>308</v>
      </c>
      <c r="D1179" t="s">
        <v>309</v>
      </c>
      <c r="E1179" t="s">
        <v>309</v>
      </c>
      <c r="F1179" s="4">
        <v>765833</v>
      </c>
      <c r="G1179" s="4" t="s">
        <v>7</v>
      </c>
      <c r="H1179" t="str">
        <f>IFERROR(VLOOKUP(E1179,'GASB Match'!$A$2:$B$240,2,FALSE),"")</f>
        <v/>
      </c>
    </row>
    <row r="1180" spans="1:8" x14ac:dyDescent="0.2">
      <c r="A1180" t="s">
        <v>7</v>
      </c>
      <c r="B1180" s="3">
        <v>2023</v>
      </c>
      <c r="C1180" t="s">
        <v>308</v>
      </c>
      <c r="D1180" t="s">
        <v>309</v>
      </c>
      <c r="E1180" t="s">
        <v>309</v>
      </c>
      <c r="F1180" s="4">
        <v>855867</v>
      </c>
      <c r="G1180" s="4" t="s">
        <v>7</v>
      </c>
      <c r="H1180" t="str">
        <f>IFERROR(VLOOKUP(E1180,'GASB Match'!$A$2:$B$240,2,FALSE),"")</f>
        <v/>
      </c>
    </row>
    <row r="1181" spans="1:8" x14ac:dyDescent="0.2">
      <c r="A1181">
        <v>1302250</v>
      </c>
      <c r="B1181" s="3">
        <v>2015</v>
      </c>
      <c r="C1181" t="s">
        <v>310</v>
      </c>
      <c r="D1181" t="s">
        <v>311</v>
      </c>
      <c r="E1181" t="s">
        <v>311</v>
      </c>
      <c r="F1181" s="4">
        <v>2338827.52</v>
      </c>
      <c r="G1181" s="4">
        <v>37669.58</v>
      </c>
      <c r="H1181">
        <f>IFERROR(VLOOKUP(E1181,'GASB Match'!$A$2:$B$240,2,FALSE),"")</f>
        <v>1302250</v>
      </c>
    </row>
    <row r="1182" spans="1:8" x14ac:dyDescent="0.2">
      <c r="A1182">
        <v>1302250</v>
      </c>
      <c r="B1182" s="3">
        <v>2016</v>
      </c>
      <c r="C1182" t="s">
        <v>310</v>
      </c>
      <c r="D1182" t="s">
        <v>311</v>
      </c>
      <c r="E1182" t="s">
        <v>311</v>
      </c>
      <c r="F1182" s="4">
        <v>2608159.7000000002</v>
      </c>
      <c r="G1182" s="4">
        <v>40037.019999999997</v>
      </c>
      <c r="H1182">
        <f>IFERROR(VLOOKUP(E1182,'GASB Match'!$A$2:$B$240,2,FALSE),"")</f>
        <v>1302250</v>
      </c>
    </row>
    <row r="1183" spans="1:8" x14ac:dyDescent="0.2">
      <c r="A1183">
        <v>1302250</v>
      </c>
      <c r="B1183" s="3">
        <v>2017</v>
      </c>
      <c r="C1183" t="s">
        <v>310</v>
      </c>
      <c r="D1183" t="s">
        <v>311</v>
      </c>
      <c r="E1183" t="s">
        <v>311</v>
      </c>
      <c r="F1183" s="4">
        <v>2715525</v>
      </c>
      <c r="G1183" s="4">
        <v>31162</v>
      </c>
      <c r="H1183">
        <f>IFERROR(VLOOKUP(E1183,'GASB Match'!$A$2:$B$240,2,FALSE),"")</f>
        <v>1302250</v>
      </c>
    </row>
    <row r="1184" spans="1:8" x14ac:dyDescent="0.2">
      <c r="A1184">
        <v>1302250</v>
      </c>
      <c r="B1184" s="3">
        <v>2018</v>
      </c>
      <c r="C1184" t="s">
        <v>310</v>
      </c>
      <c r="D1184" t="s">
        <v>311</v>
      </c>
      <c r="E1184" t="s">
        <v>311</v>
      </c>
      <c r="F1184" s="4">
        <v>3328103</v>
      </c>
      <c r="G1184" s="4">
        <v>25212</v>
      </c>
      <c r="H1184">
        <f>IFERROR(VLOOKUP(E1184,'GASB Match'!$A$2:$B$240,2,FALSE),"")</f>
        <v>1302250</v>
      </c>
    </row>
    <row r="1185" spans="1:8" x14ac:dyDescent="0.2">
      <c r="A1185">
        <v>1302250</v>
      </c>
      <c r="B1185" s="3">
        <v>2019</v>
      </c>
      <c r="C1185" t="s">
        <v>310</v>
      </c>
      <c r="D1185" t="s">
        <v>311</v>
      </c>
      <c r="E1185" t="s">
        <v>311</v>
      </c>
      <c r="F1185" s="4">
        <v>4377307</v>
      </c>
      <c r="G1185" s="4">
        <v>30036</v>
      </c>
      <c r="H1185">
        <f>IFERROR(VLOOKUP(E1185,'GASB Match'!$A$2:$B$240,2,FALSE),"")</f>
        <v>1302250</v>
      </c>
    </row>
    <row r="1186" spans="1:8" x14ac:dyDescent="0.2">
      <c r="A1186">
        <v>1302250</v>
      </c>
      <c r="B1186" s="3">
        <v>2020</v>
      </c>
      <c r="C1186" t="s">
        <v>310</v>
      </c>
      <c r="D1186" t="s">
        <v>311</v>
      </c>
      <c r="E1186" t="s">
        <v>311</v>
      </c>
      <c r="F1186" s="4">
        <v>4598974</v>
      </c>
      <c r="G1186" s="4">
        <v>29513</v>
      </c>
      <c r="H1186">
        <f>IFERROR(VLOOKUP(E1186,'GASB Match'!$A$2:$B$240,2,FALSE),"")</f>
        <v>1302250</v>
      </c>
    </row>
    <row r="1187" spans="1:8" x14ac:dyDescent="0.2">
      <c r="A1187">
        <v>1302250</v>
      </c>
      <c r="B1187" s="3">
        <v>2021</v>
      </c>
      <c r="C1187" t="s">
        <v>310</v>
      </c>
      <c r="D1187" t="s">
        <v>311</v>
      </c>
      <c r="E1187" t="s">
        <v>311</v>
      </c>
      <c r="F1187" s="4">
        <v>3958971</v>
      </c>
      <c r="G1187" s="4">
        <v>27690</v>
      </c>
      <c r="H1187">
        <f>IFERROR(VLOOKUP(E1187,'GASB Match'!$A$2:$B$240,2,FALSE),"")</f>
        <v>1302250</v>
      </c>
    </row>
    <row r="1188" spans="1:8" x14ac:dyDescent="0.2">
      <c r="A1188">
        <v>1302250</v>
      </c>
      <c r="B1188" s="3">
        <v>2022</v>
      </c>
      <c r="C1188" t="s">
        <v>310</v>
      </c>
      <c r="D1188" t="s">
        <v>311</v>
      </c>
      <c r="E1188" t="s">
        <v>311</v>
      </c>
      <c r="F1188" s="4">
        <v>4118930</v>
      </c>
      <c r="G1188" s="4">
        <v>32990</v>
      </c>
      <c r="H1188">
        <f>IFERROR(VLOOKUP(E1188,'GASB Match'!$A$2:$B$240,2,FALSE),"")</f>
        <v>1302250</v>
      </c>
    </row>
    <row r="1189" spans="1:8" x14ac:dyDescent="0.2">
      <c r="A1189">
        <v>1302250</v>
      </c>
      <c r="B1189" s="3">
        <v>2023</v>
      </c>
      <c r="C1189" t="s">
        <v>310</v>
      </c>
      <c r="D1189" t="s">
        <v>311</v>
      </c>
      <c r="E1189" t="s">
        <v>311</v>
      </c>
      <c r="F1189" s="4">
        <v>4517672</v>
      </c>
      <c r="G1189" s="4">
        <v>40195</v>
      </c>
      <c r="H1189">
        <f>IFERROR(VLOOKUP(E1189,'GASB Match'!$A$2:$B$240,2,FALSE),"")</f>
        <v>1302250</v>
      </c>
    </row>
    <row r="1190" spans="1:8" x14ac:dyDescent="0.2">
      <c r="A1190">
        <v>1302280</v>
      </c>
      <c r="B1190" s="3">
        <v>2015</v>
      </c>
      <c r="C1190" t="s">
        <v>312</v>
      </c>
      <c r="D1190" t="s">
        <v>313</v>
      </c>
      <c r="E1190" t="s">
        <v>313</v>
      </c>
      <c r="F1190" s="4">
        <v>67185604.329999998</v>
      </c>
      <c r="G1190" s="4">
        <v>66917.440000000002</v>
      </c>
      <c r="H1190">
        <f>IFERROR(VLOOKUP(E1190,'GASB Match'!$A$2:$B$240,2,FALSE),"")</f>
        <v>1302280</v>
      </c>
    </row>
    <row r="1191" spans="1:8" x14ac:dyDescent="0.2">
      <c r="A1191">
        <v>1302280</v>
      </c>
      <c r="B1191" s="3">
        <v>2016</v>
      </c>
      <c r="C1191" t="s">
        <v>312</v>
      </c>
      <c r="D1191" t="s">
        <v>313</v>
      </c>
      <c r="E1191" t="s">
        <v>313</v>
      </c>
      <c r="F1191" s="4">
        <v>73312006.140000001</v>
      </c>
      <c r="G1191" s="4">
        <v>63708.45</v>
      </c>
      <c r="H1191">
        <f>IFERROR(VLOOKUP(E1191,'GASB Match'!$A$2:$B$240,2,FALSE),"")</f>
        <v>1302280</v>
      </c>
    </row>
    <row r="1192" spans="1:8" x14ac:dyDescent="0.2">
      <c r="A1192">
        <v>1302280</v>
      </c>
      <c r="B1192" s="3">
        <v>2017</v>
      </c>
      <c r="C1192" t="s">
        <v>312</v>
      </c>
      <c r="D1192" t="s">
        <v>313</v>
      </c>
      <c r="E1192" t="s">
        <v>313</v>
      </c>
      <c r="F1192" s="4">
        <v>78664440</v>
      </c>
      <c r="G1192" s="4">
        <v>55691</v>
      </c>
      <c r="H1192">
        <f>IFERROR(VLOOKUP(E1192,'GASB Match'!$A$2:$B$240,2,FALSE),"")</f>
        <v>1302280</v>
      </c>
    </row>
    <row r="1193" spans="1:8" x14ac:dyDescent="0.2">
      <c r="A1193">
        <v>1302280</v>
      </c>
      <c r="B1193" s="3">
        <v>2018</v>
      </c>
      <c r="C1193" t="s">
        <v>312</v>
      </c>
      <c r="D1193" t="s">
        <v>313</v>
      </c>
      <c r="E1193" t="s">
        <v>313</v>
      </c>
      <c r="F1193" s="4">
        <v>96215329</v>
      </c>
      <c r="G1193" s="4">
        <v>64151</v>
      </c>
      <c r="H1193">
        <f>IFERROR(VLOOKUP(E1193,'GASB Match'!$A$2:$B$240,2,FALSE),"")</f>
        <v>1302280</v>
      </c>
    </row>
    <row r="1194" spans="1:8" x14ac:dyDescent="0.2">
      <c r="A1194">
        <v>1302280</v>
      </c>
      <c r="B1194" s="3">
        <v>2019</v>
      </c>
      <c r="C1194" t="s">
        <v>312</v>
      </c>
      <c r="D1194" t="s">
        <v>313</v>
      </c>
      <c r="E1194" t="s">
        <v>313</v>
      </c>
      <c r="F1194" s="4">
        <v>120990248</v>
      </c>
      <c r="G1194" s="4">
        <v>80643</v>
      </c>
      <c r="H1194">
        <f>IFERROR(VLOOKUP(E1194,'GASB Match'!$A$2:$B$240,2,FALSE),"")</f>
        <v>1302280</v>
      </c>
    </row>
    <row r="1195" spans="1:8" x14ac:dyDescent="0.2">
      <c r="A1195">
        <v>1302280</v>
      </c>
      <c r="B1195" s="3">
        <v>2020</v>
      </c>
      <c r="C1195" t="s">
        <v>312</v>
      </c>
      <c r="D1195" t="s">
        <v>313</v>
      </c>
      <c r="E1195" t="s">
        <v>313</v>
      </c>
      <c r="F1195" s="4">
        <v>126633342</v>
      </c>
      <c r="G1195" s="4">
        <v>84909</v>
      </c>
      <c r="H1195">
        <f>IFERROR(VLOOKUP(E1195,'GASB Match'!$A$2:$B$240,2,FALSE),"")</f>
        <v>1302280</v>
      </c>
    </row>
    <row r="1196" spans="1:8" x14ac:dyDescent="0.2">
      <c r="A1196">
        <v>1302280</v>
      </c>
      <c r="B1196" s="3">
        <v>2021</v>
      </c>
      <c r="C1196" t="s">
        <v>312</v>
      </c>
      <c r="D1196" t="s">
        <v>313</v>
      </c>
      <c r="E1196" t="s">
        <v>313</v>
      </c>
      <c r="F1196" s="4">
        <v>114580288</v>
      </c>
      <c r="G1196" s="4">
        <v>69488</v>
      </c>
      <c r="H1196">
        <f>IFERROR(VLOOKUP(E1196,'GASB Match'!$A$2:$B$240,2,FALSE),"")</f>
        <v>1302280</v>
      </c>
    </row>
    <row r="1197" spans="1:8" x14ac:dyDescent="0.2">
      <c r="A1197">
        <v>1302280</v>
      </c>
      <c r="B1197" s="3">
        <v>2022</v>
      </c>
      <c r="C1197" t="s">
        <v>312</v>
      </c>
      <c r="D1197" t="s">
        <v>313</v>
      </c>
      <c r="E1197" t="s">
        <v>313</v>
      </c>
      <c r="F1197" s="4">
        <v>121728645</v>
      </c>
      <c r="G1197" s="4">
        <v>71752</v>
      </c>
      <c r="H1197">
        <f>IFERROR(VLOOKUP(E1197,'GASB Match'!$A$2:$B$240,2,FALSE),"")</f>
        <v>1302280</v>
      </c>
    </row>
    <row r="1198" spans="1:8" x14ac:dyDescent="0.2">
      <c r="A1198">
        <v>1302280</v>
      </c>
      <c r="B1198" s="3">
        <v>2023</v>
      </c>
      <c r="C1198" t="s">
        <v>312</v>
      </c>
      <c r="D1198" t="s">
        <v>313</v>
      </c>
      <c r="E1198" t="s">
        <v>313</v>
      </c>
      <c r="F1198" s="4">
        <v>132144043</v>
      </c>
      <c r="G1198" s="4">
        <v>49707</v>
      </c>
      <c r="H1198">
        <f>IFERROR(VLOOKUP(E1198,'GASB Match'!$A$2:$B$240,2,FALSE),"")</f>
        <v>1302280</v>
      </c>
    </row>
    <row r="1199" spans="1:8" x14ac:dyDescent="0.2">
      <c r="A1199">
        <v>1302340</v>
      </c>
      <c r="B1199" s="3">
        <v>2015</v>
      </c>
      <c r="C1199" t="s">
        <v>314</v>
      </c>
      <c r="D1199" t="s">
        <v>315</v>
      </c>
      <c r="E1199" t="s">
        <v>315</v>
      </c>
      <c r="F1199" s="4">
        <v>2897480.7</v>
      </c>
      <c r="G1199" s="4">
        <v>32594.59</v>
      </c>
      <c r="H1199">
        <f>IFERROR(VLOOKUP(E1199,'GASB Match'!$A$2:$B$240,2,FALSE),"")</f>
        <v>1302340</v>
      </c>
    </row>
    <row r="1200" spans="1:8" x14ac:dyDescent="0.2">
      <c r="A1200">
        <v>1302340</v>
      </c>
      <c r="B1200" s="3">
        <v>2016</v>
      </c>
      <c r="C1200" t="s">
        <v>314</v>
      </c>
      <c r="D1200" t="s">
        <v>315</v>
      </c>
      <c r="E1200" t="s">
        <v>315</v>
      </c>
      <c r="F1200" s="4">
        <v>3136894.73</v>
      </c>
      <c r="G1200" s="4">
        <v>32976.6</v>
      </c>
      <c r="H1200">
        <f>IFERROR(VLOOKUP(E1200,'GASB Match'!$A$2:$B$240,2,FALSE),"")</f>
        <v>1302340</v>
      </c>
    </row>
    <row r="1201" spans="1:8" x14ac:dyDescent="0.2">
      <c r="A1201">
        <v>1302340</v>
      </c>
      <c r="B1201" s="3">
        <v>2017</v>
      </c>
      <c r="C1201" t="s">
        <v>314</v>
      </c>
      <c r="D1201" t="s">
        <v>315</v>
      </c>
      <c r="E1201" t="s">
        <v>315</v>
      </c>
      <c r="F1201" s="4">
        <v>3152406</v>
      </c>
      <c r="G1201" s="4">
        <v>42705</v>
      </c>
      <c r="H1201">
        <f>IFERROR(VLOOKUP(E1201,'GASB Match'!$A$2:$B$240,2,FALSE),"")</f>
        <v>1302340</v>
      </c>
    </row>
    <row r="1202" spans="1:8" x14ac:dyDescent="0.2">
      <c r="A1202">
        <v>1302340</v>
      </c>
      <c r="B1202" s="3">
        <v>2018</v>
      </c>
      <c r="C1202" t="s">
        <v>314</v>
      </c>
      <c r="D1202" t="s">
        <v>315</v>
      </c>
      <c r="E1202" t="s">
        <v>315</v>
      </c>
      <c r="F1202" s="4">
        <v>3809302</v>
      </c>
      <c r="G1202" s="4">
        <v>26796</v>
      </c>
      <c r="H1202">
        <f>IFERROR(VLOOKUP(E1202,'GASB Match'!$A$2:$B$240,2,FALSE),"")</f>
        <v>1302340</v>
      </c>
    </row>
    <row r="1203" spans="1:8" x14ac:dyDescent="0.2">
      <c r="A1203">
        <v>1302340</v>
      </c>
      <c r="B1203" s="3">
        <v>2019</v>
      </c>
      <c r="C1203" t="s">
        <v>314</v>
      </c>
      <c r="D1203" t="s">
        <v>315</v>
      </c>
      <c r="E1203" t="s">
        <v>315</v>
      </c>
      <c r="F1203" s="4">
        <v>4763785</v>
      </c>
      <c r="G1203" s="4">
        <v>36605</v>
      </c>
      <c r="H1203">
        <f>IFERROR(VLOOKUP(E1203,'GASB Match'!$A$2:$B$240,2,FALSE),"")</f>
        <v>1302340</v>
      </c>
    </row>
    <row r="1204" spans="1:8" x14ac:dyDescent="0.2">
      <c r="A1204">
        <v>1302340</v>
      </c>
      <c r="B1204" s="3">
        <v>2020</v>
      </c>
      <c r="C1204" t="s">
        <v>314</v>
      </c>
      <c r="D1204" t="s">
        <v>315</v>
      </c>
      <c r="E1204" t="s">
        <v>315</v>
      </c>
      <c r="F1204" s="4">
        <v>5056803</v>
      </c>
      <c r="G1204" s="4">
        <v>38981</v>
      </c>
      <c r="H1204">
        <f>IFERROR(VLOOKUP(E1204,'GASB Match'!$A$2:$B$240,2,FALSE),"")</f>
        <v>1302340</v>
      </c>
    </row>
    <row r="1205" spans="1:8" x14ac:dyDescent="0.2">
      <c r="A1205">
        <v>1302340</v>
      </c>
      <c r="B1205" s="3">
        <v>2021</v>
      </c>
      <c r="C1205" t="s">
        <v>314</v>
      </c>
      <c r="D1205" t="s">
        <v>315</v>
      </c>
      <c r="E1205" t="s">
        <v>315</v>
      </c>
      <c r="F1205" s="4">
        <v>4536474</v>
      </c>
      <c r="G1205" s="4">
        <v>33814</v>
      </c>
      <c r="H1205">
        <f>IFERROR(VLOOKUP(E1205,'GASB Match'!$A$2:$B$240,2,FALSE),"")</f>
        <v>1302340</v>
      </c>
    </row>
    <row r="1206" spans="1:8" x14ac:dyDescent="0.2">
      <c r="A1206">
        <v>1302340</v>
      </c>
      <c r="B1206" s="3">
        <v>2022</v>
      </c>
      <c r="C1206" t="s">
        <v>314</v>
      </c>
      <c r="D1206" t="s">
        <v>315</v>
      </c>
      <c r="E1206" t="s">
        <v>315</v>
      </c>
      <c r="F1206" s="4">
        <v>4875781</v>
      </c>
      <c r="G1206" s="4">
        <v>45016</v>
      </c>
      <c r="H1206">
        <f>IFERROR(VLOOKUP(E1206,'GASB Match'!$A$2:$B$240,2,FALSE),"")</f>
        <v>1302340</v>
      </c>
    </row>
    <row r="1207" spans="1:8" x14ac:dyDescent="0.2">
      <c r="A1207">
        <v>1302340</v>
      </c>
      <c r="B1207" s="3">
        <v>2023</v>
      </c>
      <c r="C1207" t="s">
        <v>314</v>
      </c>
      <c r="D1207" t="s">
        <v>315</v>
      </c>
      <c r="E1207" t="s">
        <v>315</v>
      </c>
      <c r="F1207" s="4">
        <v>5376677</v>
      </c>
      <c r="G1207" s="4">
        <v>49913</v>
      </c>
      <c r="H1207">
        <f>IFERROR(VLOOKUP(E1207,'GASB Match'!$A$2:$B$240,2,FALSE),"")</f>
        <v>1302340</v>
      </c>
    </row>
    <row r="1208" spans="1:8" x14ac:dyDescent="0.2">
      <c r="A1208">
        <v>1302370</v>
      </c>
      <c r="B1208" s="3">
        <v>2015</v>
      </c>
      <c r="C1208" t="s">
        <v>316</v>
      </c>
      <c r="D1208" t="s">
        <v>317</v>
      </c>
      <c r="E1208" t="s">
        <v>317</v>
      </c>
      <c r="F1208" s="4">
        <v>403916.28</v>
      </c>
      <c r="G1208" s="4" t="s">
        <v>7</v>
      </c>
      <c r="H1208">
        <f>IFERROR(VLOOKUP(E1208,'GASB Match'!$A$2:$B$240,2,FALSE),"")</f>
        <v>1302370</v>
      </c>
    </row>
    <row r="1209" spans="1:8" x14ac:dyDescent="0.2">
      <c r="A1209">
        <v>1302370</v>
      </c>
      <c r="B1209" s="3">
        <v>2016</v>
      </c>
      <c r="C1209" t="s">
        <v>316</v>
      </c>
      <c r="D1209" t="s">
        <v>317</v>
      </c>
      <c r="E1209" t="s">
        <v>317</v>
      </c>
      <c r="F1209" s="4">
        <v>446162.31</v>
      </c>
      <c r="G1209" s="4" t="s">
        <v>7</v>
      </c>
      <c r="H1209">
        <f>IFERROR(VLOOKUP(E1209,'GASB Match'!$A$2:$B$240,2,FALSE),"")</f>
        <v>1302370</v>
      </c>
    </row>
    <row r="1210" spans="1:8" x14ac:dyDescent="0.2">
      <c r="A1210">
        <v>1302370</v>
      </c>
      <c r="B1210" s="3">
        <v>2017</v>
      </c>
      <c r="C1210" t="s">
        <v>316</v>
      </c>
      <c r="D1210" t="s">
        <v>317</v>
      </c>
      <c r="E1210" t="s">
        <v>317</v>
      </c>
      <c r="F1210" s="4">
        <v>474891</v>
      </c>
      <c r="G1210" s="4" t="s">
        <v>7</v>
      </c>
      <c r="H1210">
        <f>IFERROR(VLOOKUP(E1210,'GASB Match'!$A$2:$B$240,2,FALSE),"")</f>
        <v>1302370</v>
      </c>
    </row>
    <row r="1211" spans="1:8" x14ac:dyDescent="0.2">
      <c r="A1211">
        <v>1302370</v>
      </c>
      <c r="B1211" s="3">
        <v>2018</v>
      </c>
      <c r="C1211" t="s">
        <v>316</v>
      </c>
      <c r="D1211" t="s">
        <v>317</v>
      </c>
      <c r="E1211" t="s">
        <v>317</v>
      </c>
      <c r="F1211" s="4">
        <v>552324</v>
      </c>
      <c r="G1211" s="4" t="s">
        <v>7</v>
      </c>
      <c r="H1211">
        <f>IFERROR(VLOOKUP(E1211,'GASB Match'!$A$2:$B$240,2,FALSE),"")</f>
        <v>1302370</v>
      </c>
    </row>
    <row r="1212" spans="1:8" x14ac:dyDescent="0.2">
      <c r="A1212">
        <v>1302370</v>
      </c>
      <c r="B1212" s="3">
        <v>2019</v>
      </c>
      <c r="C1212" t="s">
        <v>316</v>
      </c>
      <c r="D1212" t="s">
        <v>317</v>
      </c>
      <c r="E1212" t="s">
        <v>317</v>
      </c>
      <c r="F1212" s="4">
        <v>669871</v>
      </c>
      <c r="G1212" s="4" t="s">
        <v>7</v>
      </c>
      <c r="H1212">
        <f>IFERROR(VLOOKUP(E1212,'GASB Match'!$A$2:$B$240,2,FALSE),"")</f>
        <v>1302370</v>
      </c>
    </row>
    <row r="1213" spans="1:8" x14ac:dyDescent="0.2">
      <c r="A1213">
        <v>1302370</v>
      </c>
      <c r="B1213" s="3">
        <v>2020</v>
      </c>
      <c r="C1213" t="s">
        <v>316</v>
      </c>
      <c r="D1213" t="s">
        <v>317</v>
      </c>
      <c r="E1213" t="s">
        <v>317</v>
      </c>
      <c r="F1213" s="4">
        <v>738169</v>
      </c>
      <c r="G1213" s="4" t="s">
        <v>7</v>
      </c>
      <c r="H1213">
        <f>IFERROR(VLOOKUP(E1213,'GASB Match'!$A$2:$B$240,2,FALSE),"")</f>
        <v>1302370</v>
      </c>
    </row>
    <row r="1214" spans="1:8" x14ac:dyDescent="0.2">
      <c r="A1214">
        <v>1302370</v>
      </c>
      <c r="B1214" s="3">
        <v>2021</v>
      </c>
      <c r="C1214" t="s">
        <v>316</v>
      </c>
      <c r="D1214" t="s">
        <v>317</v>
      </c>
      <c r="E1214" t="s">
        <v>317</v>
      </c>
      <c r="F1214" s="4">
        <v>719194</v>
      </c>
      <c r="G1214" s="4" t="s">
        <v>7</v>
      </c>
      <c r="H1214">
        <f>IFERROR(VLOOKUP(E1214,'GASB Match'!$A$2:$B$240,2,FALSE),"")</f>
        <v>1302370</v>
      </c>
    </row>
    <row r="1215" spans="1:8" x14ac:dyDescent="0.2">
      <c r="A1215">
        <v>1302370</v>
      </c>
      <c r="B1215" s="3">
        <v>2022</v>
      </c>
      <c r="C1215" t="s">
        <v>316</v>
      </c>
      <c r="D1215" t="s">
        <v>317</v>
      </c>
      <c r="E1215" t="s">
        <v>317</v>
      </c>
      <c r="F1215" s="4">
        <v>775985</v>
      </c>
      <c r="G1215" s="4" t="s">
        <v>7</v>
      </c>
      <c r="H1215">
        <f>IFERROR(VLOOKUP(E1215,'GASB Match'!$A$2:$B$240,2,FALSE),"")</f>
        <v>1302370</v>
      </c>
    </row>
    <row r="1216" spans="1:8" x14ac:dyDescent="0.2">
      <c r="A1216">
        <v>1302370</v>
      </c>
      <c r="B1216" s="3">
        <v>2023</v>
      </c>
      <c r="C1216" t="s">
        <v>316</v>
      </c>
      <c r="D1216" t="s">
        <v>317</v>
      </c>
      <c r="E1216" t="s">
        <v>317</v>
      </c>
      <c r="F1216" s="4">
        <v>852623</v>
      </c>
      <c r="G1216" s="4" t="s">
        <v>7</v>
      </c>
      <c r="H1216">
        <f>IFERROR(VLOOKUP(E1216,'GASB Match'!$A$2:$B$240,2,FALSE),"")</f>
        <v>1302370</v>
      </c>
    </row>
    <row r="1217" spans="1:8" x14ac:dyDescent="0.2">
      <c r="A1217">
        <v>1302400</v>
      </c>
      <c r="B1217" s="3">
        <v>2015</v>
      </c>
      <c r="C1217" t="s">
        <v>318</v>
      </c>
      <c r="D1217" t="s">
        <v>319</v>
      </c>
      <c r="E1217" t="s">
        <v>319</v>
      </c>
      <c r="F1217" s="4">
        <v>9008108.0199999996</v>
      </c>
      <c r="G1217" s="4">
        <v>18704.37</v>
      </c>
      <c r="H1217">
        <f>IFERROR(VLOOKUP(E1217,'GASB Match'!$A$2:$B$240,2,FALSE),"")</f>
        <v>1302400</v>
      </c>
    </row>
    <row r="1218" spans="1:8" x14ac:dyDescent="0.2">
      <c r="A1218">
        <v>1302400</v>
      </c>
      <c r="B1218" s="3">
        <v>2016</v>
      </c>
      <c r="C1218" t="s">
        <v>318</v>
      </c>
      <c r="D1218" t="s">
        <v>319</v>
      </c>
      <c r="E1218" t="s">
        <v>319</v>
      </c>
      <c r="F1218" s="4">
        <v>10035474.609999999</v>
      </c>
      <c r="G1218" s="4">
        <v>20957.52</v>
      </c>
      <c r="H1218">
        <f>IFERROR(VLOOKUP(E1218,'GASB Match'!$A$2:$B$240,2,FALSE),"")</f>
        <v>1302400</v>
      </c>
    </row>
    <row r="1219" spans="1:8" x14ac:dyDescent="0.2">
      <c r="A1219">
        <v>1302400</v>
      </c>
      <c r="B1219" s="3">
        <v>2017</v>
      </c>
      <c r="C1219" t="s">
        <v>318</v>
      </c>
      <c r="D1219" t="s">
        <v>319</v>
      </c>
      <c r="E1219" t="s">
        <v>319</v>
      </c>
      <c r="F1219" s="4">
        <v>10753063</v>
      </c>
      <c r="G1219" s="4">
        <v>34505</v>
      </c>
      <c r="H1219">
        <f>IFERROR(VLOOKUP(E1219,'GASB Match'!$A$2:$B$240,2,FALSE),"")</f>
        <v>1302400</v>
      </c>
    </row>
    <row r="1220" spans="1:8" x14ac:dyDescent="0.2">
      <c r="A1220">
        <v>1302400</v>
      </c>
      <c r="B1220" s="3">
        <v>2018</v>
      </c>
      <c r="C1220" t="s">
        <v>318</v>
      </c>
      <c r="D1220" t="s">
        <v>319</v>
      </c>
      <c r="E1220" t="s">
        <v>319</v>
      </c>
      <c r="F1220" s="4">
        <v>12618326</v>
      </c>
      <c r="G1220" s="4">
        <v>55970</v>
      </c>
      <c r="H1220">
        <f>IFERROR(VLOOKUP(E1220,'GASB Match'!$A$2:$B$240,2,FALSE),"")</f>
        <v>1302400</v>
      </c>
    </row>
    <row r="1221" spans="1:8" x14ac:dyDescent="0.2">
      <c r="A1221">
        <v>1302400</v>
      </c>
      <c r="B1221" s="3">
        <v>2019</v>
      </c>
      <c r="C1221" t="s">
        <v>318</v>
      </c>
      <c r="D1221" t="s">
        <v>319</v>
      </c>
      <c r="E1221" t="s">
        <v>319</v>
      </c>
      <c r="F1221" s="4">
        <v>16932787</v>
      </c>
      <c r="G1221" s="4">
        <v>70380</v>
      </c>
      <c r="H1221">
        <f>IFERROR(VLOOKUP(E1221,'GASB Match'!$A$2:$B$240,2,FALSE),"")</f>
        <v>1302400</v>
      </c>
    </row>
    <row r="1222" spans="1:8" x14ac:dyDescent="0.2">
      <c r="A1222">
        <v>1302400</v>
      </c>
      <c r="B1222" s="3">
        <v>2020</v>
      </c>
      <c r="C1222" t="s">
        <v>318</v>
      </c>
      <c r="D1222" t="s">
        <v>319</v>
      </c>
      <c r="E1222" t="s">
        <v>319</v>
      </c>
      <c r="F1222" s="4">
        <v>16916592</v>
      </c>
      <c r="G1222" s="4">
        <v>72095</v>
      </c>
      <c r="H1222">
        <f>IFERROR(VLOOKUP(E1222,'GASB Match'!$A$2:$B$240,2,FALSE),"")</f>
        <v>1302400</v>
      </c>
    </row>
    <row r="1223" spans="1:8" x14ac:dyDescent="0.2">
      <c r="A1223">
        <v>1302400</v>
      </c>
      <c r="B1223" s="3">
        <v>2021</v>
      </c>
      <c r="C1223" t="s">
        <v>318</v>
      </c>
      <c r="D1223" t="s">
        <v>319</v>
      </c>
      <c r="E1223" t="s">
        <v>319</v>
      </c>
      <c r="F1223" s="4">
        <v>15267043</v>
      </c>
      <c r="G1223" s="4">
        <v>67346</v>
      </c>
      <c r="H1223">
        <f>IFERROR(VLOOKUP(E1223,'GASB Match'!$A$2:$B$240,2,FALSE),"")</f>
        <v>1302400</v>
      </c>
    </row>
    <row r="1224" spans="1:8" x14ac:dyDescent="0.2">
      <c r="A1224">
        <v>1302400</v>
      </c>
      <c r="B1224" s="3">
        <v>2022</v>
      </c>
      <c r="C1224" t="s">
        <v>318</v>
      </c>
      <c r="D1224" t="s">
        <v>319</v>
      </c>
      <c r="E1224" t="s">
        <v>319</v>
      </c>
      <c r="F1224" s="4">
        <v>16134722</v>
      </c>
      <c r="G1224" s="4">
        <v>74131</v>
      </c>
      <c r="H1224">
        <f>IFERROR(VLOOKUP(E1224,'GASB Match'!$A$2:$B$240,2,FALSE),"")</f>
        <v>1302400</v>
      </c>
    </row>
    <row r="1225" spans="1:8" x14ac:dyDescent="0.2">
      <c r="A1225">
        <v>1302400</v>
      </c>
      <c r="B1225" s="3">
        <v>2023</v>
      </c>
      <c r="C1225" t="s">
        <v>318</v>
      </c>
      <c r="D1225" t="s">
        <v>319</v>
      </c>
      <c r="E1225" t="s">
        <v>319</v>
      </c>
      <c r="F1225" s="4">
        <v>17519223</v>
      </c>
      <c r="G1225" s="4">
        <v>73525</v>
      </c>
      <c r="H1225">
        <f>IFERROR(VLOOKUP(E1225,'GASB Match'!$A$2:$B$240,2,FALSE),"")</f>
        <v>1302400</v>
      </c>
    </row>
    <row r="1226" spans="1:8" x14ac:dyDescent="0.2">
      <c r="A1226" t="s">
        <v>7</v>
      </c>
      <c r="B1226" s="3">
        <v>2015</v>
      </c>
      <c r="C1226" t="s">
        <v>320</v>
      </c>
      <c r="D1226" t="s">
        <v>321</v>
      </c>
      <c r="E1226" t="s">
        <v>321</v>
      </c>
      <c r="F1226" s="4">
        <v>56855.12</v>
      </c>
      <c r="G1226" s="4" t="s">
        <v>7</v>
      </c>
      <c r="H1226" t="str">
        <f>IFERROR(VLOOKUP(E1226,'GASB Match'!$A$2:$B$240,2,FALSE),"")</f>
        <v/>
      </c>
    </row>
    <row r="1227" spans="1:8" x14ac:dyDescent="0.2">
      <c r="A1227" t="s">
        <v>7</v>
      </c>
      <c r="B1227" s="3">
        <v>2016</v>
      </c>
      <c r="C1227" t="s">
        <v>320</v>
      </c>
      <c r="D1227" t="s">
        <v>321</v>
      </c>
      <c r="E1227" t="s">
        <v>321</v>
      </c>
      <c r="F1227" s="4">
        <v>85845.259999999893</v>
      </c>
      <c r="G1227" s="4" t="s">
        <v>7</v>
      </c>
      <c r="H1227" t="str">
        <f>IFERROR(VLOOKUP(E1227,'GASB Match'!$A$2:$B$240,2,FALSE),"")</f>
        <v/>
      </c>
    </row>
    <row r="1228" spans="1:8" x14ac:dyDescent="0.2">
      <c r="A1228" t="s">
        <v>7</v>
      </c>
      <c r="B1228" s="3">
        <v>2017</v>
      </c>
      <c r="C1228" t="s">
        <v>320</v>
      </c>
      <c r="D1228" t="s">
        <v>321</v>
      </c>
      <c r="E1228" t="s">
        <v>321</v>
      </c>
      <c r="F1228" s="4">
        <v>86300</v>
      </c>
      <c r="G1228" s="4" t="s">
        <v>7</v>
      </c>
      <c r="H1228" t="str">
        <f>IFERROR(VLOOKUP(E1228,'GASB Match'!$A$2:$B$240,2,FALSE),"")</f>
        <v/>
      </c>
    </row>
    <row r="1229" spans="1:8" x14ac:dyDescent="0.2">
      <c r="A1229" t="s">
        <v>7</v>
      </c>
      <c r="B1229" s="3">
        <v>2018</v>
      </c>
      <c r="C1229" t="s">
        <v>320</v>
      </c>
      <c r="D1229" t="s">
        <v>321</v>
      </c>
      <c r="E1229" t="s">
        <v>321</v>
      </c>
      <c r="F1229" s="4">
        <v>130932</v>
      </c>
      <c r="G1229" s="4" t="s">
        <v>7</v>
      </c>
      <c r="H1229" t="str">
        <f>IFERROR(VLOOKUP(E1229,'GASB Match'!$A$2:$B$240,2,FALSE),"")</f>
        <v/>
      </c>
    </row>
    <row r="1230" spans="1:8" x14ac:dyDescent="0.2">
      <c r="A1230" t="s">
        <v>7</v>
      </c>
      <c r="B1230" s="3">
        <v>2019</v>
      </c>
      <c r="C1230" t="s">
        <v>320</v>
      </c>
      <c r="D1230" t="s">
        <v>321</v>
      </c>
      <c r="E1230" t="s">
        <v>321</v>
      </c>
      <c r="F1230" s="4">
        <v>164016</v>
      </c>
      <c r="G1230" s="4" t="s">
        <v>7</v>
      </c>
      <c r="H1230" t="str">
        <f>IFERROR(VLOOKUP(E1230,'GASB Match'!$A$2:$B$240,2,FALSE),"")</f>
        <v/>
      </c>
    </row>
    <row r="1231" spans="1:8" x14ac:dyDescent="0.2">
      <c r="A1231" t="s">
        <v>7</v>
      </c>
      <c r="B1231" s="3">
        <v>2020</v>
      </c>
      <c r="C1231" t="s">
        <v>320</v>
      </c>
      <c r="D1231" t="s">
        <v>321</v>
      </c>
      <c r="E1231" t="s">
        <v>321</v>
      </c>
      <c r="F1231" s="4">
        <v>170868</v>
      </c>
      <c r="G1231" s="4" t="s">
        <v>7</v>
      </c>
      <c r="H1231" t="str">
        <f>IFERROR(VLOOKUP(E1231,'GASB Match'!$A$2:$B$240,2,FALSE),"")</f>
        <v/>
      </c>
    </row>
    <row r="1232" spans="1:8" x14ac:dyDescent="0.2">
      <c r="A1232" t="s">
        <v>7</v>
      </c>
      <c r="B1232" s="3">
        <v>2021</v>
      </c>
      <c r="C1232" t="s">
        <v>320</v>
      </c>
      <c r="D1232" t="s">
        <v>321</v>
      </c>
      <c r="E1232" t="s">
        <v>321</v>
      </c>
      <c r="F1232" s="4">
        <v>157034</v>
      </c>
      <c r="G1232" s="4" t="s">
        <v>7</v>
      </c>
      <c r="H1232" t="str">
        <f>IFERROR(VLOOKUP(E1232,'GASB Match'!$A$2:$B$240,2,FALSE),"")</f>
        <v/>
      </c>
    </row>
    <row r="1233" spans="1:8" x14ac:dyDescent="0.2">
      <c r="A1233" t="s">
        <v>7</v>
      </c>
      <c r="B1233" s="3">
        <v>2022</v>
      </c>
      <c r="C1233" t="s">
        <v>320</v>
      </c>
      <c r="D1233" t="s">
        <v>321</v>
      </c>
      <c r="E1233" t="s">
        <v>321</v>
      </c>
      <c r="F1233" s="4">
        <v>151722</v>
      </c>
      <c r="G1233" s="4" t="s">
        <v>7</v>
      </c>
      <c r="H1233" t="str">
        <f>IFERROR(VLOOKUP(E1233,'GASB Match'!$A$2:$B$240,2,FALSE),"")</f>
        <v/>
      </c>
    </row>
    <row r="1234" spans="1:8" x14ac:dyDescent="0.2">
      <c r="A1234" t="s">
        <v>7</v>
      </c>
      <c r="B1234" s="3">
        <v>2023</v>
      </c>
      <c r="C1234" t="s">
        <v>320</v>
      </c>
      <c r="D1234" t="s">
        <v>321</v>
      </c>
      <c r="E1234" t="s">
        <v>321</v>
      </c>
      <c r="F1234" s="4">
        <v>163159</v>
      </c>
      <c r="G1234" s="4" t="s">
        <v>7</v>
      </c>
      <c r="H1234" t="str">
        <f>IFERROR(VLOOKUP(E1234,'GASB Match'!$A$2:$B$240,2,FALSE),"")</f>
        <v/>
      </c>
    </row>
    <row r="1235" spans="1:8" x14ac:dyDescent="0.2">
      <c r="A1235">
        <v>1302430</v>
      </c>
      <c r="B1235" s="3">
        <v>2015</v>
      </c>
      <c r="C1235" t="s">
        <v>322</v>
      </c>
      <c r="D1235" t="s">
        <v>323</v>
      </c>
      <c r="E1235" t="s">
        <v>323</v>
      </c>
      <c r="F1235" s="4">
        <v>4304197.62</v>
      </c>
      <c r="G1235" s="4">
        <v>42390.12</v>
      </c>
      <c r="H1235">
        <f>IFERROR(VLOOKUP(E1235,'GASB Match'!$A$2:$B$240,2,FALSE),"")</f>
        <v>1302430</v>
      </c>
    </row>
    <row r="1236" spans="1:8" x14ac:dyDescent="0.2">
      <c r="A1236">
        <v>1302430</v>
      </c>
      <c r="B1236" s="3">
        <v>2016</v>
      </c>
      <c r="C1236" t="s">
        <v>322</v>
      </c>
      <c r="D1236" t="s">
        <v>323</v>
      </c>
      <c r="E1236" t="s">
        <v>323</v>
      </c>
      <c r="F1236" s="4">
        <v>4740485.7</v>
      </c>
      <c r="G1236" s="4">
        <v>48637.2</v>
      </c>
      <c r="H1236">
        <f>IFERROR(VLOOKUP(E1236,'GASB Match'!$A$2:$B$240,2,FALSE),"")</f>
        <v>1302430</v>
      </c>
    </row>
    <row r="1237" spans="1:8" x14ac:dyDescent="0.2">
      <c r="A1237">
        <v>1302430</v>
      </c>
      <c r="B1237" s="3">
        <v>2017</v>
      </c>
      <c r="C1237" t="s">
        <v>322</v>
      </c>
      <c r="D1237" t="s">
        <v>323</v>
      </c>
      <c r="E1237" t="s">
        <v>323</v>
      </c>
      <c r="F1237" s="4">
        <v>4903560</v>
      </c>
      <c r="G1237" s="4">
        <v>38375</v>
      </c>
      <c r="H1237">
        <f>IFERROR(VLOOKUP(E1237,'GASB Match'!$A$2:$B$240,2,FALSE),"")</f>
        <v>1302430</v>
      </c>
    </row>
    <row r="1238" spans="1:8" x14ac:dyDescent="0.2">
      <c r="A1238">
        <v>1302430</v>
      </c>
      <c r="B1238" s="3">
        <v>2018</v>
      </c>
      <c r="C1238" t="s">
        <v>322</v>
      </c>
      <c r="D1238" t="s">
        <v>323</v>
      </c>
      <c r="E1238" t="s">
        <v>323</v>
      </c>
      <c r="F1238" s="4">
        <v>6002211</v>
      </c>
      <c r="G1238" s="4">
        <v>32311</v>
      </c>
      <c r="H1238">
        <f>IFERROR(VLOOKUP(E1238,'GASB Match'!$A$2:$B$240,2,FALSE),"")</f>
        <v>1302430</v>
      </c>
    </row>
    <row r="1239" spans="1:8" x14ac:dyDescent="0.2">
      <c r="A1239">
        <v>1302430</v>
      </c>
      <c r="B1239" s="3">
        <v>2019</v>
      </c>
      <c r="C1239" t="s">
        <v>322</v>
      </c>
      <c r="D1239" t="s">
        <v>323</v>
      </c>
      <c r="E1239" t="s">
        <v>323</v>
      </c>
      <c r="F1239" s="4">
        <v>7552566</v>
      </c>
      <c r="G1239" s="4">
        <v>40665</v>
      </c>
      <c r="H1239">
        <f>IFERROR(VLOOKUP(E1239,'GASB Match'!$A$2:$B$240,2,FALSE),"")</f>
        <v>1302430</v>
      </c>
    </row>
    <row r="1240" spans="1:8" x14ac:dyDescent="0.2">
      <c r="A1240">
        <v>1302430</v>
      </c>
      <c r="B1240" s="3">
        <v>2020</v>
      </c>
      <c r="C1240" t="s">
        <v>322</v>
      </c>
      <c r="D1240" t="s">
        <v>323</v>
      </c>
      <c r="E1240" t="s">
        <v>323</v>
      </c>
      <c r="F1240" s="4">
        <v>7994213</v>
      </c>
      <c r="G1240" s="4">
        <v>43941</v>
      </c>
      <c r="H1240">
        <f>IFERROR(VLOOKUP(E1240,'GASB Match'!$A$2:$B$240,2,FALSE),"")</f>
        <v>1302430</v>
      </c>
    </row>
    <row r="1241" spans="1:8" x14ac:dyDescent="0.2">
      <c r="A1241">
        <v>1302430</v>
      </c>
      <c r="B1241" s="3">
        <v>2021</v>
      </c>
      <c r="C1241" t="s">
        <v>322</v>
      </c>
      <c r="D1241" t="s">
        <v>323</v>
      </c>
      <c r="E1241" t="s">
        <v>323</v>
      </c>
      <c r="F1241" s="4">
        <v>7288417</v>
      </c>
      <c r="G1241" s="4">
        <v>39375</v>
      </c>
      <c r="H1241">
        <f>IFERROR(VLOOKUP(E1241,'GASB Match'!$A$2:$B$240,2,FALSE),"")</f>
        <v>1302430</v>
      </c>
    </row>
    <row r="1242" spans="1:8" x14ac:dyDescent="0.2">
      <c r="A1242">
        <v>1302430</v>
      </c>
      <c r="B1242" s="3">
        <v>2022</v>
      </c>
      <c r="C1242" t="s">
        <v>322</v>
      </c>
      <c r="D1242" t="s">
        <v>323</v>
      </c>
      <c r="E1242" t="s">
        <v>323</v>
      </c>
      <c r="F1242" s="4">
        <v>8068989</v>
      </c>
      <c r="G1242" s="4">
        <v>47577</v>
      </c>
      <c r="H1242">
        <f>IFERROR(VLOOKUP(E1242,'GASB Match'!$A$2:$B$240,2,FALSE),"")</f>
        <v>1302430</v>
      </c>
    </row>
    <row r="1243" spans="1:8" x14ac:dyDescent="0.2">
      <c r="A1243">
        <v>1302430</v>
      </c>
      <c r="B1243" s="3">
        <v>2023</v>
      </c>
      <c r="C1243" t="s">
        <v>322</v>
      </c>
      <c r="D1243" t="s">
        <v>323</v>
      </c>
      <c r="E1243" t="s">
        <v>323</v>
      </c>
      <c r="F1243" s="4">
        <v>8847866</v>
      </c>
      <c r="G1243" s="4">
        <v>51813</v>
      </c>
      <c r="H1243">
        <f>IFERROR(VLOOKUP(E1243,'GASB Match'!$A$2:$B$240,2,FALSE),"")</f>
        <v>1302430</v>
      </c>
    </row>
    <row r="1244" spans="1:8" x14ac:dyDescent="0.2">
      <c r="A1244">
        <v>1302460</v>
      </c>
      <c r="B1244" s="3">
        <v>2015</v>
      </c>
      <c r="C1244" t="s">
        <v>324</v>
      </c>
      <c r="D1244" t="s">
        <v>325</v>
      </c>
      <c r="E1244" t="s">
        <v>325</v>
      </c>
      <c r="F1244" s="4">
        <v>2878761.43</v>
      </c>
      <c r="G1244" s="4" t="s">
        <v>7</v>
      </c>
      <c r="H1244">
        <f>IFERROR(VLOOKUP(E1244,'GASB Match'!$A$2:$B$240,2,FALSE),"")</f>
        <v>1302460</v>
      </c>
    </row>
    <row r="1245" spans="1:8" x14ac:dyDescent="0.2">
      <c r="A1245">
        <v>1302460</v>
      </c>
      <c r="B1245" s="3">
        <v>2016</v>
      </c>
      <c r="C1245" t="s">
        <v>324</v>
      </c>
      <c r="D1245" t="s">
        <v>325</v>
      </c>
      <c r="E1245" t="s">
        <v>325</v>
      </c>
      <c r="F1245" s="4">
        <v>3151609.5</v>
      </c>
      <c r="G1245" s="4" t="s">
        <v>7</v>
      </c>
      <c r="H1245">
        <f>IFERROR(VLOOKUP(E1245,'GASB Match'!$A$2:$B$240,2,FALSE),"")</f>
        <v>1302460</v>
      </c>
    </row>
    <row r="1246" spans="1:8" x14ac:dyDescent="0.2">
      <c r="A1246">
        <v>1302460</v>
      </c>
      <c r="B1246" s="3">
        <v>2017</v>
      </c>
      <c r="C1246" t="s">
        <v>324</v>
      </c>
      <c r="D1246" t="s">
        <v>325</v>
      </c>
      <c r="E1246" t="s">
        <v>325</v>
      </c>
      <c r="F1246" s="4">
        <v>3185577</v>
      </c>
      <c r="G1246" s="4" t="s">
        <v>7</v>
      </c>
      <c r="H1246">
        <f>IFERROR(VLOOKUP(E1246,'GASB Match'!$A$2:$B$240,2,FALSE),"")</f>
        <v>1302460</v>
      </c>
    </row>
    <row r="1247" spans="1:8" x14ac:dyDescent="0.2">
      <c r="A1247">
        <v>1302460</v>
      </c>
      <c r="B1247" s="3">
        <v>2018</v>
      </c>
      <c r="C1247" t="s">
        <v>324</v>
      </c>
      <c r="D1247" t="s">
        <v>325</v>
      </c>
      <c r="E1247" t="s">
        <v>325</v>
      </c>
      <c r="F1247" s="4">
        <v>3905668</v>
      </c>
      <c r="G1247" s="4" t="s">
        <v>7</v>
      </c>
      <c r="H1247">
        <f>IFERROR(VLOOKUP(E1247,'GASB Match'!$A$2:$B$240,2,FALSE),"")</f>
        <v>1302460</v>
      </c>
    </row>
    <row r="1248" spans="1:8" x14ac:dyDescent="0.2">
      <c r="A1248">
        <v>1302460</v>
      </c>
      <c r="B1248" s="3">
        <v>2019</v>
      </c>
      <c r="C1248" t="s">
        <v>324</v>
      </c>
      <c r="D1248" t="s">
        <v>325</v>
      </c>
      <c r="E1248" t="s">
        <v>325</v>
      </c>
      <c r="F1248" s="4">
        <v>5003865</v>
      </c>
      <c r="G1248" s="4" t="s">
        <v>7</v>
      </c>
      <c r="H1248">
        <f>IFERROR(VLOOKUP(E1248,'GASB Match'!$A$2:$B$240,2,FALSE),"")</f>
        <v>1302460</v>
      </c>
    </row>
    <row r="1249" spans="1:8" x14ac:dyDescent="0.2">
      <c r="A1249">
        <v>1302460</v>
      </c>
      <c r="B1249" s="3">
        <v>2020</v>
      </c>
      <c r="C1249" t="s">
        <v>324</v>
      </c>
      <c r="D1249" t="s">
        <v>325</v>
      </c>
      <c r="E1249" t="s">
        <v>325</v>
      </c>
      <c r="F1249" s="4">
        <v>5382625</v>
      </c>
      <c r="G1249" s="4" t="s">
        <v>7</v>
      </c>
      <c r="H1249">
        <f>IFERROR(VLOOKUP(E1249,'GASB Match'!$A$2:$B$240,2,FALSE),"")</f>
        <v>1302460</v>
      </c>
    </row>
    <row r="1250" spans="1:8" x14ac:dyDescent="0.2">
      <c r="A1250">
        <v>1302460</v>
      </c>
      <c r="B1250" s="3">
        <v>2021</v>
      </c>
      <c r="C1250" t="s">
        <v>324</v>
      </c>
      <c r="D1250" t="s">
        <v>325</v>
      </c>
      <c r="E1250" t="s">
        <v>325</v>
      </c>
      <c r="F1250" s="4">
        <v>4811033</v>
      </c>
      <c r="G1250" s="4" t="s">
        <v>7</v>
      </c>
      <c r="H1250">
        <f>IFERROR(VLOOKUP(E1250,'GASB Match'!$A$2:$B$240,2,FALSE),"")</f>
        <v>1302460</v>
      </c>
    </row>
    <row r="1251" spans="1:8" x14ac:dyDescent="0.2">
      <c r="A1251">
        <v>1302460</v>
      </c>
      <c r="B1251" s="3">
        <v>2022</v>
      </c>
      <c r="C1251" t="s">
        <v>324</v>
      </c>
      <c r="D1251" t="s">
        <v>325</v>
      </c>
      <c r="E1251" t="s">
        <v>325</v>
      </c>
      <c r="F1251" s="4">
        <v>5045947</v>
      </c>
      <c r="G1251" s="4" t="s">
        <v>7</v>
      </c>
      <c r="H1251">
        <f>IFERROR(VLOOKUP(E1251,'GASB Match'!$A$2:$B$240,2,FALSE),"")</f>
        <v>1302460</v>
      </c>
    </row>
    <row r="1252" spans="1:8" x14ac:dyDescent="0.2">
      <c r="A1252">
        <v>1302460</v>
      </c>
      <c r="B1252" s="3">
        <v>2023</v>
      </c>
      <c r="C1252" t="s">
        <v>324</v>
      </c>
      <c r="D1252" t="s">
        <v>325</v>
      </c>
      <c r="E1252" t="s">
        <v>325</v>
      </c>
      <c r="F1252" s="4">
        <v>5435605</v>
      </c>
      <c r="G1252" s="4" t="s">
        <v>7</v>
      </c>
      <c r="H1252">
        <f>IFERROR(VLOOKUP(E1252,'GASB Match'!$A$2:$B$240,2,FALSE),"")</f>
        <v>1302460</v>
      </c>
    </row>
    <row r="1253" spans="1:8" x14ac:dyDescent="0.2">
      <c r="A1253" t="s">
        <v>7</v>
      </c>
      <c r="B1253" s="3">
        <v>2015</v>
      </c>
      <c r="C1253" t="s">
        <v>326</v>
      </c>
      <c r="D1253" t="s">
        <v>327</v>
      </c>
      <c r="E1253" t="s">
        <v>327</v>
      </c>
      <c r="F1253" s="4">
        <v>34857.82</v>
      </c>
      <c r="G1253" s="4" t="s">
        <v>7</v>
      </c>
      <c r="H1253" t="str">
        <f>IFERROR(VLOOKUP(E1253,'GASB Match'!$A$2:$B$240,2,FALSE),"")</f>
        <v/>
      </c>
    </row>
    <row r="1254" spans="1:8" x14ac:dyDescent="0.2">
      <c r="A1254" t="s">
        <v>7</v>
      </c>
      <c r="B1254" s="3">
        <v>2016</v>
      </c>
      <c r="C1254" t="s">
        <v>326</v>
      </c>
      <c r="D1254" t="s">
        <v>327</v>
      </c>
      <c r="E1254" t="s">
        <v>327</v>
      </c>
      <c r="F1254" s="4">
        <v>39497.97</v>
      </c>
      <c r="G1254" s="4" t="s">
        <v>7</v>
      </c>
      <c r="H1254" t="str">
        <f>IFERROR(VLOOKUP(E1254,'GASB Match'!$A$2:$B$240,2,FALSE),"")</f>
        <v/>
      </c>
    </row>
    <row r="1255" spans="1:8" x14ac:dyDescent="0.2">
      <c r="A1255" t="s">
        <v>7</v>
      </c>
      <c r="B1255" s="3">
        <v>2017</v>
      </c>
      <c r="C1255" t="s">
        <v>326</v>
      </c>
      <c r="D1255" t="s">
        <v>327</v>
      </c>
      <c r="E1255" t="s">
        <v>327</v>
      </c>
      <c r="F1255" s="4">
        <v>41270</v>
      </c>
      <c r="G1255" s="4" t="s">
        <v>7</v>
      </c>
      <c r="H1255" t="str">
        <f>IFERROR(VLOOKUP(E1255,'GASB Match'!$A$2:$B$240,2,FALSE),"")</f>
        <v/>
      </c>
    </row>
    <row r="1256" spans="1:8" x14ac:dyDescent="0.2">
      <c r="A1256" t="s">
        <v>7</v>
      </c>
      <c r="B1256" s="3">
        <v>2018</v>
      </c>
      <c r="C1256" t="s">
        <v>326</v>
      </c>
      <c r="D1256" t="s">
        <v>327</v>
      </c>
      <c r="E1256" t="s">
        <v>327</v>
      </c>
      <c r="F1256" s="4">
        <v>49115</v>
      </c>
      <c r="G1256" s="4" t="s">
        <v>7</v>
      </c>
      <c r="H1256" t="str">
        <f>IFERROR(VLOOKUP(E1256,'GASB Match'!$A$2:$B$240,2,FALSE),"")</f>
        <v/>
      </c>
    </row>
    <row r="1257" spans="1:8" x14ac:dyDescent="0.2">
      <c r="A1257" t="s">
        <v>7</v>
      </c>
      <c r="B1257" s="3">
        <v>2019</v>
      </c>
      <c r="C1257" t="s">
        <v>326</v>
      </c>
      <c r="D1257" t="s">
        <v>327</v>
      </c>
      <c r="E1257" t="s">
        <v>327</v>
      </c>
      <c r="F1257" s="4">
        <v>59376</v>
      </c>
      <c r="G1257" s="4" t="s">
        <v>7</v>
      </c>
      <c r="H1257" t="str">
        <f>IFERROR(VLOOKUP(E1257,'GASB Match'!$A$2:$B$240,2,FALSE),"")</f>
        <v/>
      </c>
    </row>
    <row r="1258" spans="1:8" x14ac:dyDescent="0.2">
      <c r="A1258" t="s">
        <v>7</v>
      </c>
      <c r="B1258" s="3">
        <v>2020</v>
      </c>
      <c r="C1258" t="s">
        <v>326</v>
      </c>
      <c r="D1258" t="s">
        <v>327</v>
      </c>
      <c r="E1258" t="s">
        <v>327</v>
      </c>
      <c r="F1258" s="4">
        <v>52585</v>
      </c>
      <c r="G1258" s="4" t="s">
        <v>7</v>
      </c>
      <c r="H1258" t="str">
        <f>IFERROR(VLOOKUP(E1258,'GASB Match'!$A$2:$B$240,2,FALSE),"")</f>
        <v/>
      </c>
    </row>
    <row r="1259" spans="1:8" x14ac:dyDescent="0.2">
      <c r="A1259" t="s">
        <v>7</v>
      </c>
      <c r="B1259" s="3">
        <v>2021</v>
      </c>
      <c r="C1259" t="s">
        <v>326</v>
      </c>
      <c r="D1259" t="s">
        <v>327</v>
      </c>
      <c r="E1259" t="s">
        <v>327</v>
      </c>
      <c r="F1259" s="4">
        <v>46244</v>
      </c>
      <c r="G1259" s="4" t="s">
        <v>7</v>
      </c>
      <c r="H1259" t="str">
        <f>IFERROR(VLOOKUP(E1259,'GASB Match'!$A$2:$B$240,2,FALSE),"")</f>
        <v/>
      </c>
    </row>
    <row r="1260" spans="1:8" x14ac:dyDescent="0.2">
      <c r="A1260" t="s">
        <v>7</v>
      </c>
      <c r="B1260" s="3">
        <v>2022</v>
      </c>
      <c r="C1260" t="s">
        <v>326</v>
      </c>
      <c r="D1260" t="s">
        <v>327</v>
      </c>
      <c r="E1260" t="s">
        <v>327</v>
      </c>
      <c r="F1260" s="4">
        <v>51156</v>
      </c>
      <c r="G1260" s="4" t="s">
        <v>7</v>
      </c>
      <c r="H1260" t="str">
        <f>IFERROR(VLOOKUP(E1260,'GASB Match'!$A$2:$B$240,2,FALSE),"")</f>
        <v/>
      </c>
    </row>
    <row r="1261" spans="1:8" x14ac:dyDescent="0.2">
      <c r="A1261" t="s">
        <v>7</v>
      </c>
      <c r="B1261" s="3">
        <v>2023</v>
      </c>
      <c r="C1261" t="s">
        <v>326</v>
      </c>
      <c r="D1261" t="s">
        <v>327</v>
      </c>
      <c r="E1261" t="s">
        <v>327</v>
      </c>
      <c r="F1261" s="4">
        <v>52991</v>
      </c>
      <c r="G1261" s="4" t="s">
        <v>7</v>
      </c>
      <c r="H1261" t="str">
        <f>IFERROR(VLOOKUP(E1261,'GASB Match'!$A$2:$B$240,2,FALSE),"")</f>
        <v/>
      </c>
    </row>
    <row r="1262" spans="1:8" x14ac:dyDescent="0.2">
      <c r="A1262">
        <v>1302490</v>
      </c>
      <c r="B1262" s="3">
        <v>2015</v>
      </c>
      <c r="C1262" t="s">
        <v>328</v>
      </c>
      <c r="D1262" t="s">
        <v>329</v>
      </c>
      <c r="E1262" t="s">
        <v>329</v>
      </c>
      <c r="F1262" s="4">
        <v>1832711.82</v>
      </c>
      <c r="G1262" s="4">
        <v>54735.7</v>
      </c>
      <c r="H1262">
        <f>IFERROR(VLOOKUP(E1262,'GASB Match'!$A$2:$B$240,2,FALSE),"")</f>
        <v>1302490</v>
      </c>
    </row>
    <row r="1263" spans="1:8" x14ac:dyDescent="0.2">
      <c r="A1263">
        <v>1302490</v>
      </c>
      <c r="B1263" s="3">
        <v>2016</v>
      </c>
      <c r="C1263" t="s">
        <v>328</v>
      </c>
      <c r="D1263" t="s">
        <v>329</v>
      </c>
      <c r="E1263" t="s">
        <v>329</v>
      </c>
      <c r="F1263" s="4">
        <v>2129170.7599999998</v>
      </c>
      <c r="G1263" s="4">
        <v>55825.279999999999</v>
      </c>
      <c r="H1263">
        <f>IFERROR(VLOOKUP(E1263,'GASB Match'!$A$2:$B$240,2,FALSE),"")</f>
        <v>1302490</v>
      </c>
    </row>
    <row r="1264" spans="1:8" x14ac:dyDescent="0.2">
      <c r="A1264">
        <v>1302490</v>
      </c>
      <c r="B1264" s="3">
        <v>2017</v>
      </c>
      <c r="C1264" t="s">
        <v>328</v>
      </c>
      <c r="D1264" t="s">
        <v>329</v>
      </c>
      <c r="E1264" t="s">
        <v>329</v>
      </c>
      <c r="F1264" s="4">
        <v>2311700</v>
      </c>
      <c r="G1264" s="4">
        <v>42156</v>
      </c>
      <c r="H1264">
        <f>IFERROR(VLOOKUP(E1264,'GASB Match'!$A$2:$B$240,2,FALSE),"")</f>
        <v>1302490</v>
      </c>
    </row>
    <row r="1265" spans="1:8" x14ac:dyDescent="0.2">
      <c r="A1265">
        <v>1302490</v>
      </c>
      <c r="B1265" s="3">
        <v>2018</v>
      </c>
      <c r="C1265" t="s">
        <v>328</v>
      </c>
      <c r="D1265" t="s">
        <v>329</v>
      </c>
      <c r="E1265" t="s">
        <v>329</v>
      </c>
      <c r="F1265" s="4">
        <v>2896543</v>
      </c>
      <c r="G1265" s="4">
        <v>17872</v>
      </c>
      <c r="H1265">
        <f>IFERROR(VLOOKUP(E1265,'GASB Match'!$A$2:$B$240,2,FALSE),"")</f>
        <v>1302490</v>
      </c>
    </row>
    <row r="1266" spans="1:8" x14ac:dyDescent="0.2">
      <c r="A1266">
        <v>1302490</v>
      </c>
      <c r="B1266" s="3">
        <v>2019</v>
      </c>
      <c r="C1266" t="s">
        <v>328</v>
      </c>
      <c r="D1266" t="s">
        <v>329</v>
      </c>
      <c r="E1266" t="s">
        <v>329</v>
      </c>
      <c r="F1266" s="4">
        <v>3844787</v>
      </c>
      <c r="G1266" s="4">
        <v>7985</v>
      </c>
      <c r="H1266">
        <f>IFERROR(VLOOKUP(E1266,'GASB Match'!$A$2:$B$240,2,FALSE),"")</f>
        <v>1302490</v>
      </c>
    </row>
    <row r="1267" spans="1:8" x14ac:dyDescent="0.2">
      <c r="A1267">
        <v>1302490</v>
      </c>
      <c r="B1267" s="3">
        <v>2020</v>
      </c>
      <c r="C1267" t="s">
        <v>328</v>
      </c>
      <c r="D1267" t="s">
        <v>329</v>
      </c>
      <c r="E1267" t="s">
        <v>329</v>
      </c>
      <c r="F1267" s="4">
        <v>4166369</v>
      </c>
      <c r="G1267" s="4">
        <v>1197</v>
      </c>
      <c r="H1267">
        <f>IFERROR(VLOOKUP(E1267,'GASB Match'!$A$2:$B$240,2,FALSE),"")</f>
        <v>1302490</v>
      </c>
    </row>
    <row r="1268" spans="1:8" x14ac:dyDescent="0.2">
      <c r="A1268">
        <v>1302490</v>
      </c>
      <c r="B1268" s="3">
        <v>2021</v>
      </c>
      <c r="C1268" t="s">
        <v>328</v>
      </c>
      <c r="D1268" t="s">
        <v>329</v>
      </c>
      <c r="E1268" t="s">
        <v>329</v>
      </c>
      <c r="F1268" s="4">
        <v>3801772</v>
      </c>
      <c r="G1268" s="4">
        <v>5505</v>
      </c>
      <c r="H1268">
        <f>IFERROR(VLOOKUP(E1268,'GASB Match'!$A$2:$B$240,2,FALSE),"")</f>
        <v>1302490</v>
      </c>
    </row>
    <row r="1269" spans="1:8" x14ac:dyDescent="0.2">
      <c r="A1269">
        <v>1302490</v>
      </c>
      <c r="B1269" s="3">
        <v>2022</v>
      </c>
      <c r="C1269" t="s">
        <v>328</v>
      </c>
      <c r="D1269" t="s">
        <v>329</v>
      </c>
      <c r="E1269" t="s">
        <v>329</v>
      </c>
      <c r="F1269" s="4">
        <v>4299311</v>
      </c>
      <c r="G1269" s="4">
        <v>7338</v>
      </c>
      <c r="H1269">
        <f>IFERROR(VLOOKUP(E1269,'GASB Match'!$A$2:$B$240,2,FALSE),"")</f>
        <v>1302490</v>
      </c>
    </row>
    <row r="1270" spans="1:8" x14ac:dyDescent="0.2">
      <c r="A1270">
        <v>1302490</v>
      </c>
      <c r="B1270" s="3">
        <v>2023</v>
      </c>
      <c r="C1270" t="s">
        <v>328</v>
      </c>
      <c r="D1270" t="s">
        <v>329</v>
      </c>
      <c r="E1270" t="s">
        <v>329</v>
      </c>
      <c r="F1270" s="4">
        <v>4649110</v>
      </c>
      <c r="G1270" s="4">
        <v>7662</v>
      </c>
      <c r="H1270">
        <f>IFERROR(VLOOKUP(E1270,'GASB Match'!$A$2:$B$240,2,FALSE),"")</f>
        <v>1302490</v>
      </c>
    </row>
    <row r="1271" spans="1:8" x14ac:dyDescent="0.2">
      <c r="A1271">
        <v>1302550</v>
      </c>
      <c r="B1271" s="3">
        <v>2015</v>
      </c>
      <c r="C1271" t="s">
        <v>330</v>
      </c>
      <c r="D1271" t="s">
        <v>331</v>
      </c>
      <c r="E1271" t="s">
        <v>331</v>
      </c>
      <c r="F1271" s="4">
        <v>107853650.48</v>
      </c>
      <c r="G1271" s="4">
        <v>422131.91</v>
      </c>
      <c r="H1271">
        <f>IFERROR(VLOOKUP(E1271,'GASB Match'!$A$2:$B$240,2,FALSE),"")</f>
        <v>1302550</v>
      </c>
    </row>
    <row r="1272" spans="1:8" x14ac:dyDescent="0.2">
      <c r="A1272">
        <v>1302550</v>
      </c>
      <c r="B1272" s="3">
        <v>2016</v>
      </c>
      <c r="C1272" t="s">
        <v>330</v>
      </c>
      <c r="D1272" t="s">
        <v>331</v>
      </c>
      <c r="E1272" t="s">
        <v>331</v>
      </c>
      <c r="F1272" s="4">
        <v>125173278.7</v>
      </c>
      <c r="G1272" s="4">
        <v>486653.22</v>
      </c>
      <c r="H1272">
        <f>IFERROR(VLOOKUP(E1272,'GASB Match'!$A$2:$B$240,2,FALSE),"")</f>
        <v>1302550</v>
      </c>
    </row>
    <row r="1273" spans="1:8" x14ac:dyDescent="0.2">
      <c r="A1273">
        <v>1302550</v>
      </c>
      <c r="B1273" s="3">
        <v>2017</v>
      </c>
      <c r="C1273" t="s">
        <v>330</v>
      </c>
      <c r="D1273" t="s">
        <v>331</v>
      </c>
      <c r="E1273" t="s">
        <v>331</v>
      </c>
      <c r="F1273" s="4">
        <v>129060738</v>
      </c>
      <c r="G1273" s="4">
        <v>408966</v>
      </c>
      <c r="H1273">
        <f>IFERROR(VLOOKUP(E1273,'GASB Match'!$A$2:$B$240,2,FALSE),"")</f>
        <v>1302550</v>
      </c>
    </row>
    <row r="1274" spans="1:8" x14ac:dyDescent="0.2">
      <c r="A1274">
        <v>1302550</v>
      </c>
      <c r="B1274" s="3">
        <v>2018</v>
      </c>
      <c r="C1274" t="s">
        <v>330</v>
      </c>
      <c r="D1274" t="s">
        <v>331</v>
      </c>
      <c r="E1274" t="s">
        <v>331</v>
      </c>
      <c r="F1274" s="4">
        <v>158980725</v>
      </c>
      <c r="G1274" s="4">
        <v>324125</v>
      </c>
      <c r="H1274">
        <f>IFERROR(VLOOKUP(E1274,'GASB Match'!$A$2:$B$240,2,FALSE),"")</f>
        <v>1302550</v>
      </c>
    </row>
    <row r="1275" spans="1:8" x14ac:dyDescent="0.2">
      <c r="A1275">
        <v>1302550</v>
      </c>
      <c r="B1275" s="3">
        <v>2019</v>
      </c>
      <c r="C1275" t="s">
        <v>330</v>
      </c>
      <c r="D1275" t="s">
        <v>331</v>
      </c>
      <c r="E1275" t="s">
        <v>331</v>
      </c>
      <c r="F1275" s="4">
        <v>206842579</v>
      </c>
      <c r="G1275" s="4">
        <v>400093</v>
      </c>
      <c r="H1275">
        <f>IFERROR(VLOOKUP(E1275,'GASB Match'!$A$2:$B$240,2,FALSE),"")</f>
        <v>1302550</v>
      </c>
    </row>
    <row r="1276" spans="1:8" x14ac:dyDescent="0.2">
      <c r="A1276">
        <v>1302550</v>
      </c>
      <c r="B1276" s="3">
        <v>2020</v>
      </c>
      <c r="C1276" t="s">
        <v>330</v>
      </c>
      <c r="D1276" t="s">
        <v>331</v>
      </c>
      <c r="E1276" t="s">
        <v>331</v>
      </c>
      <c r="F1276" s="4">
        <v>219508176</v>
      </c>
      <c r="G1276" s="4">
        <v>371320</v>
      </c>
      <c r="H1276">
        <f>IFERROR(VLOOKUP(E1276,'GASB Match'!$A$2:$B$240,2,FALSE),"")</f>
        <v>1302550</v>
      </c>
    </row>
    <row r="1277" spans="1:8" x14ac:dyDescent="0.2">
      <c r="A1277">
        <v>1302550</v>
      </c>
      <c r="B1277" s="3">
        <v>2021</v>
      </c>
      <c r="C1277" t="s">
        <v>330</v>
      </c>
      <c r="D1277" t="s">
        <v>331</v>
      </c>
      <c r="E1277" t="s">
        <v>331</v>
      </c>
      <c r="F1277" s="4">
        <v>200872265</v>
      </c>
      <c r="G1277" s="4">
        <v>340077</v>
      </c>
      <c r="H1277">
        <f>IFERROR(VLOOKUP(E1277,'GASB Match'!$A$2:$B$240,2,FALSE),"")</f>
        <v>1302550</v>
      </c>
    </row>
    <row r="1278" spans="1:8" x14ac:dyDescent="0.2">
      <c r="A1278">
        <v>1302550</v>
      </c>
      <c r="B1278" s="3">
        <v>2022</v>
      </c>
      <c r="C1278" t="s">
        <v>330</v>
      </c>
      <c r="D1278" t="s">
        <v>331</v>
      </c>
      <c r="E1278" t="s">
        <v>331</v>
      </c>
      <c r="F1278" s="4">
        <v>224140916</v>
      </c>
      <c r="G1278" s="4">
        <v>358931</v>
      </c>
      <c r="H1278">
        <f>IFERROR(VLOOKUP(E1278,'GASB Match'!$A$2:$B$240,2,FALSE),"")</f>
        <v>1302550</v>
      </c>
    </row>
    <row r="1279" spans="1:8" x14ac:dyDescent="0.2">
      <c r="A1279">
        <v>1302550</v>
      </c>
      <c r="B1279" s="3">
        <v>2023</v>
      </c>
      <c r="C1279" t="s">
        <v>330</v>
      </c>
      <c r="D1279" t="s">
        <v>331</v>
      </c>
      <c r="E1279" t="s">
        <v>331</v>
      </c>
      <c r="F1279" s="4">
        <v>242818866</v>
      </c>
      <c r="G1279" s="4">
        <v>323529</v>
      </c>
      <c r="H1279">
        <f>IFERROR(VLOOKUP(E1279,'GASB Match'!$A$2:$B$240,2,FALSE),"")</f>
        <v>1302550</v>
      </c>
    </row>
    <row r="1280" spans="1:8" x14ac:dyDescent="0.2">
      <c r="A1280" t="s">
        <v>7</v>
      </c>
      <c r="B1280" s="3">
        <v>2015</v>
      </c>
      <c r="C1280" t="s">
        <v>332</v>
      </c>
      <c r="D1280" t="s">
        <v>334</v>
      </c>
      <c r="E1280" t="s">
        <v>333</v>
      </c>
      <c r="F1280" s="4">
        <v>1167189.74</v>
      </c>
      <c r="G1280" s="4" t="s">
        <v>7</v>
      </c>
      <c r="H1280" t="str">
        <f>IFERROR(VLOOKUP(E1280,'GASB Match'!$A$2:$B$240,2,FALSE),"")</f>
        <v/>
      </c>
    </row>
    <row r="1281" spans="1:8" x14ac:dyDescent="0.2">
      <c r="A1281" t="s">
        <v>7</v>
      </c>
      <c r="B1281" s="3">
        <v>2016</v>
      </c>
      <c r="C1281" t="s">
        <v>332</v>
      </c>
      <c r="D1281" t="s">
        <v>334</v>
      </c>
      <c r="E1281" t="s">
        <v>333</v>
      </c>
      <c r="F1281" s="4">
        <v>1246106.75</v>
      </c>
      <c r="G1281" s="4" t="s">
        <v>7</v>
      </c>
      <c r="H1281" t="str">
        <f>IFERROR(VLOOKUP(E1281,'GASB Match'!$A$2:$B$240,2,FALSE),"")</f>
        <v/>
      </c>
    </row>
    <row r="1282" spans="1:8" x14ac:dyDescent="0.2">
      <c r="A1282" t="s">
        <v>7</v>
      </c>
      <c r="B1282" s="3">
        <v>2017</v>
      </c>
      <c r="C1282" t="s">
        <v>332</v>
      </c>
      <c r="D1282" t="s">
        <v>334</v>
      </c>
      <c r="E1282" t="s">
        <v>333</v>
      </c>
      <c r="F1282" s="4">
        <v>1261179</v>
      </c>
      <c r="G1282" s="4" t="s">
        <v>7</v>
      </c>
      <c r="H1282" t="str">
        <f>IFERROR(VLOOKUP(E1282,'GASB Match'!$A$2:$B$240,2,FALSE),"")</f>
        <v/>
      </c>
    </row>
    <row r="1283" spans="1:8" x14ac:dyDescent="0.2">
      <c r="A1283" t="s">
        <v>7</v>
      </c>
      <c r="B1283" s="3">
        <v>2018</v>
      </c>
      <c r="C1283" t="s">
        <v>332</v>
      </c>
      <c r="D1283" t="s">
        <v>334</v>
      </c>
      <c r="E1283" t="s">
        <v>333</v>
      </c>
      <c r="F1283" s="4">
        <v>1520285</v>
      </c>
      <c r="G1283" s="4" t="s">
        <v>7</v>
      </c>
      <c r="H1283" t="str">
        <f>IFERROR(VLOOKUP(E1283,'GASB Match'!$A$2:$B$240,2,FALSE),"")</f>
        <v/>
      </c>
    </row>
    <row r="1284" spans="1:8" x14ac:dyDescent="0.2">
      <c r="A1284" t="s">
        <v>7</v>
      </c>
      <c r="B1284" s="3">
        <v>2019</v>
      </c>
      <c r="C1284" t="s">
        <v>332</v>
      </c>
      <c r="D1284" t="s">
        <v>334</v>
      </c>
      <c r="E1284" t="s">
        <v>333</v>
      </c>
      <c r="F1284" s="4">
        <v>1954166</v>
      </c>
      <c r="G1284" s="4" t="s">
        <v>7</v>
      </c>
      <c r="H1284" t="str">
        <f>IFERROR(VLOOKUP(E1284,'GASB Match'!$A$2:$B$240,2,FALSE),"")</f>
        <v/>
      </c>
    </row>
    <row r="1285" spans="1:8" x14ac:dyDescent="0.2">
      <c r="A1285" t="s">
        <v>7</v>
      </c>
      <c r="B1285" s="3">
        <v>2020</v>
      </c>
      <c r="C1285" t="s">
        <v>332</v>
      </c>
      <c r="D1285" t="s">
        <v>334</v>
      </c>
      <c r="E1285" t="s">
        <v>333</v>
      </c>
      <c r="F1285" s="4">
        <v>2060638</v>
      </c>
      <c r="G1285" s="4" t="s">
        <v>7</v>
      </c>
      <c r="H1285" t="str">
        <f>IFERROR(VLOOKUP(E1285,'GASB Match'!$A$2:$B$240,2,FALSE),"")</f>
        <v/>
      </c>
    </row>
    <row r="1286" spans="1:8" x14ac:dyDescent="0.2">
      <c r="A1286" t="s">
        <v>7</v>
      </c>
      <c r="B1286" s="3">
        <v>2021</v>
      </c>
      <c r="C1286" t="s">
        <v>332</v>
      </c>
      <c r="D1286" t="s">
        <v>333</v>
      </c>
      <c r="E1286" t="s">
        <v>333</v>
      </c>
      <c r="F1286" s="4">
        <v>1896923</v>
      </c>
      <c r="G1286" s="4" t="s">
        <v>7</v>
      </c>
      <c r="H1286" t="str">
        <f>IFERROR(VLOOKUP(E1286,'GASB Match'!$A$2:$B$240,2,FALSE),"")</f>
        <v/>
      </c>
    </row>
    <row r="1287" spans="1:8" x14ac:dyDescent="0.2">
      <c r="A1287" t="s">
        <v>7</v>
      </c>
      <c r="B1287" s="3">
        <v>2022</v>
      </c>
      <c r="C1287" t="s">
        <v>332</v>
      </c>
      <c r="D1287" t="s">
        <v>333</v>
      </c>
      <c r="E1287" t="s">
        <v>333</v>
      </c>
      <c r="F1287" s="4">
        <v>2062020</v>
      </c>
      <c r="G1287" s="4" t="s">
        <v>7</v>
      </c>
      <c r="H1287" t="str">
        <f>IFERROR(VLOOKUP(E1287,'GASB Match'!$A$2:$B$240,2,FALSE),"")</f>
        <v/>
      </c>
    </row>
    <row r="1288" spans="1:8" x14ac:dyDescent="0.2">
      <c r="A1288" t="s">
        <v>7</v>
      </c>
      <c r="B1288" s="3">
        <v>2023</v>
      </c>
      <c r="C1288" t="s">
        <v>332</v>
      </c>
      <c r="D1288" t="s">
        <v>333</v>
      </c>
      <c r="E1288" t="s">
        <v>333</v>
      </c>
      <c r="F1288" s="4">
        <v>2358034</v>
      </c>
      <c r="G1288" s="4" t="s">
        <v>7</v>
      </c>
      <c r="H1288" t="str">
        <f>IFERROR(VLOOKUP(E1288,'GASB Match'!$A$2:$B$240,2,FALSE),"")</f>
        <v/>
      </c>
    </row>
    <row r="1289" spans="1:8" x14ac:dyDescent="0.2">
      <c r="A1289">
        <v>1302580</v>
      </c>
      <c r="B1289" s="3">
        <v>2015</v>
      </c>
      <c r="C1289" t="s">
        <v>335</v>
      </c>
      <c r="D1289" t="s">
        <v>336</v>
      </c>
      <c r="E1289" t="s">
        <v>336</v>
      </c>
      <c r="F1289" s="4">
        <v>4728927.9400000004</v>
      </c>
      <c r="G1289" s="4">
        <v>29736.720000000001</v>
      </c>
      <c r="H1289">
        <f>IFERROR(VLOOKUP(E1289,'GASB Match'!$A$2:$B$240,2,FALSE),"")</f>
        <v>1302580</v>
      </c>
    </row>
    <row r="1290" spans="1:8" x14ac:dyDescent="0.2">
      <c r="A1290">
        <v>1302580</v>
      </c>
      <c r="B1290" s="3">
        <v>2016</v>
      </c>
      <c r="C1290" t="s">
        <v>335</v>
      </c>
      <c r="D1290" t="s">
        <v>336</v>
      </c>
      <c r="E1290" t="s">
        <v>336</v>
      </c>
      <c r="F1290" s="4">
        <v>5236080.74</v>
      </c>
      <c r="G1290" s="4">
        <v>25595.68</v>
      </c>
      <c r="H1290">
        <f>IFERROR(VLOOKUP(E1290,'GASB Match'!$A$2:$B$240,2,FALSE),"")</f>
        <v>1302580</v>
      </c>
    </row>
    <row r="1291" spans="1:8" x14ac:dyDescent="0.2">
      <c r="A1291">
        <v>1302580</v>
      </c>
      <c r="B1291" s="3">
        <v>2017</v>
      </c>
      <c r="C1291" t="s">
        <v>335</v>
      </c>
      <c r="D1291" t="s">
        <v>336</v>
      </c>
      <c r="E1291" t="s">
        <v>336</v>
      </c>
      <c r="F1291" s="4">
        <v>5409854</v>
      </c>
      <c r="G1291" s="4">
        <v>28225</v>
      </c>
      <c r="H1291">
        <f>IFERROR(VLOOKUP(E1291,'GASB Match'!$A$2:$B$240,2,FALSE),"")</f>
        <v>1302580</v>
      </c>
    </row>
    <row r="1292" spans="1:8" x14ac:dyDescent="0.2">
      <c r="A1292">
        <v>1302580</v>
      </c>
      <c r="B1292" s="3">
        <v>2018</v>
      </c>
      <c r="C1292" t="s">
        <v>335</v>
      </c>
      <c r="D1292" t="s">
        <v>336</v>
      </c>
      <c r="E1292" t="s">
        <v>336</v>
      </c>
      <c r="F1292" s="4">
        <v>6561733</v>
      </c>
      <c r="G1292" s="4">
        <v>23566</v>
      </c>
      <c r="H1292">
        <f>IFERROR(VLOOKUP(E1292,'GASB Match'!$A$2:$B$240,2,FALSE),"")</f>
        <v>1302580</v>
      </c>
    </row>
    <row r="1293" spans="1:8" x14ac:dyDescent="0.2">
      <c r="A1293">
        <v>1302580</v>
      </c>
      <c r="B1293" s="3">
        <v>2019</v>
      </c>
      <c r="C1293" t="s">
        <v>335</v>
      </c>
      <c r="D1293" t="s">
        <v>336</v>
      </c>
      <c r="E1293" t="s">
        <v>336</v>
      </c>
      <c r="F1293" s="4">
        <v>8234167</v>
      </c>
      <c r="G1293" s="4">
        <v>25493</v>
      </c>
      <c r="H1293">
        <f>IFERROR(VLOOKUP(E1293,'GASB Match'!$A$2:$B$240,2,FALSE),"")</f>
        <v>1302580</v>
      </c>
    </row>
    <row r="1294" spans="1:8" x14ac:dyDescent="0.2">
      <c r="A1294">
        <v>1302580</v>
      </c>
      <c r="B1294" s="3">
        <v>2020</v>
      </c>
      <c r="C1294" t="s">
        <v>335</v>
      </c>
      <c r="D1294" t="s">
        <v>336</v>
      </c>
      <c r="E1294" t="s">
        <v>336</v>
      </c>
      <c r="F1294" s="4">
        <v>8883620</v>
      </c>
      <c r="G1294" s="4">
        <v>32090</v>
      </c>
      <c r="H1294">
        <f>IFERROR(VLOOKUP(E1294,'GASB Match'!$A$2:$B$240,2,FALSE),"")</f>
        <v>1302580</v>
      </c>
    </row>
    <row r="1295" spans="1:8" x14ac:dyDescent="0.2">
      <c r="A1295">
        <v>1302580</v>
      </c>
      <c r="B1295" s="3">
        <v>2021</v>
      </c>
      <c r="C1295" t="s">
        <v>335</v>
      </c>
      <c r="D1295" t="s">
        <v>336</v>
      </c>
      <c r="E1295" t="s">
        <v>336</v>
      </c>
      <c r="F1295" s="4">
        <v>8097957</v>
      </c>
      <c r="G1295" s="4">
        <v>30319</v>
      </c>
      <c r="H1295">
        <f>IFERROR(VLOOKUP(E1295,'GASB Match'!$A$2:$B$240,2,FALSE),"")</f>
        <v>1302580</v>
      </c>
    </row>
    <row r="1296" spans="1:8" x14ac:dyDescent="0.2">
      <c r="A1296">
        <v>1302580</v>
      </c>
      <c r="B1296" s="3">
        <v>2022</v>
      </c>
      <c r="C1296" t="s">
        <v>335</v>
      </c>
      <c r="D1296" t="s">
        <v>336</v>
      </c>
      <c r="E1296" t="s">
        <v>336</v>
      </c>
      <c r="F1296" s="4">
        <v>8935771</v>
      </c>
      <c r="G1296" s="4">
        <v>45046</v>
      </c>
      <c r="H1296">
        <f>IFERROR(VLOOKUP(E1296,'GASB Match'!$A$2:$B$240,2,FALSE),"")</f>
        <v>1302580</v>
      </c>
    </row>
    <row r="1297" spans="1:8" x14ac:dyDescent="0.2">
      <c r="A1297">
        <v>1302580</v>
      </c>
      <c r="B1297" s="3">
        <v>2023</v>
      </c>
      <c r="C1297" t="s">
        <v>335</v>
      </c>
      <c r="D1297" t="s">
        <v>336</v>
      </c>
      <c r="E1297" t="s">
        <v>336</v>
      </c>
      <c r="F1297" s="4">
        <v>9756590</v>
      </c>
      <c r="G1297" s="4">
        <v>48030</v>
      </c>
      <c r="H1297">
        <f>IFERROR(VLOOKUP(E1297,'GASB Match'!$A$2:$B$240,2,FALSE),"")</f>
        <v>1302580</v>
      </c>
    </row>
    <row r="1298" spans="1:8" x14ac:dyDescent="0.2">
      <c r="A1298" t="s">
        <v>7</v>
      </c>
      <c r="B1298" s="3">
        <v>2015</v>
      </c>
      <c r="C1298" t="s">
        <v>337</v>
      </c>
      <c r="D1298" t="s">
        <v>339</v>
      </c>
      <c r="E1298" t="s">
        <v>338</v>
      </c>
      <c r="F1298" s="4">
        <v>95482.289999999906</v>
      </c>
      <c r="G1298" s="4" t="s">
        <v>7</v>
      </c>
      <c r="H1298" t="str">
        <f>IFERROR(VLOOKUP(E1298,'GASB Match'!$A$2:$B$240,2,FALSE),"")</f>
        <v/>
      </c>
    </row>
    <row r="1299" spans="1:8" x14ac:dyDescent="0.2">
      <c r="A1299" t="s">
        <v>7</v>
      </c>
      <c r="B1299" s="3">
        <v>2016</v>
      </c>
      <c r="C1299" t="s">
        <v>337</v>
      </c>
      <c r="D1299" t="s">
        <v>339</v>
      </c>
      <c r="E1299" t="s">
        <v>338</v>
      </c>
      <c r="F1299" s="4">
        <v>110679.51</v>
      </c>
      <c r="G1299" s="4" t="s">
        <v>7</v>
      </c>
      <c r="H1299" t="str">
        <f>IFERROR(VLOOKUP(E1299,'GASB Match'!$A$2:$B$240,2,FALSE),"")</f>
        <v/>
      </c>
    </row>
    <row r="1300" spans="1:8" x14ac:dyDescent="0.2">
      <c r="A1300" t="s">
        <v>7</v>
      </c>
      <c r="B1300" s="3">
        <v>2017</v>
      </c>
      <c r="C1300" t="s">
        <v>337</v>
      </c>
      <c r="D1300" t="s">
        <v>339</v>
      </c>
      <c r="E1300" t="s">
        <v>338</v>
      </c>
      <c r="F1300" s="4">
        <v>111655</v>
      </c>
      <c r="G1300" s="4" t="s">
        <v>7</v>
      </c>
      <c r="H1300" t="str">
        <f>IFERROR(VLOOKUP(E1300,'GASB Match'!$A$2:$B$240,2,FALSE),"")</f>
        <v/>
      </c>
    </row>
    <row r="1301" spans="1:8" x14ac:dyDescent="0.2">
      <c r="A1301" t="s">
        <v>7</v>
      </c>
      <c r="B1301" s="3">
        <v>2018</v>
      </c>
      <c r="C1301" t="s">
        <v>337</v>
      </c>
      <c r="D1301" t="s">
        <v>339</v>
      </c>
      <c r="E1301" t="s">
        <v>338</v>
      </c>
      <c r="F1301" s="4">
        <v>141515</v>
      </c>
      <c r="G1301" s="4" t="s">
        <v>7</v>
      </c>
      <c r="H1301" t="str">
        <f>IFERROR(VLOOKUP(E1301,'GASB Match'!$A$2:$B$240,2,FALSE),"")</f>
        <v/>
      </c>
    </row>
    <row r="1302" spans="1:8" x14ac:dyDescent="0.2">
      <c r="A1302" t="s">
        <v>7</v>
      </c>
      <c r="B1302" s="3">
        <v>2019</v>
      </c>
      <c r="C1302" t="s">
        <v>337</v>
      </c>
      <c r="D1302" t="s">
        <v>339</v>
      </c>
      <c r="E1302" t="s">
        <v>338</v>
      </c>
      <c r="F1302" s="4">
        <v>170054</v>
      </c>
      <c r="G1302" s="4" t="s">
        <v>7</v>
      </c>
      <c r="H1302" t="str">
        <f>IFERROR(VLOOKUP(E1302,'GASB Match'!$A$2:$B$240,2,FALSE),"")</f>
        <v/>
      </c>
    </row>
    <row r="1303" spans="1:8" x14ac:dyDescent="0.2">
      <c r="A1303" t="s">
        <v>7</v>
      </c>
      <c r="B1303" s="3">
        <v>2020</v>
      </c>
      <c r="C1303" t="s">
        <v>337</v>
      </c>
      <c r="D1303" t="s">
        <v>339</v>
      </c>
      <c r="E1303" t="s">
        <v>338</v>
      </c>
      <c r="F1303" s="4">
        <v>168974</v>
      </c>
      <c r="G1303" s="4" t="s">
        <v>7</v>
      </c>
      <c r="H1303" t="str">
        <f>IFERROR(VLOOKUP(E1303,'GASB Match'!$A$2:$B$240,2,FALSE),"")</f>
        <v/>
      </c>
    </row>
    <row r="1304" spans="1:8" x14ac:dyDescent="0.2">
      <c r="A1304" t="s">
        <v>7</v>
      </c>
      <c r="B1304" s="3">
        <v>2021</v>
      </c>
      <c r="C1304" t="s">
        <v>337</v>
      </c>
      <c r="D1304" t="s">
        <v>338</v>
      </c>
      <c r="E1304" t="s">
        <v>338</v>
      </c>
      <c r="F1304" s="4">
        <v>147465</v>
      </c>
      <c r="G1304" s="4" t="s">
        <v>7</v>
      </c>
      <c r="H1304" t="str">
        <f>IFERROR(VLOOKUP(E1304,'GASB Match'!$A$2:$B$240,2,FALSE),"")</f>
        <v/>
      </c>
    </row>
    <row r="1305" spans="1:8" x14ac:dyDescent="0.2">
      <c r="A1305" t="s">
        <v>7</v>
      </c>
      <c r="B1305" s="3">
        <v>2022</v>
      </c>
      <c r="C1305" t="s">
        <v>337</v>
      </c>
      <c r="D1305" t="s">
        <v>338</v>
      </c>
      <c r="E1305" t="s">
        <v>338</v>
      </c>
      <c r="F1305" s="4">
        <v>166317</v>
      </c>
      <c r="G1305" s="4" t="s">
        <v>7</v>
      </c>
      <c r="H1305" t="str">
        <f>IFERROR(VLOOKUP(E1305,'GASB Match'!$A$2:$B$240,2,FALSE),"")</f>
        <v/>
      </c>
    </row>
    <row r="1306" spans="1:8" x14ac:dyDescent="0.2">
      <c r="A1306" t="s">
        <v>7</v>
      </c>
      <c r="B1306" s="3">
        <v>2023</v>
      </c>
      <c r="C1306" t="s">
        <v>337</v>
      </c>
      <c r="D1306" t="s">
        <v>338</v>
      </c>
      <c r="E1306" t="s">
        <v>338</v>
      </c>
      <c r="F1306" s="4">
        <v>175935</v>
      </c>
      <c r="G1306" s="4" t="s">
        <v>7</v>
      </c>
      <c r="H1306" t="str">
        <f>IFERROR(VLOOKUP(E1306,'GASB Match'!$A$2:$B$240,2,FALSE),"")</f>
        <v/>
      </c>
    </row>
    <row r="1307" spans="1:8" x14ac:dyDescent="0.2">
      <c r="A1307">
        <v>1302610</v>
      </c>
      <c r="B1307" s="3">
        <v>2015</v>
      </c>
      <c r="C1307" t="s">
        <v>340</v>
      </c>
      <c r="D1307" t="s">
        <v>341</v>
      </c>
      <c r="E1307" t="s">
        <v>341</v>
      </c>
      <c r="F1307" s="4">
        <v>16165702.4</v>
      </c>
      <c r="G1307" s="4">
        <v>244233.59</v>
      </c>
      <c r="H1307">
        <f>IFERROR(VLOOKUP(E1307,'GASB Match'!$A$2:$B$240,2,FALSE),"")</f>
        <v>1302610</v>
      </c>
    </row>
    <row r="1308" spans="1:8" x14ac:dyDescent="0.2">
      <c r="A1308">
        <v>1302610</v>
      </c>
      <c r="B1308" s="3">
        <v>2016</v>
      </c>
      <c r="C1308" t="s">
        <v>340</v>
      </c>
      <c r="D1308" t="s">
        <v>341</v>
      </c>
      <c r="E1308" t="s">
        <v>341</v>
      </c>
      <c r="F1308" s="4">
        <v>18108882.98</v>
      </c>
      <c r="G1308" s="4">
        <v>285007.90999999997</v>
      </c>
      <c r="H1308">
        <f>IFERROR(VLOOKUP(E1308,'GASB Match'!$A$2:$B$240,2,FALSE),"")</f>
        <v>1302610</v>
      </c>
    </row>
    <row r="1309" spans="1:8" x14ac:dyDescent="0.2">
      <c r="A1309">
        <v>1302610</v>
      </c>
      <c r="B1309" s="3">
        <v>2017</v>
      </c>
      <c r="C1309" t="s">
        <v>340</v>
      </c>
      <c r="D1309" t="s">
        <v>341</v>
      </c>
      <c r="E1309" t="s">
        <v>341</v>
      </c>
      <c r="F1309" s="4">
        <v>18849178</v>
      </c>
      <c r="G1309" s="4">
        <v>205788</v>
      </c>
      <c r="H1309">
        <f>IFERROR(VLOOKUP(E1309,'GASB Match'!$A$2:$B$240,2,FALSE),"")</f>
        <v>1302610</v>
      </c>
    </row>
    <row r="1310" spans="1:8" x14ac:dyDescent="0.2">
      <c r="A1310">
        <v>1302610</v>
      </c>
      <c r="B1310" s="3">
        <v>2018</v>
      </c>
      <c r="C1310" t="s">
        <v>340</v>
      </c>
      <c r="D1310" t="s">
        <v>341</v>
      </c>
      <c r="E1310" t="s">
        <v>341</v>
      </c>
      <c r="F1310" s="4">
        <v>23347268</v>
      </c>
      <c r="G1310" s="4">
        <v>48159</v>
      </c>
      <c r="H1310">
        <f>IFERROR(VLOOKUP(E1310,'GASB Match'!$A$2:$B$240,2,FALSE),"")</f>
        <v>1302610</v>
      </c>
    </row>
    <row r="1311" spans="1:8" x14ac:dyDescent="0.2">
      <c r="A1311">
        <v>1302610</v>
      </c>
      <c r="B1311" s="3">
        <v>2019</v>
      </c>
      <c r="C1311" t="s">
        <v>340</v>
      </c>
      <c r="D1311" t="s">
        <v>341</v>
      </c>
      <c r="E1311" t="s">
        <v>341</v>
      </c>
      <c r="F1311" s="4">
        <v>30011091</v>
      </c>
      <c r="G1311" s="4">
        <v>66584</v>
      </c>
      <c r="H1311">
        <f>IFERROR(VLOOKUP(E1311,'GASB Match'!$A$2:$B$240,2,FALSE),"")</f>
        <v>1302610</v>
      </c>
    </row>
    <row r="1312" spans="1:8" x14ac:dyDescent="0.2">
      <c r="A1312">
        <v>1302610</v>
      </c>
      <c r="B1312" s="3">
        <v>2020</v>
      </c>
      <c r="C1312" t="s">
        <v>340</v>
      </c>
      <c r="D1312" t="s">
        <v>341</v>
      </c>
      <c r="E1312" t="s">
        <v>341</v>
      </c>
      <c r="F1312" s="4">
        <v>32104778</v>
      </c>
      <c r="G1312" s="4">
        <v>66953</v>
      </c>
      <c r="H1312">
        <f>IFERROR(VLOOKUP(E1312,'GASB Match'!$A$2:$B$240,2,FALSE),"")</f>
        <v>1302610</v>
      </c>
    </row>
    <row r="1313" spans="1:8" x14ac:dyDescent="0.2">
      <c r="A1313">
        <v>1302610</v>
      </c>
      <c r="B1313" s="3">
        <v>2021</v>
      </c>
      <c r="C1313" t="s">
        <v>340</v>
      </c>
      <c r="D1313" t="s">
        <v>341</v>
      </c>
      <c r="E1313" t="s">
        <v>341</v>
      </c>
      <c r="F1313" s="4">
        <v>29273097</v>
      </c>
      <c r="G1313" s="4">
        <v>56415</v>
      </c>
      <c r="H1313">
        <f>IFERROR(VLOOKUP(E1313,'GASB Match'!$A$2:$B$240,2,FALSE),"")</f>
        <v>1302610</v>
      </c>
    </row>
    <row r="1314" spans="1:8" x14ac:dyDescent="0.2">
      <c r="A1314">
        <v>1302610</v>
      </c>
      <c r="B1314" s="3">
        <v>2022</v>
      </c>
      <c r="C1314" t="s">
        <v>340</v>
      </c>
      <c r="D1314" t="s">
        <v>341</v>
      </c>
      <c r="E1314" t="s">
        <v>341</v>
      </c>
      <c r="F1314" s="4">
        <v>32040991</v>
      </c>
      <c r="G1314" s="4">
        <v>60422</v>
      </c>
      <c r="H1314">
        <f>IFERROR(VLOOKUP(E1314,'GASB Match'!$A$2:$B$240,2,FALSE),"")</f>
        <v>1302610</v>
      </c>
    </row>
    <row r="1315" spans="1:8" x14ac:dyDescent="0.2">
      <c r="A1315">
        <v>1302610</v>
      </c>
      <c r="B1315" s="3">
        <v>2023</v>
      </c>
      <c r="C1315" t="s">
        <v>340</v>
      </c>
      <c r="D1315" t="s">
        <v>341</v>
      </c>
      <c r="E1315" t="s">
        <v>341</v>
      </c>
      <c r="F1315" s="4">
        <v>34637565</v>
      </c>
      <c r="G1315" s="4">
        <v>63772</v>
      </c>
      <c r="H1315">
        <f>IFERROR(VLOOKUP(E1315,'GASB Match'!$A$2:$B$240,2,FALSE),"")</f>
        <v>1302610</v>
      </c>
    </row>
    <row r="1316" spans="1:8" x14ac:dyDescent="0.2">
      <c r="A1316" t="s">
        <v>7</v>
      </c>
      <c r="B1316" s="3">
        <v>2015</v>
      </c>
      <c r="C1316" t="s">
        <v>342</v>
      </c>
      <c r="D1316" t="s">
        <v>343</v>
      </c>
      <c r="E1316" t="s">
        <v>343</v>
      </c>
      <c r="F1316" s="4">
        <v>57498.06</v>
      </c>
      <c r="G1316" s="4" t="s">
        <v>7</v>
      </c>
      <c r="H1316" t="str">
        <f>IFERROR(VLOOKUP(E1316,'GASB Match'!$A$2:$B$240,2,FALSE),"")</f>
        <v/>
      </c>
    </row>
    <row r="1317" spans="1:8" x14ac:dyDescent="0.2">
      <c r="A1317" t="s">
        <v>7</v>
      </c>
      <c r="B1317" s="3">
        <v>2016</v>
      </c>
      <c r="C1317" t="s">
        <v>342</v>
      </c>
      <c r="D1317" t="s">
        <v>343</v>
      </c>
      <c r="E1317" t="s">
        <v>343</v>
      </c>
      <c r="F1317" s="4">
        <v>65708.61</v>
      </c>
      <c r="G1317" s="4" t="s">
        <v>7</v>
      </c>
      <c r="H1317" t="str">
        <f>IFERROR(VLOOKUP(E1317,'GASB Match'!$A$2:$B$240,2,FALSE),"")</f>
        <v/>
      </c>
    </row>
    <row r="1318" spans="1:8" x14ac:dyDescent="0.2">
      <c r="A1318" t="s">
        <v>7</v>
      </c>
      <c r="B1318" s="3">
        <v>2017</v>
      </c>
      <c r="C1318" t="s">
        <v>342</v>
      </c>
      <c r="D1318" t="s">
        <v>343</v>
      </c>
      <c r="E1318" t="s">
        <v>343</v>
      </c>
      <c r="F1318" s="4">
        <v>67797</v>
      </c>
      <c r="G1318" s="4" t="s">
        <v>7</v>
      </c>
      <c r="H1318" t="str">
        <f>IFERROR(VLOOKUP(E1318,'GASB Match'!$A$2:$B$240,2,FALSE),"")</f>
        <v/>
      </c>
    </row>
    <row r="1319" spans="1:8" x14ac:dyDescent="0.2">
      <c r="A1319" t="s">
        <v>7</v>
      </c>
      <c r="B1319" s="3">
        <v>2018</v>
      </c>
      <c r="C1319" t="s">
        <v>342</v>
      </c>
      <c r="D1319" t="s">
        <v>343</v>
      </c>
      <c r="E1319" t="s">
        <v>343</v>
      </c>
      <c r="F1319" s="4">
        <v>81225</v>
      </c>
      <c r="G1319" s="4" t="s">
        <v>7</v>
      </c>
      <c r="H1319" t="str">
        <f>IFERROR(VLOOKUP(E1319,'GASB Match'!$A$2:$B$240,2,FALSE),"")</f>
        <v/>
      </c>
    </row>
    <row r="1320" spans="1:8" x14ac:dyDescent="0.2">
      <c r="A1320" t="s">
        <v>7</v>
      </c>
      <c r="B1320" s="3">
        <v>2019</v>
      </c>
      <c r="C1320" t="s">
        <v>342</v>
      </c>
      <c r="D1320" t="s">
        <v>343</v>
      </c>
      <c r="E1320" t="s">
        <v>343</v>
      </c>
      <c r="F1320" s="4">
        <v>105667</v>
      </c>
      <c r="G1320" s="4" t="s">
        <v>7</v>
      </c>
      <c r="H1320" t="str">
        <f>IFERROR(VLOOKUP(E1320,'GASB Match'!$A$2:$B$240,2,FALSE),"")</f>
        <v/>
      </c>
    </row>
    <row r="1321" spans="1:8" x14ac:dyDescent="0.2">
      <c r="A1321" t="s">
        <v>7</v>
      </c>
      <c r="B1321" s="3">
        <v>2020</v>
      </c>
      <c r="C1321" t="s">
        <v>342</v>
      </c>
      <c r="D1321" t="s">
        <v>343</v>
      </c>
      <c r="E1321" t="s">
        <v>343</v>
      </c>
      <c r="F1321" s="4">
        <v>101645</v>
      </c>
      <c r="G1321" s="4" t="s">
        <v>7</v>
      </c>
      <c r="H1321" t="str">
        <f>IFERROR(VLOOKUP(E1321,'GASB Match'!$A$2:$B$240,2,FALSE),"")</f>
        <v/>
      </c>
    </row>
    <row r="1322" spans="1:8" x14ac:dyDescent="0.2">
      <c r="A1322" t="s">
        <v>7</v>
      </c>
      <c r="B1322" s="3">
        <v>2021</v>
      </c>
      <c r="C1322" t="s">
        <v>342</v>
      </c>
      <c r="D1322" t="s">
        <v>343</v>
      </c>
      <c r="E1322" t="s">
        <v>343</v>
      </c>
      <c r="F1322" s="4">
        <v>96875</v>
      </c>
      <c r="G1322" s="4" t="s">
        <v>7</v>
      </c>
      <c r="H1322" t="str">
        <f>IFERROR(VLOOKUP(E1322,'GASB Match'!$A$2:$B$240,2,FALSE),"")</f>
        <v/>
      </c>
    </row>
    <row r="1323" spans="1:8" x14ac:dyDescent="0.2">
      <c r="A1323" t="s">
        <v>7</v>
      </c>
      <c r="B1323" s="3">
        <v>2022</v>
      </c>
      <c r="C1323" t="s">
        <v>342</v>
      </c>
      <c r="D1323" t="s">
        <v>343</v>
      </c>
      <c r="E1323" t="s">
        <v>343</v>
      </c>
      <c r="F1323" s="4">
        <v>100080</v>
      </c>
      <c r="G1323" s="4" t="s">
        <v>7</v>
      </c>
      <c r="H1323" t="str">
        <f>IFERROR(VLOOKUP(E1323,'GASB Match'!$A$2:$B$240,2,FALSE),"")</f>
        <v/>
      </c>
    </row>
    <row r="1324" spans="1:8" x14ac:dyDescent="0.2">
      <c r="A1324" t="s">
        <v>7</v>
      </c>
      <c r="B1324" s="3">
        <v>2023</v>
      </c>
      <c r="C1324" t="s">
        <v>342</v>
      </c>
      <c r="D1324" t="s">
        <v>343</v>
      </c>
      <c r="E1324" t="s">
        <v>343</v>
      </c>
      <c r="F1324" s="4">
        <v>106108</v>
      </c>
      <c r="G1324" s="4" t="s">
        <v>7</v>
      </c>
      <c r="H1324" t="str">
        <f>IFERROR(VLOOKUP(E1324,'GASB Match'!$A$2:$B$240,2,FALSE),"")</f>
        <v/>
      </c>
    </row>
    <row r="1325" spans="1:8" x14ac:dyDescent="0.2">
      <c r="A1325" t="s">
        <v>7</v>
      </c>
      <c r="B1325" s="3">
        <v>2015</v>
      </c>
      <c r="C1325" t="s">
        <v>344</v>
      </c>
      <c r="D1325" t="s">
        <v>345</v>
      </c>
      <c r="E1325" t="s">
        <v>345</v>
      </c>
      <c r="F1325" s="4">
        <v>169454.27</v>
      </c>
      <c r="G1325" s="4" t="s">
        <v>7</v>
      </c>
      <c r="H1325" t="str">
        <f>IFERROR(VLOOKUP(E1325,'GASB Match'!$A$2:$B$240,2,FALSE),"")</f>
        <v/>
      </c>
    </row>
    <row r="1326" spans="1:8" x14ac:dyDescent="0.2">
      <c r="A1326" t="s">
        <v>7</v>
      </c>
      <c r="B1326" s="3">
        <v>2016</v>
      </c>
      <c r="C1326" t="s">
        <v>344</v>
      </c>
      <c r="D1326" t="s">
        <v>345</v>
      </c>
      <c r="E1326" t="s">
        <v>345</v>
      </c>
      <c r="F1326" s="4">
        <v>172945.39</v>
      </c>
      <c r="G1326" s="4" t="s">
        <v>7</v>
      </c>
      <c r="H1326" t="str">
        <f>IFERROR(VLOOKUP(E1326,'GASB Match'!$A$2:$B$240,2,FALSE),"")</f>
        <v/>
      </c>
    </row>
    <row r="1327" spans="1:8" x14ac:dyDescent="0.2">
      <c r="A1327" t="s">
        <v>7</v>
      </c>
      <c r="B1327" s="3">
        <v>2017</v>
      </c>
      <c r="C1327" t="s">
        <v>344</v>
      </c>
      <c r="D1327" t="s">
        <v>345</v>
      </c>
      <c r="E1327" t="s">
        <v>345</v>
      </c>
      <c r="F1327" s="4">
        <v>175815</v>
      </c>
      <c r="G1327" s="4" t="s">
        <v>7</v>
      </c>
      <c r="H1327" t="str">
        <f>IFERROR(VLOOKUP(E1327,'GASB Match'!$A$2:$B$240,2,FALSE),"")</f>
        <v/>
      </c>
    </row>
    <row r="1328" spans="1:8" x14ac:dyDescent="0.2">
      <c r="A1328" t="s">
        <v>7</v>
      </c>
      <c r="B1328" s="3">
        <v>2018</v>
      </c>
      <c r="C1328" t="s">
        <v>344</v>
      </c>
      <c r="D1328" t="s">
        <v>345</v>
      </c>
      <c r="E1328" t="s">
        <v>345</v>
      </c>
      <c r="F1328" s="4">
        <v>212633</v>
      </c>
      <c r="G1328" s="4" t="s">
        <v>7</v>
      </c>
      <c r="H1328" t="str">
        <f>IFERROR(VLOOKUP(E1328,'GASB Match'!$A$2:$B$240,2,FALSE),"")</f>
        <v/>
      </c>
    </row>
    <row r="1329" spans="1:8" x14ac:dyDescent="0.2">
      <c r="A1329" t="s">
        <v>7</v>
      </c>
      <c r="B1329" s="3">
        <v>2019</v>
      </c>
      <c r="C1329" t="s">
        <v>344</v>
      </c>
      <c r="D1329" t="s">
        <v>345</v>
      </c>
      <c r="E1329" t="s">
        <v>345</v>
      </c>
      <c r="F1329" s="4">
        <v>271485</v>
      </c>
      <c r="G1329" s="4" t="s">
        <v>7</v>
      </c>
      <c r="H1329" t="str">
        <f>IFERROR(VLOOKUP(E1329,'GASB Match'!$A$2:$B$240,2,FALSE),"")</f>
        <v/>
      </c>
    </row>
    <row r="1330" spans="1:8" x14ac:dyDescent="0.2">
      <c r="A1330" t="s">
        <v>7</v>
      </c>
      <c r="B1330" s="3">
        <v>2020</v>
      </c>
      <c r="C1330" t="s">
        <v>344</v>
      </c>
      <c r="D1330" t="s">
        <v>345</v>
      </c>
      <c r="E1330" t="s">
        <v>345</v>
      </c>
      <c r="F1330" s="4">
        <v>290848</v>
      </c>
      <c r="G1330" s="4" t="s">
        <v>7</v>
      </c>
      <c r="H1330" t="str">
        <f>IFERROR(VLOOKUP(E1330,'GASB Match'!$A$2:$B$240,2,FALSE),"")</f>
        <v/>
      </c>
    </row>
    <row r="1331" spans="1:8" x14ac:dyDescent="0.2">
      <c r="A1331" t="s">
        <v>7</v>
      </c>
      <c r="B1331" s="3">
        <v>2021</v>
      </c>
      <c r="C1331" t="s">
        <v>344</v>
      </c>
      <c r="D1331" t="s">
        <v>345</v>
      </c>
      <c r="E1331" t="s">
        <v>345</v>
      </c>
      <c r="F1331" s="4">
        <v>252254</v>
      </c>
      <c r="G1331" s="4" t="s">
        <v>7</v>
      </c>
      <c r="H1331" t="str">
        <f>IFERROR(VLOOKUP(E1331,'GASB Match'!$A$2:$B$240,2,FALSE),"")</f>
        <v/>
      </c>
    </row>
    <row r="1332" spans="1:8" x14ac:dyDescent="0.2">
      <c r="A1332" t="s">
        <v>7</v>
      </c>
      <c r="B1332" s="3">
        <v>2022</v>
      </c>
      <c r="C1332" t="s">
        <v>344</v>
      </c>
      <c r="D1332" t="s">
        <v>345</v>
      </c>
      <c r="E1332" t="s">
        <v>345</v>
      </c>
      <c r="F1332" s="4">
        <v>281083</v>
      </c>
      <c r="G1332" s="4" t="s">
        <v>7</v>
      </c>
      <c r="H1332" t="str">
        <f>IFERROR(VLOOKUP(E1332,'GASB Match'!$A$2:$B$240,2,FALSE),"")</f>
        <v/>
      </c>
    </row>
    <row r="1333" spans="1:8" x14ac:dyDescent="0.2">
      <c r="A1333" t="s">
        <v>7</v>
      </c>
      <c r="B1333" s="3">
        <v>2023</v>
      </c>
      <c r="C1333" t="s">
        <v>344</v>
      </c>
      <c r="D1333" t="s">
        <v>345</v>
      </c>
      <c r="E1333" t="s">
        <v>345</v>
      </c>
      <c r="F1333" s="4">
        <v>326524</v>
      </c>
      <c r="G1333" s="4" t="s">
        <v>7</v>
      </c>
      <c r="H1333" t="str">
        <f>IFERROR(VLOOKUP(E1333,'GASB Match'!$A$2:$B$240,2,FALSE),"")</f>
        <v/>
      </c>
    </row>
    <row r="1334" spans="1:8" x14ac:dyDescent="0.2">
      <c r="A1334">
        <v>1302640</v>
      </c>
      <c r="B1334" s="3">
        <v>2015</v>
      </c>
      <c r="C1334" t="s">
        <v>346</v>
      </c>
      <c r="D1334" t="s">
        <v>347</v>
      </c>
      <c r="E1334" t="s">
        <v>347</v>
      </c>
      <c r="F1334" s="4">
        <v>844293.58</v>
      </c>
      <c r="G1334" s="4" t="s">
        <v>7</v>
      </c>
      <c r="H1334">
        <f>IFERROR(VLOOKUP(E1334,'GASB Match'!$A$2:$B$240,2,FALSE),"")</f>
        <v>1302640</v>
      </c>
    </row>
    <row r="1335" spans="1:8" x14ac:dyDescent="0.2">
      <c r="A1335">
        <v>1302640</v>
      </c>
      <c r="B1335" s="3">
        <v>2016</v>
      </c>
      <c r="C1335" t="s">
        <v>346</v>
      </c>
      <c r="D1335" t="s">
        <v>347</v>
      </c>
      <c r="E1335" t="s">
        <v>347</v>
      </c>
      <c r="F1335" s="4">
        <v>884399.34</v>
      </c>
      <c r="G1335" s="4" t="s">
        <v>7</v>
      </c>
      <c r="H1335">
        <f>IFERROR(VLOOKUP(E1335,'GASB Match'!$A$2:$B$240,2,FALSE),"")</f>
        <v>1302640</v>
      </c>
    </row>
    <row r="1336" spans="1:8" x14ac:dyDescent="0.2">
      <c r="A1336">
        <v>1302640</v>
      </c>
      <c r="B1336" s="3">
        <v>2017</v>
      </c>
      <c r="C1336" t="s">
        <v>346</v>
      </c>
      <c r="D1336" t="s">
        <v>347</v>
      </c>
      <c r="E1336" t="s">
        <v>347</v>
      </c>
      <c r="F1336" s="4">
        <v>924058</v>
      </c>
      <c r="G1336" s="4" t="s">
        <v>7</v>
      </c>
      <c r="H1336">
        <f>IFERROR(VLOOKUP(E1336,'GASB Match'!$A$2:$B$240,2,FALSE),"")</f>
        <v>1302640</v>
      </c>
    </row>
    <row r="1337" spans="1:8" x14ac:dyDescent="0.2">
      <c r="A1337">
        <v>1302640</v>
      </c>
      <c r="B1337" s="3">
        <v>2018</v>
      </c>
      <c r="C1337" t="s">
        <v>346</v>
      </c>
      <c r="D1337" t="s">
        <v>347</v>
      </c>
      <c r="E1337" t="s">
        <v>347</v>
      </c>
      <c r="F1337" s="4">
        <v>1108708</v>
      </c>
      <c r="G1337" s="4" t="s">
        <v>7</v>
      </c>
      <c r="H1337">
        <f>IFERROR(VLOOKUP(E1337,'GASB Match'!$A$2:$B$240,2,FALSE),"")</f>
        <v>1302640</v>
      </c>
    </row>
    <row r="1338" spans="1:8" x14ac:dyDescent="0.2">
      <c r="A1338">
        <v>1302640</v>
      </c>
      <c r="B1338" s="3">
        <v>2019</v>
      </c>
      <c r="C1338" t="s">
        <v>346</v>
      </c>
      <c r="D1338" t="s">
        <v>347</v>
      </c>
      <c r="E1338" t="s">
        <v>347</v>
      </c>
      <c r="F1338" s="4">
        <v>1371230</v>
      </c>
      <c r="G1338" s="4" t="s">
        <v>7</v>
      </c>
      <c r="H1338">
        <f>IFERROR(VLOOKUP(E1338,'GASB Match'!$A$2:$B$240,2,FALSE),"")</f>
        <v>1302640</v>
      </c>
    </row>
    <row r="1339" spans="1:8" x14ac:dyDescent="0.2">
      <c r="A1339">
        <v>1302640</v>
      </c>
      <c r="B1339" s="3">
        <v>2020</v>
      </c>
      <c r="C1339" t="s">
        <v>346</v>
      </c>
      <c r="D1339" t="s">
        <v>347</v>
      </c>
      <c r="E1339" t="s">
        <v>347</v>
      </c>
      <c r="F1339" s="4">
        <v>1353581</v>
      </c>
      <c r="G1339" s="4" t="s">
        <v>7</v>
      </c>
      <c r="H1339">
        <f>IFERROR(VLOOKUP(E1339,'GASB Match'!$A$2:$B$240,2,FALSE),"")</f>
        <v>1302640</v>
      </c>
    </row>
    <row r="1340" spans="1:8" x14ac:dyDescent="0.2">
      <c r="A1340">
        <v>1302640</v>
      </c>
      <c r="B1340" s="3">
        <v>2021</v>
      </c>
      <c r="C1340" t="s">
        <v>346</v>
      </c>
      <c r="D1340" t="s">
        <v>347</v>
      </c>
      <c r="E1340" t="s">
        <v>347</v>
      </c>
      <c r="F1340" s="4">
        <v>1224585</v>
      </c>
      <c r="G1340" s="4" t="s">
        <v>7</v>
      </c>
      <c r="H1340">
        <f>IFERROR(VLOOKUP(E1340,'GASB Match'!$A$2:$B$240,2,FALSE),"")</f>
        <v>1302640</v>
      </c>
    </row>
    <row r="1341" spans="1:8" x14ac:dyDescent="0.2">
      <c r="A1341">
        <v>1302640</v>
      </c>
      <c r="B1341" s="3">
        <v>2022</v>
      </c>
      <c r="C1341" t="s">
        <v>346</v>
      </c>
      <c r="D1341" t="s">
        <v>347</v>
      </c>
      <c r="E1341" t="s">
        <v>347</v>
      </c>
      <c r="F1341" s="4">
        <v>1252145</v>
      </c>
      <c r="G1341" s="4" t="s">
        <v>7</v>
      </c>
      <c r="H1341">
        <f>IFERROR(VLOOKUP(E1341,'GASB Match'!$A$2:$B$240,2,FALSE),"")</f>
        <v>1302640</v>
      </c>
    </row>
    <row r="1342" spans="1:8" x14ac:dyDescent="0.2">
      <c r="A1342">
        <v>1302640</v>
      </c>
      <c r="B1342" s="3">
        <v>2023</v>
      </c>
      <c r="C1342" t="s">
        <v>346</v>
      </c>
      <c r="D1342" t="s">
        <v>347</v>
      </c>
      <c r="E1342" t="s">
        <v>347</v>
      </c>
      <c r="F1342" s="4">
        <v>1296981</v>
      </c>
      <c r="G1342" s="4" t="s">
        <v>7</v>
      </c>
      <c r="H1342">
        <f>IFERROR(VLOOKUP(E1342,'GASB Match'!$A$2:$B$240,2,FALSE),"")</f>
        <v>1302640</v>
      </c>
    </row>
    <row r="1343" spans="1:8" x14ac:dyDescent="0.2">
      <c r="A1343">
        <v>1302670</v>
      </c>
      <c r="B1343" s="3">
        <v>2015</v>
      </c>
      <c r="C1343" t="s">
        <v>348</v>
      </c>
      <c r="D1343" t="s">
        <v>349</v>
      </c>
      <c r="E1343" t="s">
        <v>349</v>
      </c>
      <c r="F1343" s="4">
        <v>2478336.79</v>
      </c>
      <c r="G1343" s="4">
        <v>14226.36</v>
      </c>
      <c r="H1343">
        <f>IFERROR(VLOOKUP(E1343,'GASB Match'!$A$2:$B$240,2,FALSE),"")</f>
        <v>1302670</v>
      </c>
    </row>
    <row r="1344" spans="1:8" x14ac:dyDescent="0.2">
      <c r="A1344">
        <v>1302670</v>
      </c>
      <c r="B1344" s="3">
        <v>2016</v>
      </c>
      <c r="C1344" t="s">
        <v>348</v>
      </c>
      <c r="D1344" t="s">
        <v>349</v>
      </c>
      <c r="E1344" t="s">
        <v>349</v>
      </c>
      <c r="F1344" s="4">
        <v>2746762.24</v>
      </c>
      <c r="G1344" s="4">
        <v>16327.92</v>
      </c>
      <c r="H1344">
        <f>IFERROR(VLOOKUP(E1344,'GASB Match'!$A$2:$B$240,2,FALSE),"")</f>
        <v>1302670</v>
      </c>
    </row>
    <row r="1345" spans="1:8" x14ac:dyDescent="0.2">
      <c r="A1345">
        <v>1302670</v>
      </c>
      <c r="B1345" s="3">
        <v>2017</v>
      </c>
      <c r="C1345" t="s">
        <v>348</v>
      </c>
      <c r="D1345" t="s">
        <v>349</v>
      </c>
      <c r="E1345" t="s">
        <v>349</v>
      </c>
      <c r="F1345" s="4">
        <v>2792370</v>
      </c>
      <c r="G1345" s="4">
        <v>16969</v>
      </c>
      <c r="H1345">
        <f>IFERROR(VLOOKUP(E1345,'GASB Match'!$A$2:$B$240,2,FALSE),"")</f>
        <v>1302670</v>
      </c>
    </row>
    <row r="1346" spans="1:8" x14ac:dyDescent="0.2">
      <c r="A1346">
        <v>1302670</v>
      </c>
      <c r="B1346" s="3">
        <v>2018</v>
      </c>
      <c r="C1346" t="s">
        <v>348</v>
      </c>
      <c r="D1346" t="s">
        <v>349</v>
      </c>
      <c r="E1346" t="s">
        <v>349</v>
      </c>
      <c r="F1346" s="4">
        <v>3372071</v>
      </c>
      <c r="G1346" s="4">
        <v>19855</v>
      </c>
      <c r="H1346">
        <f>IFERROR(VLOOKUP(E1346,'GASB Match'!$A$2:$B$240,2,FALSE),"")</f>
        <v>1302670</v>
      </c>
    </row>
    <row r="1347" spans="1:8" x14ac:dyDescent="0.2">
      <c r="A1347">
        <v>1302670</v>
      </c>
      <c r="B1347" s="3">
        <v>2019</v>
      </c>
      <c r="C1347" t="s">
        <v>348</v>
      </c>
      <c r="D1347" t="s">
        <v>349</v>
      </c>
      <c r="E1347" t="s">
        <v>349</v>
      </c>
      <c r="F1347" s="4">
        <v>4277436</v>
      </c>
      <c r="G1347" s="4">
        <v>25815</v>
      </c>
      <c r="H1347">
        <f>IFERROR(VLOOKUP(E1347,'GASB Match'!$A$2:$B$240,2,FALSE),"")</f>
        <v>1302670</v>
      </c>
    </row>
    <row r="1348" spans="1:8" x14ac:dyDescent="0.2">
      <c r="A1348">
        <v>1302670</v>
      </c>
      <c r="B1348" s="3">
        <v>2020</v>
      </c>
      <c r="C1348" t="s">
        <v>348</v>
      </c>
      <c r="D1348" t="s">
        <v>349</v>
      </c>
      <c r="E1348" t="s">
        <v>349</v>
      </c>
      <c r="F1348" s="4">
        <v>4617650</v>
      </c>
      <c r="G1348" s="4">
        <v>26101</v>
      </c>
      <c r="H1348">
        <f>IFERROR(VLOOKUP(E1348,'GASB Match'!$A$2:$B$240,2,FALSE),"")</f>
        <v>1302670</v>
      </c>
    </row>
    <row r="1349" spans="1:8" x14ac:dyDescent="0.2">
      <c r="A1349">
        <v>1302670</v>
      </c>
      <c r="B1349" s="3">
        <v>2021</v>
      </c>
      <c r="C1349" t="s">
        <v>348</v>
      </c>
      <c r="D1349" t="s">
        <v>349</v>
      </c>
      <c r="E1349" t="s">
        <v>349</v>
      </c>
      <c r="F1349" s="4">
        <v>4165816</v>
      </c>
      <c r="G1349" s="4">
        <v>26811</v>
      </c>
      <c r="H1349">
        <f>IFERROR(VLOOKUP(E1349,'GASB Match'!$A$2:$B$240,2,FALSE),"")</f>
        <v>1302670</v>
      </c>
    </row>
    <row r="1350" spans="1:8" x14ac:dyDescent="0.2">
      <c r="A1350">
        <v>1302670</v>
      </c>
      <c r="B1350" s="3">
        <v>2022</v>
      </c>
      <c r="C1350" t="s">
        <v>348</v>
      </c>
      <c r="D1350" t="s">
        <v>349</v>
      </c>
      <c r="E1350" t="s">
        <v>349</v>
      </c>
      <c r="F1350" s="4">
        <v>4359525</v>
      </c>
      <c r="G1350" s="4">
        <v>29583</v>
      </c>
      <c r="H1350">
        <f>IFERROR(VLOOKUP(E1350,'GASB Match'!$A$2:$B$240,2,FALSE),"")</f>
        <v>1302670</v>
      </c>
    </row>
    <row r="1351" spans="1:8" x14ac:dyDescent="0.2">
      <c r="A1351">
        <v>1302670</v>
      </c>
      <c r="B1351" s="3">
        <v>2023</v>
      </c>
      <c r="C1351" t="s">
        <v>348</v>
      </c>
      <c r="D1351" t="s">
        <v>349</v>
      </c>
      <c r="E1351" t="s">
        <v>349</v>
      </c>
      <c r="F1351" s="4">
        <v>4816453</v>
      </c>
      <c r="G1351" s="4">
        <v>32030</v>
      </c>
      <c r="H1351">
        <f>IFERROR(VLOOKUP(E1351,'GASB Match'!$A$2:$B$240,2,FALSE),"")</f>
        <v>1302670</v>
      </c>
    </row>
    <row r="1352" spans="1:8" x14ac:dyDescent="0.2">
      <c r="A1352">
        <v>1302700</v>
      </c>
      <c r="B1352" s="3">
        <v>2015</v>
      </c>
      <c r="C1352" t="s">
        <v>350</v>
      </c>
      <c r="D1352" t="s">
        <v>351</v>
      </c>
      <c r="E1352" t="s">
        <v>351</v>
      </c>
      <c r="F1352" s="4">
        <v>3296894.97</v>
      </c>
      <c r="G1352" s="4">
        <v>48262.49</v>
      </c>
      <c r="H1352">
        <f>IFERROR(VLOOKUP(E1352,'GASB Match'!$A$2:$B$240,2,FALSE),"")</f>
        <v>1302700</v>
      </c>
    </row>
    <row r="1353" spans="1:8" x14ac:dyDescent="0.2">
      <c r="A1353">
        <v>1302700</v>
      </c>
      <c r="B1353" s="3">
        <v>2016</v>
      </c>
      <c r="C1353" t="s">
        <v>350</v>
      </c>
      <c r="D1353" t="s">
        <v>351</v>
      </c>
      <c r="E1353" t="s">
        <v>351</v>
      </c>
      <c r="F1353" s="4">
        <v>3655248.58</v>
      </c>
      <c r="G1353" s="4">
        <v>57968.18</v>
      </c>
      <c r="H1353">
        <f>IFERROR(VLOOKUP(E1353,'GASB Match'!$A$2:$B$240,2,FALSE),"")</f>
        <v>1302700</v>
      </c>
    </row>
    <row r="1354" spans="1:8" x14ac:dyDescent="0.2">
      <c r="A1354">
        <v>1302700</v>
      </c>
      <c r="B1354" s="3">
        <v>2017</v>
      </c>
      <c r="C1354" t="s">
        <v>350</v>
      </c>
      <c r="D1354" t="s">
        <v>351</v>
      </c>
      <c r="E1354" t="s">
        <v>351</v>
      </c>
      <c r="F1354" s="4">
        <v>3850456</v>
      </c>
      <c r="G1354" s="4">
        <v>36943</v>
      </c>
      <c r="H1354">
        <f>IFERROR(VLOOKUP(E1354,'GASB Match'!$A$2:$B$240,2,FALSE),"")</f>
        <v>1302700</v>
      </c>
    </row>
    <row r="1355" spans="1:8" x14ac:dyDescent="0.2">
      <c r="A1355">
        <v>1302700</v>
      </c>
      <c r="B1355" s="3">
        <v>2018</v>
      </c>
      <c r="C1355" t="s">
        <v>350</v>
      </c>
      <c r="D1355" t="s">
        <v>351</v>
      </c>
      <c r="E1355" t="s">
        <v>351</v>
      </c>
      <c r="F1355" s="4">
        <v>4739311</v>
      </c>
      <c r="G1355" s="4">
        <v>14898</v>
      </c>
      <c r="H1355">
        <f>IFERROR(VLOOKUP(E1355,'GASB Match'!$A$2:$B$240,2,FALSE),"")</f>
        <v>1302700</v>
      </c>
    </row>
    <row r="1356" spans="1:8" x14ac:dyDescent="0.2">
      <c r="A1356">
        <v>1302700</v>
      </c>
      <c r="B1356" s="3">
        <v>2019</v>
      </c>
      <c r="C1356" t="s">
        <v>350</v>
      </c>
      <c r="D1356" t="s">
        <v>351</v>
      </c>
      <c r="E1356" t="s">
        <v>351</v>
      </c>
      <c r="F1356" s="4">
        <v>6062838</v>
      </c>
      <c r="G1356" s="4">
        <v>19207</v>
      </c>
      <c r="H1356">
        <f>IFERROR(VLOOKUP(E1356,'GASB Match'!$A$2:$B$240,2,FALSE),"")</f>
        <v>1302700</v>
      </c>
    </row>
    <row r="1357" spans="1:8" x14ac:dyDescent="0.2">
      <c r="A1357">
        <v>1302700</v>
      </c>
      <c r="B1357" s="3">
        <v>2020</v>
      </c>
      <c r="C1357" t="s">
        <v>350</v>
      </c>
      <c r="D1357" t="s">
        <v>351</v>
      </c>
      <c r="E1357" t="s">
        <v>351</v>
      </c>
      <c r="F1357" s="4">
        <v>6496323</v>
      </c>
      <c r="G1357" s="4">
        <v>18444</v>
      </c>
      <c r="H1357">
        <f>IFERROR(VLOOKUP(E1357,'GASB Match'!$A$2:$B$240,2,FALSE),"")</f>
        <v>1302700</v>
      </c>
    </row>
    <row r="1358" spans="1:8" x14ac:dyDescent="0.2">
      <c r="A1358">
        <v>1302700</v>
      </c>
      <c r="B1358" s="3">
        <v>2021</v>
      </c>
      <c r="C1358" t="s">
        <v>350</v>
      </c>
      <c r="D1358" t="s">
        <v>351</v>
      </c>
      <c r="E1358" t="s">
        <v>351</v>
      </c>
      <c r="F1358" s="4">
        <v>5924366</v>
      </c>
      <c r="G1358" s="4">
        <v>17412</v>
      </c>
      <c r="H1358">
        <f>IFERROR(VLOOKUP(E1358,'GASB Match'!$A$2:$B$240,2,FALSE),"")</f>
        <v>1302700</v>
      </c>
    </row>
    <row r="1359" spans="1:8" x14ac:dyDescent="0.2">
      <c r="A1359">
        <v>1302700</v>
      </c>
      <c r="B1359" s="3">
        <v>2022</v>
      </c>
      <c r="C1359" t="s">
        <v>350</v>
      </c>
      <c r="D1359" t="s">
        <v>351</v>
      </c>
      <c r="E1359" t="s">
        <v>351</v>
      </c>
      <c r="F1359" s="4">
        <v>6492591</v>
      </c>
      <c r="G1359" s="4">
        <v>18955</v>
      </c>
      <c r="H1359">
        <f>IFERROR(VLOOKUP(E1359,'GASB Match'!$A$2:$B$240,2,FALSE),"")</f>
        <v>1302700</v>
      </c>
    </row>
    <row r="1360" spans="1:8" x14ac:dyDescent="0.2">
      <c r="A1360">
        <v>1302700</v>
      </c>
      <c r="B1360" s="3">
        <v>2023</v>
      </c>
      <c r="C1360" t="s">
        <v>350</v>
      </c>
      <c r="D1360" t="s">
        <v>351</v>
      </c>
      <c r="E1360" t="s">
        <v>351</v>
      </c>
      <c r="F1360" s="4">
        <v>6975807</v>
      </c>
      <c r="G1360" s="4">
        <v>20366</v>
      </c>
      <c r="H1360">
        <f>IFERROR(VLOOKUP(E1360,'GASB Match'!$A$2:$B$240,2,FALSE),"")</f>
        <v>1302700</v>
      </c>
    </row>
    <row r="1361" spans="1:8" x14ac:dyDescent="0.2">
      <c r="A1361">
        <v>1302730</v>
      </c>
      <c r="B1361" s="3">
        <v>2015</v>
      </c>
      <c r="C1361" t="s">
        <v>352</v>
      </c>
      <c r="D1361" t="s">
        <v>353</v>
      </c>
      <c r="E1361" t="s">
        <v>353</v>
      </c>
      <c r="F1361" s="4">
        <v>2183658.1800000002</v>
      </c>
      <c r="G1361" s="4">
        <v>29071.55</v>
      </c>
      <c r="H1361">
        <f>IFERROR(VLOOKUP(E1361,'GASB Match'!$A$2:$B$240,2,FALSE),"")</f>
        <v>1302730</v>
      </c>
    </row>
    <row r="1362" spans="1:8" x14ac:dyDescent="0.2">
      <c r="A1362">
        <v>1302730</v>
      </c>
      <c r="B1362" s="3">
        <v>2016</v>
      </c>
      <c r="C1362" t="s">
        <v>352</v>
      </c>
      <c r="D1362" t="s">
        <v>353</v>
      </c>
      <c r="E1362" t="s">
        <v>353</v>
      </c>
      <c r="F1362" s="4">
        <v>2414446.23</v>
      </c>
      <c r="G1362" s="4">
        <v>31652.48</v>
      </c>
      <c r="H1362">
        <f>IFERROR(VLOOKUP(E1362,'GASB Match'!$A$2:$B$240,2,FALSE),"")</f>
        <v>1302730</v>
      </c>
    </row>
    <row r="1363" spans="1:8" x14ac:dyDescent="0.2">
      <c r="A1363">
        <v>1302730</v>
      </c>
      <c r="B1363" s="3">
        <v>2017</v>
      </c>
      <c r="C1363" t="s">
        <v>352</v>
      </c>
      <c r="D1363" t="s">
        <v>353</v>
      </c>
      <c r="E1363" t="s">
        <v>353</v>
      </c>
      <c r="F1363" s="4">
        <v>2558902</v>
      </c>
      <c r="G1363" s="4">
        <v>25309</v>
      </c>
      <c r="H1363">
        <f>IFERROR(VLOOKUP(E1363,'GASB Match'!$A$2:$B$240,2,FALSE),"")</f>
        <v>1302730</v>
      </c>
    </row>
    <row r="1364" spans="1:8" x14ac:dyDescent="0.2">
      <c r="A1364">
        <v>1302730</v>
      </c>
      <c r="B1364" s="3">
        <v>2018</v>
      </c>
      <c r="C1364" t="s">
        <v>352</v>
      </c>
      <c r="D1364" t="s">
        <v>353</v>
      </c>
      <c r="E1364" t="s">
        <v>353</v>
      </c>
      <c r="F1364" s="4">
        <v>3103292</v>
      </c>
      <c r="G1364" s="4">
        <v>24221</v>
      </c>
      <c r="H1364">
        <f>IFERROR(VLOOKUP(E1364,'GASB Match'!$A$2:$B$240,2,FALSE),"")</f>
        <v>1302730</v>
      </c>
    </row>
    <row r="1365" spans="1:8" x14ac:dyDescent="0.2">
      <c r="A1365">
        <v>1302730</v>
      </c>
      <c r="B1365" s="3">
        <v>2019</v>
      </c>
      <c r="C1365" t="s">
        <v>352</v>
      </c>
      <c r="D1365" t="s">
        <v>353</v>
      </c>
      <c r="E1365" t="s">
        <v>353</v>
      </c>
      <c r="F1365" s="4">
        <v>3786475</v>
      </c>
      <c r="G1365" s="4">
        <v>30258</v>
      </c>
      <c r="H1365">
        <f>IFERROR(VLOOKUP(E1365,'GASB Match'!$A$2:$B$240,2,FALSE),"")</f>
        <v>1302730</v>
      </c>
    </row>
    <row r="1366" spans="1:8" x14ac:dyDescent="0.2">
      <c r="A1366">
        <v>1302730</v>
      </c>
      <c r="B1366" s="3">
        <v>2020</v>
      </c>
      <c r="C1366" t="s">
        <v>352</v>
      </c>
      <c r="D1366" t="s">
        <v>353</v>
      </c>
      <c r="E1366" t="s">
        <v>353</v>
      </c>
      <c r="F1366" s="4">
        <v>4055942</v>
      </c>
      <c r="G1366" s="4">
        <v>31634</v>
      </c>
      <c r="H1366">
        <f>IFERROR(VLOOKUP(E1366,'GASB Match'!$A$2:$B$240,2,FALSE),"")</f>
        <v>1302730</v>
      </c>
    </row>
    <row r="1367" spans="1:8" x14ac:dyDescent="0.2">
      <c r="A1367">
        <v>1302730</v>
      </c>
      <c r="B1367" s="3">
        <v>2021</v>
      </c>
      <c r="C1367" t="s">
        <v>352</v>
      </c>
      <c r="D1367" t="s">
        <v>353</v>
      </c>
      <c r="E1367" t="s">
        <v>353</v>
      </c>
      <c r="F1367" s="4">
        <v>3626146</v>
      </c>
      <c r="G1367" s="4">
        <v>28196</v>
      </c>
      <c r="H1367">
        <f>IFERROR(VLOOKUP(E1367,'GASB Match'!$A$2:$B$240,2,FALSE),"")</f>
        <v>1302730</v>
      </c>
    </row>
    <row r="1368" spans="1:8" x14ac:dyDescent="0.2">
      <c r="A1368">
        <v>1302730</v>
      </c>
      <c r="B1368" s="3">
        <v>2022</v>
      </c>
      <c r="C1368" t="s">
        <v>352</v>
      </c>
      <c r="D1368" t="s">
        <v>353</v>
      </c>
      <c r="E1368" t="s">
        <v>353</v>
      </c>
      <c r="F1368" s="4">
        <v>3911473</v>
      </c>
      <c r="G1368" s="4">
        <v>31422</v>
      </c>
      <c r="H1368">
        <f>IFERROR(VLOOKUP(E1368,'GASB Match'!$A$2:$B$240,2,FALSE),"")</f>
        <v>1302730</v>
      </c>
    </row>
    <row r="1369" spans="1:8" x14ac:dyDescent="0.2">
      <c r="A1369">
        <v>1302730</v>
      </c>
      <c r="B1369" s="3">
        <v>2023</v>
      </c>
      <c r="C1369" t="s">
        <v>352</v>
      </c>
      <c r="D1369" t="s">
        <v>353</v>
      </c>
      <c r="E1369" t="s">
        <v>353</v>
      </c>
      <c r="F1369" s="4">
        <v>4222077</v>
      </c>
      <c r="G1369" s="4">
        <v>33422</v>
      </c>
      <c r="H1369">
        <f>IFERROR(VLOOKUP(E1369,'GASB Match'!$A$2:$B$240,2,FALSE),"")</f>
        <v>1302730</v>
      </c>
    </row>
    <row r="1370" spans="1:8" x14ac:dyDescent="0.2">
      <c r="A1370" t="s">
        <v>7</v>
      </c>
      <c r="B1370" s="3">
        <v>2015</v>
      </c>
      <c r="C1370" t="s">
        <v>354</v>
      </c>
      <c r="D1370" t="s">
        <v>355</v>
      </c>
      <c r="E1370" t="s">
        <v>355</v>
      </c>
      <c r="F1370" s="4">
        <v>16273.6</v>
      </c>
      <c r="G1370" s="4" t="s">
        <v>7</v>
      </c>
      <c r="H1370" t="str">
        <f>IFERROR(VLOOKUP(E1370,'GASB Match'!$A$2:$B$240,2,FALSE),"")</f>
        <v/>
      </c>
    </row>
    <row r="1371" spans="1:8" x14ac:dyDescent="0.2">
      <c r="A1371" t="s">
        <v>7</v>
      </c>
      <c r="B1371" s="3">
        <v>2016</v>
      </c>
      <c r="C1371" t="s">
        <v>354</v>
      </c>
      <c r="D1371" t="s">
        <v>355</v>
      </c>
      <c r="E1371" t="s">
        <v>355</v>
      </c>
      <c r="F1371" s="4">
        <v>18626.14</v>
      </c>
      <c r="G1371" s="4" t="s">
        <v>7</v>
      </c>
      <c r="H1371" t="str">
        <f>IFERROR(VLOOKUP(E1371,'GASB Match'!$A$2:$B$240,2,FALSE),"")</f>
        <v/>
      </c>
    </row>
    <row r="1372" spans="1:8" x14ac:dyDescent="0.2">
      <c r="A1372" t="s">
        <v>7</v>
      </c>
      <c r="B1372" s="3">
        <v>2017</v>
      </c>
      <c r="C1372" t="s">
        <v>354</v>
      </c>
      <c r="D1372" t="s">
        <v>355</v>
      </c>
      <c r="E1372" t="s">
        <v>355</v>
      </c>
      <c r="F1372" s="4">
        <v>19207</v>
      </c>
      <c r="G1372" s="4" t="s">
        <v>7</v>
      </c>
      <c r="H1372" t="str">
        <f>IFERROR(VLOOKUP(E1372,'GASB Match'!$A$2:$B$240,2,FALSE),"")</f>
        <v/>
      </c>
    </row>
    <row r="1373" spans="1:8" x14ac:dyDescent="0.2">
      <c r="A1373" t="s">
        <v>7</v>
      </c>
      <c r="B1373" s="3">
        <v>2018</v>
      </c>
      <c r="C1373" t="s">
        <v>354</v>
      </c>
      <c r="D1373" t="s">
        <v>355</v>
      </c>
      <c r="E1373" t="s">
        <v>355</v>
      </c>
      <c r="F1373" s="4">
        <v>23452</v>
      </c>
      <c r="G1373" s="4" t="s">
        <v>7</v>
      </c>
      <c r="H1373" t="str">
        <f>IFERROR(VLOOKUP(E1373,'GASB Match'!$A$2:$B$240,2,FALSE),"")</f>
        <v/>
      </c>
    </row>
    <row r="1374" spans="1:8" x14ac:dyDescent="0.2">
      <c r="A1374" t="s">
        <v>7</v>
      </c>
      <c r="B1374" s="3">
        <v>2019</v>
      </c>
      <c r="C1374" t="s">
        <v>354</v>
      </c>
      <c r="D1374" t="s">
        <v>355</v>
      </c>
      <c r="E1374" t="s">
        <v>355</v>
      </c>
      <c r="F1374" s="4">
        <v>23722</v>
      </c>
      <c r="G1374" s="4" t="s">
        <v>7</v>
      </c>
      <c r="H1374" t="str">
        <f>IFERROR(VLOOKUP(E1374,'GASB Match'!$A$2:$B$240,2,FALSE),"")</f>
        <v/>
      </c>
    </row>
    <row r="1375" spans="1:8" x14ac:dyDescent="0.2">
      <c r="A1375" t="s">
        <v>7</v>
      </c>
      <c r="B1375" s="3">
        <v>2020</v>
      </c>
      <c r="C1375" t="s">
        <v>354</v>
      </c>
      <c r="D1375" t="s">
        <v>355</v>
      </c>
      <c r="E1375" t="s">
        <v>355</v>
      </c>
      <c r="F1375" s="4">
        <v>20515</v>
      </c>
      <c r="G1375" s="4" t="s">
        <v>7</v>
      </c>
      <c r="H1375" t="str">
        <f>IFERROR(VLOOKUP(E1375,'GASB Match'!$A$2:$B$240,2,FALSE),"")</f>
        <v/>
      </c>
    </row>
    <row r="1376" spans="1:8" x14ac:dyDescent="0.2">
      <c r="A1376" t="s">
        <v>7</v>
      </c>
      <c r="B1376" s="3">
        <v>2021</v>
      </c>
      <c r="C1376" t="s">
        <v>354</v>
      </c>
      <c r="D1376" t="s">
        <v>355</v>
      </c>
      <c r="E1376" t="s">
        <v>355</v>
      </c>
      <c r="F1376" s="4">
        <v>20909</v>
      </c>
      <c r="G1376" s="4" t="s">
        <v>7</v>
      </c>
      <c r="H1376" t="str">
        <f>IFERROR(VLOOKUP(E1376,'GASB Match'!$A$2:$B$240,2,FALSE),"")</f>
        <v/>
      </c>
    </row>
    <row r="1377" spans="1:8" x14ac:dyDescent="0.2">
      <c r="A1377" t="s">
        <v>7</v>
      </c>
      <c r="B1377" s="3">
        <v>2022</v>
      </c>
      <c r="C1377" t="s">
        <v>354</v>
      </c>
      <c r="D1377" t="s">
        <v>355</v>
      </c>
      <c r="E1377" t="s">
        <v>355</v>
      </c>
      <c r="F1377" s="4">
        <v>27258</v>
      </c>
      <c r="G1377" s="4" t="s">
        <v>7</v>
      </c>
      <c r="H1377" t="str">
        <f>IFERROR(VLOOKUP(E1377,'GASB Match'!$A$2:$B$240,2,FALSE),"")</f>
        <v/>
      </c>
    </row>
    <row r="1378" spans="1:8" x14ac:dyDescent="0.2">
      <c r="A1378" t="s">
        <v>7</v>
      </c>
      <c r="B1378" s="3">
        <v>2023</v>
      </c>
      <c r="C1378" t="s">
        <v>354</v>
      </c>
      <c r="D1378" t="s">
        <v>355</v>
      </c>
      <c r="E1378" t="s">
        <v>355</v>
      </c>
      <c r="F1378" s="4">
        <v>20017</v>
      </c>
      <c r="G1378" s="4" t="s">
        <v>7</v>
      </c>
      <c r="H1378" t="str">
        <f>IFERROR(VLOOKUP(E1378,'GASB Match'!$A$2:$B$240,2,FALSE),"")</f>
        <v/>
      </c>
    </row>
    <row r="1379" spans="1:8" x14ac:dyDescent="0.2">
      <c r="A1379">
        <v>1302790</v>
      </c>
      <c r="B1379" s="3">
        <v>2015</v>
      </c>
      <c r="C1379" t="s">
        <v>356</v>
      </c>
      <c r="D1379" t="s">
        <v>357</v>
      </c>
      <c r="E1379" t="s">
        <v>357</v>
      </c>
      <c r="F1379" s="4">
        <v>1367429.37</v>
      </c>
      <c r="G1379" s="4" t="s">
        <v>7</v>
      </c>
      <c r="H1379">
        <f>IFERROR(VLOOKUP(E1379,'GASB Match'!$A$2:$B$240,2,FALSE),"")</f>
        <v>1302790</v>
      </c>
    </row>
    <row r="1380" spans="1:8" x14ac:dyDescent="0.2">
      <c r="A1380">
        <v>1302790</v>
      </c>
      <c r="B1380" s="3">
        <v>2016</v>
      </c>
      <c r="C1380" t="s">
        <v>356</v>
      </c>
      <c r="D1380" t="s">
        <v>357</v>
      </c>
      <c r="E1380" t="s">
        <v>357</v>
      </c>
      <c r="F1380" s="4">
        <v>1507234.08</v>
      </c>
      <c r="G1380" s="4" t="s">
        <v>7</v>
      </c>
      <c r="H1380">
        <f>IFERROR(VLOOKUP(E1380,'GASB Match'!$A$2:$B$240,2,FALSE),"")</f>
        <v>1302790</v>
      </c>
    </row>
    <row r="1381" spans="1:8" x14ac:dyDescent="0.2">
      <c r="A1381">
        <v>1302790</v>
      </c>
      <c r="B1381" s="3">
        <v>2017</v>
      </c>
      <c r="C1381" t="s">
        <v>356</v>
      </c>
      <c r="D1381" t="s">
        <v>357</v>
      </c>
      <c r="E1381" t="s">
        <v>357</v>
      </c>
      <c r="F1381" s="4">
        <v>1575984</v>
      </c>
      <c r="G1381" s="4">
        <v>1055</v>
      </c>
      <c r="H1381">
        <f>IFERROR(VLOOKUP(E1381,'GASB Match'!$A$2:$B$240,2,FALSE),"")</f>
        <v>1302790</v>
      </c>
    </row>
    <row r="1382" spans="1:8" x14ac:dyDescent="0.2">
      <c r="A1382">
        <v>1302790</v>
      </c>
      <c r="B1382" s="3">
        <v>2018</v>
      </c>
      <c r="C1382" t="s">
        <v>356</v>
      </c>
      <c r="D1382" t="s">
        <v>357</v>
      </c>
      <c r="E1382" t="s">
        <v>357</v>
      </c>
      <c r="F1382" s="4">
        <v>1885726</v>
      </c>
      <c r="G1382" s="4">
        <v>12644</v>
      </c>
      <c r="H1382">
        <f>IFERROR(VLOOKUP(E1382,'GASB Match'!$A$2:$B$240,2,FALSE),"")</f>
        <v>1302790</v>
      </c>
    </row>
    <row r="1383" spans="1:8" x14ac:dyDescent="0.2">
      <c r="A1383">
        <v>1302790</v>
      </c>
      <c r="B1383" s="3">
        <v>2019</v>
      </c>
      <c r="C1383" t="s">
        <v>356</v>
      </c>
      <c r="D1383" t="s">
        <v>357</v>
      </c>
      <c r="E1383" t="s">
        <v>357</v>
      </c>
      <c r="F1383" s="4">
        <v>2457377</v>
      </c>
      <c r="G1383" s="4">
        <v>8879</v>
      </c>
      <c r="H1383">
        <f>IFERROR(VLOOKUP(E1383,'GASB Match'!$A$2:$B$240,2,FALSE),"")</f>
        <v>1302790</v>
      </c>
    </row>
    <row r="1384" spans="1:8" x14ac:dyDescent="0.2">
      <c r="A1384">
        <v>1302790</v>
      </c>
      <c r="B1384" s="3">
        <v>2020</v>
      </c>
      <c r="C1384" t="s">
        <v>356</v>
      </c>
      <c r="D1384" t="s">
        <v>357</v>
      </c>
      <c r="E1384" t="s">
        <v>357</v>
      </c>
      <c r="F1384" s="4">
        <v>2672837</v>
      </c>
      <c r="G1384" s="4">
        <v>24249</v>
      </c>
      <c r="H1384">
        <f>IFERROR(VLOOKUP(E1384,'GASB Match'!$A$2:$B$240,2,FALSE),"")</f>
        <v>1302790</v>
      </c>
    </row>
    <row r="1385" spans="1:8" x14ac:dyDescent="0.2">
      <c r="A1385">
        <v>1302790</v>
      </c>
      <c r="B1385" s="3">
        <v>2021</v>
      </c>
      <c r="C1385" t="s">
        <v>356</v>
      </c>
      <c r="D1385" t="s">
        <v>357</v>
      </c>
      <c r="E1385" t="s">
        <v>357</v>
      </c>
      <c r="F1385" s="4">
        <v>2380439</v>
      </c>
      <c r="G1385" s="4">
        <v>19888</v>
      </c>
      <c r="H1385">
        <f>IFERROR(VLOOKUP(E1385,'GASB Match'!$A$2:$B$240,2,FALSE),"")</f>
        <v>1302790</v>
      </c>
    </row>
    <row r="1386" spans="1:8" x14ac:dyDescent="0.2">
      <c r="A1386">
        <v>1302790</v>
      </c>
      <c r="B1386" s="3">
        <v>2022</v>
      </c>
      <c r="C1386" t="s">
        <v>356</v>
      </c>
      <c r="D1386" t="s">
        <v>357</v>
      </c>
      <c r="E1386" t="s">
        <v>357</v>
      </c>
      <c r="F1386" s="4">
        <v>2492145</v>
      </c>
      <c r="G1386" s="4">
        <v>21497</v>
      </c>
      <c r="H1386">
        <f>IFERROR(VLOOKUP(E1386,'GASB Match'!$A$2:$B$240,2,FALSE),"")</f>
        <v>1302790</v>
      </c>
    </row>
    <row r="1387" spans="1:8" x14ac:dyDescent="0.2">
      <c r="A1387">
        <v>1302790</v>
      </c>
      <c r="B1387" s="3">
        <v>2023</v>
      </c>
      <c r="C1387" t="s">
        <v>356</v>
      </c>
      <c r="D1387" t="s">
        <v>357</v>
      </c>
      <c r="E1387" t="s">
        <v>357</v>
      </c>
      <c r="F1387" s="4">
        <v>2693297</v>
      </c>
      <c r="G1387" s="4">
        <v>22444</v>
      </c>
      <c r="H1387">
        <f>IFERROR(VLOOKUP(E1387,'GASB Match'!$A$2:$B$240,2,FALSE),"")</f>
        <v>1302790</v>
      </c>
    </row>
    <row r="1388" spans="1:8" x14ac:dyDescent="0.2">
      <c r="A1388">
        <v>1302820</v>
      </c>
      <c r="B1388" s="3">
        <v>2015</v>
      </c>
      <c r="C1388" t="s">
        <v>358</v>
      </c>
      <c r="D1388" t="s">
        <v>359</v>
      </c>
      <c r="E1388" t="s">
        <v>359</v>
      </c>
      <c r="F1388" s="4">
        <v>24746555.91</v>
      </c>
      <c r="G1388" s="4">
        <v>202988.94</v>
      </c>
      <c r="H1388">
        <f>IFERROR(VLOOKUP(E1388,'GASB Match'!$A$2:$B$240,2,FALSE),"")</f>
        <v>1302820</v>
      </c>
    </row>
    <row r="1389" spans="1:8" x14ac:dyDescent="0.2">
      <c r="A1389">
        <v>1302820</v>
      </c>
      <c r="B1389" s="3">
        <v>2016</v>
      </c>
      <c r="C1389" t="s">
        <v>358</v>
      </c>
      <c r="D1389" t="s">
        <v>359</v>
      </c>
      <c r="E1389" t="s">
        <v>359</v>
      </c>
      <c r="F1389" s="4">
        <v>28558516.539999999</v>
      </c>
      <c r="G1389" s="4">
        <v>202042.68</v>
      </c>
      <c r="H1389">
        <f>IFERROR(VLOOKUP(E1389,'GASB Match'!$A$2:$B$240,2,FALSE),"")</f>
        <v>1302820</v>
      </c>
    </row>
    <row r="1390" spans="1:8" x14ac:dyDescent="0.2">
      <c r="A1390">
        <v>1302820</v>
      </c>
      <c r="B1390" s="3">
        <v>2017</v>
      </c>
      <c r="C1390" t="s">
        <v>358</v>
      </c>
      <c r="D1390" t="s">
        <v>359</v>
      </c>
      <c r="E1390" t="s">
        <v>359</v>
      </c>
      <c r="F1390" s="4">
        <v>30872669</v>
      </c>
      <c r="G1390" s="4">
        <v>148949</v>
      </c>
      <c r="H1390">
        <f>IFERROR(VLOOKUP(E1390,'GASB Match'!$A$2:$B$240,2,FALSE),"")</f>
        <v>1302820</v>
      </c>
    </row>
    <row r="1391" spans="1:8" x14ac:dyDescent="0.2">
      <c r="A1391">
        <v>1302820</v>
      </c>
      <c r="B1391" s="3">
        <v>2018</v>
      </c>
      <c r="C1391" t="s">
        <v>358</v>
      </c>
      <c r="D1391" t="s">
        <v>359</v>
      </c>
      <c r="E1391" t="s">
        <v>359</v>
      </c>
      <c r="F1391" s="4">
        <v>38396316</v>
      </c>
      <c r="G1391" s="4">
        <v>70954</v>
      </c>
      <c r="H1391">
        <f>IFERROR(VLOOKUP(E1391,'GASB Match'!$A$2:$B$240,2,FALSE),"")</f>
        <v>1302820</v>
      </c>
    </row>
    <row r="1392" spans="1:8" x14ac:dyDescent="0.2">
      <c r="A1392">
        <v>1302820</v>
      </c>
      <c r="B1392" s="3">
        <v>2019</v>
      </c>
      <c r="C1392" t="s">
        <v>358</v>
      </c>
      <c r="D1392" t="s">
        <v>359</v>
      </c>
      <c r="E1392" t="s">
        <v>359</v>
      </c>
      <c r="F1392" s="4">
        <v>47226226</v>
      </c>
      <c r="G1392" s="4">
        <v>86575</v>
      </c>
      <c r="H1392">
        <f>IFERROR(VLOOKUP(E1392,'GASB Match'!$A$2:$B$240,2,FALSE),"")</f>
        <v>1302820</v>
      </c>
    </row>
    <row r="1393" spans="1:8" x14ac:dyDescent="0.2">
      <c r="A1393">
        <v>1302820</v>
      </c>
      <c r="B1393" s="3">
        <v>2020</v>
      </c>
      <c r="C1393" t="s">
        <v>358</v>
      </c>
      <c r="D1393" t="s">
        <v>359</v>
      </c>
      <c r="E1393" t="s">
        <v>359</v>
      </c>
      <c r="F1393" s="4">
        <v>50147337</v>
      </c>
      <c r="G1393" s="4">
        <v>105581</v>
      </c>
      <c r="H1393">
        <f>IFERROR(VLOOKUP(E1393,'GASB Match'!$A$2:$B$240,2,FALSE),"")</f>
        <v>1302820</v>
      </c>
    </row>
    <row r="1394" spans="1:8" x14ac:dyDescent="0.2">
      <c r="A1394">
        <v>1302820</v>
      </c>
      <c r="B1394" s="3">
        <v>2021</v>
      </c>
      <c r="C1394" t="s">
        <v>358</v>
      </c>
      <c r="D1394" t="s">
        <v>359</v>
      </c>
      <c r="E1394" t="s">
        <v>359</v>
      </c>
      <c r="F1394" s="4">
        <v>46186149</v>
      </c>
      <c r="G1394" s="4">
        <v>84730</v>
      </c>
      <c r="H1394">
        <f>IFERROR(VLOOKUP(E1394,'GASB Match'!$A$2:$B$240,2,FALSE),"")</f>
        <v>1302820</v>
      </c>
    </row>
    <row r="1395" spans="1:8" x14ac:dyDescent="0.2">
      <c r="A1395">
        <v>1302820</v>
      </c>
      <c r="B1395" s="3">
        <v>2022</v>
      </c>
      <c r="C1395" t="s">
        <v>358</v>
      </c>
      <c r="D1395" t="s">
        <v>359</v>
      </c>
      <c r="E1395" t="s">
        <v>359</v>
      </c>
      <c r="F1395" s="4">
        <v>49503531</v>
      </c>
      <c r="G1395" s="4">
        <v>93911</v>
      </c>
      <c r="H1395">
        <f>IFERROR(VLOOKUP(E1395,'GASB Match'!$A$2:$B$240,2,FALSE),"")</f>
        <v>1302820</v>
      </c>
    </row>
    <row r="1396" spans="1:8" x14ac:dyDescent="0.2">
      <c r="A1396">
        <v>1302820</v>
      </c>
      <c r="B1396" s="3">
        <v>2023</v>
      </c>
      <c r="C1396" t="s">
        <v>358</v>
      </c>
      <c r="D1396" t="s">
        <v>359</v>
      </c>
      <c r="E1396" t="s">
        <v>359</v>
      </c>
      <c r="F1396" s="4">
        <v>52809470</v>
      </c>
      <c r="G1396" s="4">
        <v>89798</v>
      </c>
      <c r="H1396">
        <f>IFERROR(VLOOKUP(E1396,'GASB Match'!$A$2:$B$240,2,FALSE),"")</f>
        <v>1302820</v>
      </c>
    </row>
    <row r="1397" spans="1:8" x14ac:dyDescent="0.2">
      <c r="A1397" t="s">
        <v>7</v>
      </c>
      <c r="B1397" s="3">
        <v>2015</v>
      </c>
      <c r="C1397" t="s">
        <v>360</v>
      </c>
      <c r="D1397" t="s">
        <v>361</v>
      </c>
      <c r="E1397" t="s">
        <v>361</v>
      </c>
      <c r="F1397" s="4">
        <v>128775.92</v>
      </c>
      <c r="G1397" s="4" t="s">
        <v>7</v>
      </c>
      <c r="H1397" t="str">
        <f>IFERROR(VLOOKUP(E1397,'GASB Match'!$A$2:$B$240,2,FALSE),"")</f>
        <v/>
      </c>
    </row>
    <row r="1398" spans="1:8" x14ac:dyDescent="0.2">
      <c r="A1398" t="s">
        <v>7</v>
      </c>
      <c r="B1398" s="3">
        <v>2016</v>
      </c>
      <c r="C1398" t="s">
        <v>360</v>
      </c>
      <c r="D1398" t="s">
        <v>361</v>
      </c>
      <c r="E1398" t="s">
        <v>361</v>
      </c>
      <c r="F1398" s="4">
        <v>147196.35</v>
      </c>
      <c r="G1398" s="4" t="s">
        <v>7</v>
      </c>
      <c r="H1398" t="str">
        <f>IFERROR(VLOOKUP(E1398,'GASB Match'!$A$2:$B$240,2,FALSE),"")</f>
        <v/>
      </c>
    </row>
    <row r="1399" spans="1:8" x14ac:dyDescent="0.2">
      <c r="A1399" t="s">
        <v>7</v>
      </c>
      <c r="B1399" s="3">
        <v>2017</v>
      </c>
      <c r="C1399" t="s">
        <v>360</v>
      </c>
      <c r="D1399" t="s">
        <v>361</v>
      </c>
      <c r="E1399" t="s">
        <v>361</v>
      </c>
      <c r="F1399" s="4">
        <v>201213</v>
      </c>
      <c r="G1399" s="4" t="s">
        <v>7</v>
      </c>
      <c r="H1399" t="str">
        <f>IFERROR(VLOOKUP(E1399,'GASB Match'!$A$2:$B$240,2,FALSE),"")</f>
        <v/>
      </c>
    </row>
    <row r="1400" spans="1:8" x14ac:dyDescent="0.2">
      <c r="A1400" t="s">
        <v>7</v>
      </c>
      <c r="B1400" s="3">
        <v>2018</v>
      </c>
      <c r="C1400" t="s">
        <v>360</v>
      </c>
      <c r="D1400" t="s">
        <v>361</v>
      </c>
      <c r="E1400" t="s">
        <v>361</v>
      </c>
      <c r="F1400" s="4">
        <v>274373</v>
      </c>
      <c r="G1400" s="4" t="s">
        <v>7</v>
      </c>
      <c r="H1400" t="str">
        <f>IFERROR(VLOOKUP(E1400,'GASB Match'!$A$2:$B$240,2,FALSE),"")</f>
        <v/>
      </c>
    </row>
    <row r="1401" spans="1:8" x14ac:dyDescent="0.2">
      <c r="A1401" t="s">
        <v>7</v>
      </c>
      <c r="B1401" s="3">
        <v>2019</v>
      </c>
      <c r="C1401" t="s">
        <v>360</v>
      </c>
      <c r="D1401" t="s">
        <v>361</v>
      </c>
      <c r="E1401" t="s">
        <v>361</v>
      </c>
      <c r="F1401" s="4">
        <v>354856</v>
      </c>
      <c r="G1401" s="4" t="s">
        <v>7</v>
      </c>
      <c r="H1401" t="str">
        <f>IFERROR(VLOOKUP(E1401,'GASB Match'!$A$2:$B$240,2,FALSE),"")</f>
        <v/>
      </c>
    </row>
    <row r="1402" spans="1:8" x14ac:dyDescent="0.2">
      <c r="A1402" t="s">
        <v>7</v>
      </c>
      <c r="B1402" s="3">
        <v>2020</v>
      </c>
      <c r="C1402" t="s">
        <v>360</v>
      </c>
      <c r="D1402" t="s">
        <v>361</v>
      </c>
      <c r="E1402" t="s">
        <v>361</v>
      </c>
      <c r="F1402" s="4">
        <v>380501</v>
      </c>
      <c r="G1402" s="4" t="s">
        <v>7</v>
      </c>
      <c r="H1402" t="str">
        <f>IFERROR(VLOOKUP(E1402,'GASB Match'!$A$2:$B$240,2,FALSE),"")</f>
        <v/>
      </c>
    </row>
    <row r="1403" spans="1:8" x14ac:dyDescent="0.2">
      <c r="A1403" t="s">
        <v>7</v>
      </c>
      <c r="B1403" s="3">
        <v>2021</v>
      </c>
      <c r="C1403" t="s">
        <v>360</v>
      </c>
      <c r="D1403" t="s">
        <v>361</v>
      </c>
      <c r="E1403" t="s">
        <v>361</v>
      </c>
      <c r="F1403" s="4">
        <v>324555</v>
      </c>
      <c r="G1403" s="4" t="s">
        <v>7</v>
      </c>
      <c r="H1403" t="str">
        <f>IFERROR(VLOOKUP(E1403,'GASB Match'!$A$2:$B$240,2,FALSE),"")</f>
        <v/>
      </c>
    </row>
    <row r="1404" spans="1:8" x14ac:dyDescent="0.2">
      <c r="A1404" t="s">
        <v>7</v>
      </c>
      <c r="B1404" s="3">
        <v>2022</v>
      </c>
      <c r="C1404" t="s">
        <v>360</v>
      </c>
      <c r="D1404" t="s">
        <v>361</v>
      </c>
      <c r="E1404" t="s">
        <v>361</v>
      </c>
      <c r="F1404" s="4">
        <v>378142</v>
      </c>
      <c r="G1404" s="4" t="s">
        <v>7</v>
      </c>
      <c r="H1404" t="str">
        <f>IFERROR(VLOOKUP(E1404,'GASB Match'!$A$2:$B$240,2,FALSE),"")</f>
        <v/>
      </c>
    </row>
    <row r="1405" spans="1:8" x14ac:dyDescent="0.2">
      <c r="A1405" t="s">
        <v>7</v>
      </c>
      <c r="B1405" s="3">
        <v>2023</v>
      </c>
      <c r="C1405" t="s">
        <v>360</v>
      </c>
      <c r="D1405" t="s">
        <v>361</v>
      </c>
      <c r="E1405" t="s">
        <v>361</v>
      </c>
      <c r="F1405" s="4">
        <v>406087</v>
      </c>
      <c r="G1405" s="4" t="s">
        <v>7</v>
      </c>
      <c r="H1405" t="str">
        <f>IFERROR(VLOOKUP(E1405,'GASB Match'!$A$2:$B$240,2,FALSE),"")</f>
        <v/>
      </c>
    </row>
    <row r="1406" spans="1:8" x14ac:dyDescent="0.2">
      <c r="A1406">
        <v>1302880</v>
      </c>
      <c r="B1406" s="3">
        <v>2015</v>
      </c>
      <c r="C1406" t="s">
        <v>362</v>
      </c>
      <c r="D1406" t="s">
        <v>363</v>
      </c>
      <c r="E1406" t="s">
        <v>363</v>
      </c>
      <c r="F1406" s="4">
        <v>19683000.890000001</v>
      </c>
      <c r="G1406" s="4">
        <v>77714.740000000005</v>
      </c>
      <c r="H1406">
        <f>IFERROR(VLOOKUP(E1406,'GASB Match'!$A$2:$B$240,2,FALSE),"")</f>
        <v>1302880</v>
      </c>
    </row>
    <row r="1407" spans="1:8" x14ac:dyDescent="0.2">
      <c r="A1407">
        <v>1302880</v>
      </c>
      <c r="B1407" s="3">
        <v>2016</v>
      </c>
      <c r="C1407" t="s">
        <v>362</v>
      </c>
      <c r="D1407" t="s">
        <v>363</v>
      </c>
      <c r="E1407" t="s">
        <v>363</v>
      </c>
      <c r="F1407" s="4">
        <v>23140130.530000001</v>
      </c>
      <c r="G1407" s="4">
        <v>82728.94</v>
      </c>
      <c r="H1407">
        <f>IFERROR(VLOOKUP(E1407,'GASB Match'!$A$2:$B$240,2,FALSE),"")</f>
        <v>1302880</v>
      </c>
    </row>
    <row r="1408" spans="1:8" x14ac:dyDescent="0.2">
      <c r="A1408">
        <v>1302880</v>
      </c>
      <c r="B1408" s="3">
        <v>2017</v>
      </c>
      <c r="C1408" t="s">
        <v>362</v>
      </c>
      <c r="D1408" t="s">
        <v>363</v>
      </c>
      <c r="E1408" t="s">
        <v>363</v>
      </c>
      <c r="F1408" s="4">
        <v>22717212</v>
      </c>
      <c r="G1408" s="4">
        <v>77152</v>
      </c>
      <c r="H1408">
        <f>IFERROR(VLOOKUP(E1408,'GASB Match'!$A$2:$B$240,2,FALSE),"")</f>
        <v>1302880</v>
      </c>
    </row>
    <row r="1409" spans="1:8" x14ac:dyDescent="0.2">
      <c r="A1409">
        <v>1302880</v>
      </c>
      <c r="B1409" s="3">
        <v>2018</v>
      </c>
      <c r="C1409" t="s">
        <v>362</v>
      </c>
      <c r="D1409" t="s">
        <v>363</v>
      </c>
      <c r="E1409" t="s">
        <v>363</v>
      </c>
      <c r="F1409" s="4">
        <v>27257411</v>
      </c>
      <c r="G1409" s="4">
        <v>87323</v>
      </c>
      <c r="H1409">
        <f>IFERROR(VLOOKUP(E1409,'GASB Match'!$A$2:$B$240,2,FALSE),"")</f>
        <v>1302880</v>
      </c>
    </row>
    <row r="1410" spans="1:8" x14ac:dyDescent="0.2">
      <c r="A1410">
        <v>1302880</v>
      </c>
      <c r="B1410" s="3">
        <v>2019</v>
      </c>
      <c r="C1410" t="s">
        <v>362</v>
      </c>
      <c r="D1410" t="s">
        <v>363</v>
      </c>
      <c r="E1410" t="s">
        <v>363</v>
      </c>
      <c r="F1410" s="4">
        <v>34984310</v>
      </c>
      <c r="G1410" s="4">
        <v>109652</v>
      </c>
      <c r="H1410">
        <f>IFERROR(VLOOKUP(E1410,'GASB Match'!$A$2:$B$240,2,FALSE),"")</f>
        <v>1302880</v>
      </c>
    </row>
    <row r="1411" spans="1:8" x14ac:dyDescent="0.2">
      <c r="A1411">
        <v>1302880</v>
      </c>
      <c r="B1411" s="3">
        <v>2020</v>
      </c>
      <c r="C1411" t="s">
        <v>362</v>
      </c>
      <c r="D1411" t="s">
        <v>363</v>
      </c>
      <c r="E1411" t="s">
        <v>363</v>
      </c>
      <c r="F1411" s="4">
        <v>37725154</v>
      </c>
      <c r="G1411" s="4">
        <v>115079</v>
      </c>
      <c r="H1411">
        <f>IFERROR(VLOOKUP(E1411,'GASB Match'!$A$2:$B$240,2,FALSE),"")</f>
        <v>1302880</v>
      </c>
    </row>
    <row r="1412" spans="1:8" x14ac:dyDescent="0.2">
      <c r="A1412">
        <v>1302880</v>
      </c>
      <c r="B1412" s="3">
        <v>2021</v>
      </c>
      <c r="C1412" t="s">
        <v>362</v>
      </c>
      <c r="D1412" t="s">
        <v>363</v>
      </c>
      <c r="E1412" t="s">
        <v>363</v>
      </c>
      <c r="F1412" s="4">
        <v>35385383</v>
      </c>
      <c r="G1412" s="4">
        <v>106217</v>
      </c>
      <c r="H1412">
        <f>IFERROR(VLOOKUP(E1412,'GASB Match'!$A$2:$B$240,2,FALSE),"")</f>
        <v>1302880</v>
      </c>
    </row>
    <row r="1413" spans="1:8" x14ac:dyDescent="0.2">
      <c r="A1413">
        <v>1302880</v>
      </c>
      <c r="B1413" s="3">
        <v>2022</v>
      </c>
      <c r="C1413" t="s">
        <v>362</v>
      </c>
      <c r="D1413" t="s">
        <v>363</v>
      </c>
      <c r="E1413" t="s">
        <v>363</v>
      </c>
      <c r="F1413" s="4">
        <v>39025510</v>
      </c>
      <c r="G1413" s="4">
        <v>121793</v>
      </c>
      <c r="H1413">
        <f>IFERROR(VLOOKUP(E1413,'GASB Match'!$A$2:$B$240,2,FALSE),"")</f>
        <v>1302880</v>
      </c>
    </row>
    <row r="1414" spans="1:8" x14ac:dyDescent="0.2">
      <c r="A1414">
        <v>1302880</v>
      </c>
      <c r="B1414" s="3">
        <v>2023</v>
      </c>
      <c r="C1414" t="s">
        <v>362</v>
      </c>
      <c r="D1414" t="s">
        <v>363</v>
      </c>
      <c r="E1414" t="s">
        <v>363</v>
      </c>
      <c r="F1414" s="4">
        <v>41563179</v>
      </c>
      <c r="G1414" s="4">
        <v>123121</v>
      </c>
      <c r="H1414">
        <f>IFERROR(VLOOKUP(E1414,'GASB Match'!$A$2:$B$240,2,FALSE),"")</f>
        <v>1302880</v>
      </c>
    </row>
    <row r="1415" spans="1:8" x14ac:dyDescent="0.2">
      <c r="A1415" t="s">
        <v>7</v>
      </c>
      <c r="B1415" s="3">
        <v>2015</v>
      </c>
      <c r="C1415" t="s">
        <v>364</v>
      </c>
      <c r="D1415" t="s">
        <v>365</v>
      </c>
      <c r="E1415" t="s">
        <v>365</v>
      </c>
      <c r="F1415" s="4">
        <v>67265.3</v>
      </c>
      <c r="G1415" s="4" t="s">
        <v>7</v>
      </c>
      <c r="H1415" t="str">
        <f>IFERROR(VLOOKUP(E1415,'GASB Match'!$A$2:$B$240,2,FALSE),"")</f>
        <v/>
      </c>
    </row>
    <row r="1416" spans="1:8" x14ac:dyDescent="0.2">
      <c r="A1416" t="s">
        <v>7</v>
      </c>
      <c r="B1416" s="3">
        <v>2016</v>
      </c>
      <c r="C1416" t="s">
        <v>364</v>
      </c>
      <c r="D1416" t="s">
        <v>365</v>
      </c>
      <c r="E1416" t="s">
        <v>365</v>
      </c>
      <c r="F1416" s="4">
        <v>73376.63</v>
      </c>
      <c r="G1416" s="4" t="s">
        <v>7</v>
      </c>
      <c r="H1416" t="str">
        <f>IFERROR(VLOOKUP(E1416,'GASB Match'!$A$2:$B$240,2,FALSE),"")</f>
        <v/>
      </c>
    </row>
    <row r="1417" spans="1:8" x14ac:dyDescent="0.2">
      <c r="A1417" t="s">
        <v>7</v>
      </c>
      <c r="B1417" s="3">
        <v>2017</v>
      </c>
      <c r="C1417" t="s">
        <v>364</v>
      </c>
      <c r="D1417" t="s">
        <v>365</v>
      </c>
      <c r="E1417" t="s">
        <v>365</v>
      </c>
      <c r="F1417" s="4">
        <v>73528</v>
      </c>
      <c r="G1417" s="4" t="s">
        <v>7</v>
      </c>
      <c r="H1417" t="str">
        <f>IFERROR(VLOOKUP(E1417,'GASB Match'!$A$2:$B$240,2,FALSE),"")</f>
        <v/>
      </c>
    </row>
    <row r="1418" spans="1:8" x14ac:dyDescent="0.2">
      <c r="A1418" t="s">
        <v>7</v>
      </c>
      <c r="B1418" s="3">
        <v>2018</v>
      </c>
      <c r="C1418" t="s">
        <v>364</v>
      </c>
      <c r="D1418" t="s">
        <v>365</v>
      </c>
      <c r="E1418" t="s">
        <v>365</v>
      </c>
      <c r="F1418" s="4">
        <v>87930</v>
      </c>
      <c r="G1418" s="4" t="s">
        <v>7</v>
      </c>
      <c r="H1418" t="str">
        <f>IFERROR(VLOOKUP(E1418,'GASB Match'!$A$2:$B$240,2,FALSE),"")</f>
        <v/>
      </c>
    </row>
    <row r="1419" spans="1:8" x14ac:dyDescent="0.2">
      <c r="A1419" t="s">
        <v>7</v>
      </c>
      <c r="B1419" s="3">
        <v>2019</v>
      </c>
      <c r="C1419" t="s">
        <v>364</v>
      </c>
      <c r="D1419" t="s">
        <v>365</v>
      </c>
      <c r="E1419" t="s">
        <v>365</v>
      </c>
      <c r="F1419" s="4">
        <v>108676</v>
      </c>
      <c r="G1419" s="4" t="s">
        <v>7</v>
      </c>
      <c r="H1419" t="str">
        <f>IFERROR(VLOOKUP(E1419,'GASB Match'!$A$2:$B$240,2,FALSE),"")</f>
        <v/>
      </c>
    </row>
    <row r="1420" spans="1:8" x14ac:dyDescent="0.2">
      <c r="A1420" t="s">
        <v>7</v>
      </c>
      <c r="B1420" s="3">
        <v>2020</v>
      </c>
      <c r="C1420" t="s">
        <v>364</v>
      </c>
      <c r="D1420" t="s">
        <v>365</v>
      </c>
      <c r="E1420" t="s">
        <v>365</v>
      </c>
      <c r="F1420" s="4">
        <v>111695</v>
      </c>
      <c r="G1420" s="4" t="s">
        <v>7</v>
      </c>
      <c r="H1420" t="str">
        <f>IFERROR(VLOOKUP(E1420,'GASB Match'!$A$2:$B$240,2,FALSE),"")</f>
        <v/>
      </c>
    </row>
    <row r="1421" spans="1:8" x14ac:dyDescent="0.2">
      <c r="A1421" t="s">
        <v>7</v>
      </c>
      <c r="B1421" s="3">
        <v>2021</v>
      </c>
      <c r="C1421" t="s">
        <v>364</v>
      </c>
      <c r="D1421" t="s">
        <v>365</v>
      </c>
      <c r="E1421" t="s">
        <v>365</v>
      </c>
      <c r="F1421" s="4">
        <v>102744</v>
      </c>
      <c r="G1421" s="4" t="s">
        <v>7</v>
      </c>
      <c r="H1421" t="str">
        <f>IFERROR(VLOOKUP(E1421,'GASB Match'!$A$2:$B$240,2,FALSE),"")</f>
        <v/>
      </c>
    </row>
    <row r="1422" spans="1:8" x14ac:dyDescent="0.2">
      <c r="A1422" t="s">
        <v>7</v>
      </c>
      <c r="B1422" s="3">
        <v>2022</v>
      </c>
      <c r="C1422" t="s">
        <v>364</v>
      </c>
      <c r="D1422" t="s">
        <v>365</v>
      </c>
      <c r="E1422" t="s">
        <v>365</v>
      </c>
      <c r="F1422" s="4">
        <v>111812</v>
      </c>
      <c r="G1422" s="4" t="s">
        <v>7</v>
      </c>
      <c r="H1422" t="str">
        <f>IFERROR(VLOOKUP(E1422,'GASB Match'!$A$2:$B$240,2,FALSE),"")</f>
        <v/>
      </c>
    </row>
    <row r="1423" spans="1:8" x14ac:dyDescent="0.2">
      <c r="A1423" t="s">
        <v>7</v>
      </c>
      <c r="B1423" s="3">
        <v>2023</v>
      </c>
      <c r="C1423" t="s">
        <v>364</v>
      </c>
      <c r="D1423" t="s">
        <v>365</v>
      </c>
      <c r="E1423" t="s">
        <v>365</v>
      </c>
      <c r="F1423" s="4">
        <v>121736</v>
      </c>
      <c r="G1423" s="4" t="s">
        <v>7</v>
      </c>
      <c r="H1423" t="str">
        <f>IFERROR(VLOOKUP(E1423,'GASB Match'!$A$2:$B$240,2,FALSE),"")</f>
        <v/>
      </c>
    </row>
    <row r="1424" spans="1:8" x14ac:dyDescent="0.2">
      <c r="A1424">
        <v>1302910</v>
      </c>
      <c r="B1424" s="3">
        <v>2015</v>
      </c>
      <c r="C1424" t="s">
        <v>366</v>
      </c>
      <c r="D1424" t="s">
        <v>367</v>
      </c>
      <c r="E1424" t="s">
        <v>367</v>
      </c>
      <c r="F1424" s="4">
        <v>1209835.74</v>
      </c>
      <c r="G1424" s="4" t="s">
        <v>7</v>
      </c>
      <c r="H1424">
        <f>IFERROR(VLOOKUP(E1424,'GASB Match'!$A$2:$B$240,2,FALSE),"")</f>
        <v>1302910</v>
      </c>
    </row>
    <row r="1425" spans="1:8" x14ac:dyDescent="0.2">
      <c r="A1425">
        <v>1302910</v>
      </c>
      <c r="B1425" s="3">
        <v>2016</v>
      </c>
      <c r="C1425" t="s">
        <v>366</v>
      </c>
      <c r="D1425" t="s">
        <v>367</v>
      </c>
      <c r="E1425" t="s">
        <v>367</v>
      </c>
      <c r="F1425" s="4">
        <v>1391507.33</v>
      </c>
      <c r="G1425" s="4" t="s">
        <v>7</v>
      </c>
      <c r="H1425">
        <f>IFERROR(VLOOKUP(E1425,'GASB Match'!$A$2:$B$240,2,FALSE),"")</f>
        <v>1302910</v>
      </c>
    </row>
    <row r="1426" spans="1:8" x14ac:dyDescent="0.2">
      <c r="A1426">
        <v>1302910</v>
      </c>
      <c r="B1426" s="3">
        <v>2017</v>
      </c>
      <c r="C1426" t="s">
        <v>366</v>
      </c>
      <c r="D1426" t="s">
        <v>367</v>
      </c>
      <c r="E1426" t="s">
        <v>367</v>
      </c>
      <c r="F1426" s="4">
        <v>1480590</v>
      </c>
      <c r="G1426" s="4" t="s">
        <v>7</v>
      </c>
      <c r="H1426">
        <f>IFERROR(VLOOKUP(E1426,'GASB Match'!$A$2:$B$240,2,FALSE),"")</f>
        <v>1302910</v>
      </c>
    </row>
    <row r="1427" spans="1:8" x14ac:dyDescent="0.2">
      <c r="A1427">
        <v>1302910</v>
      </c>
      <c r="B1427" s="3">
        <v>2018</v>
      </c>
      <c r="C1427" t="s">
        <v>366</v>
      </c>
      <c r="D1427" t="s">
        <v>367</v>
      </c>
      <c r="E1427" t="s">
        <v>367</v>
      </c>
      <c r="F1427" s="4">
        <v>1822435</v>
      </c>
      <c r="G1427" s="4">
        <v>21669</v>
      </c>
      <c r="H1427">
        <f>IFERROR(VLOOKUP(E1427,'GASB Match'!$A$2:$B$240,2,FALSE),"")</f>
        <v>1302910</v>
      </c>
    </row>
    <row r="1428" spans="1:8" x14ac:dyDescent="0.2">
      <c r="A1428">
        <v>1302910</v>
      </c>
      <c r="B1428" s="3">
        <v>2019</v>
      </c>
      <c r="C1428" t="s">
        <v>366</v>
      </c>
      <c r="D1428" t="s">
        <v>367</v>
      </c>
      <c r="E1428" t="s">
        <v>367</v>
      </c>
      <c r="F1428" s="4">
        <v>2288061</v>
      </c>
      <c r="G1428" s="4">
        <v>32093</v>
      </c>
      <c r="H1428">
        <f>IFERROR(VLOOKUP(E1428,'GASB Match'!$A$2:$B$240,2,FALSE),"")</f>
        <v>1302910</v>
      </c>
    </row>
    <row r="1429" spans="1:8" x14ac:dyDescent="0.2">
      <c r="A1429">
        <v>1302910</v>
      </c>
      <c r="B1429" s="3">
        <v>2020</v>
      </c>
      <c r="C1429" t="s">
        <v>366</v>
      </c>
      <c r="D1429" t="s">
        <v>367</v>
      </c>
      <c r="E1429" t="s">
        <v>367</v>
      </c>
      <c r="F1429" s="4">
        <v>2389005</v>
      </c>
      <c r="G1429" s="4">
        <v>34048</v>
      </c>
      <c r="H1429">
        <f>IFERROR(VLOOKUP(E1429,'GASB Match'!$A$2:$B$240,2,FALSE),"")</f>
        <v>1302910</v>
      </c>
    </row>
    <row r="1430" spans="1:8" x14ac:dyDescent="0.2">
      <c r="A1430">
        <v>1302910</v>
      </c>
      <c r="B1430" s="3">
        <v>2021</v>
      </c>
      <c r="C1430" t="s">
        <v>366</v>
      </c>
      <c r="D1430" t="s">
        <v>367</v>
      </c>
      <c r="E1430" t="s">
        <v>367</v>
      </c>
      <c r="F1430" s="4">
        <v>2109469</v>
      </c>
      <c r="G1430" s="4">
        <v>30387</v>
      </c>
      <c r="H1430">
        <f>IFERROR(VLOOKUP(E1430,'GASB Match'!$A$2:$B$240,2,FALSE),"")</f>
        <v>1302910</v>
      </c>
    </row>
    <row r="1431" spans="1:8" x14ac:dyDescent="0.2">
      <c r="A1431">
        <v>1302910</v>
      </c>
      <c r="B1431" s="3">
        <v>2022</v>
      </c>
      <c r="C1431" t="s">
        <v>366</v>
      </c>
      <c r="D1431" t="s">
        <v>367</v>
      </c>
      <c r="E1431" t="s">
        <v>367</v>
      </c>
      <c r="F1431" s="4">
        <v>2308137</v>
      </c>
      <c r="G1431" s="4">
        <v>33375</v>
      </c>
      <c r="H1431">
        <f>IFERROR(VLOOKUP(E1431,'GASB Match'!$A$2:$B$240,2,FALSE),"")</f>
        <v>1302910</v>
      </c>
    </row>
    <row r="1432" spans="1:8" x14ac:dyDescent="0.2">
      <c r="A1432">
        <v>1302910</v>
      </c>
      <c r="B1432" s="3">
        <v>2023</v>
      </c>
      <c r="C1432" t="s">
        <v>366</v>
      </c>
      <c r="D1432" t="s">
        <v>367</v>
      </c>
      <c r="E1432" t="s">
        <v>367</v>
      </c>
      <c r="F1432" s="4">
        <v>2413839</v>
      </c>
      <c r="G1432" s="4">
        <v>31947</v>
      </c>
      <c r="H1432">
        <f>IFERROR(VLOOKUP(E1432,'GASB Match'!$A$2:$B$240,2,FALSE),"")</f>
        <v>1302910</v>
      </c>
    </row>
    <row r="1433" spans="1:8" x14ac:dyDescent="0.2">
      <c r="A1433">
        <v>1302940</v>
      </c>
      <c r="B1433" s="3">
        <v>2015</v>
      </c>
      <c r="C1433" t="s">
        <v>368</v>
      </c>
      <c r="D1433" t="s">
        <v>369</v>
      </c>
      <c r="E1433" t="s">
        <v>369</v>
      </c>
      <c r="F1433" s="4">
        <v>4619773.3</v>
      </c>
      <c r="G1433" s="4">
        <v>12304.62</v>
      </c>
      <c r="H1433">
        <f>IFERROR(VLOOKUP(E1433,'GASB Match'!$A$2:$B$240,2,FALSE),"")</f>
        <v>1302940</v>
      </c>
    </row>
    <row r="1434" spans="1:8" x14ac:dyDescent="0.2">
      <c r="A1434">
        <v>1302940</v>
      </c>
      <c r="B1434" s="3">
        <v>2016</v>
      </c>
      <c r="C1434" t="s">
        <v>368</v>
      </c>
      <c r="D1434" t="s">
        <v>369</v>
      </c>
      <c r="E1434" t="s">
        <v>369</v>
      </c>
      <c r="F1434" s="4">
        <v>5229280.2</v>
      </c>
      <c r="G1434" s="4">
        <v>12180.68</v>
      </c>
      <c r="H1434">
        <f>IFERROR(VLOOKUP(E1434,'GASB Match'!$A$2:$B$240,2,FALSE),"")</f>
        <v>1302940</v>
      </c>
    </row>
    <row r="1435" spans="1:8" x14ac:dyDescent="0.2">
      <c r="A1435">
        <v>1302940</v>
      </c>
      <c r="B1435" s="3">
        <v>2017</v>
      </c>
      <c r="C1435" t="s">
        <v>368</v>
      </c>
      <c r="D1435" t="s">
        <v>369</v>
      </c>
      <c r="E1435" t="s">
        <v>369</v>
      </c>
      <c r="F1435" s="4">
        <v>5464956</v>
      </c>
      <c r="G1435" s="4">
        <v>3867</v>
      </c>
      <c r="H1435">
        <f>IFERROR(VLOOKUP(E1435,'GASB Match'!$A$2:$B$240,2,FALSE),"")</f>
        <v>1302940</v>
      </c>
    </row>
    <row r="1436" spans="1:8" x14ac:dyDescent="0.2">
      <c r="A1436">
        <v>1302940</v>
      </c>
      <c r="B1436" s="3">
        <v>2018</v>
      </c>
      <c r="C1436" t="s">
        <v>368</v>
      </c>
      <c r="D1436" t="s">
        <v>369</v>
      </c>
      <c r="E1436" t="s">
        <v>369</v>
      </c>
      <c r="F1436" s="4">
        <v>6774301</v>
      </c>
      <c r="G1436" s="4">
        <v>359</v>
      </c>
      <c r="H1436">
        <f>IFERROR(VLOOKUP(E1436,'GASB Match'!$A$2:$B$240,2,FALSE),"")</f>
        <v>1302940</v>
      </c>
    </row>
    <row r="1437" spans="1:8" x14ac:dyDescent="0.2">
      <c r="A1437">
        <v>1302940</v>
      </c>
      <c r="B1437" s="3">
        <v>2019</v>
      </c>
      <c r="C1437" t="s">
        <v>368</v>
      </c>
      <c r="D1437" t="s">
        <v>369</v>
      </c>
      <c r="E1437" t="s">
        <v>369</v>
      </c>
      <c r="F1437" s="4">
        <v>8898224</v>
      </c>
      <c r="G1437" s="4" t="s">
        <v>7</v>
      </c>
      <c r="H1437">
        <f>IFERROR(VLOOKUP(E1437,'GASB Match'!$A$2:$B$240,2,FALSE),"")</f>
        <v>1302940</v>
      </c>
    </row>
    <row r="1438" spans="1:8" x14ac:dyDescent="0.2">
      <c r="A1438">
        <v>1302940</v>
      </c>
      <c r="B1438" s="3">
        <v>2020</v>
      </c>
      <c r="C1438" t="s">
        <v>368</v>
      </c>
      <c r="D1438" t="s">
        <v>369</v>
      </c>
      <c r="E1438" t="s">
        <v>369</v>
      </c>
      <c r="F1438" s="4">
        <v>10562385</v>
      </c>
      <c r="G1438" s="4" t="s">
        <v>7</v>
      </c>
      <c r="H1438">
        <f>IFERROR(VLOOKUP(E1438,'GASB Match'!$A$2:$B$240,2,FALSE),"")</f>
        <v>1302940</v>
      </c>
    </row>
    <row r="1439" spans="1:8" x14ac:dyDescent="0.2">
      <c r="A1439">
        <v>1302940</v>
      </c>
      <c r="B1439" s="3">
        <v>2021</v>
      </c>
      <c r="C1439" t="s">
        <v>368</v>
      </c>
      <c r="D1439" t="s">
        <v>369</v>
      </c>
      <c r="E1439" t="s">
        <v>369</v>
      </c>
      <c r="F1439" s="4">
        <v>9454840</v>
      </c>
      <c r="G1439" s="4" t="s">
        <v>7</v>
      </c>
      <c r="H1439">
        <f>IFERROR(VLOOKUP(E1439,'GASB Match'!$A$2:$B$240,2,FALSE),"")</f>
        <v>1302940</v>
      </c>
    </row>
    <row r="1440" spans="1:8" x14ac:dyDescent="0.2">
      <c r="A1440">
        <v>1302940</v>
      </c>
      <c r="B1440" s="3">
        <v>2022</v>
      </c>
      <c r="C1440" t="s">
        <v>368</v>
      </c>
      <c r="D1440" t="s">
        <v>369</v>
      </c>
      <c r="E1440" t="s">
        <v>369</v>
      </c>
      <c r="F1440" s="4">
        <v>11024415</v>
      </c>
      <c r="G1440" s="4" t="s">
        <v>7</v>
      </c>
      <c r="H1440">
        <f>IFERROR(VLOOKUP(E1440,'GASB Match'!$A$2:$B$240,2,FALSE),"")</f>
        <v>1302940</v>
      </c>
    </row>
    <row r="1441" spans="1:8" x14ac:dyDescent="0.2">
      <c r="A1441">
        <v>1302940</v>
      </c>
      <c r="B1441" s="3">
        <v>2023</v>
      </c>
      <c r="C1441" t="s">
        <v>368</v>
      </c>
      <c r="D1441" t="s">
        <v>369</v>
      </c>
      <c r="E1441" t="s">
        <v>369</v>
      </c>
      <c r="F1441" s="4">
        <v>12584693</v>
      </c>
      <c r="G1441" s="4" t="s">
        <v>7</v>
      </c>
      <c r="H1441">
        <f>IFERROR(VLOOKUP(E1441,'GASB Match'!$A$2:$B$240,2,FALSE),"")</f>
        <v>1302940</v>
      </c>
    </row>
    <row r="1442" spans="1:8" x14ac:dyDescent="0.2">
      <c r="A1442">
        <v>1302970</v>
      </c>
      <c r="B1442" s="3">
        <v>2015</v>
      </c>
      <c r="C1442" t="s">
        <v>370</v>
      </c>
      <c r="D1442" t="s">
        <v>371</v>
      </c>
      <c r="E1442" t="s">
        <v>371</v>
      </c>
      <c r="F1442" s="4">
        <v>1302631.69</v>
      </c>
      <c r="G1442" s="4">
        <v>19032.8</v>
      </c>
      <c r="H1442">
        <f>IFERROR(VLOOKUP(E1442,'GASB Match'!$A$2:$B$240,2,FALSE),"")</f>
        <v>1302970</v>
      </c>
    </row>
    <row r="1443" spans="1:8" x14ac:dyDescent="0.2">
      <c r="A1443">
        <v>1302970</v>
      </c>
      <c r="B1443" s="3">
        <v>2016</v>
      </c>
      <c r="C1443" t="s">
        <v>370</v>
      </c>
      <c r="D1443" t="s">
        <v>371</v>
      </c>
      <c r="E1443" t="s">
        <v>371</v>
      </c>
      <c r="F1443" s="4">
        <v>1557959.78</v>
      </c>
      <c r="G1443" s="4">
        <v>21546.62</v>
      </c>
      <c r="H1443">
        <f>IFERROR(VLOOKUP(E1443,'GASB Match'!$A$2:$B$240,2,FALSE),"")</f>
        <v>1302970</v>
      </c>
    </row>
    <row r="1444" spans="1:8" x14ac:dyDescent="0.2">
      <c r="A1444">
        <v>1302970</v>
      </c>
      <c r="B1444" s="3">
        <v>2017</v>
      </c>
      <c r="C1444" t="s">
        <v>370</v>
      </c>
      <c r="D1444" t="s">
        <v>371</v>
      </c>
      <c r="E1444" t="s">
        <v>371</v>
      </c>
      <c r="F1444" s="4">
        <v>1632598</v>
      </c>
      <c r="G1444" s="4">
        <v>23956</v>
      </c>
      <c r="H1444">
        <f>IFERROR(VLOOKUP(E1444,'GASB Match'!$A$2:$B$240,2,FALSE),"")</f>
        <v>1302970</v>
      </c>
    </row>
    <row r="1445" spans="1:8" x14ac:dyDescent="0.2">
      <c r="A1445">
        <v>1302970</v>
      </c>
      <c r="B1445" s="3">
        <v>2018</v>
      </c>
      <c r="C1445" t="s">
        <v>370</v>
      </c>
      <c r="D1445" t="s">
        <v>371</v>
      </c>
      <c r="E1445" t="s">
        <v>371</v>
      </c>
      <c r="F1445" s="4">
        <v>2036070</v>
      </c>
      <c r="G1445" s="4">
        <v>34385</v>
      </c>
      <c r="H1445">
        <f>IFERROR(VLOOKUP(E1445,'GASB Match'!$A$2:$B$240,2,FALSE),"")</f>
        <v>1302970</v>
      </c>
    </row>
    <row r="1446" spans="1:8" x14ac:dyDescent="0.2">
      <c r="A1446">
        <v>1302970</v>
      </c>
      <c r="B1446" s="3">
        <v>2019</v>
      </c>
      <c r="C1446" t="s">
        <v>370</v>
      </c>
      <c r="D1446" t="s">
        <v>371</v>
      </c>
      <c r="E1446" t="s">
        <v>371</v>
      </c>
      <c r="F1446" s="4">
        <v>2573472</v>
      </c>
      <c r="G1446" s="4">
        <v>40365</v>
      </c>
      <c r="H1446">
        <f>IFERROR(VLOOKUP(E1446,'GASB Match'!$A$2:$B$240,2,FALSE),"")</f>
        <v>1302970</v>
      </c>
    </row>
    <row r="1447" spans="1:8" x14ac:dyDescent="0.2">
      <c r="A1447">
        <v>1302970</v>
      </c>
      <c r="B1447" s="3">
        <v>2020</v>
      </c>
      <c r="C1447" t="s">
        <v>370</v>
      </c>
      <c r="D1447" t="s">
        <v>371</v>
      </c>
      <c r="E1447" t="s">
        <v>371</v>
      </c>
      <c r="F1447" s="4">
        <v>2708214</v>
      </c>
      <c r="G1447" s="4">
        <v>46354</v>
      </c>
      <c r="H1447">
        <f>IFERROR(VLOOKUP(E1447,'GASB Match'!$A$2:$B$240,2,FALSE),"")</f>
        <v>1302970</v>
      </c>
    </row>
    <row r="1448" spans="1:8" x14ac:dyDescent="0.2">
      <c r="A1448">
        <v>1302970</v>
      </c>
      <c r="B1448" s="3">
        <v>2021</v>
      </c>
      <c r="C1448" t="s">
        <v>370</v>
      </c>
      <c r="D1448" t="s">
        <v>371</v>
      </c>
      <c r="E1448" t="s">
        <v>371</v>
      </c>
      <c r="F1448" s="4">
        <v>2566327</v>
      </c>
      <c r="G1448" s="4">
        <v>39530</v>
      </c>
      <c r="H1448">
        <f>IFERROR(VLOOKUP(E1448,'GASB Match'!$A$2:$B$240,2,FALSE),"")</f>
        <v>1302970</v>
      </c>
    </row>
    <row r="1449" spans="1:8" x14ac:dyDescent="0.2">
      <c r="A1449">
        <v>1302970</v>
      </c>
      <c r="B1449" s="3">
        <v>2022</v>
      </c>
      <c r="C1449" t="s">
        <v>370</v>
      </c>
      <c r="D1449" t="s">
        <v>371</v>
      </c>
      <c r="E1449" t="s">
        <v>371</v>
      </c>
      <c r="F1449" s="4">
        <v>2753661</v>
      </c>
      <c r="G1449" s="4">
        <v>45495</v>
      </c>
      <c r="H1449">
        <f>IFERROR(VLOOKUP(E1449,'GASB Match'!$A$2:$B$240,2,FALSE),"")</f>
        <v>1302970</v>
      </c>
    </row>
    <row r="1450" spans="1:8" x14ac:dyDescent="0.2">
      <c r="A1450">
        <v>1302970</v>
      </c>
      <c r="B1450" s="3">
        <v>2023</v>
      </c>
      <c r="C1450" t="s">
        <v>370</v>
      </c>
      <c r="D1450" t="s">
        <v>371</v>
      </c>
      <c r="E1450" t="s">
        <v>371</v>
      </c>
      <c r="F1450" s="4">
        <v>3159868</v>
      </c>
      <c r="G1450" s="4">
        <v>46949</v>
      </c>
      <c r="H1450">
        <f>IFERROR(VLOOKUP(E1450,'GASB Match'!$A$2:$B$240,2,FALSE),"")</f>
        <v>1302970</v>
      </c>
    </row>
    <row r="1451" spans="1:8" x14ac:dyDescent="0.2">
      <c r="A1451">
        <v>1303000</v>
      </c>
      <c r="B1451" s="3">
        <v>2015</v>
      </c>
      <c r="C1451" t="s">
        <v>372</v>
      </c>
      <c r="D1451" t="s">
        <v>373</v>
      </c>
      <c r="E1451" t="s">
        <v>373</v>
      </c>
      <c r="F1451" s="4">
        <v>1858198.55</v>
      </c>
      <c r="G1451" s="4">
        <v>13107.72</v>
      </c>
      <c r="H1451">
        <f>IFERROR(VLOOKUP(E1451,'GASB Match'!$A$2:$B$240,2,FALSE),"")</f>
        <v>1303000</v>
      </c>
    </row>
    <row r="1452" spans="1:8" x14ac:dyDescent="0.2">
      <c r="A1452">
        <v>1303000</v>
      </c>
      <c r="B1452" s="3">
        <v>2016</v>
      </c>
      <c r="C1452" t="s">
        <v>372</v>
      </c>
      <c r="D1452" t="s">
        <v>373</v>
      </c>
      <c r="E1452" t="s">
        <v>373</v>
      </c>
      <c r="F1452" s="4">
        <v>2048772.02</v>
      </c>
      <c r="G1452" s="4">
        <v>14829.7</v>
      </c>
      <c r="H1452">
        <f>IFERROR(VLOOKUP(E1452,'GASB Match'!$A$2:$B$240,2,FALSE),"")</f>
        <v>1303000</v>
      </c>
    </row>
    <row r="1453" spans="1:8" x14ac:dyDescent="0.2">
      <c r="A1453">
        <v>1303000</v>
      </c>
      <c r="B1453" s="3">
        <v>2017</v>
      </c>
      <c r="C1453" t="s">
        <v>372</v>
      </c>
      <c r="D1453" t="s">
        <v>373</v>
      </c>
      <c r="E1453" t="s">
        <v>373</v>
      </c>
      <c r="F1453" s="4">
        <v>2109168</v>
      </c>
      <c r="G1453" s="4">
        <v>8747</v>
      </c>
      <c r="H1453">
        <f>IFERROR(VLOOKUP(E1453,'GASB Match'!$A$2:$B$240,2,FALSE),"")</f>
        <v>1303000</v>
      </c>
    </row>
    <row r="1454" spans="1:8" x14ac:dyDescent="0.2">
      <c r="A1454">
        <v>1303000</v>
      </c>
      <c r="B1454" s="3">
        <v>2018</v>
      </c>
      <c r="C1454" t="s">
        <v>372</v>
      </c>
      <c r="D1454" t="s">
        <v>373</v>
      </c>
      <c r="E1454" t="s">
        <v>373</v>
      </c>
      <c r="F1454" s="4">
        <v>2597761</v>
      </c>
      <c r="G1454" s="4">
        <v>13271</v>
      </c>
      <c r="H1454">
        <f>IFERROR(VLOOKUP(E1454,'GASB Match'!$A$2:$B$240,2,FALSE),"")</f>
        <v>1303000</v>
      </c>
    </row>
    <row r="1455" spans="1:8" x14ac:dyDescent="0.2">
      <c r="A1455">
        <v>1303000</v>
      </c>
      <c r="B1455" s="3">
        <v>2019</v>
      </c>
      <c r="C1455" t="s">
        <v>372</v>
      </c>
      <c r="D1455" t="s">
        <v>373</v>
      </c>
      <c r="E1455" t="s">
        <v>373</v>
      </c>
      <c r="F1455" s="4">
        <v>3250675</v>
      </c>
      <c r="G1455" s="4">
        <v>13636</v>
      </c>
      <c r="H1455">
        <f>IFERROR(VLOOKUP(E1455,'GASB Match'!$A$2:$B$240,2,FALSE),"")</f>
        <v>1303000</v>
      </c>
    </row>
    <row r="1456" spans="1:8" x14ac:dyDescent="0.2">
      <c r="A1456">
        <v>1303000</v>
      </c>
      <c r="B1456" s="3">
        <v>2020</v>
      </c>
      <c r="C1456" t="s">
        <v>372</v>
      </c>
      <c r="D1456" t="s">
        <v>373</v>
      </c>
      <c r="E1456" t="s">
        <v>373</v>
      </c>
      <c r="F1456" s="4">
        <v>3411797</v>
      </c>
      <c r="G1456" s="4">
        <v>11648</v>
      </c>
      <c r="H1456">
        <f>IFERROR(VLOOKUP(E1456,'GASB Match'!$A$2:$B$240,2,FALSE),"")</f>
        <v>1303000</v>
      </c>
    </row>
    <row r="1457" spans="1:8" x14ac:dyDescent="0.2">
      <c r="A1457">
        <v>1303000</v>
      </c>
      <c r="B1457" s="3">
        <v>2021</v>
      </c>
      <c r="C1457" t="s">
        <v>372</v>
      </c>
      <c r="D1457" t="s">
        <v>373</v>
      </c>
      <c r="E1457" t="s">
        <v>373</v>
      </c>
      <c r="F1457" s="4">
        <v>3109648</v>
      </c>
      <c r="G1457" s="4">
        <v>724</v>
      </c>
      <c r="H1457">
        <f>IFERROR(VLOOKUP(E1457,'GASB Match'!$A$2:$B$240,2,FALSE),"")</f>
        <v>1303000</v>
      </c>
    </row>
    <row r="1458" spans="1:8" x14ac:dyDescent="0.2">
      <c r="A1458">
        <v>1303000</v>
      </c>
      <c r="B1458" s="3">
        <v>2022</v>
      </c>
      <c r="C1458" t="s">
        <v>372</v>
      </c>
      <c r="D1458" t="s">
        <v>373</v>
      </c>
      <c r="E1458" t="s">
        <v>373</v>
      </c>
      <c r="F1458" s="4">
        <v>3325328</v>
      </c>
      <c r="G1458" s="4" t="s">
        <v>7</v>
      </c>
      <c r="H1458">
        <f>IFERROR(VLOOKUP(E1458,'GASB Match'!$A$2:$B$240,2,FALSE),"")</f>
        <v>1303000</v>
      </c>
    </row>
    <row r="1459" spans="1:8" x14ac:dyDescent="0.2">
      <c r="A1459">
        <v>1303000</v>
      </c>
      <c r="B1459" s="3">
        <v>2023</v>
      </c>
      <c r="C1459" t="s">
        <v>372</v>
      </c>
      <c r="D1459" t="s">
        <v>373</v>
      </c>
      <c r="E1459" t="s">
        <v>373</v>
      </c>
      <c r="F1459" s="4">
        <v>3533814</v>
      </c>
      <c r="G1459" s="4" t="s">
        <v>7</v>
      </c>
      <c r="H1459">
        <f>IFERROR(VLOOKUP(E1459,'GASB Match'!$A$2:$B$240,2,FALSE),"")</f>
        <v>1303000</v>
      </c>
    </row>
    <row r="1460" spans="1:8" x14ac:dyDescent="0.2">
      <c r="A1460">
        <v>1303060</v>
      </c>
      <c r="B1460" s="3">
        <v>2015</v>
      </c>
      <c r="C1460" t="s">
        <v>374</v>
      </c>
      <c r="D1460" t="s">
        <v>375</v>
      </c>
      <c r="E1460" t="s">
        <v>375</v>
      </c>
      <c r="F1460" s="4">
        <v>1873573.84</v>
      </c>
      <c r="G1460" s="4" t="s">
        <v>7</v>
      </c>
      <c r="H1460">
        <f>IFERROR(VLOOKUP(E1460,'GASB Match'!$A$2:$B$240,2,FALSE),"")</f>
        <v>1303060</v>
      </c>
    </row>
    <row r="1461" spans="1:8" x14ac:dyDescent="0.2">
      <c r="A1461">
        <v>1303060</v>
      </c>
      <c r="B1461" s="3">
        <v>2016</v>
      </c>
      <c r="C1461" t="s">
        <v>374</v>
      </c>
      <c r="D1461" t="s">
        <v>375</v>
      </c>
      <c r="E1461" t="s">
        <v>375</v>
      </c>
      <c r="F1461" s="4">
        <v>2019421.63</v>
      </c>
      <c r="G1461" s="4" t="s">
        <v>7</v>
      </c>
      <c r="H1461">
        <f>IFERROR(VLOOKUP(E1461,'GASB Match'!$A$2:$B$240,2,FALSE),"")</f>
        <v>1303060</v>
      </c>
    </row>
    <row r="1462" spans="1:8" x14ac:dyDescent="0.2">
      <c r="A1462">
        <v>1303060</v>
      </c>
      <c r="B1462" s="3">
        <v>2017</v>
      </c>
      <c r="C1462" t="s">
        <v>374</v>
      </c>
      <c r="D1462" t="s">
        <v>375</v>
      </c>
      <c r="E1462" t="s">
        <v>375</v>
      </c>
      <c r="F1462" s="4">
        <v>2045862</v>
      </c>
      <c r="G1462" s="4" t="s">
        <v>7</v>
      </c>
      <c r="H1462">
        <f>IFERROR(VLOOKUP(E1462,'GASB Match'!$A$2:$B$240,2,FALSE),"")</f>
        <v>1303060</v>
      </c>
    </row>
    <row r="1463" spans="1:8" x14ac:dyDescent="0.2">
      <c r="A1463">
        <v>1303060</v>
      </c>
      <c r="B1463" s="3">
        <v>2018</v>
      </c>
      <c r="C1463" t="s">
        <v>374</v>
      </c>
      <c r="D1463" t="s">
        <v>375</v>
      </c>
      <c r="E1463" t="s">
        <v>375</v>
      </c>
      <c r="F1463" s="4">
        <v>2357152</v>
      </c>
      <c r="G1463" s="4" t="s">
        <v>7</v>
      </c>
      <c r="H1463">
        <f>IFERROR(VLOOKUP(E1463,'GASB Match'!$A$2:$B$240,2,FALSE),"")</f>
        <v>1303060</v>
      </c>
    </row>
    <row r="1464" spans="1:8" x14ac:dyDescent="0.2">
      <c r="A1464">
        <v>1303060</v>
      </c>
      <c r="B1464" s="3">
        <v>2019</v>
      </c>
      <c r="C1464" t="s">
        <v>374</v>
      </c>
      <c r="D1464" t="s">
        <v>375</v>
      </c>
      <c r="E1464" t="s">
        <v>375</v>
      </c>
      <c r="F1464" s="4">
        <v>2893859</v>
      </c>
      <c r="G1464" s="4" t="s">
        <v>7</v>
      </c>
      <c r="H1464">
        <f>IFERROR(VLOOKUP(E1464,'GASB Match'!$A$2:$B$240,2,FALSE),"")</f>
        <v>1303060</v>
      </c>
    </row>
    <row r="1465" spans="1:8" x14ac:dyDescent="0.2">
      <c r="A1465">
        <v>1303060</v>
      </c>
      <c r="B1465" s="3">
        <v>2020</v>
      </c>
      <c r="C1465" t="s">
        <v>374</v>
      </c>
      <c r="D1465" t="s">
        <v>375</v>
      </c>
      <c r="E1465" t="s">
        <v>375</v>
      </c>
      <c r="F1465" s="4">
        <v>3096579</v>
      </c>
      <c r="G1465" s="4" t="s">
        <v>7</v>
      </c>
      <c r="H1465">
        <f>IFERROR(VLOOKUP(E1465,'GASB Match'!$A$2:$B$240,2,FALSE),"")</f>
        <v>1303060</v>
      </c>
    </row>
    <row r="1466" spans="1:8" x14ac:dyDescent="0.2">
      <c r="A1466">
        <v>1303060</v>
      </c>
      <c r="B1466" s="3">
        <v>2021</v>
      </c>
      <c r="C1466" t="s">
        <v>374</v>
      </c>
      <c r="D1466" t="s">
        <v>375</v>
      </c>
      <c r="E1466" t="s">
        <v>375</v>
      </c>
      <c r="F1466" s="4">
        <v>2823240</v>
      </c>
      <c r="G1466" s="4" t="s">
        <v>7</v>
      </c>
      <c r="H1466">
        <f>IFERROR(VLOOKUP(E1466,'GASB Match'!$A$2:$B$240,2,FALSE),"")</f>
        <v>1303060</v>
      </c>
    </row>
    <row r="1467" spans="1:8" x14ac:dyDescent="0.2">
      <c r="A1467">
        <v>1303060</v>
      </c>
      <c r="B1467" s="3">
        <v>2022</v>
      </c>
      <c r="C1467" t="s">
        <v>374</v>
      </c>
      <c r="D1467" t="s">
        <v>375</v>
      </c>
      <c r="E1467" t="s">
        <v>375</v>
      </c>
      <c r="F1467" s="4">
        <v>2935339</v>
      </c>
      <c r="G1467" s="4" t="s">
        <v>7</v>
      </c>
      <c r="H1467">
        <f>IFERROR(VLOOKUP(E1467,'GASB Match'!$A$2:$B$240,2,FALSE),"")</f>
        <v>1303060</v>
      </c>
    </row>
    <row r="1468" spans="1:8" x14ac:dyDescent="0.2">
      <c r="A1468">
        <v>1303060</v>
      </c>
      <c r="B1468" s="3">
        <v>2023</v>
      </c>
      <c r="C1468" t="s">
        <v>374</v>
      </c>
      <c r="D1468" t="s">
        <v>375</v>
      </c>
      <c r="E1468" t="s">
        <v>375</v>
      </c>
      <c r="F1468" s="4">
        <v>3002164</v>
      </c>
      <c r="G1468" s="4" t="s">
        <v>7</v>
      </c>
      <c r="H1468">
        <f>IFERROR(VLOOKUP(E1468,'GASB Match'!$A$2:$B$240,2,FALSE),"")</f>
        <v>1303060</v>
      </c>
    </row>
    <row r="1469" spans="1:8" x14ac:dyDescent="0.2">
      <c r="A1469" t="s">
        <v>7</v>
      </c>
      <c r="B1469" s="3">
        <v>2015</v>
      </c>
      <c r="C1469" t="s">
        <v>376</v>
      </c>
      <c r="D1469" t="s">
        <v>378</v>
      </c>
      <c r="E1469" t="s">
        <v>377</v>
      </c>
      <c r="F1469" s="4">
        <v>18527.330000000002</v>
      </c>
      <c r="G1469" s="4" t="s">
        <v>7</v>
      </c>
      <c r="H1469" t="str">
        <f>IFERROR(VLOOKUP(E1469,'GASB Match'!$A$2:$B$240,2,FALSE),"")</f>
        <v/>
      </c>
    </row>
    <row r="1470" spans="1:8" x14ac:dyDescent="0.2">
      <c r="A1470" t="s">
        <v>7</v>
      </c>
      <c r="B1470" s="3">
        <v>2016</v>
      </c>
      <c r="C1470" t="s">
        <v>376</v>
      </c>
      <c r="D1470" t="s">
        <v>378</v>
      </c>
      <c r="E1470" t="s">
        <v>377</v>
      </c>
      <c r="F1470" s="4">
        <v>22897.81</v>
      </c>
      <c r="G1470" s="4" t="s">
        <v>7</v>
      </c>
      <c r="H1470" t="str">
        <f>IFERROR(VLOOKUP(E1470,'GASB Match'!$A$2:$B$240,2,FALSE),"")</f>
        <v/>
      </c>
    </row>
    <row r="1471" spans="1:8" x14ac:dyDescent="0.2">
      <c r="A1471" t="s">
        <v>7</v>
      </c>
      <c r="B1471" s="3">
        <v>2017</v>
      </c>
      <c r="C1471" t="s">
        <v>376</v>
      </c>
      <c r="D1471" t="s">
        <v>378</v>
      </c>
      <c r="E1471" t="s">
        <v>377</v>
      </c>
      <c r="F1471" s="4">
        <v>23741</v>
      </c>
      <c r="G1471" s="4" t="s">
        <v>7</v>
      </c>
      <c r="H1471" t="str">
        <f>IFERROR(VLOOKUP(E1471,'GASB Match'!$A$2:$B$240,2,FALSE),"")</f>
        <v/>
      </c>
    </row>
    <row r="1472" spans="1:8" x14ac:dyDescent="0.2">
      <c r="A1472" t="s">
        <v>7</v>
      </c>
      <c r="B1472" s="3">
        <v>2018</v>
      </c>
      <c r="C1472" t="s">
        <v>376</v>
      </c>
      <c r="D1472" t="s">
        <v>378</v>
      </c>
      <c r="E1472" t="s">
        <v>377</v>
      </c>
      <c r="F1472" s="4">
        <v>28418</v>
      </c>
      <c r="G1472" s="4" t="s">
        <v>7</v>
      </c>
      <c r="H1472" t="str">
        <f>IFERROR(VLOOKUP(E1472,'GASB Match'!$A$2:$B$240,2,FALSE),"")</f>
        <v/>
      </c>
    </row>
    <row r="1473" spans="1:8" x14ac:dyDescent="0.2">
      <c r="A1473" t="s">
        <v>7</v>
      </c>
      <c r="B1473" s="3">
        <v>2019</v>
      </c>
      <c r="C1473" t="s">
        <v>376</v>
      </c>
      <c r="D1473" t="s">
        <v>378</v>
      </c>
      <c r="E1473" t="s">
        <v>377</v>
      </c>
      <c r="F1473" s="4">
        <v>33900</v>
      </c>
      <c r="G1473" s="4" t="s">
        <v>7</v>
      </c>
      <c r="H1473" t="str">
        <f>IFERROR(VLOOKUP(E1473,'GASB Match'!$A$2:$B$240,2,FALSE),"")</f>
        <v/>
      </c>
    </row>
    <row r="1474" spans="1:8" x14ac:dyDescent="0.2">
      <c r="A1474" t="s">
        <v>7</v>
      </c>
      <c r="B1474" s="3">
        <v>2020</v>
      </c>
      <c r="C1474" t="s">
        <v>376</v>
      </c>
      <c r="D1474" t="s">
        <v>378</v>
      </c>
      <c r="E1474" t="s">
        <v>377</v>
      </c>
      <c r="F1474" s="4">
        <v>34123</v>
      </c>
      <c r="G1474" s="4" t="s">
        <v>7</v>
      </c>
      <c r="H1474" t="str">
        <f>IFERROR(VLOOKUP(E1474,'GASB Match'!$A$2:$B$240,2,FALSE),"")</f>
        <v/>
      </c>
    </row>
    <row r="1475" spans="1:8" x14ac:dyDescent="0.2">
      <c r="A1475" t="s">
        <v>7</v>
      </c>
      <c r="B1475" s="3">
        <v>2021</v>
      </c>
      <c r="C1475" t="s">
        <v>376</v>
      </c>
      <c r="D1475" t="s">
        <v>377</v>
      </c>
      <c r="E1475" t="s">
        <v>377</v>
      </c>
      <c r="F1475" s="4">
        <v>25698</v>
      </c>
      <c r="G1475" s="4" t="s">
        <v>7</v>
      </c>
      <c r="H1475" t="str">
        <f>IFERROR(VLOOKUP(E1475,'GASB Match'!$A$2:$B$240,2,FALSE),"")</f>
        <v/>
      </c>
    </row>
    <row r="1476" spans="1:8" x14ac:dyDescent="0.2">
      <c r="A1476" t="s">
        <v>7</v>
      </c>
      <c r="B1476" s="3">
        <v>2022</v>
      </c>
      <c r="C1476" t="s">
        <v>376</v>
      </c>
      <c r="D1476" t="s">
        <v>377</v>
      </c>
      <c r="E1476" t="s">
        <v>377</v>
      </c>
      <c r="F1476" s="4">
        <v>25261</v>
      </c>
      <c r="G1476" s="4" t="s">
        <v>7</v>
      </c>
      <c r="H1476" t="str">
        <f>IFERROR(VLOOKUP(E1476,'GASB Match'!$A$2:$B$240,2,FALSE),"")</f>
        <v/>
      </c>
    </row>
    <row r="1477" spans="1:8" x14ac:dyDescent="0.2">
      <c r="A1477" t="s">
        <v>7</v>
      </c>
      <c r="B1477" s="3">
        <v>2023</v>
      </c>
      <c r="C1477" t="s">
        <v>376</v>
      </c>
      <c r="D1477" t="s">
        <v>377</v>
      </c>
      <c r="E1477" t="s">
        <v>377</v>
      </c>
      <c r="F1477" s="4">
        <v>27265</v>
      </c>
      <c r="G1477" s="4" t="s">
        <v>7</v>
      </c>
      <c r="H1477" t="str">
        <f>IFERROR(VLOOKUP(E1477,'GASB Match'!$A$2:$B$240,2,FALSE),"")</f>
        <v/>
      </c>
    </row>
    <row r="1478" spans="1:8" x14ac:dyDescent="0.2">
      <c r="A1478">
        <v>1303090</v>
      </c>
      <c r="B1478" s="3">
        <v>2015</v>
      </c>
      <c r="C1478" t="s">
        <v>379</v>
      </c>
      <c r="D1478" t="s">
        <v>380</v>
      </c>
      <c r="E1478" t="s">
        <v>380</v>
      </c>
      <c r="F1478" s="4">
        <v>981444.52</v>
      </c>
      <c r="G1478" s="4">
        <v>12179.31</v>
      </c>
      <c r="H1478">
        <f>IFERROR(VLOOKUP(E1478,'GASB Match'!$A$2:$B$240,2,FALSE),"")</f>
        <v>1303090</v>
      </c>
    </row>
    <row r="1479" spans="1:8" x14ac:dyDescent="0.2">
      <c r="A1479">
        <v>1303090</v>
      </c>
      <c r="B1479" s="3">
        <v>2016</v>
      </c>
      <c r="C1479" t="s">
        <v>379</v>
      </c>
      <c r="D1479" t="s">
        <v>380</v>
      </c>
      <c r="E1479" t="s">
        <v>380</v>
      </c>
      <c r="F1479" s="4">
        <v>1041410.83</v>
      </c>
      <c r="G1479" s="4">
        <v>13173.13</v>
      </c>
      <c r="H1479">
        <f>IFERROR(VLOOKUP(E1479,'GASB Match'!$A$2:$B$240,2,FALSE),"")</f>
        <v>1303090</v>
      </c>
    </row>
    <row r="1480" spans="1:8" x14ac:dyDescent="0.2">
      <c r="A1480">
        <v>1303090</v>
      </c>
      <c r="B1480" s="3">
        <v>2017</v>
      </c>
      <c r="C1480" t="s">
        <v>379</v>
      </c>
      <c r="D1480" t="s">
        <v>380</v>
      </c>
      <c r="E1480" t="s">
        <v>380</v>
      </c>
      <c r="F1480" s="4">
        <v>1059838</v>
      </c>
      <c r="G1480" s="4">
        <v>14363</v>
      </c>
      <c r="H1480">
        <f>IFERROR(VLOOKUP(E1480,'GASB Match'!$A$2:$B$240,2,FALSE),"")</f>
        <v>1303090</v>
      </c>
    </row>
    <row r="1481" spans="1:8" x14ac:dyDescent="0.2">
      <c r="A1481">
        <v>1303090</v>
      </c>
      <c r="B1481" s="3">
        <v>2018</v>
      </c>
      <c r="C1481" t="s">
        <v>379</v>
      </c>
      <c r="D1481" t="s">
        <v>380</v>
      </c>
      <c r="E1481" t="s">
        <v>380</v>
      </c>
      <c r="F1481" s="4">
        <v>1260356</v>
      </c>
      <c r="G1481" s="4">
        <v>16935</v>
      </c>
      <c r="H1481">
        <f>IFERROR(VLOOKUP(E1481,'GASB Match'!$A$2:$B$240,2,FALSE),"")</f>
        <v>1303090</v>
      </c>
    </row>
    <row r="1482" spans="1:8" x14ac:dyDescent="0.2">
      <c r="A1482">
        <v>1303090</v>
      </c>
      <c r="B1482" s="3">
        <v>2019</v>
      </c>
      <c r="C1482" t="s">
        <v>379</v>
      </c>
      <c r="D1482" t="s">
        <v>380</v>
      </c>
      <c r="E1482" t="s">
        <v>380</v>
      </c>
      <c r="F1482" s="4">
        <v>1550208</v>
      </c>
      <c r="G1482" s="4">
        <v>20704</v>
      </c>
      <c r="H1482">
        <f>IFERROR(VLOOKUP(E1482,'GASB Match'!$A$2:$B$240,2,FALSE),"")</f>
        <v>1303090</v>
      </c>
    </row>
    <row r="1483" spans="1:8" x14ac:dyDescent="0.2">
      <c r="A1483">
        <v>1303090</v>
      </c>
      <c r="B1483" s="3">
        <v>2020</v>
      </c>
      <c r="C1483" t="s">
        <v>379</v>
      </c>
      <c r="D1483" t="s">
        <v>380</v>
      </c>
      <c r="E1483" t="s">
        <v>380</v>
      </c>
      <c r="F1483" s="4">
        <v>1621078</v>
      </c>
      <c r="G1483" s="4">
        <v>22004</v>
      </c>
      <c r="H1483">
        <f>IFERROR(VLOOKUP(E1483,'GASB Match'!$A$2:$B$240,2,FALSE),"")</f>
        <v>1303090</v>
      </c>
    </row>
    <row r="1484" spans="1:8" x14ac:dyDescent="0.2">
      <c r="A1484">
        <v>1303090</v>
      </c>
      <c r="B1484" s="3">
        <v>2021</v>
      </c>
      <c r="C1484" t="s">
        <v>379</v>
      </c>
      <c r="D1484" t="s">
        <v>380</v>
      </c>
      <c r="E1484" t="s">
        <v>380</v>
      </c>
      <c r="F1484" s="4">
        <v>1506173</v>
      </c>
      <c r="G1484" s="4">
        <v>19373</v>
      </c>
      <c r="H1484">
        <f>IFERROR(VLOOKUP(E1484,'GASB Match'!$A$2:$B$240,2,FALSE),"")</f>
        <v>1303090</v>
      </c>
    </row>
    <row r="1485" spans="1:8" x14ac:dyDescent="0.2">
      <c r="A1485">
        <v>1303090</v>
      </c>
      <c r="B1485" s="3">
        <v>2022</v>
      </c>
      <c r="C1485" t="s">
        <v>379</v>
      </c>
      <c r="D1485" t="s">
        <v>380</v>
      </c>
      <c r="E1485" t="s">
        <v>380</v>
      </c>
      <c r="F1485" s="4">
        <v>1548979</v>
      </c>
      <c r="G1485" s="4">
        <v>19025</v>
      </c>
      <c r="H1485">
        <f>IFERROR(VLOOKUP(E1485,'GASB Match'!$A$2:$B$240,2,FALSE),"")</f>
        <v>1303090</v>
      </c>
    </row>
    <row r="1486" spans="1:8" x14ac:dyDescent="0.2">
      <c r="A1486">
        <v>1303090</v>
      </c>
      <c r="B1486" s="3">
        <v>2023</v>
      </c>
      <c r="C1486" t="s">
        <v>379</v>
      </c>
      <c r="D1486" t="s">
        <v>380</v>
      </c>
      <c r="E1486" t="s">
        <v>380</v>
      </c>
      <c r="F1486" s="4">
        <v>1594041</v>
      </c>
      <c r="G1486" s="4">
        <v>25659</v>
      </c>
      <c r="H1486">
        <f>IFERROR(VLOOKUP(E1486,'GASB Match'!$A$2:$B$240,2,FALSE),"")</f>
        <v>1303090</v>
      </c>
    </row>
    <row r="1487" spans="1:8" x14ac:dyDescent="0.2">
      <c r="A1487">
        <v>1303120</v>
      </c>
      <c r="B1487" s="3">
        <v>2015</v>
      </c>
      <c r="C1487" t="s">
        <v>381</v>
      </c>
      <c r="D1487" t="s">
        <v>382</v>
      </c>
      <c r="E1487" t="s">
        <v>382</v>
      </c>
      <c r="F1487" s="4">
        <v>719406.12</v>
      </c>
      <c r="G1487" s="4">
        <v>20387.16</v>
      </c>
      <c r="H1487">
        <f>IFERROR(VLOOKUP(E1487,'GASB Match'!$A$2:$B$240,2,FALSE),"")</f>
        <v>1303120</v>
      </c>
    </row>
    <row r="1488" spans="1:8" x14ac:dyDescent="0.2">
      <c r="A1488">
        <v>1303120</v>
      </c>
      <c r="B1488" s="3">
        <v>2016</v>
      </c>
      <c r="C1488" t="s">
        <v>381</v>
      </c>
      <c r="D1488" t="s">
        <v>382</v>
      </c>
      <c r="E1488" t="s">
        <v>382</v>
      </c>
      <c r="F1488" s="4">
        <v>800395.81999999902</v>
      </c>
      <c r="G1488" s="4">
        <v>14982.84</v>
      </c>
      <c r="H1488">
        <f>IFERROR(VLOOKUP(E1488,'GASB Match'!$A$2:$B$240,2,FALSE),"")</f>
        <v>1303120</v>
      </c>
    </row>
    <row r="1489" spans="1:8" x14ac:dyDescent="0.2">
      <c r="A1489">
        <v>1303120</v>
      </c>
      <c r="B1489" s="3">
        <v>2017</v>
      </c>
      <c r="C1489" t="s">
        <v>381</v>
      </c>
      <c r="D1489" t="s">
        <v>382</v>
      </c>
      <c r="E1489" t="s">
        <v>382</v>
      </c>
      <c r="F1489" s="4">
        <v>804712</v>
      </c>
      <c r="G1489" s="4">
        <v>14610</v>
      </c>
      <c r="H1489">
        <f>IFERROR(VLOOKUP(E1489,'GASB Match'!$A$2:$B$240,2,FALSE),"")</f>
        <v>1303120</v>
      </c>
    </row>
    <row r="1490" spans="1:8" x14ac:dyDescent="0.2">
      <c r="A1490">
        <v>1303120</v>
      </c>
      <c r="B1490" s="3">
        <v>2018</v>
      </c>
      <c r="C1490" t="s">
        <v>381</v>
      </c>
      <c r="D1490" t="s">
        <v>382</v>
      </c>
      <c r="E1490" t="s">
        <v>382</v>
      </c>
      <c r="F1490" s="4">
        <v>980909</v>
      </c>
      <c r="G1490" s="4">
        <v>17570</v>
      </c>
      <c r="H1490">
        <f>IFERROR(VLOOKUP(E1490,'GASB Match'!$A$2:$B$240,2,FALSE),"")</f>
        <v>1303120</v>
      </c>
    </row>
    <row r="1491" spans="1:8" x14ac:dyDescent="0.2">
      <c r="A1491">
        <v>1303120</v>
      </c>
      <c r="B1491" s="3">
        <v>2019</v>
      </c>
      <c r="C1491" t="s">
        <v>381</v>
      </c>
      <c r="D1491" t="s">
        <v>382</v>
      </c>
      <c r="E1491" t="s">
        <v>382</v>
      </c>
      <c r="F1491" s="4">
        <v>1282144</v>
      </c>
      <c r="G1491" s="4">
        <v>22240</v>
      </c>
      <c r="H1491">
        <f>IFERROR(VLOOKUP(E1491,'GASB Match'!$A$2:$B$240,2,FALSE),"")</f>
        <v>1303120</v>
      </c>
    </row>
    <row r="1492" spans="1:8" x14ac:dyDescent="0.2">
      <c r="A1492">
        <v>1303120</v>
      </c>
      <c r="B1492" s="3">
        <v>2020</v>
      </c>
      <c r="C1492" t="s">
        <v>381</v>
      </c>
      <c r="D1492" t="s">
        <v>382</v>
      </c>
      <c r="E1492" t="s">
        <v>382</v>
      </c>
      <c r="F1492" s="4">
        <v>1348123</v>
      </c>
      <c r="G1492" s="4">
        <v>23091</v>
      </c>
      <c r="H1492">
        <f>IFERROR(VLOOKUP(E1492,'GASB Match'!$A$2:$B$240,2,FALSE),"")</f>
        <v>1303120</v>
      </c>
    </row>
    <row r="1493" spans="1:8" x14ac:dyDescent="0.2">
      <c r="A1493">
        <v>1303120</v>
      </c>
      <c r="B1493" s="3">
        <v>2021</v>
      </c>
      <c r="C1493" t="s">
        <v>381</v>
      </c>
      <c r="D1493" t="s">
        <v>382</v>
      </c>
      <c r="E1493" t="s">
        <v>382</v>
      </c>
      <c r="F1493" s="4">
        <v>1224953</v>
      </c>
      <c r="G1493" s="4">
        <v>21463</v>
      </c>
      <c r="H1493">
        <f>IFERROR(VLOOKUP(E1493,'GASB Match'!$A$2:$B$240,2,FALSE),"")</f>
        <v>1303120</v>
      </c>
    </row>
    <row r="1494" spans="1:8" x14ac:dyDescent="0.2">
      <c r="A1494">
        <v>1303120</v>
      </c>
      <c r="B1494" s="3">
        <v>2022</v>
      </c>
      <c r="C1494" t="s">
        <v>381</v>
      </c>
      <c r="D1494" t="s">
        <v>382</v>
      </c>
      <c r="E1494" t="s">
        <v>382</v>
      </c>
      <c r="F1494" s="4">
        <v>1320233</v>
      </c>
      <c r="G1494" s="4">
        <v>22744</v>
      </c>
      <c r="H1494">
        <f>IFERROR(VLOOKUP(E1494,'GASB Match'!$A$2:$B$240,2,FALSE),"")</f>
        <v>1303120</v>
      </c>
    </row>
    <row r="1495" spans="1:8" x14ac:dyDescent="0.2">
      <c r="A1495">
        <v>1303120</v>
      </c>
      <c r="B1495" s="3">
        <v>2023</v>
      </c>
      <c r="C1495" t="s">
        <v>381</v>
      </c>
      <c r="D1495" t="s">
        <v>382</v>
      </c>
      <c r="E1495" t="s">
        <v>382</v>
      </c>
      <c r="F1495" s="4">
        <v>1332551</v>
      </c>
      <c r="G1495" s="4">
        <v>25286</v>
      </c>
      <c r="H1495">
        <f>IFERROR(VLOOKUP(E1495,'GASB Match'!$A$2:$B$240,2,FALSE),"")</f>
        <v>1303120</v>
      </c>
    </row>
    <row r="1496" spans="1:8" x14ac:dyDescent="0.2">
      <c r="A1496">
        <v>1303150</v>
      </c>
      <c r="B1496" s="3">
        <v>2015</v>
      </c>
      <c r="C1496" t="s">
        <v>383</v>
      </c>
      <c r="D1496" t="s">
        <v>384</v>
      </c>
      <c r="E1496" t="s">
        <v>384</v>
      </c>
      <c r="F1496" s="4">
        <v>3512057.49</v>
      </c>
      <c r="G1496" s="4">
        <v>54403.19</v>
      </c>
      <c r="H1496">
        <f>IFERROR(VLOOKUP(E1496,'GASB Match'!$A$2:$B$240,2,FALSE),"")</f>
        <v>1303150</v>
      </c>
    </row>
    <row r="1497" spans="1:8" x14ac:dyDescent="0.2">
      <c r="A1497">
        <v>1303150</v>
      </c>
      <c r="B1497" s="3">
        <v>2016</v>
      </c>
      <c r="C1497" t="s">
        <v>383</v>
      </c>
      <c r="D1497" t="s">
        <v>384</v>
      </c>
      <c r="E1497" t="s">
        <v>384</v>
      </c>
      <c r="F1497" s="4">
        <v>3867102.46</v>
      </c>
      <c r="G1497" s="4">
        <v>55972.79</v>
      </c>
      <c r="H1497">
        <f>IFERROR(VLOOKUP(E1497,'GASB Match'!$A$2:$B$240,2,FALSE),"")</f>
        <v>1303150</v>
      </c>
    </row>
    <row r="1498" spans="1:8" x14ac:dyDescent="0.2">
      <c r="A1498">
        <v>1303150</v>
      </c>
      <c r="B1498" s="3">
        <v>2017</v>
      </c>
      <c r="C1498" t="s">
        <v>383</v>
      </c>
      <c r="D1498" t="s">
        <v>384</v>
      </c>
      <c r="E1498" t="s">
        <v>384</v>
      </c>
      <c r="F1498" s="4">
        <v>3844895</v>
      </c>
      <c r="G1498" s="4">
        <v>45036</v>
      </c>
      <c r="H1498">
        <f>IFERROR(VLOOKUP(E1498,'GASB Match'!$A$2:$B$240,2,FALSE),"")</f>
        <v>1303150</v>
      </c>
    </row>
    <row r="1499" spans="1:8" x14ac:dyDescent="0.2">
      <c r="A1499">
        <v>1303150</v>
      </c>
      <c r="B1499" s="3">
        <v>2018</v>
      </c>
      <c r="C1499" t="s">
        <v>383</v>
      </c>
      <c r="D1499" t="s">
        <v>384</v>
      </c>
      <c r="E1499" t="s">
        <v>384</v>
      </c>
      <c r="F1499" s="4">
        <v>4567834</v>
      </c>
      <c r="G1499" s="4">
        <v>17650</v>
      </c>
      <c r="H1499">
        <f>IFERROR(VLOOKUP(E1499,'GASB Match'!$A$2:$B$240,2,FALSE),"")</f>
        <v>1303150</v>
      </c>
    </row>
    <row r="1500" spans="1:8" x14ac:dyDescent="0.2">
      <c r="A1500">
        <v>1303150</v>
      </c>
      <c r="B1500" s="3">
        <v>2019</v>
      </c>
      <c r="C1500" t="s">
        <v>383</v>
      </c>
      <c r="D1500" t="s">
        <v>384</v>
      </c>
      <c r="E1500" t="s">
        <v>384</v>
      </c>
      <c r="F1500" s="4">
        <v>5755556</v>
      </c>
      <c r="G1500" s="4">
        <v>21460</v>
      </c>
      <c r="H1500">
        <f>IFERROR(VLOOKUP(E1500,'GASB Match'!$A$2:$B$240,2,FALSE),"")</f>
        <v>1303150</v>
      </c>
    </row>
    <row r="1501" spans="1:8" x14ac:dyDescent="0.2">
      <c r="A1501">
        <v>1303150</v>
      </c>
      <c r="B1501" s="3">
        <v>2020</v>
      </c>
      <c r="C1501" t="s">
        <v>383</v>
      </c>
      <c r="D1501" t="s">
        <v>384</v>
      </c>
      <c r="E1501" t="s">
        <v>384</v>
      </c>
      <c r="F1501" s="4">
        <v>6097196</v>
      </c>
      <c r="G1501" s="4">
        <v>23541</v>
      </c>
      <c r="H1501">
        <f>IFERROR(VLOOKUP(E1501,'GASB Match'!$A$2:$B$240,2,FALSE),"")</f>
        <v>1303150</v>
      </c>
    </row>
    <row r="1502" spans="1:8" x14ac:dyDescent="0.2">
      <c r="A1502">
        <v>1303150</v>
      </c>
      <c r="B1502" s="3">
        <v>2021</v>
      </c>
      <c r="C1502" t="s">
        <v>383</v>
      </c>
      <c r="D1502" t="s">
        <v>384</v>
      </c>
      <c r="E1502" t="s">
        <v>384</v>
      </c>
      <c r="F1502" s="4">
        <v>5700205</v>
      </c>
      <c r="G1502" s="4">
        <v>23332</v>
      </c>
      <c r="H1502">
        <f>IFERROR(VLOOKUP(E1502,'GASB Match'!$A$2:$B$240,2,FALSE),"")</f>
        <v>1303150</v>
      </c>
    </row>
    <row r="1503" spans="1:8" x14ac:dyDescent="0.2">
      <c r="A1503">
        <v>1303150</v>
      </c>
      <c r="B1503" s="3">
        <v>2022</v>
      </c>
      <c r="C1503" t="s">
        <v>383</v>
      </c>
      <c r="D1503" t="s">
        <v>384</v>
      </c>
      <c r="E1503" t="s">
        <v>384</v>
      </c>
      <c r="F1503" s="4">
        <v>5954410</v>
      </c>
      <c r="G1503" s="4">
        <v>24614</v>
      </c>
      <c r="H1503">
        <f>IFERROR(VLOOKUP(E1503,'GASB Match'!$A$2:$B$240,2,FALSE),"")</f>
        <v>1303150</v>
      </c>
    </row>
    <row r="1504" spans="1:8" x14ac:dyDescent="0.2">
      <c r="A1504">
        <v>1303150</v>
      </c>
      <c r="B1504" s="3">
        <v>2023</v>
      </c>
      <c r="C1504" t="s">
        <v>383</v>
      </c>
      <c r="D1504" t="s">
        <v>384</v>
      </c>
      <c r="E1504" t="s">
        <v>384</v>
      </c>
      <c r="F1504" s="4">
        <v>6288225</v>
      </c>
      <c r="G1504" s="4">
        <v>25834</v>
      </c>
      <c r="H1504">
        <f>IFERROR(VLOOKUP(E1504,'GASB Match'!$A$2:$B$240,2,FALSE),"")</f>
        <v>1303150</v>
      </c>
    </row>
    <row r="1505" spans="1:8" x14ac:dyDescent="0.2">
      <c r="A1505">
        <v>1303210</v>
      </c>
      <c r="B1505" s="3">
        <v>2015</v>
      </c>
      <c r="C1505" t="s">
        <v>385</v>
      </c>
      <c r="D1505" t="s">
        <v>386</v>
      </c>
      <c r="E1505" t="s">
        <v>386</v>
      </c>
      <c r="F1505" s="4">
        <v>1692647.52</v>
      </c>
      <c r="G1505" s="4">
        <v>27464.92</v>
      </c>
      <c r="H1505">
        <f>IFERROR(VLOOKUP(E1505,'GASB Match'!$A$2:$B$240,2,FALSE),"")</f>
        <v>1303210</v>
      </c>
    </row>
    <row r="1506" spans="1:8" x14ac:dyDescent="0.2">
      <c r="A1506">
        <v>1303210</v>
      </c>
      <c r="B1506" s="3">
        <v>2016</v>
      </c>
      <c r="C1506" t="s">
        <v>385</v>
      </c>
      <c r="D1506" t="s">
        <v>386</v>
      </c>
      <c r="E1506" t="s">
        <v>386</v>
      </c>
      <c r="F1506" s="4">
        <v>1856521.46</v>
      </c>
      <c r="G1506" s="4">
        <v>28423.91</v>
      </c>
      <c r="H1506">
        <f>IFERROR(VLOOKUP(E1506,'GASB Match'!$A$2:$B$240,2,FALSE),"")</f>
        <v>1303210</v>
      </c>
    </row>
    <row r="1507" spans="1:8" x14ac:dyDescent="0.2">
      <c r="A1507">
        <v>1303210</v>
      </c>
      <c r="B1507" s="3">
        <v>2017</v>
      </c>
      <c r="C1507" t="s">
        <v>385</v>
      </c>
      <c r="D1507" t="s">
        <v>386</v>
      </c>
      <c r="E1507" t="s">
        <v>386</v>
      </c>
      <c r="F1507" s="4">
        <v>1845473</v>
      </c>
      <c r="G1507" s="4">
        <v>24277</v>
      </c>
      <c r="H1507">
        <f>IFERROR(VLOOKUP(E1507,'GASB Match'!$A$2:$B$240,2,FALSE),"")</f>
        <v>1303210</v>
      </c>
    </row>
    <row r="1508" spans="1:8" x14ac:dyDescent="0.2">
      <c r="A1508">
        <v>1303210</v>
      </c>
      <c r="B1508" s="3">
        <v>2018</v>
      </c>
      <c r="C1508" t="s">
        <v>385</v>
      </c>
      <c r="D1508" t="s">
        <v>386</v>
      </c>
      <c r="E1508" t="s">
        <v>386</v>
      </c>
      <c r="F1508" s="4">
        <v>2234570</v>
      </c>
      <c r="G1508" s="4">
        <v>19404</v>
      </c>
      <c r="H1508">
        <f>IFERROR(VLOOKUP(E1508,'GASB Match'!$A$2:$B$240,2,FALSE),"")</f>
        <v>1303210</v>
      </c>
    </row>
    <row r="1509" spans="1:8" x14ac:dyDescent="0.2">
      <c r="A1509">
        <v>1303210</v>
      </c>
      <c r="B1509" s="3">
        <v>2019</v>
      </c>
      <c r="C1509" t="s">
        <v>385</v>
      </c>
      <c r="D1509" t="s">
        <v>386</v>
      </c>
      <c r="E1509" t="s">
        <v>386</v>
      </c>
      <c r="F1509" s="4">
        <v>2787045</v>
      </c>
      <c r="G1509" s="4" t="s">
        <v>7</v>
      </c>
      <c r="H1509">
        <f>IFERROR(VLOOKUP(E1509,'GASB Match'!$A$2:$B$240,2,FALSE),"")</f>
        <v>1303210</v>
      </c>
    </row>
    <row r="1510" spans="1:8" x14ac:dyDescent="0.2">
      <c r="A1510">
        <v>1303210</v>
      </c>
      <c r="B1510" s="3">
        <v>2020</v>
      </c>
      <c r="C1510" t="s">
        <v>385</v>
      </c>
      <c r="D1510" t="s">
        <v>386</v>
      </c>
      <c r="E1510" t="s">
        <v>386</v>
      </c>
      <c r="F1510" s="4">
        <v>2971455</v>
      </c>
      <c r="G1510" s="4" t="s">
        <v>7</v>
      </c>
      <c r="H1510">
        <f>IFERROR(VLOOKUP(E1510,'GASB Match'!$A$2:$B$240,2,FALSE),"")</f>
        <v>1303210</v>
      </c>
    </row>
    <row r="1511" spans="1:8" x14ac:dyDescent="0.2">
      <c r="A1511">
        <v>1303210</v>
      </c>
      <c r="B1511" s="3">
        <v>2021</v>
      </c>
      <c r="C1511" t="s">
        <v>385</v>
      </c>
      <c r="D1511" t="s">
        <v>386</v>
      </c>
      <c r="E1511" t="s">
        <v>386</v>
      </c>
      <c r="F1511" s="4">
        <v>2646058</v>
      </c>
      <c r="G1511" s="4" t="s">
        <v>7</v>
      </c>
      <c r="H1511">
        <f>IFERROR(VLOOKUP(E1511,'GASB Match'!$A$2:$B$240,2,FALSE),"")</f>
        <v>1303210</v>
      </c>
    </row>
    <row r="1512" spans="1:8" x14ac:dyDescent="0.2">
      <c r="A1512">
        <v>1303210</v>
      </c>
      <c r="B1512" s="3">
        <v>2022</v>
      </c>
      <c r="C1512" t="s">
        <v>385</v>
      </c>
      <c r="D1512" t="s">
        <v>386</v>
      </c>
      <c r="E1512" t="s">
        <v>386</v>
      </c>
      <c r="F1512" s="4">
        <v>2842856</v>
      </c>
      <c r="G1512" s="4" t="s">
        <v>7</v>
      </c>
      <c r="H1512">
        <f>IFERROR(VLOOKUP(E1512,'GASB Match'!$A$2:$B$240,2,FALSE),"")</f>
        <v>1303210</v>
      </c>
    </row>
    <row r="1513" spans="1:8" x14ac:dyDescent="0.2">
      <c r="A1513">
        <v>1303210</v>
      </c>
      <c r="B1513" s="3">
        <v>2023</v>
      </c>
      <c r="C1513" t="s">
        <v>385</v>
      </c>
      <c r="D1513" t="s">
        <v>386</v>
      </c>
      <c r="E1513" t="s">
        <v>386</v>
      </c>
      <c r="F1513" s="4">
        <v>3031697</v>
      </c>
      <c r="G1513" s="4" t="s">
        <v>7</v>
      </c>
      <c r="H1513">
        <f>IFERROR(VLOOKUP(E1513,'GASB Match'!$A$2:$B$240,2,FALSE),"")</f>
        <v>1303210</v>
      </c>
    </row>
    <row r="1514" spans="1:8" x14ac:dyDescent="0.2">
      <c r="A1514">
        <v>1303240</v>
      </c>
      <c r="B1514" s="3">
        <v>2015</v>
      </c>
      <c r="C1514" t="s">
        <v>387</v>
      </c>
      <c r="D1514" t="s">
        <v>388</v>
      </c>
      <c r="E1514" t="s">
        <v>388</v>
      </c>
      <c r="F1514" s="4">
        <v>1184861.76</v>
      </c>
      <c r="G1514" s="4" t="s">
        <v>7</v>
      </c>
      <c r="H1514">
        <f>IFERROR(VLOOKUP(E1514,'GASB Match'!$A$2:$B$240,2,FALSE),"")</f>
        <v>1303240</v>
      </c>
    </row>
    <row r="1515" spans="1:8" x14ac:dyDescent="0.2">
      <c r="A1515">
        <v>1303240</v>
      </c>
      <c r="B1515" s="3">
        <v>2016</v>
      </c>
      <c r="C1515" t="s">
        <v>387</v>
      </c>
      <c r="D1515" t="s">
        <v>388</v>
      </c>
      <c r="E1515" t="s">
        <v>388</v>
      </c>
      <c r="F1515" s="4">
        <v>1267876.05</v>
      </c>
      <c r="G1515" s="4" t="s">
        <v>7</v>
      </c>
      <c r="H1515">
        <f>IFERROR(VLOOKUP(E1515,'GASB Match'!$A$2:$B$240,2,FALSE),"")</f>
        <v>1303240</v>
      </c>
    </row>
    <row r="1516" spans="1:8" x14ac:dyDescent="0.2">
      <c r="A1516">
        <v>1303240</v>
      </c>
      <c r="B1516" s="3">
        <v>2017</v>
      </c>
      <c r="C1516" t="s">
        <v>387</v>
      </c>
      <c r="D1516" t="s">
        <v>388</v>
      </c>
      <c r="E1516" t="s">
        <v>388</v>
      </c>
      <c r="F1516" s="4">
        <v>1266400</v>
      </c>
      <c r="G1516" s="4">
        <v>7765</v>
      </c>
      <c r="H1516">
        <f>IFERROR(VLOOKUP(E1516,'GASB Match'!$A$2:$B$240,2,FALSE),"")</f>
        <v>1303240</v>
      </c>
    </row>
    <row r="1517" spans="1:8" x14ac:dyDescent="0.2">
      <c r="A1517">
        <v>1303240</v>
      </c>
      <c r="B1517" s="3">
        <v>2018</v>
      </c>
      <c r="C1517" t="s">
        <v>387</v>
      </c>
      <c r="D1517" t="s">
        <v>388</v>
      </c>
      <c r="E1517" t="s">
        <v>388</v>
      </c>
      <c r="F1517" s="4">
        <v>1564083</v>
      </c>
      <c r="G1517" s="4">
        <v>20824</v>
      </c>
      <c r="H1517">
        <f>IFERROR(VLOOKUP(E1517,'GASB Match'!$A$2:$B$240,2,FALSE),"")</f>
        <v>1303240</v>
      </c>
    </row>
    <row r="1518" spans="1:8" x14ac:dyDescent="0.2">
      <c r="A1518">
        <v>1303240</v>
      </c>
      <c r="B1518" s="3">
        <v>2019</v>
      </c>
      <c r="C1518" t="s">
        <v>387</v>
      </c>
      <c r="D1518" t="s">
        <v>388</v>
      </c>
      <c r="E1518" t="s">
        <v>388</v>
      </c>
      <c r="F1518" s="4">
        <v>1991990</v>
      </c>
      <c r="G1518" s="4">
        <v>26305</v>
      </c>
      <c r="H1518">
        <f>IFERROR(VLOOKUP(E1518,'GASB Match'!$A$2:$B$240,2,FALSE),"")</f>
        <v>1303240</v>
      </c>
    </row>
    <row r="1519" spans="1:8" x14ac:dyDescent="0.2">
      <c r="A1519">
        <v>1303240</v>
      </c>
      <c r="B1519" s="3">
        <v>2020</v>
      </c>
      <c r="C1519" t="s">
        <v>387</v>
      </c>
      <c r="D1519" t="s">
        <v>388</v>
      </c>
      <c r="E1519" t="s">
        <v>388</v>
      </c>
      <c r="F1519" s="4">
        <v>2062089</v>
      </c>
      <c r="G1519" s="4">
        <v>26894</v>
      </c>
      <c r="H1519">
        <f>IFERROR(VLOOKUP(E1519,'GASB Match'!$A$2:$B$240,2,FALSE),"")</f>
        <v>1303240</v>
      </c>
    </row>
    <row r="1520" spans="1:8" x14ac:dyDescent="0.2">
      <c r="A1520">
        <v>1303240</v>
      </c>
      <c r="B1520" s="3">
        <v>2021</v>
      </c>
      <c r="C1520" t="s">
        <v>387</v>
      </c>
      <c r="D1520" t="s">
        <v>388</v>
      </c>
      <c r="E1520" t="s">
        <v>388</v>
      </c>
      <c r="F1520" s="4">
        <v>1813872</v>
      </c>
      <c r="G1520" s="4">
        <v>16820</v>
      </c>
      <c r="H1520">
        <f>IFERROR(VLOOKUP(E1520,'GASB Match'!$A$2:$B$240,2,FALSE),"")</f>
        <v>1303240</v>
      </c>
    </row>
    <row r="1521" spans="1:8" x14ac:dyDescent="0.2">
      <c r="A1521">
        <v>1303240</v>
      </c>
      <c r="B1521" s="3">
        <v>2022</v>
      </c>
      <c r="C1521" t="s">
        <v>387</v>
      </c>
      <c r="D1521" t="s">
        <v>388</v>
      </c>
      <c r="E1521" t="s">
        <v>388</v>
      </c>
      <c r="F1521" s="4">
        <v>1901479</v>
      </c>
      <c r="G1521" s="4">
        <v>26501</v>
      </c>
      <c r="H1521">
        <f>IFERROR(VLOOKUP(E1521,'GASB Match'!$A$2:$B$240,2,FALSE),"")</f>
        <v>1303240</v>
      </c>
    </row>
    <row r="1522" spans="1:8" x14ac:dyDescent="0.2">
      <c r="A1522">
        <v>1303240</v>
      </c>
      <c r="B1522" s="3">
        <v>2023</v>
      </c>
      <c r="C1522" t="s">
        <v>387</v>
      </c>
      <c r="D1522" t="s">
        <v>388</v>
      </c>
      <c r="E1522" t="s">
        <v>388</v>
      </c>
      <c r="F1522" s="4">
        <v>2063162</v>
      </c>
      <c r="G1522" s="4">
        <v>19321</v>
      </c>
      <c r="H1522">
        <f>IFERROR(VLOOKUP(E1522,'GASB Match'!$A$2:$B$240,2,FALSE),"")</f>
        <v>1303240</v>
      </c>
    </row>
    <row r="1523" spans="1:8" x14ac:dyDescent="0.2">
      <c r="A1523">
        <v>1301890</v>
      </c>
      <c r="B1523" s="3">
        <v>2015</v>
      </c>
      <c r="C1523" t="s">
        <v>389</v>
      </c>
      <c r="D1523" t="s">
        <v>390</v>
      </c>
      <c r="E1523" t="s">
        <v>390</v>
      </c>
      <c r="F1523" s="4">
        <v>3913836.23</v>
      </c>
      <c r="G1523" s="4">
        <v>29220.89</v>
      </c>
      <c r="H1523">
        <f>IFERROR(VLOOKUP(E1523,'GASB Match'!$A$2:$B$240,2,FALSE),"")</f>
        <v>1301890</v>
      </c>
    </row>
    <row r="1524" spans="1:8" x14ac:dyDescent="0.2">
      <c r="A1524">
        <v>1301890</v>
      </c>
      <c r="B1524" s="3">
        <v>2016</v>
      </c>
      <c r="C1524" t="s">
        <v>389</v>
      </c>
      <c r="D1524" t="s">
        <v>390</v>
      </c>
      <c r="E1524" t="s">
        <v>390</v>
      </c>
      <c r="F1524" s="4">
        <v>4382554.43</v>
      </c>
      <c r="G1524" s="4">
        <v>34278.61</v>
      </c>
      <c r="H1524">
        <f>IFERROR(VLOOKUP(E1524,'GASB Match'!$A$2:$B$240,2,FALSE),"")</f>
        <v>1301890</v>
      </c>
    </row>
    <row r="1525" spans="1:8" x14ac:dyDescent="0.2">
      <c r="A1525">
        <v>1301890</v>
      </c>
      <c r="B1525" s="3">
        <v>2017</v>
      </c>
      <c r="C1525" t="s">
        <v>389</v>
      </c>
      <c r="D1525" t="s">
        <v>390</v>
      </c>
      <c r="E1525" t="s">
        <v>390</v>
      </c>
      <c r="F1525" s="4">
        <v>4471959</v>
      </c>
      <c r="G1525" s="4">
        <v>26478</v>
      </c>
      <c r="H1525">
        <f>IFERROR(VLOOKUP(E1525,'GASB Match'!$A$2:$B$240,2,FALSE),"")</f>
        <v>1301890</v>
      </c>
    </row>
    <row r="1526" spans="1:8" x14ac:dyDescent="0.2">
      <c r="A1526">
        <v>1301890</v>
      </c>
      <c r="B1526" s="3">
        <v>2018</v>
      </c>
      <c r="C1526" t="s">
        <v>389</v>
      </c>
      <c r="D1526" t="s">
        <v>390</v>
      </c>
      <c r="E1526" t="s">
        <v>390</v>
      </c>
      <c r="F1526" s="4">
        <v>5763172</v>
      </c>
      <c r="G1526" s="4">
        <v>23311</v>
      </c>
      <c r="H1526">
        <f>IFERROR(VLOOKUP(E1526,'GASB Match'!$A$2:$B$240,2,FALSE),"")</f>
        <v>1301890</v>
      </c>
    </row>
    <row r="1527" spans="1:8" x14ac:dyDescent="0.2">
      <c r="A1527">
        <v>1301890</v>
      </c>
      <c r="B1527" s="3">
        <v>2019</v>
      </c>
      <c r="C1527" t="s">
        <v>389</v>
      </c>
      <c r="D1527" t="s">
        <v>390</v>
      </c>
      <c r="E1527" t="s">
        <v>390</v>
      </c>
      <c r="F1527" s="4">
        <v>7023719</v>
      </c>
      <c r="G1527" s="4">
        <v>28990</v>
      </c>
      <c r="H1527">
        <f>IFERROR(VLOOKUP(E1527,'GASB Match'!$A$2:$B$240,2,FALSE),"")</f>
        <v>1301890</v>
      </c>
    </row>
    <row r="1528" spans="1:8" x14ac:dyDescent="0.2">
      <c r="A1528">
        <v>1301890</v>
      </c>
      <c r="B1528" s="3">
        <v>2020</v>
      </c>
      <c r="C1528" t="s">
        <v>389</v>
      </c>
      <c r="D1528" t="s">
        <v>390</v>
      </c>
      <c r="E1528" t="s">
        <v>390</v>
      </c>
      <c r="F1528" s="4">
        <v>7767169</v>
      </c>
      <c r="G1528" s="4">
        <v>31512</v>
      </c>
      <c r="H1528">
        <f>IFERROR(VLOOKUP(E1528,'GASB Match'!$A$2:$B$240,2,FALSE),"")</f>
        <v>1301890</v>
      </c>
    </row>
    <row r="1529" spans="1:8" x14ac:dyDescent="0.2">
      <c r="A1529">
        <v>1301890</v>
      </c>
      <c r="B1529" s="3">
        <v>2021</v>
      </c>
      <c r="C1529" t="s">
        <v>389</v>
      </c>
      <c r="D1529" t="s">
        <v>390</v>
      </c>
      <c r="E1529" t="s">
        <v>390</v>
      </c>
      <c r="F1529" s="4">
        <v>7085134</v>
      </c>
      <c r="G1529" s="4">
        <v>28173</v>
      </c>
      <c r="H1529">
        <f>IFERROR(VLOOKUP(E1529,'GASB Match'!$A$2:$B$240,2,FALSE),"")</f>
        <v>1301890</v>
      </c>
    </row>
    <row r="1530" spans="1:8" x14ac:dyDescent="0.2">
      <c r="A1530">
        <v>1301890</v>
      </c>
      <c r="B1530" s="3">
        <v>2022</v>
      </c>
      <c r="C1530" t="s">
        <v>389</v>
      </c>
      <c r="D1530" t="s">
        <v>390</v>
      </c>
      <c r="E1530" t="s">
        <v>390</v>
      </c>
      <c r="F1530" s="4">
        <v>7464411</v>
      </c>
      <c r="G1530" s="4">
        <v>30092</v>
      </c>
      <c r="H1530">
        <f>IFERROR(VLOOKUP(E1530,'GASB Match'!$A$2:$B$240,2,FALSE),"")</f>
        <v>1301890</v>
      </c>
    </row>
    <row r="1531" spans="1:8" x14ac:dyDescent="0.2">
      <c r="A1531">
        <v>1301890</v>
      </c>
      <c r="B1531" s="3">
        <v>2023</v>
      </c>
      <c r="C1531" t="s">
        <v>389</v>
      </c>
      <c r="D1531" t="s">
        <v>390</v>
      </c>
      <c r="E1531" t="s">
        <v>390</v>
      </c>
      <c r="F1531" s="4">
        <v>7799285</v>
      </c>
      <c r="G1531" s="4">
        <v>31804</v>
      </c>
      <c r="H1531">
        <f>IFERROR(VLOOKUP(E1531,'GASB Match'!$A$2:$B$240,2,FALSE),"")</f>
        <v>1301890</v>
      </c>
    </row>
    <row r="1532" spans="1:8" x14ac:dyDescent="0.2">
      <c r="A1532" t="s">
        <v>7</v>
      </c>
      <c r="B1532" s="3">
        <v>2015</v>
      </c>
      <c r="C1532" t="s">
        <v>391</v>
      </c>
      <c r="D1532" t="s">
        <v>392</v>
      </c>
      <c r="E1532" t="s">
        <v>392</v>
      </c>
      <c r="F1532" s="4">
        <v>72696.460000000006</v>
      </c>
      <c r="G1532" s="4" t="s">
        <v>7</v>
      </c>
      <c r="H1532" t="str">
        <f>IFERROR(VLOOKUP(E1532,'GASB Match'!$A$2:$B$240,2,FALSE),"")</f>
        <v/>
      </c>
    </row>
    <row r="1533" spans="1:8" x14ac:dyDescent="0.2">
      <c r="A1533" t="s">
        <v>7</v>
      </c>
      <c r="B1533" s="3">
        <v>2016</v>
      </c>
      <c r="C1533" t="s">
        <v>391</v>
      </c>
      <c r="D1533" t="s">
        <v>392</v>
      </c>
      <c r="E1533" t="s">
        <v>392</v>
      </c>
      <c r="F1533" s="4">
        <v>81845.41</v>
      </c>
      <c r="G1533" s="4" t="s">
        <v>7</v>
      </c>
      <c r="H1533" t="str">
        <f>IFERROR(VLOOKUP(E1533,'GASB Match'!$A$2:$B$240,2,FALSE),"")</f>
        <v/>
      </c>
    </row>
    <row r="1534" spans="1:8" x14ac:dyDescent="0.2">
      <c r="A1534" t="s">
        <v>7</v>
      </c>
      <c r="B1534" s="3">
        <v>2017</v>
      </c>
      <c r="C1534" t="s">
        <v>391</v>
      </c>
      <c r="D1534" t="s">
        <v>392</v>
      </c>
      <c r="E1534" t="s">
        <v>392</v>
      </c>
      <c r="F1534" s="4">
        <v>85979</v>
      </c>
      <c r="G1534" s="4" t="s">
        <v>7</v>
      </c>
      <c r="H1534" t="str">
        <f>IFERROR(VLOOKUP(E1534,'GASB Match'!$A$2:$B$240,2,FALSE),"")</f>
        <v/>
      </c>
    </row>
    <row r="1535" spans="1:8" x14ac:dyDescent="0.2">
      <c r="A1535" t="s">
        <v>7</v>
      </c>
      <c r="B1535" s="3">
        <v>2018</v>
      </c>
      <c r="C1535" t="s">
        <v>391</v>
      </c>
      <c r="D1535" t="s">
        <v>392</v>
      </c>
      <c r="E1535" t="s">
        <v>392</v>
      </c>
      <c r="F1535" s="4">
        <v>100337</v>
      </c>
      <c r="G1535" s="4" t="s">
        <v>7</v>
      </c>
      <c r="H1535" t="str">
        <f>IFERROR(VLOOKUP(E1535,'GASB Match'!$A$2:$B$240,2,FALSE),"")</f>
        <v/>
      </c>
    </row>
    <row r="1536" spans="1:8" x14ac:dyDescent="0.2">
      <c r="A1536" t="s">
        <v>7</v>
      </c>
      <c r="B1536" s="3">
        <v>2019</v>
      </c>
      <c r="C1536" t="s">
        <v>391</v>
      </c>
      <c r="D1536" t="s">
        <v>392</v>
      </c>
      <c r="E1536" t="s">
        <v>392</v>
      </c>
      <c r="F1536" s="4">
        <v>126154</v>
      </c>
      <c r="G1536" s="4" t="s">
        <v>7</v>
      </c>
      <c r="H1536" t="str">
        <f>IFERROR(VLOOKUP(E1536,'GASB Match'!$A$2:$B$240,2,FALSE),"")</f>
        <v/>
      </c>
    </row>
    <row r="1537" spans="1:8" x14ac:dyDescent="0.2">
      <c r="A1537" t="s">
        <v>7</v>
      </c>
      <c r="B1537" s="3">
        <v>2020</v>
      </c>
      <c r="C1537" t="s">
        <v>391</v>
      </c>
      <c r="D1537" t="s">
        <v>392</v>
      </c>
      <c r="E1537" t="s">
        <v>392</v>
      </c>
      <c r="F1537" s="4">
        <v>131830</v>
      </c>
      <c r="G1537" s="4" t="s">
        <v>7</v>
      </c>
      <c r="H1537" t="str">
        <f>IFERROR(VLOOKUP(E1537,'GASB Match'!$A$2:$B$240,2,FALSE),"")</f>
        <v/>
      </c>
    </row>
    <row r="1538" spans="1:8" x14ac:dyDescent="0.2">
      <c r="A1538" t="s">
        <v>7</v>
      </c>
      <c r="B1538" s="3">
        <v>2021</v>
      </c>
      <c r="C1538" t="s">
        <v>391</v>
      </c>
      <c r="D1538" t="s">
        <v>392</v>
      </c>
      <c r="E1538" t="s">
        <v>392</v>
      </c>
      <c r="F1538" s="4">
        <v>117103</v>
      </c>
      <c r="G1538" s="4" t="s">
        <v>7</v>
      </c>
      <c r="H1538" t="str">
        <f>IFERROR(VLOOKUP(E1538,'GASB Match'!$A$2:$B$240,2,FALSE),"")</f>
        <v/>
      </c>
    </row>
    <row r="1539" spans="1:8" x14ac:dyDescent="0.2">
      <c r="A1539" t="s">
        <v>7</v>
      </c>
      <c r="B1539" s="3">
        <v>2022</v>
      </c>
      <c r="C1539" t="s">
        <v>391</v>
      </c>
      <c r="D1539" t="s">
        <v>392</v>
      </c>
      <c r="E1539" t="s">
        <v>392</v>
      </c>
      <c r="F1539" s="4">
        <v>119531</v>
      </c>
      <c r="G1539" s="4" t="s">
        <v>7</v>
      </c>
      <c r="H1539" t="str">
        <f>IFERROR(VLOOKUP(E1539,'GASB Match'!$A$2:$B$240,2,FALSE),"")</f>
        <v/>
      </c>
    </row>
    <row r="1540" spans="1:8" x14ac:dyDescent="0.2">
      <c r="A1540" t="s">
        <v>7</v>
      </c>
      <c r="B1540" s="3">
        <v>2023</v>
      </c>
      <c r="C1540" t="s">
        <v>391</v>
      </c>
      <c r="D1540" t="s">
        <v>392</v>
      </c>
      <c r="E1540" t="s">
        <v>392</v>
      </c>
      <c r="F1540" s="4">
        <v>133541</v>
      </c>
      <c r="G1540" s="4" t="s">
        <v>7</v>
      </c>
      <c r="H1540" t="str">
        <f>IFERROR(VLOOKUP(E1540,'GASB Match'!$A$2:$B$240,2,FALSE),"")</f>
        <v/>
      </c>
    </row>
    <row r="1541" spans="1:8" x14ac:dyDescent="0.2">
      <c r="A1541">
        <v>1303270</v>
      </c>
      <c r="B1541" s="3">
        <v>2015</v>
      </c>
      <c r="C1541" t="s">
        <v>393</v>
      </c>
      <c r="D1541" t="s">
        <v>394</v>
      </c>
      <c r="E1541" t="s">
        <v>394</v>
      </c>
      <c r="F1541" s="4">
        <v>3671451.34</v>
      </c>
      <c r="G1541" s="4">
        <v>15218.64</v>
      </c>
      <c r="H1541">
        <f>IFERROR(VLOOKUP(E1541,'GASB Match'!$A$2:$B$240,2,FALSE),"")</f>
        <v>1303270</v>
      </c>
    </row>
    <row r="1542" spans="1:8" x14ac:dyDescent="0.2">
      <c r="A1542">
        <v>1303270</v>
      </c>
      <c r="B1542" s="3">
        <v>2016</v>
      </c>
      <c r="C1542" t="s">
        <v>393</v>
      </c>
      <c r="D1542" t="s">
        <v>394</v>
      </c>
      <c r="E1542" t="s">
        <v>394</v>
      </c>
      <c r="F1542" s="4">
        <v>4014574.75</v>
      </c>
      <c r="G1542" s="4">
        <v>17065.349999999999</v>
      </c>
      <c r="H1542">
        <f>IFERROR(VLOOKUP(E1542,'GASB Match'!$A$2:$B$240,2,FALSE),"")</f>
        <v>1303270</v>
      </c>
    </row>
    <row r="1543" spans="1:8" x14ac:dyDescent="0.2">
      <c r="A1543">
        <v>1303270</v>
      </c>
      <c r="B1543" s="3">
        <v>2017</v>
      </c>
      <c r="C1543" t="s">
        <v>393</v>
      </c>
      <c r="D1543" t="s">
        <v>394</v>
      </c>
      <c r="E1543" t="s">
        <v>394</v>
      </c>
      <c r="F1543" s="4">
        <v>4084604</v>
      </c>
      <c r="G1543" s="4">
        <v>16876</v>
      </c>
      <c r="H1543">
        <f>IFERROR(VLOOKUP(E1543,'GASB Match'!$A$2:$B$240,2,FALSE),"")</f>
        <v>1303270</v>
      </c>
    </row>
    <row r="1544" spans="1:8" x14ac:dyDescent="0.2">
      <c r="A1544">
        <v>1303270</v>
      </c>
      <c r="B1544" s="3">
        <v>2018</v>
      </c>
      <c r="C1544" t="s">
        <v>393</v>
      </c>
      <c r="D1544" t="s">
        <v>394</v>
      </c>
      <c r="E1544" t="s">
        <v>394</v>
      </c>
      <c r="F1544" s="4">
        <v>4932178</v>
      </c>
      <c r="G1544" s="4">
        <v>21390</v>
      </c>
      <c r="H1544">
        <f>IFERROR(VLOOKUP(E1544,'GASB Match'!$A$2:$B$240,2,FALSE),"")</f>
        <v>1303270</v>
      </c>
    </row>
    <row r="1545" spans="1:8" x14ac:dyDescent="0.2">
      <c r="A1545">
        <v>1303270</v>
      </c>
      <c r="B1545" s="3">
        <v>2019</v>
      </c>
      <c r="C1545" t="s">
        <v>393</v>
      </c>
      <c r="D1545" t="s">
        <v>394</v>
      </c>
      <c r="E1545" t="s">
        <v>394</v>
      </c>
      <c r="F1545" s="4">
        <v>6355608</v>
      </c>
      <c r="G1545" s="4">
        <v>26454</v>
      </c>
      <c r="H1545">
        <f>IFERROR(VLOOKUP(E1545,'GASB Match'!$A$2:$B$240,2,FALSE),"")</f>
        <v>1303270</v>
      </c>
    </row>
    <row r="1546" spans="1:8" x14ac:dyDescent="0.2">
      <c r="A1546">
        <v>1303270</v>
      </c>
      <c r="B1546" s="3">
        <v>2020</v>
      </c>
      <c r="C1546" t="s">
        <v>393</v>
      </c>
      <c r="D1546" t="s">
        <v>394</v>
      </c>
      <c r="E1546" t="s">
        <v>394</v>
      </c>
      <c r="F1546" s="4">
        <v>6761838</v>
      </c>
      <c r="G1546" s="4">
        <v>37036</v>
      </c>
      <c r="H1546">
        <f>IFERROR(VLOOKUP(E1546,'GASB Match'!$A$2:$B$240,2,FALSE),"")</f>
        <v>1303270</v>
      </c>
    </row>
    <row r="1547" spans="1:8" x14ac:dyDescent="0.2">
      <c r="A1547">
        <v>1303270</v>
      </c>
      <c r="B1547" s="3">
        <v>2021</v>
      </c>
      <c r="C1547" t="s">
        <v>393</v>
      </c>
      <c r="D1547" t="s">
        <v>394</v>
      </c>
      <c r="E1547" t="s">
        <v>394</v>
      </c>
      <c r="F1547" s="4">
        <v>6220570</v>
      </c>
      <c r="G1547" s="4">
        <v>31702</v>
      </c>
      <c r="H1547">
        <f>IFERROR(VLOOKUP(E1547,'GASB Match'!$A$2:$B$240,2,FALSE),"")</f>
        <v>1303270</v>
      </c>
    </row>
    <row r="1548" spans="1:8" x14ac:dyDescent="0.2">
      <c r="A1548">
        <v>1303270</v>
      </c>
      <c r="B1548" s="3">
        <v>2022</v>
      </c>
      <c r="C1548" t="s">
        <v>393</v>
      </c>
      <c r="D1548" t="s">
        <v>394</v>
      </c>
      <c r="E1548" t="s">
        <v>394</v>
      </c>
      <c r="F1548" s="4">
        <v>6649179</v>
      </c>
      <c r="G1548" s="4">
        <v>30472</v>
      </c>
      <c r="H1548">
        <f>IFERROR(VLOOKUP(E1548,'GASB Match'!$A$2:$B$240,2,FALSE),"")</f>
        <v>1303270</v>
      </c>
    </row>
    <row r="1549" spans="1:8" x14ac:dyDescent="0.2">
      <c r="A1549">
        <v>1303270</v>
      </c>
      <c r="B1549" s="3">
        <v>2023</v>
      </c>
      <c r="C1549" t="s">
        <v>393</v>
      </c>
      <c r="D1549" t="s">
        <v>394</v>
      </c>
      <c r="E1549" t="s">
        <v>394</v>
      </c>
      <c r="F1549" s="4">
        <v>7094905</v>
      </c>
      <c r="G1549" s="4">
        <v>40777</v>
      </c>
      <c r="H1549">
        <f>IFERROR(VLOOKUP(E1549,'GASB Match'!$A$2:$B$240,2,FALSE),"")</f>
        <v>1303270</v>
      </c>
    </row>
    <row r="1550" spans="1:8" x14ac:dyDescent="0.2">
      <c r="A1550" t="s">
        <v>7</v>
      </c>
      <c r="B1550" s="3">
        <v>2015</v>
      </c>
      <c r="C1550" t="s">
        <v>395</v>
      </c>
      <c r="D1550" t="s">
        <v>396</v>
      </c>
      <c r="E1550" t="s">
        <v>396</v>
      </c>
      <c r="F1550" s="4">
        <v>51427.53</v>
      </c>
      <c r="G1550" s="4" t="s">
        <v>7</v>
      </c>
      <c r="H1550" t="str">
        <f>IFERROR(VLOOKUP(E1550,'GASB Match'!$A$2:$B$240,2,FALSE),"")</f>
        <v/>
      </c>
    </row>
    <row r="1551" spans="1:8" x14ac:dyDescent="0.2">
      <c r="A1551" t="s">
        <v>7</v>
      </c>
      <c r="B1551" s="3">
        <v>2016</v>
      </c>
      <c r="C1551" t="s">
        <v>395</v>
      </c>
      <c r="D1551" t="s">
        <v>396</v>
      </c>
      <c r="E1551" t="s">
        <v>396</v>
      </c>
      <c r="F1551" s="4">
        <v>49389.43</v>
      </c>
      <c r="G1551" s="4" t="s">
        <v>7</v>
      </c>
      <c r="H1551" t="str">
        <f>IFERROR(VLOOKUP(E1551,'GASB Match'!$A$2:$B$240,2,FALSE),"")</f>
        <v/>
      </c>
    </row>
    <row r="1552" spans="1:8" x14ac:dyDescent="0.2">
      <c r="A1552" t="s">
        <v>7</v>
      </c>
      <c r="B1552" s="3">
        <v>2017</v>
      </c>
      <c r="C1552" t="s">
        <v>395</v>
      </c>
      <c r="D1552" t="s">
        <v>396</v>
      </c>
      <c r="E1552" t="s">
        <v>396</v>
      </c>
      <c r="F1552" s="4">
        <v>46965</v>
      </c>
      <c r="G1552" s="4" t="s">
        <v>7</v>
      </c>
      <c r="H1552" t="str">
        <f>IFERROR(VLOOKUP(E1552,'GASB Match'!$A$2:$B$240,2,FALSE),"")</f>
        <v/>
      </c>
    </row>
    <row r="1553" spans="1:8" x14ac:dyDescent="0.2">
      <c r="A1553" t="s">
        <v>7</v>
      </c>
      <c r="B1553" s="3">
        <v>2018</v>
      </c>
      <c r="C1553" t="s">
        <v>395</v>
      </c>
      <c r="D1553" t="s">
        <v>396</v>
      </c>
      <c r="E1553" t="s">
        <v>396</v>
      </c>
      <c r="F1553" s="4">
        <v>49253</v>
      </c>
      <c r="G1553" s="4" t="s">
        <v>7</v>
      </c>
      <c r="H1553" t="str">
        <f>IFERROR(VLOOKUP(E1553,'GASB Match'!$A$2:$B$240,2,FALSE),"")</f>
        <v/>
      </c>
    </row>
    <row r="1554" spans="1:8" x14ac:dyDescent="0.2">
      <c r="A1554" t="s">
        <v>7</v>
      </c>
      <c r="B1554" s="3">
        <v>2019</v>
      </c>
      <c r="C1554" t="s">
        <v>395</v>
      </c>
      <c r="D1554" t="s">
        <v>396</v>
      </c>
      <c r="E1554" t="s">
        <v>396</v>
      </c>
      <c r="F1554" s="4">
        <v>70707</v>
      </c>
      <c r="G1554" s="4" t="s">
        <v>7</v>
      </c>
      <c r="H1554" t="str">
        <f>IFERROR(VLOOKUP(E1554,'GASB Match'!$A$2:$B$240,2,FALSE),"")</f>
        <v/>
      </c>
    </row>
    <row r="1555" spans="1:8" x14ac:dyDescent="0.2">
      <c r="A1555" t="s">
        <v>7</v>
      </c>
      <c r="B1555" s="3">
        <v>2020</v>
      </c>
      <c r="C1555" t="s">
        <v>395</v>
      </c>
      <c r="D1555" t="s">
        <v>396</v>
      </c>
      <c r="E1555" t="s">
        <v>396</v>
      </c>
      <c r="F1555" s="4">
        <v>74435</v>
      </c>
      <c r="G1555" s="4" t="s">
        <v>7</v>
      </c>
      <c r="H1555" t="str">
        <f>IFERROR(VLOOKUP(E1555,'GASB Match'!$A$2:$B$240,2,FALSE),"")</f>
        <v/>
      </c>
    </row>
    <row r="1556" spans="1:8" x14ac:dyDescent="0.2">
      <c r="A1556" t="s">
        <v>7</v>
      </c>
      <c r="B1556" s="3">
        <v>2021</v>
      </c>
      <c r="C1556" t="s">
        <v>395</v>
      </c>
      <c r="D1556" t="s">
        <v>396</v>
      </c>
      <c r="E1556" t="s">
        <v>396</v>
      </c>
      <c r="F1556" s="4">
        <v>67935</v>
      </c>
      <c r="G1556" s="4" t="s">
        <v>7</v>
      </c>
      <c r="H1556" t="str">
        <f>IFERROR(VLOOKUP(E1556,'GASB Match'!$A$2:$B$240,2,FALSE),"")</f>
        <v/>
      </c>
    </row>
    <row r="1557" spans="1:8" x14ac:dyDescent="0.2">
      <c r="A1557" t="s">
        <v>7</v>
      </c>
      <c r="B1557" s="3">
        <v>2022</v>
      </c>
      <c r="C1557" t="s">
        <v>395</v>
      </c>
      <c r="D1557" t="s">
        <v>396</v>
      </c>
      <c r="E1557" t="s">
        <v>396</v>
      </c>
      <c r="F1557" s="4">
        <v>72710</v>
      </c>
      <c r="G1557" s="4" t="s">
        <v>7</v>
      </c>
      <c r="H1557" t="str">
        <f>IFERROR(VLOOKUP(E1557,'GASB Match'!$A$2:$B$240,2,FALSE),"")</f>
        <v/>
      </c>
    </row>
    <row r="1558" spans="1:8" x14ac:dyDescent="0.2">
      <c r="A1558" t="s">
        <v>7</v>
      </c>
      <c r="B1558" s="3">
        <v>2023</v>
      </c>
      <c r="C1558" t="s">
        <v>395</v>
      </c>
      <c r="D1558" t="s">
        <v>396</v>
      </c>
      <c r="E1558" t="s">
        <v>396</v>
      </c>
      <c r="F1558" s="4">
        <v>73123</v>
      </c>
      <c r="G1558" s="4" t="s">
        <v>7</v>
      </c>
      <c r="H1558" t="str">
        <f>IFERROR(VLOOKUP(E1558,'GASB Match'!$A$2:$B$240,2,FALSE),"")</f>
        <v/>
      </c>
    </row>
    <row r="1559" spans="1:8" x14ac:dyDescent="0.2">
      <c r="A1559">
        <v>1303300</v>
      </c>
      <c r="B1559" s="3">
        <v>2015</v>
      </c>
      <c r="C1559" t="s">
        <v>397</v>
      </c>
      <c r="D1559" t="s">
        <v>398</v>
      </c>
      <c r="E1559" t="s">
        <v>398</v>
      </c>
      <c r="F1559" s="4">
        <v>6750039.96</v>
      </c>
      <c r="G1559" s="4">
        <v>27540.58</v>
      </c>
      <c r="H1559">
        <f>IFERROR(VLOOKUP(E1559,'GASB Match'!$A$2:$B$240,2,FALSE),"")</f>
        <v>1303300</v>
      </c>
    </row>
    <row r="1560" spans="1:8" x14ac:dyDescent="0.2">
      <c r="A1560">
        <v>1303300</v>
      </c>
      <c r="B1560" s="3">
        <v>2016</v>
      </c>
      <c r="C1560" t="s">
        <v>397</v>
      </c>
      <c r="D1560" t="s">
        <v>398</v>
      </c>
      <c r="E1560" t="s">
        <v>398</v>
      </c>
      <c r="F1560" s="4">
        <v>7416317.71</v>
      </c>
      <c r="G1560" s="4">
        <v>17315.439999999999</v>
      </c>
      <c r="H1560">
        <f>IFERROR(VLOOKUP(E1560,'GASB Match'!$A$2:$B$240,2,FALSE),"")</f>
        <v>1303300</v>
      </c>
    </row>
    <row r="1561" spans="1:8" x14ac:dyDescent="0.2">
      <c r="A1561">
        <v>1303300</v>
      </c>
      <c r="B1561" s="3">
        <v>2017</v>
      </c>
      <c r="C1561" t="s">
        <v>397</v>
      </c>
      <c r="D1561" t="s">
        <v>398</v>
      </c>
      <c r="E1561" t="s">
        <v>398</v>
      </c>
      <c r="F1561" s="4">
        <v>7468239</v>
      </c>
      <c r="G1561" s="4">
        <v>18126</v>
      </c>
      <c r="H1561">
        <f>IFERROR(VLOOKUP(E1561,'GASB Match'!$A$2:$B$240,2,FALSE),"")</f>
        <v>1303300</v>
      </c>
    </row>
    <row r="1562" spans="1:8" x14ac:dyDescent="0.2">
      <c r="A1562">
        <v>1303300</v>
      </c>
      <c r="B1562" s="3">
        <v>2018</v>
      </c>
      <c r="C1562" t="s">
        <v>397</v>
      </c>
      <c r="D1562" t="s">
        <v>398</v>
      </c>
      <c r="E1562" t="s">
        <v>398</v>
      </c>
      <c r="F1562" s="4">
        <v>9128272</v>
      </c>
      <c r="G1562" s="4">
        <v>20954</v>
      </c>
      <c r="H1562">
        <f>IFERROR(VLOOKUP(E1562,'GASB Match'!$A$2:$B$240,2,FALSE),"")</f>
        <v>1303300</v>
      </c>
    </row>
    <row r="1563" spans="1:8" x14ac:dyDescent="0.2">
      <c r="A1563">
        <v>1303300</v>
      </c>
      <c r="B1563" s="3">
        <v>2019</v>
      </c>
      <c r="C1563" t="s">
        <v>397</v>
      </c>
      <c r="D1563" t="s">
        <v>398</v>
      </c>
      <c r="E1563" t="s">
        <v>398</v>
      </c>
      <c r="F1563" s="4">
        <v>11854977</v>
      </c>
      <c r="G1563" s="4">
        <v>29919</v>
      </c>
      <c r="H1563">
        <f>IFERROR(VLOOKUP(E1563,'GASB Match'!$A$2:$B$240,2,FALSE),"")</f>
        <v>1303300</v>
      </c>
    </row>
    <row r="1564" spans="1:8" x14ac:dyDescent="0.2">
      <c r="A1564">
        <v>1303300</v>
      </c>
      <c r="B1564" s="3">
        <v>2020</v>
      </c>
      <c r="C1564" t="s">
        <v>397</v>
      </c>
      <c r="D1564" t="s">
        <v>398</v>
      </c>
      <c r="E1564" t="s">
        <v>398</v>
      </c>
      <c r="F1564" s="4">
        <v>12388350</v>
      </c>
      <c r="G1564" s="4">
        <v>29169</v>
      </c>
      <c r="H1564">
        <f>IFERROR(VLOOKUP(E1564,'GASB Match'!$A$2:$B$240,2,FALSE),"")</f>
        <v>1303300</v>
      </c>
    </row>
    <row r="1565" spans="1:8" x14ac:dyDescent="0.2">
      <c r="A1565">
        <v>1303300</v>
      </c>
      <c r="B1565" s="3">
        <v>2021</v>
      </c>
      <c r="C1565" t="s">
        <v>397</v>
      </c>
      <c r="D1565" t="s">
        <v>398</v>
      </c>
      <c r="E1565" t="s">
        <v>398</v>
      </c>
      <c r="F1565" s="4">
        <v>11239897</v>
      </c>
      <c r="G1565" s="4">
        <v>24491</v>
      </c>
      <c r="H1565">
        <f>IFERROR(VLOOKUP(E1565,'GASB Match'!$A$2:$B$240,2,FALSE),"")</f>
        <v>1303300</v>
      </c>
    </row>
    <row r="1566" spans="1:8" x14ac:dyDescent="0.2">
      <c r="A1566">
        <v>1303300</v>
      </c>
      <c r="B1566" s="3">
        <v>2022</v>
      </c>
      <c r="C1566" t="s">
        <v>397</v>
      </c>
      <c r="D1566" t="s">
        <v>398</v>
      </c>
      <c r="E1566" t="s">
        <v>398</v>
      </c>
      <c r="F1566" s="4">
        <v>11856396</v>
      </c>
      <c r="G1566" s="4">
        <v>26022</v>
      </c>
      <c r="H1566">
        <f>IFERROR(VLOOKUP(E1566,'GASB Match'!$A$2:$B$240,2,FALSE),"")</f>
        <v>1303300</v>
      </c>
    </row>
    <row r="1567" spans="1:8" x14ac:dyDescent="0.2">
      <c r="A1567">
        <v>1303300</v>
      </c>
      <c r="B1567" s="3">
        <v>2023</v>
      </c>
      <c r="C1567" t="s">
        <v>397</v>
      </c>
      <c r="D1567" t="s">
        <v>398</v>
      </c>
      <c r="E1567" t="s">
        <v>398</v>
      </c>
      <c r="F1567" s="4">
        <v>12391134</v>
      </c>
      <c r="G1567" s="4">
        <v>22039</v>
      </c>
      <c r="H1567">
        <f>IFERROR(VLOOKUP(E1567,'GASB Match'!$A$2:$B$240,2,FALSE),"")</f>
        <v>1303300</v>
      </c>
    </row>
    <row r="1568" spans="1:8" x14ac:dyDescent="0.2">
      <c r="A1568">
        <v>1303330</v>
      </c>
      <c r="B1568" s="3">
        <v>2015</v>
      </c>
      <c r="C1568" t="s">
        <v>399</v>
      </c>
      <c r="D1568" t="s">
        <v>400</v>
      </c>
      <c r="E1568" t="s">
        <v>400</v>
      </c>
      <c r="F1568" s="4">
        <v>810001.38</v>
      </c>
      <c r="G1568" s="4">
        <v>8379.1399999999903</v>
      </c>
      <c r="H1568">
        <f>IFERROR(VLOOKUP(E1568,'GASB Match'!$A$2:$B$240,2,FALSE),"")</f>
        <v>1303330</v>
      </c>
    </row>
    <row r="1569" spans="1:8" x14ac:dyDescent="0.2">
      <c r="A1569">
        <v>1303330</v>
      </c>
      <c r="B1569" s="3">
        <v>2016</v>
      </c>
      <c r="C1569" t="s">
        <v>399</v>
      </c>
      <c r="D1569" t="s">
        <v>400</v>
      </c>
      <c r="E1569" t="s">
        <v>400</v>
      </c>
      <c r="F1569" s="4">
        <v>891503.53</v>
      </c>
      <c r="G1569" s="4">
        <v>9412.4</v>
      </c>
      <c r="H1569">
        <f>IFERROR(VLOOKUP(E1569,'GASB Match'!$A$2:$B$240,2,FALSE),"")</f>
        <v>1303330</v>
      </c>
    </row>
    <row r="1570" spans="1:8" x14ac:dyDescent="0.2">
      <c r="A1570">
        <v>1303330</v>
      </c>
      <c r="B1570" s="3">
        <v>2017</v>
      </c>
      <c r="C1570" t="s">
        <v>399</v>
      </c>
      <c r="D1570" t="s">
        <v>400</v>
      </c>
      <c r="E1570" t="s">
        <v>400</v>
      </c>
      <c r="F1570" s="4">
        <v>950706</v>
      </c>
      <c r="G1570" s="4">
        <v>13063</v>
      </c>
      <c r="H1570">
        <f>IFERROR(VLOOKUP(E1570,'GASB Match'!$A$2:$B$240,2,FALSE),"")</f>
        <v>1303330</v>
      </c>
    </row>
    <row r="1571" spans="1:8" x14ac:dyDescent="0.2">
      <c r="A1571">
        <v>1303330</v>
      </c>
      <c r="B1571" s="3">
        <v>2018</v>
      </c>
      <c r="C1571" t="s">
        <v>399</v>
      </c>
      <c r="D1571" t="s">
        <v>400</v>
      </c>
      <c r="E1571" t="s">
        <v>400</v>
      </c>
      <c r="F1571" s="4">
        <v>1123486</v>
      </c>
      <c r="G1571" s="4">
        <v>19449</v>
      </c>
      <c r="H1571">
        <f>IFERROR(VLOOKUP(E1571,'GASB Match'!$A$2:$B$240,2,FALSE),"")</f>
        <v>1303330</v>
      </c>
    </row>
    <row r="1572" spans="1:8" x14ac:dyDescent="0.2">
      <c r="A1572">
        <v>1303330</v>
      </c>
      <c r="B1572" s="3">
        <v>2019</v>
      </c>
      <c r="C1572" t="s">
        <v>399</v>
      </c>
      <c r="D1572" t="s">
        <v>400</v>
      </c>
      <c r="E1572" t="s">
        <v>400</v>
      </c>
      <c r="F1572" s="4">
        <v>1408397</v>
      </c>
      <c r="G1572" s="4">
        <v>24562</v>
      </c>
      <c r="H1572">
        <f>IFERROR(VLOOKUP(E1572,'GASB Match'!$A$2:$B$240,2,FALSE),"")</f>
        <v>1303330</v>
      </c>
    </row>
    <row r="1573" spans="1:8" x14ac:dyDescent="0.2">
      <c r="A1573">
        <v>1303330</v>
      </c>
      <c r="B1573" s="3">
        <v>2020</v>
      </c>
      <c r="C1573" t="s">
        <v>399</v>
      </c>
      <c r="D1573" t="s">
        <v>400</v>
      </c>
      <c r="E1573" t="s">
        <v>400</v>
      </c>
      <c r="F1573" s="4">
        <v>1457328</v>
      </c>
      <c r="G1573" s="4">
        <v>27899</v>
      </c>
      <c r="H1573">
        <f>IFERROR(VLOOKUP(E1573,'GASB Match'!$A$2:$B$240,2,FALSE),"")</f>
        <v>1303330</v>
      </c>
    </row>
    <row r="1574" spans="1:8" x14ac:dyDescent="0.2">
      <c r="A1574">
        <v>1303330</v>
      </c>
      <c r="B1574" s="3">
        <v>2021</v>
      </c>
      <c r="C1574" t="s">
        <v>399</v>
      </c>
      <c r="D1574" t="s">
        <v>400</v>
      </c>
      <c r="E1574" t="s">
        <v>400</v>
      </c>
      <c r="F1574" s="4">
        <v>1340691</v>
      </c>
      <c r="G1574" s="4">
        <v>21512</v>
      </c>
      <c r="H1574">
        <f>IFERROR(VLOOKUP(E1574,'GASB Match'!$A$2:$B$240,2,FALSE),"")</f>
        <v>1303330</v>
      </c>
    </row>
    <row r="1575" spans="1:8" x14ac:dyDescent="0.2">
      <c r="A1575">
        <v>1303330</v>
      </c>
      <c r="B1575" s="3">
        <v>2022</v>
      </c>
      <c r="C1575" t="s">
        <v>399</v>
      </c>
      <c r="D1575" t="s">
        <v>400</v>
      </c>
      <c r="E1575" t="s">
        <v>400</v>
      </c>
      <c r="F1575" s="4">
        <v>1459179</v>
      </c>
      <c r="G1575" s="4">
        <v>23927</v>
      </c>
      <c r="H1575">
        <f>IFERROR(VLOOKUP(E1575,'GASB Match'!$A$2:$B$240,2,FALSE),"")</f>
        <v>1303330</v>
      </c>
    </row>
    <row r="1576" spans="1:8" x14ac:dyDescent="0.2">
      <c r="A1576">
        <v>1303330</v>
      </c>
      <c r="B1576" s="3">
        <v>2023</v>
      </c>
      <c r="C1576" t="s">
        <v>399</v>
      </c>
      <c r="D1576" t="s">
        <v>400</v>
      </c>
      <c r="E1576" t="s">
        <v>400</v>
      </c>
      <c r="F1576" s="4">
        <v>1563434</v>
      </c>
      <c r="G1576" s="4">
        <v>15901</v>
      </c>
      <c r="H1576">
        <f>IFERROR(VLOOKUP(E1576,'GASB Match'!$A$2:$B$240,2,FALSE),"")</f>
        <v>1303330</v>
      </c>
    </row>
    <row r="1577" spans="1:8" x14ac:dyDescent="0.2">
      <c r="A1577" t="s">
        <v>7</v>
      </c>
      <c r="B1577" s="3">
        <v>2015</v>
      </c>
      <c r="C1577" t="s">
        <v>401</v>
      </c>
      <c r="D1577" t="s">
        <v>402</v>
      </c>
      <c r="E1577" t="s">
        <v>402</v>
      </c>
      <c r="F1577" s="4">
        <v>4144.6400000000003</v>
      </c>
      <c r="G1577" s="4" t="s">
        <v>7</v>
      </c>
      <c r="H1577" t="str">
        <f>IFERROR(VLOOKUP(E1577,'GASB Match'!$A$2:$B$240,2,FALSE),"")</f>
        <v/>
      </c>
    </row>
    <row r="1578" spans="1:8" x14ac:dyDescent="0.2">
      <c r="A1578" t="s">
        <v>7</v>
      </c>
      <c r="B1578" s="3">
        <v>2016</v>
      </c>
      <c r="C1578" t="s">
        <v>401</v>
      </c>
      <c r="D1578" t="s">
        <v>402</v>
      </c>
      <c r="E1578" t="s">
        <v>402</v>
      </c>
      <c r="F1578" s="4">
        <v>4573.72</v>
      </c>
      <c r="G1578" s="4" t="s">
        <v>7</v>
      </c>
      <c r="H1578" t="str">
        <f>IFERROR(VLOOKUP(E1578,'GASB Match'!$A$2:$B$240,2,FALSE),"")</f>
        <v/>
      </c>
    </row>
    <row r="1579" spans="1:8" x14ac:dyDescent="0.2">
      <c r="A1579" t="s">
        <v>7</v>
      </c>
      <c r="B1579" s="3">
        <v>2017</v>
      </c>
      <c r="C1579" t="s">
        <v>401</v>
      </c>
      <c r="D1579" t="s">
        <v>402</v>
      </c>
      <c r="E1579" t="s">
        <v>402</v>
      </c>
      <c r="F1579" s="4">
        <v>4588</v>
      </c>
      <c r="G1579" s="4" t="s">
        <v>7</v>
      </c>
      <c r="H1579" t="str">
        <f>IFERROR(VLOOKUP(E1579,'GASB Match'!$A$2:$B$240,2,FALSE),"")</f>
        <v/>
      </c>
    </row>
    <row r="1580" spans="1:8" x14ac:dyDescent="0.2">
      <c r="A1580" t="s">
        <v>7</v>
      </c>
      <c r="B1580" s="3">
        <v>2018</v>
      </c>
      <c r="C1580" t="s">
        <v>401</v>
      </c>
      <c r="D1580" t="s">
        <v>402</v>
      </c>
      <c r="E1580" t="s">
        <v>402</v>
      </c>
      <c r="F1580" s="4">
        <v>5865</v>
      </c>
      <c r="G1580" s="4" t="s">
        <v>7</v>
      </c>
      <c r="H1580" t="str">
        <f>IFERROR(VLOOKUP(E1580,'GASB Match'!$A$2:$B$240,2,FALSE),"")</f>
        <v/>
      </c>
    </row>
    <row r="1581" spans="1:8" x14ac:dyDescent="0.2">
      <c r="A1581" t="s">
        <v>7</v>
      </c>
      <c r="B1581" s="3">
        <v>2019</v>
      </c>
      <c r="C1581" t="s">
        <v>401</v>
      </c>
      <c r="D1581" t="s">
        <v>402</v>
      </c>
      <c r="E1581" t="s">
        <v>402</v>
      </c>
      <c r="F1581" s="4">
        <v>7499</v>
      </c>
      <c r="G1581" s="4" t="s">
        <v>7</v>
      </c>
      <c r="H1581" t="str">
        <f>IFERROR(VLOOKUP(E1581,'GASB Match'!$A$2:$B$240,2,FALSE),"")</f>
        <v/>
      </c>
    </row>
    <row r="1582" spans="1:8" x14ac:dyDescent="0.2">
      <c r="A1582" t="s">
        <v>7</v>
      </c>
      <c r="B1582" s="3">
        <v>2020</v>
      </c>
      <c r="C1582" t="s">
        <v>401</v>
      </c>
      <c r="D1582" t="s">
        <v>402</v>
      </c>
      <c r="E1582" t="s">
        <v>402</v>
      </c>
      <c r="F1582" s="4">
        <v>7586</v>
      </c>
      <c r="G1582" s="4" t="s">
        <v>7</v>
      </c>
      <c r="H1582" t="str">
        <f>IFERROR(VLOOKUP(E1582,'GASB Match'!$A$2:$B$240,2,FALSE),"")</f>
        <v/>
      </c>
    </row>
    <row r="1583" spans="1:8" x14ac:dyDescent="0.2">
      <c r="A1583" t="s">
        <v>7</v>
      </c>
      <c r="B1583" s="3">
        <v>2021</v>
      </c>
      <c r="C1583" t="s">
        <v>401</v>
      </c>
      <c r="D1583" t="s">
        <v>402</v>
      </c>
      <c r="E1583" t="s">
        <v>402</v>
      </c>
      <c r="F1583" s="4">
        <v>4544</v>
      </c>
      <c r="G1583" s="4" t="s">
        <v>7</v>
      </c>
      <c r="H1583" t="str">
        <f>IFERROR(VLOOKUP(E1583,'GASB Match'!$A$2:$B$240,2,FALSE),"")</f>
        <v/>
      </c>
    </row>
    <row r="1584" spans="1:8" x14ac:dyDescent="0.2">
      <c r="A1584" t="s">
        <v>7</v>
      </c>
      <c r="B1584" s="3">
        <v>2022</v>
      </c>
      <c r="C1584" t="s">
        <v>401</v>
      </c>
      <c r="D1584" t="s">
        <v>402</v>
      </c>
      <c r="E1584" t="s">
        <v>402</v>
      </c>
      <c r="F1584" s="4">
        <v>7498</v>
      </c>
      <c r="G1584" s="4" t="s">
        <v>7</v>
      </c>
      <c r="H1584" t="str">
        <f>IFERROR(VLOOKUP(E1584,'GASB Match'!$A$2:$B$240,2,FALSE),"")</f>
        <v/>
      </c>
    </row>
    <row r="1585" spans="1:8" x14ac:dyDescent="0.2">
      <c r="A1585" t="s">
        <v>7</v>
      </c>
      <c r="B1585" s="3">
        <v>2023</v>
      </c>
      <c r="C1585" t="s">
        <v>401</v>
      </c>
      <c r="D1585" t="s">
        <v>402</v>
      </c>
      <c r="E1585" t="s">
        <v>402</v>
      </c>
      <c r="F1585" s="4">
        <v>8028</v>
      </c>
      <c r="G1585" s="4" t="s">
        <v>7</v>
      </c>
      <c r="H1585" t="str">
        <f>IFERROR(VLOOKUP(E1585,'GASB Match'!$A$2:$B$240,2,FALSE),"")</f>
        <v/>
      </c>
    </row>
    <row r="1586" spans="1:8" x14ac:dyDescent="0.2">
      <c r="A1586">
        <v>1303360</v>
      </c>
      <c r="B1586" s="3">
        <v>2015</v>
      </c>
      <c r="C1586" t="s">
        <v>403</v>
      </c>
      <c r="D1586" t="s">
        <v>404</v>
      </c>
      <c r="E1586" t="s">
        <v>404</v>
      </c>
      <c r="F1586" s="4">
        <v>1692583.13</v>
      </c>
      <c r="G1586" s="4">
        <v>15957.82</v>
      </c>
      <c r="H1586">
        <f>IFERROR(VLOOKUP(E1586,'GASB Match'!$A$2:$B$240,2,FALSE),"")</f>
        <v>1303360</v>
      </c>
    </row>
    <row r="1587" spans="1:8" x14ac:dyDescent="0.2">
      <c r="A1587">
        <v>1303360</v>
      </c>
      <c r="B1587" s="3">
        <v>2016</v>
      </c>
      <c r="C1587" t="s">
        <v>403</v>
      </c>
      <c r="D1587" t="s">
        <v>404</v>
      </c>
      <c r="E1587" t="s">
        <v>404</v>
      </c>
      <c r="F1587" s="4">
        <v>1939322.81</v>
      </c>
      <c r="G1587" s="4">
        <v>17706.16</v>
      </c>
      <c r="H1587">
        <f>IFERROR(VLOOKUP(E1587,'GASB Match'!$A$2:$B$240,2,FALSE),"")</f>
        <v>1303360</v>
      </c>
    </row>
    <row r="1588" spans="1:8" x14ac:dyDescent="0.2">
      <c r="A1588">
        <v>1303360</v>
      </c>
      <c r="B1588" s="3">
        <v>2017</v>
      </c>
      <c r="C1588" t="s">
        <v>403</v>
      </c>
      <c r="D1588" t="s">
        <v>404</v>
      </c>
      <c r="E1588" t="s">
        <v>404</v>
      </c>
      <c r="F1588" s="4">
        <v>2144167</v>
      </c>
      <c r="G1588" s="4">
        <v>19096</v>
      </c>
      <c r="H1588">
        <f>IFERROR(VLOOKUP(E1588,'GASB Match'!$A$2:$B$240,2,FALSE),"")</f>
        <v>1303360</v>
      </c>
    </row>
    <row r="1589" spans="1:8" x14ac:dyDescent="0.2">
      <c r="A1589">
        <v>1303360</v>
      </c>
      <c r="B1589" s="3">
        <v>2018</v>
      </c>
      <c r="C1589" t="s">
        <v>403</v>
      </c>
      <c r="D1589" t="s">
        <v>404</v>
      </c>
      <c r="E1589" t="s">
        <v>404</v>
      </c>
      <c r="F1589" s="4">
        <v>2672243</v>
      </c>
      <c r="G1589" s="4">
        <v>23656</v>
      </c>
      <c r="H1589">
        <f>IFERROR(VLOOKUP(E1589,'GASB Match'!$A$2:$B$240,2,FALSE),"")</f>
        <v>1303360</v>
      </c>
    </row>
    <row r="1590" spans="1:8" x14ac:dyDescent="0.2">
      <c r="A1590">
        <v>1303360</v>
      </c>
      <c r="B1590" s="3">
        <v>2019</v>
      </c>
      <c r="C1590" t="s">
        <v>403</v>
      </c>
      <c r="D1590" t="s">
        <v>404</v>
      </c>
      <c r="E1590" t="s">
        <v>404</v>
      </c>
      <c r="F1590" s="4">
        <v>3395905</v>
      </c>
      <c r="G1590" s="4">
        <v>29760</v>
      </c>
      <c r="H1590">
        <f>IFERROR(VLOOKUP(E1590,'GASB Match'!$A$2:$B$240,2,FALSE),"")</f>
        <v>1303360</v>
      </c>
    </row>
    <row r="1591" spans="1:8" x14ac:dyDescent="0.2">
      <c r="A1591">
        <v>1303360</v>
      </c>
      <c r="B1591" s="3">
        <v>2020</v>
      </c>
      <c r="C1591" t="s">
        <v>403</v>
      </c>
      <c r="D1591" t="s">
        <v>404</v>
      </c>
      <c r="E1591" t="s">
        <v>404</v>
      </c>
      <c r="F1591" s="4">
        <v>3767894</v>
      </c>
      <c r="G1591" s="4">
        <v>30183</v>
      </c>
      <c r="H1591">
        <f>IFERROR(VLOOKUP(E1591,'GASB Match'!$A$2:$B$240,2,FALSE),"")</f>
        <v>1303360</v>
      </c>
    </row>
    <row r="1592" spans="1:8" x14ac:dyDescent="0.2">
      <c r="A1592">
        <v>1303360</v>
      </c>
      <c r="B1592" s="3">
        <v>2021</v>
      </c>
      <c r="C1592" t="s">
        <v>403</v>
      </c>
      <c r="D1592" t="s">
        <v>404</v>
      </c>
      <c r="E1592" t="s">
        <v>404</v>
      </c>
      <c r="F1592" s="4">
        <v>3490931</v>
      </c>
      <c r="G1592" s="4">
        <v>28509</v>
      </c>
      <c r="H1592">
        <f>IFERROR(VLOOKUP(E1592,'GASB Match'!$A$2:$B$240,2,FALSE),"")</f>
        <v>1303360</v>
      </c>
    </row>
    <row r="1593" spans="1:8" x14ac:dyDescent="0.2">
      <c r="A1593">
        <v>1303360</v>
      </c>
      <c r="B1593" s="3">
        <v>2022</v>
      </c>
      <c r="C1593" t="s">
        <v>403</v>
      </c>
      <c r="D1593" t="s">
        <v>404</v>
      </c>
      <c r="E1593" t="s">
        <v>404</v>
      </c>
      <c r="F1593" s="4">
        <v>3718826</v>
      </c>
      <c r="G1593" s="4">
        <v>31931</v>
      </c>
      <c r="H1593">
        <f>IFERROR(VLOOKUP(E1593,'GASB Match'!$A$2:$B$240,2,FALSE),"")</f>
        <v>1303360</v>
      </c>
    </row>
    <row r="1594" spans="1:8" x14ac:dyDescent="0.2">
      <c r="A1594">
        <v>1303360</v>
      </c>
      <c r="B1594" s="3">
        <v>2023</v>
      </c>
      <c r="C1594" t="s">
        <v>403</v>
      </c>
      <c r="D1594" t="s">
        <v>404</v>
      </c>
      <c r="E1594" t="s">
        <v>404</v>
      </c>
      <c r="F1594" s="4">
        <v>4075968</v>
      </c>
      <c r="G1594" s="4">
        <v>32411</v>
      </c>
      <c r="H1594">
        <f>IFERROR(VLOOKUP(E1594,'GASB Match'!$A$2:$B$240,2,FALSE),"")</f>
        <v>1303360</v>
      </c>
    </row>
    <row r="1595" spans="1:8" x14ac:dyDescent="0.2">
      <c r="A1595">
        <v>1303390</v>
      </c>
      <c r="B1595" s="3">
        <v>2015</v>
      </c>
      <c r="C1595" t="s">
        <v>405</v>
      </c>
      <c r="D1595" t="s">
        <v>406</v>
      </c>
      <c r="E1595" t="s">
        <v>406</v>
      </c>
      <c r="F1595" s="4">
        <v>6325787.2199999997</v>
      </c>
      <c r="G1595" s="4">
        <v>29381.72</v>
      </c>
      <c r="H1595">
        <f>IFERROR(VLOOKUP(E1595,'GASB Match'!$A$2:$B$240,2,FALSE),"")</f>
        <v>1303390</v>
      </c>
    </row>
    <row r="1596" spans="1:8" x14ac:dyDescent="0.2">
      <c r="A1596">
        <v>1303390</v>
      </c>
      <c r="B1596" s="3">
        <v>2016</v>
      </c>
      <c r="C1596" t="s">
        <v>405</v>
      </c>
      <c r="D1596" t="s">
        <v>406</v>
      </c>
      <c r="E1596" t="s">
        <v>406</v>
      </c>
      <c r="F1596" s="4">
        <v>6972706.0700000003</v>
      </c>
      <c r="G1596" s="4">
        <v>30720.799999999999</v>
      </c>
      <c r="H1596">
        <f>IFERROR(VLOOKUP(E1596,'GASB Match'!$A$2:$B$240,2,FALSE),"")</f>
        <v>1303390</v>
      </c>
    </row>
    <row r="1597" spans="1:8" x14ac:dyDescent="0.2">
      <c r="A1597">
        <v>1303390</v>
      </c>
      <c r="B1597" s="3">
        <v>2017</v>
      </c>
      <c r="C1597" t="s">
        <v>405</v>
      </c>
      <c r="D1597" t="s">
        <v>406</v>
      </c>
      <c r="E1597" t="s">
        <v>406</v>
      </c>
      <c r="F1597" s="4">
        <v>7327732</v>
      </c>
      <c r="G1597" s="4">
        <v>25416</v>
      </c>
      <c r="H1597">
        <f>IFERROR(VLOOKUP(E1597,'GASB Match'!$A$2:$B$240,2,FALSE),"")</f>
        <v>1303390</v>
      </c>
    </row>
    <row r="1598" spans="1:8" x14ac:dyDescent="0.2">
      <c r="A1598">
        <v>1303390</v>
      </c>
      <c r="B1598" s="3">
        <v>2018</v>
      </c>
      <c r="C1598" t="s">
        <v>405</v>
      </c>
      <c r="D1598" t="s">
        <v>406</v>
      </c>
      <c r="E1598" t="s">
        <v>406</v>
      </c>
      <c r="F1598" s="4">
        <v>8724248</v>
      </c>
      <c r="G1598" s="4">
        <v>27268</v>
      </c>
      <c r="H1598">
        <f>IFERROR(VLOOKUP(E1598,'GASB Match'!$A$2:$B$240,2,FALSE),"")</f>
        <v>1303390</v>
      </c>
    </row>
    <row r="1599" spans="1:8" x14ac:dyDescent="0.2">
      <c r="A1599">
        <v>1303390</v>
      </c>
      <c r="B1599" s="3">
        <v>2019</v>
      </c>
      <c r="C1599" t="s">
        <v>405</v>
      </c>
      <c r="D1599" t="s">
        <v>406</v>
      </c>
      <c r="E1599" t="s">
        <v>406</v>
      </c>
      <c r="F1599" s="4">
        <v>11196904</v>
      </c>
      <c r="G1599" s="4">
        <v>35939</v>
      </c>
      <c r="H1599">
        <f>IFERROR(VLOOKUP(E1599,'GASB Match'!$A$2:$B$240,2,FALSE),"")</f>
        <v>1303390</v>
      </c>
    </row>
    <row r="1600" spans="1:8" x14ac:dyDescent="0.2">
      <c r="A1600">
        <v>1303390</v>
      </c>
      <c r="B1600" s="3">
        <v>2020</v>
      </c>
      <c r="C1600" t="s">
        <v>405</v>
      </c>
      <c r="D1600" t="s">
        <v>406</v>
      </c>
      <c r="E1600" t="s">
        <v>406</v>
      </c>
      <c r="F1600" s="4">
        <v>11747268</v>
      </c>
      <c r="G1600" s="4">
        <v>36335</v>
      </c>
      <c r="H1600">
        <f>IFERROR(VLOOKUP(E1600,'GASB Match'!$A$2:$B$240,2,FALSE),"")</f>
        <v>1303390</v>
      </c>
    </row>
    <row r="1601" spans="1:8" x14ac:dyDescent="0.2">
      <c r="A1601">
        <v>1303390</v>
      </c>
      <c r="B1601" s="3">
        <v>2021</v>
      </c>
      <c r="C1601" t="s">
        <v>405</v>
      </c>
      <c r="D1601" t="s">
        <v>406</v>
      </c>
      <c r="E1601" t="s">
        <v>406</v>
      </c>
      <c r="F1601" s="4">
        <v>10773947</v>
      </c>
      <c r="G1601" s="4">
        <v>29854</v>
      </c>
      <c r="H1601">
        <f>IFERROR(VLOOKUP(E1601,'GASB Match'!$A$2:$B$240,2,FALSE),"")</f>
        <v>1303390</v>
      </c>
    </row>
    <row r="1602" spans="1:8" x14ac:dyDescent="0.2">
      <c r="A1602">
        <v>1303390</v>
      </c>
      <c r="B1602" s="3">
        <v>2022</v>
      </c>
      <c r="C1602" t="s">
        <v>405</v>
      </c>
      <c r="D1602" t="s">
        <v>406</v>
      </c>
      <c r="E1602" t="s">
        <v>406</v>
      </c>
      <c r="F1602" s="4">
        <v>11639772</v>
      </c>
      <c r="G1602" s="4">
        <v>15789</v>
      </c>
      <c r="H1602">
        <f>IFERROR(VLOOKUP(E1602,'GASB Match'!$A$2:$B$240,2,FALSE),"")</f>
        <v>1303390</v>
      </c>
    </row>
    <row r="1603" spans="1:8" x14ac:dyDescent="0.2">
      <c r="A1603">
        <v>1303390</v>
      </c>
      <c r="B1603" s="3">
        <v>2023</v>
      </c>
      <c r="C1603" t="s">
        <v>405</v>
      </c>
      <c r="D1603" t="s">
        <v>406</v>
      </c>
      <c r="E1603" t="s">
        <v>406</v>
      </c>
      <c r="F1603" s="4">
        <v>12301093</v>
      </c>
      <c r="G1603" s="4">
        <v>13091</v>
      </c>
      <c r="H1603">
        <f>IFERROR(VLOOKUP(E1603,'GASB Match'!$A$2:$B$240,2,FALSE),"")</f>
        <v>1303390</v>
      </c>
    </row>
    <row r="1604" spans="1:8" x14ac:dyDescent="0.2">
      <c r="A1604" t="s">
        <v>7</v>
      </c>
      <c r="B1604" s="3">
        <v>2015</v>
      </c>
      <c r="C1604" t="s">
        <v>407</v>
      </c>
      <c r="D1604" t="s">
        <v>409</v>
      </c>
      <c r="E1604" t="s">
        <v>408</v>
      </c>
      <c r="F1604" s="4">
        <v>70020.63</v>
      </c>
      <c r="G1604" s="4" t="s">
        <v>7</v>
      </c>
      <c r="H1604" t="str">
        <f>IFERROR(VLOOKUP(E1604,'GASB Match'!$A$2:$B$240,2,FALSE),"")</f>
        <v/>
      </c>
    </row>
    <row r="1605" spans="1:8" x14ac:dyDescent="0.2">
      <c r="A1605" t="s">
        <v>7</v>
      </c>
      <c r="B1605" s="3">
        <v>2016</v>
      </c>
      <c r="C1605" t="s">
        <v>407</v>
      </c>
      <c r="D1605" t="s">
        <v>409</v>
      </c>
      <c r="E1605" t="s">
        <v>408</v>
      </c>
      <c r="F1605" s="4">
        <v>84730.11</v>
      </c>
      <c r="G1605" s="4" t="s">
        <v>7</v>
      </c>
      <c r="H1605" t="str">
        <f>IFERROR(VLOOKUP(E1605,'GASB Match'!$A$2:$B$240,2,FALSE),"")</f>
        <v/>
      </c>
    </row>
    <row r="1606" spans="1:8" x14ac:dyDescent="0.2">
      <c r="A1606" t="s">
        <v>7</v>
      </c>
      <c r="B1606" s="3">
        <v>2017</v>
      </c>
      <c r="C1606" t="s">
        <v>407</v>
      </c>
      <c r="D1606" t="s">
        <v>409</v>
      </c>
      <c r="E1606" t="s">
        <v>408</v>
      </c>
      <c r="F1606" s="4">
        <v>83940</v>
      </c>
      <c r="G1606" s="4" t="s">
        <v>7</v>
      </c>
      <c r="H1606" t="str">
        <f>IFERROR(VLOOKUP(E1606,'GASB Match'!$A$2:$B$240,2,FALSE),"")</f>
        <v/>
      </c>
    </row>
    <row r="1607" spans="1:8" x14ac:dyDescent="0.2">
      <c r="A1607" t="s">
        <v>7</v>
      </c>
      <c r="B1607" s="3">
        <v>2018</v>
      </c>
      <c r="C1607" t="s">
        <v>407</v>
      </c>
      <c r="D1607" t="s">
        <v>409</v>
      </c>
      <c r="E1607" t="s">
        <v>408</v>
      </c>
      <c r="F1607" s="4">
        <v>96416</v>
      </c>
      <c r="G1607" s="4" t="s">
        <v>7</v>
      </c>
      <c r="H1607" t="str">
        <f>IFERROR(VLOOKUP(E1607,'GASB Match'!$A$2:$B$240,2,FALSE),"")</f>
        <v/>
      </c>
    </row>
    <row r="1608" spans="1:8" x14ac:dyDescent="0.2">
      <c r="A1608" t="s">
        <v>7</v>
      </c>
      <c r="B1608" s="3">
        <v>2019</v>
      </c>
      <c r="C1608" t="s">
        <v>407</v>
      </c>
      <c r="D1608" t="s">
        <v>409</v>
      </c>
      <c r="E1608" t="s">
        <v>408</v>
      </c>
      <c r="F1608" s="4">
        <v>122101</v>
      </c>
      <c r="G1608" s="4" t="s">
        <v>7</v>
      </c>
      <c r="H1608" t="str">
        <f>IFERROR(VLOOKUP(E1608,'GASB Match'!$A$2:$B$240,2,FALSE),"")</f>
        <v/>
      </c>
    </row>
    <row r="1609" spans="1:8" x14ac:dyDescent="0.2">
      <c r="A1609" t="s">
        <v>7</v>
      </c>
      <c r="B1609" s="3">
        <v>2020</v>
      </c>
      <c r="C1609" t="s">
        <v>407</v>
      </c>
      <c r="D1609" t="s">
        <v>409</v>
      </c>
      <c r="E1609" t="s">
        <v>408</v>
      </c>
      <c r="F1609" s="4">
        <v>127596</v>
      </c>
      <c r="G1609" s="4" t="s">
        <v>7</v>
      </c>
      <c r="H1609" t="str">
        <f>IFERROR(VLOOKUP(E1609,'GASB Match'!$A$2:$B$240,2,FALSE),"")</f>
        <v/>
      </c>
    </row>
    <row r="1610" spans="1:8" x14ac:dyDescent="0.2">
      <c r="A1610" t="s">
        <v>7</v>
      </c>
      <c r="B1610" s="3">
        <v>2021</v>
      </c>
      <c r="C1610" t="s">
        <v>407</v>
      </c>
      <c r="D1610" t="s">
        <v>408</v>
      </c>
      <c r="E1610" t="s">
        <v>408</v>
      </c>
      <c r="F1610" s="4">
        <v>108644</v>
      </c>
      <c r="G1610" s="4" t="s">
        <v>7</v>
      </c>
      <c r="H1610" t="str">
        <f>IFERROR(VLOOKUP(E1610,'GASB Match'!$A$2:$B$240,2,FALSE),"")</f>
        <v/>
      </c>
    </row>
    <row r="1611" spans="1:8" x14ac:dyDescent="0.2">
      <c r="A1611" t="s">
        <v>7</v>
      </c>
      <c r="B1611" s="3">
        <v>2022</v>
      </c>
      <c r="C1611" t="s">
        <v>407</v>
      </c>
      <c r="D1611" t="s">
        <v>408</v>
      </c>
      <c r="E1611" t="s">
        <v>408</v>
      </c>
      <c r="F1611" s="4">
        <v>121583</v>
      </c>
      <c r="G1611" s="4" t="s">
        <v>7</v>
      </c>
      <c r="H1611" t="str">
        <f>IFERROR(VLOOKUP(E1611,'GASB Match'!$A$2:$B$240,2,FALSE),"")</f>
        <v/>
      </c>
    </row>
    <row r="1612" spans="1:8" x14ac:dyDescent="0.2">
      <c r="A1612" t="s">
        <v>7</v>
      </c>
      <c r="B1612" s="3">
        <v>2023</v>
      </c>
      <c r="C1612" t="s">
        <v>407</v>
      </c>
      <c r="D1612" t="s">
        <v>408</v>
      </c>
      <c r="E1612" t="s">
        <v>408</v>
      </c>
      <c r="F1612" s="4">
        <v>139915</v>
      </c>
      <c r="G1612" s="4" t="s">
        <v>7</v>
      </c>
      <c r="H1612" t="str">
        <f>IFERROR(VLOOKUP(E1612,'GASB Match'!$A$2:$B$240,2,FALSE),"")</f>
        <v/>
      </c>
    </row>
    <row r="1613" spans="1:8" x14ac:dyDescent="0.2">
      <c r="A1613">
        <v>1303420</v>
      </c>
      <c r="B1613" s="3">
        <v>2015</v>
      </c>
      <c r="C1613" t="s">
        <v>410</v>
      </c>
      <c r="D1613" t="s">
        <v>411</v>
      </c>
      <c r="E1613" t="s">
        <v>411</v>
      </c>
      <c r="F1613" s="4">
        <v>2397320.0699999998</v>
      </c>
      <c r="G1613" s="4" t="s">
        <v>7</v>
      </c>
      <c r="H1613">
        <f>IFERROR(VLOOKUP(E1613,'GASB Match'!$A$2:$B$240,2,FALSE),"")</f>
        <v>1303420</v>
      </c>
    </row>
    <row r="1614" spans="1:8" x14ac:dyDescent="0.2">
      <c r="A1614">
        <v>1303420</v>
      </c>
      <c r="B1614" s="3">
        <v>2016</v>
      </c>
      <c r="C1614" t="s">
        <v>410</v>
      </c>
      <c r="D1614" t="s">
        <v>411</v>
      </c>
      <c r="E1614" t="s">
        <v>411</v>
      </c>
      <c r="F1614" s="4">
        <v>2682586.11</v>
      </c>
      <c r="G1614" s="4" t="s">
        <v>10</v>
      </c>
      <c r="H1614">
        <f>IFERROR(VLOOKUP(E1614,'GASB Match'!$A$2:$B$240,2,FALSE),"")</f>
        <v>1303420</v>
      </c>
    </row>
    <row r="1615" spans="1:8" x14ac:dyDescent="0.2">
      <c r="A1615">
        <v>1303420</v>
      </c>
      <c r="B1615" s="3">
        <v>2017</v>
      </c>
      <c r="C1615" t="s">
        <v>410</v>
      </c>
      <c r="D1615" t="s">
        <v>411</v>
      </c>
      <c r="E1615" t="s">
        <v>411</v>
      </c>
      <c r="F1615" s="4">
        <v>2807200</v>
      </c>
      <c r="G1615" s="4" t="s">
        <v>7</v>
      </c>
      <c r="H1615">
        <f>IFERROR(VLOOKUP(E1615,'GASB Match'!$A$2:$B$240,2,FALSE),"")</f>
        <v>1303420</v>
      </c>
    </row>
    <row r="1616" spans="1:8" x14ac:dyDescent="0.2">
      <c r="A1616">
        <v>1303420</v>
      </c>
      <c r="B1616" s="3">
        <v>2018</v>
      </c>
      <c r="C1616" t="s">
        <v>410</v>
      </c>
      <c r="D1616" t="s">
        <v>411</v>
      </c>
      <c r="E1616" t="s">
        <v>411</v>
      </c>
      <c r="F1616" s="4">
        <v>3471935</v>
      </c>
      <c r="G1616" s="4" t="s">
        <v>7</v>
      </c>
      <c r="H1616">
        <f>IFERROR(VLOOKUP(E1616,'GASB Match'!$A$2:$B$240,2,FALSE),"")</f>
        <v>1303420</v>
      </c>
    </row>
    <row r="1617" spans="1:8" x14ac:dyDescent="0.2">
      <c r="A1617">
        <v>1303420</v>
      </c>
      <c r="B1617" s="3">
        <v>2019</v>
      </c>
      <c r="C1617" t="s">
        <v>410</v>
      </c>
      <c r="D1617" t="s">
        <v>411</v>
      </c>
      <c r="E1617" t="s">
        <v>411</v>
      </c>
      <c r="F1617" s="4">
        <v>4558318</v>
      </c>
      <c r="G1617" s="4" t="s">
        <v>7</v>
      </c>
      <c r="H1617">
        <f>IFERROR(VLOOKUP(E1617,'GASB Match'!$A$2:$B$240,2,FALSE),"")</f>
        <v>1303420</v>
      </c>
    </row>
    <row r="1618" spans="1:8" x14ac:dyDescent="0.2">
      <c r="A1618">
        <v>1303420</v>
      </c>
      <c r="B1618" s="3">
        <v>2020</v>
      </c>
      <c r="C1618" t="s">
        <v>410</v>
      </c>
      <c r="D1618" t="s">
        <v>411</v>
      </c>
      <c r="E1618" t="s">
        <v>411</v>
      </c>
      <c r="F1618" s="4">
        <v>4900783</v>
      </c>
      <c r="G1618" s="4" t="s">
        <v>7</v>
      </c>
      <c r="H1618">
        <f>IFERROR(VLOOKUP(E1618,'GASB Match'!$A$2:$B$240,2,FALSE),"")</f>
        <v>1303420</v>
      </c>
    </row>
    <row r="1619" spans="1:8" x14ac:dyDescent="0.2">
      <c r="A1619">
        <v>1303420</v>
      </c>
      <c r="B1619" s="3">
        <v>2021</v>
      </c>
      <c r="C1619" t="s">
        <v>410</v>
      </c>
      <c r="D1619" t="s">
        <v>411</v>
      </c>
      <c r="E1619" t="s">
        <v>411</v>
      </c>
      <c r="F1619" s="4">
        <v>4360046</v>
      </c>
      <c r="G1619" s="4" t="s">
        <v>7</v>
      </c>
      <c r="H1619">
        <f>IFERROR(VLOOKUP(E1619,'GASB Match'!$A$2:$B$240,2,FALSE),"")</f>
        <v>1303420</v>
      </c>
    </row>
    <row r="1620" spans="1:8" x14ac:dyDescent="0.2">
      <c r="A1620">
        <v>1303420</v>
      </c>
      <c r="B1620" s="3">
        <v>2022</v>
      </c>
      <c r="C1620" t="s">
        <v>410</v>
      </c>
      <c r="D1620" t="s">
        <v>411</v>
      </c>
      <c r="E1620" t="s">
        <v>411</v>
      </c>
      <c r="F1620" s="4">
        <v>4688023</v>
      </c>
      <c r="G1620" s="4" t="s">
        <v>7</v>
      </c>
      <c r="H1620">
        <f>IFERROR(VLOOKUP(E1620,'GASB Match'!$A$2:$B$240,2,FALSE),"")</f>
        <v>1303420</v>
      </c>
    </row>
    <row r="1621" spans="1:8" x14ac:dyDescent="0.2">
      <c r="A1621">
        <v>1303420</v>
      </c>
      <c r="B1621" s="3">
        <v>2023</v>
      </c>
      <c r="C1621" t="s">
        <v>410</v>
      </c>
      <c r="D1621" t="s">
        <v>411</v>
      </c>
      <c r="E1621" t="s">
        <v>411</v>
      </c>
      <c r="F1621" s="4">
        <v>5072458</v>
      </c>
      <c r="G1621" s="4">
        <v>431</v>
      </c>
      <c r="H1621">
        <f>IFERROR(VLOOKUP(E1621,'GASB Match'!$A$2:$B$240,2,FALSE),"")</f>
        <v>1303420</v>
      </c>
    </row>
    <row r="1622" spans="1:8" x14ac:dyDescent="0.2">
      <c r="A1622">
        <v>1303450</v>
      </c>
      <c r="B1622" s="3">
        <v>2015</v>
      </c>
      <c r="C1622" t="s">
        <v>412</v>
      </c>
      <c r="D1622" t="s">
        <v>413</v>
      </c>
      <c r="E1622" t="s">
        <v>413</v>
      </c>
      <c r="F1622" s="4">
        <v>1097149.95</v>
      </c>
      <c r="G1622" s="4">
        <v>12924.62</v>
      </c>
      <c r="H1622">
        <f>IFERROR(VLOOKUP(E1622,'GASB Match'!$A$2:$B$240,2,FALSE),"")</f>
        <v>1303450</v>
      </c>
    </row>
    <row r="1623" spans="1:8" x14ac:dyDescent="0.2">
      <c r="A1623">
        <v>1303450</v>
      </c>
      <c r="B1623" s="3">
        <v>2016</v>
      </c>
      <c r="C1623" t="s">
        <v>412</v>
      </c>
      <c r="D1623" t="s">
        <v>413</v>
      </c>
      <c r="E1623" t="s">
        <v>413</v>
      </c>
      <c r="F1623" s="4">
        <v>1129102.68</v>
      </c>
      <c r="G1623" s="4">
        <v>9450.42</v>
      </c>
      <c r="H1623">
        <f>IFERROR(VLOOKUP(E1623,'GASB Match'!$A$2:$B$240,2,FALSE),"")</f>
        <v>1303450</v>
      </c>
    </row>
    <row r="1624" spans="1:8" x14ac:dyDescent="0.2">
      <c r="A1624">
        <v>1303450</v>
      </c>
      <c r="B1624" s="3">
        <v>2017</v>
      </c>
      <c r="C1624" t="s">
        <v>412</v>
      </c>
      <c r="D1624" t="s">
        <v>413</v>
      </c>
      <c r="E1624" t="s">
        <v>413</v>
      </c>
      <c r="F1624" s="4">
        <v>1042789</v>
      </c>
      <c r="G1624" s="4">
        <v>12763</v>
      </c>
      <c r="H1624">
        <f>IFERROR(VLOOKUP(E1624,'GASB Match'!$A$2:$B$240,2,FALSE),"")</f>
        <v>1303450</v>
      </c>
    </row>
    <row r="1625" spans="1:8" x14ac:dyDescent="0.2">
      <c r="A1625">
        <v>1303450</v>
      </c>
      <c r="B1625" s="3">
        <v>2018</v>
      </c>
      <c r="C1625" t="s">
        <v>412</v>
      </c>
      <c r="D1625" t="s">
        <v>413</v>
      </c>
      <c r="E1625" t="s">
        <v>413</v>
      </c>
      <c r="F1625" s="4">
        <v>1177370</v>
      </c>
      <c r="G1625" s="4">
        <v>6985</v>
      </c>
      <c r="H1625">
        <f>IFERROR(VLOOKUP(E1625,'GASB Match'!$A$2:$B$240,2,FALSE),"")</f>
        <v>1303450</v>
      </c>
    </row>
    <row r="1626" spans="1:8" x14ac:dyDescent="0.2">
      <c r="A1626">
        <v>1303450</v>
      </c>
      <c r="B1626" s="3">
        <v>2019</v>
      </c>
      <c r="C1626" t="s">
        <v>412</v>
      </c>
      <c r="D1626" t="s">
        <v>413</v>
      </c>
      <c r="E1626" t="s">
        <v>413</v>
      </c>
      <c r="F1626" s="4">
        <v>1484131</v>
      </c>
      <c r="G1626" s="4">
        <v>8736</v>
      </c>
      <c r="H1626">
        <f>IFERROR(VLOOKUP(E1626,'GASB Match'!$A$2:$B$240,2,FALSE),"")</f>
        <v>1303450</v>
      </c>
    </row>
    <row r="1627" spans="1:8" x14ac:dyDescent="0.2">
      <c r="A1627">
        <v>1303450</v>
      </c>
      <c r="B1627" s="3">
        <v>2020</v>
      </c>
      <c r="C1627" t="s">
        <v>412</v>
      </c>
      <c r="D1627" t="s">
        <v>413</v>
      </c>
      <c r="E1627" t="s">
        <v>413</v>
      </c>
      <c r="F1627" s="4">
        <v>1539678</v>
      </c>
      <c r="G1627" s="4">
        <v>9140</v>
      </c>
      <c r="H1627">
        <f>IFERROR(VLOOKUP(E1627,'GASB Match'!$A$2:$B$240,2,FALSE),"")</f>
        <v>1303450</v>
      </c>
    </row>
    <row r="1628" spans="1:8" x14ac:dyDescent="0.2">
      <c r="A1628">
        <v>1303450</v>
      </c>
      <c r="B1628" s="3">
        <v>2021</v>
      </c>
      <c r="C1628" t="s">
        <v>412</v>
      </c>
      <c r="D1628" t="s">
        <v>413</v>
      </c>
      <c r="E1628" t="s">
        <v>413</v>
      </c>
      <c r="F1628" s="4">
        <v>1299922</v>
      </c>
      <c r="G1628" s="4">
        <v>8241</v>
      </c>
      <c r="H1628">
        <f>IFERROR(VLOOKUP(E1628,'GASB Match'!$A$2:$B$240,2,FALSE),"")</f>
        <v>1303450</v>
      </c>
    </row>
    <row r="1629" spans="1:8" x14ac:dyDescent="0.2">
      <c r="A1629">
        <v>1303450</v>
      </c>
      <c r="B1629" s="3">
        <v>2022</v>
      </c>
      <c r="C1629" t="s">
        <v>412</v>
      </c>
      <c r="D1629" t="s">
        <v>413</v>
      </c>
      <c r="E1629" t="s">
        <v>413</v>
      </c>
      <c r="F1629" s="4">
        <v>1422376</v>
      </c>
      <c r="G1629" s="4">
        <v>8987</v>
      </c>
      <c r="H1629">
        <f>IFERROR(VLOOKUP(E1629,'GASB Match'!$A$2:$B$240,2,FALSE),"")</f>
        <v>1303450</v>
      </c>
    </row>
    <row r="1630" spans="1:8" x14ac:dyDescent="0.2">
      <c r="A1630">
        <v>1303450</v>
      </c>
      <c r="B1630" s="3">
        <v>2023</v>
      </c>
      <c r="C1630" t="s">
        <v>412</v>
      </c>
      <c r="D1630" t="s">
        <v>413</v>
      </c>
      <c r="E1630" t="s">
        <v>413</v>
      </c>
      <c r="F1630" s="4">
        <v>1493073</v>
      </c>
      <c r="G1630" s="4">
        <v>9512</v>
      </c>
      <c r="H1630">
        <f>IFERROR(VLOOKUP(E1630,'GASB Match'!$A$2:$B$240,2,FALSE),"")</f>
        <v>1303450</v>
      </c>
    </row>
    <row r="1631" spans="1:8" x14ac:dyDescent="0.2">
      <c r="A1631">
        <v>1303480</v>
      </c>
      <c r="B1631" s="3">
        <v>2015</v>
      </c>
      <c r="C1631" t="s">
        <v>414</v>
      </c>
      <c r="D1631" t="s">
        <v>415</v>
      </c>
      <c r="E1631" t="s">
        <v>415</v>
      </c>
      <c r="F1631" s="4">
        <v>3451973.86</v>
      </c>
      <c r="G1631" s="4">
        <v>33846.26</v>
      </c>
      <c r="H1631">
        <f>IFERROR(VLOOKUP(E1631,'GASB Match'!$A$2:$B$240,2,FALSE),"")</f>
        <v>1303480</v>
      </c>
    </row>
    <row r="1632" spans="1:8" x14ac:dyDescent="0.2">
      <c r="A1632">
        <v>1303480</v>
      </c>
      <c r="B1632" s="3">
        <v>2016</v>
      </c>
      <c r="C1632" t="s">
        <v>414</v>
      </c>
      <c r="D1632" t="s">
        <v>415</v>
      </c>
      <c r="E1632" t="s">
        <v>415</v>
      </c>
      <c r="F1632" s="4">
        <v>3815493.41</v>
      </c>
      <c r="G1632" s="4">
        <v>37428.94</v>
      </c>
      <c r="H1632">
        <f>IFERROR(VLOOKUP(E1632,'GASB Match'!$A$2:$B$240,2,FALSE),"")</f>
        <v>1303480</v>
      </c>
    </row>
    <row r="1633" spans="1:8" x14ac:dyDescent="0.2">
      <c r="A1633">
        <v>1303480</v>
      </c>
      <c r="B1633" s="3">
        <v>2017</v>
      </c>
      <c r="C1633" t="s">
        <v>414</v>
      </c>
      <c r="D1633" t="s">
        <v>415</v>
      </c>
      <c r="E1633" t="s">
        <v>415</v>
      </c>
      <c r="F1633" s="4">
        <v>3955793</v>
      </c>
      <c r="G1633" s="4">
        <v>30661</v>
      </c>
      <c r="H1633">
        <f>IFERROR(VLOOKUP(E1633,'GASB Match'!$A$2:$B$240,2,FALSE),"")</f>
        <v>1303480</v>
      </c>
    </row>
    <row r="1634" spans="1:8" x14ac:dyDescent="0.2">
      <c r="A1634">
        <v>1303480</v>
      </c>
      <c r="B1634" s="3">
        <v>2018</v>
      </c>
      <c r="C1634" t="s">
        <v>414</v>
      </c>
      <c r="D1634" t="s">
        <v>415</v>
      </c>
      <c r="E1634" t="s">
        <v>415</v>
      </c>
      <c r="F1634" s="4">
        <v>4883426</v>
      </c>
      <c r="G1634" s="4">
        <v>19042</v>
      </c>
      <c r="H1634">
        <f>IFERROR(VLOOKUP(E1634,'GASB Match'!$A$2:$B$240,2,FALSE),"")</f>
        <v>1303480</v>
      </c>
    </row>
    <row r="1635" spans="1:8" x14ac:dyDescent="0.2">
      <c r="A1635">
        <v>1303480</v>
      </c>
      <c r="B1635" s="3">
        <v>2019</v>
      </c>
      <c r="C1635" t="s">
        <v>414</v>
      </c>
      <c r="D1635" t="s">
        <v>415</v>
      </c>
      <c r="E1635" t="s">
        <v>415</v>
      </c>
      <c r="F1635" s="4">
        <v>6196311</v>
      </c>
      <c r="G1635" s="4">
        <v>26452</v>
      </c>
      <c r="H1635">
        <f>IFERROR(VLOOKUP(E1635,'GASB Match'!$A$2:$B$240,2,FALSE),"")</f>
        <v>1303480</v>
      </c>
    </row>
    <row r="1636" spans="1:8" x14ac:dyDescent="0.2">
      <c r="A1636">
        <v>1303480</v>
      </c>
      <c r="B1636" s="3">
        <v>2020</v>
      </c>
      <c r="C1636" t="s">
        <v>414</v>
      </c>
      <c r="D1636" t="s">
        <v>415</v>
      </c>
      <c r="E1636" t="s">
        <v>415</v>
      </c>
      <c r="F1636" s="4">
        <v>6505843</v>
      </c>
      <c r="G1636" s="4">
        <v>27260</v>
      </c>
      <c r="H1636">
        <f>IFERROR(VLOOKUP(E1636,'GASB Match'!$A$2:$B$240,2,FALSE),"")</f>
        <v>1303480</v>
      </c>
    </row>
    <row r="1637" spans="1:8" x14ac:dyDescent="0.2">
      <c r="A1637">
        <v>1303480</v>
      </c>
      <c r="B1637" s="3">
        <v>2021</v>
      </c>
      <c r="C1637" t="s">
        <v>414</v>
      </c>
      <c r="D1637" t="s">
        <v>415</v>
      </c>
      <c r="E1637" t="s">
        <v>415</v>
      </c>
      <c r="F1637" s="4">
        <v>5820796</v>
      </c>
      <c r="G1637" s="4">
        <v>24572</v>
      </c>
      <c r="H1637">
        <f>IFERROR(VLOOKUP(E1637,'GASB Match'!$A$2:$B$240,2,FALSE),"")</f>
        <v>1303480</v>
      </c>
    </row>
    <row r="1638" spans="1:8" x14ac:dyDescent="0.2">
      <c r="A1638">
        <v>1303480</v>
      </c>
      <c r="B1638" s="3">
        <v>2022</v>
      </c>
      <c r="C1638" t="s">
        <v>414</v>
      </c>
      <c r="D1638" t="s">
        <v>415</v>
      </c>
      <c r="E1638" t="s">
        <v>415</v>
      </c>
      <c r="F1638" s="4">
        <v>6293631</v>
      </c>
      <c r="G1638" s="4">
        <v>26844</v>
      </c>
      <c r="H1638">
        <f>IFERROR(VLOOKUP(E1638,'GASB Match'!$A$2:$B$240,2,FALSE),"")</f>
        <v>1303480</v>
      </c>
    </row>
    <row r="1639" spans="1:8" x14ac:dyDescent="0.2">
      <c r="A1639">
        <v>1303480</v>
      </c>
      <c r="B1639" s="3">
        <v>2023</v>
      </c>
      <c r="C1639" t="s">
        <v>414</v>
      </c>
      <c r="D1639" t="s">
        <v>415</v>
      </c>
      <c r="E1639" t="s">
        <v>415</v>
      </c>
      <c r="F1639" s="4">
        <v>6764386</v>
      </c>
      <c r="G1639" s="4">
        <v>31651</v>
      </c>
      <c r="H1639">
        <f>IFERROR(VLOOKUP(E1639,'GASB Match'!$A$2:$B$240,2,FALSE),"")</f>
        <v>1303480</v>
      </c>
    </row>
    <row r="1640" spans="1:8" x14ac:dyDescent="0.2">
      <c r="A1640">
        <v>1303540</v>
      </c>
      <c r="B1640" s="3">
        <v>2015</v>
      </c>
      <c r="C1640" t="s">
        <v>416</v>
      </c>
      <c r="D1640" t="s">
        <v>417</v>
      </c>
      <c r="E1640" t="s">
        <v>417</v>
      </c>
      <c r="F1640" s="4">
        <v>911567.03</v>
      </c>
      <c r="G1640" s="4" t="s">
        <v>7</v>
      </c>
      <c r="H1640">
        <f>IFERROR(VLOOKUP(E1640,'GASB Match'!$A$2:$B$240,2,FALSE),"")</f>
        <v>1303540</v>
      </c>
    </row>
    <row r="1641" spans="1:8" x14ac:dyDescent="0.2">
      <c r="A1641">
        <v>1303540</v>
      </c>
      <c r="B1641" s="3">
        <v>2016</v>
      </c>
      <c r="C1641" t="s">
        <v>416</v>
      </c>
      <c r="D1641" t="s">
        <v>417</v>
      </c>
      <c r="E1641" t="s">
        <v>417</v>
      </c>
      <c r="F1641" s="4">
        <v>979506.01</v>
      </c>
      <c r="G1641" s="4" t="s">
        <v>7</v>
      </c>
      <c r="H1641">
        <f>IFERROR(VLOOKUP(E1641,'GASB Match'!$A$2:$B$240,2,FALSE),"")</f>
        <v>1303540</v>
      </c>
    </row>
    <row r="1642" spans="1:8" x14ac:dyDescent="0.2">
      <c r="A1642">
        <v>1303540</v>
      </c>
      <c r="B1642" s="3">
        <v>2017</v>
      </c>
      <c r="C1642" t="s">
        <v>416</v>
      </c>
      <c r="D1642" t="s">
        <v>417</v>
      </c>
      <c r="E1642" t="s">
        <v>417</v>
      </c>
      <c r="F1642" s="4">
        <v>1032210</v>
      </c>
      <c r="G1642" s="4" t="s">
        <v>7</v>
      </c>
      <c r="H1642">
        <f>IFERROR(VLOOKUP(E1642,'GASB Match'!$A$2:$B$240,2,FALSE),"")</f>
        <v>1303540</v>
      </c>
    </row>
    <row r="1643" spans="1:8" x14ac:dyDescent="0.2">
      <c r="A1643">
        <v>1303540</v>
      </c>
      <c r="B1643" s="3">
        <v>2018</v>
      </c>
      <c r="C1643" t="s">
        <v>416</v>
      </c>
      <c r="D1643" t="s">
        <v>417</v>
      </c>
      <c r="E1643" t="s">
        <v>417</v>
      </c>
      <c r="F1643" s="4">
        <v>1244482</v>
      </c>
      <c r="G1643" s="4" t="s">
        <v>7</v>
      </c>
      <c r="H1643">
        <f>IFERROR(VLOOKUP(E1643,'GASB Match'!$A$2:$B$240,2,FALSE),"")</f>
        <v>1303540</v>
      </c>
    </row>
    <row r="1644" spans="1:8" x14ac:dyDescent="0.2">
      <c r="A1644">
        <v>1303540</v>
      </c>
      <c r="B1644" s="3">
        <v>2019</v>
      </c>
      <c r="C1644" t="s">
        <v>416</v>
      </c>
      <c r="D1644" t="s">
        <v>417</v>
      </c>
      <c r="E1644" t="s">
        <v>417</v>
      </c>
      <c r="F1644" s="4">
        <v>1567251</v>
      </c>
      <c r="G1644" s="4" t="s">
        <v>7</v>
      </c>
      <c r="H1644">
        <f>IFERROR(VLOOKUP(E1644,'GASB Match'!$A$2:$B$240,2,FALSE),"")</f>
        <v>1303540</v>
      </c>
    </row>
    <row r="1645" spans="1:8" x14ac:dyDescent="0.2">
      <c r="A1645">
        <v>1303540</v>
      </c>
      <c r="B1645" s="3">
        <v>2020</v>
      </c>
      <c r="C1645" t="s">
        <v>416</v>
      </c>
      <c r="D1645" t="s">
        <v>417</v>
      </c>
      <c r="E1645" t="s">
        <v>417</v>
      </c>
      <c r="F1645" s="4">
        <v>1574379</v>
      </c>
      <c r="G1645" s="4" t="s">
        <v>7</v>
      </c>
      <c r="H1645">
        <f>IFERROR(VLOOKUP(E1645,'GASB Match'!$A$2:$B$240,2,FALSE),"")</f>
        <v>1303540</v>
      </c>
    </row>
    <row r="1646" spans="1:8" x14ac:dyDescent="0.2">
      <c r="A1646">
        <v>1303540</v>
      </c>
      <c r="B1646" s="3">
        <v>2021</v>
      </c>
      <c r="C1646" t="s">
        <v>416</v>
      </c>
      <c r="D1646" t="s">
        <v>417</v>
      </c>
      <c r="E1646" t="s">
        <v>417</v>
      </c>
      <c r="F1646" s="4">
        <v>1406795</v>
      </c>
      <c r="G1646" s="4" t="s">
        <v>7</v>
      </c>
      <c r="H1646">
        <f>IFERROR(VLOOKUP(E1646,'GASB Match'!$A$2:$B$240,2,FALSE),"")</f>
        <v>1303540</v>
      </c>
    </row>
    <row r="1647" spans="1:8" x14ac:dyDescent="0.2">
      <c r="A1647">
        <v>1303540</v>
      </c>
      <c r="B1647" s="3">
        <v>2022</v>
      </c>
      <c r="C1647" t="s">
        <v>416</v>
      </c>
      <c r="D1647" t="s">
        <v>417</v>
      </c>
      <c r="E1647" t="s">
        <v>417</v>
      </c>
      <c r="F1647" s="4">
        <v>1453950</v>
      </c>
      <c r="G1647" s="4" t="s">
        <v>7</v>
      </c>
      <c r="H1647">
        <f>IFERROR(VLOOKUP(E1647,'GASB Match'!$A$2:$B$240,2,FALSE),"")</f>
        <v>1303540</v>
      </c>
    </row>
    <row r="1648" spans="1:8" x14ac:dyDescent="0.2">
      <c r="A1648">
        <v>1303540</v>
      </c>
      <c r="B1648" s="3">
        <v>2023</v>
      </c>
      <c r="C1648" t="s">
        <v>416</v>
      </c>
      <c r="D1648" t="s">
        <v>417</v>
      </c>
      <c r="E1648" t="s">
        <v>417</v>
      </c>
      <c r="F1648" s="4">
        <v>1519902</v>
      </c>
      <c r="G1648" s="4" t="s">
        <v>7</v>
      </c>
      <c r="H1648">
        <f>IFERROR(VLOOKUP(E1648,'GASB Match'!$A$2:$B$240,2,FALSE),"")</f>
        <v>1303540</v>
      </c>
    </row>
    <row r="1649" spans="1:8" x14ac:dyDescent="0.2">
      <c r="A1649">
        <v>1303570</v>
      </c>
      <c r="B1649" s="3">
        <v>2015</v>
      </c>
      <c r="C1649" t="s">
        <v>418</v>
      </c>
      <c r="D1649" t="s">
        <v>419</v>
      </c>
      <c r="E1649" t="s">
        <v>419</v>
      </c>
      <c r="F1649" s="4">
        <v>2844757.8</v>
      </c>
      <c r="G1649" s="4">
        <v>30242.720000000001</v>
      </c>
      <c r="H1649">
        <f>IFERROR(VLOOKUP(E1649,'GASB Match'!$A$2:$B$240,2,FALSE),"")</f>
        <v>1303570</v>
      </c>
    </row>
    <row r="1650" spans="1:8" x14ac:dyDescent="0.2">
      <c r="A1650">
        <v>1303570</v>
      </c>
      <c r="B1650" s="3">
        <v>2016</v>
      </c>
      <c r="C1650" t="s">
        <v>418</v>
      </c>
      <c r="D1650" t="s">
        <v>419</v>
      </c>
      <c r="E1650" t="s">
        <v>419</v>
      </c>
      <c r="F1650" s="4">
        <v>2986433.21</v>
      </c>
      <c r="G1650" s="4">
        <v>26404.7</v>
      </c>
      <c r="H1650">
        <f>IFERROR(VLOOKUP(E1650,'GASB Match'!$A$2:$B$240,2,FALSE),"")</f>
        <v>1303570</v>
      </c>
    </row>
    <row r="1651" spans="1:8" x14ac:dyDescent="0.2">
      <c r="A1651">
        <v>1303570</v>
      </c>
      <c r="B1651" s="3">
        <v>2017</v>
      </c>
      <c r="C1651" t="s">
        <v>418</v>
      </c>
      <c r="D1651" t="s">
        <v>419</v>
      </c>
      <c r="E1651" t="s">
        <v>419</v>
      </c>
      <c r="F1651" s="4">
        <v>2925536</v>
      </c>
      <c r="G1651" s="4">
        <v>20342</v>
      </c>
      <c r="H1651">
        <f>IFERROR(VLOOKUP(E1651,'GASB Match'!$A$2:$B$240,2,FALSE),"")</f>
        <v>1303570</v>
      </c>
    </row>
    <row r="1652" spans="1:8" x14ac:dyDescent="0.2">
      <c r="A1652">
        <v>1303570</v>
      </c>
      <c r="B1652" s="3">
        <v>2018</v>
      </c>
      <c r="C1652" t="s">
        <v>418</v>
      </c>
      <c r="D1652" t="s">
        <v>419</v>
      </c>
      <c r="E1652" t="s">
        <v>419</v>
      </c>
      <c r="F1652" s="4">
        <v>3449540</v>
      </c>
      <c r="G1652" s="4">
        <v>15363</v>
      </c>
      <c r="H1652">
        <f>IFERROR(VLOOKUP(E1652,'GASB Match'!$A$2:$B$240,2,FALSE),"")</f>
        <v>1303570</v>
      </c>
    </row>
    <row r="1653" spans="1:8" x14ac:dyDescent="0.2">
      <c r="A1653">
        <v>1303570</v>
      </c>
      <c r="B1653" s="3">
        <v>2019</v>
      </c>
      <c r="C1653" t="s">
        <v>418</v>
      </c>
      <c r="D1653" t="s">
        <v>419</v>
      </c>
      <c r="E1653" t="s">
        <v>419</v>
      </c>
      <c r="F1653" s="4">
        <v>4244182</v>
      </c>
      <c r="G1653" s="4">
        <v>6369</v>
      </c>
      <c r="H1653">
        <f>IFERROR(VLOOKUP(E1653,'GASB Match'!$A$2:$B$240,2,FALSE),"")</f>
        <v>1303570</v>
      </c>
    </row>
    <row r="1654" spans="1:8" x14ac:dyDescent="0.2">
      <c r="A1654">
        <v>1303570</v>
      </c>
      <c r="B1654" s="3">
        <v>2020</v>
      </c>
      <c r="C1654" t="s">
        <v>418</v>
      </c>
      <c r="D1654" t="s">
        <v>419</v>
      </c>
      <c r="E1654" t="s">
        <v>419</v>
      </c>
      <c r="F1654" s="4">
        <v>4352030</v>
      </c>
      <c r="G1654" s="4">
        <v>6691</v>
      </c>
      <c r="H1654">
        <f>IFERROR(VLOOKUP(E1654,'GASB Match'!$A$2:$B$240,2,FALSE),"")</f>
        <v>1303570</v>
      </c>
    </row>
    <row r="1655" spans="1:8" x14ac:dyDescent="0.2">
      <c r="A1655">
        <v>1303570</v>
      </c>
      <c r="B1655" s="3">
        <v>2021</v>
      </c>
      <c r="C1655" t="s">
        <v>418</v>
      </c>
      <c r="D1655" t="s">
        <v>419</v>
      </c>
      <c r="E1655" t="s">
        <v>419</v>
      </c>
      <c r="F1655" s="4">
        <v>4048773</v>
      </c>
      <c r="G1655" s="4">
        <v>6277</v>
      </c>
      <c r="H1655">
        <f>IFERROR(VLOOKUP(E1655,'GASB Match'!$A$2:$B$240,2,FALSE),"")</f>
        <v>1303570</v>
      </c>
    </row>
    <row r="1656" spans="1:8" x14ac:dyDescent="0.2">
      <c r="A1656">
        <v>1303570</v>
      </c>
      <c r="B1656" s="3">
        <v>2022</v>
      </c>
      <c r="C1656" t="s">
        <v>418</v>
      </c>
      <c r="D1656" t="s">
        <v>419</v>
      </c>
      <c r="E1656" t="s">
        <v>419</v>
      </c>
      <c r="F1656" s="4">
        <v>4111163</v>
      </c>
      <c r="G1656" s="4">
        <v>6788</v>
      </c>
      <c r="H1656">
        <f>IFERROR(VLOOKUP(E1656,'GASB Match'!$A$2:$B$240,2,FALSE),"")</f>
        <v>1303570</v>
      </c>
    </row>
    <row r="1657" spans="1:8" x14ac:dyDescent="0.2">
      <c r="A1657">
        <v>1303570</v>
      </c>
      <c r="B1657" s="3">
        <v>2023</v>
      </c>
      <c r="C1657" t="s">
        <v>418</v>
      </c>
      <c r="D1657" t="s">
        <v>419</v>
      </c>
      <c r="E1657" t="s">
        <v>419</v>
      </c>
      <c r="F1657" s="4">
        <v>4293106</v>
      </c>
      <c r="G1657" s="4">
        <v>8005</v>
      </c>
      <c r="H1657">
        <f>IFERROR(VLOOKUP(E1657,'GASB Match'!$A$2:$B$240,2,FALSE),"")</f>
        <v>1303570</v>
      </c>
    </row>
    <row r="1658" spans="1:8" x14ac:dyDescent="0.2">
      <c r="A1658">
        <v>1303600</v>
      </c>
      <c r="B1658" s="3">
        <v>2015</v>
      </c>
      <c r="C1658" t="s">
        <v>420</v>
      </c>
      <c r="D1658" t="s">
        <v>421</v>
      </c>
      <c r="E1658" t="s">
        <v>421</v>
      </c>
      <c r="F1658" s="4">
        <v>1067596.1299999999</v>
      </c>
      <c r="G1658" s="4" t="s">
        <v>7</v>
      </c>
      <c r="H1658">
        <f>IFERROR(VLOOKUP(E1658,'GASB Match'!$A$2:$B$240,2,FALSE),"")</f>
        <v>1303600</v>
      </c>
    </row>
    <row r="1659" spans="1:8" x14ac:dyDescent="0.2">
      <c r="A1659">
        <v>1303600</v>
      </c>
      <c r="B1659" s="3">
        <v>2016</v>
      </c>
      <c r="C1659" t="s">
        <v>420</v>
      </c>
      <c r="D1659" t="s">
        <v>421</v>
      </c>
      <c r="E1659" t="s">
        <v>421</v>
      </c>
      <c r="F1659" s="4">
        <v>1159897.04</v>
      </c>
      <c r="G1659" s="4" t="s">
        <v>7</v>
      </c>
      <c r="H1659">
        <f>IFERROR(VLOOKUP(E1659,'GASB Match'!$A$2:$B$240,2,FALSE),"")</f>
        <v>1303600</v>
      </c>
    </row>
    <row r="1660" spans="1:8" x14ac:dyDescent="0.2">
      <c r="A1660">
        <v>1303600</v>
      </c>
      <c r="B1660" s="3">
        <v>2017</v>
      </c>
      <c r="C1660" t="s">
        <v>420</v>
      </c>
      <c r="D1660" t="s">
        <v>421</v>
      </c>
      <c r="E1660" t="s">
        <v>421</v>
      </c>
      <c r="F1660" s="4">
        <v>1144208</v>
      </c>
      <c r="G1660" s="4" t="s">
        <v>7</v>
      </c>
      <c r="H1660">
        <f>IFERROR(VLOOKUP(E1660,'GASB Match'!$A$2:$B$240,2,FALSE),"")</f>
        <v>1303600</v>
      </c>
    </row>
    <row r="1661" spans="1:8" x14ac:dyDescent="0.2">
      <c r="A1661">
        <v>1303600</v>
      </c>
      <c r="B1661" s="3">
        <v>2018</v>
      </c>
      <c r="C1661" t="s">
        <v>420</v>
      </c>
      <c r="D1661" t="s">
        <v>421</v>
      </c>
      <c r="E1661" t="s">
        <v>421</v>
      </c>
      <c r="F1661" s="4">
        <v>1316063</v>
      </c>
      <c r="G1661" s="4" t="s">
        <v>7</v>
      </c>
      <c r="H1661">
        <f>IFERROR(VLOOKUP(E1661,'GASB Match'!$A$2:$B$240,2,FALSE),"")</f>
        <v>1303600</v>
      </c>
    </row>
    <row r="1662" spans="1:8" x14ac:dyDescent="0.2">
      <c r="A1662">
        <v>1303600</v>
      </c>
      <c r="B1662" s="3">
        <v>2019</v>
      </c>
      <c r="C1662" t="s">
        <v>420</v>
      </c>
      <c r="D1662" t="s">
        <v>421</v>
      </c>
      <c r="E1662" t="s">
        <v>421</v>
      </c>
      <c r="F1662" s="4">
        <v>1667564</v>
      </c>
      <c r="G1662" s="4">
        <v>2121</v>
      </c>
      <c r="H1662">
        <f>IFERROR(VLOOKUP(E1662,'GASB Match'!$A$2:$B$240,2,FALSE),"")</f>
        <v>1303600</v>
      </c>
    </row>
    <row r="1663" spans="1:8" x14ac:dyDescent="0.2">
      <c r="A1663">
        <v>1303600</v>
      </c>
      <c r="B1663" s="3">
        <v>2020</v>
      </c>
      <c r="C1663" t="s">
        <v>420</v>
      </c>
      <c r="D1663" t="s">
        <v>421</v>
      </c>
      <c r="E1663" t="s">
        <v>421</v>
      </c>
      <c r="F1663" s="4">
        <v>1705165</v>
      </c>
      <c r="G1663" s="4">
        <v>29267</v>
      </c>
      <c r="H1663">
        <f>IFERROR(VLOOKUP(E1663,'GASB Match'!$A$2:$B$240,2,FALSE),"")</f>
        <v>1303600</v>
      </c>
    </row>
    <row r="1664" spans="1:8" x14ac:dyDescent="0.2">
      <c r="A1664">
        <v>1303600</v>
      </c>
      <c r="B1664" s="3">
        <v>2021</v>
      </c>
      <c r="C1664" t="s">
        <v>420</v>
      </c>
      <c r="D1664" t="s">
        <v>421</v>
      </c>
      <c r="E1664" t="s">
        <v>421</v>
      </c>
      <c r="F1664" s="4">
        <v>1525126</v>
      </c>
      <c r="G1664" s="4">
        <v>34577</v>
      </c>
      <c r="H1664">
        <f>IFERROR(VLOOKUP(E1664,'GASB Match'!$A$2:$B$240,2,FALSE),"")</f>
        <v>1303600</v>
      </c>
    </row>
    <row r="1665" spans="1:8" x14ac:dyDescent="0.2">
      <c r="A1665">
        <v>1303600</v>
      </c>
      <c r="B1665" s="3">
        <v>2022</v>
      </c>
      <c r="C1665" t="s">
        <v>420</v>
      </c>
      <c r="D1665" t="s">
        <v>421</v>
      </c>
      <c r="E1665" t="s">
        <v>421</v>
      </c>
      <c r="F1665" s="4">
        <v>1675453</v>
      </c>
      <c r="G1665" s="4">
        <v>37457</v>
      </c>
      <c r="H1665">
        <f>IFERROR(VLOOKUP(E1665,'GASB Match'!$A$2:$B$240,2,FALSE),"")</f>
        <v>1303600</v>
      </c>
    </row>
    <row r="1666" spans="1:8" x14ac:dyDescent="0.2">
      <c r="A1666">
        <v>1303600</v>
      </c>
      <c r="B1666" s="3">
        <v>2023</v>
      </c>
      <c r="C1666" t="s">
        <v>420</v>
      </c>
      <c r="D1666" t="s">
        <v>421</v>
      </c>
      <c r="E1666" t="s">
        <v>421</v>
      </c>
      <c r="F1666" s="4">
        <v>1789904</v>
      </c>
      <c r="G1666" s="4">
        <v>38755</v>
      </c>
      <c r="H1666">
        <f>IFERROR(VLOOKUP(E1666,'GASB Match'!$A$2:$B$240,2,FALSE),"")</f>
        <v>1303600</v>
      </c>
    </row>
    <row r="1667" spans="1:8" x14ac:dyDescent="0.2">
      <c r="A1667">
        <v>1303630</v>
      </c>
      <c r="B1667" s="3">
        <v>2015</v>
      </c>
      <c r="C1667" t="s">
        <v>422</v>
      </c>
      <c r="D1667" t="s">
        <v>423</v>
      </c>
      <c r="E1667" t="s">
        <v>423</v>
      </c>
      <c r="F1667" s="4">
        <v>2129185.2000000002</v>
      </c>
      <c r="G1667" s="4" t="s">
        <v>7</v>
      </c>
      <c r="H1667">
        <f>IFERROR(VLOOKUP(E1667,'GASB Match'!$A$2:$B$240,2,FALSE),"")</f>
        <v>1303630</v>
      </c>
    </row>
    <row r="1668" spans="1:8" x14ac:dyDescent="0.2">
      <c r="A1668">
        <v>1303630</v>
      </c>
      <c r="B1668" s="3">
        <v>2016</v>
      </c>
      <c r="C1668" t="s">
        <v>422</v>
      </c>
      <c r="D1668" t="s">
        <v>423</v>
      </c>
      <c r="E1668" t="s">
        <v>423</v>
      </c>
      <c r="F1668" s="4">
        <v>2233621.6800000002</v>
      </c>
      <c r="G1668" s="4">
        <v>59628.21</v>
      </c>
      <c r="H1668">
        <f>IFERROR(VLOOKUP(E1668,'GASB Match'!$A$2:$B$240,2,FALSE),"")</f>
        <v>1303630</v>
      </c>
    </row>
    <row r="1669" spans="1:8" x14ac:dyDescent="0.2">
      <c r="A1669">
        <v>1303630</v>
      </c>
      <c r="B1669" s="3">
        <v>2017</v>
      </c>
      <c r="C1669" t="s">
        <v>422</v>
      </c>
      <c r="D1669" t="s">
        <v>423</v>
      </c>
      <c r="E1669" t="s">
        <v>423</v>
      </c>
      <c r="F1669" s="4">
        <v>2207262</v>
      </c>
      <c r="G1669" s="4">
        <v>32437</v>
      </c>
      <c r="H1669">
        <f>IFERROR(VLOOKUP(E1669,'GASB Match'!$A$2:$B$240,2,FALSE),"")</f>
        <v>1303630</v>
      </c>
    </row>
    <row r="1670" spans="1:8" x14ac:dyDescent="0.2">
      <c r="A1670">
        <v>1303630</v>
      </c>
      <c r="B1670" s="3">
        <v>2018</v>
      </c>
      <c r="C1670" t="s">
        <v>422</v>
      </c>
      <c r="D1670" t="s">
        <v>423</v>
      </c>
      <c r="E1670" t="s">
        <v>423</v>
      </c>
      <c r="F1670" s="4">
        <v>2344649</v>
      </c>
      <c r="G1670" s="4">
        <v>26455</v>
      </c>
      <c r="H1670">
        <f>IFERROR(VLOOKUP(E1670,'GASB Match'!$A$2:$B$240,2,FALSE),"")</f>
        <v>1303630</v>
      </c>
    </row>
    <row r="1671" spans="1:8" x14ac:dyDescent="0.2">
      <c r="A1671">
        <v>1303630</v>
      </c>
      <c r="B1671" s="3">
        <v>2019</v>
      </c>
      <c r="C1671" t="s">
        <v>422</v>
      </c>
      <c r="D1671" t="s">
        <v>423</v>
      </c>
      <c r="E1671" t="s">
        <v>423</v>
      </c>
      <c r="F1671" s="4">
        <v>2994227</v>
      </c>
      <c r="G1671" s="4">
        <v>33330</v>
      </c>
      <c r="H1671">
        <f>IFERROR(VLOOKUP(E1671,'GASB Match'!$A$2:$B$240,2,FALSE),"")</f>
        <v>1303630</v>
      </c>
    </row>
    <row r="1672" spans="1:8" x14ac:dyDescent="0.2">
      <c r="A1672">
        <v>1303630</v>
      </c>
      <c r="B1672" s="3">
        <v>2020</v>
      </c>
      <c r="C1672" t="s">
        <v>422</v>
      </c>
      <c r="D1672" t="s">
        <v>423</v>
      </c>
      <c r="E1672" t="s">
        <v>423</v>
      </c>
      <c r="F1672" s="4">
        <v>3007662</v>
      </c>
      <c r="G1672" s="4">
        <v>35167</v>
      </c>
      <c r="H1672">
        <f>IFERROR(VLOOKUP(E1672,'GASB Match'!$A$2:$B$240,2,FALSE),"")</f>
        <v>1303630</v>
      </c>
    </row>
    <row r="1673" spans="1:8" x14ac:dyDescent="0.2">
      <c r="A1673">
        <v>1303630</v>
      </c>
      <c r="B1673" s="3">
        <v>2021</v>
      </c>
      <c r="C1673" t="s">
        <v>422</v>
      </c>
      <c r="D1673" t="s">
        <v>423</v>
      </c>
      <c r="E1673" t="s">
        <v>423</v>
      </c>
      <c r="F1673" s="4">
        <v>2610768</v>
      </c>
      <c r="G1673" s="4">
        <v>32306</v>
      </c>
      <c r="H1673">
        <f>IFERROR(VLOOKUP(E1673,'GASB Match'!$A$2:$B$240,2,FALSE),"")</f>
        <v>1303630</v>
      </c>
    </row>
    <row r="1674" spans="1:8" x14ac:dyDescent="0.2">
      <c r="A1674">
        <v>1303630</v>
      </c>
      <c r="B1674" s="3">
        <v>2022</v>
      </c>
      <c r="C1674" t="s">
        <v>422</v>
      </c>
      <c r="D1674" t="s">
        <v>423</v>
      </c>
      <c r="E1674" t="s">
        <v>423</v>
      </c>
      <c r="F1674" s="4">
        <v>2815813</v>
      </c>
      <c r="G1674" s="4">
        <v>34315</v>
      </c>
      <c r="H1674">
        <f>IFERROR(VLOOKUP(E1674,'GASB Match'!$A$2:$B$240,2,FALSE),"")</f>
        <v>1303630</v>
      </c>
    </row>
    <row r="1675" spans="1:8" x14ac:dyDescent="0.2">
      <c r="A1675">
        <v>1303630</v>
      </c>
      <c r="B1675" s="3">
        <v>2023</v>
      </c>
      <c r="C1675" t="s">
        <v>422</v>
      </c>
      <c r="D1675" t="s">
        <v>423</v>
      </c>
      <c r="E1675" t="s">
        <v>423</v>
      </c>
      <c r="F1675" s="4">
        <v>2898069</v>
      </c>
      <c r="G1675" s="4">
        <v>35653</v>
      </c>
      <c r="H1675">
        <f>IFERROR(VLOOKUP(E1675,'GASB Match'!$A$2:$B$240,2,FALSE),"")</f>
        <v>1303630</v>
      </c>
    </row>
    <row r="1676" spans="1:8" x14ac:dyDescent="0.2">
      <c r="A1676" t="s">
        <v>7</v>
      </c>
      <c r="B1676" s="3">
        <v>2015</v>
      </c>
      <c r="C1676" t="s">
        <v>424</v>
      </c>
      <c r="D1676" t="s">
        <v>425</v>
      </c>
      <c r="E1676" t="s">
        <v>425</v>
      </c>
      <c r="F1676" s="4">
        <v>47293.49</v>
      </c>
      <c r="G1676" s="4" t="s">
        <v>7</v>
      </c>
      <c r="H1676" t="str">
        <f>IFERROR(VLOOKUP(E1676,'GASB Match'!$A$2:$B$240,2,FALSE),"")</f>
        <v/>
      </c>
    </row>
    <row r="1677" spans="1:8" x14ac:dyDescent="0.2">
      <c r="A1677" t="s">
        <v>7</v>
      </c>
      <c r="B1677" s="3">
        <v>2016</v>
      </c>
      <c r="C1677" t="s">
        <v>424</v>
      </c>
      <c r="D1677" t="s">
        <v>425</v>
      </c>
      <c r="E1677" t="s">
        <v>425</v>
      </c>
      <c r="F1677" s="4">
        <v>51020.68</v>
      </c>
      <c r="G1677" s="4" t="s">
        <v>7</v>
      </c>
      <c r="H1677" t="str">
        <f>IFERROR(VLOOKUP(E1677,'GASB Match'!$A$2:$B$240,2,FALSE),"")</f>
        <v/>
      </c>
    </row>
    <row r="1678" spans="1:8" x14ac:dyDescent="0.2">
      <c r="A1678" t="s">
        <v>7</v>
      </c>
      <c r="B1678" s="3">
        <v>2017</v>
      </c>
      <c r="C1678" t="s">
        <v>424</v>
      </c>
      <c r="D1678" t="s">
        <v>425</v>
      </c>
      <c r="E1678" t="s">
        <v>425</v>
      </c>
      <c r="F1678" s="4">
        <v>56896</v>
      </c>
      <c r="G1678" s="4" t="s">
        <v>7</v>
      </c>
      <c r="H1678" t="str">
        <f>IFERROR(VLOOKUP(E1678,'GASB Match'!$A$2:$B$240,2,FALSE),"")</f>
        <v/>
      </c>
    </row>
    <row r="1679" spans="1:8" x14ac:dyDescent="0.2">
      <c r="A1679" t="s">
        <v>7</v>
      </c>
      <c r="B1679" s="3">
        <v>2018</v>
      </c>
      <c r="C1679" t="s">
        <v>424</v>
      </c>
      <c r="D1679" t="s">
        <v>425</v>
      </c>
      <c r="E1679" t="s">
        <v>425</v>
      </c>
      <c r="F1679" s="4">
        <v>67584</v>
      </c>
      <c r="G1679" s="4" t="s">
        <v>7</v>
      </c>
      <c r="H1679" t="str">
        <f>IFERROR(VLOOKUP(E1679,'GASB Match'!$A$2:$B$240,2,FALSE),"")</f>
        <v/>
      </c>
    </row>
    <row r="1680" spans="1:8" x14ac:dyDescent="0.2">
      <c r="A1680" t="s">
        <v>7</v>
      </c>
      <c r="B1680" s="3">
        <v>2019</v>
      </c>
      <c r="C1680" t="s">
        <v>424</v>
      </c>
      <c r="D1680" t="s">
        <v>425</v>
      </c>
      <c r="E1680" t="s">
        <v>425</v>
      </c>
      <c r="F1680" s="4">
        <v>81724</v>
      </c>
      <c r="G1680" s="4" t="s">
        <v>7</v>
      </c>
      <c r="H1680" t="str">
        <f>IFERROR(VLOOKUP(E1680,'GASB Match'!$A$2:$B$240,2,FALSE),"")</f>
        <v/>
      </c>
    </row>
    <row r="1681" spans="1:8" x14ac:dyDescent="0.2">
      <c r="A1681" t="s">
        <v>7</v>
      </c>
      <c r="B1681" s="3">
        <v>2020</v>
      </c>
      <c r="C1681" t="s">
        <v>424</v>
      </c>
      <c r="D1681" t="s">
        <v>425</v>
      </c>
      <c r="E1681" t="s">
        <v>425</v>
      </c>
      <c r="F1681" s="4">
        <v>94449</v>
      </c>
      <c r="G1681" s="4" t="s">
        <v>7</v>
      </c>
      <c r="H1681" t="str">
        <f>IFERROR(VLOOKUP(E1681,'GASB Match'!$A$2:$B$240,2,FALSE),"")</f>
        <v/>
      </c>
    </row>
    <row r="1682" spans="1:8" x14ac:dyDescent="0.2">
      <c r="A1682" t="s">
        <v>7</v>
      </c>
      <c r="B1682" s="3">
        <v>2021</v>
      </c>
      <c r="C1682" t="s">
        <v>424</v>
      </c>
      <c r="D1682" t="s">
        <v>425</v>
      </c>
      <c r="E1682" t="s">
        <v>425</v>
      </c>
      <c r="F1682" s="4">
        <v>80462</v>
      </c>
      <c r="G1682" s="4" t="s">
        <v>7</v>
      </c>
      <c r="H1682" t="str">
        <f>IFERROR(VLOOKUP(E1682,'GASB Match'!$A$2:$B$240,2,FALSE),"")</f>
        <v/>
      </c>
    </row>
    <row r="1683" spans="1:8" x14ac:dyDescent="0.2">
      <c r="A1683" t="s">
        <v>7</v>
      </c>
      <c r="B1683" s="3">
        <v>2022</v>
      </c>
      <c r="C1683" t="s">
        <v>424</v>
      </c>
      <c r="D1683" t="s">
        <v>425</v>
      </c>
      <c r="E1683" t="s">
        <v>425</v>
      </c>
      <c r="F1683" s="4">
        <v>79214</v>
      </c>
      <c r="G1683" s="4" t="s">
        <v>7</v>
      </c>
      <c r="H1683" t="str">
        <f>IFERROR(VLOOKUP(E1683,'GASB Match'!$A$2:$B$240,2,FALSE),"")</f>
        <v/>
      </c>
    </row>
    <row r="1684" spans="1:8" x14ac:dyDescent="0.2">
      <c r="A1684" t="s">
        <v>7</v>
      </c>
      <c r="B1684" s="3">
        <v>2023</v>
      </c>
      <c r="C1684" t="s">
        <v>424</v>
      </c>
      <c r="D1684" t="s">
        <v>425</v>
      </c>
      <c r="E1684" t="s">
        <v>425</v>
      </c>
      <c r="F1684" s="4">
        <v>91915</v>
      </c>
      <c r="G1684" s="4" t="s">
        <v>7</v>
      </c>
      <c r="H1684" t="str">
        <f>IFERROR(VLOOKUP(E1684,'GASB Match'!$A$2:$B$240,2,FALSE),"")</f>
        <v/>
      </c>
    </row>
    <row r="1685" spans="1:8" x14ac:dyDescent="0.2">
      <c r="A1685">
        <v>1303660</v>
      </c>
      <c r="B1685" s="3">
        <v>2015</v>
      </c>
      <c r="C1685" t="s">
        <v>426</v>
      </c>
      <c r="D1685" t="s">
        <v>427</v>
      </c>
      <c r="E1685" t="s">
        <v>427</v>
      </c>
      <c r="F1685" s="4">
        <v>700520.47</v>
      </c>
      <c r="G1685" s="4" t="s">
        <v>7</v>
      </c>
      <c r="H1685">
        <f>IFERROR(VLOOKUP(E1685,'GASB Match'!$A$2:$B$240,2,FALSE),"")</f>
        <v>1303660</v>
      </c>
    </row>
    <row r="1686" spans="1:8" x14ac:dyDescent="0.2">
      <c r="A1686">
        <v>1303660</v>
      </c>
      <c r="B1686" s="3">
        <v>2016</v>
      </c>
      <c r="C1686" t="s">
        <v>426</v>
      </c>
      <c r="D1686" t="s">
        <v>427</v>
      </c>
      <c r="E1686" t="s">
        <v>427</v>
      </c>
      <c r="F1686" s="4">
        <v>718707.5</v>
      </c>
      <c r="G1686" s="4" t="s">
        <v>7</v>
      </c>
      <c r="H1686">
        <f>IFERROR(VLOOKUP(E1686,'GASB Match'!$A$2:$B$240,2,FALSE),"")</f>
        <v>1303660</v>
      </c>
    </row>
    <row r="1687" spans="1:8" x14ac:dyDescent="0.2">
      <c r="A1687">
        <v>1303660</v>
      </c>
      <c r="B1687" s="3">
        <v>2017</v>
      </c>
      <c r="C1687" t="s">
        <v>426</v>
      </c>
      <c r="D1687" t="s">
        <v>427</v>
      </c>
      <c r="E1687" t="s">
        <v>427</v>
      </c>
      <c r="F1687" s="4">
        <v>722991</v>
      </c>
      <c r="G1687" s="4" t="s">
        <v>7</v>
      </c>
      <c r="H1687">
        <f>IFERROR(VLOOKUP(E1687,'GASB Match'!$A$2:$B$240,2,FALSE),"")</f>
        <v>1303660</v>
      </c>
    </row>
    <row r="1688" spans="1:8" x14ac:dyDescent="0.2">
      <c r="A1688">
        <v>1303660</v>
      </c>
      <c r="B1688" s="3">
        <v>2018</v>
      </c>
      <c r="C1688" t="s">
        <v>426</v>
      </c>
      <c r="D1688" t="s">
        <v>427</v>
      </c>
      <c r="E1688" t="s">
        <v>427</v>
      </c>
      <c r="F1688" s="4">
        <v>875871</v>
      </c>
      <c r="G1688" s="4" t="s">
        <v>7</v>
      </c>
      <c r="H1688">
        <f>IFERROR(VLOOKUP(E1688,'GASB Match'!$A$2:$B$240,2,FALSE),"")</f>
        <v>1303660</v>
      </c>
    </row>
    <row r="1689" spans="1:8" x14ac:dyDescent="0.2">
      <c r="A1689">
        <v>1303660</v>
      </c>
      <c r="B1689" s="3">
        <v>2019</v>
      </c>
      <c r="C1689" t="s">
        <v>426</v>
      </c>
      <c r="D1689" t="s">
        <v>427</v>
      </c>
      <c r="E1689" t="s">
        <v>427</v>
      </c>
      <c r="F1689" s="4">
        <v>1087887</v>
      </c>
      <c r="G1689" s="4" t="s">
        <v>7</v>
      </c>
      <c r="H1689">
        <f>IFERROR(VLOOKUP(E1689,'GASB Match'!$A$2:$B$240,2,FALSE),"")</f>
        <v>1303660</v>
      </c>
    </row>
    <row r="1690" spans="1:8" x14ac:dyDescent="0.2">
      <c r="A1690">
        <v>1303660</v>
      </c>
      <c r="B1690" s="3">
        <v>2020</v>
      </c>
      <c r="C1690" t="s">
        <v>426</v>
      </c>
      <c r="D1690" t="s">
        <v>427</v>
      </c>
      <c r="E1690" t="s">
        <v>427</v>
      </c>
      <c r="F1690" s="4">
        <v>1084669</v>
      </c>
      <c r="G1690" s="4" t="s">
        <v>7</v>
      </c>
      <c r="H1690">
        <f>IFERROR(VLOOKUP(E1690,'GASB Match'!$A$2:$B$240,2,FALSE),"")</f>
        <v>1303660</v>
      </c>
    </row>
    <row r="1691" spans="1:8" x14ac:dyDescent="0.2">
      <c r="A1691">
        <v>1303660</v>
      </c>
      <c r="B1691" s="3">
        <v>2021</v>
      </c>
      <c r="C1691" t="s">
        <v>426</v>
      </c>
      <c r="D1691" t="s">
        <v>427</v>
      </c>
      <c r="E1691" t="s">
        <v>427</v>
      </c>
      <c r="F1691" s="4">
        <v>951918</v>
      </c>
      <c r="G1691" s="4" t="s">
        <v>7</v>
      </c>
      <c r="H1691">
        <f>IFERROR(VLOOKUP(E1691,'GASB Match'!$A$2:$B$240,2,FALSE),"")</f>
        <v>1303660</v>
      </c>
    </row>
    <row r="1692" spans="1:8" x14ac:dyDescent="0.2">
      <c r="A1692">
        <v>1303660</v>
      </c>
      <c r="B1692" s="3">
        <v>2022</v>
      </c>
      <c r="C1692" t="s">
        <v>426</v>
      </c>
      <c r="D1692" t="s">
        <v>427</v>
      </c>
      <c r="E1692" t="s">
        <v>427</v>
      </c>
      <c r="F1692" s="4">
        <v>969331</v>
      </c>
      <c r="G1692" s="4" t="s">
        <v>7</v>
      </c>
      <c r="H1692">
        <f>IFERROR(VLOOKUP(E1692,'GASB Match'!$A$2:$B$240,2,FALSE),"")</f>
        <v>1303660</v>
      </c>
    </row>
    <row r="1693" spans="1:8" x14ac:dyDescent="0.2">
      <c r="A1693">
        <v>1303660</v>
      </c>
      <c r="B1693" s="3">
        <v>2023</v>
      </c>
      <c r="C1693" t="s">
        <v>426</v>
      </c>
      <c r="D1693" t="s">
        <v>427</v>
      </c>
      <c r="E1693" t="s">
        <v>427</v>
      </c>
      <c r="F1693" s="4">
        <v>1039222</v>
      </c>
      <c r="G1693" s="4" t="s">
        <v>7</v>
      </c>
      <c r="H1693">
        <f>IFERROR(VLOOKUP(E1693,'GASB Match'!$A$2:$B$240,2,FALSE),"")</f>
        <v>1303660</v>
      </c>
    </row>
    <row r="1694" spans="1:8" x14ac:dyDescent="0.2">
      <c r="A1694">
        <v>1303690</v>
      </c>
      <c r="B1694" s="3">
        <v>2015</v>
      </c>
      <c r="C1694" t="s">
        <v>428</v>
      </c>
      <c r="D1694" t="s">
        <v>429</v>
      </c>
      <c r="E1694" t="s">
        <v>429</v>
      </c>
      <c r="F1694" s="4">
        <v>1423672.66</v>
      </c>
      <c r="G1694" s="4">
        <v>43492.82</v>
      </c>
      <c r="H1694">
        <f>IFERROR(VLOOKUP(E1694,'GASB Match'!$A$2:$B$240,2,FALSE),"")</f>
        <v>1303690</v>
      </c>
    </row>
    <row r="1695" spans="1:8" x14ac:dyDescent="0.2">
      <c r="A1695">
        <v>1303690</v>
      </c>
      <c r="B1695" s="3">
        <v>2016</v>
      </c>
      <c r="C1695" t="s">
        <v>428</v>
      </c>
      <c r="D1695" t="s">
        <v>429</v>
      </c>
      <c r="E1695" t="s">
        <v>429</v>
      </c>
      <c r="F1695" s="4">
        <v>1479334.14</v>
      </c>
      <c r="G1695" s="4">
        <v>43337.69</v>
      </c>
      <c r="H1695">
        <f>IFERROR(VLOOKUP(E1695,'GASB Match'!$A$2:$B$240,2,FALSE),"")</f>
        <v>1303690</v>
      </c>
    </row>
    <row r="1696" spans="1:8" x14ac:dyDescent="0.2">
      <c r="A1696">
        <v>1303690</v>
      </c>
      <c r="B1696" s="3">
        <v>2017</v>
      </c>
      <c r="C1696" t="s">
        <v>428</v>
      </c>
      <c r="D1696" t="s">
        <v>429</v>
      </c>
      <c r="E1696" t="s">
        <v>429</v>
      </c>
      <c r="F1696" s="4">
        <v>1516379</v>
      </c>
      <c r="G1696" s="4">
        <v>36737</v>
      </c>
      <c r="H1696">
        <f>IFERROR(VLOOKUP(E1696,'GASB Match'!$A$2:$B$240,2,FALSE),"")</f>
        <v>1303690</v>
      </c>
    </row>
    <row r="1697" spans="1:8" x14ac:dyDescent="0.2">
      <c r="A1697">
        <v>1303690</v>
      </c>
      <c r="B1697" s="3">
        <v>2018</v>
      </c>
      <c r="C1697" t="s">
        <v>428</v>
      </c>
      <c r="D1697" t="s">
        <v>429</v>
      </c>
      <c r="E1697" t="s">
        <v>429</v>
      </c>
      <c r="F1697" s="4">
        <v>1664942</v>
      </c>
      <c r="G1697" s="4">
        <v>32756</v>
      </c>
      <c r="H1697">
        <f>IFERROR(VLOOKUP(E1697,'GASB Match'!$A$2:$B$240,2,FALSE),"")</f>
        <v>1303690</v>
      </c>
    </row>
    <row r="1698" spans="1:8" x14ac:dyDescent="0.2">
      <c r="A1698">
        <v>1303690</v>
      </c>
      <c r="B1698" s="3">
        <v>2019</v>
      </c>
      <c r="C1698" t="s">
        <v>428</v>
      </c>
      <c r="D1698" t="s">
        <v>429</v>
      </c>
      <c r="E1698" t="s">
        <v>429</v>
      </c>
      <c r="F1698" s="4">
        <v>2105556</v>
      </c>
      <c r="G1698" s="4">
        <v>41853</v>
      </c>
      <c r="H1698">
        <f>IFERROR(VLOOKUP(E1698,'GASB Match'!$A$2:$B$240,2,FALSE),"")</f>
        <v>1303690</v>
      </c>
    </row>
    <row r="1699" spans="1:8" x14ac:dyDescent="0.2">
      <c r="A1699">
        <v>1303690</v>
      </c>
      <c r="B1699" s="3">
        <v>2020</v>
      </c>
      <c r="C1699" t="s">
        <v>428</v>
      </c>
      <c r="D1699" t="s">
        <v>429</v>
      </c>
      <c r="E1699" t="s">
        <v>429</v>
      </c>
      <c r="F1699" s="4">
        <v>2240316</v>
      </c>
      <c r="G1699" s="4">
        <v>43355</v>
      </c>
      <c r="H1699">
        <f>IFERROR(VLOOKUP(E1699,'GASB Match'!$A$2:$B$240,2,FALSE),"")</f>
        <v>1303690</v>
      </c>
    </row>
    <row r="1700" spans="1:8" x14ac:dyDescent="0.2">
      <c r="A1700">
        <v>1303690</v>
      </c>
      <c r="B1700" s="3">
        <v>2021</v>
      </c>
      <c r="C1700" t="s">
        <v>428</v>
      </c>
      <c r="D1700" t="s">
        <v>429</v>
      </c>
      <c r="E1700" t="s">
        <v>429</v>
      </c>
      <c r="F1700" s="4">
        <v>1892134</v>
      </c>
      <c r="G1700" s="4">
        <v>32477</v>
      </c>
      <c r="H1700">
        <f>IFERROR(VLOOKUP(E1700,'GASB Match'!$A$2:$B$240,2,FALSE),"")</f>
        <v>1303690</v>
      </c>
    </row>
    <row r="1701" spans="1:8" x14ac:dyDescent="0.2">
      <c r="A1701">
        <v>1303690</v>
      </c>
      <c r="B1701" s="3">
        <v>2022</v>
      </c>
      <c r="C1701" t="s">
        <v>428</v>
      </c>
      <c r="D1701" t="s">
        <v>429</v>
      </c>
      <c r="E1701" t="s">
        <v>429</v>
      </c>
      <c r="F1701" s="4">
        <v>2077734</v>
      </c>
      <c r="G1701" s="4">
        <v>35707</v>
      </c>
      <c r="H1701">
        <f>IFERROR(VLOOKUP(E1701,'GASB Match'!$A$2:$B$240,2,FALSE),"")</f>
        <v>1303690</v>
      </c>
    </row>
    <row r="1702" spans="1:8" x14ac:dyDescent="0.2">
      <c r="A1702">
        <v>1303690</v>
      </c>
      <c r="B1702" s="3">
        <v>2023</v>
      </c>
      <c r="C1702" t="s">
        <v>428</v>
      </c>
      <c r="D1702" t="s">
        <v>429</v>
      </c>
      <c r="E1702" t="s">
        <v>429</v>
      </c>
      <c r="F1702" s="4">
        <v>2271316</v>
      </c>
      <c r="G1702" s="4">
        <v>37435</v>
      </c>
      <c r="H1702">
        <f>IFERROR(VLOOKUP(E1702,'GASB Match'!$A$2:$B$240,2,FALSE),"")</f>
        <v>1303690</v>
      </c>
    </row>
    <row r="1703" spans="1:8" x14ac:dyDescent="0.2">
      <c r="A1703" t="s">
        <v>7</v>
      </c>
      <c r="B1703" s="3">
        <v>2015</v>
      </c>
      <c r="C1703" t="s">
        <v>430</v>
      </c>
      <c r="D1703" t="s">
        <v>432</v>
      </c>
      <c r="E1703" t="s">
        <v>431</v>
      </c>
      <c r="F1703" s="4">
        <v>33363.769999999997</v>
      </c>
      <c r="G1703" s="4" t="s">
        <v>7</v>
      </c>
      <c r="H1703" t="str">
        <f>IFERROR(VLOOKUP(E1703,'GASB Match'!$A$2:$B$240,2,FALSE),"")</f>
        <v/>
      </c>
    </row>
    <row r="1704" spans="1:8" x14ac:dyDescent="0.2">
      <c r="A1704" t="s">
        <v>7</v>
      </c>
      <c r="B1704" s="3">
        <v>2016</v>
      </c>
      <c r="C1704" t="s">
        <v>430</v>
      </c>
      <c r="D1704" t="s">
        <v>432</v>
      </c>
      <c r="E1704" t="s">
        <v>431</v>
      </c>
      <c r="F1704" s="4">
        <v>36239.99</v>
      </c>
      <c r="G1704" s="4" t="s">
        <v>7</v>
      </c>
      <c r="H1704" t="str">
        <f>IFERROR(VLOOKUP(E1704,'GASB Match'!$A$2:$B$240,2,FALSE),"")</f>
        <v/>
      </c>
    </row>
    <row r="1705" spans="1:8" x14ac:dyDescent="0.2">
      <c r="A1705" t="s">
        <v>7</v>
      </c>
      <c r="B1705" s="3">
        <v>2017</v>
      </c>
      <c r="C1705" t="s">
        <v>430</v>
      </c>
      <c r="D1705" t="s">
        <v>432</v>
      </c>
      <c r="E1705" t="s">
        <v>431</v>
      </c>
      <c r="F1705" s="4">
        <v>42501</v>
      </c>
      <c r="G1705" s="4" t="s">
        <v>7</v>
      </c>
      <c r="H1705" t="str">
        <f>IFERROR(VLOOKUP(E1705,'GASB Match'!$A$2:$B$240,2,FALSE),"")</f>
        <v/>
      </c>
    </row>
    <row r="1706" spans="1:8" x14ac:dyDescent="0.2">
      <c r="A1706" t="s">
        <v>7</v>
      </c>
      <c r="B1706" s="3">
        <v>2018</v>
      </c>
      <c r="C1706" t="s">
        <v>430</v>
      </c>
      <c r="D1706" t="s">
        <v>432</v>
      </c>
      <c r="E1706" t="s">
        <v>431</v>
      </c>
      <c r="F1706" s="4">
        <v>50155</v>
      </c>
      <c r="G1706" s="4" t="s">
        <v>7</v>
      </c>
      <c r="H1706" t="str">
        <f>IFERROR(VLOOKUP(E1706,'GASB Match'!$A$2:$B$240,2,FALSE),"")</f>
        <v/>
      </c>
    </row>
    <row r="1707" spans="1:8" x14ac:dyDescent="0.2">
      <c r="A1707" t="s">
        <v>7</v>
      </c>
      <c r="B1707" s="3">
        <v>2019</v>
      </c>
      <c r="C1707" t="s">
        <v>430</v>
      </c>
      <c r="D1707" t="s">
        <v>432</v>
      </c>
      <c r="E1707" t="s">
        <v>431</v>
      </c>
      <c r="F1707" s="4">
        <v>61350</v>
      </c>
      <c r="G1707" s="4" t="s">
        <v>7</v>
      </c>
      <c r="H1707" t="str">
        <f>IFERROR(VLOOKUP(E1707,'GASB Match'!$A$2:$B$240,2,FALSE),"")</f>
        <v/>
      </c>
    </row>
    <row r="1708" spans="1:8" x14ac:dyDescent="0.2">
      <c r="A1708" t="s">
        <v>7</v>
      </c>
      <c r="B1708" s="3">
        <v>2020</v>
      </c>
      <c r="C1708" t="s">
        <v>430</v>
      </c>
      <c r="D1708" t="s">
        <v>432</v>
      </c>
      <c r="E1708" t="s">
        <v>431</v>
      </c>
      <c r="F1708" s="4">
        <v>51614</v>
      </c>
      <c r="G1708" s="4" t="s">
        <v>7</v>
      </c>
      <c r="H1708" t="str">
        <f>IFERROR(VLOOKUP(E1708,'GASB Match'!$A$2:$B$240,2,FALSE),"")</f>
        <v/>
      </c>
    </row>
    <row r="1709" spans="1:8" x14ac:dyDescent="0.2">
      <c r="A1709" t="s">
        <v>7</v>
      </c>
      <c r="B1709" s="3">
        <v>2021</v>
      </c>
      <c r="C1709" t="s">
        <v>430</v>
      </c>
      <c r="D1709" t="s">
        <v>433</v>
      </c>
      <c r="E1709" t="s">
        <v>431</v>
      </c>
      <c r="F1709" s="4">
        <v>52166</v>
      </c>
      <c r="G1709" s="4" t="s">
        <v>7</v>
      </c>
      <c r="H1709" t="str">
        <f>IFERROR(VLOOKUP(E1709,'GASB Match'!$A$2:$B$240,2,FALSE),"")</f>
        <v/>
      </c>
    </row>
    <row r="1710" spans="1:8" x14ac:dyDescent="0.2">
      <c r="A1710" t="s">
        <v>7</v>
      </c>
      <c r="B1710" s="3">
        <v>2022</v>
      </c>
      <c r="C1710" t="s">
        <v>430</v>
      </c>
      <c r="D1710" t="s">
        <v>431</v>
      </c>
      <c r="E1710" t="s">
        <v>431</v>
      </c>
      <c r="F1710" s="4">
        <v>58006</v>
      </c>
      <c r="G1710" s="4" t="s">
        <v>7</v>
      </c>
      <c r="H1710" t="str">
        <f>IFERROR(VLOOKUP(E1710,'GASB Match'!$A$2:$B$240,2,FALSE),"")</f>
        <v/>
      </c>
    </row>
    <row r="1711" spans="1:8" x14ac:dyDescent="0.2">
      <c r="A1711" t="s">
        <v>7</v>
      </c>
      <c r="B1711" s="3">
        <v>2023</v>
      </c>
      <c r="C1711" t="s">
        <v>430</v>
      </c>
      <c r="D1711" t="s">
        <v>431</v>
      </c>
      <c r="E1711" t="s">
        <v>431</v>
      </c>
      <c r="F1711" s="4">
        <v>56694</v>
      </c>
      <c r="G1711" s="4" t="s">
        <v>7</v>
      </c>
      <c r="H1711" t="str">
        <f>IFERROR(VLOOKUP(E1711,'GASB Match'!$A$2:$B$240,2,FALSE),"")</f>
        <v/>
      </c>
    </row>
    <row r="1712" spans="1:8" x14ac:dyDescent="0.2">
      <c r="A1712">
        <v>1303720</v>
      </c>
      <c r="B1712" s="3">
        <v>2015</v>
      </c>
      <c r="C1712" t="s">
        <v>434</v>
      </c>
      <c r="D1712" t="s">
        <v>435</v>
      </c>
      <c r="E1712" t="s">
        <v>435</v>
      </c>
      <c r="F1712" s="4">
        <v>2694337.25</v>
      </c>
      <c r="G1712" s="4">
        <v>26661.66</v>
      </c>
      <c r="H1712">
        <f>IFERROR(VLOOKUP(E1712,'GASB Match'!$A$2:$B$240,2,FALSE),"")</f>
        <v>1303720</v>
      </c>
    </row>
    <row r="1713" spans="1:8" x14ac:dyDescent="0.2">
      <c r="A1713">
        <v>1303720</v>
      </c>
      <c r="B1713" s="3">
        <v>2016</v>
      </c>
      <c r="C1713" t="s">
        <v>434</v>
      </c>
      <c r="D1713" t="s">
        <v>435</v>
      </c>
      <c r="E1713" t="s">
        <v>435</v>
      </c>
      <c r="F1713" s="4">
        <v>3014120.91</v>
      </c>
      <c r="G1713" s="4">
        <v>37657.67</v>
      </c>
      <c r="H1713">
        <f>IFERROR(VLOOKUP(E1713,'GASB Match'!$A$2:$B$240,2,FALSE),"")</f>
        <v>1303720</v>
      </c>
    </row>
    <row r="1714" spans="1:8" x14ac:dyDescent="0.2">
      <c r="A1714">
        <v>1303720</v>
      </c>
      <c r="B1714" s="3">
        <v>2017</v>
      </c>
      <c r="C1714" t="s">
        <v>434</v>
      </c>
      <c r="D1714" t="s">
        <v>435</v>
      </c>
      <c r="E1714" t="s">
        <v>435</v>
      </c>
      <c r="F1714" s="4">
        <v>3139982</v>
      </c>
      <c r="G1714" s="4">
        <v>22164</v>
      </c>
      <c r="H1714">
        <f>IFERROR(VLOOKUP(E1714,'GASB Match'!$A$2:$B$240,2,FALSE),"")</f>
        <v>1303720</v>
      </c>
    </row>
    <row r="1715" spans="1:8" x14ac:dyDescent="0.2">
      <c r="A1715">
        <v>1303720</v>
      </c>
      <c r="B1715" s="3">
        <v>2018</v>
      </c>
      <c r="C1715" t="s">
        <v>434</v>
      </c>
      <c r="D1715" t="s">
        <v>435</v>
      </c>
      <c r="E1715" t="s">
        <v>435</v>
      </c>
      <c r="F1715" s="4">
        <v>3848593</v>
      </c>
      <c r="G1715" s="4">
        <v>15039</v>
      </c>
      <c r="H1715">
        <f>IFERROR(VLOOKUP(E1715,'GASB Match'!$A$2:$B$240,2,FALSE),"")</f>
        <v>1303720</v>
      </c>
    </row>
    <row r="1716" spans="1:8" x14ac:dyDescent="0.2">
      <c r="A1716">
        <v>1303720</v>
      </c>
      <c r="B1716" s="3">
        <v>2019</v>
      </c>
      <c r="C1716" t="s">
        <v>434</v>
      </c>
      <c r="D1716" t="s">
        <v>435</v>
      </c>
      <c r="E1716" t="s">
        <v>435</v>
      </c>
      <c r="F1716" s="4">
        <v>4889428</v>
      </c>
      <c r="G1716" s="4">
        <v>18885</v>
      </c>
      <c r="H1716">
        <f>IFERROR(VLOOKUP(E1716,'GASB Match'!$A$2:$B$240,2,FALSE),"")</f>
        <v>1303720</v>
      </c>
    </row>
    <row r="1717" spans="1:8" x14ac:dyDescent="0.2">
      <c r="A1717">
        <v>1303720</v>
      </c>
      <c r="B1717" s="3">
        <v>2020</v>
      </c>
      <c r="C1717" t="s">
        <v>434</v>
      </c>
      <c r="D1717" t="s">
        <v>435</v>
      </c>
      <c r="E1717" t="s">
        <v>435</v>
      </c>
      <c r="F1717" s="4">
        <v>5244080</v>
      </c>
      <c r="G1717" s="4">
        <v>16708</v>
      </c>
      <c r="H1717">
        <f>IFERROR(VLOOKUP(E1717,'GASB Match'!$A$2:$B$240,2,FALSE),"")</f>
        <v>1303720</v>
      </c>
    </row>
    <row r="1718" spans="1:8" x14ac:dyDescent="0.2">
      <c r="A1718">
        <v>1303720</v>
      </c>
      <c r="B1718" s="3">
        <v>2021</v>
      </c>
      <c r="C1718" t="s">
        <v>434</v>
      </c>
      <c r="D1718" t="s">
        <v>435</v>
      </c>
      <c r="E1718" t="s">
        <v>435</v>
      </c>
      <c r="F1718" s="4">
        <v>4975065</v>
      </c>
      <c r="G1718" s="4">
        <v>17770</v>
      </c>
      <c r="H1718">
        <f>IFERROR(VLOOKUP(E1718,'GASB Match'!$A$2:$B$240,2,FALSE),"")</f>
        <v>1303720</v>
      </c>
    </row>
    <row r="1719" spans="1:8" x14ac:dyDescent="0.2">
      <c r="A1719">
        <v>1303720</v>
      </c>
      <c r="B1719" s="3">
        <v>2022</v>
      </c>
      <c r="C1719" t="s">
        <v>434</v>
      </c>
      <c r="D1719" t="s">
        <v>435</v>
      </c>
      <c r="E1719" t="s">
        <v>435</v>
      </c>
      <c r="F1719" s="4">
        <v>5299698</v>
      </c>
      <c r="G1719" s="4">
        <v>19382</v>
      </c>
      <c r="H1719">
        <f>IFERROR(VLOOKUP(E1719,'GASB Match'!$A$2:$B$240,2,FALSE),"")</f>
        <v>1303720</v>
      </c>
    </row>
    <row r="1720" spans="1:8" x14ac:dyDescent="0.2">
      <c r="A1720">
        <v>1303720</v>
      </c>
      <c r="B1720" s="3">
        <v>2023</v>
      </c>
      <c r="C1720" t="s">
        <v>434</v>
      </c>
      <c r="D1720" t="s">
        <v>435</v>
      </c>
      <c r="E1720" t="s">
        <v>435</v>
      </c>
      <c r="F1720" s="4">
        <v>5572123</v>
      </c>
      <c r="G1720" s="4">
        <v>20177</v>
      </c>
      <c r="H1720">
        <f>IFERROR(VLOOKUP(E1720,'GASB Match'!$A$2:$B$240,2,FALSE),"")</f>
        <v>1303720</v>
      </c>
    </row>
    <row r="1721" spans="1:8" x14ac:dyDescent="0.2">
      <c r="A1721">
        <v>1303750</v>
      </c>
      <c r="B1721" s="3">
        <v>2015</v>
      </c>
      <c r="C1721" t="s">
        <v>436</v>
      </c>
      <c r="D1721" t="s">
        <v>437</v>
      </c>
      <c r="E1721" t="s">
        <v>437</v>
      </c>
      <c r="F1721" s="4">
        <v>714404.78</v>
      </c>
      <c r="G1721" s="4" t="s">
        <v>7</v>
      </c>
      <c r="H1721">
        <f>IFERROR(VLOOKUP(E1721,'GASB Match'!$A$2:$B$240,2,FALSE),"")</f>
        <v>1303750</v>
      </c>
    </row>
    <row r="1722" spans="1:8" x14ac:dyDescent="0.2">
      <c r="A1722">
        <v>1303750</v>
      </c>
      <c r="B1722" s="3">
        <v>2016</v>
      </c>
      <c r="C1722" t="s">
        <v>436</v>
      </c>
      <c r="D1722" t="s">
        <v>437</v>
      </c>
      <c r="E1722" t="s">
        <v>437</v>
      </c>
      <c r="F1722" s="4">
        <v>768256.89</v>
      </c>
      <c r="G1722" s="4" t="s">
        <v>7</v>
      </c>
      <c r="H1722">
        <f>IFERROR(VLOOKUP(E1722,'GASB Match'!$A$2:$B$240,2,FALSE),"")</f>
        <v>1303750</v>
      </c>
    </row>
    <row r="1723" spans="1:8" x14ac:dyDescent="0.2">
      <c r="A1723">
        <v>1303750</v>
      </c>
      <c r="B1723" s="3">
        <v>2017</v>
      </c>
      <c r="C1723" t="s">
        <v>436</v>
      </c>
      <c r="D1723" t="s">
        <v>437</v>
      </c>
      <c r="E1723" t="s">
        <v>437</v>
      </c>
      <c r="F1723" s="4">
        <v>709697</v>
      </c>
      <c r="G1723" s="4" t="s">
        <v>7</v>
      </c>
      <c r="H1723">
        <f>IFERROR(VLOOKUP(E1723,'GASB Match'!$A$2:$B$240,2,FALSE),"")</f>
        <v>1303750</v>
      </c>
    </row>
    <row r="1724" spans="1:8" x14ac:dyDescent="0.2">
      <c r="A1724">
        <v>1303750</v>
      </c>
      <c r="B1724" s="3">
        <v>2018</v>
      </c>
      <c r="C1724" t="s">
        <v>436</v>
      </c>
      <c r="D1724" t="s">
        <v>437</v>
      </c>
      <c r="E1724" t="s">
        <v>437</v>
      </c>
      <c r="F1724" s="4">
        <v>801319</v>
      </c>
      <c r="G1724" s="4" t="s">
        <v>7</v>
      </c>
      <c r="H1724">
        <f>IFERROR(VLOOKUP(E1724,'GASB Match'!$A$2:$B$240,2,FALSE),"")</f>
        <v>1303750</v>
      </c>
    </row>
    <row r="1725" spans="1:8" x14ac:dyDescent="0.2">
      <c r="A1725">
        <v>1303750</v>
      </c>
      <c r="B1725" s="3">
        <v>2019</v>
      </c>
      <c r="C1725" t="s">
        <v>436</v>
      </c>
      <c r="D1725" t="s">
        <v>437</v>
      </c>
      <c r="E1725" t="s">
        <v>437</v>
      </c>
      <c r="F1725" s="4">
        <v>982457</v>
      </c>
      <c r="G1725" s="4" t="s">
        <v>7</v>
      </c>
      <c r="H1725">
        <f>IFERROR(VLOOKUP(E1725,'GASB Match'!$A$2:$B$240,2,FALSE),"")</f>
        <v>1303750</v>
      </c>
    </row>
    <row r="1726" spans="1:8" x14ac:dyDescent="0.2">
      <c r="A1726">
        <v>1303750</v>
      </c>
      <c r="B1726" s="3">
        <v>2020</v>
      </c>
      <c r="C1726" t="s">
        <v>436</v>
      </c>
      <c r="D1726" t="s">
        <v>437</v>
      </c>
      <c r="E1726" t="s">
        <v>437</v>
      </c>
      <c r="F1726" s="4">
        <v>1099192</v>
      </c>
      <c r="G1726" s="4" t="s">
        <v>7</v>
      </c>
      <c r="H1726">
        <f>IFERROR(VLOOKUP(E1726,'GASB Match'!$A$2:$B$240,2,FALSE),"")</f>
        <v>1303750</v>
      </c>
    </row>
    <row r="1727" spans="1:8" x14ac:dyDescent="0.2">
      <c r="A1727">
        <v>1303750</v>
      </c>
      <c r="B1727" s="3">
        <v>2021</v>
      </c>
      <c r="C1727" t="s">
        <v>436</v>
      </c>
      <c r="D1727" t="s">
        <v>437</v>
      </c>
      <c r="E1727" t="s">
        <v>437</v>
      </c>
      <c r="F1727" s="4">
        <v>992660</v>
      </c>
      <c r="G1727" s="4" t="s">
        <v>7</v>
      </c>
      <c r="H1727">
        <f>IFERROR(VLOOKUP(E1727,'GASB Match'!$A$2:$B$240,2,FALSE),"")</f>
        <v>1303750</v>
      </c>
    </row>
    <row r="1728" spans="1:8" x14ac:dyDescent="0.2">
      <c r="A1728">
        <v>1303750</v>
      </c>
      <c r="B1728" s="3">
        <v>2022</v>
      </c>
      <c r="C1728" t="s">
        <v>436</v>
      </c>
      <c r="D1728" t="s">
        <v>437</v>
      </c>
      <c r="E1728" t="s">
        <v>437</v>
      </c>
      <c r="F1728" s="4">
        <v>1098043</v>
      </c>
      <c r="G1728" s="4" t="s">
        <v>7</v>
      </c>
      <c r="H1728">
        <f>IFERROR(VLOOKUP(E1728,'GASB Match'!$A$2:$B$240,2,FALSE),"")</f>
        <v>1303750</v>
      </c>
    </row>
    <row r="1729" spans="1:8" x14ac:dyDescent="0.2">
      <c r="A1729">
        <v>1303750</v>
      </c>
      <c r="B1729" s="3">
        <v>2023</v>
      </c>
      <c r="C1729" t="s">
        <v>436</v>
      </c>
      <c r="D1729" t="s">
        <v>437</v>
      </c>
      <c r="E1729" t="s">
        <v>437</v>
      </c>
      <c r="F1729" s="4">
        <v>1284908</v>
      </c>
      <c r="G1729" s="4" t="s">
        <v>7</v>
      </c>
      <c r="H1729">
        <f>IFERROR(VLOOKUP(E1729,'GASB Match'!$A$2:$B$240,2,FALSE),"")</f>
        <v>1303750</v>
      </c>
    </row>
    <row r="1730" spans="1:8" x14ac:dyDescent="0.2">
      <c r="A1730">
        <v>1303780</v>
      </c>
      <c r="B1730" s="3">
        <v>2015</v>
      </c>
      <c r="C1730" t="s">
        <v>438</v>
      </c>
      <c r="D1730" t="s">
        <v>439</v>
      </c>
      <c r="E1730" t="s">
        <v>439</v>
      </c>
      <c r="F1730" s="4">
        <v>2252513.09</v>
      </c>
      <c r="G1730" s="4">
        <v>1628.28</v>
      </c>
      <c r="H1730">
        <f>IFERROR(VLOOKUP(E1730,'GASB Match'!$A$2:$B$240,2,FALSE),"")</f>
        <v>1303780</v>
      </c>
    </row>
    <row r="1731" spans="1:8" x14ac:dyDescent="0.2">
      <c r="A1731">
        <v>1303780</v>
      </c>
      <c r="B1731" s="3">
        <v>2016</v>
      </c>
      <c r="C1731" t="s">
        <v>438</v>
      </c>
      <c r="D1731" t="s">
        <v>439</v>
      </c>
      <c r="E1731" t="s">
        <v>439</v>
      </c>
      <c r="F1731" s="4">
        <v>2547936.98</v>
      </c>
      <c r="G1731" s="4" t="s">
        <v>7</v>
      </c>
      <c r="H1731">
        <f>IFERROR(VLOOKUP(E1731,'GASB Match'!$A$2:$B$240,2,FALSE),"")</f>
        <v>1303780</v>
      </c>
    </row>
    <row r="1732" spans="1:8" x14ac:dyDescent="0.2">
      <c r="A1732">
        <v>1303780</v>
      </c>
      <c r="B1732" s="3">
        <v>2017</v>
      </c>
      <c r="C1732" t="s">
        <v>438</v>
      </c>
      <c r="D1732" t="s">
        <v>439</v>
      </c>
      <c r="E1732" t="s">
        <v>439</v>
      </c>
      <c r="F1732" s="4">
        <v>2760320</v>
      </c>
      <c r="G1732" s="4" t="s">
        <v>7</v>
      </c>
      <c r="H1732">
        <f>IFERROR(VLOOKUP(E1732,'GASB Match'!$A$2:$B$240,2,FALSE),"")</f>
        <v>1303780</v>
      </c>
    </row>
    <row r="1733" spans="1:8" x14ac:dyDescent="0.2">
      <c r="A1733">
        <v>1303780</v>
      </c>
      <c r="B1733" s="3">
        <v>2018</v>
      </c>
      <c r="C1733" t="s">
        <v>438</v>
      </c>
      <c r="D1733" t="s">
        <v>439</v>
      </c>
      <c r="E1733" t="s">
        <v>439</v>
      </c>
      <c r="F1733" s="4">
        <v>3250642</v>
      </c>
      <c r="G1733" s="4">
        <v>847</v>
      </c>
      <c r="H1733">
        <f>IFERROR(VLOOKUP(E1733,'GASB Match'!$A$2:$B$240,2,FALSE),"")</f>
        <v>1303780</v>
      </c>
    </row>
    <row r="1734" spans="1:8" x14ac:dyDescent="0.2">
      <c r="A1734">
        <v>1303780</v>
      </c>
      <c r="B1734" s="3">
        <v>2019</v>
      </c>
      <c r="C1734" t="s">
        <v>438</v>
      </c>
      <c r="D1734" t="s">
        <v>439</v>
      </c>
      <c r="E1734" t="s">
        <v>439</v>
      </c>
      <c r="F1734" s="4">
        <v>4057885</v>
      </c>
      <c r="G1734" s="4">
        <v>32915</v>
      </c>
      <c r="H1734">
        <f>IFERROR(VLOOKUP(E1734,'GASB Match'!$A$2:$B$240,2,FALSE),"")</f>
        <v>1303780</v>
      </c>
    </row>
    <row r="1735" spans="1:8" x14ac:dyDescent="0.2">
      <c r="A1735">
        <v>1303780</v>
      </c>
      <c r="B1735" s="3">
        <v>2020</v>
      </c>
      <c r="C1735" t="s">
        <v>438</v>
      </c>
      <c r="D1735" t="s">
        <v>439</v>
      </c>
      <c r="E1735" t="s">
        <v>439</v>
      </c>
      <c r="F1735" s="4">
        <v>4334782</v>
      </c>
      <c r="G1735" s="4">
        <v>40522</v>
      </c>
      <c r="H1735">
        <f>IFERROR(VLOOKUP(E1735,'GASB Match'!$A$2:$B$240,2,FALSE),"")</f>
        <v>1303780</v>
      </c>
    </row>
    <row r="1736" spans="1:8" x14ac:dyDescent="0.2">
      <c r="A1736">
        <v>1303780</v>
      </c>
      <c r="B1736" s="3">
        <v>2021</v>
      </c>
      <c r="C1736" t="s">
        <v>438</v>
      </c>
      <c r="D1736" t="s">
        <v>439</v>
      </c>
      <c r="E1736" t="s">
        <v>439</v>
      </c>
      <c r="F1736" s="4">
        <v>3940549</v>
      </c>
      <c r="G1736" s="4">
        <v>34953</v>
      </c>
      <c r="H1736">
        <f>IFERROR(VLOOKUP(E1736,'GASB Match'!$A$2:$B$240,2,FALSE),"")</f>
        <v>1303780</v>
      </c>
    </row>
    <row r="1737" spans="1:8" x14ac:dyDescent="0.2">
      <c r="A1737">
        <v>1303780</v>
      </c>
      <c r="B1737" s="3">
        <v>2022</v>
      </c>
      <c r="C1737" t="s">
        <v>438</v>
      </c>
      <c r="D1737" t="s">
        <v>439</v>
      </c>
      <c r="E1737" t="s">
        <v>439</v>
      </c>
      <c r="F1737" s="4">
        <v>4143406</v>
      </c>
      <c r="G1737" s="4">
        <v>39840</v>
      </c>
      <c r="H1737">
        <f>IFERROR(VLOOKUP(E1737,'GASB Match'!$A$2:$B$240,2,FALSE),"")</f>
        <v>1303780</v>
      </c>
    </row>
    <row r="1738" spans="1:8" x14ac:dyDescent="0.2">
      <c r="A1738">
        <v>1303780</v>
      </c>
      <c r="B1738" s="3">
        <v>2023</v>
      </c>
      <c r="C1738" t="s">
        <v>438</v>
      </c>
      <c r="D1738" t="s">
        <v>439</v>
      </c>
      <c r="E1738" t="s">
        <v>439</v>
      </c>
      <c r="F1738" s="4">
        <v>4414682</v>
      </c>
      <c r="G1738" s="4">
        <v>42086</v>
      </c>
      <c r="H1738">
        <f>IFERROR(VLOOKUP(E1738,'GASB Match'!$A$2:$B$240,2,FALSE),"")</f>
        <v>1303780</v>
      </c>
    </row>
    <row r="1739" spans="1:8" x14ac:dyDescent="0.2">
      <c r="A1739" t="s">
        <v>7</v>
      </c>
      <c r="B1739" s="3">
        <v>2015</v>
      </c>
      <c r="C1739" t="s">
        <v>440</v>
      </c>
      <c r="D1739" t="s">
        <v>442</v>
      </c>
      <c r="E1739" t="s">
        <v>441</v>
      </c>
      <c r="F1739" s="4">
        <v>107337.15</v>
      </c>
      <c r="G1739" s="4" t="s">
        <v>7</v>
      </c>
      <c r="H1739" t="str">
        <f>IFERROR(VLOOKUP(E1739,'GASB Match'!$A$2:$B$240,2,FALSE),"")</f>
        <v/>
      </c>
    </row>
    <row r="1740" spans="1:8" x14ac:dyDescent="0.2">
      <c r="A1740" t="s">
        <v>7</v>
      </c>
      <c r="B1740" s="3">
        <v>2016</v>
      </c>
      <c r="C1740" t="s">
        <v>440</v>
      </c>
      <c r="D1740" t="s">
        <v>442</v>
      </c>
      <c r="E1740" t="s">
        <v>441</v>
      </c>
      <c r="F1740" s="4">
        <v>135612.25</v>
      </c>
      <c r="G1740" s="4" t="s">
        <v>7</v>
      </c>
      <c r="H1740" t="str">
        <f>IFERROR(VLOOKUP(E1740,'GASB Match'!$A$2:$B$240,2,FALSE),"")</f>
        <v/>
      </c>
    </row>
    <row r="1741" spans="1:8" x14ac:dyDescent="0.2">
      <c r="A1741" t="s">
        <v>7</v>
      </c>
      <c r="B1741" s="3">
        <v>2017</v>
      </c>
      <c r="C1741" t="s">
        <v>440</v>
      </c>
      <c r="D1741" t="s">
        <v>442</v>
      </c>
      <c r="E1741" t="s">
        <v>441</v>
      </c>
      <c r="F1741" s="4">
        <v>140320</v>
      </c>
      <c r="G1741" s="4" t="s">
        <v>7</v>
      </c>
      <c r="H1741" t="str">
        <f>IFERROR(VLOOKUP(E1741,'GASB Match'!$A$2:$B$240,2,FALSE),"")</f>
        <v/>
      </c>
    </row>
    <row r="1742" spans="1:8" x14ac:dyDescent="0.2">
      <c r="A1742" t="s">
        <v>7</v>
      </c>
      <c r="B1742" s="3">
        <v>2018</v>
      </c>
      <c r="C1742" t="s">
        <v>440</v>
      </c>
      <c r="D1742" t="s">
        <v>442</v>
      </c>
      <c r="E1742" t="s">
        <v>441</v>
      </c>
      <c r="F1742" s="4">
        <v>166350</v>
      </c>
      <c r="G1742" s="4" t="s">
        <v>7</v>
      </c>
      <c r="H1742" t="str">
        <f>IFERROR(VLOOKUP(E1742,'GASB Match'!$A$2:$B$240,2,FALSE),"")</f>
        <v/>
      </c>
    </row>
    <row r="1743" spans="1:8" x14ac:dyDescent="0.2">
      <c r="A1743" t="s">
        <v>7</v>
      </c>
      <c r="B1743" s="3">
        <v>2019</v>
      </c>
      <c r="C1743" t="s">
        <v>440</v>
      </c>
      <c r="D1743" t="s">
        <v>442</v>
      </c>
      <c r="E1743" t="s">
        <v>441</v>
      </c>
      <c r="F1743" s="4">
        <v>197670</v>
      </c>
      <c r="G1743" s="4" t="s">
        <v>7</v>
      </c>
      <c r="H1743" t="str">
        <f>IFERROR(VLOOKUP(E1743,'GASB Match'!$A$2:$B$240,2,FALSE),"")</f>
        <v/>
      </c>
    </row>
    <row r="1744" spans="1:8" x14ac:dyDescent="0.2">
      <c r="A1744" t="s">
        <v>7</v>
      </c>
      <c r="B1744" s="3">
        <v>2020</v>
      </c>
      <c r="C1744" t="s">
        <v>440</v>
      </c>
      <c r="D1744" t="s">
        <v>441</v>
      </c>
      <c r="E1744" t="s">
        <v>441</v>
      </c>
      <c r="F1744" s="4">
        <v>202583</v>
      </c>
      <c r="G1744" s="4" t="s">
        <v>7</v>
      </c>
      <c r="H1744" t="str">
        <f>IFERROR(VLOOKUP(E1744,'GASB Match'!$A$2:$B$240,2,FALSE),"")</f>
        <v/>
      </c>
    </row>
    <row r="1745" spans="1:8" x14ac:dyDescent="0.2">
      <c r="A1745" t="s">
        <v>7</v>
      </c>
      <c r="B1745" s="3">
        <v>2021</v>
      </c>
      <c r="C1745" t="s">
        <v>440</v>
      </c>
      <c r="D1745" t="s">
        <v>441</v>
      </c>
      <c r="E1745" t="s">
        <v>441</v>
      </c>
      <c r="F1745" s="4">
        <v>180691</v>
      </c>
      <c r="G1745" s="4" t="s">
        <v>7</v>
      </c>
      <c r="H1745" t="str">
        <f>IFERROR(VLOOKUP(E1745,'GASB Match'!$A$2:$B$240,2,FALSE),"")</f>
        <v/>
      </c>
    </row>
    <row r="1746" spans="1:8" x14ac:dyDescent="0.2">
      <c r="A1746" t="s">
        <v>7</v>
      </c>
      <c r="B1746" s="3">
        <v>2022</v>
      </c>
      <c r="C1746" t="s">
        <v>440</v>
      </c>
      <c r="D1746" t="s">
        <v>441</v>
      </c>
      <c r="E1746" t="s">
        <v>441</v>
      </c>
      <c r="F1746" s="4">
        <v>180769</v>
      </c>
      <c r="G1746" s="4" t="s">
        <v>7</v>
      </c>
      <c r="H1746" t="str">
        <f>IFERROR(VLOOKUP(E1746,'GASB Match'!$A$2:$B$240,2,FALSE),"")</f>
        <v/>
      </c>
    </row>
    <row r="1747" spans="1:8" x14ac:dyDescent="0.2">
      <c r="A1747" t="s">
        <v>7</v>
      </c>
      <c r="B1747" s="3">
        <v>2023</v>
      </c>
      <c r="C1747" t="s">
        <v>440</v>
      </c>
      <c r="D1747" t="s">
        <v>441</v>
      </c>
      <c r="E1747" t="s">
        <v>441</v>
      </c>
      <c r="F1747" s="4">
        <v>199567</v>
      </c>
      <c r="G1747" s="4" t="s">
        <v>7</v>
      </c>
      <c r="H1747" t="str">
        <f>IFERROR(VLOOKUP(E1747,'GASB Match'!$A$2:$B$240,2,FALSE),"")</f>
        <v/>
      </c>
    </row>
    <row r="1748" spans="1:8" x14ac:dyDescent="0.2">
      <c r="A1748">
        <v>1303840</v>
      </c>
      <c r="B1748" s="3">
        <v>2015</v>
      </c>
      <c r="C1748" t="s">
        <v>443</v>
      </c>
      <c r="D1748" t="s">
        <v>444</v>
      </c>
      <c r="E1748" t="s">
        <v>444</v>
      </c>
      <c r="F1748" s="4">
        <v>4336209.34</v>
      </c>
      <c r="G1748" s="4">
        <v>21169.84</v>
      </c>
      <c r="H1748">
        <f>IFERROR(VLOOKUP(E1748,'GASB Match'!$A$2:$B$240,2,FALSE),"")</f>
        <v>1303840</v>
      </c>
    </row>
    <row r="1749" spans="1:8" x14ac:dyDescent="0.2">
      <c r="A1749">
        <v>1303840</v>
      </c>
      <c r="B1749" s="3">
        <v>2016</v>
      </c>
      <c r="C1749" t="s">
        <v>443</v>
      </c>
      <c r="D1749" t="s">
        <v>444</v>
      </c>
      <c r="E1749" t="s">
        <v>444</v>
      </c>
      <c r="F1749" s="4">
        <v>4769395.84</v>
      </c>
      <c r="G1749" s="4">
        <v>20353.46</v>
      </c>
      <c r="H1749">
        <f>IFERROR(VLOOKUP(E1749,'GASB Match'!$A$2:$B$240,2,FALSE),"")</f>
        <v>1303840</v>
      </c>
    </row>
    <row r="1750" spans="1:8" x14ac:dyDescent="0.2">
      <c r="A1750">
        <v>1303840</v>
      </c>
      <c r="B1750" s="3">
        <v>2017</v>
      </c>
      <c r="C1750" t="s">
        <v>443</v>
      </c>
      <c r="D1750" t="s">
        <v>444</v>
      </c>
      <c r="E1750" t="s">
        <v>444</v>
      </c>
      <c r="F1750" s="4">
        <v>4765166</v>
      </c>
      <c r="G1750" s="4">
        <v>30542</v>
      </c>
      <c r="H1750">
        <f>IFERROR(VLOOKUP(E1750,'GASB Match'!$A$2:$B$240,2,FALSE),"")</f>
        <v>1303840</v>
      </c>
    </row>
    <row r="1751" spans="1:8" x14ac:dyDescent="0.2">
      <c r="A1751">
        <v>1303840</v>
      </c>
      <c r="B1751" s="3">
        <v>2018</v>
      </c>
      <c r="C1751" t="s">
        <v>443</v>
      </c>
      <c r="D1751" t="s">
        <v>444</v>
      </c>
      <c r="E1751" t="s">
        <v>444</v>
      </c>
      <c r="F1751" s="4">
        <v>5755976</v>
      </c>
      <c r="G1751" s="4">
        <v>23240</v>
      </c>
      <c r="H1751">
        <f>IFERROR(VLOOKUP(E1751,'GASB Match'!$A$2:$B$240,2,FALSE),"")</f>
        <v>1303840</v>
      </c>
    </row>
    <row r="1752" spans="1:8" x14ac:dyDescent="0.2">
      <c r="A1752">
        <v>1303840</v>
      </c>
      <c r="B1752" s="3">
        <v>2019</v>
      </c>
      <c r="C1752" t="s">
        <v>443</v>
      </c>
      <c r="D1752" t="s">
        <v>444</v>
      </c>
      <c r="E1752" t="s">
        <v>444</v>
      </c>
      <c r="F1752" s="4">
        <v>7245609</v>
      </c>
      <c r="G1752" s="4">
        <v>20224</v>
      </c>
      <c r="H1752">
        <f>IFERROR(VLOOKUP(E1752,'GASB Match'!$A$2:$B$240,2,FALSE),"")</f>
        <v>1303840</v>
      </c>
    </row>
    <row r="1753" spans="1:8" x14ac:dyDescent="0.2">
      <c r="A1753">
        <v>1303840</v>
      </c>
      <c r="B1753" s="3">
        <v>2020</v>
      </c>
      <c r="C1753" t="s">
        <v>443</v>
      </c>
      <c r="D1753" t="s">
        <v>444</v>
      </c>
      <c r="E1753" t="s">
        <v>444</v>
      </c>
      <c r="F1753" s="4">
        <v>7669598</v>
      </c>
      <c r="G1753" s="4">
        <v>19709</v>
      </c>
      <c r="H1753">
        <f>IFERROR(VLOOKUP(E1753,'GASB Match'!$A$2:$B$240,2,FALSE),"")</f>
        <v>1303840</v>
      </c>
    </row>
    <row r="1754" spans="1:8" x14ac:dyDescent="0.2">
      <c r="A1754">
        <v>1303840</v>
      </c>
      <c r="B1754" s="3">
        <v>2021</v>
      </c>
      <c r="C1754" t="s">
        <v>443</v>
      </c>
      <c r="D1754" t="s">
        <v>444</v>
      </c>
      <c r="E1754" t="s">
        <v>444</v>
      </c>
      <c r="F1754" s="4">
        <v>6934707</v>
      </c>
      <c r="G1754" s="4">
        <v>6362</v>
      </c>
      <c r="H1754">
        <f>IFERROR(VLOOKUP(E1754,'GASB Match'!$A$2:$B$240,2,FALSE),"")</f>
        <v>1303840</v>
      </c>
    </row>
    <row r="1755" spans="1:8" x14ac:dyDescent="0.2">
      <c r="A1755">
        <v>1303840</v>
      </c>
      <c r="B1755" s="3">
        <v>2022</v>
      </c>
      <c r="C1755" t="s">
        <v>443</v>
      </c>
      <c r="D1755" t="s">
        <v>444</v>
      </c>
      <c r="E1755" t="s">
        <v>444</v>
      </c>
      <c r="F1755" s="4">
        <v>7500053</v>
      </c>
      <c r="G1755" s="4">
        <v>6724</v>
      </c>
      <c r="H1755">
        <f>IFERROR(VLOOKUP(E1755,'GASB Match'!$A$2:$B$240,2,FALSE),"")</f>
        <v>1303840</v>
      </c>
    </row>
    <row r="1756" spans="1:8" x14ac:dyDescent="0.2">
      <c r="A1756">
        <v>1303840</v>
      </c>
      <c r="B1756" s="3">
        <v>2023</v>
      </c>
      <c r="C1756" t="s">
        <v>443</v>
      </c>
      <c r="D1756" t="s">
        <v>444</v>
      </c>
      <c r="E1756" t="s">
        <v>444</v>
      </c>
      <c r="F1756" s="4">
        <v>7931924</v>
      </c>
      <c r="G1756" s="4">
        <v>7168</v>
      </c>
      <c r="H1756">
        <f>IFERROR(VLOOKUP(E1756,'GASB Match'!$A$2:$B$240,2,FALSE),"")</f>
        <v>1303840</v>
      </c>
    </row>
    <row r="1757" spans="1:8" x14ac:dyDescent="0.2">
      <c r="A1757">
        <v>1303870</v>
      </c>
      <c r="B1757" s="3">
        <v>2015</v>
      </c>
      <c r="C1757" t="s">
        <v>445</v>
      </c>
      <c r="D1757" t="s">
        <v>446</v>
      </c>
      <c r="E1757" t="s">
        <v>446</v>
      </c>
      <c r="F1757" s="4">
        <v>21421245.379999999</v>
      </c>
      <c r="G1757" s="4">
        <v>74836.84</v>
      </c>
      <c r="H1757">
        <f>IFERROR(VLOOKUP(E1757,'GASB Match'!$A$2:$B$240,2,FALSE),"")</f>
        <v>1303870</v>
      </c>
    </row>
    <row r="1758" spans="1:8" x14ac:dyDescent="0.2">
      <c r="A1758">
        <v>1303870</v>
      </c>
      <c r="B1758" s="3">
        <v>2016</v>
      </c>
      <c r="C1758" t="s">
        <v>445</v>
      </c>
      <c r="D1758" t="s">
        <v>446</v>
      </c>
      <c r="E1758" t="s">
        <v>446</v>
      </c>
      <c r="F1758" s="4">
        <v>22899753.010000002</v>
      </c>
      <c r="G1758" s="4">
        <v>65493.48</v>
      </c>
      <c r="H1758">
        <f>IFERROR(VLOOKUP(E1758,'GASB Match'!$A$2:$B$240,2,FALSE),"")</f>
        <v>1303870</v>
      </c>
    </row>
    <row r="1759" spans="1:8" x14ac:dyDescent="0.2">
      <c r="A1759">
        <v>1303870</v>
      </c>
      <c r="B1759" s="3">
        <v>2017</v>
      </c>
      <c r="C1759" t="s">
        <v>445</v>
      </c>
      <c r="D1759" t="s">
        <v>446</v>
      </c>
      <c r="E1759" t="s">
        <v>446</v>
      </c>
      <c r="F1759" s="4">
        <v>23470213</v>
      </c>
      <c r="G1759" s="4">
        <v>54358</v>
      </c>
      <c r="H1759">
        <f>IFERROR(VLOOKUP(E1759,'GASB Match'!$A$2:$B$240,2,FALSE),"")</f>
        <v>1303870</v>
      </c>
    </row>
    <row r="1760" spans="1:8" x14ac:dyDescent="0.2">
      <c r="A1760">
        <v>1303870</v>
      </c>
      <c r="B1760" s="3">
        <v>2018</v>
      </c>
      <c r="C1760" t="s">
        <v>445</v>
      </c>
      <c r="D1760" t="s">
        <v>446</v>
      </c>
      <c r="E1760" t="s">
        <v>446</v>
      </c>
      <c r="F1760" s="4">
        <v>28467291</v>
      </c>
      <c r="G1760" s="4">
        <v>71718</v>
      </c>
      <c r="H1760">
        <f>IFERROR(VLOOKUP(E1760,'GASB Match'!$A$2:$B$240,2,FALSE),"")</f>
        <v>1303870</v>
      </c>
    </row>
    <row r="1761" spans="1:8" x14ac:dyDescent="0.2">
      <c r="A1761">
        <v>1303870</v>
      </c>
      <c r="B1761" s="3">
        <v>2019</v>
      </c>
      <c r="C1761" t="s">
        <v>445</v>
      </c>
      <c r="D1761" t="s">
        <v>446</v>
      </c>
      <c r="E1761" t="s">
        <v>446</v>
      </c>
      <c r="F1761" s="4">
        <v>36383247</v>
      </c>
      <c r="G1761" s="4">
        <v>79760</v>
      </c>
      <c r="H1761">
        <f>IFERROR(VLOOKUP(E1761,'GASB Match'!$A$2:$B$240,2,FALSE),"")</f>
        <v>1303870</v>
      </c>
    </row>
    <row r="1762" spans="1:8" x14ac:dyDescent="0.2">
      <c r="A1762">
        <v>1303870</v>
      </c>
      <c r="B1762" s="3">
        <v>2020</v>
      </c>
      <c r="C1762" t="s">
        <v>445</v>
      </c>
      <c r="D1762" t="s">
        <v>446</v>
      </c>
      <c r="E1762" t="s">
        <v>446</v>
      </c>
      <c r="F1762" s="4">
        <v>38196497</v>
      </c>
      <c r="G1762" s="4">
        <v>73348</v>
      </c>
      <c r="H1762">
        <f>IFERROR(VLOOKUP(E1762,'GASB Match'!$A$2:$B$240,2,FALSE),"")</f>
        <v>1303870</v>
      </c>
    </row>
    <row r="1763" spans="1:8" x14ac:dyDescent="0.2">
      <c r="A1763">
        <v>1303870</v>
      </c>
      <c r="B1763" s="3">
        <v>2021</v>
      </c>
      <c r="C1763" t="s">
        <v>445</v>
      </c>
      <c r="D1763" t="s">
        <v>446</v>
      </c>
      <c r="E1763" t="s">
        <v>446</v>
      </c>
      <c r="F1763" s="4">
        <v>34272881</v>
      </c>
      <c r="G1763" s="4">
        <v>45932</v>
      </c>
      <c r="H1763">
        <f>IFERROR(VLOOKUP(E1763,'GASB Match'!$A$2:$B$240,2,FALSE),"")</f>
        <v>1303870</v>
      </c>
    </row>
    <row r="1764" spans="1:8" x14ac:dyDescent="0.2">
      <c r="A1764">
        <v>1303870</v>
      </c>
      <c r="B1764" s="3">
        <v>2022</v>
      </c>
      <c r="C1764" t="s">
        <v>445</v>
      </c>
      <c r="D1764" t="s">
        <v>446</v>
      </c>
      <c r="E1764" t="s">
        <v>446</v>
      </c>
      <c r="F1764" s="4">
        <v>36304694</v>
      </c>
      <c r="G1764" s="4">
        <v>39576</v>
      </c>
      <c r="H1764">
        <f>IFERROR(VLOOKUP(E1764,'GASB Match'!$A$2:$B$240,2,FALSE),"")</f>
        <v>1303870</v>
      </c>
    </row>
    <row r="1765" spans="1:8" x14ac:dyDescent="0.2">
      <c r="A1765">
        <v>1303870</v>
      </c>
      <c r="B1765" s="3">
        <v>2023</v>
      </c>
      <c r="C1765" t="s">
        <v>445</v>
      </c>
      <c r="D1765" t="s">
        <v>446</v>
      </c>
      <c r="E1765" t="s">
        <v>446</v>
      </c>
      <c r="F1765" s="4">
        <v>37546892</v>
      </c>
      <c r="G1765" s="4">
        <v>39663</v>
      </c>
      <c r="H1765">
        <f>IFERROR(VLOOKUP(E1765,'GASB Match'!$A$2:$B$240,2,FALSE),"")</f>
        <v>1303870</v>
      </c>
    </row>
    <row r="1766" spans="1:8" x14ac:dyDescent="0.2">
      <c r="A1766">
        <v>1303930</v>
      </c>
      <c r="B1766" s="3">
        <v>2015</v>
      </c>
      <c r="C1766" t="s">
        <v>447</v>
      </c>
      <c r="D1766" t="s">
        <v>448</v>
      </c>
      <c r="E1766" t="s">
        <v>448</v>
      </c>
      <c r="F1766" s="4">
        <v>12023100.24</v>
      </c>
      <c r="G1766" s="4">
        <v>11878.89</v>
      </c>
      <c r="H1766">
        <f>IFERROR(VLOOKUP(E1766,'GASB Match'!$A$2:$B$240,2,FALSE),"")</f>
        <v>1303930</v>
      </c>
    </row>
    <row r="1767" spans="1:8" x14ac:dyDescent="0.2">
      <c r="A1767">
        <v>1303930</v>
      </c>
      <c r="B1767" s="3">
        <v>2016</v>
      </c>
      <c r="C1767" t="s">
        <v>447</v>
      </c>
      <c r="D1767" t="s">
        <v>448</v>
      </c>
      <c r="E1767" t="s">
        <v>448</v>
      </c>
      <c r="F1767" s="4">
        <v>13992201.43</v>
      </c>
      <c r="G1767" s="4">
        <v>14348.4</v>
      </c>
      <c r="H1767">
        <f>IFERROR(VLOOKUP(E1767,'GASB Match'!$A$2:$B$240,2,FALSE),"")</f>
        <v>1303930</v>
      </c>
    </row>
    <row r="1768" spans="1:8" x14ac:dyDescent="0.2">
      <c r="A1768">
        <v>1303930</v>
      </c>
      <c r="B1768" s="3">
        <v>2017</v>
      </c>
      <c r="C1768" t="s">
        <v>447</v>
      </c>
      <c r="D1768" t="s">
        <v>448</v>
      </c>
      <c r="E1768" t="s">
        <v>448</v>
      </c>
      <c r="F1768" s="4">
        <v>14354197</v>
      </c>
      <c r="G1768" s="4">
        <v>14835</v>
      </c>
      <c r="H1768">
        <f>IFERROR(VLOOKUP(E1768,'GASB Match'!$A$2:$B$240,2,FALSE),"")</f>
        <v>1303930</v>
      </c>
    </row>
    <row r="1769" spans="1:8" x14ac:dyDescent="0.2">
      <c r="A1769">
        <v>1303930</v>
      </c>
      <c r="B1769" s="3">
        <v>2018</v>
      </c>
      <c r="C1769" t="s">
        <v>447</v>
      </c>
      <c r="D1769" t="s">
        <v>448</v>
      </c>
      <c r="E1769" t="s">
        <v>448</v>
      </c>
      <c r="F1769" s="4">
        <v>17207390</v>
      </c>
      <c r="G1769" s="4">
        <v>19302</v>
      </c>
      <c r="H1769">
        <f>IFERROR(VLOOKUP(E1769,'GASB Match'!$A$2:$B$240,2,FALSE),"")</f>
        <v>1303930</v>
      </c>
    </row>
    <row r="1770" spans="1:8" x14ac:dyDescent="0.2">
      <c r="A1770">
        <v>1303930</v>
      </c>
      <c r="B1770" s="3">
        <v>2019</v>
      </c>
      <c r="C1770" t="s">
        <v>447</v>
      </c>
      <c r="D1770" t="s">
        <v>448</v>
      </c>
      <c r="E1770" t="s">
        <v>448</v>
      </c>
      <c r="F1770" s="4">
        <v>21813985</v>
      </c>
      <c r="G1770" s="4">
        <v>27558</v>
      </c>
      <c r="H1770">
        <f>IFERROR(VLOOKUP(E1770,'GASB Match'!$A$2:$B$240,2,FALSE),"")</f>
        <v>1303930</v>
      </c>
    </row>
    <row r="1771" spans="1:8" x14ac:dyDescent="0.2">
      <c r="A1771">
        <v>1303930</v>
      </c>
      <c r="B1771" s="3">
        <v>2020</v>
      </c>
      <c r="C1771" t="s">
        <v>447</v>
      </c>
      <c r="D1771" t="s">
        <v>448</v>
      </c>
      <c r="E1771" t="s">
        <v>448</v>
      </c>
      <c r="F1771" s="4">
        <v>23878977</v>
      </c>
      <c r="G1771" s="4">
        <v>29302</v>
      </c>
      <c r="H1771">
        <f>IFERROR(VLOOKUP(E1771,'GASB Match'!$A$2:$B$240,2,FALSE),"")</f>
        <v>1303930</v>
      </c>
    </row>
    <row r="1772" spans="1:8" x14ac:dyDescent="0.2">
      <c r="A1772">
        <v>1303930</v>
      </c>
      <c r="B1772" s="3">
        <v>2021</v>
      </c>
      <c r="C1772" t="s">
        <v>447</v>
      </c>
      <c r="D1772" t="s">
        <v>448</v>
      </c>
      <c r="E1772" t="s">
        <v>448</v>
      </c>
      <c r="F1772" s="4">
        <v>21937249</v>
      </c>
      <c r="G1772" s="4">
        <v>27569</v>
      </c>
      <c r="H1772">
        <f>IFERROR(VLOOKUP(E1772,'GASB Match'!$A$2:$B$240,2,FALSE),"")</f>
        <v>1303930</v>
      </c>
    </row>
    <row r="1773" spans="1:8" x14ac:dyDescent="0.2">
      <c r="A1773">
        <v>1303930</v>
      </c>
      <c r="B1773" s="3">
        <v>2022</v>
      </c>
      <c r="C1773" t="s">
        <v>447</v>
      </c>
      <c r="D1773" t="s">
        <v>448</v>
      </c>
      <c r="E1773" t="s">
        <v>448</v>
      </c>
      <c r="F1773" s="4">
        <v>23322659</v>
      </c>
      <c r="G1773" s="4">
        <v>28731</v>
      </c>
      <c r="H1773">
        <f>IFERROR(VLOOKUP(E1773,'GASB Match'!$A$2:$B$240,2,FALSE),"")</f>
        <v>1303930</v>
      </c>
    </row>
    <row r="1774" spans="1:8" x14ac:dyDescent="0.2">
      <c r="A1774">
        <v>1303930</v>
      </c>
      <c r="B1774" s="3">
        <v>2023</v>
      </c>
      <c r="C1774" t="s">
        <v>447</v>
      </c>
      <c r="D1774" t="s">
        <v>448</v>
      </c>
      <c r="E1774" t="s">
        <v>448</v>
      </c>
      <c r="F1774" s="4">
        <v>26133744</v>
      </c>
      <c r="G1774" s="4">
        <v>30737</v>
      </c>
      <c r="H1774">
        <f>IFERROR(VLOOKUP(E1774,'GASB Match'!$A$2:$B$240,2,FALSE),"")</f>
        <v>1303930</v>
      </c>
    </row>
    <row r="1775" spans="1:8" x14ac:dyDescent="0.2">
      <c r="A1775" t="s">
        <v>7</v>
      </c>
      <c r="B1775" s="3">
        <v>2015</v>
      </c>
      <c r="C1775" t="s">
        <v>449</v>
      </c>
      <c r="D1775" t="s">
        <v>450</v>
      </c>
      <c r="E1775" t="s">
        <v>450</v>
      </c>
      <c r="F1775" s="4">
        <v>58449.35</v>
      </c>
      <c r="G1775" s="4" t="s">
        <v>7</v>
      </c>
      <c r="H1775" t="str">
        <f>IFERROR(VLOOKUP(E1775,'GASB Match'!$A$2:$B$240,2,FALSE),"")</f>
        <v/>
      </c>
    </row>
    <row r="1776" spans="1:8" x14ac:dyDescent="0.2">
      <c r="A1776" t="s">
        <v>7</v>
      </c>
      <c r="B1776" s="3">
        <v>2016</v>
      </c>
      <c r="C1776" t="s">
        <v>449</v>
      </c>
      <c r="D1776" t="s">
        <v>450</v>
      </c>
      <c r="E1776" t="s">
        <v>450</v>
      </c>
      <c r="F1776" s="4">
        <v>60724.95</v>
      </c>
      <c r="G1776" s="4" t="s">
        <v>7</v>
      </c>
      <c r="H1776" t="str">
        <f>IFERROR(VLOOKUP(E1776,'GASB Match'!$A$2:$B$240,2,FALSE),"")</f>
        <v/>
      </c>
    </row>
    <row r="1777" spans="1:8" x14ac:dyDescent="0.2">
      <c r="A1777" t="s">
        <v>7</v>
      </c>
      <c r="B1777" s="3">
        <v>2017</v>
      </c>
      <c r="C1777" t="s">
        <v>449</v>
      </c>
      <c r="D1777" t="s">
        <v>450</v>
      </c>
      <c r="E1777" t="s">
        <v>450</v>
      </c>
      <c r="F1777" s="4">
        <v>62859</v>
      </c>
      <c r="G1777" s="4" t="s">
        <v>7</v>
      </c>
      <c r="H1777" t="str">
        <f>IFERROR(VLOOKUP(E1777,'GASB Match'!$A$2:$B$240,2,FALSE),"")</f>
        <v/>
      </c>
    </row>
    <row r="1778" spans="1:8" x14ac:dyDescent="0.2">
      <c r="A1778" t="s">
        <v>7</v>
      </c>
      <c r="B1778" s="3">
        <v>2018</v>
      </c>
      <c r="C1778" t="s">
        <v>449</v>
      </c>
      <c r="D1778" t="s">
        <v>450</v>
      </c>
      <c r="E1778" t="s">
        <v>450</v>
      </c>
      <c r="F1778" s="4">
        <v>73930</v>
      </c>
      <c r="G1778" s="4" t="s">
        <v>7</v>
      </c>
      <c r="H1778" t="str">
        <f>IFERROR(VLOOKUP(E1778,'GASB Match'!$A$2:$B$240,2,FALSE),"")</f>
        <v/>
      </c>
    </row>
    <row r="1779" spans="1:8" x14ac:dyDescent="0.2">
      <c r="A1779" t="s">
        <v>7</v>
      </c>
      <c r="B1779" s="3">
        <v>2019</v>
      </c>
      <c r="C1779" t="s">
        <v>449</v>
      </c>
      <c r="D1779" t="s">
        <v>450</v>
      </c>
      <c r="E1779" t="s">
        <v>450</v>
      </c>
      <c r="F1779" s="4">
        <v>93947</v>
      </c>
      <c r="G1779" s="4" t="s">
        <v>7</v>
      </c>
      <c r="H1779" t="str">
        <f>IFERROR(VLOOKUP(E1779,'GASB Match'!$A$2:$B$240,2,FALSE),"")</f>
        <v/>
      </c>
    </row>
    <row r="1780" spans="1:8" x14ac:dyDescent="0.2">
      <c r="A1780" t="s">
        <v>7</v>
      </c>
      <c r="B1780" s="3">
        <v>2020</v>
      </c>
      <c r="C1780" t="s">
        <v>449</v>
      </c>
      <c r="D1780" t="s">
        <v>450</v>
      </c>
      <c r="E1780" t="s">
        <v>450</v>
      </c>
      <c r="F1780" s="4">
        <v>115537</v>
      </c>
      <c r="G1780" s="4" t="s">
        <v>7</v>
      </c>
      <c r="H1780" t="str">
        <f>IFERROR(VLOOKUP(E1780,'GASB Match'!$A$2:$B$240,2,FALSE),"")</f>
        <v/>
      </c>
    </row>
    <row r="1781" spans="1:8" x14ac:dyDescent="0.2">
      <c r="A1781" t="s">
        <v>7</v>
      </c>
      <c r="B1781" s="3">
        <v>2021</v>
      </c>
      <c r="C1781" t="s">
        <v>449</v>
      </c>
      <c r="D1781" t="s">
        <v>450</v>
      </c>
      <c r="E1781" t="s">
        <v>450</v>
      </c>
      <c r="F1781" s="4">
        <v>95012</v>
      </c>
      <c r="G1781" s="4" t="s">
        <v>7</v>
      </c>
      <c r="H1781" t="str">
        <f>IFERROR(VLOOKUP(E1781,'GASB Match'!$A$2:$B$240,2,FALSE),"")</f>
        <v/>
      </c>
    </row>
    <row r="1782" spans="1:8" x14ac:dyDescent="0.2">
      <c r="A1782" t="s">
        <v>7</v>
      </c>
      <c r="B1782" s="3">
        <v>2022</v>
      </c>
      <c r="C1782" t="s">
        <v>449</v>
      </c>
      <c r="D1782" t="s">
        <v>450</v>
      </c>
      <c r="E1782" t="s">
        <v>450</v>
      </c>
      <c r="F1782" s="4">
        <v>91837</v>
      </c>
      <c r="G1782" s="4" t="s">
        <v>7</v>
      </c>
      <c r="H1782" t="str">
        <f>IFERROR(VLOOKUP(E1782,'GASB Match'!$A$2:$B$240,2,FALSE),"")</f>
        <v/>
      </c>
    </row>
    <row r="1783" spans="1:8" x14ac:dyDescent="0.2">
      <c r="A1783" t="s">
        <v>7</v>
      </c>
      <c r="B1783" s="3">
        <v>2023</v>
      </c>
      <c r="C1783" t="s">
        <v>449</v>
      </c>
      <c r="D1783" t="s">
        <v>450</v>
      </c>
      <c r="E1783" t="s">
        <v>450</v>
      </c>
      <c r="F1783" s="4">
        <v>100135</v>
      </c>
      <c r="G1783" s="4" t="s">
        <v>7</v>
      </c>
      <c r="H1783" t="str">
        <f>IFERROR(VLOOKUP(E1783,'GASB Match'!$A$2:$B$240,2,FALSE),"")</f>
        <v/>
      </c>
    </row>
    <row r="1784" spans="1:8" x14ac:dyDescent="0.2">
      <c r="A1784">
        <v>1303960</v>
      </c>
      <c r="B1784" s="3">
        <v>2015</v>
      </c>
      <c r="C1784" t="s">
        <v>451</v>
      </c>
      <c r="D1784" t="s">
        <v>452</v>
      </c>
      <c r="E1784" t="s">
        <v>452</v>
      </c>
      <c r="F1784" s="4">
        <v>4746229.01</v>
      </c>
      <c r="G1784" s="4">
        <v>55691.24</v>
      </c>
      <c r="H1784">
        <f>IFERROR(VLOOKUP(E1784,'GASB Match'!$A$2:$B$240,2,FALSE),"")</f>
        <v>1303960</v>
      </c>
    </row>
    <row r="1785" spans="1:8" x14ac:dyDescent="0.2">
      <c r="A1785">
        <v>1303960</v>
      </c>
      <c r="B1785" s="3">
        <v>2016</v>
      </c>
      <c r="C1785" t="s">
        <v>451</v>
      </c>
      <c r="D1785" t="s">
        <v>452</v>
      </c>
      <c r="E1785" t="s">
        <v>452</v>
      </c>
      <c r="F1785" s="4">
        <v>5379406.79</v>
      </c>
      <c r="G1785" s="4">
        <v>71652.429999999906</v>
      </c>
      <c r="H1785">
        <f>IFERROR(VLOOKUP(E1785,'GASB Match'!$A$2:$B$240,2,FALSE),"")</f>
        <v>1303960</v>
      </c>
    </row>
    <row r="1786" spans="1:8" x14ac:dyDescent="0.2">
      <c r="A1786">
        <v>1303960</v>
      </c>
      <c r="B1786" s="3">
        <v>2017</v>
      </c>
      <c r="C1786" t="s">
        <v>451</v>
      </c>
      <c r="D1786" t="s">
        <v>452</v>
      </c>
      <c r="E1786" t="s">
        <v>452</v>
      </c>
      <c r="F1786" s="4">
        <v>5687700</v>
      </c>
      <c r="G1786" s="4">
        <v>46560</v>
      </c>
      <c r="H1786">
        <f>IFERROR(VLOOKUP(E1786,'GASB Match'!$A$2:$B$240,2,FALSE),"")</f>
        <v>1303960</v>
      </c>
    </row>
    <row r="1787" spans="1:8" x14ac:dyDescent="0.2">
      <c r="A1787">
        <v>1303960</v>
      </c>
      <c r="B1787" s="3">
        <v>2018</v>
      </c>
      <c r="C1787" t="s">
        <v>451</v>
      </c>
      <c r="D1787" t="s">
        <v>452</v>
      </c>
      <c r="E1787" t="s">
        <v>452</v>
      </c>
      <c r="F1787" s="4">
        <v>7125498</v>
      </c>
      <c r="G1787" s="4">
        <v>31449</v>
      </c>
      <c r="H1787">
        <f>IFERROR(VLOOKUP(E1787,'GASB Match'!$A$2:$B$240,2,FALSE),"")</f>
        <v>1303960</v>
      </c>
    </row>
    <row r="1788" spans="1:8" x14ac:dyDescent="0.2">
      <c r="A1788">
        <v>1303960</v>
      </c>
      <c r="B1788" s="3">
        <v>2019</v>
      </c>
      <c r="C1788" t="s">
        <v>451</v>
      </c>
      <c r="D1788" t="s">
        <v>452</v>
      </c>
      <c r="E1788" t="s">
        <v>452</v>
      </c>
      <c r="F1788" s="4">
        <v>9381518</v>
      </c>
      <c r="G1788" s="4">
        <v>56339</v>
      </c>
      <c r="H1788">
        <f>IFERROR(VLOOKUP(E1788,'GASB Match'!$A$2:$B$240,2,FALSE),"")</f>
        <v>1303960</v>
      </c>
    </row>
    <row r="1789" spans="1:8" x14ac:dyDescent="0.2">
      <c r="A1789">
        <v>1303960</v>
      </c>
      <c r="B1789" s="3">
        <v>2020</v>
      </c>
      <c r="C1789" t="s">
        <v>451</v>
      </c>
      <c r="D1789" t="s">
        <v>452</v>
      </c>
      <c r="E1789" t="s">
        <v>452</v>
      </c>
      <c r="F1789" s="4">
        <v>10350081</v>
      </c>
      <c r="G1789" s="4">
        <v>61295</v>
      </c>
      <c r="H1789">
        <f>IFERROR(VLOOKUP(E1789,'GASB Match'!$A$2:$B$240,2,FALSE),"")</f>
        <v>1303960</v>
      </c>
    </row>
    <row r="1790" spans="1:8" x14ac:dyDescent="0.2">
      <c r="A1790">
        <v>1303960</v>
      </c>
      <c r="B1790" s="3">
        <v>2021</v>
      </c>
      <c r="C1790" t="s">
        <v>451</v>
      </c>
      <c r="D1790" t="s">
        <v>452</v>
      </c>
      <c r="E1790" t="s">
        <v>452</v>
      </c>
      <c r="F1790" s="4">
        <v>9648292</v>
      </c>
      <c r="G1790" s="4">
        <v>55529</v>
      </c>
      <c r="H1790">
        <f>IFERROR(VLOOKUP(E1790,'GASB Match'!$A$2:$B$240,2,FALSE),"")</f>
        <v>1303960</v>
      </c>
    </row>
    <row r="1791" spans="1:8" x14ac:dyDescent="0.2">
      <c r="A1791">
        <v>1303960</v>
      </c>
      <c r="B1791" s="3">
        <v>2022</v>
      </c>
      <c r="C1791" t="s">
        <v>451</v>
      </c>
      <c r="D1791" t="s">
        <v>452</v>
      </c>
      <c r="E1791" t="s">
        <v>452</v>
      </c>
      <c r="F1791" s="4">
        <v>10182277</v>
      </c>
      <c r="G1791" s="4">
        <v>55477</v>
      </c>
      <c r="H1791">
        <f>IFERROR(VLOOKUP(E1791,'GASB Match'!$A$2:$B$240,2,FALSE),"")</f>
        <v>1303960</v>
      </c>
    </row>
    <row r="1792" spans="1:8" x14ac:dyDescent="0.2">
      <c r="A1792">
        <v>1303960</v>
      </c>
      <c r="B1792" s="3">
        <v>2023</v>
      </c>
      <c r="C1792" t="s">
        <v>451</v>
      </c>
      <c r="D1792" t="s">
        <v>452</v>
      </c>
      <c r="E1792" t="s">
        <v>452</v>
      </c>
      <c r="F1792" s="4">
        <v>10803697</v>
      </c>
      <c r="G1792" s="4">
        <v>46668</v>
      </c>
      <c r="H1792">
        <f>IFERROR(VLOOKUP(E1792,'GASB Match'!$A$2:$B$240,2,FALSE),"")</f>
        <v>1303960</v>
      </c>
    </row>
    <row r="1793" spans="1:8" x14ac:dyDescent="0.2">
      <c r="A1793">
        <v>1303990</v>
      </c>
      <c r="B1793" s="3">
        <v>2015</v>
      </c>
      <c r="C1793" t="s">
        <v>453</v>
      </c>
      <c r="D1793" t="s">
        <v>454</v>
      </c>
      <c r="E1793" t="s">
        <v>454</v>
      </c>
      <c r="F1793" s="4">
        <v>1659644.81</v>
      </c>
      <c r="G1793" s="4">
        <v>24211.24</v>
      </c>
      <c r="H1793">
        <f>IFERROR(VLOOKUP(E1793,'GASB Match'!$A$2:$B$240,2,FALSE),"")</f>
        <v>1303990</v>
      </c>
    </row>
    <row r="1794" spans="1:8" x14ac:dyDescent="0.2">
      <c r="A1794">
        <v>1303990</v>
      </c>
      <c r="B1794" s="3">
        <v>2016</v>
      </c>
      <c r="C1794" t="s">
        <v>453</v>
      </c>
      <c r="D1794" t="s">
        <v>454</v>
      </c>
      <c r="E1794" t="s">
        <v>454</v>
      </c>
      <c r="F1794" s="4">
        <v>1709311.97</v>
      </c>
      <c r="G1794" s="4">
        <v>25480.5</v>
      </c>
      <c r="H1794">
        <f>IFERROR(VLOOKUP(E1794,'GASB Match'!$A$2:$B$240,2,FALSE),"")</f>
        <v>1303990</v>
      </c>
    </row>
    <row r="1795" spans="1:8" x14ac:dyDescent="0.2">
      <c r="A1795">
        <v>1303990</v>
      </c>
      <c r="B1795" s="3">
        <v>2017</v>
      </c>
      <c r="C1795" t="s">
        <v>453</v>
      </c>
      <c r="D1795" t="s">
        <v>454</v>
      </c>
      <c r="E1795" t="s">
        <v>454</v>
      </c>
      <c r="F1795" s="4">
        <v>1698585</v>
      </c>
      <c r="G1795" s="4">
        <v>18836</v>
      </c>
      <c r="H1795">
        <f>IFERROR(VLOOKUP(E1795,'GASB Match'!$A$2:$B$240,2,FALSE),"")</f>
        <v>1303990</v>
      </c>
    </row>
    <row r="1796" spans="1:8" x14ac:dyDescent="0.2">
      <c r="A1796">
        <v>1303990</v>
      </c>
      <c r="B1796" s="3">
        <v>2018</v>
      </c>
      <c r="C1796" t="s">
        <v>453</v>
      </c>
      <c r="D1796" t="s">
        <v>454</v>
      </c>
      <c r="E1796" t="s">
        <v>454</v>
      </c>
      <c r="F1796" s="4">
        <v>2088269</v>
      </c>
      <c r="G1796" s="4">
        <v>12981</v>
      </c>
      <c r="H1796">
        <f>IFERROR(VLOOKUP(E1796,'GASB Match'!$A$2:$B$240,2,FALSE),"")</f>
        <v>1303990</v>
      </c>
    </row>
    <row r="1797" spans="1:8" x14ac:dyDescent="0.2">
      <c r="A1797">
        <v>1303990</v>
      </c>
      <c r="B1797" s="3">
        <v>2019</v>
      </c>
      <c r="C1797" t="s">
        <v>453</v>
      </c>
      <c r="D1797" t="s">
        <v>454</v>
      </c>
      <c r="E1797" t="s">
        <v>454</v>
      </c>
      <c r="F1797" s="4">
        <v>2692024</v>
      </c>
      <c r="G1797" s="4">
        <v>16599</v>
      </c>
      <c r="H1797">
        <f>IFERROR(VLOOKUP(E1797,'GASB Match'!$A$2:$B$240,2,FALSE),"")</f>
        <v>1303990</v>
      </c>
    </row>
    <row r="1798" spans="1:8" x14ac:dyDescent="0.2">
      <c r="A1798">
        <v>1303990</v>
      </c>
      <c r="B1798" s="3">
        <v>2020</v>
      </c>
      <c r="C1798" t="s">
        <v>453</v>
      </c>
      <c r="D1798" t="s">
        <v>454</v>
      </c>
      <c r="E1798" t="s">
        <v>454</v>
      </c>
      <c r="F1798" s="4">
        <v>2838426</v>
      </c>
      <c r="G1798" s="4">
        <v>17392</v>
      </c>
      <c r="H1798">
        <f>IFERROR(VLOOKUP(E1798,'GASB Match'!$A$2:$B$240,2,FALSE),"")</f>
        <v>1303990</v>
      </c>
    </row>
    <row r="1799" spans="1:8" x14ac:dyDescent="0.2">
      <c r="A1799">
        <v>1303990</v>
      </c>
      <c r="B1799" s="3">
        <v>2021</v>
      </c>
      <c r="C1799" t="s">
        <v>453</v>
      </c>
      <c r="D1799" t="s">
        <v>454</v>
      </c>
      <c r="E1799" t="s">
        <v>454</v>
      </c>
      <c r="F1799" s="4">
        <v>2571101</v>
      </c>
      <c r="G1799" s="4">
        <v>15854</v>
      </c>
      <c r="H1799">
        <f>IFERROR(VLOOKUP(E1799,'GASB Match'!$A$2:$B$240,2,FALSE),"")</f>
        <v>1303990</v>
      </c>
    </row>
    <row r="1800" spans="1:8" x14ac:dyDescent="0.2">
      <c r="A1800">
        <v>1303990</v>
      </c>
      <c r="B1800" s="3">
        <v>2022</v>
      </c>
      <c r="C1800" t="s">
        <v>453</v>
      </c>
      <c r="D1800" t="s">
        <v>454</v>
      </c>
      <c r="E1800" t="s">
        <v>454</v>
      </c>
      <c r="F1800" s="4">
        <v>2714131</v>
      </c>
      <c r="G1800" s="4">
        <v>16616</v>
      </c>
      <c r="H1800">
        <f>IFERROR(VLOOKUP(E1800,'GASB Match'!$A$2:$B$240,2,FALSE),"")</f>
        <v>1303990</v>
      </c>
    </row>
    <row r="1801" spans="1:8" x14ac:dyDescent="0.2">
      <c r="A1801">
        <v>1303990</v>
      </c>
      <c r="B1801" s="3">
        <v>2023</v>
      </c>
      <c r="C1801" t="s">
        <v>453</v>
      </c>
      <c r="D1801" t="s">
        <v>454</v>
      </c>
      <c r="E1801" t="s">
        <v>454</v>
      </c>
      <c r="F1801" s="4">
        <v>2910861</v>
      </c>
      <c r="G1801" s="4">
        <v>17383</v>
      </c>
      <c r="H1801">
        <f>IFERROR(VLOOKUP(E1801,'GASB Match'!$A$2:$B$240,2,FALSE),"")</f>
        <v>1303990</v>
      </c>
    </row>
    <row r="1802" spans="1:8" x14ac:dyDescent="0.2">
      <c r="A1802">
        <v>1304020</v>
      </c>
      <c r="B1802" s="3">
        <v>2015</v>
      </c>
      <c r="C1802" t="s">
        <v>455</v>
      </c>
      <c r="D1802" t="s">
        <v>456</v>
      </c>
      <c r="E1802" t="s">
        <v>456</v>
      </c>
      <c r="F1802" s="4">
        <v>17119399.710000001</v>
      </c>
      <c r="G1802" s="4">
        <v>151972.14000000001</v>
      </c>
      <c r="H1802">
        <f>IFERROR(VLOOKUP(E1802,'GASB Match'!$A$2:$B$240,2,FALSE),"")</f>
        <v>1304020</v>
      </c>
    </row>
    <row r="1803" spans="1:8" x14ac:dyDescent="0.2">
      <c r="A1803">
        <v>1304020</v>
      </c>
      <c r="B1803" s="3">
        <v>2016</v>
      </c>
      <c r="C1803" t="s">
        <v>455</v>
      </c>
      <c r="D1803" t="s">
        <v>456</v>
      </c>
      <c r="E1803" t="s">
        <v>456</v>
      </c>
      <c r="F1803" s="4">
        <v>19924659.510000002</v>
      </c>
      <c r="G1803" s="4">
        <v>173572.2</v>
      </c>
      <c r="H1803">
        <f>IFERROR(VLOOKUP(E1803,'GASB Match'!$A$2:$B$240,2,FALSE),"")</f>
        <v>1304020</v>
      </c>
    </row>
    <row r="1804" spans="1:8" x14ac:dyDescent="0.2">
      <c r="A1804">
        <v>1304020</v>
      </c>
      <c r="B1804" s="3">
        <v>2017</v>
      </c>
      <c r="C1804" t="s">
        <v>455</v>
      </c>
      <c r="D1804" t="s">
        <v>456</v>
      </c>
      <c r="E1804" t="s">
        <v>456</v>
      </c>
      <c r="F1804" s="4">
        <v>20993957</v>
      </c>
      <c r="G1804" s="4">
        <v>109457</v>
      </c>
      <c r="H1804">
        <f>IFERROR(VLOOKUP(E1804,'GASB Match'!$A$2:$B$240,2,FALSE),"")</f>
        <v>1304020</v>
      </c>
    </row>
    <row r="1805" spans="1:8" x14ac:dyDescent="0.2">
      <c r="A1805">
        <v>1304020</v>
      </c>
      <c r="B1805" s="3">
        <v>2018</v>
      </c>
      <c r="C1805" t="s">
        <v>455</v>
      </c>
      <c r="D1805" t="s">
        <v>456</v>
      </c>
      <c r="E1805" t="s">
        <v>456</v>
      </c>
      <c r="F1805" s="4">
        <v>25704412</v>
      </c>
      <c r="G1805" s="4">
        <v>55004</v>
      </c>
      <c r="H1805">
        <f>IFERROR(VLOOKUP(E1805,'GASB Match'!$A$2:$B$240,2,FALSE),"")</f>
        <v>1304020</v>
      </c>
    </row>
    <row r="1806" spans="1:8" x14ac:dyDescent="0.2">
      <c r="A1806">
        <v>1304020</v>
      </c>
      <c r="B1806" s="3">
        <v>2019</v>
      </c>
      <c r="C1806" t="s">
        <v>455</v>
      </c>
      <c r="D1806" t="s">
        <v>456</v>
      </c>
      <c r="E1806" t="s">
        <v>456</v>
      </c>
      <c r="F1806" s="4">
        <v>33217819</v>
      </c>
      <c r="G1806" s="4">
        <v>76138</v>
      </c>
      <c r="H1806">
        <f>IFERROR(VLOOKUP(E1806,'GASB Match'!$A$2:$B$240,2,FALSE),"")</f>
        <v>1304020</v>
      </c>
    </row>
    <row r="1807" spans="1:8" x14ac:dyDescent="0.2">
      <c r="A1807">
        <v>1304020</v>
      </c>
      <c r="B1807" s="3">
        <v>2020</v>
      </c>
      <c r="C1807" t="s">
        <v>455</v>
      </c>
      <c r="D1807" t="s">
        <v>456</v>
      </c>
      <c r="E1807" t="s">
        <v>456</v>
      </c>
      <c r="F1807" s="4">
        <v>36521780</v>
      </c>
      <c r="G1807" s="4">
        <v>81183</v>
      </c>
      <c r="H1807">
        <f>IFERROR(VLOOKUP(E1807,'GASB Match'!$A$2:$B$240,2,FALSE),"")</f>
        <v>1304020</v>
      </c>
    </row>
    <row r="1808" spans="1:8" x14ac:dyDescent="0.2">
      <c r="A1808">
        <v>1304020</v>
      </c>
      <c r="B1808" s="3">
        <v>2021</v>
      </c>
      <c r="C1808" t="s">
        <v>455</v>
      </c>
      <c r="D1808" t="s">
        <v>456</v>
      </c>
      <c r="E1808" t="s">
        <v>456</v>
      </c>
      <c r="F1808" s="4">
        <v>33897700</v>
      </c>
      <c r="G1808" s="4">
        <v>78604</v>
      </c>
      <c r="H1808">
        <f>IFERROR(VLOOKUP(E1808,'GASB Match'!$A$2:$B$240,2,FALSE),"")</f>
        <v>1304020</v>
      </c>
    </row>
    <row r="1809" spans="1:8" x14ac:dyDescent="0.2">
      <c r="A1809">
        <v>1304020</v>
      </c>
      <c r="B1809" s="3">
        <v>2022</v>
      </c>
      <c r="C1809" t="s">
        <v>455</v>
      </c>
      <c r="D1809" t="s">
        <v>456</v>
      </c>
      <c r="E1809" t="s">
        <v>456</v>
      </c>
      <c r="F1809" s="4">
        <v>37521015</v>
      </c>
      <c r="G1809" s="4">
        <v>84201</v>
      </c>
      <c r="H1809">
        <f>IFERROR(VLOOKUP(E1809,'GASB Match'!$A$2:$B$240,2,FALSE),"")</f>
        <v>1304020</v>
      </c>
    </row>
    <row r="1810" spans="1:8" x14ac:dyDescent="0.2">
      <c r="A1810">
        <v>1304020</v>
      </c>
      <c r="B1810" s="3">
        <v>2023</v>
      </c>
      <c r="C1810" t="s">
        <v>455</v>
      </c>
      <c r="D1810" t="s">
        <v>456</v>
      </c>
      <c r="E1810" t="s">
        <v>456</v>
      </c>
      <c r="F1810" s="4">
        <v>42640478</v>
      </c>
      <c r="G1810" s="4">
        <v>91064</v>
      </c>
      <c r="H1810">
        <f>IFERROR(VLOOKUP(E1810,'GASB Match'!$A$2:$B$240,2,FALSE),"")</f>
        <v>1304020</v>
      </c>
    </row>
    <row r="1811" spans="1:8" x14ac:dyDescent="0.2">
      <c r="A1811">
        <v>1304050</v>
      </c>
      <c r="B1811" s="3">
        <v>2015</v>
      </c>
      <c r="C1811" t="s">
        <v>457</v>
      </c>
      <c r="D1811" t="s">
        <v>458</v>
      </c>
      <c r="E1811" t="s">
        <v>458</v>
      </c>
      <c r="F1811" s="4">
        <v>2304009.84</v>
      </c>
      <c r="G1811" s="4">
        <v>23807.25</v>
      </c>
      <c r="H1811">
        <f>IFERROR(VLOOKUP(E1811,'GASB Match'!$A$2:$B$240,2,FALSE),"")</f>
        <v>1304050</v>
      </c>
    </row>
    <row r="1812" spans="1:8" x14ac:dyDescent="0.2">
      <c r="A1812">
        <v>1304050</v>
      </c>
      <c r="B1812" s="3">
        <v>2016</v>
      </c>
      <c r="C1812" t="s">
        <v>457</v>
      </c>
      <c r="D1812" t="s">
        <v>458</v>
      </c>
      <c r="E1812" t="s">
        <v>458</v>
      </c>
      <c r="F1812" s="4">
        <v>2574921.27</v>
      </c>
      <c r="G1812" s="4">
        <v>30388.47</v>
      </c>
      <c r="H1812">
        <f>IFERROR(VLOOKUP(E1812,'GASB Match'!$A$2:$B$240,2,FALSE),"")</f>
        <v>1304050</v>
      </c>
    </row>
    <row r="1813" spans="1:8" x14ac:dyDescent="0.2">
      <c r="A1813">
        <v>1304050</v>
      </c>
      <c r="B1813" s="3">
        <v>2017</v>
      </c>
      <c r="C1813" t="s">
        <v>457</v>
      </c>
      <c r="D1813" t="s">
        <v>458</v>
      </c>
      <c r="E1813" t="s">
        <v>458</v>
      </c>
      <c r="F1813" s="4">
        <v>2597822</v>
      </c>
      <c r="G1813" s="4">
        <v>18048</v>
      </c>
      <c r="H1813">
        <f>IFERROR(VLOOKUP(E1813,'GASB Match'!$A$2:$B$240,2,FALSE),"")</f>
        <v>1304050</v>
      </c>
    </row>
    <row r="1814" spans="1:8" x14ac:dyDescent="0.2">
      <c r="A1814">
        <v>1304050</v>
      </c>
      <c r="B1814" s="3">
        <v>2018</v>
      </c>
      <c r="C1814" t="s">
        <v>457</v>
      </c>
      <c r="D1814" t="s">
        <v>458</v>
      </c>
      <c r="E1814" t="s">
        <v>458</v>
      </c>
      <c r="F1814" s="4">
        <v>3143052</v>
      </c>
      <c r="G1814" s="4">
        <v>10991</v>
      </c>
      <c r="H1814">
        <f>IFERROR(VLOOKUP(E1814,'GASB Match'!$A$2:$B$240,2,FALSE),"")</f>
        <v>1304050</v>
      </c>
    </row>
    <row r="1815" spans="1:8" x14ac:dyDescent="0.2">
      <c r="A1815">
        <v>1304050</v>
      </c>
      <c r="B1815" s="3">
        <v>2019</v>
      </c>
      <c r="C1815" t="s">
        <v>457</v>
      </c>
      <c r="D1815" t="s">
        <v>458</v>
      </c>
      <c r="E1815" t="s">
        <v>458</v>
      </c>
      <c r="F1815" s="4">
        <v>3931415</v>
      </c>
      <c r="G1815" s="4">
        <v>13729</v>
      </c>
      <c r="H1815">
        <f>IFERROR(VLOOKUP(E1815,'GASB Match'!$A$2:$B$240,2,FALSE),"")</f>
        <v>1304050</v>
      </c>
    </row>
    <row r="1816" spans="1:8" x14ac:dyDescent="0.2">
      <c r="A1816">
        <v>1304050</v>
      </c>
      <c r="B1816" s="3">
        <v>2020</v>
      </c>
      <c r="C1816" t="s">
        <v>457</v>
      </c>
      <c r="D1816" t="s">
        <v>458</v>
      </c>
      <c r="E1816" t="s">
        <v>458</v>
      </c>
      <c r="F1816" s="4">
        <v>4279814</v>
      </c>
      <c r="G1816" s="4">
        <v>14048</v>
      </c>
      <c r="H1816">
        <f>IFERROR(VLOOKUP(E1816,'GASB Match'!$A$2:$B$240,2,FALSE),"")</f>
        <v>1304050</v>
      </c>
    </row>
    <row r="1817" spans="1:8" x14ac:dyDescent="0.2">
      <c r="A1817">
        <v>1304050</v>
      </c>
      <c r="B1817" s="3">
        <v>2021</v>
      </c>
      <c r="C1817" t="s">
        <v>457</v>
      </c>
      <c r="D1817" t="s">
        <v>458</v>
      </c>
      <c r="E1817" t="s">
        <v>458</v>
      </c>
      <c r="F1817" s="4">
        <v>4000561</v>
      </c>
      <c r="G1817" s="4">
        <v>12716</v>
      </c>
      <c r="H1817">
        <f>IFERROR(VLOOKUP(E1817,'GASB Match'!$A$2:$B$240,2,FALSE),"")</f>
        <v>1304050</v>
      </c>
    </row>
    <row r="1818" spans="1:8" x14ac:dyDescent="0.2">
      <c r="A1818">
        <v>1304050</v>
      </c>
      <c r="B1818" s="3">
        <v>2022</v>
      </c>
      <c r="C1818" t="s">
        <v>457</v>
      </c>
      <c r="D1818" t="s">
        <v>458</v>
      </c>
      <c r="E1818" t="s">
        <v>458</v>
      </c>
      <c r="F1818" s="4">
        <v>4456303</v>
      </c>
      <c r="G1818" s="4">
        <v>12619</v>
      </c>
      <c r="H1818">
        <f>IFERROR(VLOOKUP(E1818,'GASB Match'!$A$2:$B$240,2,FALSE),"")</f>
        <v>1304050</v>
      </c>
    </row>
    <row r="1819" spans="1:8" x14ac:dyDescent="0.2">
      <c r="A1819">
        <v>1304050</v>
      </c>
      <c r="B1819" s="3">
        <v>2023</v>
      </c>
      <c r="C1819" t="s">
        <v>457</v>
      </c>
      <c r="D1819" t="s">
        <v>458</v>
      </c>
      <c r="E1819" t="s">
        <v>458</v>
      </c>
      <c r="F1819" s="4">
        <v>4894665</v>
      </c>
      <c r="G1819" s="4">
        <v>12968</v>
      </c>
      <c r="H1819">
        <f>IFERROR(VLOOKUP(E1819,'GASB Match'!$A$2:$B$240,2,FALSE),"")</f>
        <v>1304050</v>
      </c>
    </row>
    <row r="1820" spans="1:8" x14ac:dyDescent="0.2">
      <c r="A1820" t="s">
        <v>7</v>
      </c>
      <c r="B1820" s="3">
        <v>2015</v>
      </c>
      <c r="C1820" t="s">
        <v>459</v>
      </c>
      <c r="D1820" t="s">
        <v>460</v>
      </c>
      <c r="E1820" t="s">
        <v>460</v>
      </c>
      <c r="F1820" s="4">
        <v>27297.52</v>
      </c>
      <c r="G1820" s="4" t="s">
        <v>7</v>
      </c>
      <c r="H1820" t="str">
        <f>IFERROR(VLOOKUP(E1820,'GASB Match'!$A$2:$B$240,2,FALSE),"")</f>
        <v/>
      </c>
    </row>
    <row r="1821" spans="1:8" x14ac:dyDescent="0.2">
      <c r="A1821" t="s">
        <v>7</v>
      </c>
      <c r="B1821" s="3">
        <v>2016</v>
      </c>
      <c r="C1821" t="s">
        <v>459</v>
      </c>
      <c r="D1821" t="s">
        <v>460</v>
      </c>
      <c r="E1821" t="s">
        <v>460</v>
      </c>
      <c r="F1821" s="4">
        <v>32014.26</v>
      </c>
      <c r="G1821" s="4" t="s">
        <v>7</v>
      </c>
      <c r="H1821" t="str">
        <f>IFERROR(VLOOKUP(E1821,'GASB Match'!$A$2:$B$240,2,FALSE),"")</f>
        <v/>
      </c>
    </row>
    <row r="1822" spans="1:8" x14ac:dyDescent="0.2">
      <c r="A1822" t="s">
        <v>7</v>
      </c>
      <c r="B1822" s="3">
        <v>2017</v>
      </c>
      <c r="C1822" t="s">
        <v>459</v>
      </c>
      <c r="D1822" t="s">
        <v>460</v>
      </c>
      <c r="E1822" t="s">
        <v>460</v>
      </c>
      <c r="F1822" s="4">
        <v>31635</v>
      </c>
      <c r="G1822" s="4" t="s">
        <v>7</v>
      </c>
      <c r="H1822" t="str">
        <f>IFERROR(VLOOKUP(E1822,'GASB Match'!$A$2:$B$240,2,FALSE),"")</f>
        <v/>
      </c>
    </row>
    <row r="1823" spans="1:8" x14ac:dyDescent="0.2">
      <c r="A1823" t="s">
        <v>7</v>
      </c>
      <c r="B1823" s="3">
        <v>2018</v>
      </c>
      <c r="C1823" t="s">
        <v>459</v>
      </c>
      <c r="D1823" t="s">
        <v>460</v>
      </c>
      <c r="E1823" t="s">
        <v>460</v>
      </c>
      <c r="F1823" s="4">
        <v>37840</v>
      </c>
      <c r="G1823" s="4" t="s">
        <v>7</v>
      </c>
      <c r="H1823" t="str">
        <f>IFERROR(VLOOKUP(E1823,'GASB Match'!$A$2:$B$240,2,FALSE),"")</f>
        <v/>
      </c>
    </row>
    <row r="1824" spans="1:8" x14ac:dyDescent="0.2">
      <c r="A1824" t="s">
        <v>7</v>
      </c>
      <c r="B1824" s="3">
        <v>2019</v>
      </c>
      <c r="C1824" t="s">
        <v>459</v>
      </c>
      <c r="D1824" t="s">
        <v>460</v>
      </c>
      <c r="E1824" t="s">
        <v>460</v>
      </c>
      <c r="F1824" s="4">
        <v>49753</v>
      </c>
      <c r="G1824" s="4" t="s">
        <v>7</v>
      </c>
      <c r="H1824" t="str">
        <f>IFERROR(VLOOKUP(E1824,'GASB Match'!$A$2:$B$240,2,FALSE),"")</f>
        <v/>
      </c>
    </row>
    <row r="1825" spans="1:8" x14ac:dyDescent="0.2">
      <c r="A1825" t="s">
        <v>7</v>
      </c>
      <c r="B1825" s="3">
        <v>2020</v>
      </c>
      <c r="C1825" t="s">
        <v>459</v>
      </c>
      <c r="D1825" t="s">
        <v>460</v>
      </c>
      <c r="E1825" t="s">
        <v>460</v>
      </c>
      <c r="F1825" s="4">
        <v>49741</v>
      </c>
      <c r="G1825" s="4" t="s">
        <v>7</v>
      </c>
      <c r="H1825" t="str">
        <f>IFERROR(VLOOKUP(E1825,'GASB Match'!$A$2:$B$240,2,FALSE),"")</f>
        <v/>
      </c>
    </row>
    <row r="1826" spans="1:8" x14ac:dyDescent="0.2">
      <c r="A1826" t="s">
        <v>7</v>
      </c>
      <c r="B1826" s="3">
        <v>2021</v>
      </c>
      <c r="C1826" t="s">
        <v>459</v>
      </c>
      <c r="D1826" t="s">
        <v>460</v>
      </c>
      <c r="E1826" t="s">
        <v>460</v>
      </c>
      <c r="F1826" s="4">
        <v>41636</v>
      </c>
      <c r="G1826" s="4" t="s">
        <v>7</v>
      </c>
      <c r="H1826" t="str">
        <f>IFERROR(VLOOKUP(E1826,'GASB Match'!$A$2:$B$240,2,FALSE),"")</f>
        <v/>
      </c>
    </row>
    <row r="1827" spans="1:8" x14ac:dyDescent="0.2">
      <c r="A1827" t="s">
        <v>7</v>
      </c>
      <c r="B1827" s="3">
        <v>2022</v>
      </c>
      <c r="C1827" t="s">
        <v>459</v>
      </c>
      <c r="D1827" t="s">
        <v>460</v>
      </c>
      <c r="E1827" t="s">
        <v>460</v>
      </c>
      <c r="F1827" s="4">
        <v>48453</v>
      </c>
      <c r="G1827" s="4" t="s">
        <v>7</v>
      </c>
      <c r="H1827" t="str">
        <f>IFERROR(VLOOKUP(E1827,'GASB Match'!$A$2:$B$240,2,FALSE),"")</f>
        <v/>
      </c>
    </row>
    <row r="1828" spans="1:8" x14ac:dyDescent="0.2">
      <c r="A1828" t="s">
        <v>7</v>
      </c>
      <c r="B1828" s="3">
        <v>2023</v>
      </c>
      <c r="C1828" t="s">
        <v>459</v>
      </c>
      <c r="D1828" t="s">
        <v>460</v>
      </c>
      <c r="E1828" t="s">
        <v>460</v>
      </c>
      <c r="F1828" s="4">
        <v>54990</v>
      </c>
      <c r="G1828" s="4" t="s">
        <v>7</v>
      </c>
      <c r="H1828" t="str">
        <f>IFERROR(VLOOKUP(E1828,'GASB Match'!$A$2:$B$240,2,FALSE),"")</f>
        <v/>
      </c>
    </row>
    <row r="1829" spans="1:8" x14ac:dyDescent="0.2">
      <c r="A1829">
        <v>1304110</v>
      </c>
      <c r="B1829" s="3">
        <v>2015</v>
      </c>
      <c r="C1829" t="s">
        <v>461</v>
      </c>
      <c r="D1829" t="s">
        <v>462</v>
      </c>
      <c r="E1829" t="s">
        <v>462</v>
      </c>
      <c r="F1829" s="4">
        <v>2981065.09</v>
      </c>
      <c r="G1829" s="4">
        <v>3454.3</v>
      </c>
      <c r="H1829">
        <f>IFERROR(VLOOKUP(E1829,'GASB Match'!$A$2:$B$240,2,FALSE),"")</f>
        <v>1304110</v>
      </c>
    </row>
    <row r="1830" spans="1:8" x14ac:dyDescent="0.2">
      <c r="A1830">
        <v>1304110</v>
      </c>
      <c r="B1830" s="3">
        <v>2016</v>
      </c>
      <c r="C1830" t="s">
        <v>461</v>
      </c>
      <c r="D1830" t="s">
        <v>462</v>
      </c>
      <c r="E1830" t="s">
        <v>462</v>
      </c>
      <c r="F1830" s="4">
        <v>3253553.24</v>
      </c>
      <c r="G1830" s="4">
        <v>3779.64</v>
      </c>
      <c r="H1830">
        <f>IFERROR(VLOOKUP(E1830,'GASB Match'!$A$2:$B$240,2,FALSE),"")</f>
        <v>1304110</v>
      </c>
    </row>
    <row r="1831" spans="1:8" x14ac:dyDescent="0.2">
      <c r="A1831">
        <v>1304110</v>
      </c>
      <c r="B1831" s="3">
        <v>2017</v>
      </c>
      <c r="C1831" t="s">
        <v>461</v>
      </c>
      <c r="D1831" t="s">
        <v>462</v>
      </c>
      <c r="E1831" t="s">
        <v>462</v>
      </c>
      <c r="F1831" s="4">
        <v>3413134</v>
      </c>
      <c r="G1831" s="4">
        <v>4056</v>
      </c>
      <c r="H1831">
        <f>IFERROR(VLOOKUP(E1831,'GASB Match'!$A$2:$B$240,2,FALSE),"")</f>
        <v>1304110</v>
      </c>
    </row>
    <row r="1832" spans="1:8" x14ac:dyDescent="0.2">
      <c r="A1832">
        <v>1304110</v>
      </c>
      <c r="B1832" s="3">
        <v>2018</v>
      </c>
      <c r="C1832" t="s">
        <v>461</v>
      </c>
      <c r="D1832" t="s">
        <v>462</v>
      </c>
      <c r="E1832" t="s">
        <v>462</v>
      </c>
      <c r="F1832" s="4">
        <v>4122484</v>
      </c>
      <c r="G1832" s="4">
        <v>4744</v>
      </c>
      <c r="H1832">
        <f>IFERROR(VLOOKUP(E1832,'GASB Match'!$A$2:$B$240,2,FALSE),"")</f>
        <v>1304110</v>
      </c>
    </row>
    <row r="1833" spans="1:8" x14ac:dyDescent="0.2">
      <c r="A1833">
        <v>1304110</v>
      </c>
      <c r="B1833" s="3">
        <v>2019</v>
      </c>
      <c r="C1833" t="s">
        <v>461</v>
      </c>
      <c r="D1833" t="s">
        <v>462</v>
      </c>
      <c r="E1833" t="s">
        <v>462</v>
      </c>
      <c r="F1833" s="4">
        <v>5292829</v>
      </c>
      <c r="G1833" s="4">
        <v>5968</v>
      </c>
      <c r="H1833">
        <f>IFERROR(VLOOKUP(E1833,'GASB Match'!$A$2:$B$240,2,FALSE),"")</f>
        <v>1304110</v>
      </c>
    </row>
    <row r="1834" spans="1:8" x14ac:dyDescent="0.2">
      <c r="A1834">
        <v>1304110</v>
      </c>
      <c r="B1834" s="3">
        <v>2020</v>
      </c>
      <c r="C1834" t="s">
        <v>461</v>
      </c>
      <c r="D1834" t="s">
        <v>462</v>
      </c>
      <c r="E1834" t="s">
        <v>462</v>
      </c>
      <c r="F1834" s="4">
        <v>5667184</v>
      </c>
      <c r="G1834" s="4">
        <v>28273</v>
      </c>
      <c r="H1834">
        <f>IFERROR(VLOOKUP(E1834,'GASB Match'!$A$2:$B$240,2,FALSE),"")</f>
        <v>1304110</v>
      </c>
    </row>
    <row r="1835" spans="1:8" x14ac:dyDescent="0.2">
      <c r="A1835">
        <v>1304110</v>
      </c>
      <c r="B1835" s="3">
        <v>2021</v>
      </c>
      <c r="C1835" t="s">
        <v>461</v>
      </c>
      <c r="D1835" t="s">
        <v>462</v>
      </c>
      <c r="E1835" t="s">
        <v>462</v>
      </c>
      <c r="F1835" s="4">
        <v>5153773</v>
      </c>
      <c r="G1835" s="4">
        <v>32777</v>
      </c>
      <c r="H1835">
        <f>IFERROR(VLOOKUP(E1835,'GASB Match'!$A$2:$B$240,2,FALSE),"")</f>
        <v>1304110</v>
      </c>
    </row>
    <row r="1836" spans="1:8" x14ac:dyDescent="0.2">
      <c r="A1836">
        <v>1304110</v>
      </c>
      <c r="B1836" s="3">
        <v>2022</v>
      </c>
      <c r="C1836" t="s">
        <v>461</v>
      </c>
      <c r="D1836" t="s">
        <v>462</v>
      </c>
      <c r="E1836" t="s">
        <v>462</v>
      </c>
      <c r="F1836" s="4">
        <v>5344781</v>
      </c>
      <c r="G1836" s="4">
        <v>36583</v>
      </c>
      <c r="H1836">
        <f>IFERROR(VLOOKUP(E1836,'GASB Match'!$A$2:$B$240,2,FALSE),"")</f>
        <v>1304110</v>
      </c>
    </row>
    <row r="1837" spans="1:8" x14ac:dyDescent="0.2">
      <c r="A1837">
        <v>1304110</v>
      </c>
      <c r="B1837" s="3">
        <v>2023</v>
      </c>
      <c r="C1837" t="s">
        <v>461</v>
      </c>
      <c r="D1837" t="s">
        <v>462</v>
      </c>
      <c r="E1837" t="s">
        <v>462</v>
      </c>
      <c r="F1837" s="4">
        <v>5547240</v>
      </c>
      <c r="G1837" s="4">
        <v>29526</v>
      </c>
      <c r="H1837">
        <f>IFERROR(VLOOKUP(E1837,'GASB Match'!$A$2:$B$240,2,FALSE),"")</f>
        <v>1304110</v>
      </c>
    </row>
    <row r="1838" spans="1:8" x14ac:dyDescent="0.2">
      <c r="A1838">
        <v>1304140</v>
      </c>
      <c r="B1838" s="3">
        <v>2015</v>
      </c>
      <c r="C1838" t="s">
        <v>463</v>
      </c>
      <c r="D1838" t="s">
        <v>464</v>
      </c>
      <c r="E1838" t="s">
        <v>464</v>
      </c>
      <c r="F1838" s="4">
        <v>2333990.17</v>
      </c>
      <c r="G1838" s="4">
        <v>40472.85</v>
      </c>
      <c r="H1838">
        <f>IFERROR(VLOOKUP(E1838,'GASB Match'!$A$2:$B$240,2,FALSE),"")</f>
        <v>1304140</v>
      </c>
    </row>
    <row r="1839" spans="1:8" x14ac:dyDescent="0.2">
      <c r="A1839">
        <v>1304140</v>
      </c>
      <c r="B1839" s="3">
        <v>2016</v>
      </c>
      <c r="C1839" t="s">
        <v>463</v>
      </c>
      <c r="D1839" t="s">
        <v>464</v>
      </c>
      <c r="E1839" t="s">
        <v>464</v>
      </c>
      <c r="F1839" s="4">
        <v>2592744.15</v>
      </c>
      <c r="G1839" s="4">
        <v>52674.239999999998</v>
      </c>
      <c r="H1839">
        <f>IFERROR(VLOOKUP(E1839,'GASB Match'!$A$2:$B$240,2,FALSE),"")</f>
        <v>1304140</v>
      </c>
    </row>
    <row r="1840" spans="1:8" x14ac:dyDescent="0.2">
      <c r="A1840">
        <v>1304140</v>
      </c>
      <c r="B1840" s="3">
        <v>2017</v>
      </c>
      <c r="C1840" t="s">
        <v>463</v>
      </c>
      <c r="D1840" t="s">
        <v>464</v>
      </c>
      <c r="E1840" t="s">
        <v>464</v>
      </c>
      <c r="F1840" s="4">
        <v>2722130</v>
      </c>
      <c r="G1840" s="4">
        <v>37242</v>
      </c>
      <c r="H1840">
        <f>IFERROR(VLOOKUP(E1840,'GASB Match'!$A$2:$B$240,2,FALSE),"")</f>
        <v>1304140</v>
      </c>
    </row>
    <row r="1841" spans="1:8" x14ac:dyDescent="0.2">
      <c r="A1841">
        <v>1304140</v>
      </c>
      <c r="B1841" s="3">
        <v>2018</v>
      </c>
      <c r="C1841" t="s">
        <v>463</v>
      </c>
      <c r="D1841" t="s">
        <v>464</v>
      </c>
      <c r="E1841" t="s">
        <v>464</v>
      </c>
      <c r="F1841" s="4">
        <v>3228153</v>
      </c>
      <c r="G1841" s="4">
        <v>24734</v>
      </c>
      <c r="H1841">
        <f>IFERROR(VLOOKUP(E1841,'GASB Match'!$A$2:$B$240,2,FALSE),"")</f>
        <v>1304140</v>
      </c>
    </row>
    <row r="1842" spans="1:8" x14ac:dyDescent="0.2">
      <c r="A1842">
        <v>1304140</v>
      </c>
      <c r="B1842" s="3">
        <v>2019</v>
      </c>
      <c r="C1842" t="s">
        <v>463</v>
      </c>
      <c r="D1842" t="s">
        <v>464</v>
      </c>
      <c r="E1842" t="s">
        <v>464</v>
      </c>
      <c r="F1842" s="4">
        <v>4003447</v>
      </c>
      <c r="G1842" s="4">
        <v>31319</v>
      </c>
      <c r="H1842">
        <f>IFERROR(VLOOKUP(E1842,'GASB Match'!$A$2:$B$240,2,FALSE),"")</f>
        <v>1304140</v>
      </c>
    </row>
    <row r="1843" spans="1:8" x14ac:dyDescent="0.2">
      <c r="A1843">
        <v>1304140</v>
      </c>
      <c r="B1843" s="3">
        <v>2020</v>
      </c>
      <c r="C1843" t="s">
        <v>463</v>
      </c>
      <c r="D1843" t="s">
        <v>464</v>
      </c>
      <c r="E1843" t="s">
        <v>464</v>
      </c>
      <c r="F1843" s="4">
        <v>4323659</v>
      </c>
      <c r="G1843" s="4">
        <v>33268</v>
      </c>
      <c r="H1843">
        <f>IFERROR(VLOOKUP(E1843,'GASB Match'!$A$2:$B$240,2,FALSE),"")</f>
        <v>1304140</v>
      </c>
    </row>
    <row r="1844" spans="1:8" x14ac:dyDescent="0.2">
      <c r="A1844">
        <v>1304140</v>
      </c>
      <c r="B1844" s="3">
        <v>2021</v>
      </c>
      <c r="C1844" t="s">
        <v>463</v>
      </c>
      <c r="D1844" t="s">
        <v>464</v>
      </c>
      <c r="E1844" t="s">
        <v>464</v>
      </c>
      <c r="F1844" s="4">
        <v>3899309</v>
      </c>
      <c r="G1844" s="4">
        <v>31607</v>
      </c>
      <c r="H1844">
        <f>IFERROR(VLOOKUP(E1844,'GASB Match'!$A$2:$B$240,2,FALSE),"")</f>
        <v>1304140</v>
      </c>
    </row>
    <row r="1845" spans="1:8" x14ac:dyDescent="0.2">
      <c r="A1845">
        <v>1304140</v>
      </c>
      <c r="B1845" s="3">
        <v>2022</v>
      </c>
      <c r="C1845" t="s">
        <v>463</v>
      </c>
      <c r="D1845" t="s">
        <v>464</v>
      </c>
      <c r="E1845" t="s">
        <v>464</v>
      </c>
      <c r="F1845" s="4">
        <v>4232432</v>
      </c>
      <c r="G1845" s="4">
        <v>22982</v>
      </c>
      <c r="H1845">
        <f>IFERROR(VLOOKUP(E1845,'GASB Match'!$A$2:$B$240,2,FALSE),"")</f>
        <v>1304140</v>
      </c>
    </row>
    <row r="1846" spans="1:8" x14ac:dyDescent="0.2">
      <c r="A1846">
        <v>1304140</v>
      </c>
      <c r="B1846" s="3">
        <v>2023</v>
      </c>
      <c r="C1846" t="s">
        <v>463</v>
      </c>
      <c r="D1846" t="s">
        <v>464</v>
      </c>
      <c r="E1846" t="s">
        <v>464</v>
      </c>
      <c r="F1846" s="4">
        <v>4399106</v>
      </c>
      <c r="G1846" s="4">
        <v>32568</v>
      </c>
      <c r="H1846">
        <f>IFERROR(VLOOKUP(E1846,'GASB Match'!$A$2:$B$240,2,FALSE),"")</f>
        <v>1304140</v>
      </c>
    </row>
    <row r="1847" spans="1:8" x14ac:dyDescent="0.2">
      <c r="A1847">
        <v>1304170</v>
      </c>
      <c r="B1847" s="3">
        <v>2015</v>
      </c>
      <c r="C1847" t="s">
        <v>465</v>
      </c>
      <c r="D1847" t="s">
        <v>466</v>
      </c>
      <c r="E1847" t="s">
        <v>466</v>
      </c>
      <c r="F1847" s="4">
        <v>1918240.4</v>
      </c>
      <c r="G1847" s="4">
        <v>42308.7</v>
      </c>
      <c r="H1847">
        <f>IFERROR(VLOOKUP(E1847,'GASB Match'!$A$2:$B$240,2,FALSE),"")</f>
        <v>1304170</v>
      </c>
    </row>
    <row r="1848" spans="1:8" x14ac:dyDescent="0.2">
      <c r="A1848">
        <v>1304170</v>
      </c>
      <c r="B1848" s="3">
        <v>2016</v>
      </c>
      <c r="C1848" t="s">
        <v>465</v>
      </c>
      <c r="D1848" t="s">
        <v>466</v>
      </c>
      <c r="E1848" t="s">
        <v>466</v>
      </c>
      <c r="F1848" s="4">
        <v>2121757.38</v>
      </c>
      <c r="G1848" s="4">
        <v>47743.1</v>
      </c>
      <c r="H1848">
        <f>IFERROR(VLOOKUP(E1848,'GASB Match'!$A$2:$B$240,2,FALSE),"")</f>
        <v>1304170</v>
      </c>
    </row>
    <row r="1849" spans="1:8" x14ac:dyDescent="0.2">
      <c r="A1849">
        <v>1304170</v>
      </c>
      <c r="B1849" s="3">
        <v>2017</v>
      </c>
      <c r="C1849" t="s">
        <v>465</v>
      </c>
      <c r="D1849" t="s">
        <v>466</v>
      </c>
      <c r="E1849" t="s">
        <v>466</v>
      </c>
      <c r="F1849" s="4">
        <v>2147175</v>
      </c>
      <c r="G1849" s="4">
        <v>39798</v>
      </c>
      <c r="H1849">
        <f>IFERROR(VLOOKUP(E1849,'GASB Match'!$A$2:$B$240,2,FALSE),"")</f>
        <v>1304170</v>
      </c>
    </row>
    <row r="1850" spans="1:8" x14ac:dyDescent="0.2">
      <c r="A1850">
        <v>1304170</v>
      </c>
      <c r="B1850" s="3">
        <v>2018</v>
      </c>
      <c r="C1850" t="s">
        <v>465</v>
      </c>
      <c r="D1850" t="s">
        <v>466</v>
      </c>
      <c r="E1850" t="s">
        <v>466</v>
      </c>
      <c r="F1850" s="4">
        <v>2616255</v>
      </c>
      <c r="G1850" s="4">
        <v>40309</v>
      </c>
      <c r="H1850">
        <f>IFERROR(VLOOKUP(E1850,'GASB Match'!$A$2:$B$240,2,FALSE),"")</f>
        <v>1304170</v>
      </c>
    </row>
    <row r="1851" spans="1:8" x14ac:dyDescent="0.2">
      <c r="A1851">
        <v>1304170</v>
      </c>
      <c r="B1851" s="3">
        <v>2019</v>
      </c>
      <c r="C1851" t="s">
        <v>465</v>
      </c>
      <c r="D1851" t="s">
        <v>466</v>
      </c>
      <c r="E1851" t="s">
        <v>466</v>
      </c>
      <c r="F1851" s="4">
        <v>3322352</v>
      </c>
      <c r="G1851" s="4">
        <v>51258</v>
      </c>
      <c r="H1851">
        <f>IFERROR(VLOOKUP(E1851,'GASB Match'!$A$2:$B$240,2,FALSE),"")</f>
        <v>1304170</v>
      </c>
    </row>
    <row r="1852" spans="1:8" x14ac:dyDescent="0.2">
      <c r="A1852">
        <v>1304170</v>
      </c>
      <c r="B1852" s="3">
        <v>2020</v>
      </c>
      <c r="C1852" t="s">
        <v>465</v>
      </c>
      <c r="D1852" t="s">
        <v>466</v>
      </c>
      <c r="E1852" t="s">
        <v>466</v>
      </c>
      <c r="F1852" s="4">
        <v>3495662</v>
      </c>
      <c r="G1852" s="4">
        <v>53518</v>
      </c>
      <c r="H1852">
        <f>IFERROR(VLOOKUP(E1852,'GASB Match'!$A$2:$B$240,2,FALSE),"")</f>
        <v>1304170</v>
      </c>
    </row>
    <row r="1853" spans="1:8" x14ac:dyDescent="0.2">
      <c r="A1853">
        <v>1304170</v>
      </c>
      <c r="B1853" s="3">
        <v>2021</v>
      </c>
      <c r="C1853" t="s">
        <v>465</v>
      </c>
      <c r="D1853" t="s">
        <v>466</v>
      </c>
      <c r="E1853" t="s">
        <v>466</v>
      </c>
      <c r="F1853" s="4">
        <v>3243912</v>
      </c>
      <c r="G1853" s="4">
        <v>42611</v>
      </c>
      <c r="H1853">
        <f>IFERROR(VLOOKUP(E1853,'GASB Match'!$A$2:$B$240,2,FALSE),"")</f>
        <v>1304170</v>
      </c>
    </row>
    <row r="1854" spans="1:8" x14ac:dyDescent="0.2">
      <c r="A1854">
        <v>1304170</v>
      </c>
      <c r="B1854" s="3">
        <v>2022</v>
      </c>
      <c r="C1854" t="s">
        <v>465</v>
      </c>
      <c r="D1854" t="s">
        <v>466</v>
      </c>
      <c r="E1854" t="s">
        <v>466</v>
      </c>
      <c r="F1854" s="4">
        <v>3506634</v>
      </c>
      <c r="G1854" s="4">
        <v>53844</v>
      </c>
      <c r="H1854">
        <f>IFERROR(VLOOKUP(E1854,'GASB Match'!$A$2:$B$240,2,FALSE),"")</f>
        <v>1304170</v>
      </c>
    </row>
    <row r="1855" spans="1:8" x14ac:dyDescent="0.2">
      <c r="A1855">
        <v>1304170</v>
      </c>
      <c r="B1855" s="3">
        <v>2023</v>
      </c>
      <c r="C1855" t="s">
        <v>465</v>
      </c>
      <c r="D1855" t="s">
        <v>466</v>
      </c>
      <c r="E1855" t="s">
        <v>466</v>
      </c>
      <c r="F1855" s="4">
        <v>3994903</v>
      </c>
      <c r="G1855" s="4">
        <v>27571</v>
      </c>
      <c r="H1855">
        <f>IFERROR(VLOOKUP(E1855,'GASB Match'!$A$2:$B$240,2,FALSE),"")</f>
        <v>1304170</v>
      </c>
    </row>
    <row r="1856" spans="1:8" x14ac:dyDescent="0.2">
      <c r="A1856">
        <v>1304200</v>
      </c>
      <c r="B1856" s="3">
        <v>2015</v>
      </c>
      <c r="C1856" t="s">
        <v>467</v>
      </c>
      <c r="D1856" t="s">
        <v>468</v>
      </c>
      <c r="E1856" t="s">
        <v>468</v>
      </c>
      <c r="F1856" s="4">
        <v>4799554.8099999996</v>
      </c>
      <c r="G1856" s="4">
        <v>54785.69</v>
      </c>
      <c r="H1856">
        <f>IFERROR(VLOOKUP(E1856,'GASB Match'!$A$2:$B$240,2,FALSE),"")</f>
        <v>1304200</v>
      </c>
    </row>
    <row r="1857" spans="1:8" x14ac:dyDescent="0.2">
      <c r="A1857">
        <v>1304200</v>
      </c>
      <c r="B1857" s="3">
        <v>2016</v>
      </c>
      <c r="C1857" t="s">
        <v>467</v>
      </c>
      <c r="D1857" t="s">
        <v>468</v>
      </c>
      <c r="E1857" t="s">
        <v>468</v>
      </c>
      <c r="F1857" s="4">
        <v>5360866.37</v>
      </c>
      <c r="G1857" s="4">
        <v>71634.09</v>
      </c>
      <c r="H1857">
        <f>IFERROR(VLOOKUP(E1857,'GASB Match'!$A$2:$B$240,2,FALSE),"")</f>
        <v>1304200</v>
      </c>
    </row>
    <row r="1858" spans="1:8" x14ac:dyDescent="0.2">
      <c r="A1858">
        <v>1304200</v>
      </c>
      <c r="B1858" s="3">
        <v>2017</v>
      </c>
      <c r="C1858" t="s">
        <v>467</v>
      </c>
      <c r="D1858" t="s">
        <v>468</v>
      </c>
      <c r="E1858" t="s">
        <v>468</v>
      </c>
      <c r="F1858" s="4">
        <v>5451059</v>
      </c>
      <c r="G1858" s="4">
        <v>65956</v>
      </c>
      <c r="H1858">
        <f>IFERROR(VLOOKUP(E1858,'GASB Match'!$A$2:$B$240,2,FALSE),"")</f>
        <v>1304200</v>
      </c>
    </row>
    <row r="1859" spans="1:8" x14ac:dyDescent="0.2">
      <c r="A1859">
        <v>1304200</v>
      </c>
      <c r="B1859" s="3">
        <v>2018</v>
      </c>
      <c r="C1859" t="s">
        <v>467</v>
      </c>
      <c r="D1859" t="s">
        <v>468</v>
      </c>
      <c r="E1859" t="s">
        <v>468</v>
      </c>
      <c r="F1859" s="4">
        <v>6554700</v>
      </c>
      <c r="G1859" s="4">
        <v>31262</v>
      </c>
      <c r="H1859">
        <f>IFERROR(VLOOKUP(E1859,'GASB Match'!$A$2:$B$240,2,FALSE),"")</f>
        <v>1304200</v>
      </c>
    </row>
    <row r="1860" spans="1:8" x14ac:dyDescent="0.2">
      <c r="A1860">
        <v>1304200</v>
      </c>
      <c r="B1860" s="3">
        <v>2019</v>
      </c>
      <c r="C1860" t="s">
        <v>467</v>
      </c>
      <c r="D1860" t="s">
        <v>468</v>
      </c>
      <c r="E1860" t="s">
        <v>468</v>
      </c>
      <c r="F1860" s="4">
        <v>8235137</v>
      </c>
      <c r="G1860" s="4">
        <v>38893</v>
      </c>
      <c r="H1860">
        <f>IFERROR(VLOOKUP(E1860,'GASB Match'!$A$2:$B$240,2,FALSE),"")</f>
        <v>1304200</v>
      </c>
    </row>
    <row r="1861" spans="1:8" x14ac:dyDescent="0.2">
      <c r="A1861">
        <v>1304200</v>
      </c>
      <c r="B1861" s="3">
        <v>2020</v>
      </c>
      <c r="C1861" t="s">
        <v>467</v>
      </c>
      <c r="D1861" t="s">
        <v>468</v>
      </c>
      <c r="E1861" t="s">
        <v>468</v>
      </c>
      <c r="F1861" s="4">
        <v>8930005</v>
      </c>
      <c r="G1861" s="4">
        <v>32289</v>
      </c>
      <c r="H1861">
        <f>IFERROR(VLOOKUP(E1861,'GASB Match'!$A$2:$B$240,2,FALSE),"")</f>
        <v>1304200</v>
      </c>
    </row>
    <row r="1862" spans="1:8" x14ac:dyDescent="0.2">
      <c r="A1862">
        <v>1304200</v>
      </c>
      <c r="B1862" s="3">
        <v>2021</v>
      </c>
      <c r="C1862" t="s">
        <v>467</v>
      </c>
      <c r="D1862" t="s">
        <v>468</v>
      </c>
      <c r="E1862" t="s">
        <v>468</v>
      </c>
      <c r="F1862" s="4">
        <v>8411661</v>
      </c>
      <c r="G1862" s="4">
        <v>33371</v>
      </c>
      <c r="H1862">
        <f>IFERROR(VLOOKUP(E1862,'GASB Match'!$A$2:$B$240,2,FALSE),"")</f>
        <v>1304200</v>
      </c>
    </row>
    <row r="1863" spans="1:8" x14ac:dyDescent="0.2">
      <c r="A1863">
        <v>1304200</v>
      </c>
      <c r="B1863" s="3">
        <v>2022</v>
      </c>
      <c r="C1863" t="s">
        <v>467</v>
      </c>
      <c r="D1863" t="s">
        <v>468</v>
      </c>
      <c r="E1863" t="s">
        <v>468</v>
      </c>
      <c r="F1863" s="4">
        <v>9654226</v>
      </c>
      <c r="G1863" s="4">
        <v>39668</v>
      </c>
      <c r="H1863">
        <f>IFERROR(VLOOKUP(E1863,'GASB Match'!$A$2:$B$240,2,FALSE),"")</f>
        <v>1304200</v>
      </c>
    </row>
    <row r="1864" spans="1:8" x14ac:dyDescent="0.2">
      <c r="A1864">
        <v>1304200</v>
      </c>
      <c r="B1864" s="3">
        <v>2023</v>
      </c>
      <c r="C1864" t="s">
        <v>467</v>
      </c>
      <c r="D1864" t="s">
        <v>468</v>
      </c>
      <c r="E1864" t="s">
        <v>468</v>
      </c>
      <c r="F1864" s="4">
        <v>10209462</v>
      </c>
      <c r="G1864" s="4">
        <v>37921</v>
      </c>
      <c r="H1864">
        <f>IFERROR(VLOOKUP(E1864,'GASB Match'!$A$2:$B$240,2,FALSE),"")</f>
        <v>1304200</v>
      </c>
    </row>
    <row r="1865" spans="1:8" x14ac:dyDescent="0.2">
      <c r="A1865">
        <v>1304220</v>
      </c>
      <c r="B1865" s="3">
        <v>2015</v>
      </c>
      <c r="C1865" t="s">
        <v>469</v>
      </c>
      <c r="D1865" t="s">
        <v>470</v>
      </c>
      <c r="E1865" t="s">
        <v>470</v>
      </c>
      <c r="F1865" s="4">
        <v>935259.42</v>
      </c>
      <c r="G1865" s="4" t="s">
        <v>7</v>
      </c>
      <c r="H1865">
        <f>IFERROR(VLOOKUP(E1865,'GASB Match'!$A$2:$B$240,2,FALSE),"")</f>
        <v>1304220</v>
      </c>
    </row>
    <row r="1866" spans="1:8" x14ac:dyDescent="0.2">
      <c r="A1866">
        <v>1304220</v>
      </c>
      <c r="B1866" s="3">
        <v>2016</v>
      </c>
      <c r="C1866" t="s">
        <v>469</v>
      </c>
      <c r="D1866" t="s">
        <v>470</v>
      </c>
      <c r="E1866" t="s">
        <v>470</v>
      </c>
      <c r="F1866" s="4">
        <v>1024184.94</v>
      </c>
      <c r="G1866" s="4" t="s">
        <v>7</v>
      </c>
      <c r="H1866">
        <f>IFERROR(VLOOKUP(E1866,'GASB Match'!$A$2:$B$240,2,FALSE),"")</f>
        <v>1304220</v>
      </c>
    </row>
    <row r="1867" spans="1:8" x14ac:dyDescent="0.2">
      <c r="A1867">
        <v>1304220</v>
      </c>
      <c r="B1867" s="3">
        <v>2017</v>
      </c>
      <c r="C1867" t="s">
        <v>469</v>
      </c>
      <c r="D1867" t="s">
        <v>470</v>
      </c>
      <c r="E1867" t="s">
        <v>470</v>
      </c>
      <c r="F1867" s="4">
        <v>1047275</v>
      </c>
      <c r="G1867" s="4">
        <v>4409</v>
      </c>
      <c r="H1867">
        <f>IFERROR(VLOOKUP(E1867,'GASB Match'!$A$2:$B$240,2,FALSE),"")</f>
        <v>1304220</v>
      </c>
    </row>
    <row r="1868" spans="1:8" x14ac:dyDescent="0.2">
      <c r="A1868">
        <v>1304220</v>
      </c>
      <c r="B1868" s="3">
        <v>2018</v>
      </c>
      <c r="C1868" t="s">
        <v>469</v>
      </c>
      <c r="D1868" t="s">
        <v>470</v>
      </c>
      <c r="E1868" t="s">
        <v>470</v>
      </c>
      <c r="F1868" s="4">
        <v>1287943</v>
      </c>
      <c r="G1868" s="4">
        <v>6207</v>
      </c>
      <c r="H1868">
        <f>IFERROR(VLOOKUP(E1868,'GASB Match'!$A$2:$B$240,2,FALSE),"")</f>
        <v>1304220</v>
      </c>
    </row>
    <row r="1869" spans="1:8" x14ac:dyDescent="0.2">
      <c r="A1869">
        <v>1304220</v>
      </c>
      <c r="B1869" s="3">
        <v>2019</v>
      </c>
      <c r="C1869" t="s">
        <v>469</v>
      </c>
      <c r="D1869" t="s">
        <v>470</v>
      </c>
      <c r="E1869" t="s">
        <v>470</v>
      </c>
      <c r="F1869" s="4">
        <v>1464520</v>
      </c>
      <c r="G1869" s="4">
        <v>8997</v>
      </c>
      <c r="H1869">
        <f>IFERROR(VLOOKUP(E1869,'GASB Match'!$A$2:$B$240,2,FALSE),"")</f>
        <v>1304220</v>
      </c>
    </row>
    <row r="1870" spans="1:8" x14ac:dyDescent="0.2">
      <c r="A1870">
        <v>1304220</v>
      </c>
      <c r="B1870" s="3">
        <v>2020</v>
      </c>
      <c r="C1870" t="s">
        <v>469</v>
      </c>
      <c r="D1870" t="s">
        <v>470</v>
      </c>
      <c r="E1870" t="s">
        <v>470</v>
      </c>
      <c r="F1870" s="4">
        <v>1633165</v>
      </c>
      <c r="G1870" s="4">
        <v>11214</v>
      </c>
      <c r="H1870">
        <f>IFERROR(VLOOKUP(E1870,'GASB Match'!$A$2:$B$240,2,FALSE),"")</f>
        <v>1304220</v>
      </c>
    </row>
    <row r="1871" spans="1:8" x14ac:dyDescent="0.2">
      <c r="A1871">
        <v>1304220</v>
      </c>
      <c r="B1871" s="3">
        <v>2021</v>
      </c>
      <c r="C1871" t="s">
        <v>469</v>
      </c>
      <c r="D1871" t="s">
        <v>470</v>
      </c>
      <c r="E1871" t="s">
        <v>470</v>
      </c>
      <c r="F1871" s="4">
        <v>1510470</v>
      </c>
      <c r="G1871" s="4">
        <v>13245</v>
      </c>
      <c r="H1871">
        <f>IFERROR(VLOOKUP(E1871,'GASB Match'!$A$2:$B$240,2,FALSE),"")</f>
        <v>1304220</v>
      </c>
    </row>
    <row r="1872" spans="1:8" x14ac:dyDescent="0.2">
      <c r="A1872">
        <v>1304220</v>
      </c>
      <c r="B1872" s="3">
        <v>2022</v>
      </c>
      <c r="C1872" t="s">
        <v>469</v>
      </c>
      <c r="D1872" t="s">
        <v>470</v>
      </c>
      <c r="E1872" t="s">
        <v>470</v>
      </c>
      <c r="F1872" s="4">
        <v>1650272</v>
      </c>
      <c r="G1872" s="4">
        <v>14283</v>
      </c>
      <c r="H1872">
        <f>IFERROR(VLOOKUP(E1872,'GASB Match'!$A$2:$B$240,2,FALSE),"")</f>
        <v>1304220</v>
      </c>
    </row>
    <row r="1873" spans="1:8" x14ac:dyDescent="0.2">
      <c r="A1873">
        <v>1304220</v>
      </c>
      <c r="B1873" s="3">
        <v>2023</v>
      </c>
      <c r="C1873" t="s">
        <v>469</v>
      </c>
      <c r="D1873" t="s">
        <v>470</v>
      </c>
      <c r="E1873" t="s">
        <v>470</v>
      </c>
      <c r="F1873" s="4">
        <v>1684287</v>
      </c>
      <c r="G1873" s="4">
        <v>12115</v>
      </c>
      <c r="H1873">
        <f>IFERROR(VLOOKUP(E1873,'GASB Match'!$A$2:$B$240,2,FALSE),"")</f>
        <v>1304220</v>
      </c>
    </row>
    <row r="1874" spans="1:8" x14ac:dyDescent="0.2">
      <c r="A1874">
        <v>1304260</v>
      </c>
      <c r="B1874" s="3">
        <v>2015</v>
      </c>
      <c r="C1874" t="s">
        <v>471</v>
      </c>
      <c r="D1874" t="s">
        <v>472</v>
      </c>
      <c r="E1874" t="s">
        <v>472</v>
      </c>
      <c r="F1874" s="4">
        <v>2137591.56</v>
      </c>
      <c r="G1874" s="4">
        <v>152.87</v>
      </c>
      <c r="H1874">
        <f>IFERROR(VLOOKUP(E1874,'GASB Match'!$A$2:$B$240,2,FALSE),"")</f>
        <v>1304260</v>
      </c>
    </row>
    <row r="1875" spans="1:8" x14ac:dyDescent="0.2">
      <c r="A1875">
        <v>1304260</v>
      </c>
      <c r="B1875" s="3">
        <v>2016</v>
      </c>
      <c r="C1875" t="s">
        <v>471</v>
      </c>
      <c r="D1875" t="s">
        <v>472</v>
      </c>
      <c r="E1875" t="s">
        <v>472</v>
      </c>
      <c r="F1875" s="4">
        <v>2368533.4500000002</v>
      </c>
      <c r="G1875" s="4" t="s">
        <v>7</v>
      </c>
      <c r="H1875">
        <f>IFERROR(VLOOKUP(E1875,'GASB Match'!$A$2:$B$240,2,FALSE),"")</f>
        <v>1304260</v>
      </c>
    </row>
    <row r="1876" spans="1:8" x14ac:dyDescent="0.2">
      <c r="A1876">
        <v>1304260</v>
      </c>
      <c r="B1876" s="3">
        <v>2017</v>
      </c>
      <c r="C1876" t="s">
        <v>471</v>
      </c>
      <c r="D1876" t="s">
        <v>472</v>
      </c>
      <c r="E1876" t="s">
        <v>472</v>
      </c>
      <c r="F1876" s="4">
        <v>2462705</v>
      </c>
      <c r="G1876" s="4" t="s">
        <v>7</v>
      </c>
      <c r="H1876">
        <f>IFERROR(VLOOKUP(E1876,'GASB Match'!$A$2:$B$240,2,FALSE),"")</f>
        <v>1304260</v>
      </c>
    </row>
    <row r="1877" spans="1:8" x14ac:dyDescent="0.2">
      <c r="A1877">
        <v>1304260</v>
      </c>
      <c r="B1877" s="3">
        <v>2018</v>
      </c>
      <c r="C1877" t="s">
        <v>471</v>
      </c>
      <c r="D1877" t="s">
        <v>472</v>
      </c>
      <c r="E1877" t="s">
        <v>472</v>
      </c>
      <c r="F1877" s="4">
        <v>2935069</v>
      </c>
      <c r="G1877" s="4" t="s">
        <v>7</v>
      </c>
      <c r="H1877">
        <f>IFERROR(VLOOKUP(E1877,'GASB Match'!$A$2:$B$240,2,FALSE),"")</f>
        <v>1304260</v>
      </c>
    </row>
    <row r="1878" spans="1:8" x14ac:dyDescent="0.2">
      <c r="A1878">
        <v>1304260</v>
      </c>
      <c r="B1878" s="3">
        <v>2019</v>
      </c>
      <c r="C1878" t="s">
        <v>471</v>
      </c>
      <c r="D1878" t="s">
        <v>472</v>
      </c>
      <c r="E1878" t="s">
        <v>472</v>
      </c>
      <c r="F1878" s="4">
        <v>3772819</v>
      </c>
      <c r="G1878" s="4" t="s">
        <v>7</v>
      </c>
      <c r="H1878">
        <f>IFERROR(VLOOKUP(E1878,'GASB Match'!$A$2:$B$240,2,FALSE),"")</f>
        <v>1304260</v>
      </c>
    </row>
    <row r="1879" spans="1:8" x14ac:dyDescent="0.2">
      <c r="A1879">
        <v>1304260</v>
      </c>
      <c r="B1879" s="3">
        <v>2020</v>
      </c>
      <c r="C1879" t="s">
        <v>471</v>
      </c>
      <c r="D1879" t="s">
        <v>472</v>
      </c>
      <c r="E1879" t="s">
        <v>472</v>
      </c>
      <c r="F1879" s="4">
        <v>4032664</v>
      </c>
      <c r="G1879" s="4" t="s">
        <v>7</v>
      </c>
      <c r="H1879">
        <f>IFERROR(VLOOKUP(E1879,'GASB Match'!$A$2:$B$240,2,FALSE),"")</f>
        <v>1304260</v>
      </c>
    </row>
    <row r="1880" spans="1:8" x14ac:dyDescent="0.2">
      <c r="A1880">
        <v>1304260</v>
      </c>
      <c r="B1880" s="3">
        <v>2021</v>
      </c>
      <c r="C1880" t="s">
        <v>471</v>
      </c>
      <c r="D1880" t="s">
        <v>472</v>
      </c>
      <c r="E1880" t="s">
        <v>472</v>
      </c>
      <c r="F1880" s="4">
        <v>3752268</v>
      </c>
      <c r="G1880" s="4" t="s">
        <v>7</v>
      </c>
      <c r="H1880">
        <f>IFERROR(VLOOKUP(E1880,'GASB Match'!$A$2:$B$240,2,FALSE),"")</f>
        <v>1304260</v>
      </c>
    </row>
    <row r="1881" spans="1:8" x14ac:dyDescent="0.2">
      <c r="A1881">
        <v>1304260</v>
      </c>
      <c r="B1881" s="3">
        <v>2022</v>
      </c>
      <c r="C1881" t="s">
        <v>471</v>
      </c>
      <c r="D1881" t="s">
        <v>472</v>
      </c>
      <c r="E1881" t="s">
        <v>472</v>
      </c>
      <c r="F1881" s="4">
        <v>4002224</v>
      </c>
      <c r="G1881" s="4" t="s">
        <v>7</v>
      </c>
      <c r="H1881">
        <f>IFERROR(VLOOKUP(E1881,'GASB Match'!$A$2:$B$240,2,FALSE),"")</f>
        <v>1304260</v>
      </c>
    </row>
    <row r="1882" spans="1:8" x14ac:dyDescent="0.2">
      <c r="A1882">
        <v>1304260</v>
      </c>
      <c r="B1882" s="3">
        <v>2023</v>
      </c>
      <c r="C1882" t="s">
        <v>471</v>
      </c>
      <c r="D1882" t="s">
        <v>472</v>
      </c>
      <c r="E1882" t="s">
        <v>472</v>
      </c>
      <c r="F1882" s="4">
        <v>4385666</v>
      </c>
      <c r="G1882" s="4" t="s">
        <v>7</v>
      </c>
      <c r="H1882">
        <f>IFERROR(VLOOKUP(E1882,'GASB Match'!$A$2:$B$240,2,FALSE),"")</f>
        <v>1304260</v>
      </c>
    </row>
    <row r="1883" spans="1:8" x14ac:dyDescent="0.2">
      <c r="A1883">
        <v>1304290</v>
      </c>
      <c r="B1883" s="3">
        <v>2015</v>
      </c>
      <c r="C1883" t="s">
        <v>473</v>
      </c>
      <c r="D1883" t="s">
        <v>474</v>
      </c>
      <c r="E1883" t="s">
        <v>474</v>
      </c>
      <c r="F1883" s="4">
        <v>270985.89</v>
      </c>
      <c r="G1883" s="4">
        <v>7273.86</v>
      </c>
      <c r="H1883">
        <f>IFERROR(VLOOKUP(E1883,'GASB Match'!$A$2:$B$240,2,FALSE),"")</f>
        <v>1304290</v>
      </c>
    </row>
    <row r="1884" spans="1:8" x14ac:dyDescent="0.2">
      <c r="A1884">
        <v>1304290</v>
      </c>
      <c r="B1884" s="3">
        <v>2016</v>
      </c>
      <c r="C1884" t="s">
        <v>473</v>
      </c>
      <c r="D1884" t="s">
        <v>474</v>
      </c>
      <c r="E1884" t="s">
        <v>474</v>
      </c>
      <c r="F1884" s="4">
        <v>300669.61</v>
      </c>
      <c r="G1884" s="4">
        <v>7791.48</v>
      </c>
      <c r="H1884">
        <f>IFERROR(VLOOKUP(E1884,'GASB Match'!$A$2:$B$240,2,FALSE),"")</f>
        <v>1304290</v>
      </c>
    </row>
    <row r="1885" spans="1:8" x14ac:dyDescent="0.2">
      <c r="A1885">
        <v>1304290</v>
      </c>
      <c r="B1885" s="3">
        <v>2017</v>
      </c>
      <c r="C1885" t="s">
        <v>473</v>
      </c>
      <c r="D1885" t="s">
        <v>474</v>
      </c>
      <c r="E1885" t="s">
        <v>474</v>
      </c>
      <c r="F1885" s="4">
        <v>318692</v>
      </c>
      <c r="G1885" s="4">
        <v>5804</v>
      </c>
      <c r="H1885">
        <f>IFERROR(VLOOKUP(E1885,'GASB Match'!$A$2:$B$240,2,FALSE),"")</f>
        <v>1304290</v>
      </c>
    </row>
    <row r="1886" spans="1:8" x14ac:dyDescent="0.2">
      <c r="A1886">
        <v>1304290</v>
      </c>
      <c r="B1886" s="3">
        <v>2018</v>
      </c>
      <c r="C1886" t="s">
        <v>473</v>
      </c>
      <c r="D1886" t="s">
        <v>474</v>
      </c>
      <c r="E1886" t="s">
        <v>474</v>
      </c>
      <c r="F1886" s="4">
        <v>390561</v>
      </c>
      <c r="G1886" s="4">
        <v>15600</v>
      </c>
      <c r="H1886">
        <f>IFERROR(VLOOKUP(E1886,'GASB Match'!$A$2:$B$240,2,FALSE),"")</f>
        <v>1304290</v>
      </c>
    </row>
    <row r="1887" spans="1:8" x14ac:dyDescent="0.2">
      <c r="A1887">
        <v>1304290</v>
      </c>
      <c r="B1887" s="3">
        <v>2019</v>
      </c>
      <c r="C1887" t="s">
        <v>473</v>
      </c>
      <c r="D1887" t="s">
        <v>474</v>
      </c>
      <c r="E1887" t="s">
        <v>474</v>
      </c>
      <c r="F1887" s="4">
        <v>460481</v>
      </c>
      <c r="G1887" s="4">
        <v>19368</v>
      </c>
      <c r="H1887">
        <f>IFERROR(VLOOKUP(E1887,'GASB Match'!$A$2:$B$240,2,FALSE),"")</f>
        <v>1304290</v>
      </c>
    </row>
    <row r="1888" spans="1:8" x14ac:dyDescent="0.2">
      <c r="A1888">
        <v>1304290</v>
      </c>
      <c r="B1888" s="3">
        <v>2020</v>
      </c>
      <c r="C1888" t="s">
        <v>473</v>
      </c>
      <c r="D1888" t="s">
        <v>474</v>
      </c>
      <c r="E1888" t="s">
        <v>474</v>
      </c>
      <c r="F1888" s="4">
        <v>466589</v>
      </c>
      <c r="G1888" s="4">
        <v>19870</v>
      </c>
      <c r="H1888">
        <f>IFERROR(VLOOKUP(E1888,'GASB Match'!$A$2:$B$240,2,FALSE),"")</f>
        <v>1304290</v>
      </c>
    </row>
    <row r="1889" spans="1:8" x14ac:dyDescent="0.2">
      <c r="A1889">
        <v>1304290</v>
      </c>
      <c r="B1889" s="3">
        <v>2021</v>
      </c>
      <c r="C1889" t="s">
        <v>473</v>
      </c>
      <c r="D1889" t="s">
        <v>474</v>
      </c>
      <c r="E1889" t="s">
        <v>474</v>
      </c>
      <c r="F1889" s="4">
        <v>422858</v>
      </c>
      <c r="G1889" s="4">
        <v>18033</v>
      </c>
      <c r="H1889">
        <f>IFERROR(VLOOKUP(E1889,'GASB Match'!$A$2:$B$240,2,FALSE),"")</f>
        <v>1304290</v>
      </c>
    </row>
    <row r="1890" spans="1:8" x14ac:dyDescent="0.2">
      <c r="A1890">
        <v>1304290</v>
      </c>
      <c r="B1890" s="3">
        <v>2022</v>
      </c>
      <c r="C1890" t="s">
        <v>473</v>
      </c>
      <c r="D1890" t="s">
        <v>474</v>
      </c>
      <c r="E1890" t="s">
        <v>474</v>
      </c>
      <c r="F1890" s="4">
        <v>414621</v>
      </c>
      <c r="G1890" s="4">
        <v>19386</v>
      </c>
      <c r="H1890">
        <f>IFERROR(VLOOKUP(E1890,'GASB Match'!$A$2:$B$240,2,FALSE),"")</f>
        <v>1304290</v>
      </c>
    </row>
    <row r="1891" spans="1:8" x14ac:dyDescent="0.2">
      <c r="A1891">
        <v>1304290</v>
      </c>
      <c r="B1891" s="3">
        <v>2023</v>
      </c>
      <c r="C1891" t="s">
        <v>473</v>
      </c>
      <c r="D1891" t="s">
        <v>474</v>
      </c>
      <c r="E1891" t="s">
        <v>474</v>
      </c>
      <c r="F1891" s="4">
        <v>466458</v>
      </c>
      <c r="G1891" s="4">
        <v>20408</v>
      </c>
      <c r="H1891">
        <f>IFERROR(VLOOKUP(E1891,'GASB Match'!$A$2:$B$240,2,FALSE),"")</f>
        <v>1304290</v>
      </c>
    </row>
    <row r="1892" spans="1:8" x14ac:dyDescent="0.2">
      <c r="A1892">
        <v>1304320</v>
      </c>
      <c r="B1892" s="3">
        <v>2015</v>
      </c>
      <c r="C1892" t="s">
        <v>475</v>
      </c>
      <c r="D1892" t="s">
        <v>476</v>
      </c>
      <c r="E1892" t="s">
        <v>476</v>
      </c>
      <c r="F1892" s="4">
        <v>1865221.74</v>
      </c>
      <c r="G1892" s="4">
        <v>52182.53</v>
      </c>
      <c r="H1892">
        <f>IFERROR(VLOOKUP(E1892,'GASB Match'!$A$2:$B$240,2,FALSE),"")</f>
        <v>1304320</v>
      </c>
    </row>
    <row r="1893" spans="1:8" x14ac:dyDescent="0.2">
      <c r="A1893">
        <v>1304320</v>
      </c>
      <c r="B1893" s="3">
        <v>2016</v>
      </c>
      <c r="C1893" t="s">
        <v>475</v>
      </c>
      <c r="D1893" t="s">
        <v>476</v>
      </c>
      <c r="E1893" t="s">
        <v>476</v>
      </c>
      <c r="F1893" s="4">
        <v>2008652.84</v>
      </c>
      <c r="G1893" s="4">
        <v>57944.5</v>
      </c>
      <c r="H1893">
        <f>IFERROR(VLOOKUP(E1893,'GASB Match'!$A$2:$B$240,2,FALSE),"")</f>
        <v>1304320</v>
      </c>
    </row>
    <row r="1894" spans="1:8" x14ac:dyDescent="0.2">
      <c r="A1894">
        <v>1304320</v>
      </c>
      <c r="B1894" s="3">
        <v>2017</v>
      </c>
      <c r="C1894" t="s">
        <v>475</v>
      </c>
      <c r="D1894" t="s">
        <v>476</v>
      </c>
      <c r="E1894" t="s">
        <v>476</v>
      </c>
      <c r="F1894" s="4">
        <v>2079645</v>
      </c>
      <c r="G1894" s="4">
        <v>49411</v>
      </c>
      <c r="H1894">
        <f>IFERROR(VLOOKUP(E1894,'GASB Match'!$A$2:$B$240,2,FALSE),"")</f>
        <v>1304320</v>
      </c>
    </row>
    <row r="1895" spans="1:8" x14ac:dyDescent="0.2">
      <c r="A1895">
        <v>1304320</v>
      </c>
      <c r="B1895" s="3">
        <v>2018</v>
      </c>
      <c r="C1895" t="s">
        <v>475</v>
      </c>
      <c r="D1895" t="s">
        <v>476</v>
      </c>
      <c r="E1895" t="s">
        <v>476</v>
      </c>
      <c r="F1895" s="4">
        <v>2446140</v>
      </c>
      <c r="G1895" s="4">
        <v>23293</v>
      </c>
      <c r="H1895">
        <f>IFERROR(VLOOKUP(E1895,'GASB Match'!$A$2:$B$240,2,FALSE),"")</f>
        <v>1304320</v>
      </c>
    </row>
    <row r="1896" spans="1:8" x14ac:dyDescent="0.2">
      <c r="A1896">
        <v>1304320</v>
      </c>
      <c r="B1896" s="3">
        <v>2019</v>
      </c>
      <c r="C1896" t="s">
        <v>475</v>
      </c>
      <c r="D1896" t="s">
        <v>476</v>
      </c>
      <c r="E1896" t="s">
        <v>476</v>
      </c>
      <c r="F1896" s="4">
        <v>3077554</v>
      </c>
      <c r="G1896" s="4">
        <v>28333</v>
      </c>
      <c r="H1896">
        <f>IFERROR(VLOOKUP(E1896,'GASB Match'!$A$2:$B$240,2,FALSE),"")</f>
        <v>1304320</v>
      </c>
    </row>
    <row r="1897" spans="1:8" x14ac:dyDescent="0.2">
      <c r="A1897">
        <v>1304320</v>
      </c>
      <c r="B1897" s="3">
        <v>2020</v>
      </c>
      <c r="C1897" t="s">
        <v>475</v>
      </c>
      <c r="D1897" t="s">
        <v>476</v>
      </c>
      <c r="E1897" t="s">
        <v>476</v>
      </c>
      <c r="F1897" s="4">
        <v>3314037</v>
      </c>
      <c r="G1897" s="4">
        <v>28607</v>
      </c>
      <c r="H1897">
        <f>IFERROR(VLOOKUP(E1897,'GASB Match'!$A$2:$B$240,2,FALSE),"")</f>
        <v>1304320</v>
      </c>
    </row>
    <row r="1898" spans="1:8" x14ac:dyDescent="0.2">
      <c r="A1898">
        <v>1304320</v>
      </c>
      <c r="B1898" s="3">
        <v>2021</v>
      </c>
      <c r="C1898" t="s">
        <v>475</v>
      </c>
      <c r="D1898" t="s">
        <v>476</v>
      </c>
      <c r="E1898" t="s">
        <v>476</v>
      </c>
      <c r="F1898" s="4">
        <v>3048304</v>
      </c>
      <c r="G1898" s="4">
        <v>28450</v>
      </c>
      <c r="H1898">
        <f>IFERROR(VLOOKUP(E1898,'GASB Match'!$A$2:$B$240,2,FALSE),"")</f>
        <v>1304320</v>
      </c>
    </row>
    <row r="1899" spans="1:8" x14ac:dyDescent="0.2">
      <c r="A1899">
        <v>1304320</v>
      </c>
      <c r="B1899" s="3">
        <v>2022</v>
      </c>
      <c r="C1899" t="s">
        <v>475</v>
      </c>
      <c r="D1899" t="s">
        <v>476</v>
      </c>
      <c r="E1899" t="s">
        <v>476</v>
      </c>
      <c r="F1899" s="4">
        <v>3391956</v>
      </c>
      <c r="G1899" s="4">
        <v>32469</v>
      </c>
      <c r="H1899">
        <f>IFERROR(VLOOKUP(E1899,'GASB Match'!$A$2:$B$240,2,FALSE),"")</f>
        <v>1304320</v>
      </c>
    </row>
    <row r="1900" spans="1:8" x14ac:dyDescent="0.2">
      <c r="A1900">
        <v>1304320</v>
      </c>
      <c r="B1900" s="3">
        <v>2023</v>
      </c>
      <c r="C1900" t="s">
        <v>475</v>
      </c>
      <c r="D1900" t="s">
        <v>476</v>
      </c>
      <c r="E1900" t="s">
        <v>476</v>
      </c>
      <c r="F1900" s="4">
        <v>3652047</v>
      </c>
      <c r="G1900" s="4">
        <v>39229</v>
      </c>
      <c r="H1900">
        <f>IFERROR(VLOOKUP(E1900,'GASB Match'!$A$2:$B$240,2,FALSE),"")</f>
        <v>1304320</v>
      </c>
    </row>
    <row r="1901" spans="1:8" x14ac:dyDescent="0.2">
      <c r="A1901">
        <v>1304350</v>
      </c>
      <c r="B1901" s="3">
        <v>2015</v>
      </c>
      <c r="C1901" t="s">
        <v>477</v>
      </c>
      <c r="D1901" t="s">
        <v>478</v>
      </c>
      <c r="E1901" t="s">
        <v>478</v>
      </c>
      <c r="F1901" s="4">
        <v>698328.43</v>
      </c>
      <c r="G1901" s="4">
        <v>6706.56</v>
      </c>
      <c r="H1901">
        <f>IFERROR(VLOOKUP(E1901,'GASB Match'!$A$2:$B$240,2,FALSE),"")</f>
        <v>1304350</v>
      </c>
    </row>
    <row r="1902" spans="1:8" x14ac:dyDescent="0.2">
      <c r="A1902">
        <v>1304350</v>
      </c>
      <c r="B1902" s="3">
        <v>2016</v>
      </c>
      <c r="C1902" t="s">
        <v>477</v>
      </c>
      <c r="D1902" t="s">
        <v>478</v>
      </c>
      <c r="E1902" t="s">
        <v>478</v>
      </c>
      <c r="F1902" s="4">
        <v>786208.8</v>
      </c>
      <c r="G1902" s="4">
        <v>7277.76</v>
      </c>
      <c r="H1902">
        <f>IFERROR(VLOOKUP(E1902,'GASB Match'!$A$2:$B$240,2,FALSE),"")</f>
        <v>1304350</v>
      </c>
    </row>
    <row r="1903" spans="1:8" x14ac:dyDescent="0.2">
      <c r="A1903">
        <v>1304350</v>
      </c>
      <c r="B1903" s="3">
        <v>2017</v>
      </c>
      <c r="C1903" t="s">
        <v>477</v>
      </c>
      <c r="D1903" t="s">
        <v>478</v>
      </c>
      <c r="E1903" t="s">
        <v>478</v>
      </c>
      <c r="F1903" s="4">
        <v>801002</v>
      </c>
      <c r="G1903" s="4">
        <v>7278</v>
      </c>
      <c r="H1903">
        <f>IFERROR(VLOOKUP(E1903,'GASB Match'!$A$2:$B$240,2,FALSE),"")</f>
        <v>1304350</v>
      </c>
    </row>
    <row r="1904" spans="1:8" x14ac:dyDescent="0.2">
      <c r="A1904">
        <v>1304350</v>
      </c>
      <c r="B1904" s="3">
        <v>2018</v>
      </c>
      <c r="C1904" t="s">
        <v>477</v>
      </c>
      <c r="D1904" t="s">
        <v>478</v>
      </c>
      <c r="E1904" t="s">
        <v>478</v>
      </c>
      <c r="F1904" s="4">
        <v>926238</v>
      </c>
      <c r="G1904" s="4">
        <v>8745</v>
      </c>
      <c r="H1904">
        <f>IFERROR(VLOOKUP(E1904,'GASB Match'!$A$2:$B$240,2,FALSE),"")</f>
        <v>1304350</v>
      </c>
    </row>
    <row r="1905" spans="1:8" x14ac:dyDescent="0.2">
      <c r="A1905">
        <v>1304350</v>
      </c>
      <c r="B1905" s="3">
        <v>2019</v>
      </c>
      <c r="C1905" t="s">
        <v>477</v>
      </c>
      <c r="D1905" t="s">
        <v>478</v>
      </c>
      <c r="E1905" t="s">
        <v>478</v>
      </c>
      <c r="F1905" s="4">
        <v>1146868</v>
      </c>
      <c r="G1905" s="4">
        <v>10872</v>
      </c>
      <c r="H1905">
        <f>IFERROR(VLOOKUP(E1905,'GASB Match'!$A$2:$B$240,2,FALSE),"")</f>
        <v>1304350</v>
      </c>
    </row>
    <row r="1906" spans="1:8" x14ac:dyDescent="0.2">
      <c r="A1906">
        <v>1304350</v>
      </c>
      <c r="B1906" s="3">
        <v>2020</v>
      </c>
      <c r="C1906" t="s">
        <v>477</v>
      </c>
      <c r="D1906" t="s">
        <v>478</v>
      </c>
      <c r="E1906" t="s">
        <v>478</v>
      </c>
      <c r="F1906" s="4">
        <v>1186803</v>
      </c>
      <c r="G1906" s="4">
        <v>11539</v>
      </c>
      <c r="H1906">
        <f>IFERROR(VLOOKUP(E1906,'GASB Match'!$A$2:$B$240,2,FALSE),"")</f>
        <v>1304350</v>
      </c>
    </row>
    <row r="1907" spans="1:8" x14ac:dyDescent="0.2">
      <c r="A1907">
        <v>1304350</v>
      </c>
      <c r="B1907" s="3">
        <v>2021</v>
      </c>
      <c r="C1907" t="s">
        <v>477</v>
      </c>
      <c r="D1907" t="s">
        <v>478</v>
      </c>
      <c r="E1907" t="s">
        <v>478</v>
      </c>
      <c r="F1907" s="4">
        <v>1011014</v>
      </c>
      <c r="G1907" s="4">
        <v>10113</v>
      </c>
      <c r="H1907">
        <f>IFERROR(VLOOKUP(E1907,'GASB Match'!$A$2:$B$240,2,FALSE),"")</f>
        <v>1304350</v>
      </c>
    </row>
    <row r="1908" spans="1:8" x14ac:dyDescent="0.2">
      <c r="A1908">
        <v>1304350</v>
      </c>
      <c r="B1908" s="3">
        <v>2022</v>
      </c>
      <c r="C1908" t="s">
        <v>477</v>
      </c>
      <c r="D1908" t="s">
        <v>478</v>
      </c>
      <c r="E1908" t="s">
        <v>478</v>
      </c>
      <c r="F1908" s="4">
        <v>1110594</v>
      </c>
      <c r="G1908" s="4">
        <v>11106</v>
      </c>
      <c r="H1908">
        <f>IFERROR(VLOOKUP(E1908,'GASB Match'!$A$2:$B$240,2,FALSE),"")</f>
        <v>1304350</v>
      </c>
    </row>
    <row r="1909" spans="1:8" x14ac:dyDescent="0.2">
      <c r="A1909">
        <v>1304350</v>
      </c>
      <c r="B1909" s="3">
        <v>2023</v>
      </c>
      <c r="C1909" t="s">
        <v>477</v>
      </c>
      <c r="D1909" t="s">
        <v>478</v>
      </c>
      <c r="E1909" t="s">
        <v>478</v>
      </c>
      <c r="F1909" s="4">
        <v>1102412</v>
      </c>
      <c r="G1909" s="4">
        <v>11425</v>
      </c>
      <c r="H1909">
        <f>IFERROR(VLOOKUP(E1909,'GASB Match'!$A$2:$B$240,2,FALSE),"")</f>
        <v>1304350</v>
      </c>
    </row>
    <row r="1910" spans="1:8" x14ac:dyDescent="0.2">
      <c r="A1910">
        <v>1304380</v>
      </c>
      <c r="B1910" s="3">
        <v>2015</v>
      </c>
      <c r="C1910" t="s">
        <v>479</v>
      </c>
      <c r="D1910" t="s">
        <v>480</v>
      </c>
      <c r="E1910" t="s">
        <v>480</v>
      </c>
      <c r="F1910" s="4">
        <v>20034075.629999999</v>
      </c>
      <c r="G1910" s="4">
        <v>277360.44</v>
      </c>
      <c r="H1910">
        <f>IFERROR(VLOOKUP(E1910,'GASB Match'!$A$2:$B$240,2,FALSE),"")</f>
        <v>1304380</v>
      </c>
    </row>
    <row r="1911" spans="1:8" x14ac:dyDescent="0.2">
      <c r="A1911">
        <v>1304380</v>
      </c>
      <c r="B1911" s="3">
        <v>2016</v>
      </c>
      <c r="C1911" t="s">
        <v>479</v>
      </c>
      <c r="D1911" t="s">
        <v>480</v>
      </c>
      <c r="E1911" t="s">
        <v>480</v>
      </c>
      <c r="F1911" s="4">
        <v>22171281.359999999</v>
      </c>
      <c r="G1911" s="4">
        <v>302911.33</v>
      </c>
      <c r="H1911">
        <f>IFERROR(VLOOKUP(E1911,'GASB Match'!$A$2:$B$240,2,FALSE),"")</f>
        <v>1304380</v>
      </c>
    </row>
    <row r="1912" spans="1:8" x14ac:dyDescent="0.2">
      <c r="A1912">
        <v>1304380</v>
      </c>
      <c r="B1912" s="3">
        <v>2017</v>
      </c>
      <c r="C1912" t="s">
        <v>479</v>
      </c>
      <c r="D1912" t="s">
        <v>480</v>
      </c>
      <c r="E1912" t="s">
        <v>480</v>
      </c>
      <c r="F1912" s="4">
        <v>22821227</v>
      </c>
      <c r="G1912" s="4">
        <v>252089</v>
      </c>
      <c r="H1912">
        <f>IFERROR(VLOOKUP(E1912,'GASB Match'!$A$2:$B$240,2,FALSE),"")</f>
        <v>1304380</v>
      </c>
    </row>
    <row r="1913" spans="1:8" x14ac:dyDescent="0.2">
      <c r="A1913">
        <v>1304380</v>
      </c>
      <c r="B1913" s="3">
        <v>2018</v>
      </c>
      <c r="C1913" t="s">
        <v>479</v>
      </c>
      <c r="D1913" t="s">
        <v>480</v>
      </c>
      <c r="E1913" t="s">
        <v>480</v>
      </c>
      <c r="F1913" s="4">
        <v>26870457</v>
      </c>
      <c r="G1913" s="4">
        <v>62966</v>
      </c>
      <c r="H1913">
        <f>IFERROR(VLOOKUP(E1913,'GASB Match'!$A$2:$B$240,2,FALSE),"")</f>
        <v>1304380</v>
      </c>
    </row>
    <row r="1914" spans="1:8" x14ac:dyDescent="0.2">
      <c r="A1914">
        <v>1304380</v>
      </c>
      <c r="B1914" s="3">
        <v>2019</v>
      </c>
      <c r="C1914" t="s">
        <v>479</v>
      </c>
      <c r="D1914" t="s">
        <v>480</v>
      </c>
      <c r="E1914" t="s">
        <v>480</v>
      </c>
      <c r="F1914" s="4">
        <v>32710318</v>
      </c>
      <c r="G1914" s="4">
        <v>67982</v>
      </c>
      <c r="H1914">
        <f>IFERROR(VLOOKUP(E1914,'GASB Match'!$A$2:$B$240,2,FALSE),"")</f>
        <v>1304380</v>
      </c>
    </row>
    <row r="1915" spans="1:8" x14ac:dyDescent="0.2">
      <c r="A1915">
        <v>1304380</v>
      </c>
      <c r="B1915" s="3">
        <v>2020</v>
      </c>
      <c r="C1915" t="s">
        <v>479</v>
      </c>
      <c r="D1915" t="s">
        <v>480</v>
      </c>
      <c r="E1915" t="s">
        <v>480</v>
      </c>
      <c r="F1915" s="4">
        <v>35038818</v>
      </c>
      <c r="G1915" s="4">
        <v>72781</v>
      </c>
      <c r="H1915">
        <f>IFERROR(VLOOKUP(E1915,'GASB Match'!$A$2:$B$240,2,FALSE),"")</f>
        <v>1304380</v>
      </c>
    </row>
    <row r="1916" spans="1:8" x14ac:dyDescent="0.2">
      <c r="A1916">
        <v>1304380</v>
      </c>
      <c r="B1916" s="3">
        <v>2021</v>
      </c>
      <c r="C1916" t="s">
        <v>479</v>
      </c>
      <c r="D1916" t="s">
        <v>480</v>
      </c>
      <c r="E1916" t="s">
        <v>480</v>
      </c>
      <c r="F1916" s="4">
        <v>33331555</v>
      </c>
      <c r="G1916" s="4">
        <v>60917</v>
      </c>
      <c r="H1916">
        <f>IFERROR(VLOOKUP(E1916,'GASB Match'!$A$2:$B$240,2,FALSE),"")</f>
        <v>1304380</v>
      </c>
    </row>
    <row r="1917" spans="1:8" x14ac:dyDescent="0.2">
      <c r="A1917">
        <v>1304380</v>
      </c>
      <c r="B1917" s="3">
        <v>2022</v>
      </c>
      <c r="C1917" t="s">
        <v>479</v>
      </c>
      <c r="D1917" t="s">
        <v>480</v>
      </c>
      <c r="E1917" t="s">
        <v>480</v>
      </c>
      <c r="F1917" s="4">
        <v>34294429</v>
      </c>
      <c r="G1917" s="4">
        <v>58027</v>
      </c>
      <c r="H1917">
        <f>IFERROR(VLOOKUP(E1917,'GASB Match'!$A$2:$B$240,2,FALSE),"")</f>
        <v>1304380</v>
      </c>
    </row>
    <row r="1918" spans="1:8" x14ac:dyDescent="0.2">
      <c r="A1918">
        <v>1304380</v>
      </c>
      <c r="B1918" s="3">
        <v>2023</v>
      </c>
      <c r="C1918" t="s">
        <v>479</v>
      </c>
      <c r="D1918" t="s">
        <v>480</v>
      </c>
      <c r="E1918" t="s">
        <v>480</v>
      </c>
      <c r="F1918" s="4">
        <v>37251575</v>
      </c>
      <c r="G1918" s="4">
        <v>63114</v>
      </c>
      <c r="H1918">
        <f>IFERROR(VLOOKUP(E1918,'GASB Match'!$A$2:$B$240,2,FALSE),"")</f>
        <v>1304380</v>
      </c>
    </row>
    <row r="1919" spans="1:8" x14ac:dyDescent="0.2">
      <c r="A1919" t="s">
        <v>7</v>
      </c>
      <c r="B1919" s="3">
        <v>2015</v>
      </c>
      <c r="C1919" t="s">
        <v>481</v>
      </c>
      <c r="D1919" t="s">
        <v>483</v>
      </c>
      <c r="E1919" t="s">
        <v>482</v>
      </c>
      <c r="F1919" s="4">
        <v>174910.96</v>
      </c>
      <c r="G1919" s="4" t="s">
        <v>7</v>
      </c>
      <c r="H1919" t="str">
        <f>IFERROR(VLOOKUP(E1919,'GASB Match'!$A$2:$B$240,2,FALSE),"")</f>
        <v/>
      </c>
    </row>
    <row r="1920" spans="1:8" x14ac:dyDescent="0.2">
      <c r="A1920" t="s">
        <v>7</v>
      </c>
      <c r="B1920" s="3">
        <v>2016</v>
      </c>
      <c r="C1920" t="s">
        <v>481</v>
      </c>
      <c r="D1920" t="s">
        <v>483</v>
      </c>
      <c r="E1920" t="s">
        <v>482</v>
      </c>
      <c r="F1920" s="4">
        <v>157749.65</v>
      </c>
      <c r="G1920" s="4" t="s">
        <v>7</v>
      </c>
      <c r="H1920" t="str">
        <f>IFERROR(VLOOKUP(E1920,'GASB Match'!$A$2:$B$240,2,FALSE),"")</f>
        <v/>
      </c>
    </row>
    <row r="1921" spans="1:8" x14ac:dyDescent="0.2">
      <c r="A1921" t="s">
        <v>7</v>
      </c>
      <c r="B1921" s="3">
        <v>2017</v>
      </c>
      <c r="C1921" t="s">
        <v>481</v>
      </c>
      <c r="D1921" t="s">
        <v>482</v>
      </c>
      <c r="E1921" t="s">
        <v>482</v>
      </c>
      <c r="F1921" s="4">
        <v>172898</v>
      </c>
      <c r="G1921" s="4" t="s">
        <v>7</v>
      </c>
      <c r="H1921" t="str">
        <f>IFERROR(VLOOKUP(E1921,'GASB Match'!$A$2:$B$240,2,FALSE),"")</f>
        <v/>
      </c>
    </row>
    <row r="1922" spans="1:8" x14ac:dyDescent="0.2">
      <c r="A1922" t="s">
        <v>7</v>
      </c>
      <c r="B1922" s="3">
        <v>2018</v>
      </c>
      <c r="C1922" t="s">
        <v>481</v>
      </c>
      <c r="D1922" t="s">
        <v>482</v>
      </c>
      <c r="E1922" t="s">
        <v>482</v>
      </c>
      <c r="F1922" s="4">
        <v>227517</v>
      </c>
      <c r="G1922" s="4" t="s">
        <v>7</v>
      </c>
      <c r="H1922" t="str">
        <f>IFERROR(VLOOKUP(E1922,'GASB Match'!$A$2:$B$240,2,FALSE),"")</f>
        <v/>
      </c>
    </row>
    <row r="1923" spans="1:8" x14ac:dyDescent="0.2">
      <c r="A1923" t="s">
        <v>7</v>
      </c>
      <c r="B1923" s="3">
        <v>2019</v>
      </c>
      <c r="C1923" t="s">
        <v>481</v>
      </c>
      <c r="D1923" t="s">
        <v>482</v>
      </c>
      <c r="E1923" t="s">
        <v>482</v>
      </c>
      <c r="F1923" s="4">
        <v>297658</v>
      </c>
      <c r="G1923" s="4" t="s">
        <v>7</v>
      </c>
      <c r="H1923" t="str">
        <f>IFERROR(VLOOKUP(E1923,'GASB Match'!$A$2:$B$240,2,FALSE),"")</f>
        <v/>
      </c>
    </row>
    <row r="1924" spans="1:8" x14ac:dyDescent="0.2">
      <c r="A1924" t="s">
        <v>7</v>
      </c>
      <c r="B1924" s="3">
        <v>2020</v>
      </c>
      <c r="C1924" t="s">
        <v>481</v>
      </c>
      <c r="D1924" t="s">
        <v>482</v>
      </c>
      <c r="E1924" t="s">
        <v>482</v>
      </c>
      <c r="F1924" s="4">
        <v>308906</v>
      </c>
      <c r="G1924" s="4" t="s">
        <v>7</v>
      </c>
      <c r="H1924" t="str">
        <f>IFERROR(VLOOKUP(E1924,'GASB Match'!$A$2:$B$240,2,FALSE),"")</f>
        <v/>
      </c>
    </row>
    <row r="1925" spans="1:8" x14ac:dyDescent="0.2">
      <c r="A1925" t="s">
        <v>7</v>
      </c>
      <c r="B1925" s="3">
        <v>2021</v>
      </c>
      <c r="C1925" t="s">
        <v>481</v>
      </c>
      <c r="D1925" t="s">
        <v>482</v>
      </c>
      <c r="E1925" t="s">
        <v>482</v>
      </c>
      <c r="F1925" s="4">
        <v>280585</v>
      </c>
      <c r="G1925" s="4" t="s">
        <v>7</v>
      </c>
      <c r="H1925" t="str">
        <f>IFERROR(VLOOKUP(E1925,'GASB Match'!$A$2:$B$240,2,FALSE),"")</f>
        <v/>
      </c>
    </row>
    <row r="1926" spans="1:8" x14ac:dyDescent="0.2">
      <c r="A1926" t="s">
        <v>7</v>
      </c>
      <c r="B1926" s="3">
        <v>2022</v>
      </c>
      <c r="C1926" t="s">
        <v>481</v>
      </c>
      <c r="D1926" t="s">
        <v>482</v>
      </c>
      <c r="E1926" t="s">
        <v>482</v>
      </c>
      <c r="F1926" s="4">
        <v>286801</v>
      </c>
      <c r="G1926" s="4" t="s">
        <v>7</v>
      </c>
      <c r="H1926" t="str">
        <f>IFERROR(VLOOKUP(E1926,'GASB Match'!$A$2:$B$240,2,FALSE),"")</f>
        <v/>
      </c>
    </row>
    <row r="1927" spans="1:8" x14ac:dyDescent="0.2">
      <c r="A1927" t="s">
        <v>7</v>
      </c>
      <c r="B1927" s="3">
        <v>2023</v>
      </c>
      <c r="C1927" t="s">
        <v>481</v>
      </c>
      <c r="D1927" t="s">
        <v>482</v>
      </c>
      <c r="E1927" t="s">
        <v>482</v>
      </c>
      <c r="F1927" s="4">
        <v>263666</v>
      </c>
      <c r="G1927" s="4" t="s">
        <v>7</v>
      </c>
      <c r="H1927" t="str">
        <f>IFERROR(VLOOKUP(E1927,'GASB Match'!$A$2:$B$240,2,FALSE),"")</f>
        <v/>
      </c>
    </row>
    <row r="1928" spans="1:8" x14ac:dyDescent="0.2">
      <c r="A1928">
        <v>1304410</v>
      </c>
      <c r="B1928" s="3">
        <v>2015</v>
      </c>
      <c r="C1928" t="s">
        <v>484</v>
      </c>
      <c r="D1928" t="s">
        <v>485</v>
      </c>
      <c r="E1928" t="s">
        <v>485</v>
      </c>
      <c r="F1928" s="4">
        <v>11022943.49</v>
      </c>
      <c r="G1928" s="4">
        <v>193472.59</v>
      </c>
      <c r="H1928">
        <f>IFERROR(VLOOKUP(E1928,'GASB Match'!$A$2:$B$240,2,FALSE),"")</f>
        <v>1304410</v>
      </c>
    </row>
    <row r="1929" spans="1:8" x14ac:dyDescent="0.2">
      <c r="A1929">
        <v>1304410</v>
      </c>
      <c r="B1929" s="3">
        <v>2016</v>
      </c>
      <c r="C1929" t="s">
        <v>484</v>
      </c>
      <c r="D1929" t="s">
        <v>485</v>
      </c>
      <c r="E1929" t="s">
        <v>485</v>
      </c>
      <c r="F1929" s="4">
        <v>12965826.619999999</v>
      </c>
      <c r="G1929" s="4">
        <v>209286.28</v>
      </c>
      <c r="H1929">
        <f>IFERROR(VLOOKUP(E1929,'GASB Match'!$A$2:$B$240,2,FALSE),"")</f>
        <v>1304410</v>
      </c>
    </row>
    <row r="1930" spans="1:8" x14ac:dyDescent="0.2">
      <c r="A1930">
        <v>1304410</v>
      </c>
      <c r="B1930" s="3">
        <v>2017</v>
      </c>
      <c r="C1930" t="s">
        <v>484</v>
      </c>
      <c r="D1930" t="s">
        <v>485</v>
      </c>
      <c r="E1930" t="s">
        <v>485</v>
      </c>
      <c r="F1930" s="4">
        <v>13776825</v>
      </c>
      <c r="G1930" s="4">
        <v>143640</v>
      </c>
      <c r="H1930">
        <f>IFERROR(VLOOKUP(E1930,'GASB Match'!$A$2:$B$240,2,FALSE),"")</f>
        <v>1304410</v>
      </c>
    </row>
    <row r="1931" spans="1:8" x14ac:dyDescent="0.2">
      <c r="A1931">
        <v>1304410</v>
      </c>
      <c r="B1931" s="3">
        <v>2018</v>
      </c>
      <c r="C1931" t="s">
        <v>484</v>
      </c>
      <c r="D1931" t="s">
        <v>485</v>
      </c>
      <c r="E1931" t="s">
        <v>485</v>
      </c>
      <c r="F1931" s="4">
        <v>16685523</v>
      </c>
      <c r="G1931" s="4">
        <v>52323</v>
      </c>
      <c r="H1931">
        <f>IFERROR(VLOOKUP(E1931,'GASB Match'!$A$2:$B$240,2,FALSE),"")</f>
        <v>1304410</v>
      </c>
    </row>
    <row r="1932" spans="1:8" x14ac:dyDescent="0.2">
      <c r="A1932">
        <v>1304410</v>
      </c>
      <c r="B1932" s="3">
        <v>2019</v>
      </c>
      <c r="C1932" t="s">
        <v>484</v>
      </c>
      <c r="D1932" t="s">
        <v>485</v>
      </c>
      <c r="E1932" t="s">
        <v>485</v>
      </c>
      <c r="F1932" s="4">
        <v>20847054</v>
      </c>
      <c r="G1932" s="4">
        <v>66413</v>
      </c>
      <c r="H1932">
        <f>IFERROR(VLOOKUP(E1932,'GASB Match'!$A$2:$B$240,2,FALSE),"")</f>
        <v>1304410</v>
      </c>
    </row>
    <row r="1933" spans="1:8" x14ac:dyDescent="0.2">
      <c r="A1933">
        <v>1304410</v>
      </c>
      <c r="B1933" s="3">
        <v>2020</v>
      </c>
      <c r="C1933" t="s">
        <v>484</v>
      </c>
      <c r="D1933" t="s">
        <v>485</v>
      </c>
      <c r="E1933" t="s">
        <v>485</v>
      </c>
      <c r="F1933" s="4">
        <v>22216622</v>
      </c>
      <c r="G1933" s="4">
        <v>69073</v>
      </c>
      <c r="H1933">
        <f>IFERROR(VLOOKUP(E1933,'GASB Match'!$A$2:$B$240,2,FALSE),"")</f>
        <v>1304410</v>
      </c>
    </row>
    <row r="1934" spans="1:8" x14ac:dyDescent="0.2">
      <c r="A1934">
        <v>1304410</v>
      </c>
      <c r="B1934" s="3">
        <v>2021</v>
      </c>
      <c r="C1934" t="s">
        <v>484</v>
      </c>
      <c r="D1934" t="s">
        <v>485</v>
      </c>
      <c r="E1934" t="s">
        <v>485</v>
      </c>
      <c r="F1934" s="4">
        <v>20268944</v>
      </c>
      <c r="G1934" s="4">
        <v>55958</v>
      </c>
      <c r="H1934">
        <f>IFERROR(VLOOKUP(E1934,'GASB Match'!$A$2:$B$240,2,FALSE),"")</f>
        <v>1304410</v>
      </c>
    </row>
    <row r="1935" spans="1:8" x14ac:dyDescent="0.2">
      <c r="A1935">
        <v>1304410</v>
      </c>
      <c r="B1935" s="3">
        <v>2022</v>
      </c>
      <c r="C1935" t="s">
        <v>484</v>
      </c>
      <c r="D1935" t="s">
        <v>485</v>
      </c>
      <c r="E1935" t="s">
        <v>485</v>
      </c>
      <c r="F1935" s="4">
        <v>22604952</v>
      </c>
      <c r="G1935" s="4">
        <v>66091</v>
      </c>
      <c r="H1935">
        <f>IFERROR(VLOOKUP(E1935,'GASB Match'!$A$2:$B$240,2,FALSE),"")</f>
        <v>1304410</v>
      </c>
    </row>
    <row r="1936" spans="1:8" x14ac:dyDescent="0.2">
      <c r="A1936">
        <v>1304410</v>
      </c>
      <c r="B1936" s="3">
        <v>2023</v>
      </c>
      <c r="C1936" t="s">
        <v>484</v>
      </c>
      <c r="D1936" t="s">
        <v>485</v>
      </c>
      <c r="E1936" t="s">
        <v>485</v>
      </c>
      <c r="F1936" s="4">
        <v>24750991</v>
      </c>
      <c r="G1936" s="4">
        <v>76177</v>
      </c>
      <c r="H1936">
        <f>IFERROR(VLOOKUP(E1936,'GASB Match'!$A$2:$B$240,2,FALSE),"")</f>
        <v>1304410</v>
      </c>
    </row>
    <row r="1937" spans="1:8" x14ac:dyDescent="0.2">
      <c r="A1937" t="s">
        <v>7</v>
      </c>
      <c r="B1937" s="3">
        <v>2015</v>
      </c>
      <c r="C1937" t="s">
        <v>486</v>
      </c>
      <c r="D1937" t="s">
        <v>488</v>
      </c>
      <c r="E1937" t="s">
        <v>487</v>
      </c>
      <c r="F1937" s="4">
        <v>61099.25</v>
      </c>
      <c r="G1937" s="4" t="s">
        <v>7</v>
      </c>
      <c r="H1937" t="str">
        <f>IFERROR(VLOOKUP(E1937,'GASB Match'!$A$2:$B$240,2,FALSE),"")</f>
        <v/>
      </c>
    </row>
    <row r="1938" spans="1:8" x14ac:dyDescent="0.2">
      <c r="A1938" t="s">
        <v>7</v>
      </c>
      <c r="B1938" s="3">
        <v>2016</v>
      </c>
      <c r="C1938" t="s">
        <v>486</v>
      </c>
      <c r="D1938" t="s">
        <v>488</v>
      </c>
      <c r="E1938" t="s">
        <v>487</v>
      </c>
      <c r="F1938" s="4">
        <v>66439.33</v>
      </c>
      <c r="G1938" s="4" t="s">
        <v>7</v>
      </c>
      <c r="H1938" t="str">
        <f>IFERROR(VLOOKUP(E1938,'GASB Match'!$A$2:$B$240,2,FALSE),"")</f>
        <v/>
      </c>
    </row>
    <row r="1939" spans="1:8" x14ac:dyDescent="0.2">
      <c r="A1939" t="s">
        <v>7</v>
      </c>
      <c r="B1939" s="3">
        <v>2017</v>
      </c>
      <c r="C1939" t="s">
        <v>486</v>
      </c>
      <c r="D1939" t="s">
        <v>488</v>
      </c>
      <c r="E1939" t="s">
        <v>487</v>
      </c>
      <c r="F1939" s="4">
        <v>64147</v>
      </c>
      <c r="G1939" s="4" t="s">
        <v>7</v>
      </c>
      <c r="H1939" t="str">
        <f>IFERROR(VLOOKUP(E1939,'GASB Match'!$A$2:$B$240,2,FALSE),"")</f>
        <v/>
      </c>
    </row>
    <row r="1940" spans="1:8" x14ac:dyDescent="0.2">
      <c r="A1940" t="s">
        <v>7</v>
      </c>
      <c r="B1940" s="3">
        <v>2018</v>
      </c>
      <c r="C1940" t="s">
        <v>486</v>
      </c>
      <c r="D1940" t="s">
        <v>488</v>
      </c>
      <c r="E1940" t="s">
        <v>487</v>
      </c>
      <c r="F1940" s="4">
        <v>75666</v>
      </c>
      <c r="G1940" s="4" t="s">
        <v>7</v>
      </c>
      <c r="H1940" t="str">
        <f>IFERROR(VLOOKUP(E1940,'GASB Match'!$A$2:$B$240,2,FALSE),"")</f>
        <v/>
      </c>
    </row>
    <row r="1941" spans="1:8" x14ac:dyDescent="0.2">
      <c r="A1941" t="s">
        <v>7</v>
      </c>
      <c r="B1941" s="3">
        <v>2019</v>
      </c>
      <c r="C1941" t="s">
        <v>486</v>
      </c>
      <c r="D1941" t="s">
        <v>488</v>
      </c>
      <c r="E1941" t="s">
        <v>487</v>
      </c>
      <c r="F1941" s="4">
        <v>87877</v>
      </c>
      <c r="G1941" s="4" t="s">
        <v>7</v>
      </c>
      <c r="H1941" t="str">
        <f>IFERROR(VLOOKUP(E1941,'GASB Match'!$A$2:$B$240,2,FALSE),"")</f>
        <v/>
      </c>
    </row>
    <row r="1942" spans="1:8" x14ac:dyDescent="0.2">
      <c r="A1942" t="s">
        <v>7</v>
      </c>
      <c r="B1942" s="3">
        <v>2020</v>
      </c>
      <c r="C1942" t="s">
        <v>486</v>
      </c>
      <c r="D1942" t="s">
        <v>488</v>
      </c>
      <c r="E1942" t="s">
        <v>487</v>
      </c>
      <c r="F1942" s="4">
        <v>109099</v>
      </c>
      <c r="G1942" s="4" t="s">
        <v>7</v>
      </c>
      <c r="H1942" t="str">
        <f>IFERROR(VLOOKUP(E1942,'GASB Match'!$A$2:$B$240,2,FALSE),"")</f>
        <v/>
      </c>
    </row>
    <row r="1943" spans="1:8" x14ac:dyDescent="0.2">
      <c r="A1943" t="s">
        <v>7</v>
      </c>
      <c r="B1943" s="3">
        <v>2021</v>
      </c>
      <c r="C1943" t="s">
        <v>486</v>
      </c>
      <c r="D1943" t="s">
        <v>487</v>
      </c>
      <c r="E1943" t="s">
        <v>487</v>
      </c>
      <c r="F1943" s="4">
        <v>108149</v>
      </c>
      <c r="G1943" s="4" t="s">
        <v>7</v>
      </c>
      <c r="H1943" t="str">
        <f>IFERROR(VLOOKUP(E1943,'GASB Match'!$A$2:$B$240,2,FALSE),"")</f>
        <v/>
      </c>
    </row>
    <row r="1944" spans="1:8" x14ac:dyDescent="0.2">
      <c r="A1944" t="s">
        <v>7</v>
      </c>
      <c r="B1944" s="3">
        <v>2022</v>
      </c>
      <c r="C1944" t="s">
        <v>486</v>
      </c>
      <c r="D1944" t="s">
        <v>489</v>
      </c>
      <c r="E1944" t="s">
        <v>487</v>
      </c>
      <c r="F1944" s="4">
        <v>106515</v>
      </c>
      <c r="G1944" s="4" t="s">
        <v>7</v>
      </c>
      <c r="H1944" t="str">
        <f>IFERROR(VLOOKUP(E1944,'GASB Match'!$A$2:$B$240,2,FALSE),"")</f>
        <v/>
      </c>
    </row>
    <row r="1945" spans="1:8" x14ac:dyDescent="0.2">
      <c r="A1945" t="s">
        <v>7</v>
      </c>
      <c r="B1945" s="3">
        <v>2023</v>
      </c>
      <c r="C1945" t="s">
        <v>486</v>
      </c>
      <c r="D1945" t="s">
        <v>487</v>
      </c>
      <c r="E1945" t="s">
        <v>487</v>
      </c>
      <c r="F1945" s="4">
        <v>132583</v>
      </c>
      <c r="G1945" s="4" t="s">
        <v>7</v>
      </c>
      <c r="H1945" t="str">
        <f>IFERROR(VLOOKUP(E1945,'GASB Match'!$A$2:$B$240,2,FALSE),"")</f>
        <v/>
      </c>
    </row>
    <row r="1946" spans="1:8" x14ac:dyDescent="0.2">
      <c r="A1946">
        <v>1304470</v>
      </c>
      <c r="B1946" s="3">
        <v>2015</v>
      </c>
      <c r="C1946" t="s">
        <v>490</v>
      </c>
      <c r="D1946" t="s">
        <v>491</v>
      </c>
      <c r="E1946" t="s">
        <v>491</v>
      </c>
      <c r="F1946" s="4">
        <v>832371.61</v>
      </c>
      <c r="G1946" s="4" t="s">
        <v>7</v>
      </c>
      <c r="H1946">
        <f>IFERROR(VLOOKUP(E1946,'GASB Match'!$A$2:$B$240,2,FALSE),"")</f>
        <v>1304470</v>
      </c>
    </row>
    <row r="1947" spans="1:8" x14ac:dyDescent="0.2">
      <c r="A1947">
        <v>1304470</v>
      </c>
      <c r="B1947" s="3">
        <v>2016</v>
      </c>
      <c r="C1947" t="s">
        <v>490</v>
      </c>
      <c r="D1947" t="s">
        <v>491</v>
      </c>
      <c r="E1947" t="s">
        <v>491</v>
      </c>
      <c r="F1947" s="4">
        <v>958324.02</v>
      </c>
      <c r="G1947" s="4" t="s">
        <v>7</v>
      </c>
      <c r="H1947">
        <f>IFERROR(VLOOKUP(E1947,'GASB Match'!$A$2:$B$240,2,FALSE),"")</f>
        <v>1304470</v>
      </c>
    </row>
    <row r="1948" spans="1:8" x14ac:dyDescent="0.2">
      <c r="A1948">
        <v>1304470</v>
      </c>
      <c r="B1948" s="3">
        <v>2017</v>
      </c>
      <c r="C1948" t="s">
        <v>490</v>
      </c>
      <c r="D1948" t="s">
        <v>491</v>
      </c>
      <c r="E1948" t="s">
        <v>491</v>
      </c>
      <c r="F1948" s="4">
        <v>963442</v>
      </c>
      <c r="G1948" s="4" t="s">
        <v>7</v>
      </c>
      <c r="H1948">
        <f>IFERROR(VLOOKUP(E1948,'GASB Match'!$A$2:$B$240,2,FALSE),"")</f>
        <v>1304470</v>
      </c>
    </row>
    <row r="1949" spans="1:8" x14ac:dyDescent="0.2">
      <c r="A1949">
        <v>1304470</v>
      </c>
      <c r="B1949" s="3">
        <v>2018</v>
      </c>
      <c r="C1949" t="s">
        <v>490</v>
      </c>
      <c r="D1949" t="s">
        <v>491</v>
      </c>
      <c r="E1949" t="s">
        <v>491</v>
      </c>
      <c r="F1949" s="4">
        <v>1141147</v>
      </c>
      <c r="G1949" s="4" t="s">
        <v>7</v>
      </c>
      <c r="H1949">
        <f>IFERROR(VLOOKUP(E1949,'GASB Match'!$A$2:$B$240,2,FALSE),"")</f>
        <v>1304470</v>
      </c>
    </row>
    <row r="1950" spans="1:8" x14ac:dyDescent="0.2">
      <c r="A1950">
        <v>1304470</v>
      </c>
      <c r="B1950" s="3">
        <v>2019</v>
      </c>
      <c r="C1950" t="s">
        <v>490</v>
      </c>
      <c r="D1950" t="s">
        <v>491</v>
      </c>
      <c r="E1950" t="s">
        <v>491</v>
      </c>
      <c r="F1950" s="4">
        <v>1442934</v>
      </c>
      <c r="G1950" s="4" t="s">
        <v>7</v>
      </c>
      <c r="H1950">
        <f>IFERROR(VLOOKUP(E1950,'GASB Match'!$A$2:$B$240,2,FALSE),"")</f>
        <v>1304470</v>
      </c>
    </row>
    <row r="1951" spans="1:8" x14ac:dyDescent="0.2">
      <c r="A1951">
        <v>1304470</v>
      </c>
      <c r="B1951" s="3">
        <v>2020</v>
      </c>
      <c r="C1951" t="s">
        <v>490</v>
      </c>
      <c r="D1951" t="s">
        <v>491</v>
      </c>
      <c r="E1951" t="s">
        <v>491</v>
      </c>
      <c r="F1951" s="4">
        <v>1565761</v>
      </c>
      <c r="G1951" s="4" t="s">
        <v>7</v>
      </c>
      <c r="H1951">
        <f>IFERROR(VLOOKUP(E1951,'GASB Match'!$A$2:$B$240,2,FALSE),"")</f>
        <v>1304470</v>
      </c>
    </row>
    <row r="1952" spans="1:8" x14ac:dyDescent="0.2">
      <c r="A1952">
        <v>1304470</v>
      </c>
      <c r="B1952" s="3">
        <v>2021</v>
      </c>
      <c r="C1952" t="s">
        <v>490</v>
      </c>
      <c r="D1952" t="s">
        <v>491</v>
      </c>
      <c r="E1952" t="s">
        <v>491</v>
      </c>
      <c r="F1952" s="4">
        <v>1415761</v>
      </c>
      <c r="G1952" s="4" t="s">
        <v>7</v>
      </c>
      <c r="H1952">
        <f>IFERROR(VLOOKUP(E1952,'GASB Match'!$A$2:$B$240,2,FALSE),"")</f>
        <v>1304470</v>
      </c>
    </row>
    <row r="1953" spans="1:8" x14ac:dyDescent="0.2">
      <c r="A1953">
        <v>1304470</v>
      </c>
      <c r="B1953" s="3">
        <v>2022</v>
      </c>
      <c r="C1953" t="s">
        <v>490</v>
      </c>
      <c r="D1953" t="s">
        <v>491</v>
      </c>
      <c r="E1953" t="s">
        <v>491</v>
      </c>
      <c r="F1953" s="4">
        <v>1492411</v>
      </c>
      <c r="G1953" s="4" t="s">
        <v>7</v>
      </c>
      <c r="H1953">
        <f>IFERROR(VLOOKUP(E1953,'GASB Match'!$A$2:$B$240,2,FALSE),"")</f>
        <v>1304470</v>
      </c>
    </row>
    <row r="1954" spans="1:8" x14ac:dyDescent="0.2">
      <c r="A1954">
        <v>1304470</v>
      </c>
      <c r="B1954" s="3">
        <v>2023</v>
      </c>
      <c r="C1954" t="s">
        <v>490</v>
      </c>
      <c r="D1954" t="s">
        <v>491</v>
      </c>
      <c r="E1954" t="s">
        <v>491</v>
      </c>
      <c r="F1954" s="4">
        <v>1551980</v>
      </c>
      <c r="G1954" s="4" t="s">
        <v>7</v>
      </c>
      <c r="H1954">
        <f>IFERROR(VLOOKUP(E1954,'GASB Match'!$A$2:$B$240,2,FALSE),"")</f>
        <v>1304470</v>
      </c>
    </row>
    <row r="1955" spans="1:8" x14ac:dyDescent="0.2">
      <c r="A1955">
        <v>1304500</v>
      </c>
      <c r="B1955" s="3">
        <v>2015</v>
      </c>
      <c r="C1955" t="s">
        <v>492</v>
      </c>
      <c r="D1955" t="s">
        <v>493</v>
      </c>
      <c r="E1955" t="s">
        <v>493</v>
      </c>
      <c r="F1955" s="4">
        <v>1550913.31</v>
      </c>
      <c r="G1955" s="4" t="s">
        <v>7</v>
      </c>
      <c r="H1955">
        <f>IFERROR(VLOOKUP(E1955,'GASB Match'!$A$2:$B$240,2,FALSE),"")</f>
        <v>1304500</v>
      </c>
    </row>
    <row r="1956" spans="1:8" x14ac:dyDescent="0.2">
      <c r="A1956">
        <v>1304500</v>
      </c>
      <c r="B1956" s="3">
        <v>2016</v>
      </c>
      <c r="C1956" t="s">
        <v>492</v>
      </c>
      <c r="D1956" t="s">
        <v>493</v>
      </c>
      <c r="E1956" t="s">
        <v>493</v>
      </c>
      <c r="F1956" s="4">
        <v>1690503.1</v>
      </c>
      <c r="G1956" s="4" t="s">
        <v>7</v>
      </c>
      <c r="H1956">
        <f>IFERROR(VLOOKUP(E1956,'GASB Match'!$A$2:$B$240,2,FALSE),"")</f>
        <v>1304500</v>
      </c>
    </row>
    <row r="1957" spans="1:8" x14ac:dyDescent="0.2">
      <c r="A1957">
        <v>1304500</v>
      </c>
      <c r="B1957" s="3">
        <v>2017</v>
      </c>
      <c r="C1957" t="s">
        <v>492</v>
      </c>
      <c r="D1957" t="s">
        <v>493</v>
      </c>
      <c r="E1957" t="s">
        <v>493</v>
      </c>
      <c r="F1957" s="4">
        <v>1735191</v>
      </c>
      <c r="G1957" s="4" t="s">
        <v>7</v>
      </c>
      <c r="H1957">
        <f>IFERROR(VLOOKUP(E1957,'GASB Match'!$A$2:$B$240,2,FALSE),"")</f>
        <v>1304500</v>
      </c>
    </row>
    <row r="1958" spans="1:8" x14ac:dyDescent="0.2">
      <c r="A1958">
        <v>1304500</v>
      </c>
      <c r="B1958" s="3">
        <v>2018</v>
      </c>
      <c r="C1958" t="s">
        <v>492</v>
      </c>
      <c r="D1958" t="s">
        <v>493</v>
      </c>
      <c r="E1958" t="s">
        <v>493</v>
      </c>
      <c r="F1958" s="4">
        <v>2109901</v>
      </c>
      <c r="G1958" s="4" t="s">
        <v>7</v>
      </c>
      <c r="H1958">
        <f>IFERROR(VLOOKUP(E1958,'GASB Match'!$A$2:$B$240,2,FALSE),"")</f>
        <v>1304500</v>
      </c>
    </row>
    <row r="1959" spans="1:8" x14ac:dyDescent="0.2">
      <c r="A1959">
        <v>1304500</v>
      </c>
      <c r="B1959" s="3">
        <v>2019</v>
      </c>
      <c r="C1959" t="s">
        <v>492</v>
      </c>
      <c r="D1959" t="s">
        <v>493</v>
      </c>
      <c r="E1959" t="s">
        <v>493</v>
      </c>
      <c r="F1959" s="4">
        <v>2713547</v>
      </c>
      <c r="G1959" s="4" t="s">
        <v>7</v>
      </c>
      <c r="H1959">
        <f>IFERROR(VLOOKUP(E1959,'GASB Match'!$A$2:$B$240,2,FALSE),"")</f>
        <v>1304500</v>
      </c>
    </row>
    <row r="1960" spans="1:8" x14ac:dyDescent="0.2">
      <c r="A1960">
        <v>1304500</v>
      </c>
      <c r="B1960" s="3">
        <v>2020</v>
      </c>
      <c r="C1960" t="s">
        <v>492</v>
      </c>
      <c r="D1960" t="s">
        <v>493</v>
      </c>
      <c r="E1960" t="s">
        <v>493</v>
      </c>
      <c r="F1960" s="4">
        <v>2874997</v>
      </c>
      <c r="G1960" s="4" t="s">
        <v>7</v>
      </c>
      <c r="H1960">
        <f>IFERROR(VLOOKUP(E1960,'GASB Match'!$A$2:$B$240,2,FALSE),"")</f>
        <v>1304500</v>
      </c>
    </row>
    <row r="1961" spans="1:8" x14ac:dyDescent="0.2">
      <c r="A1961">
        <v>1304500</v>
      </c>
      <c r="B1961" s="3">
        <v>2021</v>
      </c>
      <c r="C1961" t="s">
        <v>492</v>
      </c>
      <c r="D1961" t="s">
        <v>493</v>
      </c>
      <c r="E1961" t="s">
        <v>493</v>
      </c>
      <c r="F1961" s="4">
        <v>2566970</v>
      </c>
      <c r="G1961" s="4" t="s">
        <v>7</v>
      </c>
      <c r="H1961">
        <f>IFERROR(VLOOKUP(E1961,'GASB Match'!$A$2:$B$240,2,FALSE),"")</f>
        <v>1304500</v>
      </c>
    </row>
    <row r="1962" spans="1:8" x14ac:dyDescent="0.2">
      <c r="A1962">
        <v>1304500</v>
      </c>
      <c r="B1962" s="3">
        <v>2022</v>
      </c>
      <c r="C1962" t="s">
        <v>492</v>
      </c>
      <c r="D1962" t="s">
        <v>493</v>
      </c>
      <c r="E1962" t="s">
        <v>493</v>
      </c>
      <c r="F1962" s="4">
        <v>2687200</v>
      </c>
      <c r="G1962" s="4" t="s">
        <v>7</v>
      </c>
      <c r="H1962">
        <f>IFERROR(VLOOKUP(E1962,'GASB Match'!$A$2:$B$240,2,FALSE),"")</f>
        <v>1304500</v>
      </c>
    </row>
    <row r="1963" spans="1:8" x14ac:dyDescent="0.2">
      <c r="A1963">
        <v>1304500</v>
      </c>
      <c r="B1963" s="3">
        <v>2023</v>
      </c>
      <c r="C1963" t="s">
        <v>492</v>
      </c>
      <c r="D1963" t="s">
        <v>493</v>
      </c>
      <c r="E1963" t="s">
        <v>493</v>
      </c>
      <c r="F1963" s="4">
        <v>2796128</v>
      </c>
      <c r="G1963" s="4" t="s">
        <v>7</v>
      </c>
      <c r="H1963">
        <f>IFERROR(VLOOKUP(E1963,'GASB Match'!$A$2:$B$240,2,FALSE),"")</f>
        <v>1304500</v>
      </c>
    </row>
    <row r="1964" spans="1:8" x14ac:dyDescent="0.2">
      <c r="A1964" t="s">
        <v>7</v>
      </c>
      <c r="B1964" s="3">
        <v>2015</v>
      </c>
      <c r="C1964" t="s">
        <v>494</v>
      </c>
      <c r="D1964" t="s">
        <v>495</v>
      </c>
      <c r="E1964" t="s">
        <v>495</v>
      </c>
      <c r="F1964" s="4">
        <v>33497.160000000003</v>
      </c>
      <c r="G1964" s="4" t="s">
        <v>7</v>
      </c>
      <c r="H1964" t="str">
        <f>IFERROR(VLOOKUP(E1964,'GASB Match'!$A$2:$B$240,2,FALSE),"")</f>
        <v/>
      </c>
    </row>
    <row r="1965" spans="1:8" x14ac:dyDescent="0.2">
      <c r="A1965" t="s">
        <v>7</v>
      </c>
      <c r="B1965" s="3">
        <v>2016</v>
      </c>
      <c r="C1965" t="s">
        <v>494</v>
      </c>
      <c r="D1965" t="s">
        <v>495</v>
      </c>
      <c r="E1965" t="s">
        <v>495</v>
      </c>
      <c r="F1965" s="4">
        <v>36603.57</v>
      </c>
      <c r="G1965" s="4" t="s">
        <v>7</v>
      </c>
      <c r="H1965" t="str">
        <f>IFERROR(VLOOKUP(E1965,'GASB Match'!$A$2:$B$240,2,FALSE),"")</f>
        <v/>
      </c>
    </row>
    <row r="1966" spans="1:8" x14ac:dyDescent="0.2">
      <c r="A1966" t="s">
        <v>7</v>
      </c>
      <c r="B1966" s="3">
        <v>2017</v>
      </c>
      <c r="C1966" t="s">
        <v>494</v>
      </c>
      <c r="D1966" t="s">
        <v>495</v>
      </c>
      <c r="E1966" t="s">
        <v>495</v>
      </c>
      <c r="F1966" s="4">
        <v>35779</v>
      </c>
      <c r="G1966" s="4" t="s">
        <v>7</v>
      </c>
      <c r="H1966" t="str">
        <f>IFERROR(VLOOKUP(E1966,'GASB Match'!$A$2:$B$240,2,FALSE),"")</f>
        <v/>
      </c>
    </row>
    <row r="1967" spans="1:8" x14ac:dyDescent="0.2">
      <c r="A1967" t="s">
        <v>7</v>
      </c>
      <c r="B1967" s="3">
        <v>2018</v>
      </c>
      <c r="C1967" t="s">
        <v>494</v>
      </c>
      <c r="D1967" t="s">
        <v>495</v>
      </c>
      <c r="E1967" t="s">
        <v>495</v>
      </c>
      <c r="F1967" s="4">
        <v>41749</v>
      </c>
      <c r="G1967" s="4" t="s">
        <v>7</v>
      </c>
      <c r="H1967" t="str">
        <f>IFERROR(VLOOKUP(E1967,'GASB Match'!$A$2:$B$240,2,FALSE),"")</f>
        <v/>
      </c>
    </row>
    <row r="1968" spans="1:8" x14ac:dyDescent="0.2">
      <c r="A1968" t="s">
        <v>7</v>
      </c>
      <c r="B1968" s="3">
        <v>2019</v>
      </c>
      <c r="C1968" t="s">
        <v>494</v>
      </c>
      <c r="D1968" t="s">
        <v>495</v>
      </c>
      <c r="E1968" t="s">
        <v>495</v>
      </c>
      <c r="F1968" s="4">
        <v>53097</v>
      </c>
      <c r="G1968" s="4" t="s">
        <v>7</v>
      </c>
      <c r="H1968" t="str">
        <f>IFERROR(VLOOKUP(E1968,'GASB Match'!$A$2:$B$240,2,FALSE),"")</f>
        <v/>
      </c>
    </row>
    <row r="1969" spans="1:8" x14ac:dyDescent="0.2">
      <c r="A1969" t="s">
        <v>7</v>
      </c>
      <c r="B1969" s="3">
        <v>2020</v>
      </c>
      <c r="C1969" t="s">
        <v>494</v>
      </c>
      <c r="D1969" t="s">
        <v>495</v>
      </c>
      <c r="E1969" t="s">
        <v>495</v>
      </c>
      <c r="F1969" s="4">
        <v>54450</v>
      </c>
      <c r="G1969" s="4" t="s">
        <v>7</v>
      </c>
      <c r="H1969" t="str">
        <f>IFERROR(VLOOKUP(E1969,'GASB Match'!$A$2:$B$240,2,FALSE),"")</f>
        <v/>
      </c>
    </row>
    <row r="1970" spans="1:8" x14ac:dyDescent="0.2">
      <c r="A1970" t="s">
        <v>7</v>
      </c>
      <c r="B1970" s="3">
        <v>2021</v>
      </c>
      <c r="C1970" t="s">
        <v>494</v>
      </c>
      <c r="D1970" t="s">
        <v>495</v>
      </c>
      <c r="E1970" t="s">
        <v>495</v>
      </c>
      <c r="F1970" s="4">
        <v>49308</v>
      </c>
      <c r="G1970" s="4" t="s">
        <v>7</v>
      </c>
      <c r="H1970" t="str">
        <f>IFERROR(VLOOKUP(E1970,'GASB Match'!$A$2:$B$240,2,FALSE),"")</f>
        <v/>
      </c>
    </row>
    <row r="1971" spans="1:8" x14ac:dyDescent="0.2">
      <c r="A1971" t="s">
        <v>7</v>
      </c>
      <c r="B1971" s="3">
        <v>2022</v>
      </c>
      <c r="C1971" t="s">
        <v>494</v>
      </c>
      <c r="D1971" t="s">
        <v>495</v>
      </c>
      <c r="E1971" t="s">
        <v>495</v>
      </c>
      <c r="F1971" s="4">
        <v>57039</v>
      </c>
      <c r="G1971" s="4" t="s">
        <v>7</v>
      </c>
      <c r="H1971" t="str">
        <f>IFERROR(VLOOKUP(E1971,'GASB Match'!$A$2:$B$240,2,FALSE),"")</f>
        <v/>
      </c>
    </row>
    <row r="1972" spans="1:8" x14ac:dyDescent="0.2">
      <c r="A1972" t="s">
        <v>7</v>
      </c>
      <c r="B1972" s="3">
        <v>2023</v>
      </c>
      <c r="C1972" t="s">
        <v>494</v>
      </c>
      <c r="D1972" t="s">
        <v>495</v>
      </c>
      <c r="E1972" t="s">
        <v>495</v>
      </c>
      <c r="F1972" s="4">
        <v>55816</v>
      </c>
      <c r="G1972" s="4" t="s">
        <v>7</v>
      </c>
      <c r="H1972" t="str">
        <f>IFERROR(VLOOKUP(E1972,'GASB Match'!$A$2:$B$240,2,FALSE),"")</f>
        <v/>
      </c>
    </row>
    <row r="1973" spans="1:8" x14ac:dyDescent="0.2">
      <c r="A1973">
        <v>1304530</v>
      </c>
      <c r="B1973" s="3">
        <v>2015</v>
      </c>
      <c r="C1973" t="s">
        <v>496</v>
      </c>
      <c r="D1973" t="s">
        <v>497</v>
      </c>
      <c r="E1973" t="s">
        <v>497</v>
      </c>
      <c r="F1973" s="4">
        <v>973616.31</v>
      </c>
      <c r="G1973" s="4">
        <v>12618.84</v>
      </c>
      <c r="H1973">
        <f>IFERROR(VLOOKUP(E1973,'GASB Match'!$A$2:$B$240,2,FALSE),"")</f>
        <v>1304530</v>
      </c>
    </row>
    <row r="1974" spans="1:8" x14ac:dyDescent="0.2">
      <c r="A1974">
        <v>1304530</v>
      </c>
      <c r="B1974" s="3">
        <v>2016</v>
      </c>
      <c r="C1974" t="s">
        <v>496</v>
      </c>
      <c r="D1974" t="s">
        <v>497</v>
      </c>
      <c r="E1974" t="s">
        <v>497</v>
      </c>
      <c r="F1974" s="4">
        <v>1087682.75</v>
      </c>
      <c r="G1974" s="4">
        <v>13613.4</v>
      </c>
      <c r="H1974">
        <f>IFERROR(VLOOKUP(E1974,'GASB Match'!$A$2:$B$240,2,FALSE),"")</f>
        <v>1304530</v>
      </c>
    </row>
    <row r="1975" spans="1:8" x14ac:dyDescent="0.2">
      <c r="A1975">
        <v>1304530</v>
      </c>
      <c r="B1975" s="3">
        <v>2017</v>
      </c>
      <c r="C1975" t="s">
        <v>496</v>
      </c>
      <c r="D1975" t="s">
        <v>497</v>
      </c>
      <c r="E1975" t="s">
        <v>497</v>
      </c>
      <c r="F1975" s="4">
        <v>1074831</v>
      </c>
      <c r="G1975" s="4">
        <v>13677</v>
      </c>
      <c r="H1975">
        <f>IFERROR(VLOOKUP(E1975,'GASB Match'!$A$2:$B$240,2,FALSE),"")</f>
        <v>1304530</v>
      </c>
    </row>
    <row r="1976" spans="1:8" x14ac:dyDescent="0.2">
      <c r="A1976">
        <v>1304530</v>
      </c>
      <c r="B1976" s="3">
        <v>2018</v>
      </c>
      <c r="C1976" t="s">
        <v>496</v>
      </c>
      <c r="D1976" t="s">
        <v>497</v>
      </c>
      <c r="E1976" t="s">
        <v>497</v>
      </c>
      <c r="F1976" s="4">
        <v>1294055</v>
      </c>
      <c r="G1976" s="4">
        <v>14584</v>
      </c>
      <c r="H1976">
        <f>IFERROR(VLOOKUP(E1976,'GASB Match'!$A$2:$B$240,2,FALSE),"")</f>
        <v>1304530</v>
      </c>
    </row>
    <row r="1977" spans="1:8" x14ac:dyDescent="0.2">
      <c r="A1977">
        <v>1304530</v>
      </c>
      <c r="B1977" s="3">
        <v>2019</v>
      </c>
      <c r="C1977" t="s">
        <v>496</v>
      </c>
      <c r="D1977" t="s">
        <v>497</v>
      </c>
      <c r="E1977" t="s">
        <v>497</v>
      </c>
      <c r="F1977" s="4">
        <v>1595401</v>
      </c>
      <c r="G1977" s="4">
        <v>21293</v>
      </c>
      <c r="H1977">
        <f>IFERROR(VLOOKUP(E1977,'GASB Match'!$A$2:$B$240,2,FALSE),"")</f>
        <v>1304530</v>
      </c>
    </row>
    <row r="1978" spans="1:8" x14ac:dyDescent="0.2">
      <c r="A1978">
        <v>1304530</v>
      </c>
      <c r="B1978" s="3">
        <v>2020</v>
      </c>
      <c r="C1978" t="s">
        <v>496</v>
      </c>
      <c r="D1978" t="s">
        <v>497</v>
      </c>
      <c r="E1978" t="s">
        <v>497</v>
      </c>
      <c r="F1978" s="4">
        <v>1684569</v>
      </c>
      <c r="G1978" s="4">
        <v>23997</v>
      </c>
      <c r="H1978">
        <f>IFERROR(VLOOKUP(E1978,'GASB Match'!$A$2:$B$240,2,FALSE),"")</f>
        <v>1304530</v>
      </c>
    </row>
    <row r="1979" spans="1:8" x14ac:dyDescent="0.2">
      <c r="A1979">
        <v>1304530</v>
      </c>
      <c r="B1979" s="3">
        <v>2021</v>
      </c>
      <c r="C1979" t="s">
        <v>496</v>
      </c>
      <c r="D1979" t="s">
        <v>497</v>
      </c>
      <c r="E1979" t="s">
        <v>497</v>
      </c>
      <c r="F1979" s="4">
        <v>1449576</v>
      </c>
      <c r="G1979" s="4">
        <v>24686</v>
      </c>
      <c r="H1979">
        <f>IFERROR(VLOOKUP(E1979,'GASB Match'!$A$2:$B$240,2,FALSE),"")</f>
        <v>1304530</v>
      </c>
    </row>
    <row r="1980" spans="1:8" x14ac:dyDescent="0.2">
      <c r="A1980">
        <v>1304530</v>
      </c>
      <c r="B1980" s="3">
        <v>2022</v>
      </c>
      <c r="C1980" t="s">
        <v>496</v>
      </c>
      <c r="D1980" t="s">
        <v>497</v>
      </c>
      <c r="E1980" t="s">
        <v>497</v>
      </c>
      <c r="F1980" s="4">
        <v>1583255</v>
      </c>
      <c r="G1980" s="4">
        <v>27007</v>
      </c>
      <c r="H1980">
        <f>IFERROR(VLOOKUP(E1980,'GASB Match'!$A$2:$B$240,2,FALSE),"")</f>
        <v>1304530</v>
      </c>
    </row>
    <row r="1981" spans="1:8" x14ac:dyDescent="0.2">
      <c r="A1981">
        <v>1304530</v>
      </c>
      <c r="B1981" s="3">
        <v>2023</v>
      </c>
      <c r="C1981" t="s">
        <v>496</v>
      </c>
      <c r="D1981" t="s">
        <v>497</v>
      </c>
      <c r="E1981" t="s">
        <v>497</v>
      </c>
      <c r="F1981" s="4">
        <v>1761943</v>
      </c>
      <c r="G1981" s="4">
        <v>29161</v>
      </c>
      <c r="H1981">
        <f>IFERROR(VLOOKUP(E1981,'GASB Match'!$A$2:$B$240,2,FALSE),"")</f>
        <v>1304530</v>
      </c>
    </row>
    <row r="1982" spans="1:8" x14ac:dyDescent="0.2">
      <c r="A1982">
        <v>1302520</v>
      </c>
      <c r="B1982" s="3">
        <v>2015</v>
      </c>
      <c r="C1982" t="s">
        <v>498</v>
      </c>
      <c r="D1982" t="s">
        <v>499</v>
      </c>
      <c r="E1982" t="s">
        <v>499</v>
      </c>
      <c r="F1982" s="4">
        <v>6790871.2400000002</v>
      </c>
      <c r="G1982" s="4">
        <v>8477.69</v>
      </c>
      <c r="H1982">
        <f>IFERROR(VLOOKUP(E1982,'GASB Match'!$A$2:$B$240,2,FALSE),"")</f>
        <v>1302520</v>
      </c>
    </row>
    <row r="1983" spans="1:8" x14ac:dyDescent="0.2">
      <c r="A1983">
        <v>1302520</v>
      </c>
      <c r="B1983" s="3">
        <v>2016</v>
      </c>
      <c r="C1983" t="s">
        <v>498</v>
      </c>
      <c r="D1983" t="s">
        <v>499</v>
      </c>
      <c r="E1983" t="s">
        <v>499</v>
      </c>
      <c r="F1983" s="4">
        <v>7625112.46</v>
      </c>
      <c r="G1983" s="4">
        <v>8422.7999999999902</v>
      </c>
      <c r="H1983">
        <f>IFERROR(VLOOKUP(E1983,'GASB Match'!$A$2:$B$240,2,FALSE),"")</f>
        <v>1302520</v>
      </c>
    </row>
    <row r="1984" spans="1:8" x14ac:dyDescent="0.2">
      <c r="A1984">
        <v>1302520</v>
      </c>
      <c r="B1984" s="3">
        <v>2017</v>
      </c>
      <c r="C1984" t="s">
        <v>498</v>
      </c>
      <c r="D1984" t="s">
        <v>499</v>
      </c>
      <c r="E1984" t="s">
        <v>499</v>
      </c>
      <c r="F1984" s="4">
        <v>8012949</v>
      </c>
      <c r="G1984" s="4">
        <v>8534</v>
      </c>
      <c r="H1984">
        <f>IFERROR(VLOOKUP(E1984,'GASB Match'!$A$2:$B$240,2,FALSE),"")</f>
        <v>1302520</v>
      </c>
    </row>
    <row r="1985" spans="1:8" x14ac:dyDescent="0.2">
      <c r="A1985">
        <v>1302520</v>
      </c>
      <c r="B1985" s="3">
        <v>2018</v>
      </c>
      <c r="C1985" t="s">
        <v>498</v>
      </c>
      <c r="D1985" t="s">
        <v>499</v>
      </c>
      <c r="E1985" t="s">
        <v>499</v>
      </c>
      <c r="F1985" s="4">
        <v>9775409</v>
      </c>
      <c r="G1985" s="4">
        <v>4878</v>
      </c>
      <c r="H1985">
        <f>IFERROR(VLOOKUP(E1985,'GASB Match'!$A$2:$B$240,2,FALSE),"")</f>
        <v>1302520</v>
      </c>
    </row>
    <row r="1986" spans="1:8" x14ac:dyDescent="0.2">
      <c r="A1986">
        <v>1302520</v>
      </c>
      <c r="B1986" s="3">
        <v>2019</v>
      </c>
      <c r="C1986" t="s">
        <v>498</v>
      </c>
      <c r="D1986" t="s">
        <v>499</v>
      </c>
      <c r="E1986" t="s">
        <v>499</v>
      </c>
      <c r="F1986" s="4">
        <v>12250540</v>
      </c>
      <c r="G1986" s="4" t="s">
        <v>7</v>
      </c>
      <c r="H1986">
        <f>IFERROR(VLOOKUP(E1986,'GASB Match'!$A$2:$B$240,2,FALSE),"")</f>
        <v>1302520</v>
      </c>
    </row>
    <row r="1987" spans="1:8" x14ac:dyDescent="0.2">
      <c r="A1987">
        <v>1302520</v>
      </c>
      <c r="B1987" s="3">
        <v>2020</v>
      </c>
      <c r="C1987" t="s">
        <v>498</v>
      </c>
      <c r="D1987" t="s">
        <v>499</v>
      </c>
      <c r="E1987" t="s">
        <v>499</v>
      </c>
      <c r="F1987" s="4">
        <v>12932869</v>
      </c>
      <c r="G1987" s="4" t="s">
        <v>7</v>
      </c>
      <c r="H1987">
        <f>IFERROR(VLOOKUP(E1987,'GASB Match'!$A$2:$B$240,2,FALSE),"")</f>
        <v>1302520</v>
      </c>
    </row>
    <row r="1988" spans="1:8" x14ac:dyDescent="0.2">
      <c r="A1988">
        <v>1302520</v>
      </c>
      <c r="B1988" s="3">
        <v>2021</v>
      </c>
      <c r="C1988" t="s">
        <v>498</v>
      </c>
      <c r="D1988" t="s">
        <v>499</v>
      </c>
      <c r="E1988" t="s">
        <v>499</v>
      </c>
      <c r="F1988" s="4">
        <v>11890894</v>
      </c>
      <c r="G1988" s="4" t="s">
        <v>7</v>
      </c>
      <c r="H1988">
        <f>IFERROR(VLOOKUP(E1988,'GASB Match'!$A$2:$B$240,2,FALSE),"")</f>
        <v>1302520</v>
      </c>
    </row>
    <row r="1989" spans="1:8" x14ac:dyDescent="0.2">
      <c r="A1989">
        <v>1302520</v>
      </c>
      <c r="B1989" s="3">
        <v>2022</v>
      </c>
      <c r="C1989" t="s">
        <v>498</v>
      </c>
      <c r="D1989" t="s">
        <v>499</v>
      </c>
      <c r="E1989" t="s">
        <v>499</v>
      </c>
      <c r="F1989" s="4">
        <v>12235655</v>
      </c>
      <c r="G1989" s="4" t="s">
        <v>7</v>
      </c>
      <c r="H1989">
        <f>IFERROR(VLOOKUP(E1989,'GASB Match'!$A$2:$B$240,2,FALSE),"")</f>
        <v>1302520</v>
      </c>
    </row>
    <row r="1990" spans="1:8" x14ac:dyDescent="0.2">
      <c r="A1990">
        <v>1302520</v>
      </c>
      <c r="B1990" s="3">
        <v>2023</v>
      </c>
      <c r="C1990" t="s">
        <v>498</v>
      </c>
      <c r="D1990" t="s">
        <v>499</v>
      </c>
      <c r="E1990" t="s">
        <v>499</v>
      </c>
      <c r="F1990" s="4">
        <v>12191529</v>
      </c>
      <c r="G1990" s="4" t="s">
        <v>7</v>
      </c>
      <c r="H1990">
        <f>IFERROR(VLOOKUP(E1990,'GASB Match'!$A$2:$B$240,2,FALSE),"")</f>
        <v>1302520</v>
      </c>
    </row>
    <row r="1991" spans="1:8" x14ac:dyDescent="0.2">
      <c r="A1991" t="s">
        <v>7</v>
      </c>
      <c r="B1991" s="3">
        <v>2015</v>
      </c>
      <c r="C1991" t="s">
        <v>500</v>
      </c>
      <c r="D1991" t="s">
        <v>501</v>
      </c>
      <c r="E1991" t="s">
        <v>501</v>
      </c>
      <c r="F1991" s="4">
        <v>91173.78</v>
      </c>
      <c r="G1991" s="4" t="s">
        <v>7</v>
      </c>
      <c r="H1991" t="str">
        <f>IFERROR(VLOOKUP(E1991,'GASB Match'!$A$2:$B$240,2,FALSE),"")</f>
        <v/>
      </c>
    </row>
    <row r="1992" spans="1:8" x14ac:dyDescent="0.2">
      <c r="A1992" t="s">
        <v>7</v>
      </c>
      <c r="B1992" s="3">
        <v>2016</v>
      </c>
      <c r="C1992" t="s">
        <v>500</v>
      </c>
      <c r="D1992" t="s">
        <v>501</v>
      </c>
      <c r="E1992" t="s">
        <v>501</v>
      </c>
      <c r="F1992" s="4">
        <v>96363.39</v>
      </c>
      <c r="G1992" s="4" t="s">
        <v>7</v>
      </c>
      <c r="H1992" t="str">
        <f>IFERROR(VLOOKUP(E1992,'GASB Match'!$A$2:$B$240,2,FALSE),"")</f>
        <v/>
      </c>
    </row>
    <row r="1993" spans="1:8" x14ac:dyDescent="0.2">
      <c r="A1993" t="s">
        <v>7</v>
      </c>
      <c r="B1993" s="3">
        <v>2017</v>
      </c>
      <c r="C1993" t="s">
        <v>500</v>
      </c>
      <c r="D1993" t="s">
        <v>501</v>
      </c>
      <c r="E1993" t="s">
        <v>501</v>
      </c>
      <c r="F1993" s="4">
        <v>98073</v>
      </c>
      <c r="G1993" s="4" t="s">
        <v>7</v>
      </c>
      <c r="H1993" t="str">
        <f>IFERROR(VLOOKUP(E1993,'GASB Match'!$A$2:$B$240,2,FALSE),"")</f>
        <v/>
      </c>
    </row>
    <row r="1994" spans="1:8" x14ac:dyDescent="0.2">
      <c r="A1994" t="s">
        <v>7</v>
      </c>
      <c r="B1994" s="3">
        <v>2018</v>
      </c>
      <c r="C1994" t="s">
        <v>500</v>
      </c>
      <c r="D1994" t="s">
        <v>501</v>
      </c>
      <c r="E1994" t="s">
        <v>501</v>
      </c>
      <c r="F1994" s="4">
        <v>115466</v>
      </c>
      <c r="G1994" s="4" t="s">
        <v>7</v>
      </c>
      <c r="H1994" t="str">
        <f>IFERROR(VLOOKUP(E1994,'GASB Match'!$A$2:$B$240,2,FALSE),"")</f>
        <v/>
      </c>
    </row>
    <row r="1995" spans="1:8" x14ac:dyDescent="0.2">
      <c r="A1995" t="s">
        <v>7</v>
      </c>
      <c r="B1995" s="3">
        <v>2019</v>
      </c>
      <c r="C1995" t="s">
        <v>500</v>
      </c>
      <c r="D1995" t="s">
        <v>501</v>
      </c>
      <c r="E1995" t="s">
        <v>501</v>
      </c>
      <c r="F1995" s="4">
        <v>138943</v>
      </c>
      <c r="G1995" s="4" t="s">
        <v>7</v>
      </c>
      <c r="H1995" t="str">
        <f>IFERROR(VLOOKUP(E1995,'GASB Match'!$A$2:$B$240,2,FALSE),"")</f>
        <v/>
      </c>
    </row>
    <row r="1996" spans="1:8" x14ac:dyDescent="0.2">
      <c r="A1996" t="s">
        <v>7</v>
      </c>
      <c r="B1996" s="3">
        <v>2020</v>
      </c>
      <c r="C1996" t="s">
        <v>500</v>
      </c>
      <c r="D1996" t="s">
        <v>501</v>
      </c>
      <c r="E1996" t="s">
        <v>501</v>
      </c>
      <c r="F1996" s="4">
        <v>145984</v>
      </c>
      <c r="G1996" s="4" t="s">
        <v>7</v>
      </c>
      <c r="H1996" t="str">
        <f>IFERROR(VLOOKUP(E1996,'GASB Match'!$A$2:$B$240,2,FALSE),"")</f>
        <v/>
      </c>
    </row>
    <row r="1997" spans="1:8" x14ac:dyDescent="0.2">
      <c r="A1997" t="s">
        <v>7</v>
      </c>
      <c r="B1997" s="3">
        <v>2021</v>
      </c>
      <c r="C1997" t="s">
        <v>500</v>
      </c>
      <c r="D1997" t="s">
        <v>501</v>
      </c>
      <c r="E1997" t="s">
        <v>501</v>
      </c>
      <c r="F1997" s="4">
        <v>132966</v>
      </c>
      <c r="G1997" s="4" t="s">
        <v>7</v>
      </c>
      <c r="H1997" t="str">
        <f>IFERROR(VLOOKUP(E1997,'GASB Match'!$A$2:$B$240,2,FALSE),"")</f>
        <v/>
      </c>
    </row>
    <row r="1998" spans="1:8" x14ac:dyDescent="0.2">
      <c r="A1998" t="s">
        <v>7</v>
      </c>
      <c r="B1998" s="3">
        <v>2022</v>
      </c>
      <c r="C1998" t="s">
        <v>500</v>
      </c>
      <c r="D1998" t="s">
        <v>501</v>
      </c>
      <c r="E1998" t="s">
        <v>501</v>
      </c>
      <c r="F1998" s="4">
        <v>132645</v>
      </c>
      <c r="G1998" s="4" t="s">
        <v>7</v>
      </c>
      <c r="H1998" t="str">
        <f>IFERROR(VLOOKUP(E1998,'GASB Match'!$A$2:$B$240,2,FALSE),"")</f>
        <v/>
      </c>
    </row>
    <row r="1999" spans="1:8" x14ac:dyDescent="0.2">
      <c r="A1999" t="s">
        <v>7</v>
      </c>
      <c r="B1999" s="3">
        <v>2023</v>
      </c>
      <c r="C1999" t="s">
        <v>500</v>
      </c>
      <c r="D1999" t="s">
        <v>501</v>
      </c>
      <c r="E1999" t="s">
        <v>501</v>
      </c>
      <c r="F1999" s="4">
        <v>142354</v>
      </c>
      <c r="G1999" s="4" t="s">
        <v>7</v>
      </c>
      <c r="H1999" t="str">
        <f>IFERROR(VLOOKUP(E1999,'GASB Match'!$A$2:$B$240,2,FALSE),"")</f>
        <v/>
      </c>
    </row>
    <row r="2000" spans="1:8" x14ac:dyDescent="0.2">
      <c r="A2000">
        <v>1304560</v>
      </c>
      <c r="B2000" s="3">
        <v>2015</v>
      </c>
      <c r="C2000" t="s">
        <v>502</v>
      </c>
      <c r="D2000" t="s">
        <v>503</v>
      </c>
      <c r="E2000" t="s">
        <v>503</v>
      </c>
      <c r="F2000" s="4">
        <v>2547510.64</v>
      </c>
      <c r="G2000" s="4">
        <v>5409.97</v>
      </c>
      <c r="H2000">
        <f>IFERROR(VLOOKUP(E2000,'GASB Match'!$A$2:$B$240,2,FALSE),"")</f>
        <v>1304560</v>
      </c>
    </row>
    <row r="2001" spans="1:8" x14ac:dyDescent="0.2">
      <c r="A2001">
        <v>1304560</v>
      </c>
      <c r="B2001" s="3">
        <v>2016</v>
      </c>
      <c r="C2001" t="s">
        <v>502</v>
      </c>
      <c r="D2001" t="s">
        <v>503</v>
      </c>
      <c r="E2001" t="s">
        <v>503</v>
      </c>
      <c r="F2001" s="4">
        <v>2484996.44</v>
      </c>
      <c r="G2001" s="4">
        <v>509.2</v>
      </c>
      <c r="H2001">
        <f>IFERROR(VLOOKUP(E2001,'GASB Match'!$A$2:$B$240,2,FALSE),"")</f>
        <v>1304560</v>
      </c>
    </row>
    <row r="2002" spans="1:8" x14ac:dyDescent="0.2">
      <c r="A2002">
        <v>1304560</v>
      </c>
      <c r="B2002" s="3">
        <v>2017</v>
      </c>
      <c r="C2002" t="s">
        <v>502</v>
      </c>
      <c r="D2002" t="s">
        <v>503</v>
      </c>
      <c r="E2002" t="s">
        <v>503</v>
      </c>
      <c r="F2002" s="4">
        <v>2690244</v>
      </c>
      <c r="G2002" s="4">
        <v>28577</v>
      </c>
      <c r="H2002">
        <f>IFERROR(VLOOKUP(E2002,'GASB Match'!$A$2:$B$240,2,FALSE),"")</f>
        <v>1304560</v>
      </c>
    </row>
    <row r="2003" spans="1:8" x14ac:dyDescent="0.2">
      <c r="A2003">
        <v>1304560</v>
      </c>
      <c r="B2003" s="3">
        <v>2018</v>
      </c>
      <c r="C2003" t="s">
        <v>502</v>
      </c>
      <c r="D2003" t="s">
        <v>503</v>
      </c>
      <c r="E2003" t="s">
        <v>503</v>
      </c>
      <c r="F2003" s="4">
        <v>3338998</v>
      </c>
      <c r="G2003" s="4">
        <v>25677</v>
      </c>
      <c r="H2003">
        <f>IFERROR(VLOOKUP(E2003,'GASB Match'!$A$2:$B$240,2,FALSE),"")</f>
        <v>1304560</v>
      </c>
    </row>
    <row r="2004" spans="1:8" x14ac:dyDescent="0.2">
      <c r="A2004">
        <v>1304560</v>
      </c>
      <c r="B2004" s="3">
        <v>2019</v>
      </c>
      <c r="C2004" t="s">
        <v>502</v>
      </c>
      <c r="D2004" t="s">
        <v>503</v>
      </c>
      <c r="E2004" t="s">
        <v>503</v>
      </c>
      <c r="F2004" s="4">
        <v>4192746</v>
      </c>
      <c r="G2004" s="4">
        <v>30993</v>
      </c>
      <c r="H2004">
        <f>IFERROR(VLOOKUP(E2004,'GASB Match'!$A$2:$B$240,2,FALSE),"")</f>
        <v>1304560</v>
      </c>
    </row>
    <row r="2005" spans="1:8" x14ac:dyDescent="0.2">
      <c r="A2005">
        <v>1304560</v>
      </c>
      <c r="B2005" s="3">
        <v>2020</v>
      </c>
      <c r="C2005" t="s">
        <v>502</v>
      </c>
      <c r="D2005" t="s">
        <v>503</v>
      </c>
      <c r="E2005" t="s">
        <v>503</v>
      </c>
      <c r="F2005" s="4">
        <v>4391869</v>
      </c>
      <c r="G2005" s="4">
        <v>31991</v>
      </c>
      <c r="H2005">
        <f>IFERROR(VLOOKUP(E2005,'GASB Match'!$A$2:$B$240,2,FALSE),"")</f>
        <v>1304560</v>
      </c>
    </row>
    <row r="2006" spans="1:8" x14ac:dyDescent="0.2">
      <c r="A2006">
        <v>1304560</v>
      </c>
      <c r="B2006" s="3">
        <v>2021</v>
      </c>
      <c r="C2006" t="s">
        <v>502</v>
      </c>
      <c r="D2006" t="s">
        <v>503</v>
      </c>
      <c r="E2006" t="s">
        <v>503</v>
      </c>
      <c r="F2006" s="4">
        <v>4026189</v>
      </c>
      <c r="G2006" s="4">
        <v>29242</v>
      </c>
      <c r="H2006">
        <f>IFERROR(VLOOKUP(E2006,'GASB Match'!$A$2:$B$240,2,FALSE),"")</f>
        <v>1304560</v>
      </c>
    </row>
    <row r="2007" spans="1:8" x14ac:dyDescent="0.2">
      <c r="A2007">
        <v>1304560</v>
      </c>
      <c r="B2007" s="3">
        <v>2022</v>
      </c>
      <c r="C2007" t="s">
        <v>502</v>
      </c>
      <c r="D2007" t="s">
        <v>503</v>
      </c>
      <c r="E2007" t="s">
        <v>503</v>
      </c>
      <c r="F2007" s="4">
        <v>4366421</v>
      </c>
      <c r="G2007" s="4">
        <v>30862</v>
      </c>
      <c r="H2007">
        <f>IFERROR(VLOOKUP(E2007,'GASB Match'!$A$2:$B$240,2,FALSE),"")</f>
        <v>1304560</v>
      </c>
    </row>
    <row r="2008" spans="1:8" x14ac:dyDescent="0.2">
      <c r="A2008">
        <v>1304560</v>
      </c>
      <c r="B2008" s="3">
        <v>2023</v>
      </c>
      <c r="C2008" t="s">
        <v>502</v>
      </c>
      <c r="D2008" t="s">
        <v>503</v>
      </c>
      <c r="E2008" t="s">
        <v>503</v>
      </c>
      <c r="F2008" s="4">
        <v>4616595</v>
      </c>
      <c r="G2008" s="4">
        <v>33065</v>
      </c>
      <c r="H2008">
        <f>IFERROR(VLOOKUP(E2008,'GASB Match'!$A$2:$B$240,2,FALSE),"")</f>
        <v>1304560</v>
      </c>
    </row>
    <row r="2009" spans="1:8" x14ac:dyDescent="0.2">
      <c r="A2009">
        <v>1304590</v>
      </c>
      <c r="B2009" s="3">
        <v>2015</v>
      </c>
      <c r="C2009" t="s">
        <v>504</v>
      </c>
      <c r="D2009" t="s">
        <v>505</v>
      </c>
      <c r="E2009" t="s">
        <v>505</v>
      </c>
      <c r="F2009" s="4">
        <v>424137.86</v>
      </c>
      <c r="G2009" s="4" t="s">
        <v>7</v>
      </c>
      <c r="H2009">
        <f>IFERROR(VLOOKUP(E2009,'GASB Match'!$A$2:$B$240,2,FALSE),"")</f>
        <v>1304590</v>
      </c>
    </row>
    <row r="2010" spans="1:8" x14ac:dyDescent="0.2">
      <c r="A2010">
        <v>1304590</v>
      </c>
      <c r="B2010" s="3">
        <v>2016</v>
      </c>
      <c r="C2010" t="s">
        <v>504</v>
      </c>
      <c r="D2010" t="s">
        <v>505</v>
      </c>
      <c r="E2010" t="s">
        <v>505</v>
      </c>
      <c r="F2010" s="4">
        <v>491650.89</v>
      </c>
      <c r="G2010" s="4" t="s">
        <v>7</v>
      </c>
      <c r="H2010">
        <f>IFERROR(VLOOKUP(E2010,'GASB Match'!$A$2:$B$240,2,FALSE),"")</f>
        <v>1304590</v>
      </c>
    </row>
    <row r="2011" spans="1:8" x14ac:dyDescent="0.2">
      <c r="A2011">
        <v>1304590</v>
      </c>
      <c r="B2011" s="3">
        <v>2017</v>
      </c>
      <c r="C2011" t="s">
        <v>504</v>
      </c>
      <c r="D2011" t="s">
        <v>505</v>
      </c>
      <c r="E2011" t="s">
        <v>505</v>
      </c>
      <c r="F2011" s="4">
        <v>496806</v>
      </c>
      <c r="G2011" s="4" t="s">
        <v>7</v>
      </c>
      <c r="H2011">
        <f>IFERROR(VLOOKUP(E2011,'GASB Match'!$A$2:$B$240,2,FALSE),"")</f>
        <v>1304590</v>
      </c>
    </row>
    <row r="2012" spans="1:8" x14ac:dyDescent="0.2">
      <c r="A2012">
        <v>1304590</v>
      </c>
      <c r="B2012" s="3">
        <v>2018</v>
      </c>
      <c r="C2012" t="s">
        <v>504</v>
      </c>
      <c r="D2012" t="s">
        <v>505</v>
      </c>
      <c r="E2012" t="s">
        <v>505</v>
      </c>
      <c r="F2012" s="4">
        <v>599847</v>
      </c>
      <c r="G2012" s="4" t="s">
        <v>7</v>
      </c>
      <c r="H2012">
        <f>IFERROR(VLOOKUP(E2012,'GASB Match'!$A$2:$B$240,2,FALSE),"")</f>
        <v>1304590</v>
      </c>
    </row>
    <row r="2013" spans="1:8" x14ac:dyDescent="0.2">
      <c r="A2013">
        <v>1304590</v>
      </c>
      <c r="B2013" s="3">
        <v>2019</v>
      </c>
      <c r="C2013" t="s">
        <v>504</v>
      </c>
      <c r="D2013" t="s">
        <v>505</v>
      </c>
      <c r="E2013" t="s">
        <v>505</v>
      </c>
      <c r="F2013" s="4">
        <v>798143</v>
      </c>
      <c r="G2013" s="4" t="s">
        <v>7</v>
      </c>
      <c r="H2013">
        <f>IFERROR(VLOOKUP(E2013,'GASB Match'!$A$2:$B$240,2,FALSE),"")</f>
        <v>1304590</v>
      </c>
    </row>
    <row r="2014" spans="1:8" x14ac:dyDescent="0.2">
      <c r="A2014">
        <v>1304590</v>
      </c>
      <c r="B2014" s="3">
        <v>2020</v>
      </c>
      <c r="C2014" t="s">
        <v>504</v>
      </c>
      <c r="D2014" t="s">
        <v>505</v>
      </c>
      <c r="E2014" t="s">
        <v>505</v>
      </c>
      <c r="F2014" s="4">
        <v>837510</v>
      </c>
      <c r="G2014" s="4" t="s">
        <v>7</v>
      </c>
      <c r="H2014">
        <f>IFERROR(VLOOKUP(E2014,'GASB Match'!$A$2:$B$240,2,FALSE),"")</f>
        <v>1304590</v>
      </c>
    </row>
    <row r="2015" spans="1:8" x14ac:dyDescent="0.2">
      <c r="A2015">
        <v>1304590</v>
      </c>
      <c r="B2015" s="3">
        <v>2021</v>
      </c>
      <c r="C2015" t="s">
        <v>504</v>
      </c>
      <c r="D2015" t="s">
        <v>505</v>
      </c>
      <c r="E2015" t="s">
        <v>505</v>
      </c>
      <c r="F2015" s="4">
        <v>718347</v>
      </c>
      <c r="G2015" s="4" t="s">
        <v>7</v>
      </c>
      <c r="H2015">
        <f>IFERROR(VLOOKUP(E2015,'GASB Match'!$A$2:$B$240,2,FALSE),"")</f>
        <v>1304590</v>
      </c>
    </row>
    <row r="2016" spans="1:8" x14ac:dyDescent="0.2">
      <c r="A2016">
        <v>1304590</v>
      </c>
      <c r="B2016" s="3">
        <v>2022</v>
      </c>
      <c r="C2016" t="s">
        <v>504</v>
      </c>
      <c r="D2016" t="s">
        <v>505</v>
      </c>
      <c r="E2016" t="s">
        <v>505</v>
      </c>
      <c r="F2016" s="4">
        <v>721634</v>
      </c>
      <c r="G2016" s="4" t="s">
        <v>7</v>
      </c>
      <c r="H2016">
        <f>IFERROR(VLOOKUP(E2016,'GASB Match'!$A$2:$B$240,2,FALSE),"")</f>
        <v>1304590</v>
      </c>
    </row>
    <row r="2017" spans="1:8" x14ac:dyDescent="0.2">
      <c r="A2017">
        <v>1304590</v>
      </c>
      <c r="B2017" s="3">
        <v>2023</v>
      </c>
      <c r="C2017" t="s">
        <v>504</v>
      </c>
      <c r="D2017" t="s">
        <v>505</v>
      </c>
      <c r="E2017" t="s">
        <v>505</v>
      </c>
      <c r="F2017" s="4">
        <v>775466</v>
      </c>
      <c r="G2017" s="4" t="s">
        <v>7</v>
      </c>
      <c r="H2017">
        <f>IFERROR(VLOOKUP(E2017,'GASB Match'!$A$2:$B$240,2,FALSE),"")</f>
        <v>1304590</v>
      </c>
    </row>
    <row r="2018" spans="1:8" x14ac:dyDescent="0.2">
      <c r="A2018">
        <v>1304620</v>
      </c>
      <c r="B2018" s="3">
        <v>2015</v>
      </c>
      <c r="C2018" t="s">
        <v>506</v>
      </c>
      <c r="D2018" t="s">
        <v>507</v>
      </c>
      <c r="E2018" t="s">
        <v>507</v>
      </c>
      <c r="F2018" s="4">
        <v>2856958.18</v>
      </c>
      <c r="G2018" s="4">
        <v>28306.639999999999</v>
      </c>
      <c r="H2018">
        <f>IFERROR(VLOOKUP(E2018,'GASB Match'!$A$2:$B$240,2,FALSE),"")</f>
        <v>1304620</v>
      </c>
    </row>
    <row r="2019" spans="1:8" x14ac:dyDescent="0.2">
      <c r="A2019">
        <v>1304620</v>
      </c>
      <c r="B2019" s="3">
        <v>2016</v>
      </c>
      <c r="C2019" t="s">
        <v>506</v>
      </c>
      <c r="D2019" t="s">
        <v>507</v>
      </c>
      <c r="E2019" t="s">
        <v>507</v>
      </c>
      <c r="F2019" s="4">
        <v>2878800.63</v>
      </c>
      <c r="G2019" s="4">
        <v>31127.8</v>
      </c>
      <c r="H2019">
        <f>IFERROR(VLOOKUP(E2019,'GASB Match'!$A$2:$B$240,2,FALSE),"")</f>
        <v>1304620</v>
      </c>
    </row>
    <row r="2020" spans="1:8" x14ac:dyDescent="0.2">
      <c r="A2020">
        <v>1304620</v>
      </c>
      <c r="B2020" s="3">
        <v>2017</v>
      </c>
      <c r="C2020" t="s">
        <v>506</v>
      </c>
      <c r="D2020" t="s">
        <v>507</v>
      </c>
      <c r="E2020" t="s">
        <v>507</v>
      </c>
      <c r="F2020" s="4">
        <v>2861282</v>
      </c>
      <c r="G2020" s="4">
        <v>24571</v>
      </c>
      <c r="H2020">
        <f>IFERROR(VLOOKUP(E2020,'GASB Match'!$A$2:$B$240,2,FALSE),"")</f>
        <v>1304620</v>
      </c>
    </row>
    <row r="2021" spans="1:8" x14ac:dyDescent="0.2">
      <c r="A2021">
        <v>1304620</v>
      </c>
      <c r="B2021" s="3">
        <v>2018</v>
      </c>
      <c r="C2021" t="s">
        <v>506</v>
      </c>
      <c r="D2021" t="s">
        <v>507</v>
      </c>
      <c r="E2021" t="s">
        <v>507</v>
      </c>
      <c r="F2021" s="4">
        <v>3413214</v>
      </c>
      <c r="G2021" s="4">
        <v>14613</v>
      </c>
      <c r="H2021">
        <f>IFERROR(VLOOKUP(E2021,'GASB Match'!$A$2:$B$240,2,FALSE),"")</f>
        <v>1304620</v>
      </c>
    </row>
    <row r="2022" spans="1:8" x14ac:dyDescent="0.2">
      <c r="A2022">
        <v>1304620</v>
      </c>
      <c r="B2022" s="3">
        <v>2019</v>
      </c>
      <c r="C2022" t="s">
        <v>506</v>
      </c>
      <c r="D2022" t="s">
        <v>507</v>
      </c>
      <c r="E2022" t="s">
        <v>507</v>
      </c>
      <c r="F2022" s="4">
        <v>4176022</v>
      </c>
      <c r="G2022" s="4">
        <v>18262</v>
      </c>
      <c r="H2022">
        <f>IFERROR(VLOOKUP(E2022,'GASB Match'!$A$2:$B$240,2,FALSE),"")</f>
        <v>1304620</v>
      </c>
    </row>
    <row r="2023" spans="1:8" x14ac:dyDescent="0.2">
      <c r="A2023">
        <v>1304620</v>
      </c>
      <c r="B2023" s="3">
        <v>2020</v>
      </c>
      <c r="C2023" t="s">
        <v>506</v>
      </c>
      <c r="D2023" t="s">
        <v>507</v>
      </c>
      <c r="E2023" t="s">
        <v>507</v>
      </c>
      <c r="F2023" s="4">
        <v>4391445</v>
      </c>
      <c r="G2023" s="4">
        <v>19626</v>
      </c>
      <c r="H2023">
        <f>IFERROR(VLOOKUP(E2023,'GASB Match'!$A$2:$B$240,2,FALSE),"")</f>
        <v>1304620</v>
      </c>
    </row>
    <row r="2024" spans="1:8" x14ac:dyDescent="0.2">
      <c r="A2024">
        <v>1304620</v>
      </c>
      <c r="B2024" s="3">
        <v>2021</v>
      </c>
      <c r="C2024" t="s">
        <v>506</v>
      </c>
      <c r="D2024" t="s">
        <v>507</v>
      </c>
      <c r="E2024" t="s">
        <v>507</v>
      </c>
      <c r="F2024" s="4">
        <v>3906070</v>
      </c>
      <c r="G2024" s="4">
        <v>18064</v>
      </c>
      <c r="H2024">
        <f>IFERROR(VLOOKUP(E2024,'GASB Match'!$A$2:$B$240,2,FALSE),"")</f>
        <v>1304620</v>
      </c>
    </row>
    <row r="2025" spans="1:8" x14ac:dyDescent="0.2">
      <c r="A2025">
        <v>1304620</v>
      </c>
      <c r="B2025" s="3">
        <v>2022</v>
      </c>
      <c r="C2025" t="s">
        <v>506</v>
      </c>
      <c r="D2025" t="s">
        <v>507</v>
      </c>
      <c r="E2025" t="s">
        <v>507</v>
      </c>
      <c r="F2025" s="4">
        <v>4026110</v>
      </c>
      <c r="G2025" s="4">
        <v>14078</v>
      </c>
      <c r="H2025">
        <f>IFERROR(VLOOKUP(E2025,'GASB Match'!$A$2:$B$240,2,FALSE),"")</f>
        <v>1304620</v>
      </c>
    </row>
    <row r="2026" spans="1:8" x14ac:dyDescent="0.2">
      <c r="A2026">
        <v>1304620</v>
      </c>
      <c r="B2026" s="3">
        <v>2023</v>
      </c>
      <c r="C2026" t="s">
        <v>506</v>
      </c>
      <c r="D2026" t="s">
        <v>507</v>
      </c>
      <c r="E2026" t="s">
        <v>507</v>
      </c>
      <c r="F2026" s="4">
        <v>4203685</v>
      </c>
      <c r="G2026" s="4">
        <v>15141</v>
      </c>
      <c r="H2026">
        <f>IFERROR(VLOOKUP(E2026,'GASB Match'!$A$2:$B$240,2,FALSE),"")</f>
        <v>1304620</v>
      </c>
    </row>
    <row r="2027" spans="1:8" x14ac:dyDescent="0.2">
      <c r="A2027" t="s">
        <v>7</v>
      </c>
      <c r="B2027" s="3">
        <v>2015</v>
      </c>
      <c r="C2027" t="s">
        <v>508</v>
      </c>
      <c r="D2027" t="s">
        <v>510</v>
      </c>
      <c r="E2027" t="s">
        <v>509</v>
      </c>
      <c r="F2027" s="4">
        <v>59126.83</v>
      </c>
      <c r="G2027" s="4" t="s">
        <v>7</v>
      </c>
      <c r="H2027" t="str">
        <f>IFERROR(VLOOKUP(E2027,'GASB Match'!$A$2:$B$240,2,FALSE),"")</f>
        <v/>
      </c>
    </row>
    <row r="2028" spans="1:8" x14ac:dyDescent="0.2">
      <c r="A2028" t="s">
        <v>7</v>
      </c>
      <c r="B2028" s="3">
        <v>2016</v>
      </c>
      <c r="C2028" t="s">
        <v>508</v>
      </c>
      <c r="D2028" t="s">
        <v>510</v>
      </c>
      <c r="E2028" t="s">
        <v>509</v>
      </c>
      <c r="F2028" s="4">
        <v>67965.31</v>
      </c>
      <c r="G2028" s="4" t="s">
        <v>7</v>
      </c>
      <c r="H2028" t="str">
        <f>IFERROR(VLOOKUP(E2028,'GASB Match'!$A$2:$B$240,2,FALSE),"")</f>
        <v/>
      </c>
    </row>
    <row r="2029" spans="1:8" x14ac:dyDescent="0.2">
      <c r="A2029" t="s">
        <v>7</v>
      </c>
      <c r="B2029" s="3">
        <v>2017</v>
      </c>
      <c r="C2029" t="s">
        <v>508</v>
      </c>
      <c r="D2029" t="s">
        <v>510</v>
      </c>
      <c r="E2029" t="s">
        <v>509</v>
      </c>
      <c r="F2029" s="4">
        <v>70662</v>
      </c>
      <c r="G2029" s="4" t="s">
        <v>7</v>
      </c>
      <c r="H2029" t="str">
        <f>IFERROR(VLOOKUP(E2029,'GASB Match'!$A$2:$B$240,2,FALSE),"")</f>
        <v/>
      </c>
    </row>
    <row r="2030" spans="1:8" x14ac:dyDescent="0.2">
      <c r="A2030" t="s">
        <v>7</v>
      </c>
      <c r="B2030" s="3">
        <v>2018</v>
      </c>
      <c r="C2030" t="s">
        <v>508</v>
      </c>
      <c r="D2030" t="s">
        <v>510</v>
      </c>
      <c r="E2030" t="s">
        <v>509</v>
      </c>
      <c r="F2030" s="4">
        <v>82652</v>
      </c>
      <c r="G2030" s="4" t="s">
        <v>7</v>
      </c>
      <c r="H2030" t="str">
        <f>IFERROR(VLOOKUP(E2030,'GASB Match'!$A$2:$B$240,2,FALSE),"")</f>
        <v/>
      </c>
    </row>
    <row r="2031" spans="1:8" x14ac:dyDescent="0.2">
      <c r="A2031" t="s">
        <v>7</v>
      </c>
      <c r="B2031" s="3">
        <v>2019</v>
      </c>
      <c r="C2031" t="s">
        <v>508</v>
      </c>
      <c r="D2031" t="s">
        <v>510</v>
      </c>
      <c r="E2031" t="s">
        <v>509</v>
      </c>
      <c r="F2031" s="4">
        <v>98274</v>
      </c>
      <c r="G2031" s="4" t="s">
        <v>7</v>
      </c>
      <c r="H2031" t="str">
        <f>IFERROR(VLOOKUP(E2031,'GASB Match'!$A$2:$B$240,2,FALSE),"")</f>
        <v/>
      </c>
    </row>
    <row r="2032" spans="1:8" x14ac:dyDescent="0.2">
      <c r="A2032" t="s">
        <v>7</v>
      </c>
      <c r="B2032" s="3">
        <v>2020</v>
      </c>
      <c r="C2032" t="s">
        <v>508</v>
      </c>
      <c r="D2032" t="s">
        <v>510</v>
      </c>
      <c r="E2032" t="s">
        <v>509</v>
      </c>
      <c r="F2032" s="4">
        <v>95321</v>
      </c>
      <c r="G2032" s="4" t="s">
        <v>7</v>
      </c>
      <c r="H2032" t="str">
        <f>IFERROR(VLOOKUP(E2032,'GASB Match'!$A$2:$B$240,2,FALSE),"")</f>
        <v/>
      </c>
    </row>
    <row r="2033" spans="1:8" x14ac:dyDescent="0.2">
      <c r="A2033" t="s">
        <v>7</v>
      </c>
      <c r="B2033" s="3">
        <v>2021</v>
      </c>
      <c r="C2033" t="s">
        <v>508</v>
      </c>
      <c r="D2033" t="s">
        <v>509</v>
      </c>
      <c r="E2033" t="s">
        <v>509</v>
      </c>
      <c r="F2033" s="4">
        <v>80378</v>
      </c>
      <c r="G2033" s="4" t="s">
        <v>7</v>
      </c>
      <c r="H2033" t="str">
        <f>IFERROR(VLOOKUP(E2033,'GASB Match'!$A$2:$B$240,2,FALSE),"")</f>
        <v/>
      </c>
    </row>
    <row r="2034" spans="1:8" x14ac:dyDescent="0.2">
      <c r="A2034" t="s">
        <v>7</v>
      </c>
      <c r="B2034" s="3">
        <v>2022</v>
      </c>
      <c r="C2034" t="s">
        <v>508</v>
      </c>
      <c r="D2034" t="s">
        <v>509</v>
      </c>
      <c r="E2034" t="s">
        <v>509</v>
      </c>
      <c r="F2034" s="4">
        <v>86445</v>
      </c>
      <c r="G2034" s="4" t="s">
        <v>7</v>
      </c>
      <c r="H2034" t="str">
        <f>IFERROR(VLOOKUP(E2034,'GASB Match'!$A$2:$B$240,2,FALSE),"")</f>
        <v/>
      </c>
    </row>
    <row r="2035" spans="1:8" x14ac:dyDescent="0.2">
      <c r="A2035" t="s">
        <v>7</v>
      </c>
      <c r="B2035" s="3">
        <v>2023</v>
      </c>
      <c r="C2035" t="s">
        <v>508</v>
      </c>
      <c r="D2035" t="s">
        <v>509</v>
      </c>
      <c r="E2035" t="s">
        <v>509</v>
      </c>
      <c r="F2035" s="4">
        <v>92733</v>
      </c>
      <c r="G2035" s="4" t="s">
        <v>7</v>
      </c>
      <c r="H2035" t="str">
        <f>IFERROR(VLOOKUP(E2035,'GASB Match'!$A$2:$B$240,2,FALSE),"")</f>
        <v/>
      </c>
    </row>
    <row r="2036" spans="1:8" x14ac:dyDescent="0.2">
      <c r="A2036">
        <v>1304650</v>
      </c>
      <c r="B2036" s="3">
        <v>2015</v>
      </c>
      <c r="C2036" t="s">
        <v>511</v>
      </c>
      <c r="D2036" t="s">
        <v>512</v>
      </c>
      <c r="E2036" t="s">
        <v>512</v>
      </c>
      <c r="F2036" s="4">
        <v>412697.58</v>
      </c>
      <c r="G2036" s="4" t="s">
        <v>7</v>
      </c>
      <c r="H2036">
        <f>IFERROR(VLOOKUP(E2036,'GASB Match'!$A$2:$B$240,2,FALSE),"")</f>
        <v>1304650</v>
      </c>
    </row>
    <row r="2037" spans="1:8" x14ac:dyDescent="0.2">
      <c r="A2037">
        <v>1304650</v>
      </c>
      <c r="B2037" s="3">
        <v>2016</v>
      </c>
      <c r="C2037" t="s">
        <v>511</v>
      </c>
      <c r="D2037" t="s">
        <v>512</v>
      </c>
      <c r="E2037" t="s">
        <v>512</v>
      </c>
      <c r="F2037" s="4">
        <v>446012.32</v>
      </c>
      <c r="G2037" s="4" t="s">
        <v>7</v>
      </c>
      <c r="H2037">
        <f>IFERROR(VLOOKUP(E2037,'GASB Match'!$A$2:$B$240,2,FALSE),"")</f>
        <v>1304650</v>
      </c>
    </row>
    <row r="2038" spans="1:8" x14ac:dyDescent="0.2">
      <c r="A2038">
        <v>1304650</v>
      </c>
      <c r="B2038" s="3">
        <v>2017</v>
      </c>
      <c r="C2038" t="s">
        <v>511</v>
      </c>
      <c r="D2038" t="s">
        <v>512</v>
      </c>
      <c r="E2038" t="s">
        <v>512</v>
      </c>
      <c r="F2038" s="4">
        <v>477531</v>
      </c>
      <c r="G2038" s="4" t="s">
        <v>7</v>
      </c>
      <c r="H2038">
        <f>IFERROR(VLOOKUP(E2038,'GASB Match'!$A$2:$B$240,2,FALSE),"")</f>
        <v>1304650</v>
      </c>
    </row>
    <row r="2039" spans="1:8" x14ac:dyDescent="0.2">
      <c r="A2039">
        <v>1304650</v>
      </c>
      <c r="B2039" s="3">
        <v>2018</v>
      </c>
      <c r="C2039" t="s">
        <v>511</v>
      </c>
      <c r="D2039" t="s">
        <v>512</v>
      </c>
      <c r="E2039" t="s">
        <v>512</v>
      </c>
      <c r="F2039" s="4">
        <v>584873</v>
      </c>
      <c r="G2039" s="4" t="s">
        <v>7</v>
      </c>
      <c r="H2039">
        <f>IFERROR(VLOOKUP(E2039,'GASB Match'!$A$2:$B$240,2,FALSE),"")</f>
        <v>1304650</v>
      </c>
    </row>
    <row r="2040" spans="1:8" x14ac:dyDescent="0.2">
      <c r="A2040">
        <v>1304650</v>
      </c>
      <c r="B2040" s="3">
        <v>2019</v>
      </c>
      <c r="C2040" t="s">
        <v>511</v>
      </c>
      <c r="D2040" t="s">
        <v>512</v>
      </c>
      <c r="E2040" t="s">
        <v>512</v>
      </c>
      <c r="F2040" s="4">
        <v>748320</v>
      </c>
      <c r="G2040" s="4" t="s">
        <v>7</v>
      </c>
      <c r="H2040">
        <f>IFERROR(VLOOKUP(E2040,'GASB Match'!$A$2:$B$240,2,FALSE),"")</f>
        <v>1304650</v>
      </c>
    </row>
    <row r="2041" spans="1:8" x14ac:dyDescent="0.2">
      <c r="A2041">
        <v>1304650</v>
      </c>
      <c r="B2041" s="3">
        <v>2020</v>
      </c>
      <c r="C2041" t="s">
        <v>511</v>
      </c>
      <c r="D2041" t="s">
        <v>512</v>
      </c>
      <c r="E2041" t="s">
        <v>512</v>
      </c>
      <c r="F2041" s="4">
        <v>766161</v>
      </c>
      <c r="G2041" s="4" t="s">
        <v>7</v>
      </c>
      <c r="H2041">
        <f>IFERROR(VLOOKUP(E2041,'GASB Match'!$A$2:$B$240,2,FALSE),"")</f>
        <v>1304650</v>
      </c>
    </row>
    <row r="2042" spans="1:8" x14ac:dyDescent="0.2">
      <c r="A2042">
        <v>1304650</v>
      </c>
      <c r="B2042" s="3">
        <v>2021</v>
      </c>
      <c r="C2042" t="s">
        <v>511</v>
      </c>
      <c r="D2042" t="s">
        <v>512</v>
      </c>
      <c r="E2042" t="s">
        <v>512</v>
      </c>
      <c r="F2042" s="4">
        <v>672332</v>
      </c>
      <c r="G2042" s="4" t="s">
        <v>7</v>
      </c>
      <c r="H2042">
        <f>IFERROR(VLOOKUP(E2042,'GASB Match'!$A$2:$B$240,2,FALSE),"")</f>
        <v>1304650</v>
      </c>
    </row>
    <row r="2043" spans="1:8" x14ac:dyDescent="0.2">
      <c r="A2043">
        <v>1304650</v>
      </c>
      <c r="B2043" s="3">
        <v>2022</v>
      </c>
      <c r="C2043" t="s">
        <v>511</v>
      </c>
      <c r="D2043" t="s">
        <v>512</v>
      </c>
      <c r="E2043" t="s">
        <v>512</v>
      </c>
      <c r="F2043" s="4">
        <v>676603</v>
      </c>
      <c r="G2043" s="4" t="s">
        <v>7</v>
      </c>
      <c r="H2043">
        <f>IFERROR(VLOOKUP(E2043,'GASB Match'!$A$2:$B$240,2,FALSE),"")</f>
        <v>1304650</v>
      </c>
    </row>
    <row r="2044" spans="1:8" x14ac:dyDescent="0.2">
      <c r="A2044">
        <v>1304650</v>
      </c>
      <c r="B2044" s="3">
        <v>2023</v>
      </c>
      <c r="C2044" t="s">
        <v>511</v>
      </c>
      <c r="D2044" t="s">
        <v>512</v>
      </c>
      <c r="E2044" t="s">
        <v>512</v>
      </c>
      <c r="F2044" s="4">
        <v>673990</v>
      </c>
      <c r="G2044" s="4" t="s">
        <v>7</v>
      </c>
      <c r="H2044">
        <f>IFERROR(VLOOKUP(E2044,'GASB Match'!$A$2:$B$240,2,FALSE),"")</f>
        <v>1304650</v>
      </c>
    </row>
    <row r="2045" spans="1:8" x14ac:dyDescent="0.2">
      <c r="A2045">
        <v>1304680</v>
      </c>
      <c r="B2045" s="3">
        <v>2015</v>
      </c>
      <c r="C2045" t="s">
        <v>513</v>
      </c>
      <c r="D2045" t="s">
        <v>514</v>
      </c>
      <c r="E2045" t="s">
        <v>514</v>
      </c>
      <c r="F2045" s="4">
        <v>227402.15</v>
      </c>
      <c r="G2045" s="4" t="s">
        <v>7</v>
      </c>
      <c r="H2045">
        <f>IFERROR(VLOOKUP(E2045,'GASB Match'!$A$2:$B$240,2,FALSE),"")</f>
        <v>1304680</v>
      </c>
    </row>
    <row r="2046" spans="1:8" x14ac:dyDescent="0.2">
      <c r="A2046">
        <v>1304680</v>
      </c>
      <c r="B2046" s="3">
        <v>2016</v>
      </c>
      <c r="C2046" t="s">
        <v>513</v>
      </c>
      <c r="D2046" t="s">
        <v>514</v>
      </c>
      <c r="E2046" t="s">
        <v>514</v>
      </c>
      <c r="F2046" s="4">
        <v>247379.6</v>
      </c>
      <c r="G2046" s="4" t="s">
        <v>7</v>
      </c>
      <c r="H2046">
        <f>IFERROR(VLOOKUP(E2046,'GASB Match'!$A$2:$B$240,2,FALSE),"")</f>
        <v>1304680</v>
      </c>
    </row>
    <row r="2047" spans="1:8" x14ac:dyDescent="0.2">
      <c r="A2047">
        <v>1304680</v>
      </c>
      <c r="B2047" s="3">
        <v>2017</v>
      </c>
      <c r="C2047" t="s">
        <v>513</v>
      </c>
      <c r="D2047" t="s">
        <v>514</v>
      </c>
      <c r="E2047" t="s">
        <v>514</v>
      </c>
      <c r="F2047" s="4">
        <v>235888</v>
      </c>
      <c r="G2047" s="4">
        <v>3835</v>
      </c>
      <c r="H2047">
        <f>IFERROR(VLOOKUP(E2047,'GASB Match'!$A$2:$B$240,2,FALSE),"")</f>
        <v>1304680</v>
      </c>
    </row>
    <row r="2048" spans="1:8" x14ac:dyDescent="0.2">
      <c r="A2048">
        <v>1304680</v>
      </c>
      <c r="B2048" s="3">
        <v>2018</v>
      </c>
      <c r="C2048" t="s">
        <v>513</v>
      </c>
      <c r="D2048" t="s">
        <v>514</v>
      </c>
      <c r="E2048" t="s">
        <v>514</v>
      </c>
      <c r="F2048" s="4">
        <v>363193</v>
      </c>
      <c r="G2048" s="4">
        <v>5632</v>
      </c>
      <c r="H2048">
        <f>IFERROR(VLOOKUP(E2048,'GASB Match'!$A$2:$B$240,2,FALSE),"")</f>
        <v>1304680</v>
      </c>
    </row>
    <row r="2049" spans="1:8" x14ac:dyDescent="0.2">
      <c r="A2049">
        <v>1304680</v>
      </c>
      <c r="B2049" s="3">
        <v>2019</v>
      </c>
      <c r="C2049" t="s">
        <v>513</v>
      </c>
      <c r="D2049" t="s">
        <v>514</v>
      </c>
      <c r="E2049" t="s">
        <v>514</v>
      </c>
      <c r="F2049" s="4">
        <v>488199</v>
      </c>
      <c r="G2049" s="4">
        <v>7672</v>
      </c>
      <c r="H2049">
        <f>IFERROR(VLOOKUP(E2049,'GASB Match'!$A$2:$B$240,2,FALSE),"")</f>
        <v>1304680</v>
      </c>
    </row>
    <row r="2050" spans="1:8" x14ac:dyDescent="0.2">
      <c r="A2050">
        <v>1304680</v>
      </c>
      <c r="B2050" s="3">
        <v>2020</v>
      </c>
      <c r="C2050" t="s">
        <v>513</v>
      </c>
      <c r="D2050" t="s">
        <v>514</v>
      </c>
      <c r="E2050" t="s">
        <v>514</v>
      </c>
      <c r="F2050" s="4">
        <v>532702</v>
      </c>
      <c r="G2050" s="4">
        <v>8028</v>
      </c>
      <c r="H2050">
        <f>IFERROR(VLOOKUP(E2050,'GASB Match'!$A$2:$B$240,2,FALSE),"")</f>
        <v>1304680</v>
      </c>
    </row>
    <row r="2051" spans="1:8" x14ac:dyDescent="0.2">
      <c r="A2051">
        <v>1304680</v>
      </c>
      <c r="B2051" s="3">
        <v>2021</v>
      </c>
      <c r="C2051" t="s">
        <v>513</v>
      </c>
      <c r="D2051" t="s">
        <v>514</v>
      </c>
      <c r="E2051" t="s">
        <v>514</v>
      </c>
      <c r="F2051" s="4">
        <v>446936</v>
      </c>
      <c r="G2051" s="4">
        <v>7043</v>
      </c>
      <c r="H2051">
        <f>IFERROR(VLOOKUP(E2051,'GASB Match'!$A$2:$B$240,2,FALSE),"")</f>
        <v>1304680</v>
      </c>
    </row>
    <row r="2052" spans="1:8" x14ac:dyDescent="0.2">
      <c r="A2052">
        <v>1304680</v>
      </c>
      <c r="B2052" s="3">
        <v>2022</v>
      </c>
      <c r="C2052" t="s">
        <v>513</v>
      </c>
      <c r="D2052" t="s">
        <v>514</v>
      </c>
      <c r="E2052" t="s">
        <v>514</v>
      </c>
      <c r="F2052" s="4">
        <v>437295</v>
      </c>
      <c r="G2052" s="4">
        <v>8286</v>
      </c>
      <c r="H2052">
        <f>IFERROR(VLOOKUP(E2052,'GASB Match'!$A$2:$B$240,2,FALSE),"")</f>
        <v>1304680</v>
      </c>
    </row>
    <row r="2053" spans="1:8" x14ac:dyDescent="0.2">
      <c r="A2053">
        <v>1304680</v>
      </c>
      <c r="B2053" s="3">
        <v>2023</v>
      </c>
      <c r="C2053" t="s">
        <v>513</v>
      </c>
      <c r="D2053" t="s">
        <v>514</v>
      </c>
      <c r="E2053" t="s">
        <v>514</v>
      </c>
      <c r="F2053" s="4">
        <v>476251</v>
      </c>
      <c r="G2053" s="4">
        <v>9178</v>
      </c>
      <c r="H2053">
        <f>IFERROR(VLOOKUP(E2053,'GASB Match'!$A$2:$B$240,2,FALSE),"")</f>
        <v>1304680</v>
      </c>
    </row>
    <row r="2054" spans="1:8" x14ac:dyDescent="0.2">
      <c r="A2054">
        <v>1304770</v>
      </c>
      <c r="B2054" s="3">
        <v>2015</v>
      </c>
      <c r="C2054" t="s">
        <v>515</v>
      </c>
      <c r="D2054" t="s">
        <v>516</v>
      </c>
      <c r="E2054" t="s">
        <v>516</v>
      </c>
      <c r="F2054" s="4">
        <v>2364878.41</v>
      </c>
      <c r="G2054" s="4">
        <v>13755.76</v>
      </c>
      <c r="H2054">
        <f>IFERROR(VLOOKUP(E2054,'GASB Match'!$A$2:$B$240,2,FALSE),"")</f>
        <v>1304770</v>
      </c>
    </row>
    <row r="2055" spans="1:8" x14ac:dyDescent="0.2">
      <c r="A2055">
        <v>1304770</v>
      </c>
      <c r="B2055" s="3">
        <v>2016</v>
      </c>
      <c r="C2055" t="s">
        <v>515</v>
      </c>
      <c r="D2055" t="s">
        <v>516</v>
      </c>
      <c r="E2055" t="s">
        <v>516</v>
      </c>
      <c r="F2055" s="4">
        <v>2594375.62</v>
      </c>
      <c r="G2055" s="4">
        <v>14249.88</v>
      </c>
      <c r="H2055">
        <f>IFERROR(VLOOKUP(E2055,'GASB Match'!$A$2:$B$240,2,FALSE),"")</f>
        <v>1304770</v>
      </c>
    </row>
    <row r="2056" spans="1:8" x14ac:dyDescent="0.2">
      <c r="A2056">
        <v>1304770</v>
      </c>
      <c r="B2056" s="3">
        <v>2017</v>
      </c>
      <c r="C2056" t="s">
        <v>515</v>
      </c>
      <c r="D2056" t="s">
        <v>516</v>
      </c>
      <c r="E2056" t="s">
        <v>516</v>
      </c>
      <c r="F2056" s="4">
        <v>2714839</v>
      </c>
      <c r="G2056" s="4">
        <v>16447</v>
      </c>
      <c r="H2056">
        <f>IFERROR(VLOOKUP(E2056,'GASB Match'!$A$2:$B$240,2,FALSE),"")</f>
        <v>1304770</v>
      </c>
    </row>
    <row r="2057" spans="1:8" x14ac:dyDescent="0.2">
      <c r="A2057">
        <v>1304770</v>
      </c>
      <c r="B2057" s="3">
        <v>2018</v>
      </c>
      <c r="C2057" t="s">
        <v>515</v>
      </c>
      <c r="D2057" t="s">
        <v>516</v>
      </c>
      <c r="E2057" t="s">
        <v>516</v>
      </c>
      <c r="F2057" s="4">
        <v>3203288</v>
      </c>
      <c r="G2057" s="4">
        <v>19638</v>
      </c>
      <c r="H2057">
        <f>IFERROR(VLOOKUP(E2057,'GASB Match'!$A$2:$B$240,2,FALSE),"")</f>
        <v>1304770</v>
      </c>
    </row>
    <row r="2058" spans="1:8" x14ac:dyDescent="0.2">
      <c r="A2058">
        <v>1304770</v>
      </c>
      <c r="B2058" s="3">
        <v>2019</v>
      </c>
      <c r="C2058" t="s">
        <v>515</v>
      </c>
      <c r="D2058" t="s">
        <v>516</v>
      </c>
      <c r="E2058" t="s">
        <v>516</v>
      </c>
      <c r="F2058" s="4">
        <v>4159720</v>
      </c>
      <c r="G2058" s="4">
        <v>25047</v>
      </c>
      <c r="H2058">
        <f>IFERROR(VLOOKUP(E2058,'GASB Match'!$A$2:$B$240,2,FALSE),"")</f>
        <v>1304770</v>
      </c>
    </row>
    <row r="2059" spans="1:8" x14ac:dyDescent="0.2">
      <c r="A2059">
        <v>1304770</v>
      </c>
      <c r="B2059" s="3">
        <v>2020</v>
      </c>
      <c r="C2059" t="s">
        <v>515</v>
      </c>
      <c r="D2059" t="s">
        <v>516</v>
      </c>
      <c r="E2059" t="s">
        <v>516</v>
      </c>
      <c r="F2059" s="4">
        <v>4341846</v>
      </c>
      <c r="G2059" s="4">
        <v>26700</v>
      </c>
      <c r="H2059">
        <f>IFERROR(VLOOKUP(E2059,'GASB Match'!$A$2:$B$240,2,FALSE),"")</f>
        <v>1304770</v>
      </c>
    </row>
    <row r="2060" spans="1:8" x14ac:dyDescent="0.2">
      <c r="A2060">
        <v>1304770</v>
      </c>
      <c r="B2060" s="3">
        <v>2021</v>
      </c>
      <c r="C2060" t="s">
        <v>515</v>
      </c>
      <c r="D2060" t="s">
        <v>516</v>
      </c>
      <c r="E2060" t="s">
        <v>516</v>
      </c>
      <c r="F2060" s="4">
        <v>4114124</v>
      </c>
      <c r="G2060" s="4">
        <v>24913</v>
      </c>
      <c r="H2060">
        <f>IFERROR(VLOOKUP(E2060,'GASB Match'!$A$2:$B$240,2,FALSE),"")</f>
        <v>1304770</v>
      </c>
    </row>
    <row r="2061" spans="1:8" x14ac:dyDescent="0.2">
      <c r="A2061">
        <v>1304770</v>
      </c>
      <c r="B2061" s="3">
        <v>2022</v>
      </c>
      <c r="C2061" t="s">
        <v>515</v>
      </c>
      <c r="D2061" t="s">
        <v>516</v>
      </c>
      <c r="E2061" t="s">
        <v>516</v>
      </c>
      <c r="F2061" s="4">
        <v>4447208</v>
      </c>
      <c r="G2061" s="4">
        <v>23628</v>
      </c>
      <c r="H2061">
        <f>IFERROR(VLOOKUP(E2061,'GASB Match'!$A$2:$B$240,2,FALSE),"")</f>
        <v>1304770</v>
      </c>
    </row>
    <row r="2062" spans="1:8" x14ac:dyDescent="0.2">
      <c r="A2062">
        <v>1304770</v>
      </c>
      <c r="B2062" s="3">
        <v>2023</v>
      </c>
      <c r="C2062" t="s">
        <v>515</v>
      </c>
      <c r="D2062" t="s">
        <v>516</v>
      </c>
      <c r="E2062" t="s">
        <v>516</v>
      </c>
      <c r="F2062" s="4">
        <v>4610547</v>
      </c>
      <c r="G2062" s="4">
        <v>24231</v>
      </c>
      <c r="H2062">
        <f>IFERROR(VLOOKUP(E2062,'GASB Match'!$A$2:$B$240,2,FALSE),"")</f>
        <v>1304770</v>
      </c>
    </row>
    <row r="2063" spans="1:8" x14ac:dyDescent="0.2">
      <c r="A2063">
        <v>1304800</v>
      </c>
      <c r="B2063" s="3">
        <v>2015</v>
      </c>
      <c r="C2063" t="s">
        <v>517</v>
      </c>
      <c r="D2063" t="s">
        <v>518</v>
      </c>
      <c r="E2063" t="s">
        <v>518</v>
      </c>
      <c r="F2063" s="4">
        <v>941861.71</v>
      </c>
      <c r="G2063" s="4" t="s">
        <v>7</v>
      </c>
      <c r="H2063">
        <f>IFERROR(VLOOKUP(E2063,'GASB Match'!$A$2:$B$240,2,FALSE),"")</f>
        <v>1304800</v>
      </c>
    </row>
    <row r="2064" spans="1:8" x14ac:dyDescent="0.2">
      <c r="A2064">
        <v>1304800</v>
      </c>
      <c r="B2064" s="3">
        <v>2016</v>
      </c>
      <c r="C2064" t="s">
        <v>517</v>
      </c>
      <c r="D2064" t="s">
        <v>518</v>
      </c>
      <c r="E2064" t="s">
        <v>518</v>
      </c>
      <c r="F2064" s="4">
        <v>1079671.46</v>
      </c>
      <c r="G2064" s="4" t="s">
        <v>7</v>
      </c>
      <c r="H2064">
        <f>IFERROR(VLOOKUP(E2064,'GASB Match'!$A$2:$B$240,2,FALSE),"")</f>
        <v>1304800</v>
      </c>
    </row>
    <row r="2065" spans="1:8" x14ac:dyDescent="0.2">
      <c r="A2065">
        <v>1304800</v>
      </c>
      <c r="B2065" s="3">
        <v>2017</v>
      </c>
      <c r="C2065" t="s">
        <v>517</v>
      </c>
      <c r="D2065" t="s">
        <v>518</v>
      </c>
      <c r="E2065" t="s">
        <v>518</v>
      </c>
      <c r="F2065" s="4">
        <v>1113991</v>
      </c>
      <c r="G2065" s="4" t="s">
        <v>7</v>
      </c>
      <c r="H2065">
        <f>IFERROR(VLOOKUP(E2065,'GASB Match'!$A$2:$B$240,2,FALSE),"")</f>
        <v>1304800</v>
      </c>
    </row>
    <row r="2066" spans="1:8" x14ac:dyDescent="0.2">
      <c r="A2066">
        <v>1304800</v>
      </c>
      <c r="B2066" s="3">
        <v>2018</v>
      </c>
      <c r="C2066" t="s">
        <v>517</v>
      </c>
      <c r="D2066" t="s">
        <v>518</v>
      </c>
      <c r="E2066" t="s">
        <v>518</v>
      </c>
      <c r="F2066" s="4">
        <v>1315203</v>
      </c>
      <c r="G2066" s="4" t="s">
        <v>7</v>
      </c>
      <c r="H2066">
        <f>IFERROR(VLOOKUP(E2066,'GASB Match'!$A$2:$B$240,2,FALSE),"")</f>
        <v>1304800</v>
      </c>
    </row>
    <row r="2067" spans="1:8" x14ac:dyDescent="0.2">
      <c r="A2067">
        <v>1304800</v>
      </c>
      <c r="B2067" s="3">
        <v>2019</v>
      </c>
      <c r="C2067" t="s">
        <v>517</v>
      </c>
      <c r="D2067" t="s">
        <v>518</v>
      </c>
      <c r="E2067" t="s">
        <v>518</v>
      </c>
      <c r="F2067" s="4">
        <v>1605237</v>
      </c>
      <c r="G2067" s="4" t="s">
        <v>7</v>
      </c>
      <c r="H2067">
        <f>IFERROR(VLOOKUP(E2067,'GASB Match'!$A$2:$B$240,2,FALSE),"")</f>
        <v>1304800</v>
      </c>
    </row>
    <row r="2068" spans="1:8" x14ac:dyDescent="0.2">
      <c r="A2068">
        <v>1304800</v>
      </c>
      <c r="B2068" s="3">
        <v>2020</v>
      </c>
      <c r="C2068" t="s">
        <v>517</v>
      </c>
      <c r="D2068" t="s">
        <v>518</v>
      </c>
      <c r="E2068" t="s">
        <v>518</v>
      </c>
      <c r="F2068" s="4">
        <v>1717718</v>
      </c>
      <c r="G2068" s="4" t="s">
        <v>7</v>
      </c>
      <c r="H2068">
        <f>IFERROR(VLOOKUP(E2068,'GASB Match'!$A$2:$B$240,2,FALSE),"")</f>
        <v>1304800</v>
      </c>
    </row>
    <row r="2069" spans="1:8" x14ac:dyDescent="0.2">
      <c r="A2069">
        <v>1304800</v>
      </c>
      <c r="B2069" s="3">
        <v>2021</v>
      </c>
      <c r="C2069" t="s">
        <v>517</v>
      </c>
      <c r="D2069" t="s">
        <v>518</v>
      </c>
      <c r="E2069" t="s">
        <v>518</v>
      </c>
      <c r="F2069" s="4">
        <v>1580147</v>
      </c>
      <c r="G2069" s="4" t="s">
        <v>7</v>
      </c>
      <c r="H2069">
        <f>IFERROR(VLOOKUP(E2069,'GASB Match'!$A$2:$B$240,2,FALSE),"")</f>
        <v>1304800</v>
      </c>
    </row>
    <row r="2070" spans="1:8" x14ac:dyDescent="0.2">
      <c r="A2070">
        <v>1304800</v>
      </c>
      <c r="B2070" s="3">
        <v>2022</v>
      </c>
      <c r="C2070" t="s">
        <v>517</v>
      </c>
      <c r="D2070" t="s">
        <v>518</v>
      </c>
      <c r="E2070" t="s">
        <v>518</v>
      </c>
      <c r="F2070" s="4">
        <v>1633372</v>
      </c>
      <c r="G2070" s="4" t="s">
        <v>7</v>
      </c>
      <c r="H2070">
        <f>IFERROR(VLOOKUP(E2070,'GASB Match'!$A$2:$B$240,2,FALSE),"")</f>
        <v>1304800</v>
      </c>
    </row>
    <row r="2071" spans="1:8" x14ac:dyDescent="0.2">
      <c r="A2071">
        <v>1304800</v>
      </c>
      <c r="B2071" s="3">
        <v>2023</v>
      </c>
      <c r="C2071" t="s">
        <v>517</v>
      </c>
      <c r="D2071" t="s">
        <v>518</v>
      </c>
      <c r="E2071" t="s">
        <v>518</v>
      </c>
      <c r="F2071" s="4">
        <v>1718323</v>
      </c>
      <c r="G2071" s="4" t="s">
        <v>7</v>
      </c>
      <c r="H2071">
        <f>IFERROR(VLOOKUP(E2071,'GASB Match'!$A$2:$B$240,2,FALSE),"")</f>
        <v>1304800</v>
      </c>
    </row>
    <row r="2072" spans="1:8" x14ac:dyDescent="0.2">
      <c r="A2072">
        <v>1304830</v>
      </c>
      <c r="B2072" s="3">
        <v>2015</v>
      </c>
      <c r="C2072" t="s">
        <v>519</v>
      </c>
      <c r="D2072" t="s">
        <v>520</v>
      </c>
      <c r="E2072" t="s">
        <v>520</v>
      </c>
      <c r="F2072" s="4">
        <v>1044746.17</v>
      </c>
      <c r="G2072" s="4">
        <v>41381.699999999997</v>
      </c>
      <c r="H2072">
        <f>IFERROR(VLOOKUP(E2072,'GASB Match'!$A$2:$B$240,2,FALSE),"")</f>
        <v>1304830</v>
      </c>
    </row>
    <row r="2073" spans="1:8" x14ac:dyDescent="0.2">
      <c r="A2073">
        <v>1304830</v>
      </c>
      <c r="B2073" s="3">
        <v>2016</v>
      </c>
      <c r="C2073" t="s">
        <v>519</v>
      </c>
      <c r="D2073" t="s">
        <v>520</v>
      </c>
      <c r="E2073" t="s">
        <v>520</v>
      </c>
      <c r="F2073" s="4">
        <v>1184633.33</v>
      </c>
      <c r="G2073" s="4">
        <v>40985.1</v>
      </c>
      <c r="H2073">
        <f>IFERROR(VLOOKUP(E2073,'GASB Match'!$A$2:$B$240,2,FALSE),"")</f>
        <v>1304830</v>
      </c>
    </row>
    <row r="2074" spans="1:8" x14ac:dyDescent="0.2">
      <c r="A2074">
        <v>1304830</v>
      </c>
      <c r="B2074" s="3">
        <v>2017</v>
      </c>
      <c r="C2074" t="s">
        <v>519</v>
      </c>
      <c r="D2074" t="s">
        <v>520</v>
      </c>
      <c r="E2074" t="s">
        <v>520</v>
      </c>
      <c r="F2074" s="4">
        <v>1247746</v>
      </c>
      <c r="G2074" s="4">
        <v>18144</v>
      </c>
      <c r="H2074">
        <f>IFERROR(VLOOKUP(E2074,'GASB Match'!$A$2:$B$240,2,FALSE),"")</f>
        <v>1304830</v>
      </c>
    </row>
    <row r="2075" spans="1:8" x14ac:dyDescent="0.2">
      <c r="A2075">
        <v>1304830</v>
      </c>
      <c r="B2075" s="3">
        <v>2018</v>
      </c>
      <c r="C2075" t="s">
        <v>519</v>
      </c>
      <c r="D2075" t="s">
        <v>520</v>
      </c>
      <c r="E2075" t="s">
        <v>520</v>
      </c>
      <c r="F2075" s="4">
        <v>1540554</v>
      </c>
      <c r="G2075" s="4">
        <v>13089</v>
      </c>
      <c r="H2075">
        <f>IFERROR(VLOOKUP(E2075,'GASB Match'!$A$2:$B$240,2,FALSE),"")</f>
        <v>1304830</v>
      </c>
    </row>
    <row r="2076" spans="1:8" x14ac:dyDescent="0.2">
      <c r="A2076">
        <v>1304830</v>
      </c>
      <c r="B2076" s="3">
        <v>2019</v>
      </c>
      <c r="C2076" t="s">
        <v>519</v>
      </c>
      <c r="D2076" t="s">
        <v>520</v>
      </c>
      <c r="E2076" t="s">
        <v>520</v>
      </c>
      <c r="F2076" s="4">
        <v>1962357</v>
      </c>
      <c r="G2076" s="4">
        <v>16528</v>
      </c>
      <c r="H2076">
        <f>IFERROR(VLOOKUP(E2076,'GASB Match'!$A$2:$B$240,2,FALSE),"")</f>
        <v>1304830</v>
      </c>
    </row>
    <row r="2077" spans="1:8" x14ac:dyDescent="0.2">
      <c r="A2077">
        <v>1304830</v>
      </c>
      <c r="B2077" s="3">
        <v>2020</v>
      </c>
      <c r="C2077" t="s">
        <v>519</v>
      </c>
      <c r="D2077" t="s">
        <v>520</v>
      </c>
      <c r="E2077" t="s">
        <v>520</v>
      </c>
      <c r="F2077" s="4">
        <v>2057076</v>
      </c>
      <c r="G2077" s="4">
        <v>16705</v>
      </c>
      <c r="H2077">
        <f>IFERROR(VLOOKUP(E2077,'GASB Match'!$A$2:$B$240,2,FALSE),"")</f>
        <v>1304830</v>
      </c>
    </row>
    <row r="2078" spans="1:8" x14ac:dyDescent="0.2">
      <c r="A2078">
        <v>1304830</v>
      </c>
      <c r="B2078" s="3">
        <v>2021</v>
      </c>
      <c r="C2078" t="s">
        <v>519</v>
      </c>
      <c r="D2078" t="s">
        <v>520</v>
      </c>
      <c r="E2078" t="s">
        <v>520</v>
      </c>
      <c r="F2078" s="4">
        <v>1900511</v>
      </c>
      <c r="G2078" s="4">
        <v>16327</v>
      </c>
      <c r="H2078">
        <f>IFERROR(VLOOKUP(E2078,'GASB Match'!$A$2:$B$240,2,FALSE),"")</f>
        <v>1304830</v>
      </c>
    </row>
    <row r="2079" spans="1:8" x14ac:dyDescent="0.2">
      <c r="A2079">
        <v>1304830</v>
      </c>
      <c r="B2079" s="3">
        <v>2022</v>
      </c>
      <c r="C2079" t="s">
        <v>519</v>
      </c>
      <c r="D2079" t="s">
        <v>520</v>
      </c>
      <c r="E2079" t="s">
        <v>520</v>
      </c>
      <c r="F2079" s="4">
        <v>2045700</v>
      </c>
      <c r="G2079" s="4">
        <v>17353</v>
      </c>
      <c r="H2079">
        <f>IFERROR(VLOOKUP(E2079,'GASB Match'!$A$2:$B$240,2,FALSE),"")</f>
        <v>1304830</v>
      </c>
    </row>
    <row r="2080" spans="1:8" x14ac:dyDescent="0.2">
      <c r="A2080">
        <v>1304830</v>
      </c>
      <c r="B2080" s="3">
        <v>2023</v>
      </c>
      <c r="C2080" t="s">
        <v>519</v>
      </c>
      <c r="D2080" t="s">
        <v>520</v>
      </c>
      <c r="E2080" t="s">
        <v>520</v>
      </c>
      <c r="F2080" s="4">
        <v>2139579</v>
      </c>
      <c r="G2080" s="4">
        <v>19042</v>
      </c>
      <c r="H2080">
        <f>IFERROR(VLOOKUP(E2080,'GASB Match'!$A$2:$B$240,2,FALSE),"")</f>
        <v>1304830</v>
      </c>
    </row>
    <row r="2081" spans="1:8" x14ac:dyDescent="0.2">
      <c r="A2081">
        <v>1304860</v>
      </c>
      <c r="B2081" s="3">
        <v>2015</v>
      </c>
      <c r="C2081" t="s">
        <v>521</v>
      </c>
      <c r="D2081" t="s">
        <v>522</v>
      </c>
      <c r="E2081" t="s">
        <v>522</v>
      </c>
      <c r="F2081" s="4">
        <v>985184.91</v>
      </c>
      <c r="G2081" s="4">
        <v>4536.24</v>
      </c>
      <c r="H2081">
        <f>IFERROR(VLOOKUP(E2081,'GASB Match'!$A$2:$B$240,2,FALSE),"")</f>
        <v>1304860</v>
      </c>
    </row>
    <row r="2082" spans="1:8" x14ac:dyDescent="0.2">
      <c r="A2082">
        <v>1304860</v>
      </c>
      <c r="B2082" s="3">
        <v>2016</v>
      </c>
      <c r="C2082" t="s">
        <v>521</v>
      </c>
      <c r="D2082" t="s">
        <v>522</v>
      </c>
      <c r="E2082" t="s">
        <v>522</v>
      </c>
      <c r="F2082" s="4">
        <v>1053421.55</v>
      </c>
      <c r="G2082" s="4">
        <v>4922.6400000000003</v>
      </c>
      <c r="H2082">
        <f>IFERROR(VLOOKUP(E2082,'GASB Match'!$A$2:$B$240,2,FALSE),"")</f>
        <v>1304860</v>
      </c>
    </row>
    <row r="2083" spans="1:8" x14ac:dyDescent="0.2">
      <c r="A2083">
        <v>1304860</v>
      </c>
      <c r="B2083" s="3">
        <v>2017</v>
      </c>
      <c r="C2083" t="s">
        <v>521</v>
      </c>
      <c r="D2083" t="s">
        <v>522</v>
      </c>
      <c r="E2083" t="s">
        <v>522</v>
      </c>
      <c r="F2083" s="4">
        <v>1002876</v>
      </c>
      <c r="G2083" s="4">
        <v>4923</v>
      </c>
      <c r="H2083">
        <f>IFERROR(VLOOKUP(E2083,'GASB Match'!$A$2:$B$240,2,FALSE),"")</f>
        <v>1304860</v>
      </c>
    </row>
    <row r="2084" spans="1:8" x14ac:dyDescent="0.2">
      <c r="A2084">
        <v>1304860</v>
      </c>
      <c r="B2084" s="3">
        <v>2018</v>
      </c>
      <c r="C2084" t="s">
        <v>521</v>
      </c>
      <c r="D2084" t="s">
        <v>522</v>
      </c>
      <c r="E2084" t="s">
        <v>522</v>
      </c>
      <c r="F2084" s="4">
        <v>1149411</v>
      </c>
      <c r="G2084" s="4">
        <v>2938</v>
      </c>
      <c r="H2084">
        <f>IFERROR(VLOOKUP(E2084,'GASB Match'!$A$2:$B$240,2,FALSE),"")</f>
        <v>1304860</v>
      </c>
    </row>
    <row r="2085" spans="1:8" x14ac:dyDescent="0.2">
      <c r="A2085">
        <v>1304860</v>
      </c>
      <c r="B2085" s="3">
        <v>2019</v>
      </c>
      <c r="C2085" t="s">
        <v>521</v>
      </c>
      <c r="D2085" t="s">
        <v>522</v>
      </c>
      <c r="E2085" t="s">
        <v>522</v>
      </c>
      <c r="F2085" s="4">
        <v>1456468</v>
      </c>
      <c r="G2085" s="4" t="s">
        <v>7</v>
      </c>
      <c r="H2085">
        <f>IFERROR(VLOOKUP(E2085,'GASB Match'!$A$2:$B$240,2,FALSE),"")</f>
        <v>1304860</v>
      </c>
    </row>
    <row r="2086" spans="1:8" x14ac:dyDescent="0.2">
      <c r="A2086">
        <v>1304860</v>
      </c>
      <c r="B2086" s="3">
        <v>2020</v>
      </c>
      <c r="C2086" t="s">
        <v>521</v>
      </c>
      <c r="D2086" t="s">
        <v>522</v>
      </c>
      <c r="E2086" t="s">
        <v>522</v>
      </c>
      <c r="F2086" s="4">
        <v>1543766</v>
      </c>
      <c r="G2086" s="4" t="s">
        <v>7</v>
      </c>
      <c r="H2086">
        <f>IFERROR(VLOOKUP(E2086,'GASB Match'!$A$2:$B$240,2,FALSE),"")</f>
        <v>1304860</v>
      </c>
    </row>
    <row r="2087" spans="1:8" x14ac:dyDescent="0.2">
      <c r="A2087">
        <v>1304860</v>
      </c>
      <c r="B2087" s="3">
        <v>2021</v>
      </c>
      <c r="C2087" t="s">
        <v>521</v>
      </c>
      <c r="D2087" t="s">
        <v>522</v>
      </c>
      <c r="E2087" t="s">
        <v>522</v>
      </c>
      <c r="F2087" s="4">
        <v>1346459</v>
      </c>
      <c r="G2087" s="4" t="s">
        <v>7</v>
      </c>
      <c r="H2087">
        <f>IFERROR(VLOOKUP(E2087,'GASB Match'!$A$2:$B$240,2,FALSE),"")</f>
        <v>1304860</v>
      </c>
    </row>
    <row r="2088" spans="1:8" x14ac:dyDescent="0.2">
      <c r="A2088">
        <v>1304860</v>
      </c>
      <c r="B2088" s="3">
        <v>2022</v>
      </c>
      <c r="C2088" t="s">
        <v>521</v>
      </c>
      <c r="D2088" t="s">
        <v>522</v>
      </c>
      <c r="E2088" t="s">
        <v>522</v>
      </c>
      <c r="F2088" s="4">
        <v>1451074</v>
      </c>
      <c r="G2088" s="4" t="s">
        <v>7</v>
      </c>
      <c r="H2088">
        <f>IFERROR(VLOOKUP(E2088,'GASB Match'!$A$2:$B$240,2,FALSE),"")</f>
        <v>1304860</v>
      </c>
    </row>
    <row r="2089" spans="1:8" x14ac:dyDescent="0.2">
      <c r="A2089">
        <v>1304860</v>
      </c>
      <c r="B2089" s="3">
        <v>2023</v>
      </c>
      <c r="C2089" t="s">
        <v>521</v>
      </c>
      <c r="D2089" t="s">
        <v>522</v>
      </c>
      <c r="E2089" t="s">
        <v>522</v>
      </c>
      <c r="F2089" s="4">
        <v>1471799</v>
      </c>
      <c r="G2089" s="4">
        <v>4928</v>
      </c>
      <c r="H2089">
        <f>IFERROR(VLOOKUP(E2089,'GASB Match'!$A$2:$B$240,2,FALSE),"")</f>
        <v>1304860</v>
      </c>
    </row>
    <row r="2090" spans="1:8" x14ac:dyDescent="0.2">
      <c r="A2090" t="s">
        <v>7</v>
      </c>
      <c r="B2090" s="3">
        <v>2015</v>
      </c>
      <c r="C2090" t="s">
        <v>523</v>
      </c>
      <c r="D2090" t="s">
        <v>525</v>
      </c>
      <c r="E2090" t="s">
        <v>524</v>
      </c>
      <c r="F2090" s="4">
        <v>32054.16</v>
      </c>
      <c r="G2090" s="4" t="s">
        <v>7</v>
      </c>
      <c r="H2090" t="str">
        <f>IFERROR(VLOOKUP(E2090,'GASB Match'!$A$2:$B$240,2,FALSE),"")</f>
        <v/>
      </c>
    </row>
    <row r="2091" spans="1:8" x14ac:dyDescent="0.2">
      <c r="A2091" t="s">
        <v>7</v>
      </c>
      <c r="B2091" s="3">
        <v>2016</v>
      </c>
      <c r="C2091" t="s">
        <v>523</v>
      </c>
      <c r="D2091" t="s">
        <v>525</v>
      </c>
      <c r="E2091" t="s">
        <v>524</v>
      </c>
      <c r="F2091" s="4">
        <v>35004.980000000003</v>
      </c>
      <c r="G2091" s="4" t="s">
        <v>7</v>
      </c>
      <c r="H2091" t="str">
        <f>IFERROR(VLOOKUP(E2091,'GASB Match'!$A$2:$B$240,2,FALSE),"")</f>
        <v/>
      </c>
    </row>
    <row r="2092" spans="1:8" x14ac:dyDescent="0.2">
      <c r="A2092" t="s">
        <v>7</v>
      </c>
      <c r="B2092" s="3">
        <v>2017</v>
      </c>
      <c r="C2092" t="s">
        <v>523</v>
      </c>
      <c r="D2092" t="s">
        <v>525</v>
      </c>
      <c r="E2092" t="s">
        <v>524</v>
      </c>
      <c r="F2092" s="4">
        <v>35214</v>
      </c>
      <c r="G2092" s="4" t="s">
        <v>7</v>
      </c>
      <c r="H2092" t="str">
        <f>IFERROR(VLOOKUP(E2092,'GASB Match'!$A$2:$B$240,2,FALSE),"")</f>
        <v/>
      </c>
    </row>
    <row r="2093" spans="1:8" x14ac:dyDescent="0.2">
      <c r="A2093" t="s">
        <v>7</v>
      </c>
      <c r="B2093" s="3">
        <v>2018</v>
      </c>
      <c r="C2093" t="s">
        <v>523</v>
      </c>
      <c r="D2093" t="s">
        <v>525</v>
      </c>
      <c r="E2093" t="s">
        <v>524</v>
      </c>
      <c r="F2093" s="4">
        <v>54538</v>
      </c>
      <c r="G2093" s="4" t="s">
        <v>7</v>
      </c>
      <c r="H2093" t="str">
        <f>IFERROR(VLOOKUP(E2093,'GASB Match'!$A$2:$B$240,2,FALSE),"")</f>
        <v/>
      </c>
    </row>
    <row r="2094" spans="1:8" x14ac:dyDescent="0.2">
      <c r="A2094" t="s">
        <v>7</v>
      </c>
      <c r="B2094" s="3">
        <v>2019</v>
      </c>
      <c r="C2094" t="s">
        <v>523</v>
      </c>
      <c r="D2094" t="s">
        <v>525</v>
      </c>
      <c r="E2094" t="s">
        <v>524</v>
      </c>
      <c r="F2094" s="4">
        <v>69443</v>
      </c>
      <c r="G2094" s="4" t="s">
        <v>7</v>
      </c>
      <c r="H2094" t="str">
        <f>IFERROR(VLOOKUP(E2094,'GASB Match'!$A$2:$B$240,2,FALSE),"")</f>
        <v/>
      </c>
    </row>
    <row r="2095" spans="1:8" x14ac:dyDescent="0.2">
      <c r="A2095" t="s">
        <v>7</v>
      </c>
      <c r="B2095" s="3">
        <v>2020</v>
      </c>
      <c r="C2095" t="s">
        <v>523</v>
      </c>
      <c r="D2095" t="s">
        <v>525</v>
      </c>
      <c r="E2095" t="s">
        <v>524</v>
      </c>
      <c r="F2095" s="4">
        <v>70026</v>
      </c>
      <c r="G2095" s="4" t="s">
        <v>7</v>
      </c>
      <c r="H2095" t="str">
        <f>IFERROR(VLOOKUP(E2095,'GASB Match'!$A$2:$B$240,2,FALSE),"")</f>
        <v/>
      </c>
    </row>
    <row r="2096" spans="1:8" x14ac:dyDescent="0.2">
      <c r="A2096" t="s">
        <v>7</v>
      </c>
      <c r="B2096" s="3">
        <v>2021</v>
      </c>
      <c r="C2096" t="s">
        <v>523</v>
      </c>
      <c r="D2096" t="s">
        <v>524</v>
      </c>
      <c r="E2096" t="s">
        <v>524</v>
      </c>
      <c r="F2096" s="4">
        <v>63635</v>
      </c>
      <c r="G2096" s="4" t="s">
        <v>7</v>
      </c>
      <c r="H2096" t="str">
        <f>IFERROR(VLOOKUP(E2096,'GASB Match'!$A$2:$B$240,2,FALSE),"")</f>
        <v/>
      </c>
    </row>
    <row r="2097" spans="1:8" x14ac:dyDescent="0.2">
      <c r="A2097" t="s">
        <v>7</v>
      </c>
      <c r="B2097" s="3">
        <v>2022</v>
      </c>
      <c r="C2097" t="s">
        <v>523</v>
      </c>
      <c r="D2097" t="s">
        <v>524</v>
      </c>
      <c r="E2097" t="s">
        <v>524</v>
      </c>
      <c r="F2097" s="4">
        <v>67977</v>
      </c>
      <c r="G2097" s="4" t="s">
        <v>7</v>
      </c>
      <c r="H2097" t="str">
        <f>IFERROR(VLOOKUP(E2097,'GASB Match'!$A$2:$B$240,2,FALSE),"")</f>
        <v/>
      </c>
    </row>
    <row r="2098" spans="1:8" x14ac:dyDescent="0.2">
      <c r="A2098" t="s">
        <v>7</v>
      </c>
      <c r="B2098" s="3">
        <v>2023</v>
      </c>
      <c r="C2098" t="s">
        <v>523</v>
      </c>
      <c r="D2098" t="s">
        <v>524</v>
      </c>
      <c r="E2098" t="s">
        <v>524</v>
      </c>
      <c r="F2098" s="4">
        <v>71480</v>
      </c>
      <c r="G2098" s="4" t="s">
        <v>7</v>
      </c>
      <c r="H2098" t="str">
        <f>IFERROR(VLOOKUP(E2098,'GASB Match'!$A$2:$B$240,2,FALSE),"")</f>
        <v/>
      </c>
    </row>
    <row r="2099" spans="1:8" x14ac:dyDescent="0.2">
      <c r="A2099">
        <v>1304890</v>
      </c>
      <c r="B2099" s="3">
        <v>2015</v>
      </c>
      <c r="C2099" t="s">
        <v>526</v>
      </c>
      <c r="D2099" t="s">
        <v>527</v>
      </c>
      <c r="E2099" t="s">
        <v>527</v>
      </c>
      <c r="F2099" s="4">
        <v>3540826.84</v>
      </c>
      <c r="G2099" s="4">
        <v>25154.41</v>
      </c>
      <c r="H2099">
        <f>IFERROR(VLOOKUP(E2099,'GASB Match'!$A$2:$B$240,2,FALSE),"")</f>
        <v>1304890</v>
      </c>
    </row>
    <row r="2100" spans="1:8" x14ac:dyDescent="0.2">
      <c r="A2100">
        <v>1304890</v>
      </c>
      <c r="B2100" s="3">
        <v>2016</v>
      </c>
      <c r="C2100" t="s">
        <v>526</v>
      </c>
      <c r="D2100" t="s">
        <v>527</v>
      </c>
      <c r="E2100" t="s">
        <v>527</v>
      </c>
      <c r="F2100" s="4">
        <v>3997111.33</v>
      </c>
      <c r="G2100" s="4">
        <v>29404.43</v>
      </c>
      <c r="H2100">
        <f>IFERROR(VLOOKUP(E2100,'GASB Match'!$A$2:$B$240,2,FALSE),"")</f>
        <v>1304890</v>
      </c>
    </row>
    <row r="2101" spans="1:8" x14ac:dyDescent="0.2">
      <c r="A2101">
        <v>1304890</v>
      </c>
      <c r="B2101" s="3">
        <v>2017</v>
      </c>
      <c r="C2101" t="s">
        <v>526</v>
      </c>
      <c r="D2101" t="s">
        <v>527</v>
      </c>
      <c r="E2101" t="s">
        <v>527</v>
      </c>
      <c r="F2101" s="4">
        <v>4314760</v>
      </c>
      <c r="G2101" s="4">
        <v>26671</v>
      </c>
      <c r="H2101">
        <f>IFERROR(VLOOKUP(E2101,'GASB Match'!$A$2:$B$240,2,FALSE),"")</f>
        <v>1304890</v>
      </c>
    </row>
    <row r="2102" spans="1:8" x14ac:dyDescent="0.2">
      <c r="A2102">
        <v>1304890</v>
      </c>
      <c r="B2102" s="3">
        <v>2018</v>
      </c>
      <c r="C2102" t="s">
        <v>526</v>
      </c>
      <c r="D2102" t="s">
        <v>527</v>
      </c>
      <c r="E2102" t="s">
        <v>527</v>
      </c>
      <c r="F2102" s="4">
        <v>5372845</v>
      </c>
      <c r="G2102" s="4">
        <v>25291</v>
      </c>
      <c r="H2102">
        <f>IFERROR(VLOOKUP(E2102,'GASB Match'!$A$2:$B$240,2,FALSE),"")</f>
        <v>1304890</v>
      </c>
    </row>
    <row r="2103" spans="1:8" x14ac:dyDescent="0.2">
      <c r="A2103">
        <v>1304890</v>
      </c>
      <c r="B2103" s="3">
        <v>2019</v>
      </c>
      <c r="C2103" t="s">
        <v>526</v>
      </c>
      <c r="D2103" t="s">
        <v>527</v>
      </c>
      <c r="E2103" t="s">
        <v>527</v>
      </c>
      <c r="F2103" s="4">
        <v>6691942</v>
      </c>
      <c r="G2103" s="4">
        <v>31861</v>
      </c>
      <c r="H2103">
        <f>IFERROR(VLOOKUP(E2103,'GASB Match'!$A$2:$B$240,2,FALSE),"")</f>
        <v>1304890</v>
      </c>
    </row>
    <row r="2104" spans="1:8" x14ac:dyDescent="0.2">
      <c r="A2104">
        <v>1304890</v>
      </c>
      <c r="B2104" s="3">
        <v>2020</v>
      </c>
      <c r="C2104" t="s">
        <v>526</v>
      </c>
      <c r="D2104" t="s">
        <v>527</v>
      </c>
      <c r="E2104" t="s">
        <v>527</v>
      </c>
      <c r="F2104" s="4">
        <v>7231820</v>
      </c>
      <c r="G2104" s="4">
        <v>29675</v>
      </c>
      <c r="H2104">
        <f>IFERROR(VLOOKUP(E2104,'GASB Match'!$A$2:$B$240,2,FALSE),"")</f>
        <v>1304890</v>
      </c>
    </row>
    <row r="2105" spans="1:8" x14ac:dyDescent="0.2">
      <c r="A2105">
        <v>1304890</v>
      </c>
      <c r="B2105" s="3">
        <v>2021</v>
      </c>
      <c r="C2105" t="s">
        <v>526</v>
      </c>
      <c r="D2105" t="s">
        <v>527</v>
      </c>
      <c r="E2105" t="s">
        <v>527</v>
      </c>
      <c r="F2105" s="4">
        <v>6638921</v>
      </c>
      <c r="G2105" s="4">
        <v>27267</v>
      </c>
      <c r="H2105">
        <f>IFERROR(VLOOKUP(E2105,'GASB Match'!$A$2:$B$240,2,FALSE),"")</f>
        <v>1304890</v>
      </c>
    </row>
    <row r="2106" spans="1:8" x14ac:dyDescent="0.2">
      <c r="A2106">
        <v>1304890</v>
      </c>
      <c r="B2106" s="3">
        <v>2022</v>
      </c>
      <c r="C2106" t="s">
        <v>526</v>
      </c>
      <c r="D2106" t="s">
        <v>527</v>
      </c>
      <c r="E2106" t="s">
        <v>527</v>
      </c>
      <c r="F2106" s="4">
        <v>7127810</v>
      </c>
      <c r="G2106" s="4">
        <v>30164</v>
      </c>
      <c r="H2106">
        <f>IFERROR(VLOOKUP(E2106,'GASB Match'!$A$2:$B$240,2,FALSE),"")</f>
        <v>1304890</v>
      </c>
    </row>
    <row r="2107" spans="1:8" x14ac:dyDescent="0.2">
      <c r="A2107">
        <v>1304890</v>
      </c>
      <c r="B2107" s="3">
        <v>2023</v>
      </c>
      <c r="C2107" t="s">
        <v>526</v>
      </c>
      <c r="D2107" t="s">
        <v>527</v>
      </c>
      <c r="E2107" t="s">
        <v>527</v>
      </c>
      <c r="F2107" s="4">
        <v>7628018</v>
      </c>
      <c r="G2107" s="4">
        <v>31140</v>
      </c>
      <c r="H2107">
        <f>IFERROR(VLOOKUP(E2107,'GASB Match'!$A$2:$B$240,2,FALSE),"")</f>
        <v>1304890</v>
      </c>
    </row>
    <row r="2108" spans="1:8" x14ac:dyDescent="0.2">
      <c r="A2108" t="s">
        <v>7</v>
      </c>
      <c r="B2108" s="3">
        <v>2015</v>
      </c>
      <c r="C2108" t="s">
        <v>528</v>
      </c>
      <c r="D2108" t="s">
        <v>529</v>
      </c>
      <c r="E2108" t="s">
        <v>529</v>
      </c>
      <c r="F2108" s="4">
        <v>45361.87</v>
      </c>
      <c r="G2108" s="4" t="s">
        <v>7</v>
      </c>
      <c r="H2108" t="str">
        <f>IFERROR(VLOOKUP(E2108,'GASB Match'!$A$2:$B$240,2,FALSE),"")</f>
        <v/>
      </c>
    </row>
    <row r="2109" spans="1:8" x14ac:dyDescent="0.2">
      <c r="A2109" t="s">
        <v>7</v>
      </c>
      <c r="B2109" s="3">
        <v>2016</v>
      </c>
      <c r="C2109" t="s">
        <v>528</v>
      </c>
      <c r="D2109" t="s">
        <v>529</v>
      </c>
      <c r="E2109" t="s">
        <v>529</v>
      </c>
      <c r="F2109" s="4">
        <v>50676.41</v>
      </c>
      <c r="G2109" s="4" t="s">
        <v>7</v>
      </c>
      <c r="H2109" t="str">
        <f>IFERROR(VLOOKUP(E2109,'GASB Match'!$A$2:$B$240,2,FALSE),"")</f>
        <v/>
      </c>
    </row>
    <row r="2110" spans="1:8" x14ac:dyDescent="0.2">
      <c r="A2110" t="s">
        <v>7</v>
      </c>
      <c r="B2110" s="3">
        <v>2017</v>
      </c>
      <c r="C2110" t="s">
        <v>528</v>
      </c>
      <c r="D2110" t="s">
        <v>529</v>
      </c>
      <c r="E2110" t="s">
        <v>529</v>
      </c>
      <c r="F2110" s="4">
        <v>49612</v>
      </c>
      <c r="G2110" s="4" t="s">
        <v>7</v>
      </c>
      <c r="H2110" t="str">
        <f>IFERROR(VLOOKUP(E2110,'GASB Match'!$A$2:$B$240,2,FALSE),"")</f>
        <v/>
      </c>
    </row>
    <row r="2111" spans="1:8" x14ac:dyDescent="0.2">
      <c r="A2111" t="s">
        <v>7</v>
      </c>
      <c r="B2111" s="3">
        <v>2018</v>
      </c>
      <c r="C2111" t="s">
        <v>528</v>
      </c>
      <c r="D2111" t="s">
        <v>529</v>
      </c>
      <c r="E2111" t="s">
        <v>529</v>
      </c>
      <c r="F2111" s="4">
        <v>60226</v>
      </c>
      <c r="G2111" s="4" t="s">
        <v>7</v>
      </c>
      <c r="H2111" t="str">
        <f>IFERROR(VLOOKUP(E2111,'GASB Match'!$A$2:$B$240,2,FALSE),"")</f>
        <v/>
      </c>
    </row>
    <row r="2112" spans="1:8" x14ac:dyDescent="0.2">
      <c r="A2112" t="s">
        <v>7</v>
      </c>
      <c r="B2112" s="3">
        <v>2019</v>
      </c>
      <c r="C2112" t="s">
        <v>528</v>
      </c>
      <c r="D2112" t="s">
        <v>529</v>
      </c>
      <c r="E2112" t="s">
        <v>529</v>
      </c>
      <c r="F2112" s="4">
        <v>67762</v>
      </c>
      <c r="G2112" s="4" t="s">
        <v>7</v>
      </c>
      <c r="H2112" t="str">
        <f>IFERROR(VLOOKUP(E2112,'GASB Match'!$A$2:$B$240,2,FALSE),"")</f>
        <v/>
      </c>
    </row>
    <row r="2113" spans="1:8" x14ac:dyDescent="0.2">
      <c r="A2113" t="s">
        <v>7</v>
      </c>
      <c r="B2113" s="3">
        <v>2020</v>
      </c>
      <c r="C2113" t="s">
        <v>528</v>
      </c>
      <c r="D2113" t="s">
        <v>529</v>
      </c>
      <c r="E2113" t="s">
        <v>529</v>
      </c>
      <c r="F2113" s="4">
        <v>74994</v>
      </c>
      <c r="G2113" s="4" t="s">
        <v>7</v>
      </c>
      <c r="H2113" t="str">
        <f>IFERROR(VLOOKUP(E2113,'GASB Match'!$A$2:$B$240,2,FALSE),"")</f>
        <v/>
      </c>
    </row>
    <row r="2114" spans="1:8" x14ac:dyDescent="0.2">
      <c r="A2114" t="s">
        <v>7</v>
      </c>
      <c r="B2114" s="3">
        <v>2021</v>
      </c>
      <c r="C2114" t="s">
        <v>528</v>
      </c>
      <c r="D2114" t="s">
        <v>529</v>
      </c>
      <c r="E2114" t="s">
        <v>529</v>
      </c>
      <c r="F2114" s="4">
        <v>71814</v>
      </c>
      <c r="G2114" s="4" t="s">
        <v>7</v>
      </c>
      <c r="H2114" t="str">
        <f>IFERROR(VLOOKUP(E2114,'GASB Match'!$A$2:$B$240,2,FALSE),"")</f>
        <v/>
      </c>
    </row>
    <row r="2115" spans="1:8" x14ac:dyDescent="0.2">
      <c r="A2115" t="s">
        <v>7</v>
      </c>
      <c r="B2115" s="3">
        <v>2022</v>
      </c>
      <c r="C2115" t="s">
        <v>528</v>
      </c>
      <c r="D2115" t="s">
        <v>529</v>
      </c>
      <c r="E2115" t="s">
        <v>529</v>
      </c>
      <c r="F2115" s="4">
        <v>84440</v>
      </c>
      <c r="G2115" s="4" t="s">
        <v>7</v>
      </c>
      <c r="H2115" t="str">
        <f>IFERROR(VLOOKUP(E2115,'GASB Match'!$A$2:$B$240,2,FALSE),"")</f>
        <v/>
      </c>
    </row>
    <row r="2116" spans="1:8" x14ac:dyDescent="0.2">
      <c r="A2116" t="s">
        <v>7</v>
      </c>
      <c r="B2116" s="3">
        <v>2023</v>
      </c>
      <c r="C2116" t="s">
        <v>528</v>
      </c>
      <c r="D2116" t="s">
        <v>529</v>
      </c>
      <c r="E2116" t="s">
        <v>529</v>
      </c>
      <c r="F2116" s="4">
        <v>80835</v>
      </c>
      <c r="G2116" s="4" t="s">
        <v>7</v>
      </c>
      <c r="H2116" t="str">
        <f>IFERROR(VLOOKUP(E2116,'GASB Match'!$A$2:$B$240,2,FALSE),"")</f>
        <v/>
      </c>
    </row>
    <row r="2117" spans="1:8" x14ac:dyDescent="0.2">
      <c r="A2117">
        <v>1304980</v>
      </c>
      <c r="B2117" s="3">
        <v>2015</v>
      </c>
      <c r="C2117" t="s">
        <v>530</v>
      </c>
      <c r="D2117" t="s">
        <v>531</v>
      </c>
      <c r="E2117" t="s">
        <v>531</v>
      </c>
      <c r="F2117" s="4">
        <v>5212754.45</v>
      </c>
      <c r="G2117" s="4">
        <v>96761.42</v>
      </c>
      <c r="H2117">
        <f>IFERROR(VLOOKUP(E2117,'GASB Match'!$A$2:$B$240,2,FALSE),"")</f>
        <v>1304980</v>
      </c>
    </row>
    <row r="2118" spans="1:8" x14ac:dyDescent="0.2">
      <c r="A2118">
        <v>1304980</v>
      </c>
      <c r="B2118" s="3">
        <v>2016</v>
      </c>
      <c r="C2118" t="s">
        <v>530</v>
      </c>
      <c r="D2118" t="s">
        <v>531</v>
      </c>
      <c r="E2118" t="s">
        <v>531</v>
      </c>
      <c r="F2118" s="4">
        <v>5800600.1100000003</v>
      </c>
      <c r="G2118" s="4">
        <v>109409.27</v>
      </c>
      <c r="H2118">
        <f>IFERROR(VLOOKUP(E2118,'GASB Match'!$A$2:$B$240,2,FALSE),"")</f>
        <v>1304980</v>
      </c>
    </row>
    <row r="2119" spans="1:8" x14ac:dyDescent="0.2">
      <c r="A2119">
        <v>1304980</v>
      </c>
      <c r="B2119" s="3">
        <v>2017</v>
      </c>
      <c r="C2119" t="s">
        <v>530</v>
      </c>
      <c r="D2119" t="s">
        <v>531</v>
      </c>
      <c r="E2119" t="s">
        <v>531</v>
      </c>
      <c r="F2119" s="4">
        <v>5911442</v>
      </c>
      <c r="G2119" s="4">
        <v>85370</v>
      </c>
      <c r="H2119">
        <f>IFERROR(VLOOKUP(E2119,'GASB Match'!$A$2:$B$240,2,FALSE),"")</f>
        <v>1304980</v>
      </c>
    </row>
    <row r="2120" spans="1:8" x14ac:dyDescent="0.2">
      <c r="A2120">
        <v>1304980</v>
      </c>
      <c r="B2120" s="3">
        <v>2018</v>
      </c>
      <c r="C2120" t="s">
        <v>530</v>
      </c>
      <c r="D2120" t="s">
        <v>531</v>
      </c>
      <c r="E2120" t="s">
        <v>531</v>
      </c>
      <c r="F2120" s="4">
        <v>7110494</v>
      </c>
      <c r="G2120" s="4">
        <v>31462</v>
      </c>
      <c r="H2120">
        <f>IFERROR(VLOOKUP(E2120,'GASB Match'!$A$2:$B$240,2,FALSE),"")</f>
        <v>1304980</v>
      </c>
    </row>
    <row r="2121" spans="1:8" x14ac:dyDescent="0.2">
      <c r="A2121">
        <v>1304980</v>
      </c>
      <c r="B2121" s="3">
        <v>2019</v>
      </c>
      <c r="C2121" t="s">
        <v>530</v>
      </c>
      <c r="D2121" t="s">
        <v>531</v>
      </c>
      <c r="E2121" t="s">
        <v>531</v>
      </c>
      <c r="F2121" s="4">
        <v>8975893</v>
      </c>
      <c r="G2121" s="4">
        <v>40404</v>
      </c>
      <c r="H2121">
        <f>IFERROR(VLOOKUP(E2121,'GASB Match'!$A$2:$B$240,2,FALSE),"")</f>
        <v>1304980</v>
      </c>
    </row>
    <row r="2122" spans="1:8" x14ac:dyDescent="0.2">
      <c r="A2122">
        <v>1304980</v>
      </c>
      <c r="B2122" s="3">
        <v>2020</v>
      </c>
      <c r="C2122" t="s">
        <v>530</v>
      </c>
      <c r="D2122" t="s">
        <v>531</v>
      </c>
      <c r="E2122" t="s">
        <v>531</v>
      </c>
      <c r="F2122" s="4">
        <v>9577571</v>
      </c>
      <c r="G2122" s="4">
        <v>42309</v>
      </c>
      <c r="H2122">
        <f>IFERROR(VLOOKUP(E2122,'GASB Match'!$A$2:$B$240,2,FALSE),"")</f>
        <v>1304980</v>
      </c>
    </row>
    <row r="2123" spans="1:8" x14ac:dyDescent="0.2">
      <c r="A2123">
        <v>1304980</v>
      </c>
      <c r="B2123" s="3">
        <v>2021</v>
      </c>
      <c r="C2123" t="s">
        <v>530</v>
      </c>
      <c r="D2123" t="s">
        <v>531</v>
      </c>
      <c r="E2123" t="s">
        <v>531</v>
      </c>
      <c r="F2123" s="4">
        <v>8689124</v>
      </c>
      <c r="G2123" s="4">
        <v>38088</v>
      </c>
      <c r="H2123">
        <f>IFERROR(VLOOKUP(E2123,'GASB Match'!$A$2:$B$240,2,FALSE),"")</f>
        <v>1304980</v>
      </c>
    </row>
    <row r="2124" spans="1:8" x14ac:dyDescent="0.2">
      <c r="A2124">
        <v>1304980</v>
      </c>
      <c r="B2124" s="3">
        <v>2022</v>
      </c>
      <c r="C2124" t="s">
        <v>530</v>
      </c>
      <c r="D2124" t="s">
        <v>531</v>
      </c>
      <c r="E2124" t="s">
        <v>531</v>
      </c>
      <c r="F2124" s="4">
        <v>9179781</v>
      </c>
      <c r="G2124" s="4">
        <v>39956</v>
      </c>
      <c r="H2124">
        <f>IFERROR(VLOOKUP(E2124,'GASB Match'!$A$2:$B$240,2,FALSE),"")</f>
        <v>1304980</v>
      </c>
    </row>
    <row r="2125" spans="1:8" x14ac:dyDescent="0.2">
      <c r="A2125">
        <v>1304980</v>
      </c>
      <c r="B2125" s="3">
        <v>2023</v>
      </c>
      <c r="C2125" t="s">
        <v>530</v>
      </c>
      <c r="D2125" t="s">
        <v>531</v>
      </c>
      <c r="E2125" t="s">
        <v>531</v>
      </c>
      <c r="F2125" s="4">
        <v>9518408</v>
      </c>
      <c r="G2125" s="4">
        <v>31501</v>
      </c>
      <c r="H2125">
        <f>IFERROR(VLOOKUP(E2125,'GASB Match'!$A$2:$B$240,2,FALSE),"")</f>
        <v>1304980</v>
      </c>
    </row>
    <row r="2126" spans="1:8" x14ac:dyDescent="0.2">
      <c r="A2126" t="s">
        <v>7</v>
      </c>
      <c r="B2126" s="3">
        <v>2015</v>
      </c>
      <c r="C2126" t="s">
        <v>532</v>
      </c>
      <c r="D2126" t="s">
        <v>533</v>
      </c>
      <c r="E2126" t="s">
        <v>533</v>
      </c>
      <c r="F2126" s="4">
        <v>80112.960000000006</v>
      </c>
      <c r="G2126" s="4" t="s">
        <v>7</v>
      </c>
      <c r="H2126" t="str">
        <f>IFERROR(VLOOKUP(E2126,'GASB Match'!$A$2:$B$240,2,FALSE),"")</f>
        <v/>
      </c>
    </row>
    <row r="2127" spans="1:8" x14ac:dyDescent="0.2">
      <c r="A2127" t="s">
        <v>7</v>
      </c>
      <c r="B2127" s="3">
        <v>2016</v>
      </c>
      <c r="C2127" t="s">
        <v>532</v>
      </c>
      <c r="D2127" t="s">
        <v>533</v>
      </c>
      <c r="E2127" t="s">
        <v>533</v>
      </c>
      <c r="F2127" s="4">
        <v>102248.56</v>
      </c>
      <c r="G2127" s="4" t="s">
        <v>7</v>
      </c>
      <c r="H2127" t="str">
        <f>IFERROR(VLOOKUP(E2127,'GASB Match'!$A$2:$B$240,2,FALSE),"")</f>
        <v/>
      </c>
    </row>
    <row r="2128" spans="1:8" x14ac:dyDescent="0.2">
      <c r="A2128" t="s">
        <v>7</v>
      </c>
      <c r="B2128" s="3">
        <v>2017</v>
      </c>
      <c r="C2128" t="s">
        <v>532</v>
      </c>
      <c r="D2128" t="s">
        <v>533</v>
      </c>
      <c r="E2128" t="s">
        <v>533</v>
      </c>
      <c r="F2128" s="4">
        <v>104302</v>
      </c>
      <c r="G2128" s="4" t="s">
        <v>7</v>
      </c>
      <c r="H2128" t="str">
        <f>IFERROR(VLOOKUP(E2128,'GASB Match'!$A$2:$B$240,2,FALSE),"")</f>
        <v/>
      </c>
    </row>
    <row r="2129" spans="1:8" x14ac:dyDescent="0.2">
      <c r="A2129" t="s">
        <v>7</v>
      </c>
      <c r="B2129" s="3">
        <v>2018</v>
      </c>
      <c r="C2129" t="s">
        <v>532</v>
      </c>
      <c r="D2129" t="s">
        <v>533</v>
      </c>
      <c r="E2129" t="s">
        <v>533</v>
      </c>
      <c r="F2129" s="4">
        <v>126026</v>
      </c>
      <c r="G2129" s="4" t="s">
        <v>7</v>
      </c>
      <c r="H2129" t="str">
        <f>IFERROR(VLOOKUP(E2129,'GASB Match'!$A$2:$B$240,2,FALSE),"")</f>
        <v/>
      </c>
    </row>
    <row r="2130" spans="1:8" x14ac:dyDescent="0.2">
      <c r="A2130" t="s">
        <v>7</v>
      </c>
      <c r="B2130" s="3">
        <v>2019</v>
      </c>
      <c r="C2130" t="s">
        <v>532</v>
      </c>
      <c r="D2130" t="s">
        <v>533</v>
      </c>
      <c r="E2130" t="s">
        <v>533</v>
      </c>
      <c r="F2130" s="4">
        <v>183072</v>
      </c>
      <c r="G2130" s="4" t="s">
        <v>7</v>
      </c>
      <c r="H2130" t="str">
        <f>IFERROR(VLOOKUP(E2130,'GASB Match'!$A$2:$B$240,2,FALSE),"")</f>
        <v/>
      </c>
    </row>
    <row r="2131" spans="1:8" x14ac:dyDescent="0.2">
      <c r="A2131" t="s">
        <v>7</v>
      </c>
      <c r="B2131" s="3">
        <v>2020</v>
      </c>
      <c r="C2131" t="s">
        <v>532</v>
      </c>
      <c r="D2131" t="s">
        <v>533</v>
      </c>
      <c r="E2131" t="s">
        <v>533</v>
      </c>
      <c r="F2131" s="4">
        <v>181394</v>
      </c>
      <c r="G2131" s="4" t="s">
        <v>7</v>
      </c>
      <c r="H2131" t="str">
        <f>IFERROR(VLOOKUP(E2131,'GASB Match'!$A$2:$B$240,2,FALSE),"")</f>
        <v/>
      </c>
    </row>
    <row r="2132" spans="1:8" x14ac:dyDescent="0.2">
      <c r="A2132" t="s">
        <v>7</v>
      </c>
      <c r="B2132" s="3">
        <v>2021</v>
      </c>
      <c r="C2132" t="s">
        <v>532</v>
      </c>
      <c r="D2132" t="s">
        <v>533</v>
      </c>
      <c r="E2132" t="s">
        <v>533</v>
      </c>
      <c r="F2132" s="4">
        <v>164371</v>
      </c>
      <c r="G2132" s="4" t="s">
        <v>7</v>
      </c>
      <c r="H2132" t="str">
        <f>IFERROR(VLOOKUP(E2132,'GASB Match'!$A$2:$B$240,2,FALSE),"")</f>
        <v/>
      </c>
    </row>
    <row r="2133" spans="1:8" x14ac:dyDescent="0.2">
      <c r="A2133" t="s">
        <v>7</v>
      </c>
      <c r="B2133" s="3">
        <v>2022</v>
      </c>
      <c r="C2133" t="s">
        <v>532</v>
      </c>
      <c r="D2133" t="s">
        <v>533</v>
      </c>
      <c r="E2133" t="s">
        <v>533</v>
      </c>
      <c r="F2133" s="4">
        <v>165558</v>
      </c>
      <c r="G2133" s="4" t="s">
        <v>7</v>
      </c>
      <c r="H2133" t="str">
        <f>IFERROR(VLOOKUP(E2133,'GASB Match'!$A$2:$B$240,2,FALSE),"")</f>
        <v/>
      </c>
    </row>
    <row r="2134" spans="1:8" x14ac:dyDescent="0.2">
      <c r="A2134" t="s">
        <v>7</v>
      </c>
      <c r="B2134" s="3">
        <v>2023</v>
      </c>
      <c r="C2134" t="s">
        <v>532</v>
      </c>
      <c r="D2134" t="s">
        <v>533</v>
      </c>
      <c r="E2134" t="s">
        <v>533</v>
      </c>
      <c r="F2134" s="4">
        <v>170389</v>
      </c>
      <c r="G2134" s="4" t="s">
        <v>7</v>
      </c>
      <c r="H2134" t="str">
        <f>IFERROR(VLOOKUP(E2134,'GASB Match'!$A$2:$B$240,2,FALSE),"")</f>
        <v/>
      </c>
    </row>
    <row r="2135" spans="1:8" x14ac:dyDescent="0.2">
      <c r="A2135">
        <v>1305040</v>
      </c>
      <c r="B2135" s="3">
        <v>2015</v>
      </c>
      <c r="C2135" t="s">
        <v>534</v>
      </c>
      <c r="D2135" t="s">
        <v>535</v>
      </c>
      <c r="E2135" t="s">
        <v>535</v>
      </c>
      <c r="F2135" s="4">
        <v>1949407.96</v>
      </c>
      <c r="G2135" s="4" t="s">
        <v>7</v>
      </c>
      <c r="H2135">
        <f>IFERROR(VLOOKUP(E2135,'GASB Match'!$A$2:$B$240,2,FALSE),"")</f>
        <v>1305040</v>
      </c>
    </row>
    <row r="2136" spans="1:8" x14ac:dyDescent="0.2">
      <c r="A2136">
        <v>1305040</v>
      </c>
      <c r="B2136" s="3">
        <v>2016</v>
      </c>
      <c r="C2136" t="s">
        <v>534</v>
      </c>
      <c r="D2136" t="s">
        <v>535</v>
      </c>
      <c r="E2136" t="s">
        <v>535</v>
      </c>
      <c r="F2136" s="4">
        <v>2139775.2000000002</v>
      </c>
      <c r="G2136" s="4" t="s">
        <v>7</v>
      </c>
      <c r="H2136">
        <f>IFERROR(VLOOKUP(E2136,'GASB Match'!$A$2:$B$240,2,FALSE),"")</f>
        <v>1305040</v>
      </c>
    </row>
    <row r="2137" spans="1:8" x14ac:dyDescent="0.2">
      <c r="A2137">
        <v>1305040</v>
      </c>
      <c r="B2137" s="3">
        <v>2017</v>
      </c>
      <c r="C2137" t="s">
        <v>534</v>
      </c>
      <c r="D2137" t="s">
        <v>535</v>
      </c>
      <c r="E2137" t="s">
        <v>535</v>
      </c>
      <c r="F2137" s="4">
        <v>2228242</v>
      </c>
      <c r="G2137" s="4">
        <v>4194</v>
      </c>
      <c r="H2137">
        <f>IFERROR(VLOOKUP(E2137,'GASB Match'!$A$2:$B$240,2,FALSE),"")</f>
        <v>1305040</v>
      </c>
    </row>
    <row r="2138" spans="1:8" x14ac:dyDescent="0.2">
      <c r="A2138">
        <v>1305040</v>
      </c>
      <c r="B2138" s="3">
        <v>2018</v>
      </c>
      <c r="C2138" t="s">
        <v>534</v>
      </c>
      <c r="D2138" t="s">
        <v>535</v>
      </c>
      <c r="E2138" t="s">
        <v>535</v>
      </c>
      <c r="F2138" s="4">
        <v>2625354</v>
      </c>
      <c r="G2138" s="4">
        <v>29857</v>
      </c>
      <c r="H2138">
        <f>IFERROR(VLOOKUP(E2138,'GASB Match'!$A$2:$B$240,2,FALSE),"")</f>
        <v>1305040</v>
      </c>
    </row>
    <row r="2139" spans="1:8" x14ac:dyDescent="0.2">
      <c r="A2139">
        <v>1305040</v>
      </c>
      <c r="B2139" s="3">
        <v>2019</v>
      </c>
      <c r="C2139" t="s">
        <v>534</v>
      </c>
      <c r="D2139" t="s">
        <v>535</v>
      </c>
      <c r="E2139" t="s">
        <v>535</v>
      </c>
      <c r="F2139" s="4">
        <v>3256570</v>
      </c>
      <c r="G2139" s="4">
        <v>37848</v>
      </c>
      <c r="H2139">
        <f>IFERROR(VLOOKUP(E2139,'GASB Match'!$A$2:$B$240,2,FALSE),"")</f>
        <v>1305040</v>
      </c>
    </row>
    <row r="2140" spans="1:8" x14ac:dyDescent="0.2">
      <c r="A2140">
        <v>1305040</v>
      </c>
      <c r="B2140" s="3">
        <v>2020</v>
      </c>
      <c r="C2140" t="s">
        <v>534</v>
      </c>
      <c r="D2140" t="s">
        <v>535</v>
      </c>
      <c r="E2140" t="s">
        <v>535</v>
      </c>
      <c r="F2140" s="4">
        <v>3388297</v>
      </c>
      <c r="G2140" s="4">
        <v>37698</v>
      </c>
      <c r="H2140">
        <f>IFERROR(VLOOKUP(E2140,'GASB Match'!$A$2:$B$240,2,FALSE),"")</f>
        <v>1305040</v>
      </c>
    </row>
    <row r="2141" spans="1:8" x14ac:dyDescent="0.2">
      <c r="A2141">
        <v>1305040</v>
      </c>
      <c r="B2141" s="3">
        <v>2021</v>
      </c>
      <c r="C2141" t="s">
        <v>534</v>
      </c>
      <c r="D2141" t="s">
        <v>535</v>
      </c>
      <c r="E2141" t="s">
        <v>535</v>
      </c>
      <c r="F2141" s="4">
        <v>3036920</v>
      </c>
      <c r="G2141" s="4">
        <v>34864</v>
      </c>
      <c r="H2141">
        <f>IFERROR(VLOOKUP(E2141,'GASB Match'!$A$2:$B$240,2,FALSE),"")</f>
        <v>1305040</v>
      </c>
    </row>
    <row r="2142" spans="1:8" x14ac:dyDescent="0.2">
      <c r="A2142">
        <v>1305040</v>
      </c>
      <c r="B2142" s="3">
        <v>2022</v>
      </c>
      <c r="C2142" t="s">
        <v>534</v>
      </c>
      <c r="D2142" t="s">
        <v>535</v>
      </c>
      <c r="E2142" t="s">
        <v>535</v>
      </c>
      <c r="F2142" s="4">
        <v>3245422</v>
      </c>
      <c r="G2142" s="4">
        <v>37291</v>
      </c>
      <c r="H2142">
        <f>IFERROR(VLOOKUP(E2142,'GASB Match'!$A$2:$B$240,2,FALSE),"")</f>
        <v>1305040</v>
      </c>
    </row>
    <row r="2143" spans="1:8" x14ac:dyDescent="0.2">
      <c r="A2143">
        <v>1305040</v>
      </c>
      <c r="B2143" s="3">
        <v>2023</v>
      </c>
      <c r="C2143" t="s">
        <v>534</v>
      </c>
      <c r="D2143" t="s">
        <v>535</v>
      </c>
      <c r="E2143" t="s">
        <v>535</v>
      </c>
      <c r="F2143" s="4">
        <v>3461396</v>
      </c>
      <c r="G2143" s="4">
        <v>50968</v>
      </c>
      <c r="H2143">
        <f>IFERROR(VLOOKUP(E2143,'GASB Match'!$A$2:$B$240,2,FALSE),"")</f>
        <v>1305040</v>
      </c>
    </row>
    <row r="2144" spans="1:8" x14ac:dyDescent="0.2">
      <c r="A2144" t="s">
        <v>7</v>
      </c>
      <c r="B2144" s="3">
        <v>2015</v>
      </c>
      <c r="C2144" t="s">
        <v>536</v>
      </c>
      <c r="D2144" t="s">
        <v>538</v>
      </c>
      <c r="E2144" t="s">
        <v>537</v>
      </c>
      <c r="F2144" s="4">
        <v>40278.19</v>
      </c>
      <c r="G2144" s="4" t="s">
        <v>7</v>
      </c>
      <c r="H2144" t="str">
        <f>IFERROR(VLOOKUP(E2144,'GASB Match'!$A$2:$B$240,2,FALSE),"")</f>
        <v/>
      </c>
    </row>
    <row r="2145" spans="1:8" x14ac:dyDescent="0.2">
      <c r="A2145" t="s">
        <v>7</v>
      </c>
      <c r="B2145" s="3">
        <v>2016</v>
      </c>
      <c r="C2145" t="s">
        <v>536</v>
      </c>
      <c r="D2145" t="s">
        <v>538</v>
      </c>
      <c r="E2145" t="s">
        <v>537</v>
      </c>
      <c r="F2145" s="4">
        <v>45549.95</v>
      </c>
      <c r="G2145" s="4" t="s">
        <v>7</v>
      </c>
      <c r="H2145" t="str">
        <f>IFERROR(VLOOKUP(E2145,'GASB Match'!$A$2:$B$240,2,FALSE),"")</f>
        <v/>
      </c>
    </row>
    <row r="2146" spans="1:8" x14ac:dyDescent="0.2">
      <c r="A2146" t="s">
        <v>7</v>
      </c>
      <c r="B2146" s="3">
        <v>2017</v>
      </c>
      <c r="C2146" t="s">
        <v>536</v>
      </c>
      <c r="D2146" t="s">
        <v>538</v>
      </c>
      <c r="E2146" t="s">
        <v>537</v>
      </c>
      <c r="F2146" s="4">
        <v>50415</v>
      </c>
      <c r="G2146" s="4" t="s">
        <v>7</v>
      </c>
      <c r="H2146" t="str">
        <f>IFERROR(VLOOKUP(E2146,'GASB Match'!$A$2:$B$240,2,FALSE),"")</f>
        <v/>
      </c>
    </row>
    <row r="2147" spans="1:8" x14ac:dyDescent="0.2">
      <c r="A2147" t="s">
        <v>7</v>
      </c>
      <c r="B2147" s="3">
        <v>2018</v>
      </c>
      <c r="C2147" t="s">
        <v>536</v>
      </c>
      <c r="D2147" t="s">
        <v>538</v>
      </c>
      <c r="E2147" t="s">
        <v>537</v>
      </c>
      <c r="F2147" s="4">
        <v>60276</v>
      </c>
      <c r="G2147" s="4" t="s">
        <v>7</v>
      </c>
      <c r="H2147" t="str">
        <f>IFERROR(VLOOKUP(E2147,'GASB Match'!$A$2:$B$240,2,FALSE),"")</f>
        <v/>
      </c>
    </row>
    <row r="2148" spans="1:8" x14ac:dyDescent="0.2">
      <c r="A2148" t="s">
        <v>7</v>
      </c>
      <c r="B2148" s="3">
        <v>2019</v>
      </c>
      <c r="C2148" t="s">
        <v>536</v>
      </c>
      <c r="D2148" t="s">
        <v>538</v>
      </c>
      <c r="E2148" t="s">
        <v>537</v>
      </c>
      <c r="F2148" s="4">
        <v>75819</v>
      </c>
      <c r="G2148" s="4" t="s">
        <v>7</v>
      </c>
      <c r="H2148" t="str">
        <f>IFERROR(VLOOKUP(E2148,'GASB Match'!$A$2:$B$240,2,FALSE),"")</f>
        <v/>
      </c>
    </row>
    <row r="2149" spans="1:8" x14ac:dyDescent="0.2">
      <c r="A2149" t="s">
        <v>7</v>
      </c>
      <c r="B2149" s="3">
        <v>2020</v>
      </c>
      <c r="C2149" t="s">
        <v>536</v>
      </c>
      <c r="D2149" t="s">
        <v>538</v>
      </c>
      <c r="E2149" t="s">
        <v>537</v>
      </c>
      <c r="F2149" s="4">
        <v>84757</v>
      </c>
      <c r="G2149" s="4" t="s">
        <v>7</v>
      </c>
      <c r="H2149" t="str">
        <f>IFERROR(VLOOKUP(E2149,'GASB Match'!$A$2:$B$240,2,FALSE),"")</f>
        <v/>
      </c>
    </row>
    <row r="2150" spans="1:8" x14ac:dyDescent="0.2">
      <c r="A2150" t="s">
        <v>7</v>
      </c>
      <c r="B2150" s="3">
        <v>2021</v>
      </c>
      <c r="C2150" t="s">
        <v>536</v>
      </c>
      <c r="D2150" t="s">
        <v>537</v>
      </c>
      <c r="E2150" t="s">
        <v>537</v>
      </c>
      <c r="F2150" s="4">
        <v>74176</v>
      </c>
      <c r="G2150" s="4" t="s">
        <v>7</v>
      </c>
      <c r="H2150" t="str">
        <f>IFERROR(VLOOKUP(E2150,'GASB Match'!$A$2:$B$240,2,FALSE),"")</f>
        <v/>
      </c>
    </row>
    <row r="2151" spans="1:8" x14ac:dyDescent="0.2">
      <c r="A2151" t="s">
        <v>7</v>
      </c>
      <c r="B2151" s="3">
        <v>2022</v>
      </c>
      <c r="C2151" t="s">
        <v>536</v>
      </c>
      <c r="D2151" t="s">
        <v>537</v>
      </c>
      <c r="E2151" t="s">
        <v>537</v>
      </c>
      <c r="F2151" s="4">
        <v>80445</v>
      </c>
      <c r="G2151" s="4" t="s">
        <v>7</v>
      </c>
      <c r="H2151" t="str">
        <f>IFERROR(VLOOKUP(E2151,'GASB Match'!$A$2:$B$240,2,FALSE),"")</f>
        <v/>
      </c>
    </row>
    <row r="2152" spans="1:8" x14ac:dyDescent="0.2">
      <c r="A2152" t="s">
        <v>7</v>
      </c>
      <c r="B2152" s="3">
        <v>2023</v>
      </c>
      <c r="C2152" t="s">
        <v>536</v>
      </c>
      <c r="D2152" t="s">
        <v>537</v>
      </c>
      <c r="E2152" t="s">
        <v>537</v>
      </c>
      <c r="F2152" s="4">
        <v>83764</v>
      </c>
      <c r="G2152" s="4" t="s">
        <v>7</v>
      </c>
      <c r="H2152" t="str">
        <f>IFERROR(VLOOKUP(E2152,'GASB Match'!$A$2:$B$240,2,FALSE),"")</f>
        <v/>
      </c>
    </row>
    <row r="2153" spans="1:8" x14ac:dyDescent="0.2">
      <c r="A2153">
        <v>1305070</v>
      </c>
      <c r="B2153" s="3">
        <v>2015</v>
      </c>
      <c r="C2153" t="s">
        <v>539</v>
      </c>
      <c r="D2153" t="s">
        <v>540</v>
      </c>
      <c r="E2153" t="s">
        <v>540</v>
      </c>
      <c r="F2153" s="4">
        <v>851166.89</v>
      </c>
      <c r="G2153" s="4">
        <v>13850.28</v>
      </c>
      <c r="H2153">
        <f>IFERROR(VLOOKUP(E2153,'GASB Match'!$A$2:$B$240,2,FALSE),"")</f>
        <v>1305070</v>
      </c>
    </row>
    <row r="2154" spans="1:8" x14ac:dyDescent="0.2">
      <c r="A2154">
        <v>1305070</v>
      </c>
      <c r="B2154" s="3">
        <v>2016</v>
      </c>
      <c r="C2154" t="s">
        <v>539</v>
      </c>
      <c r="D2154" t="s">
        <v>540</v>
      </c>
      <c r="E2154" t="s">
        <v>540</v>
      </c>
      <c r="F2154" s="4">
        <v>925674.06999999902</v>
      </c>
      <c r="G2154" s="4">
        <v>15732.42</v>
      </c>
      <c r="H2154">
        <f>IFERROR(VLOOKUP(E2154,'GASB Match'!$A$2:$B$240,2,FALSE),"")</f>
        <v>1305070</v>
      </c>
    </row>
    <row r="2155" spans="1:8" x14ac:dyDescent="0.2">
      <c r="A2155">
        <v>1305070</v>
      </c>
      <c r="B2155" s="3">
        <v>2017</v>
      </c>
      <c r="C2155" t="s">
        <v>539</v>
      </c>
      <c r="D2155" t="s">
        <v>540</v>
      </c>
      <c r="E2155" t="s">
        <v>540</v>
      </c>
      <c r="F2155" s="4">
        <v>971620</v>
      </c>
      <c r="G2155" s="4">
        <v>14244</v>
      </c>
      <c r="H2155">
        <f>IFERROR(VLOOKUP(E2155,'GASB Match'!$A$2:$B$240,2,FALSE),"")</f>
        <v>1305070</v>
      </c>
    </row>
    <row r="2156" spans="1:8" x14ac:dyDescent="0.2">
      <c r="A2156">
        <v>1305070</v>
      </c>
      <c r="B2156" s="3">
        <v>2018</v>
      </c>
      <c r="C2156" t="s">
        <v>539</v>
      </c>
      <c r="D2156" t="s">
        <v>540</v>
      </c>
      <c r="E2156" t="s">
        <v>540</v>
      </c>
      <c r="F2156" s="4">
        <v>1207987</v>
      </c>
      <c r="G2156" s="4">
        <v>15321</v>
      </c>
      <c r="H2156">
        <f>IFERROR(VLOOKUP(E2156,'GASB Match'!$A$2:$B$240,2,FALSE),"")</f>
        <v>1305070</v>
      </c>
    </row>
    <row r="2157" spans="1:8" x14ac:dyDescent="0.2">
      <c r="A2157">
        <v>1305070</v>
      </c>
      <c r="B2157" s="3">
        <v>2019</v>
      </c>
      <c r="C2157" t="s">
        <v>539</v>
      </c>
      <c r="D2157" t="s">
        <v>540</v>
      </c>
      <c r="E2157" t="s">
        <v>540</v>
      </c>
      <c r="F2157" s="4">
        <v>1536256</v>
      </c>
      <c r="G2157" s="4">
        <v>28317</v>
      </c>
      <c r="H2157">
        <f>IFERROR(VLOOKUP(E2157,'GASB Match'!$A$2:$B$240,2,FALSE),"")</f>
        <v>1305070</v>
      </c>
    </row>
    <row r="2158" spans="1:8" x14ac:dyDescent="0.2">
      <c r="A2158">
        <v>1305070</v>
      </c>
      <c r="B2158" s="3">
        <v>2020</v>
      </c>
      <c r="C2158" t="s">
        <v>539</v>
      </c>
      <c r="D2158" t="s">
        <v>540</v>
      </c>
      <c r="E2158" t="s">
        <v>540</v>
      </c>
      <c r="F2158" s="4">
        <v>1624090</v>
      </c>
      <c r="G2158" s="4">
        <v>29816</v>
      </c>
      <c r="H2158">
        <f>IFERROR(VLOOKUP(E2158,'GASB Match'!$A$2:$B$240,2,FALSE),"")</f>
        <v>1305070</v>
      </c>
    </row>
    <row r="2159" spans="1:8" x14ac:dyDescent="0.2">
      <c r="A2159">
        <v>1305070</v>
      </c>
      <c r="B2159" s="3">
        <v>2021</v>
      </c>
      <c r="C2159" t="s">
        <v>539</v>
      </c>
      <c r="D2159" t="s">
        <v>540</v>
      </c>
      <c r="E2159" t="s">
        <v>540</v>
      </c>
      <c r="F2159" s="4">
        <v>1444342</v>
      </c>
      <c r="G2159" s="4">
        <v>26984</v>
      </c>
      <c r="H2159">
        <f>IFERROR(VLOOKUP(E2159,'GASB Match'!$A$2:$B$240,2,FALSE),"")</f>
        <v>1305070</v>
      </c>
    </row>
    <row r="2160" spans="1:8" x14ac:dyDescent="0.2">
      <c r="A2160">
        <v>1305070</v>
      </c>
      <c r="B2160" s="3">
        <v>2022</v>
      </c>
      <c r="C2160" t="s">
        <v>539</v>
      </c>
      <c r="D2160" t="s">
        <v>540</v>
      </c>
      <c r="E2160" t="s">
        <v>540</v>
      </c>
      <c r="F2160" s="4">
        <v>1545851</v>
      </c>
      <c r="G2160" s="4">
        <v>28614</v>
      </c>
      <c r="H2160">
        <f>IFERROR(VLOOKUP(E2160,'GASB Match'!$A$2:$B$240,2,FALSE),"")</f>
        <v>1305070</v>
      </c>
    </row>
    <row r="2161" spans="1:8" x14ac:dyDescent="0.2">
      <c r="A2161">
        <v>1305070</v>
      </c>
      <c r="B2161" s="3">
        <v>2023</v>
      </c>
      <c r="C2161" t="s">
        <v>539</v>
      </c>
      <c r="D2161" t="s">
        <v>540</v>
      </c>
      <c r="E2161" t="s">
        <v>540</v>
      </c>
      <c r="F2161" s="4">
        <v>1657226</v>
      </c>
      <c r="G2161" s="4">
        <v>31936</v>
      </c>
      <c r="H2161">
        <f>IFERROR(VLOOKUP(E2161,'GASB Match'!$A$2:$B$240,2,FALSE),"")</f>
        <v>1305070</v>
      </c>
    </row>
    <row r="2162" spans="1:8" x14ac:dyDescent="0.2">
      <c r="A2162" t="s">
        <v>7</v>
      </c>
      <c r="B2162" s="3">
        <v>2015</v>
      </c>
      <c r="C2162" t="s">
        <v>541</v>
      </c>
      <c r="D2162" t="s">
        <v>542</v>
      </c>
      <c r="E2162" t="s">
        <v>542</v>
      </c>
      <c r="F2162" s="4">
        <v>61097.07</v>
      </c>
      <c r="G2162" s="4" t="s">
        <v>7</v>
      </c>
      <c r="H2162" t="str">
        <f>IFERROR(VLOOKUP(E2162,'GASB Match'!$A$2:$B$240,2,FALSE),"")</f>
        <v/>
      </c>
    </row>
    <row r="2163" spans="1:8" x14ac:dyDescent="0.2">
      <c r="A2163" t="s">
        <v>7</v>
      </c>
      <c r="B2163" s="3">
        <v>2016</v>
      </c>
      <c r="C2163" t="s">
        <v>541</v>
      </c>
      <c r="D2163" t="s">
        <v>542</v>
      </c>
      <c r="E2163" t="s">
        <v>542</v>
      </c>
      <c r="F2163" s="4">
        <v>73045.81</v>
      </c>
      <c r="G2163" s="4" t="s">
        <v>7</v>
      </c>
      <c r="H2163" t="str">
        <f>IFERROR(VLOOKUP(E2163,'GASB Match'!$A$2:$B$240,2,FALSE),"")</f>
        <v/>
      </c>
    </row>
    <row r="2164" spans="1:8" x14ac:dyDescent="0.2">
      <c r="A2164" t="s">
        <v>7</v>
      </c>
      <c r="B2164" s="3">
        <v>2017</v>
      </c>
      <c r="C2164" t="s">
        <v>541</v>
      </c>
      <c r="D2164" t="s">
        <v>542</v>
      </c>
      <c r="E2164" t="s">
        <v>542</v>
      </c>
      <c r="F2164" s="4">
        <v>73229</v>
      </c>
      <c r="G2164" s="4" t="s">
        <v>7</v>
      </c>
      <c r="H2164" t="str">
        <f>IFERROR(VLOOKUP(E2164,'GASB Match'!$A$2:$B$240,2,FALSE),"")</f>
        <v/>
      </c>
    </row>
    <row r="2165" spans="1:8" x14ac:dyDescent="0.2">
      <c r="A2165" t="s">
        <v>7</v>
      </c>
      <c r="B2165" s="3">
        <v>2018</v>
      </c>
      <c r="C2165" t="s">
        <v>541</v>
      </c>
      <c r="D2165" t="s">
        <v>542</v>
      </c>
      <c r="E2165" t="s">
        <v>542</v>
      </c>
      <c r="F2165" s="4">
        <v>87846</v>
      </c>
      <c r="G2165" s="4" t="s">
        <v>7</v>
      </c>
      <c r="H2165" t="str">
        <f>IFERROR(VLOOKUP(E2165,'GASB Match'!$A$2:$B$240,2,FALSE),"")</f>
        <v/>
      </c>
    </row>
    <row r="2166" spans="1:8" x14ac:dyDescent="0.2">
      <c r="A2166" t="s">
        <v>7</v>
      </c>
      <c r="B2166" s="3">
        <v>2019</v>
      </c>
      <c r="C2166" t="s">
        <v>541</v>
      </c>
      <c r="D2166" t="s">
        <v>542</v>
      </c>
      <c r="E2166" t="s">
        <v>542</v>
      </c>
      <c r="F2166" s="4">
        <v>96953</v>
      </c>
      <c r="G2166" s="4" t="s">
        <v>7</v>
      </c>
      <c r="H2166" t="str">
        <f>IFERROR(VLOOKUP(E2166,'GASB Match'!$A$2:$B$240,2,FALSE),"")</f>
        <v/>
      </c>
    </row>
    <row r="2167" spans="1:8" x14ac:dyDescent="0.2">
      <c r="A2167" t="s">
        <v>7</v>
      </c>
      <c r="B2167" s="3">
        <v>2020</v>
      </c>
      <c r="C2167" t="s">
        <v>541</v>
      </c>
      <c r="D2167" t="s">
        <v>542</v>
      </c>
      <c r="E2167" t="s">
        <v>542</v>
      </c>
      <c r="F2167" s="4">
        <v>105214</v>
      </c>
      <c r="G2167" s="4" t="s">
        <v>7</v>
      </c>
      <c r="H2167" t="str">
        <f>IFERROR(VLOOKUP(E2167,'GASB Match'!$A$2:$B$240,2,FALSE),"")</f>
        <v/>
      </c>
    </row>
    <row r="2168" spans="1:8" x14ac:dyDescent="0.2">
      <c r="A2168" t="s">
        <v>7</v>
      </c>
      <c r="B2168" s="3">
        <v>2021</v>
      </c>
      <c r="C2168" t="s">
        <v>541</v>
      </c>
      <c r="D2168" t="s">
        <v>542</v>
      </c>
      <c r="E2168" t="s">
        <v>542</v>
      </c>
      <c r="F2168" s="4">
        <v>100650</v>
      </c>
      <c r="G2168" s="4" t="s">
        <v>7</v>
      </c>
      <c r="H2168" t="str">
        <f>IFERROR(VLOOKUP(E2168,'GASB Match'!$A$2:$B$240,2,FALSE),"")</f>
        <v/>
      </c>
    </row>
    <row r="2169" spans="1:8" x14ac:dyDescent="0.2">
      <c r="A2169" t="s">
        <v>7</v>
      </c>
      <c r="B2169" s="3">
        <v>2022</v>
      </c>
      <c r="C2169" t="s">
        <v>541</v>
      </c>
      <c r="D2169" t="s">
        <v>542</v>
      </c>
      <c r="E2169" t="s">
        <v>542</v>
      </c>
      <c r="F2169" s="4">
        <v>118199</v>
      </c>
      <c r="G2169" s="4" t="s">
        <v>7</v>
      </c>
      <c r="H2169" t="str">
        <f>IFERROR(VLOOKUP(E2169,'GASB Match'!$A$2:$B$240,2,FALSE),"")</f>
        <v/>
      </c>
    </row>
    <row r="2170" spans="1:8" x14ac:dyDescent="0.2">
      <c r="A2170" t="s">
        <v>7</v>
      </c>
      <c r="B2170" s="3">
        <v>2023</v>
      </c>
      <c r="C2170" t="s">
        <v>541</v>
      </c>
      <c r="D2170" t="s">
        <v>542</v>
      </c>
      <c r="E2170" t="s">
        <v>542</v>
      </c>
      <c r="F2170" s="4">
        <v>129303</v>
      </c>
      <c r="G2170" s="4" t="s">
        <v>7</v>
      </c>
      <c r="H2170" t="str">
        <f>IFERROR(VLOOKUP(E2170,'GASB Match'!$A$2:$B$240,2,FALSE),"")</f>
        <v/>
      </c>
    </row>
    <row r="2171" spans="1:8" x14ac:dyDescent="0.2">
      <c r="A2171">
        <v>1305100</v>
      </c>
      <c r="B2171" s="3">
        <v>2015</v>
      </c>
      <c r="C2171" t="s">
        <v>543</v>
      </c>
      <c r="D2171" t="s">
        <v>544</v>
      </c>
      <c r="E2171" t="s">
        <v>544</v>
      </c>
      <c r="F2171" s="4">
        <v>675173.2</v>
      </c>
      <c r="G2171" s="4" t="s">
        <v>7</v>
      </c>
      <c r="H2171">
        <f>IFERROR(VLOOKUP(E2171,'GASB Match'!$A$2:$B$240,2,FALSE),"")</f>
        <v>1305100</v>
      </c>
    </row>
    <row r="2172" spans="1:8" x14ac:dyDescent="0.2">
      <c r="A2172">
        <v>1305100</v>
      </c>
      <c r="B2172" s="3">
        <v>2016</v>
      </c>
      <c r="C2172" t="s">
        <v>543</v>
      </c>
      <c r="D2172" t="s">
        <v>544</v>
      </c>
      <c r="E2172" t="s">
        <v>544</v>
      </c>
      <c r="F2172" s="4">
        <v>748921.68</v>
      </c>
      <c r="G2172" s="4" t="s">
        <v>7</v>
      </c>
      <c r="H2172">
        <f>IFERROR(VLOOKUP(E2172,'GASB Match'!$A$2:$B$240,2,FALSE),"")</f>
        <v>1305100</v>
      </c>
    </row>
    <row r="2173" spans="1:8" x14ac:dyDescent="0.2">
      <c r="A2173">
        <v>1305100</v>
      </c>
      <c r="B2173" s="3">
        <v>2017</v>
      </c>
      <c r="C2173" t="s">
        <v>543</v>
      </c>
      <c r="D2173" t="s">
        <v>544</v>
      </c>
      <c r="E2173" t="s">
        <v>544</v>
      </c>
      <c r="F2173" s="4">
        <v>808554</v>
      </c>
      <c r="G2173" s="4" t="s">
        <v>7</v>
      </c>
      <c r="H2173">
        <f>IFERROR(VLOOKUP(E2173,'GASB Match'!$A$2:$B$240,2,FALSE),"")</f>
        <v>1305100</v>
      </c>
    </row>
    <row r="2174" spans="1:8" x14ac:dyDescent="0.2">
      <c r="A2174">
        <v>1305100</v>
      </c>
      <c r="B2174" s="3">
        <v>2018</v>
      </c>
      <c r="C2174" t="s">
        <v>543</v>
      </c>
      <c r="D2174" t="s">
        <v>544</v>
      </c>
      <c r="E2174" t="s">
        <v>544</v>
      </c>
      <c r="F2174" s="4">
        <v>1010760</v>
      </c>
      <c r="G2174" s="4" t="s">
        <v>7</v>
      </c>
      <c r="H2174">
        <f>IFERROR(VLOOKUP(E2174,'GASB Match'!$A$2:$B$240,2,FALSE),"")</f>
        <v>1305100</v>
      </c>
    </row>
    <row r="2175" spans="1:8" x14ac:dyDescent="0.2">
      <c r="A2175">
        <v>1305100</v>
      </c>
      <c r="B2175" s="3">
        <v>2019</v>
      </c>
      <c r="C2175" t="s">
        <v>543</v>
      </c>
      <c r="D2175" t="s">
        <v>544</v>
      </c>
      <c r="E2175" t="s">
        <v>544</v>
      </c>
      <c r="F2175" s="4">
        <v>1266526</v>
      </c>
      <c r="G2175" s="4" t="s">
        <v>7</v>
      </c>
      <c r="H2175">
        <f>IFERROR(VLOOKUP(E2175,'GASB Match'!$A$2:$B$240,2,FALSE),"")</f>
        <v>1305100</v>
      </c>
    </row>
    <row r="2176" spans="1:8" x14ac:dyDescent="0.2">
      <c r="A2176">
        <v>1305100</v>
      </c>
      <c r="B2176" s="3">
        <v>2020</v>
      </c>
      <c r="C2176" t="s">
        <v>543</v>
      </c>
      <c r="D2176" t="s">
        <v>544</v>
      </c>
      <c r="E2176" t="s">
        <v>544</v>
      </c>
      <c r="F2176" s="4">
        <v>1377382</v>
      </c>
      <c r="G2176" s="4" t="s">
        <v>7</v>
      </c>
      <c r="H2176">
        <f>IFERROR(VLOOKUP(E2176,'GASB Match'!$A$2:$B$240,2,FALSE),"")</f>
        <v>1305100</v>
      </c>
    </row>
    <row r="2177" spans="1:8" x14ac:dyDescent="0.2">
      <c r="A2177">
        <v>1305100</v>
      </c>
      <c r="B2177" s="3">
        <v>2021</v>
      </c>
      <c r="C2177" t="s">
        <v>543</v>
      </c>
      <c r="D2177" t="s">
        <v>544</v>
      </c>
      <c r="E2177" t="s">
        <v>544</v>
      </c>
      <c r="F2177" s="4">
        <v>1247420</v>
      </c>
      <c r="G2177" s="4" t="s">
        <v>7</v>
      </c>
      <c r="H2177">
        <f>IFERROR(VLOOKUP(E2177,'GASB Match'!$A$2:$B$240,2,FALSE),"")</f>
        <v>1305100</v>
      </c>
    </row>
    <row r="2178" spans="1:8" x14ac:dyDescent="0.2">
      <c r="A2178">
        <v>1305100</v>
      </c>
      <c r="B2178" s="3">
        <v>2022</v>
      </c>
      <c r="C2178" t="s">
        <v>543</v>
      </c>
      <c r="D2178" t="s">
        <v>544</v>
      </c>
      <c r="E2178" t="s">
        <v>544</v>
      </c>
      <c r="F2178" s="4">
        <v>1331915</v>
      </c>
      <c r="G2178" s="4" t="s">
        <v>7</v>
      </c>
      <c r="H2178">
        <f>IFERROR(VLOOKUP(E2178,'GASB Match'!$A$2:$B$240,2,FALSE),"")</f>
        <v>1305100</v>
      </c>
    </row>
    <row r="2179" spans="1:8" x14ac:dyDescent="0.2">
      <c r="A2179">
        <v>1305100</v>
      </c>
      <c r="B2179" s="3">
        <v>2023</v>
      </c>
      <c r="C2179" t="s">
        <v>543</v>
      </c>
      <c r="D2179" t="s">
        <v>544</v>
      </c>
      <c r="E2179" t="s">
        <v>544</v>
      </c>
      <c r="F2179" s="4">
        <v>1381938</v>
      </c>
      <c r="G2179" s="4" t="s">
        <v>7</v>
      </c>
      <c r="H2179">
        <f>IFERROR(VLOOKUP(E2179,'GASB Match'!$A$2:$B$240,2,FALSE),"")</f>
        <v>1305100</v>
      </c>
    </row>
    <row r="2180" spans="1:8" x14ac:dyDescent="0.2">
      <c r="A2180">
        <v>1300001</v>
      </c>
      <c r="B2180" s="3">
        <v>2015</v>
      </c>
      <c r="C2180" t="s">
        <v>545</v>
      </c>
      <c r="D2180" t="s">
        <v>546</v>
      </c>
      <c r="E2180" t="s">
        <v>546</v>
      </c>
      <c r="F2180" s="4">
        <v>7765992.8300000001</v>
      </c>
      <c r="G2180" s="4">
        <v>85945.899999999907</v>
      </c>
      <c r="H2180">
        <f>IFERROR(VLOOKUP(E2180,'GASB Match'!$A$2:$B$240,2,FALSE),"")</f>
        <v>1300001</v>
      </c>
    </row>
    <row r="2181" spans="1:8" x14ac:dyDescent="0.2">
      <c r="A2181">
        <v>1300001</v>
      </c>
      <c r="B2181" s="3">
        <v>2016</v>
      </c>
      <c r="C2181" t="s">
        <v>545</v>
      </c>
      <c r="D2181" t="s">
        <v>546</v>
      </c>
      <c r="E2181" t="s">
        <v>546</v>
      </c>
      <c r="F2181" s="4">
        <v>8426953.3200000003</v>
      </c>
      <c r="G2181" s="4">
        <v>89208.61</v>
      </c>
      <c r="H2181">
        <f>IFERROR(VLOOKUP(E2181,'GASB Match'!$A$2:$B$240,2,FALSE),"")</f>
        <v>1300001</v>
      </c>
    </row>
    <row r="2182" spans="1:8" x14ac:dyDescent="0.2">
      <c r="A2182">
        <v>1300001</v>
      </c>
      <c r="B2182" s="3">
        <v>2017</v>
      </c>
      <c r="C2182" t="s">
        <v>545</v>
      </c>
      <c r="D2182" t="s">
        <v>546</v>
      </c>
      <c r="E2182" t="s">
        <v>546</v>
      </c>
      <c r="F2182" s="4">
        <v>8759498</v>
      </c>
      <c r="G2182" s="4">
        <v>68679</v>
      </c>
      <c r="H2182">
        <f>IFERROR(VLOOKUP(E2182,'GASB Match'!$A$2:$B$240,2,FALSE),"")</f>
        <v>1300001</v>
      </c>
    </row>
    <row r="2183" spans="1:8" x14ac:dyDescent="0.2">
      <c r="A2183">
        <v>1300001</v>
      </c>
      <c r="B2183" s="3">
        <v>2018</v>
      </c>
      <c r="C2183" t="s">
        <v>545</v>
      </c>
      <c r="D2183" t="s">
        <v>546</v>
      </c>
      <c r="E2183" t="s">
        <v>546</v>
      </c>
      <c r="F2183" s="4">
        <v>10517736</v>
      </c>
      <c r="G2183" s="4">
        <v>57272</v>
      </c>
      <c r="H2183">
        <f>IFERROR(VLOOKUP(E2183,'GASB Match'!$A$2:$B$240,2,FALSE),"")</f>
        <v>1300001</v>
      </c>
    </row>
    <row r="2184" spans="1:8" x14ac:dyDescent="0.2">
      <c r="A2184">
        <v>1300001</v>
      </c>
      <c r="B2184" s="3">
        <v>2019</v>
      </c>
      <c r="C2184" t="s">
        <v>545</v>
      </c>
      <c r="D2184" t="s">
        <v>546</v>
      </c>
      <c r="E2184" t="s">
        <v>546</v>
      </c>
      <c r="F2184" s="4">
        <v>13429614</v>
      </c>
      <c r="G2184" s="4">
        <v>67865</v>
      </c>
      <c r="H2184">
        <f>IFERROR(VLOOKUP(E2184,'GASB Match'!$A$2:$B$240,2,FALSE),"")</f>
        <v>1300001</v>
      </c>
    </row>
    <row r="2185" spans="1:8" x14ac:dyDescent="0.2">
      <c r="A2185">
        <v>1300001</v>
      </c>
      <c r="B2185" s="3">
        <v>2020</v>
      </c>
      <c r="C2185" t="s">
        <v>545</v>
      </c>
      <c r="D2185" t="s">
        <v>546</v>
      </c>
      <c r="E2185" t="s">
        <v>546</v>
      </c>
      <c r="F2185" s="4">
        <v>14218181</v>
      </c>
      <c r="G2185" s="4">
        <v>55680</v>
      </c>
      <c r="H2185">
        <f>IFERROR(VLOOKUP(E2185,'GASB Match'!$A$2:$B$240,2,FALSE),"")</f>
        <v>1300001</v>
      </c>
    </row>
    <row r="2186" spans="1:8" x14ac:dyDescent="0.2">
      <c r="A2186">
        <v>1300001</v>
      </c>
      <c r="B2186" s="3">
        <v>2021</v>
      </c>
      <c r="C2186" t="s">
        <v>545</v>
      </c>
      <c r="D2186" t="s">
        <v>546</v>
      </c>
      <c r="E2186" t="s">
        <v>546</v>
      </c>
      <c r="F2186" s="4">
        <v>12812730</v>
      </c>
      <c r="G2186" s="4">
        <v>24702</v>
      </c>
      <c r="H2186">
        <f>IFERROR(VLOOKUP(E2186,'GASB Match'!$A$2:$B$240,2,FALSE),"")</f>
        <v>1300001</v>
      </c>
    </row>
    <row r="2187" spans="1:8" x14ac:dyDescent="0.2">
      <c r="A2187">
        <v>1300001</v>
      </c>
      <c r="B2187" s="3">
        <v>2022</v>
      </c>
      <c r="C2187" t="s">
        <v>545</v>
      </c>
      <c r="D2187" t="s">
        <v>546</v>
      </c>
      <c r="E2187" t="s">
        <v>546</v>
      </c>
      <c r="F2187" s="4">
        <v>13824510</v>
      </c>
      <c r="G2187" s="4">
        <v>20658</v>
      </c>
      <c r="H2187">
        <f>IFERROR(VLOOKUP(E2187,'GASB Match'!$A$2:$B$240,2,FALSE),"")</f>
        <v>1300001</v>
      </c>
    </row>
    <row r="2188" spans="1:8" x14ac:dyDescent="0.2">
      <c r="A2188">
        <v>1300001</v>
      </c>
      <c r="B2188" s="3">
        <v>2023</v>
      </c>
      <c r="C2188" t="s">
        <v>545</v>
      </c>
      <c r="D2188" t="s">
        <v>546</v>
      </c>
      <c r="E2188" t="s">
        <v>546</v>
      </c>
      <c r="F2188" s="4">
        <v>15075248</v>
      </c>
      <c r="G2188" s="4">
        <v>22007</v>
      </c>
      <c r="H2188">
        <f>IFERROR(VLOOKUP(E2188,'GASB Match'!$A$2:$B$240,2,FALSE),"")</f>
        <v>1300001</v>
      </c>
    </row>
    <row r="2189" spans="1:8" x14ac:dyDescent="0.2">
      <c r="A2189" t="s">
        <v>7</v>
      </c>
      <c r="B2189" s="3">
        <v>2015</v>
      </c>
      <c r="C2189" t="s">
        <v>547</v>
      </c>
      <c r="D2189" t="s">
        <v>549</v>
      </c>
      <c r="E2189" t="s">
        <v>548</v>
      </c>
      <c r="F2189" s="4">
        <v>73523.77</v>
      </c>
      <c r="G2189" s="4" t="s">
        <v>7</v>
      </c>
      <c r="H2189" t="str">
        <f>IFERROR(VLOOKUP(E2189,'GASB Match'!$A$2:$B$240,2,FALSE),"")</f>
        <v/>
      </c>
    </row>
    <row r="2190" spans="1:8" x14ac:dyDescent="0.2">
      <c r="A2190" t="s">
        <v>7</v>
      </c>
      <c r="B2190" s="3">
        <v>2016</v>
      </c>
      <c r="C2190" t="s">
        <v>547</v>
      </c>
      <c r="D2190" t="s">
        <v>549</v>
      </c>
      <c r="E2190" t="s">
        <v>548</v>
      </c>
      <c r="F2190" s="4">
        <v>79629.61</v>
      </c>
      <c r="G2190" s="4" t="s">
        <v>7</v>
      </c>
      <c r="H2190" t="str">
        <f>IFERROR(VLOOKUP(E2190,'GASB Match'!$A$2:$B$240,2,FALSE),"")</f>
        <v/>
      </c>
    </row>
    <row r="2191" spans="1:8" x14ac:dyDescent="0.2">
      <c r="A2191" t="s">
        <v>7</v>
      </c>
      <c r="B2191" s="3">
        <v>2017</v>
      </c>
      <c r="C2191" t="s">
        <v>547</v>
      </c>
      <c r="D2191" t="s">
        <v>549</v>
      </c>
      <c r="E2191" t="s">
        <v>548</v>
      </c>
      <c r="F2191" s="4">
        <v>78493</v>
      </c>
      <c r="G2191" s="4" t="s">
        <v>7</v>
      </c>
      <c r="H2191" t="str">
        <f>IFERROR(VLOOKUP(E2191,'GASB Match'!$A$2:$B$240,2,FALSE),"")</f>
        <v/>
      </c>
    </row>
    <row r="2192" spans="1:8" x14ac:dyDescent="0.2">
      <c r="A2192" t="s">
        <v>7</v>
      </c>
      <c r="B2192" s="3">
        <v>2018</v>
      </c>
      <c r="C2192" t="s">
        <v>547</v>
      </c>
      <c r="D2192" t="s">
        <v>549</v>
      </c>
      <c r="E2192" t="s">
        <v>548</v>
      </c>
      <c r="F2192" s="4">
        <v>92919</v>
      </c>
      <c r="G2192" s="4" t="s">
        <v>7</v>
      </c>
      <c r="H2192" t="str">
        <f>IFERROR(VLOOKUP(E2192,'GASB Match'!$A$2:$B$240,2,FALSE),"")</f>
        <v/>
      </c>
    </row>
    <row r="2193" spans="1:8" x14ac:dyDescent="0.2">
      <c r="A2193" t="s">
        <v>7</v>
      </c>
      <c r="B2193" s="3">
        <v>2019</v>
      </c>
      <c r="C2193" t="s">
        <v>547</v>
      </c>
      <c r="D2193" t="s">
        <v>549</v>
      </c>
      <c r="E2193" t="s">
        <v>548</v>
      </c>
      <c r="F2193" s="4">
        <v>118094</v>
      </c>
      <c r="G2193" s="4" t="s">
        <v>7</v>
      </c>
      <c r="H2193" t="str">
        <f>IFERROR(VLOOKUP(E2193,'GASB Match'!$A$2:$B$240,2,FALSE),"")</f>
        <v/>
      </c>
    </row>
    <row r="2194" spans="1:8" x14ac:dyDescent="0.2">
      <c r="A2194" t="s">
        <v>7</v>
      </c>
      <c r="B2194" s="3">
        <v>2020</v>
      </c>
      <c r="C2194" t="s">
        <v>547</v>
      </c>
      <c r="D2194" t="s">
        <v>549</v>
      </c>
      <c r="E2194" t="s">
        <v>548</v>
      </c>
      <c r="F2194" s="4">
        <v>132063</v>
      </c>
      <c r="G2194" s="4" t="s">
        <v>7</v>
      </c>
      <c r="H2194" t="str">
        <f>IFERROR(VLOOKUP(E2194,'GASB Match'!$A$2:$B$240,2,FALSE),"")</f>
        <v/>
      </c>
    </row>
    <row r="2195" spans="1:8" x14ac:dyDescent="0.2">
      <c r="A2195" t="s">
        <v>7</v>
      </c>
      <c r="B2195" s="3">
        <v>2021</v>
      </c>
      <c r="C2195" t="s">
        <v>547</v>
      </c>
      <c r="D2195" t="s">
        <v>548</v>
      </c>
      <c r="E2195" t="s">
        <v>548</v>
      </c>
      <c r="F2195" s="4">
        <v>97911</v>
      </c>
      <c r="G2195" s="4" t="s">
        <v>7</v>
      </c>
      <c r="H2195" t="str">
        <f>IFERROR(VLOOKUP(E2195,'GASB Match'!$A$2:$B$240,2,FALSE),"")</f>
        <v/>
      </c>
    </row>
    <row r="2196" spans="1:8" x14ac:dyDescent="0.2">
      <c r="A2196" t="s">
        <v>7</v>
      </c>
      <c r="B2196" s="3">
        <v>2022</v>
      </c>
      <c r="C2196" t="s">
        <v>547</v>
      </c>
      <c r="D2196" t="s">
        <v>548</v>
      </c>
      <c r="E2196" t="s">
        <v>548</v>
      </c>
      <c r="F2196" s="4">
        <v>100910</v>
      </c>
      <c r="G2196" s="4" t="s">
        <v>7</v>
      </c>
      <c r="H2196" t="str">
        <f>IFERROR(VLOOKUP(E2196,'GASB Match'!$A$2:$B$240,2,FALSE),"")</f>
        <v/>
      </c>
    </row>
    <row r="2197" spans="1:8" x14ac:dyDescent="0.2">
      <c r="A2197" t="s">
        <v>7</v>
      </c>
      <c r="B2197" s="3">
        <v>2023</v>
      </c>
      <c r="C2197" t="s">
        <v>547</v>
      </c>
      <c r="D2197" t="s">
        <v>548</v>
      </c>
      <c r="E2197" t="s">
        <v>548</v>
      </c>
      <c r="F2197" s="4">
        <v>102342</v>
      </c>
      <c r="G2197" s="4" t="s">
        <v>7</v>
      </c>
      <c r="H2197" t="str">
        <f>IFERROR(VLOOKUP(E2197,'GASB Match'!$A$2:$B$240,2,FALSE),"")</f>
        <v/>
      </c>
    </row>
    <row r="2198" spans="1:8" x14ac:dyDescent="0.2">
      <c r="A2198">
        <v>1305190</v>
      </c>
      <c r="B2198" s="3">
        <v>2015</v>
      </c>
      <c r="C2198" t="s">
        <v>550</v>
      </c>
      <c r="D2198" t="s">
        <v>551</v>
      </c>
      <c r="E2198" t="s">
        <v>551</v>
      </c>
      <c r="F2198" s="4">
        <v>1113850.08</v>
      </c>
      <c r="G2198" s="4">
        <v>6180.48</v>
      </c>
      <c r="H2198">
        <f>IFERROR(VLOOKUP(E2198,'GASB Match'!$A$2:$B$240,2,FALSE),"")</f>
        <v>1305190</v>
      </c>
    </row>
    <row r="2199" spans="1:8" x14ac:dyDescent="0.2">
      <c r="A2199">
        <v>1305190</v>
      </c>
      <c r="B2199" s="3">
        <v>2016</v>
      </c>
      <c r="C2199" t="s">
        <v>550</v>
      </c>
      <c r="D2199" t="s">
        <v>551</v>
      </c>
      <c r="E2199" t="s">
        <v>551</v>
      </c>
      <c r="F2199" s="4">
        <v>1174983.8500000001</v>
      </c>
      <c r="G2199" s="4">
        <v>5162.4799999999996</v>
      </c>
      <c r="H2199">
        <f>IFERROR(VLOOKUP(E2199,'GASB Match'!$A$2:$B$240,2,FALSE),"")</f>
        <v>1305190</v>
      </c>
    </row>
    <row r="2200" spans="1:8" x14ac:dyDescent="0.2">
      <c r="A2200">
        <v>1305190</v>
      </c>
      <c r="B2200" s="3">
        <v>2017</v>
      </c>
      <c r="C2200" t="s">
        <v>550</v>
      </c>
      <c r="D2200" t="s">
        <v>551</v>
      </c>
      <c r="E2200" t="s">
        <v>551</v>
      </c>
      <c r="F2200" s="4">
        <v>1055889</v>
      </c>
      <c r="G2200" s="4" t="s">
        <v>7</v>
      </c>
      <c r="H2200">
        <f>IFERROR(VLOOKUP(E2200,'GASB Match'!$A$2:$B$240,2,FALSE),"")</f>
        <v>1305190</v>
      </c>
    </row>
    <row r="2201" spans="1:8" x14ac:dyDescent="0.2">
      <c r="A2201">
        <v>1305190</v>
      </c>
      <c r="B2201" s="3">
        <v>2018</v>
      </c>
      <c r="C2201" t="s">
        <v>550</v>
      </c>
      <c r="D2201" t="s">
        <v>551</v>
      </c>
      <c r="E2201" t="s">
        <v>551</v>
      </c>
      <c r="F2201" s="4">
        <v>1229381</v>
      </c>
      <c r="G2201" s="4">
        <v>3809</v>
      </c>
      <c r="H2201">
        <f>IFERROR(VLOOKUP(E2201,'GASB Match'!$A$2:$B$240,2,FALSE),"")</f>
        <v>1305190</v>
      </c>
    </row>
    <row r="2202" spans="1:8" x14ac:dyDescent="0.2">
      <c r="A2202">
        <v>1305190</v>
      </c>
      <c r="B2202" s="3">
        <v>2019</v>
      </c>
      <c r="C2202" t="s">
        <v>550</v>
      </c>
      <c r="D2202" t="s">
        <v>551</v>
      </c>
      <c r="E2202" t="s">
        <v>551</v>
      </c>
      <c r="F2202" s="4">
        <v>1577715</v>
      </c>
      <c r="G2202" s="4">
        <v>4736</v>
      </c>
      <c r="H2202">
        <f>IFERROR(VLOOKUP(E2202,'GASB Match'!$A$2:$B$240,2,FALSE),"")</f>
        <v>1305190</v>
      </c>
    </row>
    <row r="2203" spans="1:8" x14ac:dyDescent="0.2">
      <c r="A2203">
        <v>1305190</v>
      </c>
      <c r="B2203" s="3">
        <v>2020</v>
      </c>
      <c r="C2203" t="s">
        <v>550</v>
      </c>
      <c r="D2203" t="s">
        <v>551</v>
      </c>
      <c r="E2203" t="s">
        <v>551</v>
      </c>
      <c r="F2203" s="4">
        <v>1694842</v>
      </c>
      <c r="G2203" s="4">
        <v>10010</v>
      </c>
      <c r="H2203">
        <f>IFERROR(VLOOKUP(E2203,'GASB Match'!$A$2:$B$240,2,FALSE),"")</f>
        <v>1305190</v>
      </c>
    </row>
    <row r="2204" spans="1:8" x14ac:dyDescent="0.2">
      <c r="A2204">
        <v>1305190</v>
      </c>
      <c r="B2204" s="3">
        <v>2021</v>
      </c>
      <c r="C2204" t="s">
        <v>550</v>
      </c>
      <c r="D2204" t="s">
        <v>551</v>
      </c>
      <c r="E2204" t="s">
        <v>551</v>
      </c>
      <c r="F2204" s="4">
        <v>1555039</v>
      </c>
      <c r="G2204" s="4">
        <v>4812</v>
      </c>
      <c r="H2204">
        <f>IFERROR(VLOOKUP(E2204,'GASB Match'!$A$2:$B$240,2,FALSE),"")</f>
        <v>1305190</v>
      </c>
    </row>
    <row r="2205" spans="1:8" x14ac:dyDescent="0.2">
      <c r="A2205">
        <v>1305190</v>
      </c>
      <c r="B2205" s="3">
        <v>2022</v>
      </c>
      <c r="C2205" t="s">
        <v>550</v>
      </c>
      <c r="D2205" t="s">
        <v>551</v>
      </c>
      <c r="E2205" t="s">
        <v>551</v>
      </c>
      <c r="F2205" s="4">
        <v>1654276</v>
      </c>
      <c r="G2205" s="4">
        <v>5216</v>
      </c>
      <c r="H2205">
        <f>IFERROR(VLOOKUP(E2205,'GASB Match'!$A$2:$B$240,2,FALSE),"")</f>
        <v>1305190</v>
      </c>
    </row>
    <row r="2206" spans="1:8" x14ac:dyDescent="0.2">
      <c r="A2206">
        <v>1305190</v>
      </c>
      <c r="B2206" s="3">
        <v>2023</v>
      </c>
      <c r="C2206" t="s">
        <v>550</v>
      </c>
      <c r="D2206" t="s">
        <v>551</v>
      </c>
      <c r="E2206" t="s">
        <v>551</v>
      </c>
      <c r="F2206" s="4">
        <v>1867619</v>
      </c>
      <c r="G2206" s="4">
        <v>6994</v>
      </c>
      <c r="H2206">
        <f>IFERROR(VLOOKUP(E2206,'GASB Match'!$A$2:$B$240,2,FALSE),"")</f>
        <v>1305190</v>
      </c>
    </row>
    <row r="2207" spans="1:8" x14ac:dyDescent="0.2">
      <c r="A2207">
        <v>1305220</v>
      </c>
      <c r="B2207" s="3">
        <v>2015</v>
      </c>
      <c r="C2207" t="s">
        <v>552</v>
      </c>
      <c r="D2207" t="s">
        <v>553</v>
      </c>
      <c r="E2207" t="s">
        <v>553</v>
      </c>
      <c r="F2207" s="4">
        <v>699382.81</v>
      </c>
      <c r="G2207" s="4">
        <v>2705.7</v>
      </c>
      <c r="H2207">
        <f>IFERROR(VLOOKUP(E2207,'GASB Match'!$A$2:$B$240,2,FALSE),"")</f>
        <v>1305220</v>
      </c>
    </row>
    <row r="2208" spans="1:8" x14ac:dyDescent="0.2">
      <c r="A2208">
        <v>1305220</v>
      </c>
      <c r="B2208" s="3">
        <v>2016</v>
      </c>
      <c r="C2208" t="s">
        <v>552</v>
      </c>
      <c r="D2208" t="s">
        <v>553</v>
      </c>
      <c r="E2208" t="s">
        <v>553</v>
      </c>
      <c r="F2208" s="4">
        <v>716260.08</v>
      </c>
      <c r="G2208" s="4">
        <v>20444.45</v>
      </c>
      <c r="H2208">
        <f>IFERROR(VLOOKUP(E2208,'GASB Match'!$A$2:$B$240,2,FALSE),"")</f>
        <v>1305220</v>
      </c>
    </row>
    <row r="2209" spans="1:8" x14ac:dyDescent="0.2">
      <c r="A2209">
        <v>1305220</v>
      </c>
      <c r="B2209" s="3">
        <v>2017</v>
      </c>
      <c r="C2209" t="s">
        <v>552</v>
      </c>
      <c r="D2209" t="s">
        <v>553</v>
      </c>
      <c r="E2209" t="s">
        <v>553</v>
      </c>
      <c r="F2209" s="4">
        <v>810305</v>
      </c>
      <c r="G2209" s="4">
        <v>21308</v>
      </c>
      <c r="H2209">
        <f>IFERROR(VLOOKUP(E2209,'GASB Match'!$A$2:$B$240,2,FALSE),"")</f>
        <v>1305220</v>
      </c>
    </row>
    <row r="2210" spans="1:8" x14ac:dyDescent="0.2">
      <c r="A2210">
        <v>1305220</v>
      </c>
      <c r="B2210" s="3">
        <v>2018</v>
      </c>
      <c r="C2210" t="s">
        <v>552</v>
      </c>
      <c r="D2210" t="s">
        <v>553</v>
      </c>
      <c r="E2210" t="s">
        <v>553</v>
      </c>
      <c r="F2210" s="4">
        <v>909210</v>
      </c>
      <c r="G2210" s="4">
        <v>21384</v>
      </c>
      <c r="H2210">
        <f>IFERROR(VLOOKUP(E2210,'GASB Match'!$A$2:$B$240,2,FALSE),"")</f>
        <v>1305220</v>
      </c>
    </row>
    <row r="2211" spans="1:8" x14ac:dyDescent="0.2">
      <c r="A2211">
        <v>1305220</v>
      </c>
      <c r="B2211" s="3">
        <v>2019</v>
      </c>
      <c r="C2211" t="s">
        <v>552</v>
      </c>
      <c r="D2211" t="s">
        <v>553</v>
      </c>
      <c r="E2211" t="s">
        <v>553</v>
      </c>
      <c r="F2211" s="4">
        <v>1016612</v>
      </c>
      <c r="G2211" s="4">
        <v>26494</v>
      </c>
      <c r="H2211">
        <f>IFERROR(VLOOKUP(E2211,'GASB Match'!$A$2:$B$240,2,FALSE),"")</f>
        <v>1305220</v>
      </c>
    </row>
    <row r="2212" spans="1:8" x14ac:dyDescent="0.2">
      <c r="A2212">
        <v>1305220</v>
      </c>
      <c r="B2212" s="3">
        <v>2020</v>
      </c>
      <c r="C2212" t="s">
        <v>552</v>
      </c>
      <c r="D2212" t="s">
        <v>553</v>
      </c>
      <c r="E2212" t="s">
        <v>553</v>
      </c>
      <c r="F2212" s="4">
        <v>1038929</v>
      </c>
      <c r="G2212" s="4">
        <v>29201</v>
      </c>
      <c r="H2212">
        <f>IFERROR(VLOOKUP(E2212,'GASB Match'!$A$2:$B$240,2,FALSE),"")</f>
        <v>1305220</v>
      </c>
    </row>
    <row r="2213" spans="1:8" x14ac:dyDescent="0.2">
      <c r="A2213">
        <v>1305220</v>
      </c>
      <c r="B2213" s="3">
        <v>2021</v>
      </c>
      <c r="C2213" t="s">
        <v>552</v>
      </c>
      <c r="D2213" t="s">
        <v>553</v>
      </c>
      <c r="E2213" t="s">
        <v>553</v>
      </c>
      <c r="F2213" s="4">
        <v>931727</v>
      </c>
      <c r="G2213" s="4">
        <v>26637</v>
      </c>
      <c r="H2213">
        <f>IFERROR(VLOOKUP(E2213,'GASB Match'!$A$2:$B$240,2,FALSE),"")</f>
        <v>1305220</v>
      </c>
    </row>
    <row r="2214" spans="1:8" x14ac:dyDescent="0.2">
      <c r="A2214">
        <v>1305220</v>
      </c>
      <c r="B2214" s="3">
        <v>2022</v>
      </c>
      <c r="C2214" t="s">
        <v>552</v>
      </c>
      <c r="D2214" t="s">
        <v>553</v>
      </c>
      <c r="E2214" t="s">
        <v>553</v>
      </c>
      <c r="F2214" s="4">
        <v>1066054</v>
      </c>
      <c r="G2214" s="4">
        <v>31332</v>
      </c>
      <c r="H2214">
        <f>IFERROR(VLOOKUP(E2214,'GASB Match'!$A$2:$B$240,2,FALSE),"")</f>
        <v>1305220</v>
      </c>
    </row>
    <row r="2215" spans="1:8" x14ac:dyDescent="0.2">
      <c r="A2215">
        <v>1305220</v>
      </c>
      <c r="B2215" s="3">
        <v>2023</v>
      </c>
      <c r="C2215" t="s">
        <v>552</v>
      </c>
      <c r="D2215" t="s">
        <v>553</v>
      </c>
      <c r="E2215" t="s">
        <v>553</v>
      </c>
      <c r="F2215" s="4">
        <v>1297030</v>
      </c>
      <c r="G2215" s="4">
        <v>34263</v>
      </c>
      <c r="H2215">
        <f>IFERROR(VLOOKUP(E2215,'GASB Match'!$A$2:$B$240,2,FALSE),"")</f>
        <v>1305220</v>
      </c>
    </row>
    <row r="2216" spans="1:8" x14ac:dyDescent="0.2">
      <c r="A2216">
        <v>1305250</v>
      </c>
      <c r="B2216" s="3">
        <v>2015</v>
      </c>
      <c r="C2216" t="s">
        <v>554</v>
      </c>
      <c r="D2216" t="s">
        <v>555</v>
      </c>
      <c r="E2216" t="s">
        <v>555</v>
      </c>
      <c r="F2216" s="4">
        <v>2081452.66</v>
      </c>
      <c r="G2216" s="4">
        <v>24805.02</v>
      </c>
      <c r="H2216">
        <f>IFERROR(VLOOKUP(E2216,'GASB Match'!$A$2:$B$240,2,FALSE),"")</f>
        <v>1305250</v>
      </c>
    </row>
    <row r="2217" spans="1:8" x14ac:dyDescent="0.2">
      <c r="A2217">
        <v>1305250</v>
      </c>
      <c r="B2217" s="3">
        <v>2016</v>
      </c>
      <c r="C2217" t="s">
        <v>554</v>
      </c>
      <c r="D2217" t="s">
        <v>555</v>
      </c>
      <c r="E2217" t="s">
        <v>555</v>
      </c>
      <c r="F2217" s="4">
        <v>2322235.7999999998</v>
      </c>
      <c r="G2217" s="4">
        <v>32005.5</v>
      </c>
      <c r="H2217">
        <f>IFERROR(VLOOKUP(E2217,'GASB Match'!$A$2:$B$240,2,FALSE),"")</f>
        <v>1305250</v>
      </c>
    </row>
    <row r="2218" spans="1:8" x14ac:dyDescent="0.2">
      <c r="A2218">
        <v>1305250</v>
      </c>
      <c r="B2218" s="3">
        <v>2017</v>
      </c>
      <c r="C2218" t="s">
        <v>554</v>
      </c>
      <c r="D2218" t="s">
        <v>555</v>
      </c>
      <c r="E2218" t="s">
        <v>555</v>
      </c>
      <c r="F2218" s="4">
        <v>2512925</v>
      </c>
      <c r="G2218" s="4">
        <v>27829</v>
      </c>
      <c r="H2218">
        <f>IFERROR(VLOOKUP(E2218,'GASB Match'!$A$2:$B$240,2,FALSE),"")</f>
        <v>1305250</v>
      </c>
    </row>
    <row r="2219" spans="1:8" x14ac:dyDescent="0.2">
      <c r="A2219">
        <v>1305250</v>
      </c>
      <c r="B2219" s="3">
        <v>2018</v>
      </c>
      <c r="C2219" t="s">
        <v>554</v>
      </c>
      <c r="D2219" t="s">
        <v>555</v>
      </c>
      <c r="E2219" t="s">
        <v>555</v>
      </c>
      <c r="F2219" s="4">
        <v>2974078</v>
      </c>
      <c r="G2219" s="4">
        <v>28006</v>
      </c>
      <c r="H2219">
        <f>IFERROR(VLOOKUP(E2219,'GASB Match'!$A$2:$B$240,2,FALSE),"")</f>
        <v>1305250</v>
      </c>
    </row>
    <row r="2220" spans="1:8" x14ac:dyDescent="0.2">
      <c r="A2220">
        <v>1305250</v>
      </c>
      <c r="B2220" s="3">
        <v>2019</v>
      </c>
      <c r="C2220" t="s">
        <v>554</v>
      </c>
      <c r="D2220" t="s">
        <v>555</v>
      </c>
      <c r="E2220" t="s">
        <v>555</v>
      </c>
      <c r="F2220" s="4">
        <v>3750174</v>
      </c>
      <c r="G2220" s="4">
        <v>36526</v>
      </c>
      <c r="H2220">
        <f>IFERROR(VLOOKUP(E2220,'GASB Match'!$A$2:$B$240,2,FALSE),"")</f>
        <v>1305250</v>
      </c>
    </row>
    <row r="2221" spans="1:8" x14ac:dyDescent="0.2">
      <c r="A2221">
        <v>1305250</v>
      </c>
      <c r="B2221" s="3">
        <v>2020</v>
      </c>
      <c r="C2221" t="s">
        <v>554</v>
      </c>
      <c r="D2221" t="s">
        <v>555</v>
      </c>
      <c r="E2221" t="s">
        <v>555</v>
      </c>
      <c r="F2221" s="4">
        <v>4036628</v>
      </c>
      <c r="G2221" s="4">
        <v>31919</v>
      </c>
      <c r="H2221">
        <f>IFERROR(VLOOKUP(E2221,'GASB Match'!$A$2:$B$240,2,FALSE),"")</f>
        <v>1305250</v>
      </c>
    </row>
    <row r="2222" spans="1:8" x14ac:dyDescent="0.2">
      <c r="A2222">
        <v>1305250</v>
      </c>
      <c r="B2222" s="3">
        <v>2021</v>
      </c>
      <c r="C2222" t="s">
        <v>554</v>
      </c>
      <c r="D2222" t="s">
        <v>555</v>
      </c>
      <c r="E2222" t="s">
        <v>555</v>
      </c>
      <c r="F2222" s="4">
        <v>3483015</v>
      </c>
      <c r="G2222" s="4">
        <v>29183</v>
      </c>
      <c r="H2222">
        <f>IFERROR(VLOOKUP(E2222,'GASB Match'!$A$2:$B$240,2,FALSE),"")</f>
        <v>1305250</v>
      </c>
    </row>
    <row r="2223" spans="1:8" x14ac:dyDescent="0.2">
      <c r="A2223">
        <v>1305250</v>
      </c>
      <c r="B2223" s="3">
        <v>2022</v>
      </c>
      <c r="C2223" t="s">
        <v>554</v>
      </c>
      <c r="D2223" t="s">
        <v>555</v>
      </c>
      <c r="E2223" t="s">
        <v>555</v>
      </c>
      <c r="F2223" s="4">
        <v>4039114</v>
      </c>
      <c r="G2223" s="4">
        <v>38814</v>
      </c>
      <c r="H2223">
        <f>IFERROR(VLOOKUP(E2223,'GASB Match'!$A$2:$B$240,2,FALSE),"")</f>
        <v>1305250</v>
      </c>
    </row>
    <row r="2224" spans="1:8" x14ac:dyDescent="0.2">
      <c r="A2224">
        <v>1305250</v>
      </c>
      <c r="B2224" s="3">
        <v>2023</v>
      </c>
      <c r="C2224" t="s">
        <v>554</v>
      </c>
      <c r="D2224" t="s">
        <v>555</v>
      </c>
      <c r="E2224" t="s">
        <v>555</v>
      </c>
      <c r="F2224" s="4">
        <v>4454033</v>
      </c>
      <c r="G2224" s="4">
        <v>41683</v>
      </c>
      <c r="H2224">
        <f>IFERROR(VLOOKUP(E2224,'GASB Match'!$A$2:$B$240,2,FALSE),"")</f>
        <v>1305250</v>
      </c>
    </row>
    <row r="2225" spans="1:8" x14ac:dyDescent="0.2">
      <c r="A2225">
        <v>1305280</v>
      </c>
      <c r="B2225" s="3">
        <v>2015</v>
      </c>
      <c r="C2225" t="s">
        <v>556</v>
      </c>
      <c r="D2225" t="s">
        <v>557</v>
      </c>
      <c r="E2225" t="s">
        <v>557</v>
      </c>
      <c r="F2225" s="4">
        <v>2761093.02</v>
      </c>
      <c r="G2225" s="4" t="s">
        <v>7</v>
      </c>
      <c r="H2225">
        <f>IFERROR(VLOOKUP(E2225,'GASB Match'!$A$2:$B$240,2,FALSE),"")</f>
        <v>1305280</v>
      </c>
    </row>
    <row r="2226" spans="1:8" x14ac:dyDescent="0.2">
      <c r="A2226">
        <v>1305280</v>
      </c>
      <c r="B2226" s="3">
        <v>2016</v>
      </c>
      <c r="C2226" t="s">
        <v>556</v>
      </c>
      <c r="D2226" t="s">
        <v>557</v>
      </c>
      <c r="E2226" t="s">
        <v>557</v>
      </c>
      <c r="F2226" s="4">
        <v>2996644.87</v>
      </c>
      <c r="G2226" s="4" t="s">
        <v>7</v>
      </c>
      <c r="H2226">
        <f>IFERROR(VLOOKUP(E2226,'GASB Match'!$A$2:$B$240,2,FALSE),"")</f>
        <v>1305280</v>
      </c>
    </row>
    <row r="2227" spans="1:8" x14ac:dyDescent="0.2">
      <c r="A2227">
        <v>1305280</v>
      </c>
      <c r="B2227" s="3">
        <v>2017</v>
      </c>
      <c r="C2227" t="s">
        <v>556</v>
      </c>
      <c r="D2227" t="s">
        <v>557</v>
      </c>
      <c r="E2227" t="s">
        <v>557</v>
      </c>
      <c r="F2227" s="4">
        <v>3041756</v>
      </c>
      <c r="G2227" s="4" t="s">
        <v>7</v>
      </c>
      <c r="H2227">
        <f>IFERROR(VLOOKUP(E2227,'GASB Match'!$A$2:$B$240,2,FALSE),"")</f>
        <v>1305280</v>
      </c>
    </row>
    <row r="2228" spans="1:8" x14ac:dyDescent="0.2">
      <c r="A2228">
        <v>1305280</v>
      </c>
      <c r="B2228" s="3">
        <v>2018</v>
      </c>
      <c r="C2228" t="s">
        <v>556</v>
      </c>
      <c r="D2228" t="s">
        <v>557</v>
      </c>
      <c r="E2228" t="s">
        <v>557</v>
      </c>
      <c r="F2228" s="4">
        <v>3526668</v>
      </c>
      <c r="G2228" s="4" t="s">
        <v>7</v>
      </c>
      <c r="H2228">
        <f>IFERROR(VLOOKUP(E2228,'GASB Match'!$A$2:$B$240,2,FALSE),"")</f>
        <v>1305280</v>
      </c>
    </row>
    <row r="2229" spans="1:8" x14ac:dyDescent="0.2">
      <c r="A2229">
        <v>1305280</v>
      </c>
      <c r="B2229" s="3">
        <v>2019</v>
      </c>
      <c r="C2229" t="s">
        <v>556</v>
      </c>
      <c r="D2229" t="s">
        <v>557</v>
      </c>
      <c r="E2229" t="s">
        <v>557</v>
      </c>
      <c r="F2229" s="4">
        <v>4693946</v>
      </c>
      <c r="G2229" s="4" t="s">
        <v>7</v>
      </c>
      <c r="H2229">
        <f>IFERROR(VLOOKUP(E2229,'GASB Match'!$A$2:$B$240,2,FALSE),"")</f>
        <v>1305280</v>
      </c>
    </row>
    <row r="2230" spans="1:8" x14ac:dyDescent="0.2">
      <c r="A2230">
        <v>1305280</v>
      </c>
      <c r="B2230" s="3">
        <v>2020</v>
      </c>
      <c r="C2230" t="s">
        <v>556</v>
      </c>
      <c r="D2230" t="s">
        <v>557</v>
      </c>
      <c r="E2230" t="s">
        <v>557</v>
      </c>
      <c r="F2230" s="4">
        <v>4822553</v>
      </c>
      <c r="G2230" s="4">
        <v>833</v>
      </c>
      <c r="H2230">
        <f>IFERROR(VLOOKUP(E2230,'GASB Match'!$A$2:$B$240,2,FALSE),"")</f>
        <v>1305280</v>
      </c>
    </row>
    <row r="2231" spans="1:8" x14ac:dyDescent="0.2">
      <c r="A2231">
        <v>1305280</v>
      </c>
      <c r="B2231" s="3">
        <v>2021</v>
      </c>
      <c r="C2231" t="s">
        <v>556</v>
      </c>
      <c r="D2231" t="s">
        <v>557</v>
      </c>
      <c r="E2231" t="s">
        <v>557</v>
      </c>
      <c r="F2231" s="4">
        <v>4418197</v>
      </c>
      <c r="G2231" s="4" t="s">
        <v>7</v>
      </c>
      <c r="H2231">
        <f>IFERROR(VLOOKUP(E2231,'GASB Match'!$A$2:$B$240,2,FALSE),"")</f>
        <v>1305280</v>
      </c>
    </row>
    <row r="2232" spans="1:8" x14ac:dyDescent="0.2">
      <c r="A2232">
        <v>1305280</v>
      </c>
      <c r="B2232" s="3">
        <v>2022</v>
      </c>
      <c r="C2232" t="s">
        <v>556</v>
      </c>
      <c r="D2232" t="s">
        <v>557</v>
      </c>
      <c r="E2232" t="s">
        <v>557</v>
      </c>
      <c r="F2232" s="4">
        <v>4962005</v>
      </c>
      <c r="G2232" s="4" t="s">
        <v>7</v>
      </c>
      <c r="H2232">
        <f>IFERROR(VLOOKUP(E2232,'GASB Match'!$A$2:$B$240,2,FALSE),"")</f>
        <v>1305280</v>
      </c>
    </row>
    <row r="2233" spans="1:8" x14ac:dyDescent="0.2">
      <c r="A2233">
        <v>1305280</v>
      </c>
      <c r="B2233" s="3">
        <v>2023</v>
      </c>
      <c r="C2233" t="s">
        <v>556</v>
      </c>
      <c r="D2233" t="s">
        <v>557</v>
      </c>
      <c r="E2233" t="s">
        <v>557</v>
      </c>
      <c r="F2233" s="4">
        <v>5294366</v>
      </c>
      <c r="G2233" s="4" t="s">
        <v>7</v>
      </c>
      <c r="H2233">
        <f>IFERROR(VLOOKUP(E2233,'GASB Match'!$A$2:$B$240,2,FALSE),"")</f>
        <v>1305280</v>
      </c>
    </row>
    <row r="2234" spans="1:8" x14ac:dyDescent="0.2">
      <c r="A2234">
        <v>1305370</v>
      </c>
      <c r="B2234" s="3">
        <v>2015</v>
      </c>
      <c r="C2234" t="s">
        <v>558</v>
      </c>
      <c r="D2234" t="s">
        <v>559</v>
      </c>
      <c r="E2234" t="s">
        <v>559</v>
      </c>
      <c r="F2234" s="4">
        <v>5999964.25</v>
      </c>
      <c r="G2234" s="4">
        <v>10119.66</v>
      </c>
      <c r="H2234">
        <f>IFERROR(VLOOKUP(E2234,'GASB Match'!$A$2:$B$240,2,FALSE),"")</f>
        <v>1305370</v>
      </c>
    </row>
    <row r="2235" spans="1:8" x14ac:dyDescent="0.2">
      <c r="A2235">
        <v>1305370</v>
      </c>
      <c r="B2235" s="3">
        <v>2016</v>
      </c>
      <c r="C2235" t="s">
        <v>558</v>
      </c>
      <c r="D2235" t="s">
        <v>559</v>
      </c>
      <c r="E2235" t="s">
        <v>559</v>
      </c>
      <c r="F2235" s="4">
        <v>6751431.6699999999</v>
      </c>
      <c r="G2235" s="4">
        <v>22854.04</v>
      </c>
      <c r="H2235">
        <f>IFERROR(VLOOKUP(E2235,'GASB Match'!$A$2:$B$240,2,FALSE),"")</f>
        <v>1305370</v>
      </c>
    </row>
    <row r="2236" spans="1:8" x14ac:dyDescent="0.2">
      <c r="A2236">
        <v>1305370</v>
      </c>
      <c r="B2236" s="3">
        <v>2017</v>
      </c>
      <c r="C2236" t="s">
        <v>558</v>
      </c>
      <c r="D2236" t="s">
        <v>559</v>
      </c>
      <c r="E2236" t="s">
        <v>559</v>
      </c>
      <c r="F2236" s="4">
        <v>7059877</v>
      </c>
      <c r="G2236" s="4">
        <v>21789</v>
      </c>
      <c r="H2236">
        <f>IFERROR(VLOOKUP(E2236,'GASB Match'!$A$2:$B$240,2,FALSE),"")</f>
        <v>1305370</v>
      </c>
    </row>
    <row r="2237" spans="1:8" x14ac:dyDescent="0.2">
      <c r="A2237">
        <v>1305370</v>
      </c>
      <c r="B2237" s="3">
        <v>2018</v>
      </c>
      <c r="C2237" t="s">
        <v>558</v>
      </c>
      <c r="D2237" t="s">
        <v>559</v>
      </c>
      <c r="E2237" t="s">
        <v>559</v>
      </c>
      <c r="F2237" s="4">
        <v>8608501</v>
      </c>
      <c r="G2237" s="4">
        <v>27432</v>
      </c>
      <c r="H2237">
        <f>IFERROR(VLOOKUP(E2237,'GASB Match'!$A$2:$B$240,2,FALSE),"")</f>
        <v>1305370</v>
      </c>
    </row>
    <row r="2238" spans="1:8" x14ac:dyDescent="0.2">
      <c r="A2238">
        <v>1305370</v>
      </c>
      <c r="B2238" s="3">
        <v>2019</v>
      </c>
      <c r="C2238" t="s">
        <v>558</v>
      </c>
      <c r="D2238" t="s">
        <v>559</v>
      </c>
      <c r="E2238" t="s">
        <v>559</v>
      </c>
      <c r="F2238" s="4">
        <v>10859013</v>
      </c>
      <c r="G2238" s="4">
        <v>29774</v>
      </c>
      <c r="H2238">
        <f>IFERROR(VLOOKUP(E2238,'GASB Match'!$A$2:$B$240,2,FALSE),"")</f>
        <v>1305370</v>
      </c>
    </row>
    <row r="2239" spans="1:8" x14ac:dyDescent="0.2">
      <c r="A2239">
        <v>1305370</v>
      </c>
      <c r="B2239" s="3">
        <v>2020</v>
      </c>
      <c r="C2239" t="s">
        <v>558</v>
      </c>
      <c r="D2239" t="s">
        <v>559</v>
      </c>
      <c r="E2239" t="s">
        <v>559</v>
      </c>
      <c r="F2239" s="4">
        <v>11461854</v>
      </c>
      <c r="G2239" s="4">
        <v>29796</v>
      </c>
      <c r="H2239">
        <f>IFERROR(VLOOKUP(E2239,'GASB Match'!$A$2:$B$240,2,FALSE),"")</f>
        <v>1305370</v>
      </c>
    </row>
    <row r="2240" spans="1:8" x14ac:dyDescent="0.2">
      <c r="A2240">
        <v>1305370</v>
      </c>
      <c r="B2240" s="3">
        <v>2021</v>
      </c>
      <c r="C2240" t="s">
        <v>558</v>
      </c>
      <c r="D2240" t="s">
        <v>559</v>
      </c>
      <c r="E2240" t="s">
        <v>559</v>
      </c>
      <c r="F2240" s="4">
        <v>9687285</v>
      </c>
      <c r="G2240" s="4">
        <v>25588</v>
      </c>
      <c r="H2240">
        <f>IFERROR(VLOOKUP(E2240,'GASB Match'!$A$2:$B$240,2,FALSE),"")</f>
        <v>1305370</v>
      </c>
    </row>
    <row r="2241" spans="1:8" x14ac:dyDescent="0.2">
      <c r="A2241">
        <v>1305370</v>
      </c>
      <c r="B2241" s="3">
        <v>2022</v>
      </c>
      <c r="C2241" t="s">
        <v>558</v>
      </c>
      <c r="D2241" t="s">
        <v>559</v>
      </c>
      <c r="E2241" t="s">
        <v>559</v>
      </c>
      <c r="F2241" s="4">
        <v>10487660</v>
      </c>
      <c r="G2241" s="4">
        <v>23335</v>
      </c>
      <c r="H2241">
        <f>IFERROR(VLOOKUP(E2241,'GASB Match'!$A$2:$B$240,2,FALSE),"")</f>
        <v>1305370</v>
      </c>
    </row>
    <row r="2242" spans="1:8" x14ac:dyDescent="0.2">
      <c r="A2242">
        <v>1305370</v>
      </c>
      <c r="B2242" s="3">
        <v>2023</v>
      </c>
      <c r="C2242" t="s">
        <v>558</v>
      </c>
      <c r="D2242" t="s">
        <v>559</v>
      </c>
      <c r="E2242" t="s">
        <v>559</v>
      </c>
      <c r="F2242" s="4">
        <v>11454571</v>
      </c>
      <c r="G2242" s="4">
        <v>28219</v>
      </c>
      <c r="H2242">
        <f>IFERROR(VLOOKUP(E2242,'GASB Match'!$A$2:$B$240,2,FALSE),"")</f>
        <v>1305370</v>
      </c>
    </row>
    <row r="2243" spans="1:8" x14ac:dyDescent="0.2">
      <c r="A2243" t="s">
        <v>7</v>
      </c>
      <c r="B2243" s="3">
        <v>2015</v>
      </c>
      <c r="C2243" t="s">
        <v>560</v>
      </c>
      <c r="D2243" t="s">
        <v>561</v>
      </c>
      <c r="E2243" t="s">
        <v>561</v>
      </c>
      <c r="F2243" s="4">
        <v>52990.32</v>
      </c>
      <c r="G2243" s="4" t="s">
        <v>7</v>
      </c>
      <c r="H2243" t="str">
        <f>IFERROR(VLOOKUP(E2243,'GASB Match'!$A$2:$B$240,2,FALSE),"")</f>
        <v/>
      </c>
    </row>
    <row r="2244" spans="1:8" x14ac:dyDescent="0.2">
      <c r="A2244" t="s">
        <v>7</v>
      </c>
      <c r="B2244" s="3">
        <v>2016</v>
      </c>
      <c r="C2244" t="s">
        <v>560</v>
      </c>
      <c r="D2244" t="s">
        <v>561</v>
      </c>
      <c r="E2244" t="s">
        <v>561</v>
      </c>
      <c r="F2244" s="4">
        <v>61422.52</v>
      </c>
      <c r="G2244" s="4" t="s">
        <v>7</v>
      </c>
      <c r="H2244" t="str">
        <f>IFERROR(VLOOKUP(E2244,'GASB Match'!$A$2:$B$240,2,FALSE),"")</f>
        <v/>
      </c>
    </row>
    <row r="2245" spans="1:8" x14ac:dyDescent="0.2">
      <c r="A2245" t="s">
        <v>7</v>
      </c>
      <c r="B2245" s="3">
        <v>2017</v>
      </c>
      <c r="C2245" t="s">
        <v>560</v>
      </c>
      <c r="D2245" t="s">
        <v>561</v>
      </c>
      <c r="E2245" t="s">
        <v>561</v>
      </c>
      <c r="F2245" s="4">
        <v>65026</v>
      </c>
      <c r="G2245" s="4" t="s">
        <v>7</v>
      </c>
      <c r="H2245" t="str">
        <f>IFERROR(VLOOKUP(E2245,'GASB Match'!$A$2:$B$240,2,FALSE),"")</f>
        <v/>
      </c>
    </row>
    <row r="2246" spans="1:8" x14ac:dyDescent="0.2">
      <c r="A2246" t="s">
        <v>7</v>
      </c>
      <c r="B2246" s="3">
        <v>2018</v>
      </c>
      <c r="C2246" t="s">
        <v>560</v>
      </c>
      <c r="D2246" t="s">
        <v>561</v>
      </c>
      <c r="E2246" t="s">
        <v>561</v>
      </c>
      <c r="F2246" s="4">
        <v>74278</v>
      </c>
      <c r="G2246" s="4" t="s">
        <v>7</v>
      </c>
      <c r="H2246" t="str">
        <f>IFERROR(VLOOKUP(E2246,'GASB Match'!$A$2:$B$240,2,FALSE),"")</f>
        <v/>
      </c>
    </row>
    <row r="2247" spans="1:8" x14ac:dyDescent="0.2">
      <c r="A2247" t="s">
        <v>7</v>
      </c>
      <c r="B2247" s="3">
        <v>2019</v>
      </c>
      <c r="C2247" t="s">
        <v>560</v>
      </c>
      <c r="D2247" t="s">
        <v>561</v>
      </c>
      <c r="E2247" t="s">
        <v>561</v>
      </c>
      <c r="F2247" s="4">
        <v>92374</v>
      </c>
      <c r="G2247" s="4" t="s">
        <v>7</v>
      </c>
      <c r="H2247" t="str">
        <f>IFERROR(VLOOKUP(E2247,'GASB Match'!$A$2:$B$240,2,FALSE),"")</f>
        <v/>
      </c>
    </row>
    <row r="2248" spans="1:8" x14ac:dyDescent="0.2">
      <c r="A2248" t="s">
        <v>7</v>
      </c>
      <c r="B2248" s="3">
        <v>2020</v>
      </c>
      <c r="C2248" t="s">
        <v>560</v>
      </c>
      <c r="D2248" t="s">
        <v>561</v>
      </c>
      <c r="E2248" t="s">
        <v>561</v>
      </c>
      <c r="F2248" s="4">
        <v>96020</v>
      </c>
      <c r="G2248" s="4" t="s">
        <v>7</v>
      </c>
      <c r="H2248" t="str">
        <f>IFERROR(VLOOKUP(E2248,'GASB Match'!$A$2:$B$240,2,FALSE),"")</f>
        <v/>
      </c>
    </row>
    <row r="2249" spans="1:8" x14ac:dyDescent="0.2">
      <c r="A2249" t="s">
        <v>7</v>
      </c>
      <c r="B2249" s="3">
        <v>2021</v>
      </c>
      <c r="C2249" t="s">
        <v>560</v>
      </c>
      <c r="D2249" t="s">
        <v>561</v>
      </c>
      <c r="E2249" t="s">
        <v>561</v>
      </c>
      <c r="F2249" s="4">
        <v>92430</v>
      </c>
      <c r="G2249" s="4" t="s">
        <v>7</v>
      </c>
      <c r="H2249" t="str">
        <f>IFERROR(VLOOKUP(E2249,'GASB Match'!$A$2:$B$240,2,FALSE),"")</f>
        <v/>
      </c>
    </row>
    <row r="2250" spans="1:8" x14ac:dyDescent="0.2">
      <c r="A2250" t="s">
        <v>7</v>
      </c>
      <c r="B2250" s="3">
        <v>2022</v>
      </c>
      <c r="C2250" t="s">
        <v>560</v>
      </c>
      <c r="D2250" t="s">
        <v>561</v>
      </c>
      <c r="E2250" t="s">
        <v>561</v>
      </c>
      <c r="F2250" s="4">
        <v>99441</v>
      </c>
      <c r="G2250" s="4" t="s">
        <v>7</v>
      </c>
      <c r="H2250" t="str">
        <f>IFERROR(VLOOKUP(E2250,'GASB Match'!$A$2:$B$240,2,FALSE),"")</f>
        <v/>
      </c>
    </row>
    <row r="2251" spans="1:8" x14ac:dyDescent="0.2">
      <c r="A2251" t="s">
        <v>7</v>
      </c>
      <c r="B2251" s="3">
        <v>2023</v>
      </c>
      <c r="C2251" t="s">
        <v>560</v>
      </c>
      <c r="D2251" t="s">
        <v>561</v>
      </c>
      <c r="E2251" t="s">
        <v>561</v>
      </c>
      <c r="F2251" s="4">
        <v>105478</v>
      </c>
      <c r="G2251" s="4" t="s">
        <v>7</v>
      </c>
      <c r="H2251" t="str">
        <f>IFERROR(VLOOKUP(E2251,'GASB Match'!$A$2:$B$240,2,FALSE),"")</f>
        <v/>
      </c>
    </row>
    <row r="2252" spans="1:8" x14ac:dyDescent="0.2">
      <c r="A2252">
        <v>1305390</v>
      </c>
      <c r="B2252" s="3">
        <v>2015</v>
      </c>
      <c r="C2252" t="s">
        <v>562</v>
      </c>
      <c r="D2252" t="s">
        <v>563</v>
      </c>
      <c r="E2252" t="s">
        <v>563</v>
      </c>
      <c r="F2252" s="4">
        <v>8546673.3599999901</v>
      </c>
      <c r="G2252" s="4">
        <v>97593.289999999906</v>
      </c>
      <c r="H2252">
        <f>IFERROR(VLOOKUP(E2252,'GASB Match'!$A$2:$B$240,2,FALSE),"")</f>
        <v>1305390</v>
      </c>
    </row>
    <row r="2253" spans="1:8" x14ac:dyDescent="0.2">
      <c r="A2253">
        <v>1305390</v>
      </c>
      <c r="B2253" s="3">
        <v>2016</v>
      </c>
      <c r="C2253" t="s">
        <v>562</v>
      </c>
      <c r="D2253" t="s">
        <v>563</v>
      </c>
      <c r="E2253" t="s">
        <v>563</v>
      </c>
      <c r="F2253" s="4">
        <v>9618726.8900000006</v>
      </c>
      <c r="G2253" s="4">
        <v>114783.26</v>
      </c>
      <c r="H2253">
        <f>IFERROR(VLOOKUP(E2253,'GASB Match'!$A$2:$B$240,2,FALSE),"")</f>
        <v>1305390</v>
      </c>
    </row>
    <row r="2254" spans="1:8" x14ac:dyDescent="0.2">
      <c r="A2254">
        <v>1305390</v>
      </c>
      <c r="B2254" s="3">
        <v>2017</v>
      </c>
      <c r="C2254" t="s">
        <v>562</v>
      </c>
      <c r="D2254" t="s">
        <v>563</v>
      </c>
      <c r="E2254" t="s">
        <v>563</v>
      </c>
      <c r="F2254" s="4">
        <v>10144560</v>
      </c>
      <c r="G2254" s="4">
        <v>73819</v>
      </c>
      <c r="H2254">
        <f>IFERROR(VLOOKUP(E2254,'GASB Match'!$A$2:$B$240,2,FALSE),"")</f>
        <v>1305390</v>
      </c>
    </row>
    <row r="2255" spans="1:8" x14ac:dyDescent="0.2">
      <c r="A2255">
        <v>1305390</v>
      </c>
      <c r="B2255" s="3">
        <v>2018</v>
      </c>
      <c r="C2255" t="s">
        <v>562</v>
      </c>
      <c r="D2255" t="s">
        <v>563</v>
      </c>
      <c r="E2255" t="s">
        <v>563</v>
      </c>
      <c r="F2255" s="4">
        <v>12469805</v>
      </c>
      <c r="G2255" s="4">
        <v>33576</v>
      </c>
      <c r="H2255">
        <f>IFERROR(VLOOKUP(E2255,'GASB Match'!$A$2:$B$240,2,FALSE),"")</f>
        <v>1305390</v>
      </c>
    </row>
    <row r="2256" spans="1:8" x14ac:dyDescent="0.2">
      <c r="A2256">
        <v>1305390</v>
      </c>
      <c r="B2256" s="3">
        <v>2019</v>
      </c>
      <c r="C2256" t="s">
        <v>562</v>
      </c>
      <c r="D2256" t="s">
        <v>563</v>
      </c>
      <c r="E2256" t="s">
        <v>563</v>
      </c>
      <c r="F2256" s="4">
        <v>15893518</v>
      </c>
      <c r="G2256" s="4">
        <v>43388</v>
      </c>
      <c r="H2256">
        <f>IFERROR(VLOOKUP(E2256,'GASB Match'!$A$2:$B$240,2,FALSE),"")</f>
        <v>1305390</v>
      </c>
    </row>
    <row r="2257" spans="1:8" x14ac:dyDescent="0.2">
      <c r="A2257">
        <v>1305390</v>
      </c>
      <c r="B2257" s="3">
        <v>2020</v>
      </c>
      <c r="C2257" t="s">
        <v>562</v>
      </c>
      <c r="D2257" t="s">
        <v>563</v>
      </c>
      <c r="E2257" t="s">
        <v>563</v>
      </c>
      <c r="F2257" s="4">
        <v>16963673</v>
      </c>
      <c r="G2257" s="4">
        <v>44825</v>
      </c>
      <c r="H2257">
        <f>IFERROR(VLOOKUP(E2257,'GASB Match'!$A$2:$B$240,2,FALSE),"")</f>
        <v>1305390</v>
      </c>
    </row>
    <row r="2258" spans="1:8" x14ac:dyDescent="0.2">
      <c r="A2258">
        <v>1305390</v>
      </c>
      <c r="B2258" s="3">
        <v>2021</v>
      </c>
      <c r="C2258" t="s">
        <v>562</v>
      </c>
      <c r="D2258" t="s">
        <v>563</v>
      </c>
      <c r="E2258" t="s">
        <v>563</v>
      </c>
      <c r="F2258" s="4">
        <v>15473430</v>
      </c>
      <c r="G2258" s="4">
        <v>44397</v>
      </c>
      <c r="H2258">
        <f>IFERROR(VLOOKUP(E2258,'GASB Match'!$A$2:$B$240,2,FALSE),"")</f>
        <v>1305390</v>
      </c>
    </row>
    <row r="2259" spans="1:8" x14ac:dyDescent="0.2">
      <c r="A2259">
        <v>1305390</v>
      </c>
      <c r="B2259" s="3">
        <v>2022</v>
      </c>
      <c r="C2259" t="s">
        <v>562</v>
      </c>
      <c r="D2259" t="s">
        <v>563</v>
      </c>
      <c r="E2259" t="s">
        <v>563</v>
      </c>
      <c r="F2259" s="4">
        <v>17248937</v>
      </c>
      <c r="G2259" s="4">
        <v>36149</v>
      </c>
      <c r="H2259">
        <f>IFERROR(VLOOKUP(E2259,'GASB Match'!$A$2:$B$240,2,FALSE),"")</f>
        <v>1305390</v>
      </c>
    </row>
    <row r="2260" spans="1:8" x14ac:dyDescent="0.2">
      <c r="A2260">
        <v>1305390</v>
      </c>
      <c r="B2260" s="3">
        <v>2023</v>
      </c>
      <c r="C2260" t="s">
        <v>562</v>
      </c>
      <c r="D2260" t="s">
        <v>563</v>
      </c>
      <c r="E2260" t="s">
        <v>563</v>
      </c>
      <c r="F2260" s="4">
        <v>17856220</v>
      </c>
      <c r="G2260" s="4">
        <v>40972</v>
      </c>
      <c r="H2260">
        <f>IFERROR(VLOOKUP(E2260,'GASB Match'!$A$2:$B$240,2,FALSE),"")</f>
        <v>1305390</v>
      </c>
    </row>
    <row r="2261" spans="1:8" x14ac:dyDescent="0.2">
      <c r="A2261">
        <v>1305430</v>
      </c>
      <c r="B2261" s="3">
        <v>2015</v>
      </c>
      <c r="C2261" t="s">
        <v>564</v>
      </c>
      <c r="D2261" t="s">
        <v>565</v>
      </c>
      <c r="E2261" t="s">
        <v>565</v>
      </c>
      <c r="F2261" s="4">
        <v>4151237.78</v>
      </c>
      <c r="G2261" s="4">
        <v>43428.92</v>
      </c>
      <c r="H2261">
        <f>IFERROR(VLOOKUP(E2261,'GASB Match'!$A$2:$B$240,2,FALSE),"")</f>
        <v>1305430</v>
      </c>
    </row>
    <row r="2262" spans="1:8" x14ac:dyDescent="0.2">
      <c r="A2262">
        <v>1305430</v>
      </c>
      <c r="B2262" s="3">
        <v>2016</v>
      </c>
      <c r="C2262" t="s">
        <v>564</v>
      </c>
      <c r="D2262" t="s">
        <v>565</v>
      </c>
      <c r="E2262" t="s">
        <v>565</v>
      </c>
      <c r="F2262" s="4">
        <v>4681748.03</v>
      </c>
      <c r="G2262" s="4">
        <v>58748.23</v>
      </c>
      <c r="H2262">
        <f>IFERROR(VLOOKUP(E2262,'GASB Match'!$A$2:$B$240,2,FALSE),"")</f>
        <v>1305430</v>
      </c>
    </row>
    <row r="2263" spans="1:8" x14ac:dyDescent="0.2">
      <c r="A2263">
        <v>1305430</v>
      </c>
      <c r="B2263" s="3">
        <v>2017</v>
      </c>
      <c r="C2263" t="s">
        <v>564</v>
      </c>
      <c r="D2263" t="s">
        <v>565</v>
      </c>
      <c r="E2263" t="s">
        <v>565</v>
      </c>
      <c r="F2263" s="4">
        <v>4802750</v>
      </c>
      <c r="G2263" s="4">
        <v>44313</v>
      </c>
      <c r="H2263">
        <f>IFERROR(VLOOKUP(E2263,'GASB Match'!$A$2:$B$240,2,FALSE),"")</f>
        <v>1305430</v>
      </c>
    </row>
    <row r="2264" spans="1:8" x14ac:dyDescent="0.2">
      <c r="A2264">
        <v>1305430</v>
      </c>
      <c r="B2264" s="3">
        <v>2018</v>
      </c>
      <c r="C2264" t="s">
        <v>564</v>
      </c>
      <c r="D2264" t="s">
        <v>565</v>
      </c>
      <c r="E2264" t="s">
        <v>565</v>
      </c>
      <c r="F2264" s="4">
        <v>5771578</v>
      </c>
      <c r="G2264" s="4">
        <v>31914</v>
      </c>
      <c r="H2264">
        <f>IFERROR(VLOOKUP(E2264,'GASB Match'!$A$2:$B$240,2,FALSE),"")</f>
        <v>1305430</v>
      </c>
    </row>
    <row r="2265" spans="1:8" x14ac:dyDescent="0.2">
      <c r="A2265">
        <v>1305430</v>
      </c>
      <c r="B2265" s="3">
        <v>2019</v>
      </c>
      <c r="C2265" t="s">
        <v>564</v>
      </c>
      <c r="D2265" t="s">
        <v>565</v>
      </c>
      <c r="E2265" t="s">
        <v>565</v>
      </c>
      <c r="F2265" s="4">
        <v>7359080</v>
      </c>
      <c r="G2265" s="4">
        <v>42425</v>
      </c>
      <c r="H2265">
        <f>IFERROR(VLOOKUP(E2265,'GASB Match'!$A$2:$B$240,2,FALSE),"")</f>
        <v>1305430</v>
      </c>
    </row>
    <row r="2266" spans="1:8" x14ac:dyDescent="0.2">
      <c r="A2266">
        <v>1305430</v>
      </c>
      <c r="B2266" s="3">
        <v>2020</v>
      </c>
      <c r="C2266" t="s">
        <v>564</v>
      </c>
      <c r="D2266" t="s">
        <v>565</v>
      </c>
      <c r="E2266" t="s">
        <v>565</v>
      </c>
      <c r="F2266" s="4">
        <v>8036448</v>
      </c>
      <c r="G2266" s="4">
        <v>45026</v>
      </c>
      <c r="H2266">
        <f>IFERROR(VLOOKUP(E2266,'GASB Match'!$A$2:$B$240,2,FALSE),"")</f>
        <v>1305430</v>
      </c>
    </row>
    <row r="2267" spans="1:8" x14ac:dyDescent="0.2">
      <c r="A2267">
        <v>1305430</v>
      </c>
      <c r="B2267" s="3">
        <v>2021</v>
      </c>
      <c r="C2267" t="s">
        <v>564</v>
      </c>
      <c r="D2267" t="s">
        <v>565</v>
      </c>
      <c r="E2267" t="s">
        <v>565</v>
      </c>
      <c r="F2267" s="4">
        <v>7280626</v>
      </c>
      <c r="G2267" s="4">
        <v>40596</v>
      </c>
      <c r="H2267">
        <f>IFERROR(VLOOKUP(E2267,'GASB Match'!$A$2:$B$240,2,FALSE),"")</f>
        <v>1305430</v>
      </c>
    </row>
    <row r="2268" spans="1:8" x14ac:dyDescent="0.2">
      <c r="A2268">
        <v>1305430</v>
      </c>
      <c r="B2268" s="3">
        <v>2022</v>
      </c>
      <c r="C2268" t="s">
        <v>564</v>
      </c>
      <c r="D2268" t="s">
        <v>565</v>
      </c>
      <c r="E2268" t="s">
        <v>565</v>
      </c>
      <c r="F2268" s="4">
        <v>7838668</v>
      </c>
      <c r="G2268" s="4">
        <v>42193</v>
      </c>
      <c r="H2268">
        <f>IFERROR(VLOOKUP(E2268,'GASB Match'!$A$2:$B$240,2,FALSE),"")</f>
        <v>1305430</v>
      </c>
    </row>
    <row r="2269" spans="1:8" x14ac:dyDescent="0.2">
      <c r="A2269">
        <v>1305430</v>
      </c>
      <c r="B2269" s="3">
        <v>2023</v>
      </c>
      <c r="C2269" t="s">
        <v>564</v>
      </c>
      <c r="D2269" t="s">
        <v>565</v>
      </c>
      <c r="E2269" t="s">
        <v>565</v>
      </c>
      <c r="F2269" s="4">
        <v>8331261</v>
      </c>
      <c r="G2269" s="4">
        <v>44055</v>
      </c>
      <c r="H2269">
        <f>IFERROR(VLOOKUP(E2269,'GASB Match'!$A$2:$B$240,2,FALSE),"")</f>
        <v>1305430</v>
      </c>
    </row>
    <row r="2270" spans="1:8" x14ac:dyDescent="0.2">
      <c r="A2270">
        <v>1305460</v>
      </c>
      <c r="B2270" s="3">
        <v>2015</v>
      </c>
      <c r="C2270" t="s">
        <v>566</v>
      </c>
      <c r="D2270" t="s">
        <v>567</v>
      </c>
      <c r="E2270" t="s">
        <v>567</v>
      </c>
      <c r="F2270" s="4">
        <v>448255.59</v>
      </c>
      <c r="G2270" s="4">
        <v>3462.06</v>
      </c>
      <c r="H2270">
        <f>IFERROR(VLOOKUP(E2270,'GASB Match'!$A$2:$B$240,2,FALSE),"")</f>
        <v>1305460</v>
      </c>
    </row>
    <row r="2271" spans="1:8" x14ac:dyDescent="0.2">
      <c r="A2271">
        <v>1305460</v>
      </c>
      <c r="B2271" s="3">
        <v>2016</v>
      </c>
      <c r="C2271" t="s">
        <v>566</v>
      </c>
      <c r="D2271" t="s">
        <v>567</v>
      </c>
      <c r="E2271" t="s">
        <v>567</v>
      </c>
      <c r="F2271" s="4">
        <v>511111.72</v>
      </c>
      <c r="G2271" s="4">
        <v>2889.33</v>
      </c>
      <c r="H2271">
        <f>IFERROR(VLOOKUP(E2271,'GASB Match'!$A$2:$B$240,2,FALSE),"")</f>
        <v>1305460</v>
      </c>
    </row>
    <row r="2272" spans="1:8" x14ac:dyDescent="0.2">
      <c r="A2272">
        <v>1305460</v>
      </c>
      <c r="B2272" s="3">
        <v>2017</v>
      </c>
      <c r="C2272" t="s">
        <v>566</v>
      </c>
      <c r="D2272" t="s">
        <v>567</v>
      </c>
      <c r="E2272" t="s">
        <v>567</v>
      </c>
      <c r="F2272" s="4">
        <v>537626</v>
      </c>
      <c r="G2272" s="4" t="s">
        <v>7</v>
      </c>
      <c r="H2272">
        <f>IFERROR(VLOOKUP(E2272,'GASB Match'!$A$2:$B$240,2,FALSE),"")</f>
        <v>1305460</v>
      </c>
    </row>
    <row r="2273" spans="1:8" x14ac:dyDescent="0.2">
      <c r="A2273">
        <v>1305460</v>
      </c>
      <c r="B2273" s="3">
        <v>2018</v>
      </c>
      <c r="C2273" t="s">
        <v>566</v>
      </c>
      <c r="D2273" t="s">
        <v>567</v>
      </c>
      <c r="E2273" t="s">
        <v>567</v>
      </c>
      <c r="F2273" s="4">
        <v>662751</v>
      </c>
      <c r="G2273" s="4" t="s">
        <v>7</v>
      </c>
      <c r="H2273">
        <f>IFERROR(VLOOKUP(E2273,'GASB Match'!$A$2:$B$240,2,FALSE),"")</f>
        <v>1305460</v>
      </c>
    </row>
    <row r="2274" spans="1:8" x14ac:dyDescent="0.2">
      <c r="A2274">
        <v>1305460</v>
      </c>
      <c r="B2274" s="3">
        <v>2019</v>
      </c>
      <c r="C2274" t="s">
        <v>566</v>
      </c>
      <c r="D2274" t="s">
        <v>567</v>
      </c>
      <c r="E2274" t="s">
        <v>567</v>
      </c>
      <c r="F2274" s="4">
        <v>841049</v>
      </c>
      <c r="G2274" s="4" t="s">
        <v>7</v>
      </c>
      <c r="H2274">
        <f>IFERROR(VLOOKUP(E2274,'GASB Match'!$A$2:$B$240,2,FALSE),"")</f>
        <v>1305460</v>
      </c>
    </row>
    <row r="2275" spans="1:8" x14ac:dyDescent="0.2">
      <c r="A2275">
        <v>1305460</v>
      </c>
      <c r="B2275" s="3">
        <v>2020</v>
      </c>
      <c r="C2275" t="s">
        <v>566</v>
      </c>
      <c r="D2275" t="s">
        <v>567</v>
      </c>
      <c r="E2275" t="s">
        <v>567</v>
      </c>
      <c r="F2275" s="4">
        <v>871026</v>
      </c>
      <c r="G2275" s="4" t="s">
        <v>7</v>
      </c>
      <c r="H2275">
        <f>IFERROR(VLOOKUP(E2275,'GASB Match'!$A$2:$B$240,2,FALSE),"")</f>
        <v>1305460</v>
      </c>
    </row>
    <row r="2276" spans="1:8" x14ac:dyDescent="0.2">
      <c r="A2276">
        <v>1305460</v>
      </c>
      <c r="B2276" s="3">
        <v>2021</v>
      </c>
      <c r="C2276" t="s">
        <v>566</v>
      </c>
      <c r="D2276" t="s">
        <v>567</v>
      </c>
      <c r="E2276" t="s">
        <v>567</v>
      </c>
      <c r="F2276" s="4">
        <v>769413</v>
      </c>
      <c r="G2276" s="4" t="s">
        <v>7</v>
      </c>
      <c r="H2276">
        <f>IFERROR(VLOOKUP(E2276,'GASB Match'!$A$2:$B$240,2,FALSE),"")</f>
        <v>1305460</v>
      </c>
    </row>
    <row r="2277" spans="1:8" x14ac:dyDescent="0.2">
      <c r="A2277">
        <v>1305460</v>
      </c>
      <c r="B2277" s="3">
        <v>2022</v>
      </c>
      <c r="C2277" t="s">
        <v>566</v>
      </c>
      <c r="D2277" t="s">
        <v>567</v>
      </c>
      <c r="E2277" t="s">
        <v>567</v>
      </c>
      <c r="F2277" s="4">
        <v>884497</v>
      </c>
      <c r="G2277" s="4" t="s">
        <v>7</v>
      </c>
      <c r="H2277">
        <f>IFERROR(VLOOKUP(E2277,'GASB Match'!$A$2:$B$240,2,FALSE),"")</f>
        <v>1305460</v>
      </c>
    </row>
    <row r="2278" spans="1:8" x14ac:dyDescent="0.2">
      <c r="A2278">
        <v>1305460</v>
      </c>
      <c r="B2278" s="3">
        <v>2023</v>
      </c>
      <c r="C2278" t="s">
        <v>566</v>
      </c>
      <c r="D2278" t="s">
        <v>567</v>
      </c>
      <c r="E2278" t="s">
        <v>567</v>
      </c>
      <c r="F2278" s="4">
        <v>1015625</v>
      </c>
      <c r="G2278" s="4" t="s">
        <v>7</v>
      </c>
      <c r="H2278">
        <f>IFERROR(VLOOKUP(E2278,'GASB Match'!$A$2:$B$240,2,FALSE),"")</f>
        <v>1305460</v>
      </c>
    </row>
    <row r="2279" spans="1:8" x14ac:dyDescent="0.2">
      <c r="A2279" t="s">
        <v>7</v>
      </c>
      <c r="B2279" s="3">
        <v>2015</v>
      </c>
      <c r="C2279" t="s">
        <v>568</v>
      </c>
      <c r="D2279" t="s">
        <v>569</v>
      </c>
      <c r="E2279" t="s">
        <v>569</v>
      </c>
      <c r="F2279" s="4">
        <v>3755.44</v>
      </c>
      <c r="G2279" s="4" t="s">
        <v>7</v>
      </c>
      <c r="H2279" t="str">
        <f>IFERROR(VLOOKUP(E2279,'GASB Match'!$A$2:$B$240,2,FALSE),"")</f>
        <v/>
      </c>
    </row>
    <row r="2280" spans="1:8" x14ac:dyDescent="0.2">
      <c r="A2280" t="s">
        <v>7</v>
      </c>
      <c r="B2280" s="3">
        <v>2016</v>
      </c>
      <c r="C2280" t="s">
        <v>568</v>
      </c>
      <c r="D2280" t="s">
        <v>569</v>
      </c>
      <c r="E2280" t="s">
        <v>569</v>
      </c>
      <c r="F2280" s="4">
        <v>3918.52</v>
      </c>
      <c r="G2280" s="4" t="s">
        <v>7</v>
      </c>
      <c r="H2280" t="str">
        <f>IFERROR(VLOOKUP(E2280,'GASB Match'!$A$2:$B$240,2,FALSE),"")</f>
        <v/>
      </c>
    </row>
    <row r="2281" spans="1:8" x14ac:dyDescent="0.2">
      <c r="A2281" t="s">
        <v>7</v>
      </c>
      <c r="B2281" s="3">
        <v>2017</v>
      </c>
      <c r="C2281" t="s">
        <v>568</v>
      </c>
      <c r="D2281" t="s">
        <v>569</v>
      </c>
      <c r="E2281" t="s">
        <v>569</v>
      </c>
      <c r="F2281" s="4">
        <v>4355</v>
      </c>
      <c r="G2281" s="4" t="s">
        <v>7</v>
      </c>
      <c r="H2281" t="str">
        <f>IFERROR(VLOOKUP(E2281,'GASB Match'!$A$2:$B$240,2,FALSE),"")</f>
        <v/>
      </c>
    </row>
    <row r="2282" spans="1:8" x14ac:dyDescent="0.2">
      <c r="A2282" t="s">
        <v>7</v>
      </c>
      <c r="B2282" s="3">
        <v>2018</v>
      </c>
      <c r="C2282" t="s">
        <v>568</v>
      </c>
      <c r="D2282" t="s">
        <v>569</v>
      </c>
      <c r="E2282" t="s">
        <v>569</v>
      </c>
      <c r="F2282" s="4">
        <v>8432</v>
      </c>
      <c r="G2282" s="4" t="s">
        <v>7</v>
      </c>
      <c r="H2282" t="str">
        <f>IFERROR(VLOOKUP(E2282,'GASB Match'!$A$2:$B$240,2,FALSE),"")</f>
        <v/>
      </c>
    </row>
    <row r="2283" spans="1:8" x14ac:dyDescent="0.2">
      <c r="A2283" t="s">
        <v>7</v>
      </c>
      <c r="B2283" s="3">
        <v>2019</v>
      </c>
      <c r="C2283" t="s">
        <v>568</v>
      </c>
      <c r="D2283" t="s">
        <v>569</v>
      </c>
      <c r="E2283" t="s">
        <v>569</v>
      </c>
      <c r="F2283" s="4">
        <v>9665</v>
      </c>
      <c r="G2283" s="4" t="s">
        <v>7</v>
      </c>
      <c r="H2283" t="str">
        <f>IFERROR(VLOOKUP(E2283,'GASB Match'!$A$2:$B$240,2,FALSE),"")</f>
        <v/>
      </c>
    </row>
    <row r="2284" spans="1:8" x14ac:dyDescent="0.2">
      <c r="A2284" t="s">
        <v>7</v>
      </c>
      <c r="B2284" s="3">
        <v>2020</v>
      </c>
      <c r="C2284" t="s">
        <v>568</v>
      </c>
      <c r="D2284" t="s">
        <v>569</v>
      </c>
      <c r="E2284" t="s">
        <v>569</v>
      </c>
      <c r="F2284" s="4">
        <v>10648</v>
      </c>
      <c r="G2284" s="4" t="s">
        <v>7</v>
      </c>
      <c r="H2284" t="str">
        <f>IFERROR(VLOOKUP(E2284,'GASB Match'!$A$2:$B$240,2,FALSE),"")</f>
        <v/>
      </c>
    </row>
    <row r="2285" spans="1:8" x14ac:dyDescent="0.2">
      <c r="A2285" t="s">
        <v>7</v>
      </c>
      <c r="B2285" s="3">
        <v>2021</v>
      </c>
      <c r="C2285" t="s">
        <v>568</v>
      </c>
      <c r="D2285" t="s">
        <v>569</v>
      </c>
      <c r="E2285" t="s">
        <v>569</v>
      </c>
      <c r="F2285" s="4">
        <v>8932</v>
      </c>
      <c r="G2285" s="4" t="s">
        <v>7</v>
      </c>
      <c r="H2285" t="str">
        <f>IFERROR(VLOOKUP(E2285,'GASB Match'!$A$2:$B$240,2,FALSE),"")</f>
        <v/>
      </c>
    </row>
    <row r="2286" spans="1:8" x14ac:dyDescent="0.2">
      <c r="A2286" t="s">
        <v>7</v>
      </c>
      <c r="B2286" s="3">
        <v>2022</v>
      </c>
      <c r="C2286" t="s">
        <v>568</v>
      </c>
      <c r="D2286" t="s">
        <v>569</v>
      </c>
      <c r="E2286" t="s">
        <v>569</v>
      </c>
      <c r="F2286" s="4">
        <v>10633</v>
      </c>
      <c r="G2286" s="4" t="s">
        <v>7</v>
      </c>
      <c r="H2286" t="str">
        <f>IFERROR(VLOOKUP(E2286,'GASB Match'!$A$2:$B$240,2,FALSE),"")</f>
        <v/>
      </c>
    </row>
    <row r="2287" spans="1:8" x14ac:dyDescent="0.2">
      <c r="A2287" t="s">
        <v>7</v>
      </c>
      <c r="B2287" s="3">
        <v>2023</v>
      </c>
      <c r="C2287" t="s">
        <v>568</v>
      </c>
      <c r="D2287" t="s">
        <v>569</v>
      </c>
      <c r="E2287" t="s">
        <v>569</v>
      </c>
      <c r="F2287" s="4">
        <v>9911</v>
      </c>
      <c r="G2287" s="4" t="s">
        <v>7</v>
      </c>
      <c r="H2287" t="str">
        <f>IFERROR(VLOOKUP(E2287,'GASB Match'!$A$2:$B$240,2,FALSE),"")</f>
        <v/>
      </c>
    </row>
    <row r="2288" spans="1:8" x14ac:dyDescent="0.2">
      <c r="A2288">
        <v>1305490</v>
      </c>
      <c r="B2288" s="3">
        <v>2015</v>
      </c>
      <c r="C2288" t="s">
        <v>570</v>
      </c>
      <c r="D2288" t="s">
        <v>571</v>
      </c>
      <c r="E2288" t="s">
        <v>571</v>
      </c>
      <c r="F2288" s="4">
        <v>2151221.87</v>
      </c>
      <c r="G2288" s="4">
        <v>335.68</v>
      </c>
      <c r="H2288">
        <f>IFERROR(VLOOKUP(E2288,'GASB Match'!$A$2:$B$240,2,FALSE),"")</f>
        <v>1305490</v>
      </c>
    </row>
    <row r="2289" spans="1:8" x14ac:dyDescent="0.2">
      <c r="A2289">
        <v>1305490</v>
      </c>
      <c r="B2289" s="3">
        <v>2016</v>
      </c>
      <c r="C2289" t="s">
        <v>570</v>
      </c>
      <c r="D2289" t="s">
        <v>571</v>
      </c>
      <c r="E2289" t="s">
        <v>571</v>
      </c>
      <c r="F2289" s="4">
        <v>2341183.5099999998</v>
      </c>
      <c r="G2289" s="4" t="s">
        <v>7</v>
      </c>
      <c r="H2289">
        <f>IFERROR(VLOOKUP(E2289,'GASB Match'!$A$2:$B$240,2,FALSE),"")</f>
        <v>1305490</v>
      </c>
    </row>
    <row r="2290" spans="1:8" x14ac:dyDescent="0.2">
      <c r="A2290">
        <v>1305490</v>
      </c>
      <c r="B2290" s="3">
        <v>2017</v>
      </c>
      <c r="C2290" t="s">
        <v>570</v>
      </c>
      <c r="D2290" t="s">
        <v>571</v>
      </c>
      <c r="E2290" t="s">
        <v>571</v>
      </c>
      <c r="F2290" s="4">
        <v>2350353</v>
      </c>
      <c r="G2290" s="4" t="s">
        <v>7</v>
      </c>
      <c r="H2290">
        <f>IFERROR(VLOOKUP(E2290,'GASB Match'!$A$2:$B$240,2,FALSE),"")</f>
        <v>1305490</v>
      </c>
    </row>
    <row r="2291" spans="1:8" x14ac:dyDescent="0.2">
      <c r="A2291">
        <v>1305490</v>
      </c>
      <c r="B2291" s="3">
        <v>2018</v>
      </c>
      <c r="C2291" t="s">
        <v>570</v>
      </c>
      <c r="D2291" t="s">
        <v>571</v>
      </c>
      <c r="E2291" t="s">
        <v>571</v>
      </c>
      <c r="F2291" s="4">
        <v>2803218</v>
      </c>
      <c r="G2291" s="4">
        <v>17698</v>
      </c>
      <c r="H2291">
        <f>IFERROR(VLOOKUP(E2291,'GASB Match'!$A$2:$B$240,2,FALSE),"")</f>
        <v>1305490</v>
      </c>
    </row>
    <row r="2292" spans="1:8" x14ac:dyDescent="0.2">
      <c r="A2292">
        <v>1305490</v>
      </c>
      <c r="B2292" s="3">
        <v>2019</v>
      </c>
      <c r="C2292" t="s">
        <v>570</v>
      </c>
      <c r="D2292" t="s">
        <v>571</v>
      </c>
      <c r="E2292" t="s">
        <v>571</v>
      </c>
      <c r="F2292" s="4">
        <v>3482178</v>
      </c>
      <c r="G2292" s="4">
        <v>23263</v>
      </c>
      <c r="H2292">
        <f>IFERROR(VLOOKUP(E2292,'GASB Match'!$A$2:$B$240,2,FALSE),"")</f>
        <v>1305490</v>
      </c>
    </row>
    <row r="2293" spans="1:8" x14ac:dyDescent="0.2">
      <c r="A2293">
        <v>1305490</v>
      </c>
      <c r="B2293" s="3">
        <v>2020</v>
      </c>
      <c r="C2293" t="s">
        <v>570</v>
      </c>
      <c r="D2293" t="s">
        <v>571</v>
      </c>
      <c r="E2293" t="s">
        <v>571</v>
      </c>
      <c r="F2293" s="4">
        <v>3716517</v>
      </c>
      <c r="G2293" s="4">
        <v>24182</v>
      </c>
      <c r="H2293">
        <f>IFERROR(VLOOKUP(E2293,'GASB Match'!$A$2:$B$240,2,FALSE),"")</f>
        <v>1305490</v>
      </c>
    </row>
    <row r="2294" spans="1:8" x14ac:dyDescent="0.2">
      <c r="A2294">
        <v>1305490</v>
      </c>
      <c r="B2294" s="3">
        <v>2021</v>
      </c>
      <c r="C2294" t="s">
        <v>570</v>
      </c>
      <c r="D2294" t="s">
        <v>571</v>
      </c>
      <c r="E2294" t="s">
        <v>571</v>
      </c>
      <c r="F2294" s="4">
        <v>3440560</v>
      </c>
      <c r="G2294" s="4">
        <v>23052</v>
      </c>
      <c r="H2294">
        <f>IFERROR(VLOOKUP(E2294,'GASB Match'!$A$2:$B$240,2,FALSE),"")</f>
        <v>1305490</v>
      </c>
    </row>
    <row r="2295" spans="1:8" x14ac:dyDescent="0.2">
      <c r="A2295">
        <v>1305490</v>
      </c>
      <c r="B2295" s="3">
        <v>2022</v>
      </c>
      <c r="C2295" t="s">
        <v>570</v>
      </c>
      <c r="D2295" t="s">
        <v>571</v>
      </c>
      <c r="E2295" t="s">
        <v>571</v>
      </c>
      <c r="F2295" s="4">
        <v>3650028</v>
      </c>
      <c r="G2295" s="4">
        <v>16906</v>
      </c>
      <c r="H2295">
        <f>IFERROR(VLOOKUP(E2295,'GASB Match'!$A$2:$B$240,2,FALSE),"")</f>
        <v>1305490</v>
      </c>
    </row>
    <row r="2296" spans="1:8" x14ac:dyDescent="0.2">
      <c r="A2296">
        <v>1305490</v>
      </c>
      <c r="B2296" s="3">
        <v>2023</v>
      </c>
      <c r="C2296" t="s">
        <v>570</v>
      </c>
      <c r="D2296" t="s">
        <v>571</v>
      </c>
      <c r="E2296" t="s">
        <v>571</v>
      </c>
      <c r="F2296" s="4">
        <v>3746937</v>
      </c>
      <c r="G2296" s="4">
        <v>29389</v>
      </c>
      <c r="H2296">
        <f>IFERROR(VLOOKUP(E2296,'GASB Match'!$A$2:$B$240,2,FALSE),"")</f>
        <v>1305490</v>
      </c>
    </row>
    <row r="2297" spans="1:8" x14ac:dyDescent="0.2">
      <c r="A2297">
        <v>1305550</v>
      </c>
      <c r="B2297" s="3">
        <v>2015</v>
      </c>
      <c r="C2297" t="s">
        <v>572</v>
      </c>
      <c r="D2297" t="s">
        <v>573</v>
      </c>
      <c r="E2297" t="s">
        <v>573</v>
      </c>
      <c r="F2297" s="4">
        <v>3210183.36</v>
      </c>
      <c r="G2297" s="4">
        <v>54521.04</v>
      </c>
      <c r="H2297">
        <f>IFERROR(VLOOKUP(E2297,'GASB Match'!$A$2:$B$240,2,FALSE),"")</f>
        <v>1305550</v>
      </c>
    </row>
    <row r="2298" spans="1:8" x14ac:dyDescent="0.2">
      <c r="A2298">
        <v>1305550</v>
      </c>
      <c r="B2298" s="3">
        <v>2016</v>
      </c>
      <c r="C2298" t="s">
        <v>572</v>
      </c>
      <c r="D2298" t="s">
        <v>573</v>
      </c>
      <c r="E2298" t="s">
        <v>573</v>
      </c>
      <c r="F2298" s="4">
        <v>3561580.83</v>
      </c>
      <c r="G2298" s="4">
        <v>59335.3</v>
      </c>
      <c r="H2298">
        <f>IFERROR(VLOOKUP(E2298,'GASB Match'!$A$2:$B$240,2,FALSE),"")</f>
        <v>1305550</v>
      </c>
    </row>
    <row r="2299" spans="1:8" x14ac:dyDescent="0.2">
      <c r="A2299">
        <v>1305550</v>
      </c>
      <c r="B2299" s="3">
        <v>2017</v>
      </c>
      <c r="C2299" t="s">
        <v>572</v>
      </c>
      <c r="D2299" t="s">
        <v>573</v>
      </c>
      <c r="E2299" t="s">
        <v>573</v>
      </c>
      <c r="F2299" s="4">
        <v>3671454</v>
      </c>
      <c r="G2299" s="4">
        <v>35385</v>
      </c>
      <c r="H2299">
        <f>IFERROR(VLOOKUP(E2299,'GASB Match'!$A$2:$B$240,2,FALSE),"")</f>
        <v>1305550</v>
      </c>
    </row>
    <row r="2300" spans="1:8" x14ac:dyDescent="0.2">
      <c r="A2300">
        <v>1305550</v>
      </c>
      <c r="B2300" s="3">
        <v>2018</v>
      </c>
      <c r="C2300" t="s">
        <v>572</v>
      </c>
      <c r="D2300" t="s">
        <v>573</v>
      </c>
      <c r="E2300" t="s">
        <v>573</v>
      </c>
      <c r="F2300" s="4">
        <v>4482332</v>
      </c>
      <c r="G2300" s="4">
        <v>33070</v>
      </c>
      <c r="H2300">
        <f>IFERROR(VLOOKUP(E2300,'GASB Match'!$A$2:$B$240,2,FALSE),"")</f>
        <v>1305550</v>
      </c>
    </row>
    <row r="2301" spans="1:8" x14ac:dyDescent="0.2">
      <c r="A2301">
        <v>1305550</v>
      </c>
      <c r="B2301" s="3">
        <v>2019</v>
      </c>
      <c r="C2301" t="s">
        <v>572</v>
      </c>
      <c r="D2301" t="s">
        <v>573</v>
      </c>
      <c r="E2301" t="s">
        <v>573</v>
      </c>
      <c r="F2301" s="4">
        <v>5581429</v>
      </c>
      <c r="G2301" s="4">
        <v>40165</v>
      </c>
      <c r="H2301">
        <f>IFERROR(VLOOKUP(E2301,'GASB Match'!$A$2:$B$240,2,FALSE),"")</f>
        <v>1305550</v>
      </c>
    </row>
    <row r="2302" spans="1:8" x14ac:dyDescent="0.2">
      <c r="A2302">
        <v>1305550</v>
      </c>
      <c r="B2302" s="3">
        <v>2020</v>
      </c>
      <c r="C2302" t="s">
        <v>572</v>
      </c>
      <c r="D2302" t="s">
        <v>573</v>
      </c>
      <c r="E2302" t="s">
        <v>573</v>
      </c>
      <c r="F2302" s="4">
        <v>5887450</v>
      </c>
      <c r="G2302" s="4">
        <v>44401</v>
      </c>
      <c r="H2302">
        <f>IFERROR(VLOOKUP(E2302,'GASB Match'!$A$2:$B$240,2,FALSE),"")</f>
        <v>1305550</v>
      </c>
    </row>
    <row r="2303" spans="1:8" x14ac:dyDescent="0.2">
      <c r="A2303">
        <v>1305550</v>
      </c>
      <c r="B2303" s="3">
        <v>2021</v>
      </c>
      <c r="C2303" t="s">
        <v>572</v>
      </c>
      <c r="D2303" t="s">
        <v>573</v>
      </c>
      <c r="E2303" t="s">
        <v>573</v>
      </c>
      <c r="F2303" s="4">
        <v>5387943</v>
      </c>
      <c r="G2303" s="4">
        <v>38987</v>
      </c>
      <c r="H2303">
        <f>IFERROR(VLOOKUP(E2303,'GASB Match'!$A$2:$B$240,2,FALSE),"")</f>
        <v>1305550</v>
      </c>
    </row>
    <row r="2304" spans="1:8" x14ac:dyDescent="0.2">
      <c r="A2304">
        <v>1305550</v>
      </c>
      <c r="B2304" s="3">
        <v>2022</v>
      </c>
      <c r="C2304" t="s">
        <v>572</v>
      </c>
      <c r="D2304" t="s">
        <v>573</v>
      </c>
      <c r="E2304" t="s">
        <v>573</v>
      </c>
      <c r="F2304" s="4">
        <v>5583121</v>
      </c>
      <c r="G2304" s="4">
        <v>41096</v>
      </c>
      <c r="H2304">
        <f>IFERROR(VLOOKUP(E2304,'GASB Match'!$A$2:$B$240,2,FALSE),"")</f>
        <v>1305550</v>
      </c>
    </row>
    <row r="2305" spans="1:8" x14ac:dyDescent="0.2">
      <c r="A2305">
        <v>1305550</v>
      </c>
      <c r="B2305" s="3">
        <v>2023</v>
      </c>
      <c r="C2305" t="s">
        <v>572</v>
      </c>
      <c r="D2305" t="s">
        <v>573</v>
      </c>
      <c r="E2305" t="s">
        <v>573</v>
      </c>
      <c r="F2305" s="4">
        <v>5937100</v>
      </c>
      <c r="G2305" s="4">
        <v>43540</v>
      </c>
      <c r="H2305">
        <f>IFERROR(VLOOKUP(E2305,'GASB Match'!$A$2:$B$240,2,FALSE),"")</f>
        <v>1305550</v>
      </c>
    </row>
    <row r="2306" spans="1:8" x14ac:dyDescent="0.2">
      <c r="A2306">
        <v>1305580</v>
      </c>
      <c r="B2306" s="3">
        <v>2015</v>
      </c>
      <c r="C2306" t="s">
        <v>574</v>
      </c>
      <c r="D2306" t="s">
        <v>575</v>
      </c>
      <c r="E2306" t="s">
        <v>575</v>
      </c>
      <c r="F2306" s="4">
        <v>333950.7</v>
      </c>
      <c r="G2306" s="4" t="s">
        <v>7</v>
      </c>
      <c r="H2306">
        <f>IFERROR(VLOOKUP(E2306,'GASB Match'!$A$2:$B$240,2,FALSE),"")</f>
        <v>1305580</v>
      </c>
    </row>
    <row r="2307" spans="1:8" x14ac:dyDescent="0.2">
      <c r="A2307">
        <v>1305580</v>
      </c>
      <c r="B2307" s="3">
        <v>2016</v>
      </c>
      <c r="C2307" t="s">
        <v>574</v>
      </c>
      <c r="D2307" t="s">
        <v>575</v>
      </c>
      <c r="E2307" t="s">
        <v>575</v>
      </c>
      <c r="F2307" s="4">
        <v>379305.77</v>
      </c>
      <c r="G2307" s="4" t="s">
        <v>7</v>
      </c>
      <c r="H2307">
        <f>IFERROR(VLOOKUP(E2307,'GASB Match'!$A$2:$B$240,2,FALSE),"")</f>
        <v>1305580</v>
      </c>
    </row>
    <row r="2308" spans="1:8" x14ac:dyDescent="0.2">
      <c r="A2308">
        <v>1305580</v>
      </c>
      <c r="B2308" s="3">
        <v>2017</v>
      </c>
      <c r="C2308" t="s">
        <v>574</v>
      </c>
      <c r="D2308" t="s">
        <v>575</v>
      </c>
      <c r="E2308" t="s">
        <v>575</v>
      </c>
      <c r="F2308" s="4">
        <v>375466</v>
      </c>
      <c r="G2308" s="4" t="s">
        <v>7</v>
      </c>
      <c r="H2308">
        <f>IFERROR(VLOOKUP(E2308,'GASB Match'!$A$2:$B$240,2,FALSE),"")</f>
        <v>1305580</v>
      </c>
    </row>
    <row r="2309" spans="1:8" x14ac:dyDescent="0.2">
      <c r="A2309">
        <v>1305580</v>
      </c>
      <c r="B2309" s="3">
        <v>2018</v>
      </c>
      <c r="C2309" t="s">
        <v>574</v>
      </c>
      <c r="D2309" t="s">
        <v>575</v>
      </c>
      <c r="E2309" t="s">
        <v>575</v>
      </c>
      <c r="F2309" s="4">
        <v>440845</v>
      </c>
      <c r="G2309" s="4" t="s">
        <v>7</v>
      </c>
      <c r="H2309">
        <f>IFERROR(VLOOKUP(E2309,'GASB Match'!$A$2:$B$240,2,FALSE),"")</f>
        <v>1305580</v>
      </c>
    </row>
    <row r="2310" spans="1:8" x14ac:dyDescent="0.2">
      <c r="A2310">
        <v>1305580</v>
      </c>
      <c r="B2310" s="3">
        <v>2019</v>
      </c>
      <c r="C2310" t="s">
        <v>574</v>
      </c>
      <c r="D2310" t="s">
        <v>575</v>
      </c>
      <c r="E2310" t="s">
        <v>575</v>
      </c>
      <c r="F2310" s="4">
        <v>472914</v>
      </c>
      <c r="G2310" s="4" t="s">
        <v>7</v>
      </c>
      <c r="H2310">
        <f>IFERROR(VLOOKUP(E2310,'GASB Match'!$A$2:$B$240,2,FALSE),"")</f>
        <v>1305580</v>
      </c>
    </row>
    <row r="2311" spans="1:8" x14ac:dyDescent="0.2">
      <c r="A2311">
        <v>1305580</v>
      </c>
      <c r="B2311" s="3">
        <v>2020</v>
      </c>
      <c r="C2311" t="s">
        <v>574</v>
      </c>
      <c r="D2311" t="s">
        <v>575</v>
      </c>
      <c r="E2311" t="s">
        <v>575</v>
      </c>
      <c r="F2311" s="4">
        <v>504427</v>
      </c>
      <c r="G2311" s="4" t="s">
        <v>7</v>
      </c>
      <c r="H2311">
        <f>IFERROR(VLOOKUP(E2311,'GASB Match'!$A$2:$B$240,2,FALSE),"")</f>
        <v>1305580</v>
      </c>
    </row>
    <row r="2312" spans="1:8" x14ac:dyDescent="0.2">
      <c r="A2312">
        <v>1305580</v>
      </c>
      <c r="B2312" s="3">
        <v>2021</v>
      </c>
      <c r="C2312" t="s">
        <v>574</v>
      </c>
      <c r="D2312" t="s">
        <v>575</v>
      </c>
      <c r="E2312" t="s">
        <v>575</v>
      </c>
      <c r="F2312" s="4">
        <v>439096</v>
      </c>
      <c r="G2312" s="4" t="s">
        <v>7</v>
      </c>
      <c r="H2312">
        <f>IFERROR(VLOOKUP(E2312,'GASB Match'!$A$2:$B$240,2,FALSE),"")</f>
        <v>1305580</v>
      </c>
    </row>
    <row r="2313" spans="1:8" x14ac:dyDescent="0.2">
      <c r="A2313">
        <v>1305580</v>
      </c>
      <c r="B2313" s="3">
        <v>2022</v>
      </c>
      <c r="C2313" t="s">
        <v>574</v>
      </c>
      <c r="D2313" t="s">
        <v>575</v>
      </c>
      <c r="E2313" t="s">
        <v>575</v>
      </c>
      <c r="F2313" s="4">
        <v>446389</v>
      </c>
      <c r="G2313" s="4" t="s">
        <v>7</v>
      </c>
      <c r="H2313">
        <f>IFERROR(VLOOKUP(E2313,'GASB Match'!$A$2:$B$240,2,FALSE),"")</f>
        <v>1305580</v>
      </c>
    </row>
    <row r="2314" spans="1:8" x14ac:dyDescent="0.2">
      <c r="A2314">
        <v>1305580</v>
      </c>
      <c r="B2314" s="3">
        <v>2023</v>
      </c>
      <c r="C2314" t="s">
        <v>574</v>
      </c>
      <c r="D2314" t="s">
        <v>575</v>
      </c>
      <c r="E2314" t="s">
        <v>575</v>
      </c>
      <c r="F2314" s="4">
        <v>463645</v>
      </c>
      <c r="G2314" s="4" t="s">
        <v>7</v>
      </c>
      <c r="H2314">
        <f>IFERROR(VLOOKUP(E2314,'GASB Match'!$A$2:$B$240,2,FALSE),"")</f>
        <v>1305580</v>
      </c>
    </row>
    <row r="2315" spans="1:8" x14ac:dyDescent="0.2">
      <c r="A2315">
        <v>1305640</v>
      </c>
      <c r="B2315" s="3">
        <v>2015</v>
      </c>
      <c r="C2315" t="s">
        <v>576</v>
      </c>
      <c r="D2315" t="s">
        <v>577</v>
      </c>
      <c r="E2315" t="s">
        <v>577</v>
      </c>
      <c r="F2315" s="4">
        <v>698894.7</v>
      </c>
      <c r="G2315" s="4" t="s">
        <v>7</v>
      </c>
      <c r="H2315">
        <f>IFERROR(VLOOKUP(E2315,'GASB Match'!$A$2:$B$240,2,FALSE),"")</f>
        <v>1305640</v>
      </c>
    </row>
    <row r="2316" spans="1:8" x14ac:dyDescent="0.2">
      <c r="A2316">
        <v>1305640</v>
      </c>
      <c r="B2316" s="3">
        <v>2016</v>
      </c>
      <c r="C2316" t="s">
        <v>576</v>
      </c>
      <c r="D2316" t="s">
        <v>577</v>
      </c>
      <c r="E2316" t="s">
        <v>577</v>
      </c>
      <c r="F2316" s="4">
        <v>772610.68</v>
      </c>
      <c r="G2316" s="4" t="s">
        <v>7</v>
      </c>
      <c r="H2316">
        <f>IFERROR(VLOOKUP(E2316,'GASB Match'!$A$2:$B$240,2,FALSE),"")</f>
        <v>1305640</v>
      </c>
    </row>
    <row r="2317" spans="1:8" x14ac:dyDescent="0.2">
      <c r="A2317">
        <v>1305640</v>
      </c>
      <c r="B2317" s="3">
        <v>2017</v>
      </c>
      <c r="C2317" t="s">
        <v>576</v>
      </c>
      <c r="D2317" t="s">
        <v>577</v>
      </c>
      <c r="E2317" t="s">
        <v>577</v>
      </c>
      <c r="F2317" s="4">
        <v>802975</v>
      </c>
      <c r="G2317" s="4" t="s">
        <v>7</v>
      </c>
      <c r="H2317">
        <f>IFERROR(VLOOKUP(E2317,'GASB Match'!$A$2:$B$240,2,FALSE),"")</f>
        <v>1305640</v>
      </c>
    </row>
    <row r="2318" spans="1:8" x14ac:dyDescent="0.2">
      <c r="A2318">
        <v>1305640</v>
      </c>
      <c r="B2318" s="3">
        <v>2018</v>
      </c>
      <c r="C2318" t="s">
        <v>576</v>
      </c>
      <c r="D2318" t="s">
        <v>577</v>
      </c>
      <c r="E2318" t="s">
        <v>577</v>
      </c>
      <c r="F2318" s="4">
        <v>965441</v>
      </c>
      <c r="G2318" s="4" t="s">
        <v>7</v>
      </c>
      <c r="H2318">
        <f>IFERROR(VLOOKUP(E2318,'GASB Match'!$A$2:$B$240,2,FALSE),"")</f>
        <v>1305640</v>
      </c>
    </row>
    <row r="2319" spans="1:8" x14ac:dyDescent="0.2">
      <c r="A2319">
        <v>1305640</v>
      </c>
      <c r="B2319" s="3">
        <v>2019</v>
      </c>
      <c r="C2319" t="s">
        <v>576</v>
      </c>
      <c r="D2319" t="s">
        <v>577</v>
      </c>
      <c r="E2319" t="s">
        <v>577</v>
      </c>
      <c r="F2319" s="4">
        <v>1230004</v>
      </c>
      <c r="G2319" s="4" t="s">
        <v>7</v>
      </c>
      <c r="H2319">
        <f>IFERROR(VLOOKUP(E2319,'GASB Match'!$A$2:$B$240,2,FALSE),"")</f>
        <v>1305640</v>
      </c>
    </row>
    <row r="2320" spans="1:8" x14ac:dyDescent="0.2">
      <c r="A2320">
        <v>1305640</v>
      </c>
      <c r="B2320" s="3">
        <v>2020</v>
      </c>
      <c r="C2320" t="s">
        <v>576</v>
      </c>
      <c r="D2320" t="s">
        <v>577</v>
      </c>
      <c r="E2320" t="s">
        <v>577</v>
      </c>
      <c r="F2320" s="4">
        <v>1265682</v>
      </c>
      <c r="G2320" s="4" t="s">
        <v>7</v>
      </c>
      <c r="H2320">
        <f>IFERROR(VLOOKUP(E2320,'GASB Match'!$A$2:$B$240,2,FALSE),"")</f>
        <v>1305640</v>
      </c>
    </row>
    <row r="2321" spans="1:8" x14ac:dyDescent="0.2">
      <c r="A2321">
        <v>1305640</v>
      </c>
      <c r="B2321" s="3">
        <v>2021</v>
      </c>
      <c r="C2321" t="s">
        <v>576</v>
      </c>
      <c r="D2321" t="s">
        <v>577</v>
      </c>
      <c r="E2321" t="s">
        <v>577</v>
      </c>
      <c r="F2321" s="4">
        <v>1107299</v>
      </c>
      <c r="G2321" s="4" t="s">
        <v>7</v>
      </c>
      <c r="H2321">
        <f>IFERROR(VLOOKUP(E2321,'GASB Match'!$A$2:$B$240,2,FALSE),"")</f>
        <v>1305640</v>
      </c>
    </row>
    <row r="2322" spans="1:8" x14ac:dyDescent="0.2">
      <c r="A2322">
        <v>1305640</v>
      </c>
      <c r="B2322" s="3">
        <v>2022</v>
      </c>
      <c r="C2322" t="s">
        <v>576</v>
      </c>
      <c r="D2322" t="s">
        <v>577</v>
      </c>
      <c r="E2322" t="s">
        <v>577</v>
      </c>
      <c r="F2322" s="4">
        <v>1135698</v>
      </c>
      <c r="G2322" s="4" t="s">
        <v>7</v>
      </c>
      <c r="H2322">
        <f>IFERROR(VLOOKUP(E2322,'GASB Match'!$A$2:$B$240,2,FALSE),"")</f>
        <v>1305640</v>
      </c>
    </row>
    <row r="2323" spans="1:8" x14ac:dyDescent="0.2">
      <c r="A2323">
        <v>1305640</v>
      </c>
      <c r="B2323" s="3">
        <v>2023</v>
      </c>
      <c r="C2323" t="s">
        <v>576</v>
      </c>
      <c r="D2323" t="s">
        <v>577</v>
      </c>
      <c r="E2323" t="s">
        <v>577</v>
      </c>
      <c r="F2323" s="4">
        <v>1200437</v>
      </c>
      <c r="G2323" s="4" t="s">
        <v>7</v>
      </c>
      <c r="H2323">
        <f>IFERROR(VLOOKUP(E2323,'GASB Match'!$A$2:$B$240,2,FALSE),"")</f>
        <v>1305640</v>
      </c>
    </row>
    <row r="2324" spans="1:8" x14ac:dyDescent="0.2">
      <c r="A2324">
        <v>1305670</v>
      </c>
      <c r="B2324" s="3">
        <v>2015</v>
      </c>
      <c r="C2324" t="s">
        <v>578</v>
      </c>
      <c r="D2324" t="s">
        <v>579</v>
      </c>
      <c r="E2324" t="s">
        <v>579</v>
      </c>
      <c r="F2324" s="4">
        <v>2636921.6800000002</v>
      </c>
      <c r="G2324" s="4">
        <v>30096.51</v>
      </c>
      <c r="H2324">
        <f>IFERROR(VLOOKUP(E2324,'GASB Match'!$A$2:$B$240,2,FALSE),"")</f>
        <v>1305670</v>
      </c>
    </row>
    <row r="2325" spans="1:8" x14ac:dyDescent="0.2">
      <c r="A2325">
        <v>1305670</v>
      </c>
      <c r="B2325" s="3">
        <v>2016</v>
      </c>
      <c r="C2325" t="s">
        <v>578</v>
      </c>
      <c r="D2325" t="s">
        <v>579</v>
      </c>
      <c r="E2325" t="s">
        <v>579</v>
      </c>
      <c r="F2325" s="4">
        <v>2907004.33</v>
      </c>
      <c r="G2325" s="4">
        <v>43881.67</v>
      </c>
      <c r="H2325">
        <f>IFERROR(VLOOKUP(E2325,'GASB Match'!$A$2:$B$240,2,FALSE),"")</f>
        <v>1305670</v>
      </c>
    </row>
    <row r="2326" spans="1:8" x14ac:dyDescent="0.2">
      <c r="A2326">
        <v>1305670</v>
      </c>
      <c r="B2326" s="3">
        <v>2017</v>
      </c>
      <c r="C2326" t="s">
        <v>578</v>
      </c>
      <c r="D2326" t="s">
        <v>579</v>
      </c>
      <c r="E2326" t="s">
        <v>579</v>
      </c>
      <c r="F2326" s="4">
        <v>3043685</v>
      </c>
      <c r="G2326" s="4">
        <v>23863</v>
      </c>
      <c r="H2326">
        <f>IFERROR(VLOOKUP(E2326,'GASB Match'!$A$2:$B$240,2,FALSE),"")</f>
        <v>1305670</v>
      </c>
    </row>
    <row r="2327" spans="1:8" x14ac:dyDescent="0.2">
      <c r="A2327">
        <v>1305670</v>
      </c>
      <c r="B2327" s="3">
        <v>2018</v>
      </c>
      <c r="C2327" t="s">
        <v>578</v>
      </c>
      <c r="D2327" t="s">
        <v>579</v>
      </c>
      <c r="E2327" t="s">
        <v>579</v>
      </c>
      <c r="F2327" s="4">
        <v>3605975</v>
      </c>
      <c r="G2327" s="4">
        <v>7090</v>
      </c>
      <c r="H2327">
        <f>IFERROR(VLOOKUP(E2327,'GASB Match'!$A$2:$B$240,2,FALSE),"")</f>
        <v>1305670</v>
      </c>
    </row>
    <row r="2328" spans="1:8" x14ac:dyDescent="0.2">
      <c r="A2328">
        <v>1305670</v>
      </c>
      <c r="B2328" s="3">
        <v>2019</v>
      </c>
      <c r="C2328" t="s">
        <v>578</v>
      </c>
      <c r="D2328" t="s">
        <v>579</v>
      </c>
      <c r="E2328" t="s">
        <v>579</v>
      </c>
      <c r="F2328" s="4">
        <v>4577893</v>
      </c>
      <c r="G2328" s="4">
        <v>8852</v>
      </c>
      <c r="H2328">
        <f>IFERROR(VLOOKUP(E2328,'GASB Match'!$A$2:$B$240,2,FALSE),"")</f>
        <v>1305670</v>
      </c>
    </row>
    <row r="2329" spans="1:8" x14ac:dyDescent="0.2">
      <c r="A2329">
        <v>1305670</v>
      </c>
      <c r="B2329" s="3">
        <v>2020</v>
      </c>
      <c r="C2329" t="s">
        <v>578</v>
      </c>
      <c r="D2329" t="s">
        <v>579</v>
      </c>
      <c r="E2329" t="s">
        <v>579</v>
      </c>
      <c r="F2329" s="4">
        <v>4896144</v>
      </c>
      <c r="G2329" s="4">
        <v>9107</v>
      </c>
      <c r="H2329">
        <f>IFERROR(VLOOKUP(E2329,'GASB Match'!$A$2:$B$240,2,FALSE),"")</f>
        <v>1305670</v>
      </c>
    </row>
    <row r="2330" spans="1:8" x14ac:dyDescent="0.2">
      <c r="A2330">
        <v>1305670</v>
      </c>
      <c r="B2330" s="3">
        <v>2021</v>
      </c>
      <c r="C2330" t="s">
        <v>578</v>
      </c>
      <c r="D2330" t="s">
        <v>579</v>
      </c>
      <c r="E2330" t="s">
        <v>579</v>
      </c>
      <c r="F2330" s="4">
        <v>4425941</v>
      </c>
      <c r="G2330" s="4">
        <v>6766</v>
      </c>
      <c r="H2330">
        <f>IFERROR(VLOOKUP(E2330,'GASB Match'!$A$2:$B$240,2,FALSE),"")</f>
        <v>1305670</v>
      </c>
    </row>
    <row r="2331" spans="1:8" x14ac:dyDescent="0.2">
      <c r="A2331">
        <v>1305670</v>
      </c>
      <c r="B2331" s="3">
        <v>2022</v>
      </c>
      <c r="C2331" t="s">
        <v>578</v>
      </c>
      <c r="D2331" t="s">
        <v>579</v>
      </c>
      <c r="E2331" t="s">
        <v>579</v>
      </c>
      <c r="F2331" s="4">
        <v>4672609</v>
      </c>
      <c r="G2331" s="4">
        <v>8254</v>
      </c>
      <c r="H2331">
        <f>IFERROR(VLOOKUP(E2331,'GASB Match'!$A$2:$B$240,2,FALSE),"")</f>
        <v>1305670</v>
      </c>
    </row>
    <row r="2332" spans="1:8" x14ac:dyDescent="0.2">
      <c r="A2332">
        <v>1305670</v>
      </c>
      <c r="B2332" s="3">
        <v>2023</v>
      </c>
      <c r="C2332" t="s">
        <v>578</v>
      </c>
      <c r="D2332" t="s">
        <v>579</v>
      </c>
      <c r="E2332" t="s">
        <v>579</v>
      </c>
      <c r="F2332" s="4">
        <v>4947671</v>
      </c>
      <c r="G2332" s="4">
        <v>8363</v>
      </c>
      <c r="H2332">
        <f>IFERROR(VLOOKUP(E2332,'GASB Match'!$A$2:$B$240,2,FALSE),"")</f>
        <v>1305670</v>
      </c>
    </row>
    <row r="2333" spans="1:8" x14ac:dyDescent="0.2">
      <c r="A2333">
        <v>1305700</v>
      </c>
      <c r="B2333" s="3">
        <v>2015</v>
      </c>
      <c r="C2333" t="s">
        <v>580</v>
      </c>
      <c r="D2333" t="s">
        <v>581</v>
      </c>
      <c r="E2333" t="s">
        <v>581</v>
      </c>
      <c r="F2333" s="4">
        <v>8346903.8899999997</v>
      </c>
      <c r="G2333" s="4">
        <v>49379.68</v>
      </c>
      <c r="H2333">
        <f>IFERROR(VLOOKUP(E2333,'GASB Match'!$A$2:$B$240,2,FALSE),"")</f>
        <v>1305700</v>
      </c>
    </row>
    <row r="2334" spans="1:8" x14ac:dyDescent="0.2">
      <c r="A2334">
        <v>1305700</v>
      </c>
      <c r="B2334" s="3">
        <v>2016</v>
      </c>
      <c r="C2334" t="s">
        <v>580</v>
      </c>
      <c r="D2334" t="s">
        <v>581</v>
      </c>
      <c r="E2334" t="s">
        <v>581</v>
      </c>
      <c r="F2334" s="4">
        <v>9407213.3200000003</v>
      </c>
      <c r="G2334" s="4">
        <v>57191.38</v>
      </c>
      <c r="H2334">
        <f>IFERROR(VLOOKUP(E2334,'GASB Match'!$A$2:$B$240,2,FALSE),"")</f>
        <v>1305700</v>
      </c>
    </row>
    <row r="2335" spans="1:8" x14ac:dyDescent="0.2">
      <c r="A2335">
        <v>1305700</v>
      </c>
      <c r="B2335" s="3">
        <v>2017</v>
      </c>
      <c r="C2335" t="s">
        <v>580</v>
      </c>
      <c r="D2335" t="s">
        <v>581</v>
      </c>
      <c r="E2335" t="s">
        <v>581</v>
      </c>
      <c r="F2335" s="4">
        <v>9725233</v>
      </c>
      <c r="G2335" s="4">
        <v>43602</v>
      </c>
      <c r="H2335">
        <f>IFERROR(VLOOKUP(E2335,'GASB Match'!$A$2:$B$240,2,FALSE),"")</f>
        <v>1305700</v>
      </c>
    </row>
    <row r="2336" spans="1:8" x14ac:dyDescent="0.2">
      <c r="A2336">
        <v>1305700</v>
      </c>
      <c r="B2336" s="3">
        <v>2018</v>
      </c>
      <c r="C2336" t="s">
        <v>580</v>
      </c>
      <c r="D2336" t="s">
        <v>581</v>
      </c>
      <c r="E2336" t="s">
        <v>581</v>
      </c>
      <c r="F2336" s="4">
        <v>11774279</v>
      </c>
      <c r="G2336" s="4">
        <v>41104</v>
      </c>
      <c r="H2336">
        <f>IFERROR(VLOOKUP(E2336,'GASB Match'!$A$2:$B$240,2,FALSE),"")</f>
        <v>1305700</v>
      </c>
    </row>
    <row r="2337" spans="1:8" x14ac:dyDescent="0.2">
      <c r="A2337">
        <v>1305700</v>
      </c>
      <c r="B2337" s="3">
        <v>2019</v>
      </c>
      <c r="C2337" t="s">
        <v>580</v>
      </c>
      <c r="D2337" t="s">
        <v>581</v>
      </c>
      <c r="E2337" t="s">
        <v>581</v>
      </c>
      <c r="F2337" s="4">
        <v>15073540</v>
      </c>
      <c r="G2337" s="4">
        <v>52242</v>
      </c>
      <c r="H2337">
        <f>IFERROR(VLOOKUP(E2337,'GASB Match'!$A$2:$B$240,2,FALSE),"")</f>
        <v>1305700</v>
      </c>
    </row>
    <row r="2338" spans="1:8" x14ac:dyDescent="0.2">
      <c r="A2338">
        <v>1305700</v>
      </c>
      <c r="B2338" s="3">
        <v>2020</v>
      </c>
      <c r="C2338" t="s">
        <v>580</v>
      </c>
      <c r="D2338" t="s">
        <v>581</v>
      </c>
      <c r="E2338" t="s">
        <v>581</v>
      </c>
      <c r="F2338" s="4">
        <v>16081878</v>
      </c>
      <c r="G2338" s="4">
        <v>53520</v>
      </c>
      <c r="H2338">
        <f>IFERROR(VLOOKUP(E2338,'GASB Match'!$A$2:$B$240,2,FALSE),"")</f>
        <v>1305700</v>
      </c>
    </row>
    <row r="2339" spans="1:8" x14ac:dyDescent="0.2">
      <c r="A2339">
        <v>1305700</v>
      </c>
      <c r="B2339" s="3">
        <v>2021</v>
      </c>
      <c r="C2339" t="s">
        <v>580</v>
      </c>
      <c r="D2339" t="s">
        <v>581</v>
      </c>
      <c r="E2339" t="s">
        <v>581</v>
      </c>
      <c r="F2339" s="4">
        <v>14583108</v>
      </c>
      <c r="G2339" s="4">
        <v>49192</v>
      </c>
      <c r="H2339">
        <f>IFERROR(VLOOKUP(E2339,'GASB Match'!$A$2:$B$240,2,FALSE),"")</f>
        <v>1305700</v>
      </c>
    </row>
    <row r="2340" spans="1:8" x14ac:dyDescent="0.2">
      <c r="A2340">
        <v>1305700</v>
      </c>
      <c r="B2340" s="3">
        <v>2022</v>
      </c>
      <c r="C2340" t="s">
        <v>580</v>
      </c>
      <c r="D2340" t="s">
        <v>581</v>
      </c>
      <c r="E2340" t="s">
        <v>581</v>
      </c>
      <c r="F2340" s="4">
        <v>15394672</v>
      </c>
      <c r="G2340" s="4">
        <v>49598</v>
      </c>
      <c r="H2340">
        <f>IFERROR(VLOOKUP(E2340,'GASB Match'!$A$2:$B$240,2,FALSE),"")</f>
        <v>1305700</v>
      </c>
    </row>
    <row r="2341" spans="1:8" x14ac:dyDescent="0.2">
      <c r="A2341">
        <v>1305700</v>
      </c>
      <c r="B2341" s="3">
        <v>2023</v>
      </c>
      <c r="C2341" t="s">
        <v>580</v>
      </c>
      <c r="D2341" t="s">
        <v>581</v>
      </c>
      <c r="E2341" t="s">
        <v>581</v>
      </c>
      <c r="F2341" s="4">
        <v>16327457</v>
      </c>
      <c r="G2341" s="4">
        <v>52880</v>
      </c>
      <c r="H2341">
        <f>IFERROR(VLOOKUP(E2341,'GASB Match'!$A$2:$B$240,2,FALSE),"")</f>
        <v>1305700</v>
      </c>
    </row>
    <row r="2342" spans="1:8" x14ac:dyDescent="0.2">
      <c r="A2342" t="s">
        <v>7</v>
      </c>
      <c r="B2342" s="3">
        <v>2015</v>
      </c>
      <c r="C2342" t="s">
        <v>582</v>
      </c>
      <c r="D2342" t="s">
        <v>584</v>
      </c>
      <c r="E2342" t="s">
        <v>583</v>
      </c>
      <c r="F2342" s="4">
        <v>52691.17</v>
      </c>
      <c r="G2342" s="4" t="s">
        <v>7</v>
      </c>
      <c r="H2342" t="str">
        <f>IFERROR(VLOOKUP(E2342,'GASB Match'!$A$2:$B$240,2,FALSE),"")</f>
        <v/>
      </c>
    </row>
    <row r="2343" spans="1:8" x14ac:dyDescent="0.2">
      <c r="A2343" t="s">
        <v>7</v>
      </c>
      <c r="B2343" s="3">
        <v>2016</v>
      </c>
      <c r="C2343" t="s">
        <v>582</v>
      </c>
      <c r="D2343" t="s">
        <v>584</v>
      </c>
      <c r="E2343" t="s">
        <v>583</v>
      </c>
      <c r="F2343" s="4">
        <v>78391.77</v>
      </c>
      <c r="G2343" s="4" t="s">
        <v>7</v>
      </c>
      <c r="H2343" t="str">
        <f>IFERROR(VLOOKUP(E2343,'GASB Match'!$A$2:$B$240,2,FALSE),"")</f>
        <v/>
      </c>
    </row>
    <row r="2344" spans="1:8" x14ac:dyDescent="0.2">
      <c r="A2344" t="s">
        <v>7</v>
      </c>
      <c r="B2344" s="3">
        <v>2017</v>
      </c>
      <c r="C2344" t="s">
        <v>582</v>
      </c>
      <c r="D2344" t="s">
        <v>584</v>
      </c>
      <c r="E2344" t="s">
        <v>583</v>
      </c>
      <c r="F2344" s="4">
        <v>88398</v>
      </c>
      <c r="G2344" s="4" t="s">
        <v>7</v>
      </c>
      <c r="H2344" t="str">
        <f>IFERROR(VLOOKUP(E2344,'GASB Match'!$A$2:$B$240,2,FALSE),"")</f>
        <v/>
      </c>
    </row>
    <row r="2345" spans="1:8" x14ac:dyDescent="0.2">
      <c r="A2345" t="s">
        <v>7</v>
      </c>
      <c r="B2345" s="3">
        <v>2018</v>
      </c>
      <c r="C2345" t="s">
        <v>582</v>
      </c>
      <c r="D2345" t="s">
        <v>584</v>
      </c>
      <c r="E2345" t="s">
        <v>583</v>
      </c>
      <c r="F2345" s="4">
        <v>130292</v>
      </c>
      <c r="G2345" s="4" t="s">
        <v>7</v>
      </c>
      <c r="H2345" t="str">
        <f>IFERROR(VLOOKUP(E2345,'GASB Match'!$A$2:$B$240,2,FALSE),"")</f>
        <v/>
      </c>
    </row>
    <row r="2346" spans="1:8" x14ac:dyDescent="0.2">
      <c r="A2346" t="s">
        <v>7</v>
      </c>
      <c r="B2346" s="3">
        <v>2019</v>
      </c>
      <c r="C2346" t="s">
        <v>582</v>
      </c>
      <c r="D2346" t="s">
        <v>584</v>
      </c>
      <c r="E2346" t="s">
        <v>583</v>
      </c>
      <c r="F2346" s="4">
        <v>156209</v>
      </c>
      <c r="G2346" s="4" t="s">
        <v>7</v>
      </c>
      <c r="H2346" t="str">
        <f>IFERROR(VLOOKUP(E2346,'GASB Match'!$A$2:$B$240,2,FALSE),"")</f>
        <v/>
      </c>
    </row>
    <row r="2347" spans="1:8" x14ac:dyDescent="0.2">
      <c r="A2347" t="s">
        <v>7</v>
      </c>
      <c r="B2347" s="3">
        <v>2020</v>
      </c>
      <c r="C2347" t="s">
        <v>582</v>
      </c>
      <c r="D2347" t="s">
        <v>584</v>
      </c>
      <c r="E2347" t="s">
        <v>583</v>
      </c>
      <c r="F2347" s="4">
        <v>163896</v>
      </c>
      <c r="G2347" s="4" t="s">
        <v>7</v>
      </c>
      <c r="H2347" t="str">
        <f>IFERROR(VLOOKUP(E2347,'GASB Match'!$A$2:$B$240,2,FALSE),"")</f>
        <v/>
      </c>
    </row>
    <row r="2348" spans="1:8" x14ac:dyDescent="0.2">
      <c r="A2348" t="s">
        <v>7</v>
      </c>
      <c r="B2348" s="3">
        <v>2021</v>
      </c>
      <c r="C2348" t="s">
        <v>582</v>
      </c>
      <c r="D2348" t="s">
        <v>583</v>
      </c>
      <c r="E2348" t="s">
        <v>583</v>
      </c>
      <c r="F2348" s="4">
        <v>134974</v>
      </c>
      <c r="G2348" s="4" t="s">
        <v>7</v>
      </c>
      <c r="H2348" t="str">
        <f>IFERROR(VLOOKUP(E2348,'GASB Match'!$A$2:$B$240,2,FALSE),"")</f>
        <v/>
      </c>
    </row>
    <row r="2349" spans="1:8" x14ac:dyDescent="0.2">
      <c r="A2349" t="s">
        <v>7</v>
      </c>
      <c r="B2349" s="3">
        <v>2022</v>
      </c>
      <c r="C2349" t="s">
        <v>582</v>
      </c>
      <c r="D2349" t="s">
        <v>583</v>
      </c>
      <c r="E2349" t="s">
        <v>583</v>
      </c>
      <c r="F2349" s="4">
        <v>145347</v>
      </c>
      <c r="G2349" s="4" t="s">
        <v>7</v>
      </c>
      <c r="H2349" t="str">
        <f>IFERROR(VLOOKUP(E2349,'GASB Match'!$A$2:$B$240,2,FALSE),"")</f>
        <v/>
      </c>
    </row>
    <row r="2350" spans="1:8" x14ac:dyDescent="0.2">
      <c r="A2350" t="s">
        <v>7</v>
      </c>
      <c r="B2350" s="3">
        <v>2023</v>
      </c>
      <c r="C2350" t="s">
        <v>582</v>
      </c>
      <c r="D2350" t="s">
        <v>583</v>
      </c>
      <c r="E2350" t="s">
        <v>583</v>
      </c>
      <c r="F2350" s="4">
        <v>157473</v>
      </c>
      <c r="G2350" s="4" t="s">
        <v>7</v>
      </c>
      <c r="H2350" t="str">
        <f>IFERROR(VLOOKUP(E2350,'GASB Match'!$A$2:$B$240,2,FALSE),"")</f>
        <v/>
      </c>
    </row>
    <row r="2351" spans="1:8" x14ac:dyDescent="0.2">
      <c r="A2351">
        <v>1305730</v>
      </c>
      <c r="B2351" s="3">
        <v>2015</v>
      </c>
      <c r="C2351" t="s">
        <v>585</v>
      </c>
      <c r="D2351" t="s">
        <v>586</v>
      </c>
      <c r="E2351" t="s">
        <v>586</v>
      </c>
      <c r="F2351" s="4">
        <v>790425.99</v>
      </c>
      <c r="G2351" s="4" t="s">
        <v>7</v>
      </c>
      <c r="H2351">
        <f>IFERROR(VLOOKUP(E2351,'GASB Match'!$A$2:$B$240,2,FALSE),"")</f>
        <v>1305730</v>
      </c>
    </row>
    <row r="2352" spans="1:8" x14ac:dyDescent="0.2">
      <c r="A2352">
        <v>1305730</v>
      </c>
      <c r="B2352" s="3">
        <v>2016</v>
      </c>
      <c r="C2352" t="s">
        <v>585</v>
      </c>
      <c r="D2352" t="s">
        <v>586</v>
      </c>
      <c r="E2352" t="s">
        <v>586</v>
      </c>
      <c r="F2352" s="4">
        <v>852411.04</v>
      </c>
      <c r="G2352" s="4" t="s">
        <v>7</v>
      </c>
      <c r="H2352">
        <f>IFERROR(VLOOKUP(E2352,'GASB Match'!$A$2:$B$240,2,FALSE),"")</f>
        <v>1305730</v>
      </c>
    </row>
    <row r="2353" spans="1:8" x14ac:dyDescent="0.2">
      <c r="A2353">
        <v>1305730</v>
      </c>
      <c r="B2353" s="3">
        <v>2017</v>
      </c>
      <c r="C2353" t="s">
        <v>585</v>
      </c>
      <c r="D2353" t="s">
        <v>586</v>
      </c>
      <c r="E2353" t="s">
        <v>586</v>
      </c>
      <c r="F2353" s="4">
        <v>868376</v>
      </c>
      <c r="G2353" s="4" t="s">
        <v>7</v>
      </c>
      <c r="H2353">
        <f>IFERROR(VLOOKUP(E2353,'GASB Match'!$A$2:$B$240,2,FALSE),"")</f>
        <v>1305730</v>
      </c>
    </row>
    <row r="2354" spans="1:8" x14ac:dyDescent="0.2">
      <c r="A2354">
        <v>1305730</v>
      </c>
      <c r="B2354" s="3">
        <v>2018</v>
      </c>
      <c r="C2354" t="s">
        <v>585</v>
      </c>
      <c r="D2354" t="s">
        <v>586</v>
      </c>
      <c r="E2354" t="s">
        <v>586</v>
      </c>
      <c r="F2354" s="4">
        <v>1073155</v>
      </c>
      <c r="G2354" s="4" t="s">
        <v>7</v>
      </c>
      <c r="H2354">
        <f>IFERROR(VLOOKUP(E2354,'GASB Match'!$A$2:$B$240,2,FALSE),"")</f>
        <v>1305730</v>
      </c>
    </row>
    <row r="2355" spans="1:8" x14ac:dyDescent="0.2">
      <c r="A2355">
        <v>1305730</v>
      </c>
      <c r="B2355" s="3">
        <v>2019</v>
      </c>
      <c r="C2355" t="s">
        <v>585</v>
      </c>
      <c r="D2355" t="s">
        <v>586</v>
      </c>
      <c r="E2355" t="s">
        <v>586</v>
      </c>
      <c r="F2355" s="4">
        <v>1379238</v>
      </c>
      <c r="G2355" s="4">
        <v>6455</v>
      </c>
      <c r="H2355">
        <f>IFERROR(VLOOKUP(E2355,'GASB Match'!$A$2:$B$240,2,FALSE),"")</f>
        <v>1305730</v>
      </c>
    </row>
    <row r="2356" spans="1:8" x14ac:dyDescent="0.2">
      <c r="A2356">
        <v>1305730</v>
      </c>
      <c r="B2356" s="3">
        <v>2020</v>
      </c>
      <c r="C2356" t="s">
        <v>585</v>
      </c>
      <c r="D2356" t="s">
        <v>586</v>
      </c>
      <c r="E2356" t="s">
        <v>586</v>
      </c>
      <c r="F2356" s="4">
        <v>1459476</v>
      </c>
      <c r="G2356" s="4">
        <v>10772</v>
      </c>
      <c r="H2356">
        <f>IFERROR(VLOOKUP(E2356,'GASB Match'!$A$2:$B$240,2,FALSE),"")</f>
        <v>1305730</v>
      </c>
    </row>
    <row r="2357" spans="1:8" x14ac:dyDescent="0.2">
      <c r="A2357">
        <v>1305730</v>
      </c>
      <c r="B2357" s="3">
        <v>2021</v>
      </c>
      <c r="C2357" t="s">
        <v>585</v>
      </c>
      <c r="D2357" t="s">
        <v>586</v>
      </c>
      <c r="E2357" t="s">
        <v>586</v>
      </c>
      <c r="F2357" s="4">
        <v>1331336</v>
      </c>
      <c r="G2357" s="4">
        <v>17260</v>
      </c>
      <c r="H2357">
        <f>IFERROR(VLOOKUP(E2357,'GASB Match'!$A$2:$B$240,2,FALSE),"")</f>
        <v>1305730</v>
      </c>
    </row>
    <row r="2358" spans="1:8" x14ac:dyDescent="0.2">
      <c r="A2358">
        <v>1305730</v>
      </c>
      <c r="B2358" s="3">
        <v>2022</v>
      </c>
      <c r="C2358" t="s">
        <v>585</v>
      </c>
      <c r="D2358" t="s">
        <v>586</v>
      </c>
      <c r="E2358" t="s">
        <v>586</v>
      </c>
      <c r="F2358" s="4">
        <v>1377247</v>
      </c>
      <c r="G2358" s="4">
        <v>12143</v>
      </c>
      <c r="H2358">
        <f>IFERROR(VLOOKUP(E2358,'GASB Match'!$A$2:$B$240,2,FALSE),"")</f>
        <v>1305730</v>
      </c>
    </row>
    <row r="2359" spans="1:8" x14ac:dyDescent="0.2">
      <c r="A2359">
        <v>1305730</v>
      </c>
      <c r="B2359" s="3">
        <v>2023</v>
      </c>
      <c r="C2359" t="s">
        <v>585</v>
      </c>
      <c r="D2359" t="s">
        <v>586</v>
      </c>
      <c r="E2359" t="s">
        <v>586</v>
      </c>
      <c r="F2359" s="4">
        <v>1434522</v>
      </c>
      <c r="G2359" s="4">
        <v>19563</v>
      </c>
      <c r="H2359">
        <f>IFERROR(VLOOKUP(E2359,'GASB Match'!$A$2:$B$240,2,FALSE),"")</f>
        <v>1305730</v>
      </c>
    </row>
    <row r="2360" spans="1:8" x14ac:dyDescent="0.2">
      <c r="A2360">
        <v>1305760</v>
      </c>
      <c r="B2360" s="3">
        <v>2015</v>
      </c>
      <c r="C2360" t="s">
        <v>587</v>
      </c>
      <c r="D2360" t="s">
        <v>588</v>
      </c>
      <c r="E2360" t="s">
        <v>588</v>
      </c>
      <c r="F2360" s="4">
        <v>1233415.3</v>
      </c>
      <c r="G2360" s="4">
        <v>12006.8</v>
      </c>
      <c r="H2360">
        <f>IFERROR(VLOOKUP(E2360,'GASB Match'!$A$2:$B$240,2,FALSE),"")</f>
        <v>1305760</v>
      </c>
    </row>
    <row r="2361" spans="1:8" x14ac:dyDescent="0.2">
      <c r="A2361">
        <v>1305760</v>
      </c>
      <c r="B2361" s="3">
        <v>2016</v>
      </c>
      <c r="C2361" t="s">
        <v>587</v>
      </c>
      <c r="D2361" t="s">
        <v>588</v>
      </c>
      <c r="E2361" t="s">
        <v>588</v>
      </c>
      <c r="F2361" s="4">
        <v>1306452.32</v>
      </c>
      <c r="G2361" s="4">
        <v>12526.56</v>
      </c>
      <c r="H2361">
        <f>IFERROR(VLOOKUP(E2361,'GASB Match'!$A$2:$B$240,2,FALSE),"")</f>
        <v>1305760</v>
      </c>
    </row>
    <row r="2362" spans="1:8" x14ac:dyDescent="0.2">
      <c r="A2362">
        <v>1305760</v>
      </c>
      <c r="B2362" s="3">
        <v>2017</v>
      </c>
      <c r="C2362" t="s">
        <v>587</v>
      </c>
      <c r="D2362" t="s">
        <v>588</v>
      </c>
      <c r="E2362" t="s">
        <v>588</v>
      </c>
      <c r="F2362" s="4">
        <v>1290413</v>
      </c>
      <c r="G2362" s="4">
        <v>13241</v>
      </c>
      <c r="H2362">
        <f>IFERROR(VLOOKUP(E2362,'GASB Match'!$A$2:$B$240,2,FALSE),"")</f>
        <v>1305760</v>
      </c>
    </row>
    <row r="2363" spans="1:8" x14ac:dyDescent="0.2">
      <c r="A2363">
        <v>1305760</v>
      </c>
      <c r="B2363" s="3">
        <v>2018</v>
      </c>
      <c r="C2363" t="s">
        <v>587</v>
      </c>
      <c r="D2363" t="s">
        <v>588</v>
      </c>
      <c r="E2363" t="s">
        <v>588</v>
      </c>
      <c r="F2363" s="4">
        <v>1510949</v>
      </c>
      <c r="G2363" s="4">
        <v>22278</v>
      </c>
      <c r="H2363">
        <f>IFERROR(VLOOKUP(E2363,'GASB Match'!$A$2:$B$240,2,FALSE),"")</f>
        <v>1305760</v>
      </c>
    </row>
    <row r="2364" spans="1:8" x14ac:dyDescent="0.2">
      <c r="A2364">
        <v>1305760</v>
      </c>
      <c r="B2364" s="3">
        <v>2019</v>
      </c>
      <c r="C2364" t="s">
        <v>587</v>
      </c>
      <c r="D2364" t="s">
        <v>588</v>
      </c>
      <c r="E2364" t="s">
        <v>588</v>
      </c>
      <c r="F2364" s="4">
        <v>1844562</v>
      </c>
      <c r="G2364" s="4">
        <v>24275</v>
      </c>
      <c r="H2364">
        <f>IFERROR(VLOOKUP(E2364,'GASB Match'!$A$2:$B$240,2,FALSE),"")</f>
        <v>1305760</v>
      </c>
    </row>
    <row r="2365" spans="1:8" x14ac:dyDescent="0.2">
      <c r="A2365">
        <v>1305760</v>
      </c>
      <c r="B2365" s="3">
        <v>2020</v>
      </c>
      <c r="C2365" t="s">
        <v>587</v>
      </c>
      <c r="D2365" t="s">
        <v>588</v>
      </c>
      <c r="E2365" t="s">
        <v>588</v>
      </c>
      <c r="F2365" s="4">
        <v>1830837</v>
      </c>
      <c r="G2365" s="4">
        <v>27849</v>
      </c>
      <c r="H2365">
        <f>IFERROR(VLOOKUP(E2365,'GASB Match'!$A$2:$B$240,2,FALSE),"")</f>
        <v>1305760</v>
      </c>
    </row>
    <row r="2366" spans="1:8" x14ac:dyDescent="0.2">
      <c r="A2366">
        <v>1305760</v>
      </c>
      <c r="B2366" s="3">
        <v>2021</v>
      </c>
      <c r="C2366" t="s">
        <v>587</v>
      </c>
      <c r="D2366" t="s">
        <v>588</v>
      </c>
      <c r="E2366" t="s">
        <v>588</v>
      </c>
      <c r="F2366" s="4">
        <v>1620034</v>
      </c>
      <c r="G2366" s="4">
        <v>26338</v>
      </c>
      <c r="H2366">
        <f>IFERROR(VLOOKUP(E2366,'GASB Match'!$A$2:$B$240,2,FALSE),"")</f>
        <v>1305760</v>
      </c>
    </row>
    <row r="2367" spans="1:8" x14ac:dyDescent="0.2">
      <c r="A2367">
        <v>1305760</v>
      </c>
      <c r="B2367" s="3">
        <v>2022</v>
      </c>
      <c r="C2367" t="s">
        <v>587</v>
      </c>
      <c r="D2367" t="s">
        <v>588</v>
      </c>
      <c r="E2367" t="s">
        <v>588</v>
      </c>
      <c r="F2367" s="4">
        <v>1733855</v>
      </c>
      <c r="G2367" s="4">
        <v>30129</v>
      </c>
      <c r="H2367">
        <f>IFERROR(VLOOKUP(E2367,'GASB Match'!$A$2:$B$240,2,FALSE),"")</f>
        <v>1305760</v>
      </c>
    </row>
    <row r="2368" spans="1:8" x14ac:dyDescent="0.2">
      <c r="A2368">
        <v>1305760</v>
      </c>
      <c r="B2368" s="3">
        <v>2023</v>
      </c>
      <c r="C2368" t="s">
        <v>587</v>
      </c>
      <c r="D2368" t="s">
        <v>588</v>
      </c>
      <c r="E2368" t="s">
        <v>588</v>
      </c>
      <c r="F2368" s="4">
        <v>1762701</v>
      </c>
      <c r="G2368" s="4">
        <v>31725</v>
      </c>
      <c r="H2368">
        <f>IFERROR(VLOOKUP(E2368,'GASB Match'!$A$2:$B$240,2,FALSE),"")</f>
        <v>1305760</v>
      </c>
    </row>
    <row r="2369" spans="1:8" x14ac:dyDescent="0.2">
      <c r="A2369" t="s">
        <v>7</v>
      </c>
      <c r="B2369" s="3">
        <v>2015</v>
      </c>
      <c r="C2369" t="s">
        <v>589</v>
      </c>
      <c r="D2369" t="s">
        <v>590</v>
      </c>
      <c r="E2369" t="s">
        <v>590</v>
      </c>
      <c r="F2369" s="4">
        <v>34956.050000000003</v>
      </c>
      <c r="G2369" s="4" t="s">
        <v>7</v>
      </c>
      <c r="H2369" t="str">
        <f>IFERROR(VLOOKUP(E2369,'GASB Match'!$A$2:$B$240,2,FALSE),"")</f>
        <v/>
      </c>
    </row>
    <row r="2370" spans="1:8" x14ac:dyDescent="0.2">
      <c r="A2370" t="s">
        <v>7</v>
      </c>
      <c r="B2370" s="3">
        <v>2016</v>
      </c>
      <c r="C2370" t="s">
        <v>589</v>
      </c>
      <c r="D2370" t="s">
        <v>590</v>
      </c>
      <c r="E2370" t="s">
        <v>590</v>
      </c>
      <c r="F2370" s="4">
        <v>42081.01</v>
      </c>
      <c r="G2370" s="4" t="s">
        <v>7</v>
      </c>
      <c r="H2370" t="str">
        <f>IFERROR(VLOOKUP(E2370,'GASB Match'!$A$2:$B$240,2,FALSE),"")</f>
        <v/>
      </c>
    </row>
    <row r="2371" spans="1:8" x14ac:dyDescent="0.2">
      <c r="A2371" t="s">
        <v>7</v>
      </c>
      <c r="B2371" s="3">
        <v>2017</v>
      </c>
      <c r="C2371" t="s">
        <v>589</v>
      </c>
      <c r="D2371" t="s">
        <v>590</v>
      </c>
      <c r="E2371" t="s">
        <v>590</v>
      </c>
      <c r="F2371" s="4">
        <v>44082</v>
      </c>
      <c r="G2371" s="4" t="s">
        <v>7</v>
      </c>
      <c r="H2371" t="str">
        <f>IFERROR(VLOOKUP(E2371,'GASB Match'!$A$2:$B$240,2,FALSE),"")</f>
        <v/>
      </c>
    </row>
    <row r="2372" spans="1:8" x14ac:dyDescent="0.2">
      <c r="A2372" t="s">
        <v>7</v>
      </c>
      <c r="B2372" s="3">
        <v>2018</v>
      </c>
      <c r="C2372" t="s">
        <v>589</v>
      </c>
      <c r="D2372" t="s">
        <v>590</v>
      </c>
      <c r="E2372" t="s">
        <v>590</v>
      </c>
      <c r="F2372" s="4">
        <v>51535</v>
      </c>
      <c r="G2372" s="4" t="s">
        <v>7</v>
      </c>
      <c r="H2372" t="str">
        <f>IFERROR(VLOOKUP(E2372,'GASB Match'!$A$2:$B$240,2,FALSE),"")</f>
        <v/>
      </c>
    </row>
    <row r="2373" spans="1:8" x14ac:dyDescent="0.2">
      <c r="A2373" t="s">
        <v>7</v>
      </c>
      <c r="B2373" s="3">
        <v>2019</v>
      </c>
      <c r="C2373" t="s">
        <v>589</v>
      </c>
      <c r="D2373" t="s">
        <v>590</v>
      </c>
      <c r="E2373" t="s">
        <v>590</v>
      </c>
      <c r="F2373" s="4">
        <v>57966</v>
      </c>
      <c r="G2373" s="4" t="s">
        <v>7</v>
      </c>
      <c r="H2373" t="str">
        <f>IFERROR(VLOOKUP(E2373,'GASB Match'!$A$2:$B$240,2,FALSE),"")</f>
        <v/>
      </c>
    </row>
    <row r="2374" spans="1:8" x14ac:dyDescent="0.2">
      <c r="A2374" t="s">
        <v>7</v>
      </c>
      <c r="B2374" s="3">
        <v>2020</v>
      </c>
      <c r="C2374" t="s">
        <v>589</v>
      </c>
      <c r="D2374" t="s">
        <v>590</v>
      </c>
      <c r="E2374" t="s">
        <v>590</v>
      </c>
      <c r="F2374" s="4">
        <v>63250</v>
      </c>
      <c r="G2374" s="4" t="s">
        <v>7</v>
      </c>
      <c r="H2374" t="str">
        <f>IFERROR(VLOOKUP(E2374,'GASB Match'!$A$2:$B$240,2,FALSE),"")</f>
        <v/>
      </c>
    </row>
    <row r="2375" spans="1:8" x14ac:dyDescent="0.2">
      <c r="A2375" t="s">
        <v>7</v>
      </c>
      <c r="B2375" s="3">
        <v>2021</v>
      </c>
      <c r="C2375" t="s">
        <v>589</v>
      </c>
      <c r="D2375" t="s">
        <v>590</v>
      </c>
      <c r="E2375" t="s">
        <v>590</v>
      </c>
      <c r="F2375" s="4">
        <v>52829</v>
      </c>
      <c r="G2375" s="4" t="s">
        <v>7</v>
      </c>
      <c r="H2375" t="str">
        <f>IFERROR(VLOOKUP(E2375,'GASB Match'!$A$2:$B$240,2,FALSE),"")</f>
        <v/>
      </c>
    </row>
    <row r="2376" spans="1:8" x14ac:dyDescent="0.2">
      <c r="A2376" t="s">
        <v>7</v>
      </c>
      <c r="B2376" s="3">
        <v>2022</v>
      </c>
      <c r="C2376" t="s">
        <v>589</v>
      </c>
      <c r="D2376" t="s">
        <v>590</v>
      </c>
      <c r="E2376" t="s">
        <v>590</v>
      </c>
      <c r="F2376" s="4">
        <v>64367</v>
      </c>
      <c r="G2376" s="4" t="s">
        <v>7</v>
      </c>
      <c r="H2376" t="str">
        <f>IFERROR(VLOOKUP(E2376,'GASB Match'!$A$2:$B$240,2,FALSE),"")</f>
        <v/>
      </c>
    </row>
    <row r="2377" spans="1:8" x14ac:dyDescent="0.2">
      <c r="A2377" t="s">
        <v>7</v>
      </c>
      <c r="B2377" s="3">
        <v>2023</v>
      </c>
      <c r="C2377" t="s">
        <v>589</v>
      </c>
      <c r="D2377" t="s">
        <v>590</v>
      </c>
      <c r="E2377" t="s">
        <v>590</v>
      </c>
      <c r="F2377" s="4">
        <v>62829</v>
      </c>
      <c r="G2377" s="4" t="s">
        <v>7</v>
      </c>
      <c r="H2377" t="str">
        <f>IFERROR(VLOOKUP(E2377,'GASB Match'!$A$2:$B$240,2,FALSE),"")</f>
        <v/>
      </c>
    </row>
    <row r="2378" spans="1:8" x14ac:dyDescent="0.2">
      <c r="A2378">
        <v>1305790</v>
      </c>
      <c r="B2378" s="3">
        <v>2015</v>
      </c>
      <c r="C2378" t="s">
        <v>591</v>
      </c>
      <c r="D2378" t="s">
        <v>592</v>
      </c>
      <c r="E2378" t="s">
        <v>592</v>
      </c>
      <c r="F2378" s="4">
        <v>1148244.01</v>
      </c>
      <c r="G2378" s="4" t="s">
        <v>7</v>
      </c>
      <c r="H2378">
        <f>IFERROR(VLOOKUP(E2378,'GASB Match'!$A$2:$B$240,2,FALSE),"")</f>
        <v>1305790</v>
      </c>
    </row>
    <row r="2379" spans="1:8" x14ac:dyDescent="0.2">
      <c r="A2379">
        <v>1305790</v>
      </c>
      <c r="B2379" s="3">
        <v>2016</v>
      </c>
      <c r="C2379" t="s">
        <v>591</v>
      </c>
      <c r="D2379" t="s">
        <v>592</v>
      </c>
      <c r="E2379" t="s">
        <v>592</v>
      </c>
      <c r="F2379" s="4">
        <v>1218950.71</v>
      </c>
      <c r="G2379" s="4" t="s">
        <v>7</v>
      </c>
      <c r="H2379">
        <f>IFERROR(VLOOKUP(E2379,'GASB Match'!$A$2:$B$240,2,FALSE),"")</f>
        <v>1305790</v>
      </c>
    </row>
    <row r="2380" spans="1:8" x14ac:dyDescent="0.2">
      <c r="A2380">
        <v>1305790</v>
      </c>
      <c r="B2380" s="3">
        <v>2017</v>
      </c>
      <c r="C2380" t="s">
        <v>591</v>
      </c>
      <c r="D2380" t="s">
        <v>592</v>
      </c>
      <c r="E2380" t="s">
        <v>592</v>
      </c>
      <c r="F2380" s="4">
        <v>1198156</v>
      </c>
      <c r="G2380" s="4" t="s">
        <v>7</v>
      </c>
      <c r="H2380">
        <f>IFERROR(VLOOKUP(E2380,'GASB Match'!$A$2:$B$240,2,FALSE),"")</f>
        <v>1305790</v>
      </c>
    </row>
    <row r="2381" spans="1:8" x14ac:dyDescent="0.2">
      <c r="A2381">
        <v>1305790</v>
      </c>
      <c r="B2381" s="3">
        <v>2018</v>
      </c>
      <c r="C2381" t="s">
        <v>591</v>
      </c>
      <c r="D2381" t="s">
        <v>592</v>
      </c>
      <c r="E2381" t="s">
        <v>592</v>
      </c>
      <c r="F2381" s="4">
        <v>1373794</v>
      </c>
      <c r="G2381" s="4" t="s">
        <v>7</v>
      </c>
      <c r="H2381">
        <f>IFERROR(VLOOKUP(E2381,'GASB Match'!$A$2:$B$240,2,FALSE),"")</f>
        <v>1305790</v>
      </c>
    </row>
    <row r="2382" spans="1:8" x14ac:dyDescent="0.2">
      <c r="A2382">
        <v>1305790</v>
      </c>
      <c r="B2382" s="3">
        <v>2019</v>
      </c>
      <c r="C2382" t="s">
        <v>591</v>
      </c>
      <c r="D2382" t="s">
        <v>592</v>
      </c>
      <c r="E2382" t="s">
        <v>592</v>
      </c>
      <c r="F2382" s="4">
        <v>1558656</v>
      </c>
      <c r="G2382" s="4" t="s">
        <v>7</v>
      </c>
      <c r="H2382">
        <f>IFERROR(VLOOKUP(E2382,'GASB Match'!$A$2:$B$240,2,FALSE),"")</f>
        <v>1305790</v>
      </c>
    </row>
    <row r="2383" spans="1:8" x14ac:dyDescent="0.2">
      <c r="A2383">
        <v>1305790</v>
      </c>
      <c r="B2383" s="3">
        <v>2020</v>
      </c>
      <c r="C2383" t="s">
        <v>591</v>
      </c>
      <c r="D2383" t="s">
        <v>592</v>
      </c>
      <c r="E2383" t="s">
        <v>592</v>
      </c>
      <c r="F2383" s="4">
        <v>1561565</v>
      </c>
      <c r="G2383" s="4" t="s">
        <v>7</v>
      </c>
      <c r="H2383">
        <f>IFERROR(VLOOKUP(E2383,'GASB Match'!$A$2:$B$240,2,FALSE),"")</f>
        <v>1305790</v>
      </c>
    </row>
    <row r="2384" spans="1:8" x14ac:dyDescent="0.2">
      <c r="A2384">
        <v>1305790</v>
      </c>
      <c r="B2384" s="3">
        <v>2021</v>
      </c>
      <c r="C2384" t="s">
        <v>591</v>
      </c>
      <c r="D2384" t="s">
        <v>592</v>
      </c>
      <c r="E2384" t="s">
        <v>592</v>
      </c>
      <c r="F2384" s="4">
        <v>1393884</v>
      </c>
      <c r="G2384" s="4" t="s">
        <v>7</v>
      </c>
      <c r="H2384">
        <f>IFERROR(VLOOKUP(E2384,'GASB Match'!$A$2:$B$240,2,FALSE),"")</f>
        <v>1305790</v>
      </c>
    </row>
    <row r="2385" spans="1:8" x14ac:dyDescent="0.2">
      <c r="A2385">
        <v>1305790</v>
      </c>
      <c r="B2385" s="3">
        <v>2022</v>
      </c>
      <c r="C2385" t="s">
        <v>591</v>
      </c>
      <c r="D2385" t="s">
        <v>592</v>
      </c>
      <c r="E2385" t="s">
        <v>592</v>
      </c>
      <c r="F2385" s="4">
        <v>1489095</v>
      </c>
      <c r="G2385" s="4" t="s">
        <v>7</v>
      </c>
      <c r="H2385">
        <f>IFERROR(VLOOKUP(E2385,'GASB Match'!$A$2:$B$240,2,FALSE),"")</f>
        <v>1305790</v>
      </c>
    </row>
    <row r="2386" spans="1:8" x14ac:dyDescent="0.2">
      <c r="A2386">
        <v>1305790</v>
      </c>
      <c r="B2386" s="3">
        <v>2023</v>
      </c>
      <c r="C2386" t="s">
        <v>591</v>
      </c>
      <c r="D2386" t="s">
        <v>592</v>
      </c>
      <c r="E2386" t="s">
        <v>592</v>
      </c>
      <c r="F2386" s="4">
        <v>1713583</v>
      </c>
      <c r="G2386" s="4" t="s">
        <v>7</v>
      </c>
      <c r="H2386">
        <f>IFERROR(VLOOKUP(E2386,'GASB Match'!$A$2:$B$240,2,FALSE),"")</f>
        <v>1305790</v>
      </c>
    </row>
    <row r="2387" spans="1:8" x14ac:dyDescent="0.2">
      <c r="A2387">
        <v>1305850</v>
      </c>
      <c r="B2387" s="3">
        <v>2015</v>
      </c>
      <c r="C2387" t="s">
        <v>593</v>
      </c>
      <c r="D2387" t="s">
        <v>594</v>
      </c>
      <c r="E2387" t="s">
        <v>594</v>
      </c>
      <c r="F2387" s="4">
        <v>2154234.56</v>
      </c>
      <c r="G2387" s="4">
        <v>11197.32</v>
      </c>
      <c r="H2387">
        <f>IFERROR(VLOOKUP(E2387,'GASB Match'!$A$2:$B$240,2,FALSE),"")</f>
        <v>1305850</v>
      </c>
    </row>
    <row r="2388" spans="1:8" x14ac:dyDescent="0.2">
      <c r="A2388">
        <v>1305850</v>
      </c>
      <c r="B2388" s="3">
        <v>2016</v>
      </c>
      <c r="C2388" t="s">
        <v>593</v>
      </c>
      <c r="D2388" t="s">
        <v>594</v>
      </c>
      <c r="E2388" t="s">
        <v>594</v>
      </c>
      <c r="F2388" s="4">
        <v>2307404.4700000002</v>
      </c>
      <c r="G2388" s="4">
        <v>12150.96</v>
      </c>
      <c r="H2388">
        <f>IFERROR(VLOOKUP(E2388,'GASB Match'!$A$2:$B$240,2,FALSE),"")</f>
        <v>1305850</v>
      </c>
    </row>
    <row r="2389" spans="1:8" x14ac:dyDescent="0.2">
      <c r="A2389">
        <v>1305850</v>
      </c>
      <c r="B2389" s="3">
        <v>2017</v>
      </c>
      <c r="C2389" t="s">
        <v>593</v>
      </c>
      <c r="D2389" t="s">
        <v>594</v>
      </c>
      <c r="E2389" t="s">
        <v>594</v>
      </c>
      <c r="F2389" s="4">
        <v>2369568</v>
      </c>
      <c r="G2389" s="4">
        <v>23966</v>
      </c>
      <c r="H2389">
        <f>IFERROR(VLOOKUP(E2389,'GASB Match'!$A$2:$B$240,2,FALSE),"")</f>
        <v>1305850</v>
      </c>
    </row>
    <row r="2390" spans="1:8" x14ac:dyDescent="0.2">
      <c r="A2390">
        <v>1305850</v>
      </c>
      <c r="B2390" s="3">
        <v>2018</v>
      </c>
      <c r="C2390" t="s">
        <v>593</v>
      </c>
      <c r="D2390" t="s">
        <v>594</v>
      </c>
      <c r="E2390" t="s">
        <v>594</v>
      </c>
      <c r="F2390" s="4">
        <v>2763163</v>
      </c>
      <c r="G2390" s="4">
        <v>22452</v>
      </c>
      <c r="H2390">
        <f>IFERROR(VLOOKUP(E2390,'GASB Match'!$A$2:$B$240,2,FALSE),"")</f>
        <v>1305850</v>
      </c>
    </row>
    <row r="2391" spans="1:8" x14ac:dyDescent="0.2">
      <c r="A2391">
        <v>1305850</v>
      </c>
      <c r="B2391" s="3">
        <v>2019</v>
      </c>
      <c r="C2391" t="s">
        <v>593</v>
      </c>
      <c r="D2391" t="s">
        <v>594</v>
      </c>
      <c r="E2391" t="s">
        <v>594</v>
      </c>
      <c r="F2391" s="4">
        <v>3403738</v>
      </c>
      <c r="G2391" s="4">
        <v>33191</v>
      </c>
      <c r="H2391">
        <f>IFERROR(VLOOKUP(E2391,'GASB Match'!$A$2:$B$240,2,FALSE),"")</f>
        <v>1305850</v>
      </c>
    </row>
    <row r="2392" spans="1:8" x14ac:dyDescent="0.2">
      <c r="A2392">
        <v>1305850</v>
      </c>
      <c r="B2392" s="3">
        <v>2020</v>
      </c>
      <c r="C2392" t="s">
        <v>593</v>
      </c>
      <c r="D2392" t="s">
        <v>594</v>
      </c>
      <c r="E2392" t="s">
        <v>594</v>
      </c>
      <c r="F2392" s="4">
        <v>3456863</v>
      </c>
      <c r="G2392" s="4">
        <v>83088</v>
      </c>
      <c r="H2392">
        <f>IFERROR(VLOOKUP(E2392,'GASB Match'!$A$2:$B$240,2,FALSE),"")</f>
        <v>1305850</v>
      </c>
    </row>
    <row r="2393" spans="1:8" x14ac:dyDescent="0.2">
      <c r="A2393">
        <v>1305850</v>
      </c>
      <c r="B2393" s="3">
        <v>2021</v>
      </c>
      <c r="C2393" t="s">
        <v>593</v>
      </c>
      <c r="D2393" t="s">
        <v>594</v>
      </c>
      <c r="E2393" t="s">
        <v>594</v>
      </c>
      <c r="F2393" s="4">
        <v>3119609</v>
      </c>
      <c r="G2393" s="4">
        <v>78039</v>
      </c>
      <c r="H2393">
        <f>IFERROR(VLOOKUP(E2393,'GASB Match'!$A$2:$B$240,2,FALSE),"")</f>
        <v>1305850</v>
      </c>
    </row>
    <row r="2394" spans="1:8" x14ac:dyDescent="0.2">
      <c r="A2394">
        <v>1305850</v>
      </c>
      <c r="B2394" s="3">
        <v>2022</v>
      </c>
      <c r="C2394" t="s">
        <v>593</v>
      </c>
      <c r="D2394" t="s">
        <v>594</v>
      </c>
      <c r="E2394" t="s">
        <v>594</v>
      </c>
      <c r="F2394" s="4">
        <v>3281395</v>
      </c>
      <c r="G2394" s="4">
        <v>81483</v>
      </c>
      <c r="H2394">
        <f>IFERROR(VLOOKUP(E2394,'GASB Match'!$A$2:$B$240,2,FALSE),"")</f>
        <v>1305850</v>
      </c>
    </row>
    <row r="2395" spans="1:8" x14ac:dyDescent="0.2">
      <c r="A2395">
        <v>1305850</v>
      </c>
      <c r="B2395" s="3">
        <v>2023</v>
      </c>
      <c r="C2395" t="s">
        <v>593</v>
      </c>
      <c r="D2395" t="s">
        <v>594</v>
      </c>
      <c r="E2395" t="s">
        <v>594</v>
      </c>
      <c r="F2395" s="4">
        <v>3406732</v>
      </c>
      <c r="G2395" s="4">
        <v>37172</v>
      </c>
      <c r="H2395">
        <f>IFERROR(VLOOKUP(E2395,'GASB Match'!$A$2:$B$240,2,FALSE),"")</f>
        <v>1305850</v>
      </c>
    </row>
    <row r="2396" spans="1:8" x14ac:dyDescent="0.2">
      <c r="A2396" t="s">
        <v>7</v>
      </c>
      <c r="B2396" s="3">
        <v>2015</v>
      </c>
      <c r="C2396" t="s">
        <v>595</v>
      </c>
      <c r="D2396" t="s">
        <v>596</v>
      </c>
      <c r="E2396" t="s">
        <v>596</v>
      </c>
      <c r="F2396" s="4">
        <v>21634.080000000002</v>
      </c>
      <c r="G2396" s="4" t="s">
        <v>7</v>
      </c>
      <c r="H2396" t="str">
        <f>IFERROR(VLOOKUP(E2396,'GASB Match'!$A$2:$B$240,2,FALSE),"")</f>
        <v/>
      </c>
    </row>
    <row r="2397" spans="1:8" x14ac:dyDescent="0.2">
      <c r="A2397" t="s">
        <v>7</v>
      </c>
      <c r="B2397" s="3">
        <v>2016</v>
      </c>
      <c r="C2397" t="s">
        <v>595</v>
      </c>
      <c r="D2397" t="s">
        <v>596</v>
      </c>
      <c r="E2397" t="s">
        <v>596</v>
      </c>
      <c r="F2397" s="4">
        <v>23189.18</v>
      </c>
      <c r="G2397" s="4" t="s">
        <v>7</v>
      </c>
      <c r="H2397" t="str">
        <f>IFERROR(VLOOKUP(E2397,'GASB Match'!$A$2:$B$240,2,FALSE),"")</f>
        <v/>
      </c>
    </row>
    <row r="2398" spans="1:8" x14ac:dyDescent="0.2">
      <c r="A2398" t="s">
        <v>7</v>
      </c>
      <c r="B2398" s="3">
        <v>2017</v>
      </c>
      <c r="C2398" t="s">
        <v>595</v>
      </c>
      <c r="D2398" t="s">
        <v>596</v>
      </c>
      <c r="E2398" t="s">
        <v>596</v>
      </c>
      <c r="F2398" s="4">
        <v>20627</v>
      </c>
      <c r="G2398" s="4" t="s">
        <v>7</v>
      </c>
      <c r="H2398" t="str">
        <f>IFERROR(VLOOKUP(E2398,'GASB Match'!$A$2:$B$240,2,FALSE),"")</f>
        <v/>
      </c>
    </row>
    <row r="2399" spans="1:8" x14ac:dyDescent="0.2">
      <c r="A2399" t="s">
        <v>7</v>
      </c>
      <c r="B2399" s="3">
        <v>2018</v>
      </c>
      <c r="C2399" t="s">
        <v>595</v>
      </c>
      <c r="D2399" t="s">
        <v>596</v>
      </c>
      <c r="E2399" t="s">
        <v>596</v>
      </c>
      <c r="F2399" s="4">
        <v>24802</v>
      </c>
      <c r="G2399" s="4" t="s">
        <v>7</v>
      </c>
      <c r="H2399" t="str">
        <f>IFERROR(VLOOKUP(E2399,'GASB Match'!$A$2:$B$240,2,FALSE),"")</f>
        <v/>
      </c>
    </row>
    <row r="2400" spans="1:8" x14ac:dyDescent="0.2">
      <c r="A2400" t="s">
        <v>7</v>
      </c>
      <c r="B2400" s="3">
        <v>2019</v>
      </c>
      <c r="C2400" t="s">
        <v>595</v>
      </c>
      <c r="D2400" t="s">
        <v>596</v>
      </c>
      <c r="E2400" t="s">
        <v>596</v>
      </c>
      <c r="F2400" s="4">
        <v>30291</v>
      </c>
      <c r="G2400" s="4" t="s">
        <v>7</v>
      </c>
      <c r="H2400" t="str">
        <f>IFERROR(VLOOKUP(E2400,'GASB Match'!$A$2:$B$240,2,FALSE),"")</f>
        <v/>
      </c>
    </row>
    <row r="2401" spans="1:8" x14ac:dyDescent="0.2">
      <c r="A2401" t="s">
        <v>7</v>
      </c>
      <c r="B2401" s="3">
        <v>2020</v>
      </c>
      <c r="C2401" t="s">
        <v>595</v>
      </c>
      <c r="D2401" t="s">
        <v>596</v>
      </c>
      <c r="E2401" t="s">
        <v>596</v>
      </c>
      <c r="F2401" s="4">
        <v>32952</v>
      </c>
      <c r="G2401" s="4" t="s">
        <v>7</v>
      </c>
      <c r="H2401" t="str">
        <f>IFERROR(VLOOKUP(E2401,'GASB Match'!$A$2:$B$240,2,FALSE),"")</f>
        <v/>
      </c>
    </row>
    <row r="2402" spans="1:8" x14ac:dyDescent="0.2">
      <c r="A2402" t="s">
        <v>7</v>
      </c>
      <c r="B2402" s="3">
        <v>2021</v>
      </c>
      <c r="C2402" t="s">
        <v>595</v>
      </c>
      <c r="D2402" t="s">
        <v>596</v>
      </c>
      <c r="E2402" t="s">
        <v>596</v>
      </c>
      <c r="F2402" s="4">
        <v>28154</v>
      </c>
      <c r="G2402" s="4" t="s">
        <v>7</v>
      </c>
      <c r="H2402" t="str">
        <f>IFERROR(VLOOKUP(E2402,'GASB Match'!$A$2:$B$240,2,FALSE),"")</f>
        <v/>
      </c>
    </row>
    <row r="2403" spans="1:8" x14ac:dyDescent="0.2">
      <c r="A2403" t="s">
        <v>7</v>
      </c>
      <c r="B2403" s="3">
        <v>2022</v>
      </c>
      <c r="C2403" t="s">
        <v>595</v>
      </c>
      <c r="D2403" t="s">
        <v>596</v>
      </c>
      <c r="E2403" t="s">
        <v>596</v>
      </c>
      <c r="F2403" s="4">
        <v>31414</v>
      </c>
      <c r="G2403" s="4" t="s">
        <v>7</v>
      </c>
      <c r="H2403" t="str">
        <f>IFERROR(VLOOKUP(E2403,'GASB Match'!$A$2:$B$240,2,FALSE),"")</f>
        <v/>
      </c>
    </row>
    <row r="2404" spans="1:8" x14ac:dyDescent="0.2">
      <c r="A2404" t="s">
        <v>7</v>
      </c>
      <c r="B2404" s="3">
        <v>2023</v>
      </c>
      <c r="C2404" t="s">
        <v>595</v>
      </c>
      <c r="D2404" t="s">
        <v>596</v>
      </c>
      <c r="E2404" t="s">
        <v>596</v>
      </c>
      <c r="F2404" s="4">
        <v>30389</v>
      </c>
      <c r="G2404" s="4" t="s">
        <v>7</v>
      </c>
      <c r="H2404" t="str">
        <f>IFERROR(VLOOKUP(E2404,'GASB Match'!$A$2:$B$240,2,FALSE),"")</f>
        <v/>
      </c>
    </row>
    <row r="2405" spans="1:8" x14ac:dyDescent="0.2">
      <c r="A2405">
        <v>1300120</v>
      </c>
      <c r="B2405" s="3">
        <v>2015</v>
      </c>
      <c r="C2405" t="s">
        <v>597</v>
      </c>
      <c r="D2405" t="s">
        <v>598</v>
      </c>
      <c r="E2405" t="s">
        <v>598</v>
      </c>
      <c r="F2405" s="4">
        <v>41997144.450000003</v>
      </c>
      <c r="G2405" s="4">
        <v>234124.29</v>
      </c>
      <c r="H2405">
        <f>IFERROR(VLOOKUP(E2405,'GASB Match'!$A$2:$B$240,2,FALSE),"")</f>
        <v>1300120</v>
      </c>
    </row>
    <row r="2406" spans="1:8" x14ac:dyDescent="0.2">
      <c r="A2406">
        <v>1300120</v>
      </c>
      <c r="B2406" s="3">
        <v>2016</v>
      </c>
      <c r="C2406" t="s">
        <v>597</v>
      </c>
      <c r="D2406" t="s">
        <v>598</v>
      </c>
      <c r="E2406" t="s">
        <v>598</v>
      </c>
      <c r="F2406" s="4">
        <v>45761365.869999997</v>
      </c>
      <c r="G2406" s="4">
        <v>313628</v>
      </c>
      <c r="H2406">
        <f>IFERROR(VLOOKUP(E2406,'GASB Match'!$A$2:$B$240,2,FALSE),"")</f>
        <v>1300120</v>
      </c>
    </row>
    <row r="2407" spans="1:8" x14ac:dyDescent="0.2">
      <c r="A2407">
        <v>1300120</v>
      </c>
      <c r="B2407" s="3">
        <v>2017</v>
      </c>
      <c r="C2407" t="s">
        <v>597</v>
      </c>
      <c r="D2407" t="s">
        <v>598</v>
      </c>
      <c r="E2407" t="s">
        <v>598</v>
      </c>
      <c r="F2407" s="4">
        <v>47311014</v>
      </c>
      <c r="G2407" s="4">
        <v>183870</v>
      </c>
      <c r="H2407">
        <f>IFERROR(VLOOKUP(E2407,'GASB Match'!$A$2:$B$240,2,FALSE),"")</f>
        <v>1300120</v>
      </c>
    </row>
    <row r="2408" spans="1:8" x14ac:dyDescent="0.2">
      <c r="A2408">
        <v>1300120</v>
      </c>
      <c r="B2408" s="3">
        <v>2018</v>
      </c>
      <c r="C2408" t="s">
        <v>597</v>
      </c>
      <c r="D2408" t="s">
        <v>598</v>
      </c>
      <c r="E2408" t="s">
        <v>598</v>
      </c>
      <c r="F2408" s="4">
        <v>54605691</v>
      </c>
      <c r="G2408" s="4">
        <v>141654</v>
      </c>
      <c r="H2408">
        <f>IFERROR(VLOOKUP(E2408,'GASB Match'!$A$2:$B$240,2,FALSE),"")</f>
        <v>1300120</v>
      </c>
    </row>
    <row r="2409" spans="1:8" x14ac:dyDescent="0.2">
      <c r="A2409">
        <v>1300120</v>
      </c>
      <c r="B2409" s="3">
        <v>2019</v>
      </c>
      <c r="C2409" t="s">
        <v>597</v>
      </c>
      <c r="D2409" t="s">
        <v>598</v>
      </c>
      <c r="E2409" t="s">
        <v>598</v>
      </c>
      <c r="F2409" s="4">
        <v>68863589</v>
      </c>
      <c r="G2409" s="4">
        <v>159677</v>
      </c>
      <c r="H2409">
        <f>IFERROR(VLOOKUP(E2409,'GASB Match'!$A$2:$B$240,2,FALSE),"")</f>
        <v>1300120</v>
      </c>
    </row>
    <row r="2410" spans="1:8" x14ac:dyDescent="0.2">
      <c r="A2410">
        <v>1300120</v>
      </c>
      <c r="B2410" s="3">
        <v>2020</v>
      </c>
      <c r="C2410" t="s">
        <v>597</v>
      </c>
      <c r="D2410" t="s">
        <v>598</v>
      </c>
      <c r="E2410" t="s">
        <v>598</v>
      </c>
      <c r="F2410" s="4">
        <v>70875681</v>
      </c>
      <c r="G2410" s="4">
        <v>141870</v>
      </c>
      <c r="H2410">
        <f>IFERROR(VLOOKUP(E2410,'GASB Match'!$A$2:$B$240,2,FALSE),"")</f>
        <v>1300120</v>
      </c>
    </row>
    <row r="2411" spans="1:8" x14ac:dyDescent="0.2">
      <c r="A2411">
        <v>1300120</v>
      </c>
      <c r="B2411" s="3">
        <v>2021</v>
      </c>
      <c r="C2411" t="s">
        <v>597</v>
      </c>
      <c r="D2411" t="s">
        <v>598</v>
      </c>
      <c r="E2411" t="s">
        <v>598</v>
      </c>
      <c r="F2411" s="4">
        <v>65800197</v>
      </c>
      <c r="G2411" s="4">
        <v>104174</v>
      </c>
      <c r="H2411">
        <f>IFERROR(VLOOKUP(E2411,'GASB Match'!$A$2:$B$240,2,FALSE),"")</f>
        <v>1300120</v>
      </c>
    </row>
    <row r="2412" spans="1:8" x14ac:dyDescent="0.2">
      <c r="A2412">
        <v>1300120</v>
      </c>
      <c r="B2412" s="3">
        <v>2022</v>
      </c>
      <c r="C2412" t="s">
        <v>597</v>
      </c>
      <c r="D2412" t="s">
        <v>598</v>
      </c>
      <c r="E2412" t="s">
        <v>598</v>
      </c>
      <c r="F2412" s="4">
        <v>73035019</v>
      </c>
      <c r="G2412" s="4">
        <v>98290</v>
      </c>
      <c r="H2412">
        <f>IFERROR(VLOOKUP(E2412,'GASB Match'!$A$2:$B$240,2,FALSE),"")</f>
        <v>1300120</v>
      </c>
    </row>
    <row r="2413" spans="1:8" x14ac:dyDescent="0.2">
      <c r="A2413">
        <v>1300120</v>
      </c>
      <c r="B2413" s="3">
        <v>2023</v>
      </c>
      <c r="C2413" t="s">
        <v>597</v>
      </c>
      <c r="D2413" t="s">
        <v>598</v>
      </c>
      <c r="E2413" t="s">
        <v>598</v>
      </c>
      <c r="F2413" s="4">
        <v>77457888</v>
      </c>
      <c r="G2413" s="4">
        <v>95605</v>
      </c>
      <c r="H2413">
        <f>IFERROR(VLOOKUP(E2413,'GASB Match'!$A$2:$B$240,2,FALSE),"")</f>
        <v>1300120</v>
      </c>
    </row>
    <row r="2414" spans="1:8" x14ac:dyDescent="0.2">
      <c r="A2414">
        <v>1300510</v>
      </c>
      <c r="B2414" s="3">
        <v>2015</v>
      </c>
      <c r="C2414" t="s">
        <v>599</v>
      </c>
      <c r="D2414" t="s">
        <v>600</v>
      </c>
      <c r="E2414" t="s">
        <v>600</v>
      </c>
      <c r="F2414" s="4">
        <v>1440536.71</v>
      </c>
      <c r="G2414" s="4" t="s">
        <v>7</v>
      </c>
      <c r="H2414">
        <f>IFERROR(VLOOKUP(E2414,'GASB Match'!$A$2:$B$240,2,FALSE),"")</f>
        <v>1300510</v>
      </c>
    </row>
    <row r="2415" spans="1:8" x14ac:dyDescent="0.2">
      <c r="A2415">
        <v>1300510</v>
      </c>
      <c r="B2415" s="3">
        <v>2016</v>
      </c>
      <c r="C2415" t="s">
        <v>599</v>
      </c>
      <c r="D2415" t="s">
        <v>600</v>
      </c>
      <c r="E2415" t="s">
        <v>600</v>
      </c>
      <c r="F2415" s="4">
        <v>1552161.82</v>
      </c>
      <c r="G2415" s="4" t="s">
        <v>7</v>
      </c>
      <c r="H2415">
        <f>IFERROR(VLOOKUP(E2415,'GASB Match'!$A$2:$B$240,2,FALSE),"")</f>
        <v>1300510</v>
      </c>
    </row>
    <row r="2416" spans="1:8" x14ac:dyDescent="0.2">
      <c r="A2416">
        <v>1300510</v>
      </c>
      <c r="B2416" s="3">
        <v>2017</v>
      </c>
      <c r="C2416" t="s">
        <v>599</v>
      </c>
      <c r="D2416" t="s">
        <v>600</v>
      </c>
      <c r="E2416" t="s">
        <v>600</v>
      </c>
      <c r="F2416" s="4">
        <v>1606586</v>
      </c>
      <c r="G2416" s="4">
        <v>7929</v>
      </c>
      <c r="H2416">
        <f>IFERROR(VLOOKUP(E2416,'GASB Match'!$A$2:$B$240,2,FALSE),"")</f>
        <v>1300510</v>
      </c>
    </row>
    <row r="2417" spans="1:8" x14ac:dyDescent="0.2">
      <c r="A2417">
        <v>1300510</v>
      </c>
      <c r="B2417" s="3">
        <v>2018</v>
      </c>
      <c r="C2417" t="s">
        <v>599</v>
      </c>
      <c r="D2417" t="s">
        <v>600</v>
      </c>
      <c r="E2417" t="s">
        <v>600</v>
      </c>
      <c r="F2417" s="4">
        <v>1980900</v>
      </c>
      <c r="G2417" s="4">
        <v>10460</v>
      </c>
      <c r="H2417">
        <f>IFERROR(VLOOKUP(E2417,'GASB Match'!$A$2:$B$240,2,FALSE),"")</f>
        <v>1300510</v>
      </c>
    </row>
    <row r="2418" spans="1:8" x14ac:dyDescent="0.2">
      <c r="A2418">
        <v>1300510</v>
      </c>
      <c r="B2418" s="3">
        <v>2019</v>
      </c>
      <c r="C2418" t="s">
        <v>599</v>
      </c>
      <c r="D2418" t="s">
        <v>600</v>
      </c>
      <c r="E2418" t="s">
        <v>600</v>
      </c>
      <c r="F2418" s="4">
        <v>2539246</v>
      </c>
      <c r="G2418" s="4">
        <v>13005</v>
      </c>
      <c r="H2418">
        <f>IFERROR(VLOOKUP(E2418,'GASB Match'!$A$2:$B$240,2,FALSE),"")</f>
        <v>1300510</v>
      </c>
    </row>
    <row r="2419" spans="1:8" x14ac:dyDescent="0.2">
      <c r="A2419">
        <v>1300510</v>
      </c>
      <c r="B2419" s="3">
        <v>2020</v>
      </c>
      <c r="C2419" t="s">
        <v>599</v>
      </c>
      <c r="D2419" t="s">
        <v>600</v>
      </c>
      <c r="E2419" t="s">
        <v>600</v>
      </c>
      <c r="F2419" s="4">
        <v>2764097</v>
      </c>
      <c r="G2419" s="4">
        <v>14118</v>
      </c>
      <c r="H2419">
        <f>IFERROR(VLOOKUP(E2419,'GASB Match'!$A$2:$B$240,2,FALSE),"")</f>
        <v>1300510</v>
      </c>
    </row>
    <row r="2420" spans="1:8" x14ac:dyDescent="0.2">
      <c r="A2420">
        <v>1300510</v>
      </c>
      <c r="B2420" s="3">
        <v>2021</v>
      </c>
      <c r="C2420" t="s">
        <v>599</v>
      </c>
      <c r="D2420" t="s">
        <v>600</v>
      </c>
      <c r="E2420" t="s">
        <v>600</v>
      </c>
      <c r="F2420" s="4">
        <v>2490537</v>
      </c>
      <c r="G2420" s="4">
        <v>12729</v>
      </c>
      <c r="H2420">
        <f>IFERROR(VLOOKUP(E2420,'GASB Match'!$A$2:$B$240,2,FALSE),"")</f>
        <v>1300510</v>
      </c>
    </row>
    <row r="2421" spans="1:8" x14ac:dyDescent="0.2">
      <c r="A2421">
        <v>1300510</v>
      </c>
      <c r="B2421" s="3">
        <v>2022</v>
      </c>
      <c r="C2421" t="s">
        <v>599</v>
      </c>
      <c r="D2421" t="s">
        <v>600</v>
      </c>
      <c r="E2421" t="s">
        <v>600</v>
      </c>
      <c r="F2421" s="4">
        <v>2611334</v>
      </c>
      <c r="G2421" s="4">
        <v>15526</v>
      </c>
      <c r="H2421">
        <f>IFERROR(VLOOKUP(E2421,'GASB Match'!$A$2:$B$240,2,FALSE),"")</f>
        <v>1300510</v>
      </c>
    </row>
    <row r="2422" spans="1:8" x14ac:dyDescent="0.2">
      <c r="A2422">
        <v>1300510</v>
      </c>
      <c r="B2422" s="3">
        <v>2023</v>
      </c>
      <c r="C2422" t="s">
        <v>599</v>
      </c>
      <c r="D2422" t="s">
        <v>600</v>
      </c>
      <c r="E2422" t="s">
        <v>600</v>
      </c>
      <c r="F2422" s="4">
        <v>2771877</v>
      </c>
      <c r="G2422" s="4">
        <v>16298</v>
      </c>
      <c r="H2422">
        <f>IFERROR(VLOOKUP(E2422,'GASB Match'!$A$2:$B$240,2,FALSE),"")</f>
        <v>1300510</v>
      </c>
    </row>
    <row r="2423" spans="1:8" x14ac:dyDescent="0.2">
      <c r="A2423">
        <v>1300600</v>
      </c>
      <c r="B2423" s="3">
        <v>2015</v>
      </c>
      <c r="C2423" t="s">
        <v>601</v>
      </c>
      <c r="D2423" t="s">
        <v>602</v>
      </c>
      <c r="E2423" t="s">
        <v>602</v>
      </c>
      <c r="F2423" s="4">
        <v>2968551.68</v>
      </c>
      <c r="G2423" s="4">
        <v>382.13</v>
      </c>
      <c r="H2423">
        <f>IFERROR(VLOOKUP(E2423,'GASB Match'!$A$2:$B$240,2,FALSE),"")</f>
        <v>1300600</v>
      </c>
    </row>
    <row r="2424" spans="1:8" x14ac:dyDescent="0.2">
      <c r="A2424">
        <v>1300600</v>
      </c>
      <c r="B2424" s="3">
        <v>2016</v>
      </c>
      <c r="C2424" t="s">
        <v>601</v>
      </c>
      <c r="D2424" t="s">
        <v>602</v>
      </c>
      <c r="E2424" t="s">
        <v>602</v>
      </c>
      <c r="F2424" s="4">
        <v>3447058.69</v>
      </c>
      <c r="G2424" s="4" t="s">
        <v>7</v>
      </c>
      <c r="H2424">
        <f>IFERROR(VLOOKUP(E2424,'GASB Match'!$A$2:$B$240,2,FALSE),"")</f>
        <v>1300600</v>
      </c>
    </row>
    <row r="2425" spans="1:8" x14ac:dyDescent="0.2">
      <c r="A2425">
        <v>1300600</v>
      </c>
      <c r="B2425" s="3">
        <v>2017</v>
      </c>
      <c r="C2425" t="s">
        <v>601</v>
      </c>
      <c r="D2425" t="s">
        <v>602</v>
      </c>
      <c r="E2425" t="s">
        <v>602</v>
      </c>
      <c r="F2425" s="4">
        <v>3693842</v>
      </c>
      <c r="G2425" s="4" t="s">
        <v>7</v>
      </c>
      <c r="H2425">
        <f>IFERROR(VLOOKUP(E2425,'GASB Match'!$A$2:$B$240,2,FALSE),"")</f>
        <v>1300600</v>
      </c>
    </row>
    <row r="2426" spans="1:8" x14ac:dyDescent="0.2">
      <c r="A2426">
        <v>1300600</v>
      </c>
      <c r="B2426" s="3">
        <v>2018</v>
      </c>
      <c r="C2426" t="s">
        <v>601</v>
      </c>
      <c r="D2426" t="s">
        <v>602</v>
      </c>
      <c r="E2426" t="s">
        <v>602</v>
      </c>
      <c r="F2426" s="4">
        <v>4665546</v>
      </c>
      <c r="G2426" s="4" t="s">
        <v>7</v>
      </c>
      <c r="H2426">
        <f>IFERROR(VLOOKUP(E2426,'GASB Match'!$A$2:$B$240,2,FALSE),"")</f>
        <v>1300600</v>
      </c>
    </row>
    <row r="2427" spans="1:8" x14ac:dyDescent="0.2">
      <c r="A2427">
        <v>1300600</v>
      </c>
      <c r="B2427" s="3">
        <v>2019</v>
      </c>
      <c r="C2427" t="s">
        <v>601</v>
      </c>
      <c r="D2427" t="s">
        <v>602</v>
      </c>
      <c r="E2427" t="s">
        <v>602</v>
      </c>
      <c r="F2427" s="4">
        <v>6043035</v>
      </c>
      <c r="G2427" s="4" t="s">
        <v>7</v>
      </c>
      <c r="H2427">
        <f>IFERROR(VLOOKUP(E2427,'GASB Match'!$A$2:$B$240,2,FALSE),"")</f>
        <v>1300600</v>
      </c>
    </row>
    <row r="2428" spans="1:8" x14ac:dyDescent="0.2">
      <c r="A2428">
        <v>1300600</v>
      </c>
      <c r="B2428" s="3">
        <v>2020</v>
      </c>
      <c r="C2428" t="s">
        <v>601</v>
      </c>
      <c r="D2428" t="s">
        <v>602</v>
      </c>
      <c r="E2428" t="s">
        <v>602</v>
      </c>
      <c r="F2428" s="4">
        <v>6719940</v>
      </c>
      <c r="G2428" s="4" t="s">
        <v>7</v>
      </c>
      <c r="H2428">
        <f>IFERROR(VLOOKUP(E2428,'GASB Match'!$A$2:$B$240,2,FALSE),"")</f>
        <v>1300600</v>
      </c>
    </row>
    <row r="2429" spans="1:8" x14ac:dyDescent="0.2">
      <c r="A2429">
        <v>1300600</v>
      </c>
      <c r="B2429" s="3">
        <v>2021</v>
      </c>
      <c r="C2429" t="s">
        <v>601</v>
      </c>
      <c r="D2429" t="s">
        <v>602</v>
      </c>
      <c r="E2429" t="s">
        <v>602</v>
      </c>
      <c r="F2429" s="4">
        <v>6287522</v>
      </c>
      <c r="G2429" s="4" t="s">
        <v>7</v>
      </c>
      <c r="H2429">
        <f>IFERROR(VLOOKUP(E2429,'GASB Match'!$A$2:$B$240,2,FALSE),"")</f>
        <v>1300600</v>
      </c>
    </row>
    <row r="2430" spans="1:8" x14ac:dyDescent="0.2">
      <c r="A2430">
        <v>1300600</v>
      </c>
      <c r="B2430" s="3">
        <v>2022</v>
      </c>
      <c r="C2430" t="s">
        <v>601</v>
      </c>
      <c r="D2430" t="s">
        <v>602</v>
      </c>
      <c r="E2430" t="s">
        <v>602</v>
      </c>
      <c r="F2430" s="4">
        <v>7113793</v>
      </c>
      <c r="G2430" s="4" t="s">
        <v>7</v>
      </c>
      <c r="H2430">
        <f>IFERROR(VLOOKUP(E2430,'GASB Match'!$A$2:$B$240,2,FALSE),"")</f>
        <v>1300600</v>
      </c>
    </row>
    <row r="2431" spans="1:8" x14ac:dyDescent="0.2">
      <c r="A2431">
        <v>1300600</v>
      </c>
      <c r="B2431" s="3">
        <v>2023</v>
      </c>
      <c r="C2431" t="s">
        <v>601</v>
      </c>
      <c r="D2431" t="s">
        <v>602</v>
      </c>
      <c r="E2431" t="s">
        <v>602</v>
      </c>
      <c r="F2431" s="4">
        <v>8083782</v>
      </c>
      <c r="G2431" s="4" t="s">
        <v>7</v>
      </c>
      <c r="H2431">
        <f>IFERROR(VLOOKUP(E2431,'GASB Match'!$A$2:$B$240,2,FALSE),"")</f>
        <v>1300600</v>
      </c>
    </row>
    <row r="2432" spans="1:8" x14ac:dyDescent="0.2">
      <c r="A2432">
        <v>1300720</v>
      </c>
      <c r="B2432" s="3">
        <v>2015</v>
      </c>
      <c r="C2432" t="s">
        <v>603</v>
      </c>
      <c r="D2432" t="s">
        <v>604</v>
      </c>
      <c r="E2432" t="s">
        <v>604</v>
      </c>
      <c r="F2432" s="4">
        <v>2260286.4300000002</v>
      </c>
      <c r="G2432" s="4">
        <v>39589.440000000002</v>
      </c>
      <c r="H2432">
        <f>IFERROR(VLOOKUP(E2432,'GASB Match'!$A$2:$B$240,2,FALSE),"")</f>
        <v>1300720</v>
      </c>
    </row>
    <row r="2433" spans="1:8" x14ac:dyDescent="0.2">
      <c r="A2433">
        <v>1300720</v>
      </c>
      <c r="B2433" s="3">
        <v>2016</v>
      </c>
      <c r="C2433" t="s">
        <v>603</v>
      </c>
      <c r="D2433" t="s">
        <v>604</v>
      </c>
      <c r="E2433" t="s">
        <v>604</v>
      </c>
      <c r="F2433" s="4">
        <v>2453698.2000000002</v>
      </c>
      <c r="G2433" s="4">
        <v>44777.62</v>
      </c>
      <c r="H2433">
        <f>IFERROR(VLOOKUP(E2433,'GASB Match'!$A$2:$B$240,2,FALSE),"")</f>
        <v>1300720</v>
      </c>
    </row>
    <row r="2434" spans="1:8" x14ac:dyDescent="0.2">
      <c r="A2434">
        <v>1300720</v>
      </c>
      <c r="B2434" s="3">
        <v>2017</v>
      </c>
      <c r="C2434" t="s">
        <v>603</v>
      </c>
      <c r="D2434" t="s">
        <v>604</v>
      </c>
      <c r="E2434" t="s">
        <v>604</v>
      </c>
      <c r="F2434" s="4">
        <v>2565754</v>
      </c>
      <c r="G2434" s="4">
        <v>33284</v>
      </c>
      <c r="H2434">
        <f>IFERROR(VLOOKUP(E2434,'GASB Match'!$A$2:$B$240,2,FALSE),"")</f>
        <v>1300720</v>
      </c>
    </row>
    <row r="2435" spans="1:8" x14ac:dyDescent="0.2">
      <c r="A2435">
        <v>1300720</v>
      </c>
      <c r="B2435" s="3">
        <v>2018</v>
      </c>
      <c r="C2435" t="s">
        <v>603</v>
      </c>
      <c r="D2435" t="s">
        <v>604</v>
      </c>
      <c r="E2435" t="s">
        <v>604</v>
      </c>
      <c r="F2435" s="4">
        <v>3021487</v>
      </c>
      <c r="G2435" s="4">
        <v>31782</v>
      </c>
      <c r="H2435">
        <f>IFERROR(VLOOKUP(E2435,'GASB Match'!$A$2:$B$240,2,FALSE),"")</f>
        <v>1300720</v>
      </c>
    </row>
    <row r="2436" spans="1:8" x14ac:dyDescent="0.2">
      <c r="A2436">
        <v>1300720</v>
      </c>
      <c r="B2436" s="3">
        <v>2019</v>
      </c>
      <c r="C2436" t="s">
        <v>603</v>
      </c>
      <c r="D2436" t="s">
        <v>604</v>
      </c>
      <c r="E2436" t="s">
        <v>604</v>
      </c>
      <c r="F2436" s="4">
        <v>3813339</v>
      </c>
      <c r="G2436" s="4">
        <v>39691</v>
      </c>
      <c r="H2436">
        <f>IFERROR(VLOOKUP(E2436,'GASB Match'!$A$2:$B$240,2,FALSE),"")</f>
        <v>1300720</v>
      </c>
    </row>
    <row r="2437" spans="1:8" x14ac:dyDescent="0.2">
      <c r="A2437">
        <v>1300720</v>
      </c>
      <c r="B2437" s="3">
        <v>2020</v>
      </c>
      <c r="C2437" t="s">
        <v>603</v>
      </c>
      <c r="D2437" t="s">
        <v>604</v>
      </c>
      <c r="E2437" t="s">
        <v>604</v>
      </c>
      <c r="F2437" s="4">
        <v>4149835</v>
      </c>
      <c r="G2437" s="4">
        <v>53114</v>
      </c>
      <c r="H2437">
        <f>IFERROR(VLOOKUP(E2437,'GASB Match'!$A$2:$B$240,2,FALSE),"")</f>
        <v>1300720</v>
      </c>
    </row>
    <row r="2438" spans="1:8" x14ac:dyDescent="0.2">
      <c r="A2438">
        <v>1300720</v>
      </c>
      <c r="B2438" s="3">
        <v>2021</v>
      </c>
      <c r="C2438" t="s">
        <v>603</v>
      </c>
      <c r="D2438" t="s">
        <v>604</v>
      </c>
      <c r="E2438" t="s">
        <v>604</v>
      </c>
      <c r="F2438" s="4">
        <v>3787210</v>
      </c>
      <c r="G2438" s="4">
        <v>49312</v>
      </c>
      <c r="H2438">
        <f>IFERROR(VLOOKUP(E2438,'GASB Match'!$A$2:$B$240,2,FALSE),"")</f>
        <v>1300720</v>
      </c>
    </row>
    <row r="2439" spans="1:8" x14ac:dyDescent="0.2">
      <c r="A2439">
        <v>1300720</v>
      </c>
      <c r="B2439" s="3">
        <v>2022</v>
      </c>
      <c r="C2439" t="s">
        <v>603</v>
      </c>
      <c r="D2439" t="s">
        <v>604</v>
      </c>
      <c r="E2439" t="s">
        <v>604</v>
      </c>
      <c r="F2439" s="4">
        <v>4018073</v>
      </c>
      <c r="G2439" s="4">
        <v>46119</v>
      </c>
      <c r="H2439">
        <f>IFERROR(VLOOKUP(E2439,'GASB Match'!$A$2:$B$240,2,FALSE),"")</f>
        <v>1300720</v>
      </c>
    </row>
    <row r="2440" spans="1:8" x14ac:dyDescent="0.2">
      <c r="A2440">
        <v>1300720</v>
      </c>
      <c r="B2440" s="3">
        <v>2023</v>
      </c>
      <c r="C2440" t="s">
        <v>603</v>
      </c>
      <c r="D2440" t="s">
        <v>604</v>
      </c>
      <c r="E2440" t="s">
        <v>604</v>
      </c>
      <c r="F2440" s="4">
        <v>4303165</v>
      </c>
      <c r="G2440" s="4">
        <v>50839</v>
      </c>
      <c r="H2440">
        <f>IFERROR(VLOOKUP(E2440,'GASB Match'!$A$2:$B$240,2,FALSE),"")</f>
        <v>1300720</v>
      </c>
    </row>
    <row r="2441" spans="1:8" x14ac:dyDescent="0.2">
      <c r="A2441">
        <v>1300870</v>
      </c>
      <c r="B2441" s="3">
        <v>2015</v>
      </c>
      <c r="C2441" t="s">
        <v>605</v>
      </c>
      <c r="D2441" t="s">
        <v>606</v>
      </c>
      <c r="E2441" t="s">
        <v>606</v>
      </c>
      <c r="F2441" s="4">
        <v>2847643.48</v>
      </c>
      <c r="G2441" s="4">
        <v>32907.050000000003</v>
      </c>
      <c r="H2441">
        <f>IFERROR(VLOOKUP(E2441,'GASB Match'!$A$2:$B$240,2,FALSE),"")</f>
        <v>1300870</v>
      </c>
    </row>
    <row r="2442" spans="1:8" x14ac:dyDescent="0.2">
      <c r="A2442">
        <v>1300870</v>
      </c>
      <c r="B2442" s="3">
        <v>2016</v>
      </c>
      <c r="C2442" t="s">
        <v>605</v>
      </c>
      <c r="D2442" t="s">
        <v>606</v>
      </c>
      <c r="E2442" t="s">
        <v>606</v>
      </c>
      <c r="F2442" s="4">
        <v>3197583.05</v>
      </c>
      <c r="G2442" s="4">
        <v>36351.839999999997</v>
      </c>
      <c r="H2442">
        <f>IFERROR(VLOOKUP(E2442,'GASB Match'!$A$2:$B$240,2,FALSE),"")</f>
        <v>1300870</v>
      </c>
    </row>
    <row r="2443" spans="1:8" x14ac:dyDescent="0.2">
      <c r="A2443">
        <v>1300870</v>
      </c>
      <c r="B2443" s="3">
        <v>2017</v>
      </c>
      <c r="C2443" t="s">
        <v>605</v>
      </c>
      <c r="D2443" t="s">
        <v>606</v>
      </c>
      <c r="E2443" t="s">
        <v>606</v>
      </c>
      <c r="F2443" s="4">
        <v>3305356</v>
      </c>
      <c r="G2443" s="4">
        <v>33348</v>
      </c>
      <c r="H2443">
        <f>IFERROR(VLOOKUP(E2443,'GASB Match'!$A$2:$B$240,2,FALSE),"")</f>
        <v>1300870</v>
      </c>
    </row>
    <row r="2444" spans="1:8" x14ac:dyDescent="0.2">
      <c r="A2444">
        <v>1300870</v>
      </c>
      <c r="B2444" s="3">
        <v>2018</v>
      </c>
      <c r="C2444" t="s">
        <v>605</v>
      </c>
      <c r="D2444" t="s">
        <v>606</v>
      </c>
      <c r="E2444" t="s">
        <v>606</v>
      </c>
      <c r="F2444" s="4">
        <v>4128711</v>
      </c>
      <c r="G2444" s="4">
        <v>36758</v>
      </c>
      <c r="H2444">
        <f>IFERROR(VLOOKUP(E2444,'GASB Match'!$A$2:$B$240,2,FALSE),"")</f>
        <v>1300870</v>
      </c>
    </row>
    <row r="2445" spans="1:8" x14ac:dyDescent="0.2">
      <c r="A2445">
        <v>1300870</v>
      </c>
      <c r="B2445" s="3">
        <v>2019</v>
      </c>
      <c r="C2445" t="s">
        <v>605</v>
      </c>
      <c r="D2445" t="s">
        <v>606</v>
      </c>
      <c r="E2445" t="s">
        <v>606</v>
      </c>
      <c r="F2445" s="4">
        <v>5328383</v>
      </c>
      <c r="G2445" s="4">
        <v>46794</v>
      </c>
      <c r="H2445">
        <f>IFERROR(VLOOKUP(E2445,'GASB Match'!$A$2:$B$240,2,FALSE),"")</f>
        <v>1300870</v>
      </c>
    </row>
    <row r="2446" spans="1:8" x14ac:dyDescent="0.2">
      <c r="A2446">
        <v>1300870</v>
      </c>
      <c r="B2446" s="3">
        <v>2020</v>
      </c>
      <c r="C2446" t="s">
        <v>605</v>
      </c>
      <c r="D2446" t="s">
        <v>606</v>
      </c>
      <c r="E2446" t="s">
        <v>606</v>
      </c>
      <c r="F2446" s="4">
        <v>5740597</v>
      </c>
      <c r="G2446" s="4">
        <v>49125</v>
      </c>
      <c r="H2446">
        <f>IFERROR(VLOOKUP(E2446,'GASB Match'!$A$2:$B$240,2,FALSE),"")</f>
        <v>1300870</v>
      </c>
    </row>
    <row r="2447" spans="1:8" x14ac:dyDescent="0.2">
      <c r="A2447">
        <v>1300870</v>
      </c>
      <c r="B2447" s="3">
        <v>2021</v>
      </c>
      <c r="C2447" t="s">
        <v>605</v>
      </c>
      <c r="D2447" t="s">
        <v>606</v>
      </c>
      <c r="E2447" t="s">
        <v>606</v>
      </c>
      <c r="F2447" s="4">
        <v>5150428</v>
      </c>
      <c r="G2447" s="4">
        <v>36339</v>
      </c>
      <c r="H2447">
        <f>IFERROR(VLOOKUP(E2447,'GASB Match'!$A$2:$B$240,2,FALSE),"")</f>
        <v>1300870</v>
      </c>
    </row>
    <row r="2448" spans="1:8" x14ac:dyDescent="0.2">
      <c r="A2448">
        <v>1300870</v>
      </c>
      <c r="B2448" s="3">
        <v>2022</v>
      </c>
      <c r="C2448" t="s">
        <v>605</v>
      </c>
      <c r="D2448" t="s">
        <v>606</v>
      </c>
      <c r="E2448" t="s">
        <v>606</v>
      </c>
      <c r="F2448" s="4">
        <v>5656924</v>
      </c>
      <c r="G2448" s="4">
        <v>46244</v>
      </c>
      <c r="H2448">
        <f>IFERROR(VLOOKUP(E2448,'GASB Match'!$A$2:$B$240,2,FALSE),"")</f>
        <v>1300870</v>
      </c>
    </row>
    <row r="2449" spans="1:8" x14ac:dyDescent="0.2">
      <c r="A2449">
        <v>1300870</v>
      </c>
      <c r="B2449" s="3">
        <v>2023</v>
      </c>
      <c r="C2449" t="s">
        <v>605</v>
      </c>
      <c r="D2449" t="s">
        <v>606</v>
      </c>
      <c r="E2449" t="s">
        <v>606</v>
      </c>
      <c r="F2449" s="4">
        <v>6211952</v>
      </c>
      <c r="G2449" s="4">
        <v>55804</v>
      </c>
      <c r="H2449">
        <f>IFERROR(VLOOKUP(E2449,'GASB Match'!$A$2:$B$240,2,FALSE),"")</f>
        <v>1300870</v>
      </c>
    </row>
    <row r="2450" spans="1:8" x14ac:dyDescent="0.2">
      <c r="A2450">
        <v>1300900</v>
      </c>
      <c r="B2450" s="3">
        <v>2015</v>
      </c>
      <c r="C2450" t="s">
        <v>607</v>
      </c>
      <c r="D2450" t="s">
        <v>608</v>
      </c>
      <c r="E2450" t="s">
        <v>608</v>
      </c>
      <c r="F2450" s="4">
        <v>2730481.05</v>
      </c>
      <c r="G2450" s="4">
        <v>29685.87</v>
      </c>
      <c r="H2450">
        <f>IFERROR(VLOOKUP(E2450,'GASB Match'!$A$2:$B$240,2,FALSE),"")</f>
        <v>1300900</v>
      </c>
    </row>
    <row r="2451" spans="1:8" x14ac:dyDescent="0.2">
      <c r="A2451">
        <v>1300900</v>
      </c>
      <c r="B2451" s="3">
        <v>2016</v>
      </c>
      <c r="C2451" t="s">
        <v>607</v>
      </c>
      <c r="D2451" t="s">
        <v>608</v>
      </c>
      <c r="E2451" t="s">
        <v>608</v>
      </c>
      <c r="F2451" s="4">
        <v>2932301.76</v>
      </c>
      <c r="G2451" s="4">
        <v>23153.43</v>
      </c>
      <c r="H2451">
        <f>IFERROR(VLOOKUP(E2451,'GASB Match'!$A$2:$B$240,2,FALSE),"")</f>
        <v>1300900</v>
      </c>
    </row>
    <row r="2452" spans="1:8" x14ac:dyDescent="0.2">
      <c r="A2452">
        <v>1300900</v>
      </c>
      <c r="B2452" s="3">
        <v>2017</v>
      </c>
      <c r="C2452" t="s">
        <v>607</v>
      </c>
      <c r="D2452" t="s">
        <v>608</v>
      </c>
      <c r="E2452" t="s">
        <v>608</v>
      </c>
      <c r="F2452" s="4">
        <v>3175899</v>
      </c>
      <c r="G2452" s="4">
        <v>22262</v>
      </c>
      <c r="H2452">
        <f>IFERROR(VLOOKUP(E2452,'GASB Match'!$A$2:$B$240,2,FALSE),"")</f>
        <v>1300900</v>
      </c>
    </row>
    <row r="2453" spans="1:8" x14ac:dyDescent="0.2">
      <c r="A2453">
        <v>1300900</v>
      </c>
      <c r="B2453" s="3">
        <v>2018</v>
      </c>
      <c r="C2453" t="s">
        <v>607</v>
      </c>
      <c r="D2453" t="s">
        <v>608</v>
      </c>
      <c r="E2453" t="s">
        <v>608</v>
      </c>
      <c r="F2453" s="4">
        <v>3891234</v>
      </c>
      <c r="G2453" s="4">
        <v>26069</v>
      </c>
      <c r="H2453">
        <f>IFERROR(VLOOKUP(E2453,'GASB Match'!$A$2:$B$240,2,FALSE),"")</f>
        <v>1300900</v>
      </c>
    </row>
    <row r="2454" spans="1:8" x14ac:dyDescent="0.2">
      <c r="A2454">
        <v>1300900</v>
      </c>
      <c r="B2454" s="3">
        <v>2019</v>
      </c>
      <c r="C2454" t="s">
        <v>607</v>
      </c>
      <c r="D2454" t="s">
        <v>608</v>
      </c>
      <c r="E2454" t="s">
        <v>608</v>
      </c>
      <c r="F2454" s="4">
        <v>4858392</v>
      </c>
      <c r="G2454" s="4">
        <v>31630</v>
      </c>
      <c r="H2454">
        <f>IFERROR(VLOOKUP(E2454,'GASB Match'!$A$2:$B$240,2,FALSE),"")</f>
        <v>1300900</v>
      </c>
    </row>
    <row r="2455" spans="1:8" x14ac:dyDescent="0.2">
      <c r="A2455">
        <v>1300900</v>
      </c>
      <c r="B2455" s="3">
        <v>2020</v>
      </c>
      <c r="C2455" t="s">
        <v>607</v>
      </c>
      <c r="D2455" t="s">
        <v>608</v>
      </c>
      <c r="E2455" t="s">
        <v>608</v>
      </c>
      <c r="F2455" s="4">
        <v>5219136</v>
      </c>
      <c r="G2455" s="4">
        <v>33603</v>
      </c>
      <c r="H2455">
        <f>IFERROR(VLOOKUP(E2455,'GASB Match'!$A$2:$B$240,2,FALSE),"")</f>
        <v>1300900</v>
      </c>
    </row>
    <row r="2456" spans="1:8" x14ac:dyDescent="0.2">
      <c r="A2456">
        <v>1300900</v>
      </c>
      <c r="B2456" s="3">
        <v>2021</v>
      </c>
      <c r="C2456" t="s">
        <v>607</v>
      </c>
      <c r="D2456" t="s">
        <v>608</v>
      </c>
      <c r="E2456" t="s">
        <v>608</v>
      </c>
      <c r="F2456" s="4">
        <v>4839791</v>
      </c>
      <c r="G2456" s="4">
        <v>30348</v>
      </c>
      <c r="H2456">
        <f>IFERROR(VLOOKUP(E2456,'GASB Match'!$A$2:$B$240,2,FALSE),"")</f>
        <v>1300900</v>
      </c>
    </row>
    <row r="2457" spans="1:8" x14ac:dyDescent="0.2">
      <c r="A2457">
        <v>1300900</v>
      </c>
      <c r="B2457" s="3">
        <v>2022</v>
      </c>
      <c r="C2457" t="s">
        <v>607</v>
      </c>
      <c r="D2457" t="s">
        <v>608</v>
      </c>
      <c r="E2457" t="s">
        <v>608</v>
      </c>
      <c r="F2457" s="4">
        <v>5345389</v>
      </c>
      <c r="G2457" s="4">
        <v>32618</v>
      </c>
      <c r="H2457">
        <f>IFERROR(VLOOKUP(E2457,'GASB Match'!$A$2:$B$240,2,FALSE),"")</f>
        <v>1300900</v>
      </c>
    </row>
    <row r="2458" spans="1:8" x14ac:dyDescent="0.2">
      <c r="A2458">
        <v>1300900</v>
      </c>
      <c r="B2458" s="3">
        <v>2023</v>
      </c>
      <c r="C2458" t="s">
        <v>607</v>
      </c>
      <c r="D2458" t="s">
        <v>608</v>
      </c>
      <c r="E2458" t="s">
        <v>608</v>
      </c>
      <c r="F2458" s="4">
        <v>5775202</v>
      </c>
      <c r="G2458" s="4">
        <v>33681</v>
      </c>
      <c r="H2458">
        <f>IFERROR(VLOOKUP(E2458,'GASB Match'!$A$2:$B$240,2,FALSE),"")</f>
        <v>1300900</v>
      </c>
    </row>
    <row r="2459" spans="1:8" x14ac:dyDescent="0.2">
      <c r="A2459">
        <v>1301140</v>
      </c>
      <c r="B2459" s="3">
        <v>2015</v>
      </c>
      <c r="C2459" t="s">
        <v>609</v>
      </c>
      <c r="D2459" t="s">
        <v>610</v>
      </c>
      <c r="E2459" t="s">
        <v>610</v>
      </c>
      <c r="F2459" s="4">
        <v>742415.8</v>
      </c>
      <c r="G2459" s="4">
        <v>8672.5400000000009</v>
      </c>
      <c r="H2459">
        <f>IFERROR(VLOOKUP(E2459,'GASB Match'!$A$2:$B$240,2,FALSE),"")</f>
        <v>1301140</v>
      </c>
    </row>
    <row r="2460" spans="1:8" x14ac:dyDescent="0.2">
      <c r="A2460">
        <v>1301140</v>
      </c>
      <c r="B2460" s="3">
        <v>2016</v>
      </c>
      <c r="C2460" t="s">
        <v>609</v>
      </c>
      <c r="D2460" t="s">
        <v>610</v>
      </c>
      <c r="E2460" t="s">
        <v>610</v>
      </c>
      <c r="F2460" s="4">
        <v>819130.68999999901</v>
      </c>
      <c r="G2460" s="4">
        <v>9538.02</v>
      </c>
      <c r="H2460">
        <f>IFERROR(VLOOKUP(E2460,'GASB Match'!$A$2:$B$240,2,FALSE),"")</f>
        <v>1301140</v>
      </c>
    </row>
    <row r="2461" spans="1:8" x14ac:dyDescent="0.2">
      <c r="A2461">
        <v>1301140</v>
      </c>
      <c r="B2461" s="3">
        <v>2017</v>
      </c>
      <c r="C2461" t="s">
        <v>609</v>
      </c>
      <c r="D2461" t="s">
        <v>610</v>
      </c>
      <c r="E2461" t="s">
        <v>610</v>
      </c>
      <c r="F2461" s="4">
        <v>866940</v>
      </c>
      <c r="G2461" s="4">
        <v>9742</v>
      </c>
      <c r="H2461">
        <f>IFERROR(VLOOKUP(E2461,'GASB Match'!$A$2:$B$240,2,FALSE),"")</f>
        <v>1301140</v>
      </c>
    </row>
    <row r="2462" spans="1:8" x14ac:dyDescent="0.2">
      <c r="A2462">
        <v>1301140</v>
      </c>
      <c r="B2462" s="3">
        <v>2018</v>
      </c>
      <c r="C2462" t="s">
        <v>609</v>
      </c>
      <c r="D2462" t="s">
        <v>610</v>
      </c>
      <c r="E2462" t="s">
        <v>610</v>
      </c>
      <c r="F2462" s="4">
        <v>1009393</v>
      </c>
      <c r="G2462" s="4">
        <v>11837</v>
      </c>
      <c r="H2462">
        <f>IFERROR(VLOOKUP(E2462,'GASB Match'!$A$2:$B$240,2,FALSE),"")</f>
        <v>1301140</v>
      </c>
    </row>
    <row r="2463" spans="1:8" x14ac:dyDescent="0.2">
      <c r="A2463">
        <v>1301140</v>
      </c>
      <c r="B2463" s="3">
        <v>2019</v>
      </c>
      <c r="C2463" t="s">
        <v>609</v>
      </c>
      <c r="D2463" t="s">
        <v>610</v>
      </c>
      <c r="E2463" t="s">
        <v>610</v>
      </c>
      <c r="F2463" s="4">
        <v>1296390</v>
      </c>
      <c r="G2463" s="4">
        <v>15728</v>
      </c>
      <c r="H2463">
        <f>IFERROR(VLOOKUP(E2463,'GASB Match'!$A$2:$B$240,2,FALSE),"")</f>
        <v>1301140</v>
      </c>
    </row>
    <row r="2464" spans="1:8" x14ac:dyDescent="0.2">
      <c r="A2464">
        <v>1301140</v>
      </c>
      <c r="B2464" s="3">
        <v>2020</v>
      </c>
      <c r="C2464" t="s">
        <v>609</v>
      </c>
      <c r="D2464" t="s">
        <v>610</v>
      </c>
      <c r="E2464" t="s">
        <v>610</v>
      </c>
      <c r="F2464" s="4">
        <v>1350337</v>
      </c>
      <c r="G2464" s="4">
        <v>16541</v>
      </c>
      <c r="H2464">
        <f>IFERROR(VLOOKUP(E2464,'GASB Match'!$A$2:$B$240,2,FALSE),"")</f>
        <v>1301140</v>
      </c>
    </row>
    <row r="2465" spans="1:8" x14ac:dyDescent="0.2">
      <c r="A2465">
        <v>1301140</v>
      </c>
      <c r="B2465" s="3">
        <v>2021</v>
      </c>
      <c r="C2465" t="s">
        <v>609</v>
      </c>
      <c r="D2465" t="s">
        <v>610</v>
      </c>
      <c r="E2465" t="s">
        <v>610</v>
      </c>
      <c r="F2465" s="4">
        <v>1264462</v>
      </c>
      <c r="G2465" s="4">
        <v>14379</v>
      </c>
      <c r="H2465">
        <f>IFERROR(VLOOKUP(E2465,'GASB Match'!$A$2:$B$240,2,FALSE),"")</f>
        <v>1301140</v>
      </c>
    </row>
    <row r="2466" spans="1:8" x14ac:dyDescent="0.2">
      <c r="A2466">
        <v>1301140</v>
      </c>
      <c r="B2466" s="3">
        <v>2022</v>
      </c>
      <c r="C2466" t="s">
        <v>609</v>
      </c>
      <c r="D2466" t="s">
        <v>610</v>
      </c>
      <c r="E2466" t="s">
        <v>610</v>
      </c>
      <c r="F2466" s="4">
        <v>1295340</v>
      </c>
      <c r="G2466" s="4">
        <v>14934</v>
      </c>
      <c r="H2466">
        <f>IFERROR(VLOOKUP(E2466,'GASB Match'!$A$2:$B$240,2,FALSE),"")</f>
        <v>1301140</v>
      </c>
    </row>
    <row r="2467" spans="1:8" x14ac:dyDescent="0.2">
      <c r="A2467">
        <v>1301140</v>
      </c>
      <c r="B2467" s="3">
        <v>2023</v>
      </c>
      <c r="C2467" t="s">
        <v>609</v>
      </c>
      <c r="D2467" t="s">
        <v>610</v>
      </c>
      <c r="E2467" t="s">
        <v>610</v>
      </c>
      <c r="F2467" s="4">
        <v>1349369</v>
      </c>
      <c r="G2467" s="4">
        <v>14956</v>
      </c>
      <c r="H2467">
        <f>IFERROR(VLOOKUP(E2467,'GASB Match'!$A$2:$B$240,2,FALSE),"")</f>
        <v>1301140</v>
      </c>
    </row>
    <row r="2468" spans="1:8" x14ac:dyDescent="0.2">
      <c r="A2468">
        <v>1301440</v>
      </c>
      <c r="B2468" s="3">
        <v>2015</v>
      </c>
      <c r="C2468" t="s">
        <v>611</v>
      </c>
      <c r="D2468" t="s">
        <v>612</v>
      </c>
      <c r="E2468" t="s">
        <v>612</v>
      </c>
      <c r="F2468" s="4">
        <v>877534.62</v>
      </c>
      <c r="G2468" s="4">
        <v>23910.51</v>
      </c>
      <c r="H2468">
        <f>IFERROR(VLOOKUP(E2468,'GASB Match'!$A$2:$B$240,2,FALSE),"")</f>
        <v>1301440</v>
      </c>
    </row>
    <row r="2469" spans="1:8" x14ac:dyDescent="0.2">
      <c r="A2469">
        <v>1301440</v>
      </c>
      <c r="B2469" s="3">
        <v>2016</v>
      </c>
      <c r="C2469" t="s">
        <v>611</v>
      </c>
      <c r="D2469" t="s">
        <v>612</v>
      </c>
      <c r="E2469" t="s">
        <v>612</v>
      </c>
      <c r="F2469" s="4">
        <v>976899.29</v>
      </c>
      <c r="G2469" s="4">
        <v>25592.45</v>
      </c>
      <c r="H2469">
        <f>IFERROR(VLOOKUP(E2469,'GASB Match'!$A$2:$B$240,2,FALSE),"")</f>
        <v>1301440</v>
      </c>
    </row>
    <row r="2470" spans="1:8" x14ac:dyDescent="0.2">
      <c r="A2470">
        <v>1301440</v>
      </c>
      <c r="B2470" s="3">
        <v>2017</v>
      </c>
      <c r="C2470" t="s">
        <v>611</v>
      </c>
      <c r="D2470" t="s">
        <v>612</v>
      </c>
      <c r="E2470" t="s">
        <v>612</v>
      </c>
      <c r="F2470" s="4">
        <v>1076274</v>
      </c>
      <c r="G2470" s="4">
        <v>19552</v>
      </c>
      <c r="H2470">
        <f>IFERROR(VLOOKUP(E2470,'GASB Match'!$A$2:$B$240,2,FALSE),"")</f>
        <v>1301440</v>
      </c>
    </row>
    <row r="2471" spans="1:8" x14ac:dyDescent="0.2">
      <c r="A2471">
        <v>1301440</v>
      </c>
      <c r="B2471" s="3">
        <v>2018</v>
      </c>
      <c r="C2471" t="s">
        <v>611</v>
      </c>
      <c r="D2471" t="s">
        <v>612</v>
      </c>
      <c r="E2471" t="s">
        <v>612</v>
      </c>
      <c r="F2471" s="4">
        <v>1393707</v>
      </c>
      <c r="G2471" s="4">
        <v>19139</v>
      </c>
      <c r="H2471">
        <f>IFERROR(VLOOKUP(E2471,'GASB Match'!$A$2:$B$240,2,FALSE),"")</f>
        <v>1301440</v>
      </c>
    </row>
    <row r="2472" spans="1:8" x14ac:dyDescent="0.2">
      <c r="A2472">
        <v>1301440</v>
      </c>
      <c r="B2472" s="3">
        <v>2019</v>
      </c>
      <c r="C2472" t="s">
        <v>611</v>
      </c>
      <c r="D2472" t="s">
        <v>612</v>
      </c>
      <c r="E2472" t="s">
        <v>612</v>
      </c>
      <c r="F2472" s="4">
        <v>1807550</v>
      </c>
      <c r="G2472" s="4">
        <v>22978</v>
      </c>
      <c r="H2472">
        <f>IFERROR(VLOOKUP(E2472,'GASB Match'!$A$2:$B$240,2,FALSE),"")</f>
        <v>1301440</v>
      </c>
    </row>
    <row r="2473" spans="1:8" x14ac:dyDescent="0.2">
      <c r="A2473">
        <v>1301440</v>
      </c>
      <c r="B2473" s="3">
        <v>2020</v>
      </c>
      <c r="C2473" t="s">
        <v>611</v>
      </c>
      <c r="D2473" t="s">
        <v>612</v>
      </c>
      <c r="E2473" t="s">
        <v>612</v>
      </c>
      <c r="F2473" s="4">
        <v>1949341</v>
      </c>
      <c r="G2473" s="4">
        <v>23648</v>
      </c>
      <c r="H2473">
        <f>IFERROR(VLOOKUP(E2473,'GASB Match'!$A$2:$B$240,2,FALSE),"")</f>
        <v>1301440</v>
      </c>
    </row>
    <row r="2474" spans="1:8" x14ac:dyDescent="0.2">
      <c r="A2474">
        <v>1301440</v>
      </c>
      <c r="B2474" s="3">
        <v>2021</v>
      </c>
      <c r="C2474" t="s">
        <v>611</v>
      </c>
      <c r="D2474" t="s">
        <v>612</v>
      </c>
      <c r="E2474" t="s">
        <v>612</v>
      </c>
      <c r="F2474" s="4">
        <v>1716010</v>
      </c>
      <c r="G2474" s="4">
        <v>21685</v>
      </c>
      <c r="H2474">
        <f>IFERROR(VLOOKUP(E2474,'GASB Match'!$A$2:$B$240,2,FALSE),"")</f>
        <v>1301440</v>
      </c>
    </row>
    <row r="2475" spans="1:8" x14ac:dyDescent="0.2">
      <c r="A2475">
        <v>1301440</v>
      </c>
      <c r="B2475" s="3">
        <v>2022</v>
      </c>
      <c r="C2475" t="s">
        <v>611</v>
      </c>
      <c r="D2475" t="s">
        <v>612</v>
      </c>
      <c r="E2475" t="s">
        <v>612</v>
      </c>
      <c r="F2475" s="4">
        <v>2054703</v>
      </c>
      <c r="G2475" s="4">
        <v>24699</v>
      </c>
      <c r="H2475">
        <f>IFERROR(VLOOKUP(E2475,'GASB Match'!$A$2:$B$240,2,FALSE),"")</f>
        <v>1301440</v>
      </c>
    </row>
    <row r="2476" spans="1:8" x14ac:dyDescent="0.2">
      <c r="A2476">
        <v>1301440</v>
      </c>
      <c r="B2476" s="3">
        <v>2023</v>
      </c>
      <c r="C2476" t="s">
        <v>611</v>
      </c>
      <c r="D2476" t="s">
        <v>612</v>
      </c>
      <c r="E2476" t="s">
        <v>612</v>
      </c>
      <c r="F2476" s="4">
        <v>2248308</v>
      </c>
      <c r="G2476" s="4">
        <v>27515</v>
      </c>
      <c r="H2476">
        <f>IFERROR(VLOOKUP(E2476,'GASB Match'!$A$2:$B$240,2,FALSE),"")</f>
        <v>1301440</v>
      </c>
    </row>
    <row r="2477" spans="1:8" x14ac:dyDescent="0.2">
      <c r="A2477">
        <v>1301620</v>
      </c>
      <c r="B2477" s="3">
        <v>2015</v>
      </c>
      <c r="C2477" t="s">
        <v>613</v>
      </c>
      <c r="D2477" t="s">
        <v>614</v>
      </c>
      <c r="E2477" t="s">
        <v>614</v>
      </c>
      <c r="F2477" s="4">
        <v>4993753.6500000004</v>
      </c>
      <c r="G2477" s="4">
        <v>30177.26</v>
      </c>
      <c r="H2477">
        <f>IFERROR(VLOOKUP(E2477,'GASB Match'!$A$2:$B$240,2,FALSE),"")</f>
        <v>1301620</v>
      </c>
    </row>
    <row r="2478" spans="1:8" x14ac:dyDescent="0.2">
      <c r="A2478">
        <v>1301620</v>
      </c>
      <c r="B2478" s="3">
        <v>2016</v>
      </c>
      <c r="C2478" t="s">
        <v>613</v>
      </c>
      <c r="D2478" t="s">
        <v>614</v>
      </c>
      <c r="E2478" t="s">
        <v>614</v>
      </c>
      <c r="F2478" s="4">
        <v>5691991.2999999998</v>
      </c>
      <c r="G2478" s="4">
        <v>37560.36</v>
      </c>
      <c r="H2478">
        <f>IFERROR(VLOOKUP(E2478,'GASB Match'!$A$2:$B$240,2,FALSE),"")</f>
        <v>1301620</v>
      </c>
    </row>
    <row r="2479" spans="1:8" x14ac:dyDescent="0.2">
      <c r="A2479">
        <v>1301620</v>
      </c>
      <c r="B2479" s="3">
        <v>2017</v>
      </c>
      <c r="C2479" t="s">
        <v>613</v>
      </c>
      <c r="D2479" t="s">
        <v>614</v>
      </c>
      <c r="E2479" t="s">
        <v>614</v>
      </c>
      <c r="F2479" s="4">
        <v>5932097</v>
      </c>
      <c r="G2479" s="4">
        <v>34123</v>
      </c>
      <c r="H2479">
        <f>IFERROR(VLOOKUP(E2479,'GASB Match'!$A$2:$B$240,2,FALSE),"")</f>
        <v>1301620</v>
      </c>
    </row>
    <row r="2480" spans="1:8" x14ac:dyDescent="0.2">
      <c r="A2480">
        <v>1301620</v>
      </c>
      <c r="B2480" s="3">
        <v>2018</v>
      </c>
      <c r="C2480" t="s">
        <v>613</v>
      </c>
      <c r="D2480" t="s">
        <v>614</v>
      </c>
      <c r="E2480" t="s">
        <v>614</v>
      </c>
      <c r="F2480" s="4">
        <v>7256751</v>
      </c>
      <c r="G2480" s="4">
        <v>30984</v>
      </c>
      <c r="H2480">
        <f>IFERROR(VLOOKUP(E2480,'GASB Match'!$A$2:$B$240,2,FALSE),"")</f>
        <v>1301620</v>
      </c>
    </row>
    <row r="2481" spans="1:8" x14ac:dyDescent="0.2">
      <c r="A2481">
        <v>1301620</v>
      </c>
      <c r="B2481" s="3">
        <v>2019</v>
      </c>
      <c r="C2481" t="s">
        <v>613</v>
      </c>
      <c r="D2481" t="s">
        <v>614</v>
      </c>
      <c r="E2481" t="s">
        <v>614</v>
      </c>
      <c r="F2481" s="4">
        <v>9289598</v>
      </c>
      <c r="G2481" s="4">
        <v>39300</v>
      </c>
      <c r="H2481">
        <f>IFERROR(VLOOKUP(E2481,'GASB Match'!$A$2:$B$240,2,FALSE),"")</f>
        <v>1301620</v>
      </c>
    </row>
    <row r="2482" spans="1:8" x14ac:dyDescent="0.2">
      <c r="A2482">
        <v>1301620</v>
      </c>
      <c r="B2482" s="3">
        <v>2020</v>
      </c>
      <c r="C2482" t="s">
        <v>613</v>
      </c>
      <c r="D2482" t="s">
        <v>614</v>
      </c>
      <c r="E2482" t="s">
        <v>614</v>
      </c>
      <c r="F2482" s="4">
        <v>10101336</v>
      </c>
      <c r="G2482" s="4">
        <v>41439</v>
      </c>
      <c r="H2482">
        <f>IFERROR(VLOOKUP(E2482,'GASB Match'!$A$2:$B$240,2,FALSE),"")</f>
        <v>1301620</v>
      </c>
    </row>
    <row r="2483" spans="1:8" x14ac:dyDescent="0.2">
      <c r="A2483">
        <v>1301620</v>
      </c>
      <c r="B2483" s="3">
        <v>2021</v>
      </c>
      <c r="C2483" t="s">
        <v>613</v>
      </c>
      <c r="D2483" t="s">
        <v>614</v>
      </c>
      <c r="E2483" t="s">
        <v>614</v>
      </c>
      <c r="F2483" s="4">
        <v>9137223</v>
      </c>
      <c r="G2483" s="4">
        <v>38423</v>
      </c>
      <c r="H2483">
        <f>IFERROR(VLOOKUP(E2483,'GASB Match'!$A$2:$B$240,2,FALSE),"")</f>
        <v>1301620</v>
      </c>
    </row>
    <row r="2484" spans="1:8" x14ac:dyDescent="0.2">
      <c r="A2484">
        <v>1301620</v>
      </c>
      <c r="B2484" s="3">
        <v>2022</v>
      </c>
      <c r="C2484" t="s">
        <v>613</v>
      </c>
      <c r="D2484" t="s">
        <v>614</v>
      </c>
      <c r="E2484" t="s">
        <v>614</v>
      </c>
      <c r="F2484" s="4">
        <v>10211874</v>
      </c>
      <c r="G2484" s="4">
        <v>41423</v>
      </c>
      <c r="H2484">
        <f>IFERROR(VLOOKUP(E2484,'GASB Match'!$A$2:$B$240,2,FALSE),"")</f>
        <v>1301620</v>
      </c>
    </row>
    <row r="2485" spans="1:8" x14ac:dyDescent="0.2">
      <c r="A2485">
        <v>1301620</v>
      </c>
      <c r="B2485" s="3">
        <v>2023</v>
      </c>
      <c r="C2485" t="s">
        <v>613</v>
      </c>
      <c r="D2485" t="s">
        <v>614</v>
      </c>
      <c r="E2485" t="s">
        <v>614</v>
      </c>
      <c r="F2485" s="4">
        <v>10918546</v>
      </c>
      <c r="G2485" s="4">
        <v>43373</v>
      </c>
      <c r="H2485">
        <f>IFERROR(VLOOKUP(E2485,'GASB Match'!$A$2:$B$240,2,FALSE),"")</f>
        <v>1301620</v>
      </c>
    </row>
    <row r="2486" spans="1:8" x14ac:dyDescent="0.2">
      <c r="A2486">
        <v>1301680</v>
      </c>
      <c r="B2486" s="3">
        <v>2015</v>
      </c>
      <c r="C2486" t="s">
        <v>615</v>
      </c>
      <c r="D2486" t="s">
        <v>616</v>
      </c>
      <c r="E2486" t="s">
        <v>616</v>
      </c>
      <c r="F2486" s="4">
        <v>3587736.82</v>
      </c>
      <c r="G2486" s="4">
        <v>33969.71</v>
      </c>
      <c r="H2486">
        <f>IFERROR(VLOOKUP(E2486,'GASB Match'!$A$2:$B$240,2,FALSE),"")</f>
        <v>1301680</v>
      </c>
    </row>
    <row r="2487" spans="1:8" x14ac:dyDescent="0.2">
      <c r="A2487">
        <v>1301680</v>
      </c>
      <c r="B2487" s="3">
        <v>2016</v>
      </c>
      <c r="C2487" t="s">
        <v>615</v>
      </c>
      <c r="D2487" t="s">
        <v>616</v>
      </c>
      <c r="E2487" t="s">
        <v>616</v>
      </c>
      <c r="F2487" s="4">
        <v>4270788.09</v>
      </c>
      <c r="G2487" s="4">
        <v>38860.949999999997</v>
      </c>
      <c r="H2487">
        <f>IFERROR(VLOOKUP(E2487,'GASB Match'!$A$2:$B$240,2,FALSE),"")</f>
        <v>1301680</v>
      </c>
    </row>
    <row r="2488" spans="1:8" x14ac:dyDescent="0.2">
      <c r="A2488">
        <v>1301680</v>
      </c>
      <c r="B2488" s="3">
        <v>2017</v>
      </c>
      <c r="C2488" t="s">
        <v>615</v>
      </c>
      <c r="D2488" t="s">
        <v>616</v>
      </c>
      <c r="E2488" t="s">
        <v>616</v>
      </c>
      <c r="F2488" s="4">
        <v>4468614</v>
      </c>
      <c r="G2488" s="4">
        <v>30263</v>
      </c>
      <c r="H2488">
        <f>IFERROR(VLOOKUP(E2488,'GASB Match'!$A$2:$B$240,2,FALSE),"")</f>
        <v>1301680</v>
      </c>
    </row>
    <row r="2489" spans="1:8" x14ac:dyDescent="0.2">
      <c r="A2489">
        <v>1301680</v>
      </c>
      <c r="B2489" s="3">
        <v>2018</v>
      </c>
      <c r="C2489" t="s">
        <v>615</v>
      </c>
      <c r="D2489" t="s">
        <v>616</v>
      </c>
      <c r="E2489" t="s">
        <v>616</v>
      </c>
      <c r="F2489" s="4">
        <v>5779584</v>
      </c>
      <c r="G2489" s="4">
        <v>11151</v>
      </c>
      <c r="H2489">
        <f>IFERROR(VLOOKUP(E2489,'GASB Match'!$A$2:$B$240,2,FALSE),"")</f>
        <v>1301680</v>
      </c>
    </row>
    <row r="2490" spans="1:8" x14ac:dyDescent="0.2">
      <c r="A2490">
        <v>1301680</v>
      </c>
      <c r="B2490" s="3">
        <v>2019</v>
      </c>
      <c r="C2490" t="s">
        <v>615</v>
      </c>
      <c r="D2490" t="s">
        <v>616</v>
      </c>
      <c r="E2490" t="s">
        <v>616</v>
      </c>
      <c r="F2490" s="4">
        <v>7698414</v>
      </c>
      <c r="G2490" s="4">
        <v>14142</v>
      </c>
      <c r="H2490">
        <f>IFERROR(VLOOKUP(E2490,'GASB Match'!$A$2:$B$240,2,FALSE),"")</f>
        <v>1301680</v>
      </c>
    </row>
    <row r="2491" spans="1:8" x14ac:dyDescent="0.2">
      <c r="A2491">
        <v>1301680</v>
      </c>
      <c r="B2491" s="3">
        <v>2020</v>
      </c>
      <c r="C2491" t="s">
        <v>615</v>
      </c>
      <c r="D2491" t="s">
        <v>616</v>
      </c>
      <c r="E2491" t="s">
        <v>616</v>
      </c>
      <c r="F2491" s="4">
        <v>8735830</v>
      </c>
      <c r="G2491" s="4">
        <v>10127</v>
      </c>
      <c r="H2491">
        <f>IFERROR(VLOOKUP(E2491,'GASB Match'!$A$2:$B$240,2,FALSE),"")</f>
        <v>1301680</v>
      </c>
    </row>
    <row r="2492" spans="1:8" x14ac:dyDescent="0.2">
      <c r="A2492">
        <v>1301680</v>
      </c>
      <c r="B2492" s="3">
        <v>2021</v>
      </c>
      <c r="C2492" t="s">
        <v>615</v>
      </c>
      <c r="D2492" t="s">
        <v>616</v>
      </c>
      <c r="E2492" t="s">
        <v>616</v>
      </c>
      <c r="F2492" s="4">
        <v>8900189</v>
      </c>
      <c r="G2492" s="4">
        <v>8685</v>
      </c>
      <c r="H2492">
        <f>IFERROR(VLOOKUP(E2492,'GASB Match'!$A$2:$B$240,2,FALSE),"")</f>
        <v>1301680</v>
      </c>
    </row>
    <row r="2493" spans="1:8" x14ac:dyDescent="0.2">
      <c r="A2493">
        <v>1301680</v>
      </c>
      <c r="B2493" s="3">
        <v>2022</v>
      </c>
      <c r="C2493" t="s">
        <v>615</v>
      </c>
      <c r="D2493" t="s">
        <v>616</v>
      </c>
      <c r="E2493" t="s">
        <v>616</v>
      </c>
      <c r="F2493" s="4">
        <v>9501694</v>
      </c>
      <c r="G2493" s="4">
        <v>9379</v>
      </c>
      <c r="H2493">
        <f>IFERROR(VLOOKUP(E2493,'GASB Match'!$A$2:$B$240,2,FALSE),"")</f>
        <v>1301680</v>
      </c>
    </row>
    <row r="2494" spans="1:8" x14ac:dyDescent="0.2">
      <c r="A2494">
        <v>1301680</v>
      </c>
      <c r="B2494" s="3">
        <v>2023</v>
      </c>
      <c r="C2494" t="s">
        <v>615</v>
      </c>
      <c r="D2494" t="s">
        <v>616</v>
      </c>
      <c r="E2494" t="s">
        <v>616</v>
      </c>
      <c r="F2494" s="4">
        <v>9630041</v>
      </c>
      <c r="G2494" s="4">
        <v>9723</v>
      </c>
      <c r="H2494">
        <f>IFERROR(VLOOKUP(E2494,'GASB Match'!$A$2:$B$240,2,FALSE),"")</f>
        <v>1301680</v>
      </c>
    </row>
    <row r="2495" spans="1:8" x14ac:dyDescent="0.2">
      <c r="A2495">
        <v>1301870</v>
      </c>
      <c r="B2495" s="3">
        <v>2015</v>
      </c>
      <c r="C2495" t="s">
        <v>617</v>
      </c>
      <c r="D2495" t="s">
        <v>618</v>
      </c>
      <c r="E2495" t="s">
        <v>618</v>
      </c>
      <c r="F2495" s="4">
        <v>1813031.82</v>
      </c>
      <c r="G2495" s="4">
        <v>104.6</v>
      </c>
      <c r="H2495">
        <f>IFERROR(VLOOKUP(E2495,'GASB Match'!$A$2:$B$240,2,FALSE),"")</f>
        <v>1301870</v>
      </c>
    </row>
    <row r="2496" spans="1:8" x14ac:dyDescent="0.2">
      <c r="A2496">
        <v>1301870</v>
      </c>
      <c r="B2496" s="3">
        <v>2016</v>
      </c>
      <c r="C2496" t="s">
        <v>617</v>
      </c>
      <c r="D2496" t="s">
        <v>618</v>
      </c>
      <c r="E2496" t="s">
        <v>618</v>
      </c>
      <c r="F2496" s="4">
        <v>1970159.32</v>
      </c>
      <c r="G2496" s="4" t="s">
        <v>7</v>
      </c>
      <c r="H2496">
        <f>IFERROR(VLOOKUP(E2496,'GASB Match'!$A$2:$B$240,2,FALSE),"")</f>
        <v>1301870</v>
      </c>
    </row>
    <row r="2497" spans="1:8" x14ac:dyDescent="0.2">
      <c r="A2497">
        <v>1301870</v>
      </c>
      <c r="B2497" s="3">
        <v>2017</v>
      </c>
      <c r="C2497" t="s">
        <v>617</v>
      </c>
      <c r="D2497" t="s">
        <v>618</v>
      </c>
      <c r="E2497" t="s">
        <v>618</v>
      </c>
      <c r="F2497" s="4">
        <v>1846108</v>
      </c>
      <c r="G2497" s="4" t="s">
        <v>7</v>
      </c>
      <c r="H2497">
        <f>IFERROR(VLOOKUP(E2497,'GASB Match'!$A$2:$B$240,2,FALSE),"")</f>
        <v>1301870</v>
      </c>
    </row>
    <row r="2498" spans="1:8" x14ac:dyDescent="0.2">
      <c r="A2498">
        <v>1301870</v>
      </c>
      <c r="B2498" s="3">
        <v>2018</v>
      </c>
      <c r="C2498" t="s">
        <v>617</v>
      </c>
      <c r="D2498" t="s">
        <v>618</v>
      </c>
      <c r="E2498" t="s">
        <v>618</v>
      </c>
      <c r="F2498" s="4">
        <v>2026072</v>
      </c>
      <c r="G2498" s="4" t="s">
        <v>7</v>
      </c>
      <c r="H2498">
        <f>IFERROR(VLOOKUP(E2498,'GASB Match'!$A$2:$B$240,2,FALSE),"")</f>
        <v>1301870</v>
      </c>
    </row>
    <row r="2499" spans="1:8" x14ac:dyDescent="0.2">
      <c r="A2499">
        <v>1301870</v>
      </c>
      <c r="B2499" s="3">
        <v>2019</v>
      </c>
      <c r="C2499" t="s">
        <v>617</v>
      </c>
      <c r="D2499" t="s">
        <v>618</v>
      </c>
      <c r="E2499" t="s">
        <v>618</v>
      </c>
      <c r="F2499" s="4">
        <v>2419514</v>
      </c>
      <c r="G2499" s="4" t="s">
        <v>7</v>
      </c>
      <c r="H2499">
        <f>IFERROR(VLOOKUP(E2499,'GASB Match'!$A$2:$B$240,2,FALSE),"")</f>
        <v>1301870</v>
      </c>
    </row>
    <row r="2500" spans="1:8" x14ac:dyDescent="0.2">
      <c r="A2500">
        <v>1301870</v>
      </c>
      <c r="B2500" s="3">
        <v>2020</v>
      </c>
      <c r="C2500" t="s">
        <v>617</v>
      </c>
      <c r="D2500" t="s">
        <v>618</v>
      </c>
      <c r="E2500" t="s">
        <v>618</v>
      </c>
      <c r="F2500" s="4">
        <v>2716227</v>
      </c>
      <c r="G2500" s="4" t="s">
        <v>7</v>
      </c>
      <c r="H2500">
        <f>IFERROR(VLOOKUP(E2500,'GASB Match'!$A$2:$B$240,2,FALSE),"")</f>
        <v>1301870</v>
      </c>
    </row>
    <row r="2501" spans="1:8" x14ac:dyDescent="0.2">
      <c r="A2501">
        <v>1301870</v>
      </c>
      <c r="B2501" s="3">
        <v>2021</v>
      </c>
      <c r="C2501" t="s">
        <v>617</v>
      </c>
      <c r="D2501" t="s">
        <v>618</v>
      </c>
      <c r="E2501" t="s">
        <v>618</v>
      </c>
      <c r="F2501" s="4">
        <v>2471121</v>
      </c>
      <c r="G2501" s="4" t="s">
        <v>7</v>
      </c>
      <c r="H2501">
        <f>IFERROR(VLOOKUP(E2501,'GASB Match'!$A$2:$B$240,2,FALSE),"")</f>
        <v>1301870</v>
      </c>
    </row>
    <row r="2502" spans="1:8" x14ac:dyDescent="0.2">
      <c r="A2502">
        <v>1301870</v>
      </c>
      <c r="B2502" s="3">
        <v>2022</v>
      </c>
      <c r="C2502" t="s">
        <v>617</v>
      </c>
      <c r="D2502" t="s">
        <v>618</v>
      </c>
      <c r="E2502" t="s">
        <v>618</v>
      </c>
      <c r="F2502" s="4">
        <v>3020083</v>
      </c>
      <c r="G2502" s="4" t="s">
        <v>7</v>
      </c>
      <c r="H2502">
        <f>IFERROR(VLOOKUP(E2502,'GASB Match'!$A$2:$B$240,2,FALSE),"")</f>
        <v>1301870</v>
      </c>
    </row>
    <row r="2503" spans="1:8" x14ac:dyDescent="0.2">
      <c r="A2503">
        <v>1301870</v>
      </c>
      <c r="B2503" s="3">
        <v>2023</v>
      </c>
      <c r="C2503" t="s">
        <v>617</v>
      </c>
      <c r="D2503" t="s">
        <v>618</v>
      </c>
      <c r="E2503" t="s">
        <v>618</v>
      </c>
      <c r="F2503" s="4">
        <v>3577359</v>
      </c>
      <c r="G2503" s="4" t="s">
        <v>7</v>
      </c>
      <c r="H2503">
        <f>IFERROR(VLOOKUP(E2503,'GASB Match'!$A$2:$B$240,2,FALSE),"")</f>
        <v>1301870</v>
      </c>
    </row>
    <row r="2504" spans="1:8" x14ac:dyDescent="0.2">
      <c r="A2504">
        <v>1302310</v>
      </c>
      <c r="B2504" s="3">
        <v>2015</v>
      </c>
      <c r="C2504" t="s">
        <v>619</v>
      </c>
      <c r="D2504" t="s">
        <v>620</v>
      </c>
      <c r="E2504" t="s">
        <v>620</v>
      </c>
      <c r="F2504" s="4">
        <v>4747359.58</v>
      </c>
      <c r="G2504" s="4">
        <v>97694.49</v>
      </c>
      <c r="H2504">
        <f>IFERROR(VLOOKUP(E2504,'GASB Match'!$A$2:$B$240,2,FALSE),"")</f>
        <v>1302310</v>
      </c>
    </row>
    <row r="2505" spans="1:8" x14ac:dyDescent="0.2">
      <c r="A2505">
        <v>1302310</v>
      </c>
      <c r="B2505" s="3">
        <v>2016</v>
      </c>
      <c r="C2505" t="s">
        <v>619</v>
      </c>
      <c r="D2505" t="s">
        <v>620</v>
      </c>
      <c r="E2505" t="s">
        <v>620</v>
      </c>
      <c r="F2505" s="4">
        <v>5284319.76</v>
      </c>
      <c r="G2505" s="4">
        <v>115098.34</v>
      </c>
      <c r="H2505">
        <f>IFERROR(VLOOKUP(E2505,'GASB Match'!$A$2:$B$240,2,FALSE),"")</f>
        <v>1302310</v>
      </c>
    </row>
    <row r="2506" spans="1:8" x14ac:dyDescent="0.2">
      <c r="A2506">
        <v>1302310</v>
      </c>
      <c r="B2506" s="3">
        <v>2017</v>
      </c>
      <c r="C2506" t="s">
        <v>619</v>
      </c>
      <c r="D2506" t="s">
        <v>620</v>
      </c>
      <c r="E2506" t="s">
        <v>620</v>
      </c>
      <c r="F2506" s="4">
        <v>5721389</v>
      </c>
      <c r="G2506" s="4">
        <v>103806</v>
      </c>
      <c r="H2506">
        <f>IFERROR(VLOOKUP(E2506,'GASB Match'!$A$2:$B$240,2,FALSE),"")</f>
        <v>1302310</v>
      </c>
    </row>
    <row r="2507" spans="1:8" x14ac:dyDescent="0.2">
      <c r="A2507">
        <v>1302310</v>
      </c>
      <c r="B2507" s="3">
        <v>2018</v>
      </c>
      <c r="C2507" t="s">
        <v>619</v>
      </c>
      <c r="D2507" t="s">
        <v>620</v>
      </c>
      <c r="E2507" t="s">
        <v>620</v>
      </c>
      <c r="F2507" s="4">
        <v>6839265</v>
      </c>
      <c r="G2507" s="4">
        <v>46144</v>
      </c>
      <c r="H2507">
        <f>IFERROR(VLOOKUP(E2507,'GASB Match'!$A$2:$B$240,2,FALSE),"")</f>
        <v>1302310</v>
      </c>
    </row>
    <row r="2508" spans="1:8" x14ac:dyDescent="0.2">
      <c r="A2508">
        <v>1302310</v>
      </c>
      <c r="B2508" s="3">
        <v>2019</v>
      </c>
      <c r="C2508" t="s">
        <v>619</v>
      </c>
      <c r="D2508" t="s">
        <v>620</v>
      </c>
      <c r="E2508" t="s">
        <v>620</v>
      </c>
      <c r="F2508" s="4">
        <v>8631050</v>
      </c>
      <c r="G2508" s="4">
        <v>58179</v>
      </c>
      <c r="H2508">
        <f>IFERROR(VLOOKUP(E2508,'GASB Match'!$A$2:$B$240,2,FALSE),"")</f>
        <v>1302310</v>
      </c>
    </row>
    <row r="2509" spans="1:8" x14ac:dyDescent="0.2">
      <c r="A2509">
        <v>1302310</v>
      </c>
      <c r="B2509" s="3">
        <v>2020</v>
      </c>
      <c r="C2509" t="s">
        <v>619</v>
      </c>
      <c r="D2509" t="s">
        <v>620</v>
      </c>
      <c r="E2509" t="s">
        <v>620</v>
      </c>
      <c r="F2509" s="4">
        <v>9273595</v>
      </c>
      <c r="G2509" s="4">
        <v>57898</v>
      </c>
      <c r="H2509">
        <f>IFERROR(VLOOKUP(E2509,'GASB Match'!$A$2:$B$240,2,FALSE),"")</f>
        <v>1302310</v>
      </c>
    </row>
    <row r="2510" spans="1:8" x14ac:dyDescent="0.2">
      <c r="A2510">
        <v>1302310</v>
      </c>
      <c r="B2510" s="3">
        <v>2021</v>
      </c>
      <c r="C2510" t="s">
        <v>619</v>
      </c>
      <c r="D2510" t="s">
        <v>620</v>
      </c>
      <c r="E2510" t="s">
        <v>620</v>
      </c>
      <c r="F2510" s="4">
        <v>8532488</v>
      </c>
      <c r="G2510" s="4">
        <v>56039</v>
      </c>
      <c r="H2510">
        <f>IFERROR(VLOOKUP(E2510,'GASB Match'!$A$2:$B$240,2,FALSE),"")</f>
        <v>1302310</v>
      </c>
    </row>
    <row r="2511" spans="1:8" x14ac:dyDescent="0.2">
      <c r="A2511">
        <v>1302310</v>
      </c>
      <c r="B2511" s="3">
        <v>2022</v>
      </c>
      <c r="C2511" t="s">
        <v>619</v>
      </c>
      <c r="D2511" t="s">
        <v>620</v>
      </c>
      <c r="E2511" t="s">
        <v>620</v>
      </c>
      <c r="F2511" s="4">
        <v>8925041</v>
      </c>
      <c r="G2511" s="4">
        <v>60831</v>
      </c>
      <c r="H2511">
        <f>IFERROR(VLOOKUP(E2511,'GASB Match'!$A$2:$B$240,2,FALSE),"")</f>
        <v>1302310</v>
      </c>
    </row>
    <row r="2512" spans="1:8" x14ac:dyDescent="0.2">
      <c r="A2512">
        <v>1302310</v>
      </c>
      <c r="B2512" s="3">
        <v>2023</v>
      </c>
      <c r="C2512" t="s">
        <v>619</v>
      </c>
      <c r="D2512" t="s">
        <v>620</v>
      </c>
      <c r="E2512" t="s">
        <v>620</v>
      </c>
      <c r="F2512" s="4">
        <v>9971638</v>
      </c>
      <c r="G2512" s="4">
        <v>54332</v>
      </c>
      <c r="H2512">
        <f>IFERROR(VLOOKUP(E2512,'GASB Match'!$A$2:$B$240,2,FALSE),"")</f>
        <v>1302310</v>
      </c>
    </row>
    <row r="2513" spans="1:8" x14ac:dyDescent="0.2">
      <c r="A2513">
        <v>1303030</v>
      </c>
      <c r="B2513" s="3">
        <v>2015</v>
      </c>
      <c r="C2513" t="s">
        <v>621</v>
      </c>
      <c r="D2513" t="s">
        <v>622</v>
      </c>
      <c r="E2513" t="s">
        <v>622</v>
      </c>
      <c r="F2513" s="4">
        <v>1779695.93</v>
      </c>
      <c r="G2513" s="4">
        <v>13187.66</v>
      </c>
      <c r="H2513">
        <f>IFERROR(VLOOKUP(E2513,'GASB Match'!$A$2:$B$240,2,FALSE),"")</f>
        <v>1303030</v>
      </c>
    </row>
    <row r="2514" spans="1:8" x14ac:dyDescent="0.2">
      <c r="A2514">
        <v>1303030</v>
      </c>
      <c r="B2514" s="3">
        <v>2016</v>
      </c>
      <c r="C2514" t="s">
        <v>621</v>
      </c>
      <c r="D2514" t="s">
        <v>622</v>
      </c>
      <c r="E2514" t="s">
        <v>622</v>
      </c>
      <c r="F2514" s="4">
        <v>2092786.58</v>
      </c>
      <c r="G2514" s="4">
        <v>20245.18</v>
      </c>
      <c r="H2514">
        <f>IFERROR(VLOOKUP(E2514,'GASB Match'!$A$2:$B$240,2,FALSE),"")</f>
        <v>1303030</v>
      </c>
    </row>
    <row r="2515" spans="1:8" x14ac:dyDescent="0.2">
      <c r="A2515">
        <v>1303030</v>
      </c>
      <c r="B2515" s="3">
        <v>2017</v>
      </c>
      <c r="C2515" t="s">
        <v>621</v>
      </c>
      <c r="D2515" t="s">
        <v>622</v>
      </c>
      <c r="E2515" t="s">
        <v>622</v>
      </c>
      <c r="F2515" s="4">
        <v>2312791</v>
      </c>
      <c r="G2515" s="4">
        <v>23415</v>
      </c>
      <c r="H2515">
        <f>IFERROR(VLOOKUP(E2515,'GASB Match'!$A$2:$B$240,2,FALSE),"")</f>
        <v>1303030</v>
      </c>
    </row>
    <row r="2516" spans="1:8" x14ac:dyDescent="0.2">
      <c r="A2516">
        <v>1303030</v>
      </c>
      <c r="B2516" s="3">
        <v>2018</v>
      </c>
      <c r="C2516" t="s">
        <v>621</v>
      </c>
      <c r="D2516" t="s">
        <v>622</v>
      </c>
      <c r="E2516" t="s">
        <v>622</v>
      </c>
      <c r="F2516" s="4">
        <v>2953140</v>
      </c>
      <c r="G2516" s="4">
        <v>28171</v>
      </c>
      <c r="H2516">
        <f>IFERROR(VLOOKUP(E2516,'GASB Match'!$A$2:$B$240,2,FALSE),"")</f>
        <v>1303030</v>
      </c>
    </row>
    <row r="2517" spans="1:8" x14ac:dyDescent="0.2">
      <c r="A2517">
        <v>1303030</v>
      </c>
      <c r="B2517" s="3">
        <v>2019</v>
      </c>
      <c r="C2517" t="s">
        <v>621</v>
      </c>
      <c r="D2517" t="s">
        <v>622</v>
      </c>
      <c r="E2517" t="s">
        <v>622</v>
      </c>
      <c r="F2517" s="4">
        <v>3924011</v>
      </c>
      <c r="G2517" s="4">
        <v>36822</v>
      </c>
      <c r="H2517">
        <f>IFERROR(VLOOKUP(E2517,'GASB Match'!$A$2:$B$240,2,FALSE),"")</f>
        <v>1303030</v>
      </c>
    </row>
    <row r="2518" spans="1:8" x14ac:dyDescent="0.2">
      <c r="A2518">
        <v>1303030</v>
      </c>
      <c r="B2518" s="3">
        <v>2020</v>
      </c>
      <c r="C2518" t="s">
        <v>621</v>
      </c>
      <c r="D2518" t="s">
        <v>622</v>
      </c>
      <c r="E2518" t="s">
        <v>622</v>
      </c>
      <c r="F2518" s="4">
        <v>4359795</v>
      </c>
      <c r="G2518" s="4">
        <v>40161</v>
      </c>
      <c r="H2518">
        <f>IFERROR(VLOOKUP(E2518,'GASB Match'!$A$2:$B$240,2,FALSE),"")</f>
        <v>1303030</v>
      </c>
    </row>
    <row r="2519" spans="1:8" x14ac:dyDescent="0.2">
      <c r="A2519">
        <v>1303030</v>
      </c>
      <c r="B2519" s="3">
        <v>2021</v>
      </c>
      <c r="C2519" t="s">
        <v>621</v>
      </c>
      <c r="D2519" t="s">
        <v>622</v>
      </c>
      <c r="E2519" t="s">
        <v>622</v>
      </c>
      <c r="F2519" s="4">
        <v>4105702</v>
      </c>
      <c r="G2519" s="4">
        <v>36964</v>
      </c>
      <c r="H2519">
        <f>IFERROR(VLOOKUP(E2519,'GASB Match'!$A$2:$B$240,2,FALSE),"")</f>
        <v>1303030</v>
      </c>
    </row>
    <row r="2520" spans="1:8" x14ac:dyDescent="0.2">
      <c r="A2520">
        <v>1303030</v>
      </c>
      <c r="B2520" s="3">
        <v>2022</v>
      </c>
      <c r="C2520" t="s">
        <v>621</v>
      </c>
      <c r="D2520" t="s">
        <v>622</v>
      </c>
      <c r="E2520" t="s">
        <v>622</v>
      </c>
      <c r="F2520" s="4">
        <v>4474089</v>
      </c>
      <c r="G2520" s="4">
        <v>41990</v>
      </c>
      <c r="H2520">
        <f>IFERROR(VLOOKUP(E2520,'GASB Match'!$A$2:$B$240,2,FALSE),"")</f>
        <v>1303030</v>
      </c>
    </row>
    <row r="2521" spans="1:8" x14ac:dyDescent="0.2">
      <c r="A2521">
        <v>1303030</v>
      </c>
      <c r="B2521" s="3">
        <v>2023</v>
      </c>
      <c r="C2521" t="s">
        <v>621</v>
      </c>
      <c r="D2521" t="s">
        <v>622</v>
      </c>
      <c r="E2521" t="s">
        <v>622</v>
      </c>
      <c r="F2521" s="4">
        <v>5132245</v>
      </c>
      <c r="G2521" s="4">
        <v>45145</v>
      </c>
      <c r="H2521">
        <f>IFERROR(VLOOKUP(E2521,'GASB Match'!$A$2:$B$240,2,FALSE),"")</f>
        <v>1303030</v>
      </c>
    </row>
    <row r="2522" spans="1:8" x14ac:dyDescent="0.2">
      <c r="A2522">
        <v>1303510</v>
      </c>
      <c r="B2522" s="3">
        <v>2015</v>
      </c>
      <c r="C2522" t="s">
        <v>623</v>
      </c>
      <c r="D2522" t="s">
        <v>624</v>
      </c>
      <c r="E2522" t="s">
        <v>624</v>
      </c>
      <c r="F2522" s="4">
        <v>7705701.2599999998</v>
      </c>
      <c r="G2522" s="4">
        <v>152305.10999999999</v>
      </c>
      <c r="H2522">
        <f>IFERROR(VLOOKUP(E2522,'GASB Match'!$A$2:$B$240,2,FALSE),"")</f>
        <v>1303510</v>
      </c>
    </row>
    <row r="2523" spans="1:8" x14ac:dyDescent="0.2">
      <c r="A2523">
        <v>1303510</v>
      </c>
      <c r="B2523" s="3">
        <v>2016</v>
      </c>
      <c r="C2523" t="s">
        <v>623</v>
      </c>
      <c r="D2523" t="s">
        <v>624</v>
      </c>
      <c r="E2523" t="s">
        <v>624</v>
      </c>
      <c r="F2523" s="4">
        <v>7973304</v>
      </c>
      <c r="G2523" s="4">
        <v>177695.3</v>
      </c>
      <c r="H2523">
        <f>IFERROR(VLOOKUP(E2523,'GASB Match'!$A$2:$B$240,2,FALSE),"")</f>
        <v>1303510</v>
      </c>
    </row>
    <row r="2524" spans="1:8" x14ac:dyDescent="0.2">
      <c r="A2524">
        <v>1303510</v>
      </c>
      <c r="B2524" s="3">
        <v>2017</v>
      </c>
      <c r="C2524" t="s">
        <v>623</v>
      </c>
      <c r="D2524" t="s">
        <v>624</v>
      </c>
      <c r="E2524" t="s">
        <v>624</v>
      </c>
      <c r="F2524" s="4">
        <v>8458252</v>
      </c>
      <c r="G2524" s="4">
        <v>117115</v>
      </c>
      <c r="H2524">
        <f>IFERROR(VLOOKUP(E2524,'GASB Match'!$A$2:$B$240,2,FALSE),"")</f>
        <v>1303510</v>
      </c>
    </row>
    <row r="2525" spans="1:8" x14ac:dyDescent="0.2">
      <c r="A2525">
        <v>1303510</v>
      </c>
      <c r="B2525" s="3">
        <v>2018</v>
      </c>
      <c r="C2525" t="s">
        <v>623</v>
      </c>
      <c r="D2525" t="s">
        <v>624</v>
      </c>
      <c r="E2525" t="s">
        <v>624</v>
      </c>
      <c r="F2525" s="4">
        <v>10359828</v>
      </c>
      <c r="G2525" s="4">
        <v>70965</v>
      </c>
      <c r="H2525">
        <f>IFERROR(VLOOKUP(E2525,'GASB Match'!$A$2:$B$240,2,FALSE),"")</f>
        <v>1303510</v>
      </c>
    </row>
    <row r="2526" spans="1:8" x14ac:dyDescent="0.2">
      <c r="A2526">
        <v>1303510</v>
      </c>
      <c r="B2526" s="3">
        <v>2019</v>
      </c>
      <c r="C2526" t="s">
        <v>623</v>
      </c>
      <c r="D2526" t="s">
        <v>624</v>
      </c>
      <c r="E2526" t="s">
        <v>624</v>
      </c>
      <c r="F2526" s="4">
        <v>13435097</v>
      </c>
      <c r="G2526" s="4">
        <v>79599</v>
      </c>
      <c r="H2526">
        <f>IFERROR(VLOOKUP(E2526,'GASB Match'!$A$2:$B$240,2,FALSE),"")</f>
        <v>1303510</v>
      </c>
    </row>
    <row r="2527" spans="1:8" x14ac:dyDescent="0.2">
      <c r="A2527">
        <v>1303510</v>
      </c>
      <c r="B2527" s="3">
        <v>2020</v>
      </c>
      <c r="C2527" t="s">
        <v>623</v>
      </c>
      <c r="D2527" t="s">
        <v>624</v>
      </c>
      <c r="E2527" t="s">
        <v>624</v>
      </c>
      <c r="F2527" s="4">
        <v>14438896</v>
      </c>
      <c r="G2527" s="4">
        <v>84332</v>
      </c>
      <c r="H2527">
        <f>IFERROR(VLOOKUP(E2527,'GASB Match'!$A$2:$B$240,2,FALSE),"")</f>
        <v>1303510</v>
      </c>
    </row>
    <row r="2528" spans="1:8" x14ac:dyDescent="0.2">
      <c r="A2528">
        <v>1303510</v>
      </c>
      <c r="B2528" s="3">
        <v>2021</v>
      </c>
      <c r="C2528" t="s">
        <v>623</v>
      </c>
      <c r="D2528" t="s">
        <v>624</v>
      </c>
      <c r="E2528" t="s">
        <v>624</v>
      </c>
      <c r="F2528" s="4">
        <v>13413545</v>
      </c>
      <c r="G2528" s="4">
        <v>71234</v>
      </c>
      <c r="H2528">
        <f>IFERROR(VLOOKUP(E2528,'GASB Match'!$A$2:$B$240,2,FALSE),"")</f>
        <v>1303510</v>
      </c>
    </row>
    <row r="2529" spans="1:8" x14ac:dyDescent="0.2">
      <c r="A2529">
        <v>1303510</v>
      </c>
      <c r="B2529" s="3">
        <v>2022</v>
      </c>
      <c r="C2529" t="s">
        <v>623</v>
      </c>
      <c r="D2529" t="s">
        <v>624</v>
      </c>
      <c r="E2529" t="s">
        <v>624</v>
      </c>
      <c r="F2529" s="4">
        <v>14998433</v>
      </c>
      <c r="G2529" s="4">
        <v>64791</v>
      </c>
      <c r="H2529">
        <f>IFERROR(VLOOKUP(E2529,'GASB Match'!$A$2:$B$240,2,FALSE),"")</f>
        <v>1303510</v>
      </c>
    </row>
    <row r="2530" spans="1:8" x14ac:dyDescent="0.2">
      <c r="A2530">
        <v>1303510</v>
      </c>
      <c r="B2530" s="3">
        <v>2023</v>
      </c>
      <c r="C2530" t="s">
        <v>623</v>
      </c>
      <c r="D2530" t="s">
        <v>624</v>
      </c>
      <c r="E2530" t="s">
        <v>624</v>
      </c>
      <c r="F2530" s="4">
        <v>16496813</v>
      </c>
      <c r="G2530" s="4">
        <v>53993</v>
      </c>
      <c r="H2530">
        <f>IFERROR(VLOOKUP(E2530,'GASB Match'!$A$2:$B$240,2,FALSE),"")</f>
        <v>1303510</v>
      </c>
    </row>
    <row r="2531" spans="1:8" x14ac:dyDescent="0.2">
      <c r="A2531">
        <v>1304080</v>
      </c>
      <c r="B2531" s="3">
        <v>2015</v>
      </c>
      <c r="C2531" t="s">
        <v>625</v>
      </c>
      <c r="D2531" t="s">
        <v>626</v>
      </c>
      <c r="E2531" t="s">
        <v>626</v>
      </c>
      <c r="F2531" s="4">
        <v>1023708.78</v>
      </c>
      <c r="G2531" s="4">
        <v>10126.030000000001</v>
      </c>
      <c r="H2531">
        <f>IFERROR(VLOOKUP(E2531,'GASB Match'!$A$2:$B$240,2,FALSE),"")</f>
        <v>1304080</v>
      </c>
    </row>
    <row r="2532" spans="1:8" x14ac:dyDescent="0.2">
      <c r="A2532">
        <v>1304080</v>
      </c>
      <c r="B2532" s="3">
        <v>2016</v>
      </c>
      <c r="C2532" t="s">
        <v>625</v>
      </c>
      <c r="D2532" t="s">
        <v>626</v>
      </c>
      <c r="E2532" t="s">
        <v>626</v>
      </c>
      <c r="F2532" s="4">
        <v>1170398.33</v>
      </c>
      <c r="G2532" s="4">
        <v>12131.79</v>
      </c>
      <c r="H2532">
        <f>IFERROR(VLOOKUP(E2532,'GASB Match'!$A$2:$B$240,2,FALSE),"")</f>
        <v>1304080</v>
      </c>
    </row>
    <row r="2533" spans="1:8" x14ac:dyDescent="0.2">
      <c r="A2533">
        <v>1304080</v>
      </c>
      <c r="B2533" s="3">
        <v>2017</v>
      </c>
      <c r="C2533" t="s">
        <v>625</v>
      </c>
      <c r="D2533" t="s">
        <v>626</v>
      </c>
      <c r="E2533" t="s">
        <v>626</v>
      </c>
      <c r="F2533" s="4">
        <v>1123746</v>
      </c>
      <c r="G2533" s="4">
        <v>9718</v>
      </c>
      <c r="H2533">
        <f>IFERROR(VLOOKUP(E2533,'GASB Match'!$A$2:$B$240,2,FALSE),"")</f>
        <v>1304080</v>
      </c>
    </row>
    <row r="2534" spans="1:8" x14ac:dyDescent="0.2">
      <c r="A2534">
        <v>1304080</v>
      </c>
      <c r="B2534" s="3">
        <v>2018</v>
      </c>
      <c r="C2534" t="s">
        <v>625</v>
      </c>
      <c r="D2534" t="s">
        <v>626</v>
      </c>
      <c r="E2534" t="s">
        <v>626</v>
      </c>
      <c r="F2534" s="4">
        <v>1381466</v>
      </c>
      <c r="G2534" s="4">
        <v>7706</v>
      </c>
      <c r="H2534">
        <f>IFERROR(VLOOKUP(E2534,'GASB Match'!$A$2:$B$240,2,FALSE),"")</f>
        <v>1304080</v>
      </c>
    </row>
    <row r="2535" spans="1:8" x14ac:dyDescent="0.2">
      <c r="A2535">
        <v>1304080</v>
      </c>
      <c r="B2535" s="3">
        <v>2019</v>
      </c>
      <c r="C2535" t="s">
        <v>625</v>
      </c>
      <c r="D2535" t="s">
        <v>626</v>
      </c>
      <c r="E2535" t="s">
        <v>626</v>
      </c>
      <c r="F2535" s="4">
        <v>1651935</v>
      </c>
      <c r="G2535" s="4">
        <v>9965</v>
      </c>
      <c r="H2535">
        <f>IFERROR(VLOOKUP(E2535,'GASB Match'!$A$2:$B$240,2,FALSE),"")</f>
        <v>1304080</v>
      </c>
    </row>
    <row r="2536" spans="1:8" x14ac:dyDescent="0.2">
      <c r="A2536">
        <v>1304080</v>
      </c>
      <c r="B2536" s="3">
        <v>2020</v>
      </c>
      <c r="C2536" t="s">
        <v>625</v>
      </c>
      <c r="D2536" t="s">
        <v>626</v>
      </c>
      <c r="E2536" t="s">
        <v>626</v>
      </c>
      <c r="F2536" s="4">
        <v>1802598</v>
      </c>
      <c r="G2536" s="4">
        <v>11162</v>
      </c>
      <c r="H2536">
        <f>IFERROR(VLOOKUP(E2536,'GASB Match'!$A$2:$B$240,2,FALSE),"")</f>
        <v>1304080</v>
      </c>
    </row>
    <row r="2537" spans="1:8" x14ac:dyDescent="0.2">
      <c r="A2537">
        <v>1304080</v>
      </c>
      <c r="B2537" s="3">
        <v>2021</v>
      </c>
      <c r="C2537" t="s">
        <v>625</v>
      </c>
      <c r="D2537" t="s">
        <v>626</v>
      </c>
      <c r="E2537" t="s">
        <v>626</v>
      </c>
      <c r="F2537" s="4">
        <v>1611891</v>
      </c>
      <c r="G2537" s="4">
        <v>10485</v>
      </c>
      <c r="H2537">
        <f>IFERROR(VLOOKUP(E2537,'GASB Match'!$A$2:$B$240,2,FALSE),"")</f>
        <v>1304080</v>
      </c>
    </row>
    <row r="2538" spans="1:8" x14ac:dyDescent="0.2">
      <c r="A2538">
        <v>1304080</v>
      </c>
      <c r="B2538" s="3">
        <v>2022</v>
      </c>
      <c r="C2538" t="s">
        <v>625</v>
      </c>
      <c r="D2538" t="s">
        <v>626</v>
      </c>
      <c r="E2538" t="s">
        <v>626</v>
      </c>
      <c r="F2538" s="4">
        <v>1693794</v>
      </c>
      <c r="G2538" s="4">
        <v>10663</v>
      </c>
      <c r="H2538">
        <f>IFERROR(VLOOKUP(E2538,'GASB Match'!$A$2:$B$240,2,FALSE),"")</f>
        <v>1304080</v>
      </c>
    </row>
    <row r="2539" spans="1:8" x14ac:dyDescent="0.2">
      <c r="A2539">
        <v>1304080</v>
      </c>
      <c r="B2539" s="3">
        <v>2023</v>
      </c>
      <c r="C2539" t="s">
        <v>625</v>
      </c>
      <c r="D2539" t="s">
        <v>626</v>
      </c>
      <c r="E2539" t="s">
        <v>626</v>
      </c>
      <c r="F2539" s="4">
        <v>1757549</v>
      </c>
      <c r="G2539" s="4">
        <v>9381</v>
      </c>
      <c r="H2539">
        <f>IFERROR(VLOOKUP(E2539,'GASB Match'!$A$2:$B$240,2,FALSE),"")</f>
        <v>1304080</v>
      </c>
    </row>
    <row r="2540" spans="1:8" x14ac:dyDescent="0.2">
      <c r="A2540">
        <v>1304440</v>
      </c>
      <c r="B2540" s="3">
        <v>2015</v>
      </c>
      <c r="C2540" t="s">
        <v>627</v>
      </c>
      <c r="D2540" t="s">
        <v>628</v>
      </c>
      <c r="E2540" t="s">
        <v>628</v>
      </c>
      <c r="F2540" s="4">
        <v>3860458.06</v>
      </c>
      <c r="G2540" s="4">
        <v>62983.82</v>
      </c>
      <c r="H2540">
        <f>IFERROR(VLOOKUP(E2540,'GASB Match'!$A$2:$B$240,2,FALSE),"")</f>
        <v>1304440</v>
      </c>
    </row>
    <row r="2541" spans="1:8" x14ac:dyDescent="0.2">
      <c r="A2541">
        <v>1304440</v>
      </c>
      <c r="B2541" s="3">
        <v>2016</v>
      </c>
      <c r="C2541" t="s">
        <v>627</v>
      </c>
      <c r="D2541" t="s">
        <v>628</v>
      </c>
      <c r="E2541" t="s">
        <v>628</v>
      </c>
      <c r="F2541" s="4">
        <v>4318174.2</v>
      </c>
      <c r="G2541" s="4">
        <v>76812.240000000005</v>
      </c>
      <c r="H2541">
        <f>IFERROR(VLOOKUP(E2541,'GASB Match'!$A$2:$B$240,2,FALSE),"")</f>
        <v>1304440</v>
      </c>
    </row>
    <row r="2542" spans="1:8" x14ac:dyDescent="0.2">
      <c r="A2542">
        <v>1304440</v>
      </c>
      <c r="B2542" s="3">
        <v>2017</v>
      </c>
      <c r="C2542" t="s">
        <v>627</v>
      </c>
      <c r="D2542" t="s">
        <v>628</v>
      </c>
      <c r="E2542" t="s">
        <v>628</v>
      </c>
      <c r="F2542" s="4">
        <v>4526165</v>
      </c>
      <c r="G2542" s="4">
        <v>41108</v>
      </c>
      <c r="H2542">
        <f>IFERROR(VLOOKUP(E2542,'GASB Match'!$A$2:$B$240,2,FALSE),"")</f>
        <v>1304440</v>
      </c>
    </row>
    <row r="2543" spans="1:8" x14ac:dyDescent="0.2">
      <c r="A2543">
        <v>1304440</v>
      </c>
      <c r="B2543" s="3">
        <v>2018</v>
      </c>
      <c r="C2543" t="s">
        <v>627</v>
      </c>
      <c r="D2543" t="s">
        <v>628</v>
      </c>
      <c r="E2543" t="s">
        <v>628</v>
      </c>
      <c r="F2543" s="4">
        <v>5407002</v>
      </c>
      <c r="G2543" s="4">
        <v>18979</v>
      </c>
      <c r="H2543">
        <f>IFERROR(VLOOKUP(E2543,'GASB Match'!$A$2:$B$240,2,FALSE),"")</f>
        <v>1304440</v>
      </c>
    </row>
    <row r="2544" spans="1:8" x14ac:dyDescent="0.2">
      <c r="A2544">
        <v>1304440</v>
      </c>
      <c r="B2544" s="3">
        <v>2019</v>
      </c>
      <c r="C2544" t="s">
        <v>627</v>
      </c>
      <c r="D2544" t="s">
        <v>628</v>
      </c>
      <c r="E2544" t="s">
        <v>628</v>
      </c>
      <c r="F2544" s="4">
        <v>7097923</v>
      </c>
      <c r="G2544" s="4">
        <v>17262</v>
      </c>
      <c r="H2544">
        <f>IFERROR(VLOOKUP(E2544,'GASB Match'!$A$2:$B$240,2,FALSE),"")</f>
        <v>1304440</v>
      </c>
    </row>
    <row r="2545" spans="1:8" x14ac:dyDescent="0.2">
      <c r="A2545">
        <v>1304440</v>
      </c>
      <c r="B2545" s="3">
        <v>2020</v>
      </c>
      <c r="C2545" t="s">
        <v>627</v>
      </c>
      <c r="D2545" t="s">
        <v>628</v>
      </c>
      <c r="E2545" t="s">
        <v>628</v>
      </c>
      <c r="F2545" s="4">
        <v>7953313</v>
      </c>
      <c r="G2545" s="4">
        <v>25492</v>
      </c>
      <c r="H2545">
        <f>IFERROR(VLOOKUP(E2545,'GASB Match'!$A$2:$B$240,2,FALSE),"")</f>
        <v>1304440</v>
      </c>
    </row>
    <row r="2546" spans="1:8" x14ac:dyDescent="0.2">
      <c r="A2546">
        <v>1304440</v>
      </c>
      <c r="B2546" s="3">
        <v>2021</v>
      </c>
      <c r="C2546" t="s">
        <v>627</v>
      </c>
      <c r="D2546" t="s">
        <v>628</v>
      </c>
      <c r="E2546" t="s">
        <v>628</v>
      </c>
      <c r="F2546" s="4">
        <v>7199731</v>
      </c>
      <c r="G2546" s="4">
        <v>27769</v>
      </c>
      <c r="H2546">
        <f>IFERROR(VLOOKUP(E2546,'GASB Match'!$A$2:$B$240,2,FALSE),"")</f>
        <v>1304440</v>
      </c>
    </row>
    <row r="2547" spans="1:8" x14ac:dyDescent="0.2">
      <c r="A2547">
        <v>1304440</v>
      </c>
      <c r="B2547" s="3">
        <v>2022</v>
      </c>
      <c r="C2547" t="s">
        <v>627</v>
      </c>
      <c r="D2547" t="s">
        <v>628</v>
      </c>
      <c r="E2547" t="s">
        <v>628</v>
      </c>
      <c r="F2547" s="4">
        <v>7948912</v>
      </c>
      <c r="G2547" s="4">
        <v>28933</v>
      </c>
      <c r="H2547">
        <f>IFERROR(VLOOKUP(E2547,'GASB Match'!$A$2:$B$240,2,FALSE),"")</f>
        <v>1304440</v>
      </c>
    </row>
    <row r="2548" spans="1:8" x14ac:dyDescent="0.2">
      <c r="A2548">
        <v>1304440</v>
      </c>
      <c r="B2548" s="3">
        <v>2023</v>
      </c>
      <c r="C2548" t="s">
        <v>627</v>
      </c>
      <c r="D2548" t="s">
        <v>628</v>
      </c>
      <c r="E2548" t="s">
        <v>628</v>
      </c>
      <c r="F2548" s="4">
        <v>8969001</v>
      </c>
      <c r="G2548" s="4">
        <v>30222</v>
      </c>
      <c r="H2548">
        <f>IFERROR(VLOOKUP(E2548,'GASB Match'!$A$2:$B$240,2,FALSE),"")</f>
        <v>1304440</v>
      </c>
    </row>
    <row r="2549" spans="1:8" x14ac:dyDescent="0.2">
      <c r="A2549">
        <v>1304540</v>
      </c>
      <c r="B2549" s="3">
        <v>2015</v>
      </c>
      <c r="C2549" t="s">
        <v>629</v>
      </c>
      <c r="D2549" t="s">
        <v>630</v>
      </c>
      <c r="E2549" t="s">
        <v>630</v>
      </c>
      <c r="F2549" s="4">
        <v>1152989.29</v>
      </c>
      <c r="G2549" s="4">
        <v>15229.89</v>
      </c>
      <c r="H2549">
        <f>IFERROR(VLOOKUP(E2549,'GASB Match'!$A$2:$B$240,2,FALSE),"")</f>
        <v>1304540</v>
      </c>
    </row>
    <row r="2550" spans="1:8" x14ac:dyDescent="0.2">
      <c r="A2550">
        <v>1304540</v>
      </c>
      <c r="B2550" s="3">
        <v>2016</v>
      </c>
      <c r="C2550" t="s">
        <v>629</v>
      </c>
      <c r="D2550" t="s">
        <v>630</v>
      </c>
      <c r="E2550" t="s">
        <v>630</v>
      </c>
      <c r="F2550" s="4">
        <v>1264433.1599999999</v>
      </c>
      <c r="G2550" s="4">
        <v>22113.8</v>
      </c>
      <c r="H2550">
        <f>IFERROR(VLOOKUP(E2550,'GASB Match'!$A$2:$B$240,2,FALSE),"")</f>
        <v>1304540</v>
      </c>
    </row>
    <row r="2551" spans="1:8" x14ac:dyDescent="0.2">
      <c r="A2551">
        <v>1304540</v>
      </c>
      <c r="B2551" s="3">
        <v>2017</v>
      </c>
      <c r="C2551" t="s">
        <v>629</v>
      </c>
      <c r="D2551" t="s">
        <v>630</v>
      </c>
      <c r="E2551" t="s">
        <v>630</v>
      </c>
      <c r="F2551" s="4">
        <v>1313532</v>
      </c>
      <c r="G2551" s="4">
        <v>21445</v>
      </c>
      <c r="H2551">
        <f>IFERROR(VLOOKUP(E2551,'GASB Match'!$A$2:$B$240,2,FALSE),"")</f>
        <v>1304540</v>
      </c>
    </row>
    <row r="2552" spans="1:8" x14ac:dyDescent="0.2">
      <c r="A2552">
        <v>1304540</v>
      </c>
      <c r="B2552" s="3">
        <v>2018</v>
      </c>
      <c r="C2552" t="s">
        <v>629</v>
      </c>
      <c r="D2552" t="s">
        <v>630</v>
      </c>
      <c r="E2552" t="s">
        <v>630</v>
      </c>
      <c r="F2552" s="4">
        <v>1630219</v>
      </c>
      <c r="G2552" s="4">
        <v>24760</v>
      </c>
      <c r="H2552">
        <f>IFERROR(VLOOKUP(E2552,'GASB Match'!$A$2:$B$240,2,FALSE),"")</f>
        <v>1304540</v>
      </c>
    </row>
    <row r="2553" spans="1:8" x14ac:dyDescent="0.2">
      <c r="A2553">
        <v>1304540</v>
      </c>
      <c r="B2553" s="3">
        <v>2019</v>
      </c>
      <c r="C2553" t="s">
        <v>629</v>
      </c>
      <c r="D2553" t="s">
        <v>630</v>
      </c>
      <c r="E2553" t="s">
        <v>630</v>
      </c>
      <c r="F2553" s="4">
        <v>2151475</v>
      </c>
      <c r="G2553" s="4">
        <v>22154</v>
      </c>
      <c r="H2553">
        <f>IFERROR(VLOOKUP(E2553,'GASB Match'!$A$2:$B$240,2,FALSE),"")</f>
        <v>1304540</v>
      </c>
    </row>
    <row r="2554" spans="1:8" x14ac:dyDescent="0.2">
      <c r="A2554">
        <v>1304540</v>
      </c>
      <c r="B2554" s="3">
        <v>2020</v>
      </c>
      <c r="C2554" t="s">
        <v>629</v>
      </c>
      <c r="D2554" t="s">
        <v>630</v>
      </c>
      <c r="E2554" t="s">
        <v>630</v>
      </c>
      <c r="F2554" s="4">
        <v>2326600</v>
      </c>
      <c r="G2554" s="4">
        <v>23343</v>
      </c>
      <c r="H2554">
        <f>IFERROR(VLOOKUP(E2554,'GASB Match'!$A$2:$B$240,2,FALSE),"")</f>
        <v>1304540</v>
      </c>
    </row>
    <row r="2555" spans="1:8" x14ac:dyDescent="0.2">
      <c r="A2555">
        <v>1304540</v>
      </c>
      <c r="B2555" s="3">
        <v>2021</v>
      </c>
      <c r="C2555" t="s">
        <v>629</v>
      </c>
      <c r="D2555" t="s">
        <v>630</v>
      </c>
      <c r="E2555" t="s">
        <v>630</v>
      </c>
      <c r="F2555" s="4">
        <v>2127390</v>
      </c>
      <c r="G2555" s="4">
        <v>22268</v>
      </c>
      <c r="H2555">
        <f>IFERROR(VLOOKUP(E2555,'GASB Match'!$A$2:$B$240,2,FALSE),"")</f>
        <v>1304540</v>
      </c>
    </row>
    <row r="2556" spans="1:8" x14ac:dyDescent="0.2">
      <c r="A2556">
        <v>1304540</v>
      </c>
      <c r="B2556" s="3">
        <v>2022</v>
      </c>
      <c r="C2556" t="s">
        <v>629</v>
      </c>
      <c r="D2556" t="s">
        <v>630</v>
      </c>
      <c r="E2556" t="s">
        <v>630</v>
      </c>
      <c r="F2556" s="4">
        <v>2413553</v>
      </c>
      <c r="G2556" s="4">
        <v>27843</v>
      </c>
      <c r="H2556">
        <f>IFERROR(VLOOKUP(E2556,'GASB Match'!$A$2:$B$240,2,FALSE),"")</f>
        <v>1304540</v>
      </c>
    </row>
    <row r="2557" spans="1:8" x14ac:dyDescent="0.2">
      <c r="A2557">
        <v>1304540</v>
      </c>
      <c r="B2557" s="3">
        <v>2023</v>
      </c>
      <c r="C2557" t="s">
        <v>629</v>
      </c>
      <c r="D2557" t="s">
        <v>630</v>
      </c>
      <c r="E2557" t="s">
        <v>630</v>
      </c>
      <c r="F2557" s="4">
        <v>2689558</v>
      </c>
      <c r="G2557" s="4">
        <v>31089</v>
      </c>
      <c r="H2557">
        <f>IFERROR(VLOOKUP(E2557,'GASB Match'!$A$2:$B$240,2,FALSE),"")</f>
        <v>1304540</v>
      </c>
    </row>
    <row r="2558" spans="1:8" x14ac:dyDescent="0.2">
      <c r="A2558">
        <v>1304950</v>
      </c>
      <c r="B2558" s="3">
        <v>2015</v>
      </c>
      <c r="C2558" t="s">
        <v>631</v>
      </c>
      <c r="D2558" t="s">
        <v>632</v>
      </c>
      <c r="E2558" t="s">
        <v>632</v>
      </c>
      <c r="F2558" s="4">
        <v>2073407.57</v>
      </c>
      <c r="G2558" s="4">
        <v>27860.91</v>
      </c>
      <c r="H2558">
        <f>IFERROR(VLOOKUP(E2558,'GASB Match'!$A$2:$B$240,2,FALSE),"")</f>
        <v>1304950</v>
      </c>
    </row>
    <row r="2559" spans="1:8" x14ac:dyDescent="0.2">
      <c r="A2559">
        <v>1304950</v>
      </c>
      <c r="B2559" s="3">
        <v>2016</v>
      </c>
      <c r="C2559" t="s">
        <v>631</v>
      </c>
      <c r="D2559" t="s">
        <v>632</v>
      </c>
      <c r="E2559" t="s">
        <v>632</v>
      </c>
      <c r="F2559" s="4">
        <v>2302223.84</v>
      </c>
      <c r="G2559" s="4">
        <v>33266.89</v>
      </c>
      <c r="H2559">
        <f>IFERROR(VLOOKUP(E2559,'GASB Match'!$A$2:$B$240,2,FALSE),"")</f>
        <v>1304950</v>
      </c>
    </row>
    <row r="2560" spans="1:8" x14ac:dyDescent="0.2">
      <c r="A2560">
        <v>1304950</v>
      </c>
      <c r="B2560" s="3">
        <v>2017</v>
      </c>
      <c r="C2560" t="s">
        <v>631</v>
      </c>
      <c r="D2560" t="s">
        <v>632</v>
      </c>
      <c r="E2560" t="s">
        <v>632</v>
      </c>
      <c r="F2560" s="4">
        <v>2295841</v>
      </c>
      <c r="G2560" s="4">
        <v>34387</v>
      </c>
      <c r="H2560">
        <f>IFERROR(VLOOKUP(E2560,'GASB Match'!$A$2:$B$240,2,FALSE),"")</f>
        <v>1304950</v>
      </c>
    </row>
    <row r="2561" spans="1:8" x14ac:dyDescent="0.2">
      <c r="A2561">
        <v>1304950</v>
      </c>
      <c r="B2561" s="3">
        <v>2018</v>
      </c>
      <c r="C2561" t="s">
        <v>631</v>
      </c>
      <c r="D2561" t="s">
        <v>632</v>
      </c>
      <c r="E2561" t="s">
        <v>632</v>
      </c>
      <c r="F2561" s="4">
        <v>2872073</v>
      </c>
      <c r="G2561" s="4">
        <v>45055</v>
      </c>
      <c r="H2561">
        <f>IFERROR(VLOOKUP(E2561,'GASB Match'!$A$2:$B$240,2,FALSE),"")</f>
        <v>1304950</v>
      </c>
    </row>
    <row r="2562" spans="1:8" x14ac:dyDescent="0.2">
      <c r="A2562">
        <v>1304950</v>
      </c>
      <c r="B2562" s="3">
        <v>2019</v>
      </c>
      <c r="C2562" t="s">
        <v>631</v>
      </c>
      <c r="D2562" t="s">
        <v>632</v>
      </c>
      <c r="E2562" t="s">
        <v>632</v>
      </c>
      <c r="F2562" s="4">
        <v>3582265</v>
      </c>
      <c r="G2562" s="4">
        <v>67081</v>
      </c>
      <c r="H2562">
        <f>IFERROR(VLOOKUP(E2562,'GASB Match'!$A$2:$B$240,2,FALSE),"")</f>
        <v>1304950</v>
      </c>
    </row>
    <row r="2563" spans="1:8" x14ac:dyDescent="0.2">
      <c r="A2563">
        <v>1304950</v>
      </c>
      <c r="B2563" s="3">
        <v>2020</v>
      </c>
      <c r="C2563" t="s">
        <v>631</v>
      </c>
      <c r="D2563" t="s">
        <v>632</v>
      </c>
      <c r="E2563" t="s">
        <v>632</v>
      </c>
      <c r="F2563" s="4">
        <v>3722461</v>
      </c>
      <c r="G2563" s="4">
        <v>78290</v>
      </c>
      <c r="H2563">
        <f>IFERROR(VLOOKUP(E2563,'GASB Match'!$A$2:$B$240,2,FALSE),"")</f>
        <v>1304950</v>
      </c>
    </row>
    <row r="2564" spans="1:8" x14ac:dyDescent="0.2">
      <c r="A2564">
        <v>1304950</v>
      </c>
      <c r="B2564" s="3">
        <v>2021</v>
      </c>
      <c r="C2564" t="s">
        <v>631</v>
      </c>
      <c r="D2564" t="s">
        <v>632</v>
      </c>
      <c r="E2564" t="s">
        <v>632</v>
      </c>
      <c r="F2564" s="4">
        <v>3188289</v>
      </c>
      <c r="G2564" s="4">
        <v>69227</v>
      </c>
      <c r="H2564">
        <f>IFERROR(VLOOKUP(E2564,'GASB Match'!$A$2:$B$240,2,FALSE),"")</f>
        <v>1304950</v>
      </c>
    </row>
    <row r="2565" spans="1:8" x14ac:dyDescent="0.2">
      <c r="A2565">
        <v>1304950</v>
      </c>
      <c r="B2565" s="3">
        <v>2022</v>
      </c>
      <c r="C2565" t="s">
        <v>631</v>
      </c>
      <c r="D2565" t="s">
        <v>632</v>
      </c>
      <c r="E2565" t="s">
        <v>632</v>
      </c>
      <c r="F2565" s="4">
        <v>3384347</v>
      </c>
      <c r="G2565" s="4">
        <v>73574</v>
      </c>
      <c r="H2565">
        <f>IFERROR(VLOOKUP(E2565,'GASB Match'!$A$2:$B$240,2,FALSE),"")</f>
        <v>1304950</v>
      </c>
    </row>
    <row r="2566" spans="1:8" x14ac:dyDescent="0.2">
      <c r="A2566">
        <v>1304950</v>
      </c>
      <c r="B2566" s="3">
        <v>2023</v>
      </c>
      <c r="C2566" t="s">
        <v>631</v>
      </c>
      <c r="D2566" t="s">
        <v>632</v>
      </c>
      <c r="E2566" t="s">
        <v>632</v>
      </c>
      <c r="F2566" s="4">
        <v>3610793</v>
      </c>
      <c r="G2566" s="4">
        <v>87370</v>
      </c>
      <c r="H2566">
        <f>IFERROR(VLOOKUP(E2566,'GASB Match'!$A$2:$B$240,2,FALSE),"")</f>
        <v>1304950</v>
      </c>
    </row>
    <row r="2567" spans="1:8" x14ac:dyDescent="0.2">
      <c r="A2567">
        <v>1305130</v>
      </c>
      <c r="B2567" s="3">
        <v>2015</v>
      </c>
      <c r="C2567" t="s">
        <v>633</v>
      </c>
      <c r="D2567" t="s">
        <v>634</v>
      </c>
      <c r="E2567" t="s">
        <v>634</v>
      </c>
      <c r="F2567" s="4">
        <v>907716.54</v>
      </c>
      <c r="G2567" s="4" t="s">
        <v>7</v>
      </c>
      <c r="H2567">
        <f>IFERROR(VLOOKUP(E2567,'GASB Match'!$A$2:$B$240,2,FALSE),"")</f>
        <v>1305130</v>
      </c>
    </row>
    <row r="2568" spans="1:8" x14ac:dyDescent="0.2">
      <c r="A2568">
        <v>1305130</v>
      </c>
      <c r="B2568" s="3">
        <v>2016</v>
      </c>
      <c r="C2568" t="s">
        <v>633</v>
      </c>
      <c r="D2568" t="s">
        <v>634</v>
      </c>
      <c r="E2568" t="s">
        <v>634</v>
      </c>
      <c r="F2568" s="4">
        <v>994077.62</v>
      </c>
      <c r="G2568" s="4" t="s">
        <v>7</v>
      </c>
      <c r="H2568">
        <f>IFERROR(VLOOKUP(E2568,'GASB Match'!$A$2:$B$240,2,FALSE),"")</f>
        <v>1305130</v>
      </c>
    </row>
    <row r="2569" spans="1:8" x14ac:dyDescent="0.2">
      <c r="A2569">
        <v>1305130</v>
      </c>
      <c r="B2569" s="3">
        <v>2017</v>
      </c>
      <c r="C2569" t="s">
        <v>633</v>
      </c>
      <c r="D2569" t="s">
        <v>634</v>
      </c>
      <c r="E2569" t="s">
        <v>634</v>
      </c>
      <c r="F2569" s="4">
        <v>1022775</v>
      </c>
      <c r="G2569" s="4" t="s">
        <v>7</v>
      </c>
      <c r="H2569">
        <f>IFERROR(VLOOKUP(E2569,'GASB Match'!$A$2:$B$240,2,FALSE),"")</f>
        <v>1305130</v>
      </c>
    </row>
    <row r="2570" spans="1:8" x14ac:dyDescent="0.2">
      <c r="A2570">
        <v>1305130</v>
      </c>
      <c r="B2570" s="3">
        <v>2018</v>
      </c>
      <c r="C2570" t="s">
        <v>633</v>
      </c>
      <c r="D2570" t="s">
        <v>634</v>
      </c>
      <c r="E2570" t="s">
        <v>634</v>
      </c>
      <c r="F2570" s="4">
        <v>1228683</v>
      </c>
      <c r="G2570" s="4" t="s">
        <v>7</v>
      </c>
      <c r="H2570">
        <f>IFERROR(VLOOKUP(E2570,'GASB Match'!$A$2:$B$240,2,FALSE),"")</f>
        <v>1305130</v>
      </c>
    </row>
    <row r="2571" spans="1:8" x14ac:dyDescent="0.2">
      <c r="A2571">
        <v>1305130</v>
      </c>
      <c r="B2571" s="3">
        <v>2019</v>
      </c>
      <c r="C2571" t="s">
        <v>633</v>
      </c>
      <c r="D2571" t="s">
        <v>634</v>
      </c>
      <c r="E2571" t="s">
        <v>634</v>
      </c>
      <c r="F2571" s="4">
        <v>1561137</v>
      </c>
      <c r="G2571" s="4" t="s">
        <v>7</v>
      </c>
      <c r="H2571">
        <f>IFERROR(VLOOKUP(E2571,'GASB Match'!$A$2:$B$240,2,FALSE),"")</f>
        <v>1305130</v>
      </c>
    </row>
    <row r="2572" spans="1:8" x14ac:dyDescent="0.2">
      <c r="A2572">
        <v>1305130</v>
      </c>
      <c r="B2572" s="3">
        <v>2020</v>
      </c>
      <c r="C2572" t="s">
        <v>633</v>
      </c>
      <c r="D2572" t="s">
        <v>634</v>
      </c>
      <c r="E2572" t="s">
        <v>634</v>
      </c>
      <c r="F2572" s="4">
        <v>1595833</v>
      </c>
      <c r="G2572" s="4">
        <v>747</v>
      </c>
      <c r="H2572">
        <f>IFERROR(VLOOKUP(E2572,'GASB Match'!$A$2:$B$240,2,FALSE),"")</f>
        <v>1305130</v>
      </c>
    </row>
    <row r="2573" spans="1:8" x14ac:dyDescent="0.2">
      <c r="A2573">
        <v>1305130</v>
      </c>
      <c r="B2573" s="3">
        <v>2021</v>
      </c>
      <c r="C2573" t="s">
        <v>633</v>
      </c>
      <c r="D2573" t="s">
        <v>634</v>
      </c>
      <c r="E2573" t="s">
        <v>634</v>
      </c>
      <c r="F2573" s="4">
        <v>1398859</v>
      </c>
      <c r="G2573" s="4">
        <v>6336</v>
      </c>
      <c r="H2573">
        <f>IFERROR(VLOOKUP(E2573,'GASB Match'!$A$2:$B$240,2,FALSE),"")</f>
        <v>1305130</v>
      </c>
    </row>
    <row r="2574" spans="1:8" x14ac:dyDescent="0.2">
      <c r="A2574">
        <v>1305130</v>
      </c>
      <c r="B2574" s="3">
        <v>2022</v>
      </c>
      <c r="C2574" t="s">
        <v>633</v>
      </c>
      <c r="D2574" t="s">
        <v>634</v>
      </c>
      <c r="E2574" t="s">
        <v>634</v>
      </c>
      <c r="F2574" s="4">
        <v>1475727</v>
      </c>
      <c r="G2574" s="4">
        <v>19755</v>
      </c>
      <c r="H2574">
        <f>IFERROR(VLOOKUP(E2574,'GASB Match'!$A$2:$B$240,2,FALSE),"")</f>
        <v>1305130</v>
      </c>
    </row>
    <row r="2575" spans="1:8" x14ac:dyDescent="0.2">
      <c r="A2575">
        <v>1305130</v>
      </c>
      <c r="B2575" s="3">
        <v>2023</v>
      </c>
      <c r="C2575" t="s">
        <v>633</v>
      </c>
      <c r="D2575" t="s">
        <v>634</v>
      </c>
      <c r="E2575" t="s">
        <v>634</v>
      </c>
      <c r="F2575" s="4">
        <v>1563747</v>
      </c>
      <c r="G2575" s="4">
        <v>26318</v>
      </c>
      <c r="H2575">
        <f>IFERROR(VLOOKUP(E2575,'GASB Match'!$A$2:$B$240,2,FALSE),"")</f>
        <v>1305130</v>
      </c>
    </row>
    <row r="2576" spans="1:8" x14ac:dyDescent="0.2">
      <c r="A2576">
        <v>1305310</v>
      </c>
      <c r="B2576" s="3">
        <v>2015</v>
      </c>
      <c r="C2576" t="s">
        <v>635</v>
      </c>
      <c r="D2576" t="s">
        <v>636</v>
      </c>
      <c r="E2576" t="s">
        <v>636</v>
      </c>
      <c r="F2576" s="4">
        <v>5123519.1399999997</v>
      </c>
      <c r="G2576" s="4">
        <v>34792.74</v>
      </c>
      <c r="H2576">
        <f>IFERROR(VLOOKUP(E2576,'GASB Match'!$A$2:$B$240,2,FALSE),"")</f>
        <v>1305310</v>
      </c>
    </row>
    <row r="2577" spans="1:8" x14ac:dyDescent="0.2">
      <c r="A2577">
        <v>1305310</v>
      </c>
      <c r="B2577" s="3">
        <v>2016</v>
      </c>
      <c r="C2577" t="s">
        <v>635</v>
      </c>
      <c r="D2577" t="s">
        <v>636</v>
      </c>
      <c r="E2577" t="s">
        <v>636</v>
      </c>
      <c r="F2577" s="4">
        <v>5509465.5499999998</v>
      </c>
      <c r="G2577" s="4">
        <v>35300.949999999997</v>
      </c>
      <c r="H2577">
        <f>IFERROR(VLOOKUP(E2577,'GASB Match'!$A$2:$B$240,2,FALSE),"")</f>
        <v>1305310</v>
      </c>
    </row>
    <row r="2578" spans="1:8" x14ac:dyDescent="0.2">
      <c r="A2578">
        <v>1305310</v>
      </c>
      <c r="B2578" s="3">
        <v>2017</v>
      </c>
      <c r="C2578" t="s">
        <v>635</v>
      </c>
      <c r="D2578" t="s">
        <v>636</v>
      </c>
      <c r="E2578" t="s">
        <v>636</v>
      </c>
      <c r="F2578" s="4">
        <v>5698348</v>
      </c>
      <c r="G2578" s="4">
        <v>28667</v>
      </c>
      <c r="H2578">
        <f>IFERROR(VLOOKUP(E2578,'GASB Match'!$A$2:$B$240,2,FALSE),"")</f>
        <v>1305310</v>
      </c>
    </row>
    <row r="2579" spans="1:8" x14ac:dyDescent="0.2">
      <c r="A2579">
        <v>1305310</v>
      </c>
      <c r="B2579" s="3">
        <v>2018</v>
      </c>
      <c r="C2579" t="s">
        <v>635</v>
      </c>
      <c r="D2579" t="s">
        <v>636</v>
      </c>
      <c r="E2579" t="s">
        <v>636</v>
      </c>
      <c r="F2579" s="4">
        <v>6805368</v>
      </c>
      <c r="G2579" s="4">
        <v>26279</v>
      </c>
      <c r="H2579">
        <f>IFERROR(VLOOKUP(E2579,'GASB Match'!$A$2:$B$240,2,FALSE),"")</f>
        <v>1305310</v>
      </c>
    </row>
    <row r="2580" spans="1:8" x14ac:dyDescent="0.2">
      <c r="A2580">
        <v>1305310</v>
      </c>
      <c r="B2580" s="3">
        <v>2019</v>
      </c>
      <c r="C2580" t="s">
        <v>635</v>
      </c>
      <c r="D2580" t="s">
        <v>636</v>
      </c>
      <c r="E2580" t="s">
        <v>636</v>
      </c>
      <c r="F2580" s="4">
        <v>8804087</v>
      </c>
      <c r="G2580" s="4">
        <v>32171</v>
      </c>
      <c r="H2580">
        <f>IFERROR(VLOOKUP(E2580,'GASB Match'!$A$2:$B$240,2,FALSE),"")</f>
        <v>1305310</v>
      </c>
    </row>
    <row r="2581" spans="1:8" x14ac:dyDescent="0.2">
      <c r="A2581">
        <v>1305310</v>
      </c>
      <c r="B2581" s="3">
        <v>2020</v>
      </c>
      <c r="C2581" t="s">
        <v>635</v>
      </c>
      <c r="D2581" t="s">
        <v>636</v>
      </c>
      <c r="E2581" t="s">
        <v>636</v>
      </c>
      <c r="F2581" s="4">
        <v>9441852</v>
      </c>
      <c r="G2581" s="4">
        <v>31853</v>
      </c>
      <c r="H2581">
        <f>IFERROR(VLOOKUP(E2581,'GASB Match'!$A$2:$B$240,2,FALSE),"")</f>
        <v>1305310</v>
      </c>
    </row>
    <row r="2582" spans="1:8" x14ac:dyDescent="0.2">
      <c r="A2582">
        <v>1305310</v>
      </c>
      <c r="B2582" s="3">
        <v>2021</v>
      </c>
      <c r="C2582" t="s">
        <v>635</v>
      </c>
      <c r="D2582" t="s">
        <v>636</v>
      </c>
      <c r="E2582" t="s">
        <v>636</v>
      </c>
      <c r="F2582" s="4">
        <v>8649348</v>
      </c>
      <c r="G2582" s="4">
        <v>28685</v>
      </c>
      <c r="H2582">
        <f>IFERROR(VLOOKUP(E2582,'GASB Match'!$A$2:$B$240,2,FALSE),"")</f>
        <v>1305310</v>
      </c>
    </row>
    <row r="2583" spans="1:8" x14ac:dyDescent="0.2">
      <c r="A2583">
        <v>1305310</v>
      </c>
      <c r="B2583" s="3">
        <v>2022</v>
      </c>
      <c r="C2583" t="s">
        <v>635</v>
      </c>
      <c r="D2583" t="s">
        <v>636</v>
      </c>
      <c r="E2583" t="s">
        <v>636</v>
      </c>
      <c r="F2583" s="4">
        <v>9596061</v>
      </c>
      <c r="G2583" s="4">
        <v>30257</v>
      </c>
      <c r="H2583">
        <f>IFERROR(VLOOKUP(E2583,'GASB Match'!$A$2:$B$240,2,FALSE),"")</f>
        <v>1305310</v>
      </c>
    </row>
    <row r="2584" spans="1:8" x14ac:dyDescent="0.2">
      <c r="A2584">
        <v>1305310</v>
      </c>
      <c r="B2584" s="3">
        <v>2023</v>
      </c>
      <c r="C2584" t="s">
        <v>635</v>
      </c>
      <c r="D2584" t="s">
        <v>636</v>
      </c>
      <c r="E2584" t="s">
        <v>636</v>
      </c>
      <c r="F2584" s="4">
        <v>10133400</v>
      </c>
      <c r="G2584" s="4">
        <v>31184</v>
      </c>
      <c r="H2584">
        <f>IFERROR(VLOOKUP(E2584,'GASB Match'!$A$2:$B$240,2,FALSE),"")</f>
        <v>1305310</v>
      </c>
    </row>
    <row r="2585" spans="1:8" x14ac:dyDescent="0.2">
      <c r="A2585">
        <v>1305340</v>
      </c>
      <c r="B2585" s="3">
        <v>2015</v>
      </c>
      <c r="C2585" t="s">
        <v>637</v>
      </c>
      <c r="D2585" t="s">
        <v>638</v>
      </c>
      <c r="E2585" t="s">
        <v>638</v>
      </c>
      <c r="F2585" s="4">
        <v>1538972.95</v>
      </c>
      <c r="G2585" s="4">
        <v>1986.25</v>
      </c>
      <c r="H2585">
        <f>IFERROR(VLOOKUP(E2585,'GASB Match'!$A$2:$B$240,2,FALSE),"")</f>
        <v>1305340</v>
      </c>
    </row>
    <row r="2586" spans="1:8" x14ac:dyDescent="0.2">
      <c r="A2586">
        <v>1305340</v>
      </c>
      <c r="B2586" s="3">
        <v>2016</v>
      </c>
      <c r="C2586" t="s">
        <v>637</v>
      </c>
      <c r="D2586" t="s">
        <v>638</v>
      </c>
      <c r="E2586" t="s">
        <v>638</v>
      </c>
      <c r="F2586" s="4">
        <v>1729226.63</v>
      </c>
      <c r="G2586" s="4" t="s">
        <v>7</v>
      </c>
      <c r="H2586">
        <f>IFERROR(VLOOKUP(E2586,'GASB Match'!$A$2:$B$240,2,FALSE),"")</f>
        <v>1305340</v>
      </c>
    </row>
    <row r="2587" spans="1:8" x14ac:dyDescent="0.2">
      <c r="A2587">
        <v>1305340</v>
      </c>
      <c r="B2587" s="3">
        <v>2017</v>
      </c>
      <c r="C2587" t="s">
        <v>637</v>
      </c>
      <c r="D2587" t="s">
        <v>638</v>
      </c>
      <c r="E2587" t="s">
        <v>638</v>
      </c>
      <c r="F2587" s="4">
        <v>1786871</v>
      </c>
      <c r="G2587" s="4" t="s">
        <v>7</v>
      </c>
      <c r="H2587">
        <f>IFERROR(VLOOKUP(E2587,'GASB Match'!$A$2:$B$240,2,FALSE),"")</f>
        <v>1305340</v>
      </c>
    </row>
    <row r="2588" spans="1:8" x14ac:dyDescent="0.2">
      <c r="A2588">
        <v>1305340</v>
      </c>
      <c r="B2588" s="3">
        <v>2018</v>
      </c>
      <c r="C2588" t="s">
        <v>637</v>
      </c>
      <c r="D2588" t="s">
        <v>638</v>
      </c>
      <c r="E2588" t="s">
        <v>638</v>
      </c>
      <c r="F2588" s="4">
        <v>2115988</v>
      </c>
      <c r="G2588" s="4" t="s">
        <v>7</v>
      </c>
      <c r="H2588">
        <f>IFERROR(VLOOKUP(E2588,'GASB Match'!$A$2:$B$240,2,FALSE),"")</f>
        <v>1305340</v>
      </c>
    </row>
    <row r="2589" spans="1:8" x14ac:dyDescent="0.2">
      <c r="A2589">
        <v>1305340</v>
      </c>
      <c r="B2589" s="3">
        <v>2019</v>
      </c>
      <c r="C2589" t="s">
        <v>637</v>
      </c>
      <c r="D2589" t="s">
        <v>638</v>
      </c>
      <c r="E2589" t="s">
        <v>638</v>
      </c>
      <c r="F2589" s="4">
        <v>2657000</v>
      </c>
      <c r="G2589" s="4" t="s">
        <v>7</v>
      </c>
      <c r="H2589">
        <f>IFERROR(VLOOKUP(E2589,'GASB Match'!$A$2:$B$240,2,FALSE),"")</f>
        <v>1305340</v>
      </c>
    </row>
    <row r="2590" spans="1:8" x14ac:dyDescent="0.2">
      <c r="A2590">
        <v>1305340</v>
      </c>
      <c r="B2590" s="3">
        <v>2020</v>
      </c>
      <c r="C2590" t="s">
        <v>637</v>
      </c>
      <c r="D2590" t="s">
        <v>638</v>
      </c>
      <c r="E2590" t="s">
        <v>638</v>
      </c>
      <c r="F2590" s="4">
        <v>2831565</v>
      </c>
      <c r="G2590" s="4">
        <v>4566</v>
      </c>
      <c r="H2590">
        <f>IFERROR(VLOOKUP(E2590,'GASB Match'!$A$2:$B$240,2,FALSE),"")</f>
        <v>1305340</v>
      </c>
    </row>
    <row r="2591" spans="1:8" x14ac:dyDescent="0.2">
      <c r="A2591">
        <v>1305340</v>
      </c>
      <c r="B2591" s="3">
        <v>2021</v>
      </c>
      <c r="C2591" t="s">
        <v>637</v>
      </c>
      <c r="D2591" t="s">
        <v>638</v>
      </c>
      <c r="E2591" t="s">
        <v>638</v>
      </c>
      <c r="F2591" s="4">
        <v>2574373</v>
      </c>
      <c r="G2591" s="4" t="s">
        <v>7</v>
      </c>
      <c r="H2591">
        <f>IFERROR(VLOOKUP(E2591,'GASB Match'!$A$2:$B$240,2,FALSE),"")</f>
        <v>1305340</v>
      </c>
    </row>
    <row r="2592" spans="1:8" x14ac:dyDescent="0.2">
      <c r="A2592">
        <v>1305340</v>
      </c>
      <c r="B2592" s="3">
        <v>2022</v>
      </c>
      <c r="C2592" t="s">
        <v>637</v>
      </c>
      <c r="D2592" t="s">
        <v>638</v>
      </c>
      <c r="E2592" t="s">
        <v>638</v>
      </c>
      <c r="F2592" s="4">
        <v>2715721</v>
      </c>
      <c r="G2592" s="4" t="s">
        <v>7</v>
      </c>
      <c r="H2592">
        <f>IFERROR(VLOOKUP(E2592,'GASB Match'!$A$2:$B$240,2,FALSE),"")</f>
        <v>1305340</v>
      </c>
    </row>
    <row r="2593" spans="1:8" x14ac:dyDescent="0.2">
      <c r="A2593">
        <v>1305340</v>
      </c>
      <c r="B2593" s="3">
        <v>2023</v>
      </c>
      <c r="C2593" t="s">
        <v>637</v>
      </c>
      <c r="D2593" t="s">
        <v>638</v>
      </c>
      <c r="E2593" t="s">
        <v>638</v>
      </c>
      <c r="F2593" s="4">
        <v>2972542</v>
      </c>
      <c r="G2593" s="4" t="s">
        <v>7</v>
      </c>
      <c r="H2593">
        <f>IFERROR(VLOOKUP(E2593,'GASB Match'!$A$2:$B$240,2,FALSE),"")</f>
        <v>1305340</v>
      </c>
    </row>
    <row r="2594" spans="1:8" x14ac:dyDescent="0.2">
      <c r="A2594" t="s">
        <v>7</v>
      </c>
      <c r="B2594" s="3">
        <v>2015</v>
      </c>
      <c r="C2594" t="s">
        <v>639</v>
      </c>
      <c r="D2594" t="s">
        <v>641</v>
      </c>
      <c r="E2594" t="s">
        <v>640</v>
      </c>
      <c r="F2594" s="4">
        <v>54285.24</v>
      </c>
      <c r="G2594" s="4" t="s">
        <v>7</v>
      </c>
      <c r="H2594" t="str">
        <f>IFERROR(VLOOKUP(E2594,'GASB Match'!$A$2:$B$240,2,FALSE),"")</f>
        <v/>
      </c>
    </row>
    <row r="2595" spans="1:8" x14ac:dyDescent="0.2">
      <c r="A2595" t="s">
        <v>7</v>
      </c>
      <c r="B2595" s="3">
        <v>2016</v>
      </c>
      <c r="C2595" t="s">
        <v>639</v>
      </c>
      <c r="D2595" t="s">
        <v>641</v>
      </c>
      <c r="E2595" t="s">
        <v>640</v>
      </c>
      <c r="F2595" s="4">
        <v>69001.279999999999</v>
      </c>
      <c r="G2595" s="4" t="s">
        <v>7</v>
      </c>
      <c r="H2595" t="str">
        <f>IFERROR(VLOOKUP(E2595,'GASB Match'!$A$2:$B$240,2,FALSE),"")</f>
        <v/>
      </c>
    </row>
    <row r="2596" spans="1:8" x14ac:dyDescent="0.2">
      <c r="A2596" t="s">
        <v>7</v>
      </c>
      <c r="B2596" s="3">
        <v>2017</v>
      </c>
      <c r="C2596" t="s">
        <v>639</v>
      </c>
      <c r="D2596" t="s">
        <v>641</v>
      </c>
      <c r="E2596" t="s">
        <v>640</v>
      </c>
      <c r="F2596" s="4">
        <v>71831</v>
      </c>
      <c r="G2596" s="4" t="s">
        <v>7</v>
      </c>
      <c r="H2596" t="str">
        <f>IFERROR(VLOOKUP(E2596,'GASB Match'!$A$2:$B$240,2,FALSE),"")</f>
        <v/>
      </c>
    </row>
    <row r="2597" spans="1:8" x14ac:dyDescent="0.2">
      <c r="A2597" t="s">
        <v>7</v>
      </c>
      <c r="B2597" s="3">
        <v>2018</v>
      </c>
      <c r="C2597" t="s">
        <v>639</v>
      </c>
      <c r="D2597" t="s">
        <v>641</v>
      </c>
      <c r="E2597" t="s">
        <v>640</v>
      </c>
      <c r="F2597" s="4">
        <v>85898</v>
      </c>
      <c r="G2597" s="4" t="s">
        <v>7</v>
      </c>
      <c r="H2597" t="str">
        <f>IFERROR(VLOOKUP(E2597,'GASB Match'!$A$2:$B$240,2,FALSE),"")</f>
        <v/>
      </c>
    </row>
    <row r="2598" spans="1:8" x14ac:dyDescent="0.2">
      <c r="A2598" t="s">
        <v>7</v>
      </c>
      <c r="B2598" s="3">
        <v>2019</v>
      </c>
      <c r="C2598" t="s">
        <v>639</v>
      </c>
      <c r="D2598" t="s">
        <v>641</v>
      </c>
      <c r="E2598" t="s">
        <v>640</v>
      </c>
      <c r="F2598" s="4">
        <v>118607</v>
      </c>
      <c r="G2598" s="4" t="s">
        <v>7</v>
      </c>
      <c r="H2598" t="str">
        <f>IFERROR(VLOOKUP(E2598,'GASB Match'!$A$2:$B$240,2,FALSE),"")</f>
        <v/>
      </c>
    </row>
    <row r="2599" spans="1:8" x14ac:dyDescent="0.2">
      <c r="A2599" t="s">
        <v>7</v>
      </c>
      <c r="B2599" s="3">
        <v>2020</v>
      </c>
      <c r="C2599" t="s">
        <v>639</v>
      </c>
      <c r="D2599" t="s">
        <v>641</v>
      </c>
      <c r="E2599" t="s">
        <v>640</v>
      </c>
      <c r="F2599" s="4">
        <v>120358</v>
      </c>
      <c r="G2599" s="4" t="s">
        <v>7</v>
      </c>
      <c r="H2599" t="str">
        <f>IFERROR(VLOOKUP(E2599,'GASB Match'!$A$2:$B$240,2,FALSE),"")</f>
        <v/>
      </c>
    </row>
    <row r="2600" spans="1:8" x14ac:dyDescent="0.2">
      <c r="A2600" t="s">
        <v>7</v>
      </c>
      <c r="B2600" s="3">
        <v>2021</v>
      </c>
      <c r="C2600" t="s">
        <v>639</v>
      </c>
      <c r="D2600" t="s">
        <v>640</v>
      </c>
      <c r="E2600" t="s">
        <v>640</v>
      </c>
      <c r="F2600" s="4">
        <v>100537</v>
      </c>
      <c r="G2600" s="4" t="s">
        <v>7</v>
      </c>
      <c r="H2600" t="str">
        <f>IFERROR(VLOOKUP(E2600,'GASB Match'!$A$2:$B$240,2,FALSE),"")</f>
        <v/>
      </c>
    </row>
    <row r="2601" spans="1:8" x14ac:dyDescent="0.2">
      <c r="A2601" t="s">
        <v>7</v>
      </c>
      <c r="B2601" s="3">
        <v>2022</v>
      </c>
      <c r="C2601" t="s">
        <v>639</v>
      </c>
      <c r="D2601" t="s">
        <v>640</v>
      </c>
      <c r="E2601" t="s">
        <v>640</v>
      </c>
      <c r="F2601" s="4">
        <v>119073</v>
      </c>
      <c r="G2601" s="4" t="s">
        <v>7</v>
      </c>
      <c r="H2601" t="str">
        <f>IFERROR(VLOOKUP(E2601,'GASB Match'!$A$2:$B$240,2,FALSE),"")</f>
        <v/>
      </c>
    </row>
    <row r="2602" spans="1:8" x14ac:dyDescent="0.2">
      <c r="A2602" t="s">
        <v>7</v>
      </c>
      <c r="B2602" s="3">
        <v>2023</v>
      </c>
      <c r="C2602" t="s">
        <v>639</v>
      </c>
      <c r="D2602" t="s">
        <v>640</v>
      </c>
      <c r="E2602" t="s">
        <v>640</v>
      </c>
      <c r="F2602" s="4">
        <v>130501</v>
      </c>
      <c r="G2602" s="4" t="s">
        <v>7</v>
      </c>
      <c r="H2602" t="str">
        <f>IFERROR(VLOOKUP(E2602,'GASB Match'!$A$2:$B$240,2,FALSE),"")</f>
        <v/>
      </c>
    </row>
    <row r="2603" spans="1:8" x14ac:dyDescent="0.2">
      <c r="A2603" t="s">
        <v>7</v>
      </c>
      <c r="B2603" s="3">
        <v>2015</v>
      </c>
      <c r="C2603" t="s">
        <v>642</v>
      </c>
      <c r="D2603" t="s">
        <v>644</v>
      </c>
      <c r="E2603" t="s">
        <v>643</v>
      </c>
      <c r="F2603" s="4">
        <v>692189.89</v>
      </c>
      <c r="G2603" s="4" t="s">
        <v>7</v>
      </c>
      <c r="H2603" t="str">
        <f>IFERROR(VLOOKUP(E2603,'GASB Match'!$A$2:$B$240,2,FALSE),"")</f>
        <v/>
      </c>
    </row>
    <row r="2604" spans="1:8" x14ac:dyDescent="0.2">
      <c r="A2604" t="s">
        <v>7</v>
      </c>
      <c r="B2604" s="3">
        <v>2016</v>
      </c>
      <c r="C2604" t="s">
        <v>642</v>
      </c>
      <c r="D2604" t="s">
        <v>644</v>
      </c>
      <c r="E2604" t="s">
        <v>643</v>
      </c>
      <c r="F2604" s="4">
        <v>698618.78</v>
      </c>
      <c r="G2604" s="4" t="s">
        <v>7</v>
      </c>
      <c r="H2604" t="str">
        <f>IFERROR(VLOOKUP(E2604,'GASB Match'!$A$2:$B$240,2,FALSE),"")</f>
        <v/>
      </c>
    </row>
    <row r="2605" spans="1:8" x14ac:dyDescent="0.2">
      <c r="A2605" t="s">
        <v>7</v>
      </c>
      <c r="B2605" s="3">
        <v>2017</v>
      </c>
      <c r="C2605" t="s">
        <v>642</v>
      </c>
      <c r="D2605" t="s">
        <v>645</v>
      </c>
      <c r="E2605" t="s">
        <v>643</v>
      </c>
      <c r="F2605" s="4">
        <v>736729</v>
      </c>
      <c r="G2605" s="4" t="s">
        <v>7</v>
      </c>
      <c r="H2605" t="str">
        <f>IFERROR(VLOOKUP(E2605,'GASB Match'!$A$2:$B$240,2,FALSE),"")</f>
        <v/>
      </c>
    </row>
    <row r="2606" spans="1:8" x14ac:dyDescent="0.2">
      <c r="A2606" t="s">
        <v>7</v>
      </c>
      <c r="B2606" s="3">
        <v>2018</v>
      </c>
      <c r="C2606" t="s">
        <v>642</v>
      </c>
      <c r="D2606" t="s">
        <v>644</v>
      </c>
      <c r="E2606" t="s">
        <v>643</v>
      </c>
      <c r="F2606" s="4">
        <v>916213</v>
      </c>
      <c r="G2606" s="4" t="s">
        <v>7</v>
      </c>
      <c r="H2606" t="str">
        <f>IFERROR(VLOOKUP(E2606,'GASB Match'!$A$2:$B$240,2,FALSE),"")</f>
        <v/>
      </c>
    </row>
    <row r="2607" spans="1:8" x14ac:dyDescent="0.2">
      <c r="A2607" t="s">
        <v>7</v>
      </c>
      <c r="B2607" s="3">
        <v>2019</v>
      </c>
      <c r="C2607" t="s">
        <v>642</v>
      </c>
      <c r="D2607" t="s">
        <v>644</v>
      </c>
      <c r="E2607" t="s">
        <v>643</v>
      </c>
      <c r="F2607" s="4">
        <v>1146904</v>
      </c>
      <c r="G2607" s="4" t="s">
        <v>7</v>
      </c>
      <c r="H2607" t="str">
        <f>IFERROR(VLOOKUP(E2607,'GASB Match'!$A$2:$B$240,2,FALSE),"")</f>
        <v/>
      </c>
    </row>
    <row r="2608" spans="1:8" x14ac:dyDescent="0.2">
      <c r="A2608" t="s">
        <v>7</v>
      </c>
      <c r="B2608" s="3">
        <v>2020</v>
      </c>
      <c r="C2608" t="s">
        <v>642</v>
      </c>
      <c r="D2608" t="s">
        <v>644</v>
      </c>
      <c r="E2608" t="s">
        <v>643</v>
      </c>
      <c r="F2608" s="4">
        <v>1166371</v>
      </c>
      <c r="G2608" s="4" t="s">
        <v>7</v>
      </c>
      <c r="H2608" t="str">
        <f>IFERROR(VLOOKUP(E2608,'GASB Match'!$A$2:$B$240,2,FALSE),"")</f>
        <v/>
      </c>
    </row>
    <row r="2609" spans="1:8" x14ac:dyDescent="0.2">
      <c r="A2609" t="s">
        <v>7</v>
      </c>
      <c r="B2609" s="3">
        <v>2021</v>
      </c>
      <c r="C2609" t="s">
        <v>642</v>
      </c>
      <c r="D2609" t="s">
        <v>645</v>
      </c>
      <c r="E2609" t="s">
        <v>643</v>
      </c>
      <c r="F2609" s="4">
        <v>990785</v>
      </c>
      <c r="G2609" s="4" t="s">
        <v>7</v>
      </c>
      <c r="H2609" t="str">
        <f>IFERROR(VLOOKUP(E2609,'GASB Match'!$A$2:$B$240,2,FALSE),"")</f>
        <v/>
      </c>
    </row>
    <row r="2610" spans="1:8" x14ac:dyDescent="0.2">
      <c r="A2610" t="s">
        <v>7</v>
      </c>
      <c r="B2610" s="3">
        <v>2022</v>
      </c>
      <c r="C2610" t="s">
        <v>642</v>
      </c>
      <c r="D2610" t="s">
        <v>643</v>
      </c>
      <c r="E2610" t="s">
        <v>643</v>
      </c>
      <c r="F2610" s="4">
        <v>1057847</v>
      </c>
      <c r="G2610" s="4" t="s">
        <v>7</v>
      </c>
      <c r="H2610" t="str">
        <f>IFERROR(VLOOKUP(E2610,'GASB Match'!$A$2:$B$240,2,FALSE),"")</f>
        <v/>
      </c>
    </row>
    <row r="2611" spans="1:8" x14ac:dyDescent="0.2">
      <c r="A2611" t="s">
        <v>7</v>
      </c>
      <c r="B2611" s="3">
        <v>2023</v>
      </c>
      <c r="C2611" t="s">
        <v>642</v>
      </c>
      <c r="D2611" t="s">
        <v>643</v>
      </c>
      <c r="E2611" t="s">
        <v>643</v>
      </c>
      <c r="F2611" s="4">
        <v>1080550</v>
      </c>
      <c r="G2611" s="4" t="s">
        <v>7</v>
      </c>
      <c r="H2611" t="str">
        <f>IFERROR(VLOOKUP(E2611,'GASB Match'!$A$2:$B$240,2,FALSE),"")</f>
        <v/>
      </c>
    </row>
    <row r="2612" spans="1:8" x14ac:dyDescent="0.2">
      <c r="A2612" t="s">
        <v>7</v>
      </c>
      <c r="B2612" s="3">
        <v>2015</v>
      </c>
      <c r="C2612" t="s">
        <v>646</v>
      </c>
      <c r="D2612" t="s">
        <v>647</v>
      </c>
      <c r="E2612" t="s">
        <v>647</v>
      </c>
      <c r="F2612" s="4">
        <v>890839.52</v>
      </c>
      <c r="G2612" s="4" t="s">
        <v>7</v>
      </c>
      <c r="H2612" t="str">
        <f>IFERROR(VLOOKUP(E2612,'GASB Match'!$A$2:$B$240,2,FALSE),"")</f>
        <v/>
      </c>
    </row>
    <row r="2613" spans="1:8" x14ac:dyDescent="0.2">
      <c r="A2613" t="s">
        <v>7</v>
      </c>
      <c r="B2613" s="3">
        <v>2016</v>
      </c>
      <c r="C2613" t="s">
        <v>646</v>
      </c>
      <c r="D2613" t="s">
        <v>647</v>
      </c>
      <c r="E2613" t="s">
        <v>647</v>
      </c>
      <c r="F2613" s="4">
        <v>908041.39</v>
      </c>
      <c r="G2613" s="4" t="s">
        <v>7</v>
      </c>
      <c r="H2613" t="str">
        <f>IFERROR(VLOOKUP(E2613,'GASB Match'!$A$2:$B$240,2,FALSE),"")</f>
        <v/>
      </c>
    </row>
    <row r="2614" spans="1:8" x14ac:dyDescent="0.2">
      <c r="A2614" t="s">
        <v>7</v>
      </c>
      <c r="B2614" s="3">
        <v>2017</v>
      </c>
      <c r="C2614" t="s">
        <v>646</v>
      </c>
      <c r="D2614" t="s">
        <v>647</v>
      </c>
      <c r="E2614" t="s">
        <v>647</v>
      </c>
      <c r="F2614" s="4">
        <v>909022</v>
      </c>
      <c r="G2614" s="4" t="s">
        <v>7</v>
      </c>
      <c r="H2614" t="str">
        <f>IFERROR(VLOOKUP(E2614,'GASB Match'!$A$2:$B$240,2,FALSE),"")</f>
        <v/>
      </c>
    </row>
    <row r="2615" spans="1:8" x14ac:dyDescent="0.2">
      <c r="A2615" t="s">
        <v>7</v>
      </c>
      <c r="B2615" s="3">
        <v>2018</v>
      </c>
      <c r="C2615" t="s">
        <v>646</v>
      </c>
      <c r="D2615" t="s">
        <v>647</v>
      </c>
      <c r="E2615" t="s">
        <v>647</v>
      </c>
      <c r="F2615" s="4">
        <v>1059192</v>
      </c>
      <c r="G2615" s="4" t="s">
        <v>7</v>
      </c>
      <c r="H2615" t="str">
        <f>IFERROR(VLOOKUP(E2615,'GASB Match'!$A$2:$B$240,2,FALSE),"")</f>
        <v/>
      </c>
    </row>
    <row r="2616" spans="1:8" x14ac:dyDescent="0.2">
      <c r="A2616" t="s">
        <v>7</v>
      </c>
      <c r="B2616" s="3">
        <v>2019</v>
      </c>
      <c r="C2616" t="s">
        <v>646</v>
      </c>
      <c r="D2616" t="s">
        <v>647</v>
      </c>
      <c r="E2616" t="s">
        <v>647</v>
      </c>
      <c r="F2616" s="4">
        <v>1281803</v>
      </c>
      <c r="G2616" s="4" t="s">
        <v>7</v>
      </c>
      <c r="H2616" t="str">
        <f>IFERROR(VLOOKUP(E2616,'GASB Match'!$A$2:$B$240,2,FALSE),"")</f>
        <v/>
      </c>
    </row>
    <row r="2617" spans="1:8" x14ac:dyDescent="0.2">
      <c r="A2617" t="s">
        <v>7</v>
      </c>
      <c r="B2617" s="3">
        <v>2020</v>
      </c>
      <c r="C2617" t="s">
        <v>646</v>
      </c>
      <c r="D2617" t="s">
        <v>647</v>
      </c>
      <c r="E2617" t="s">
        <v>647</v>
      </c>
      <c r="F2617" s="4">
        <v>1305187</v>
      </c>
      <c r="G2617" s="4" t="s">
        <v>7</v>
      </c>
      <c r="H2617" t="str">
        <f>IFERROR(VLOOKUP(E2617,'GASB Match'!$A$2:$B$240,2,FALSE),"")</f>
        <v/>
      </c>
    </row>
    <row r="2618" spans="1:8" x14ac:dyDescent="0.2">
      <c r="A2618" t="s">
        <v>7</v>
      </c>
      <c r="B2618" s="3">
        <v>2021</v>
      </c>
      <c r="C2618" t="s">
        <v>646</v>
      </c>
      <c r="D2618" t="s">
        <v>647</v>
      </c>
      <c r="E2618" t="s">
        <v>647</v>
      </c>
      <c r="F2618" s="4">
        <v>1213591</v>
      </c>
      <c r="G2618" s="4" t="s">
        <v>7</v>
      </c>
      <c r="H2618" t="str">
        <f>IFERROR(VLOOKUP(E2618,'GASB Match'!$A$2:$B$240,2,FALSE),"")</f>
        <v/>
      </c>
    </row>
    <row r="2619" spans="1:8" x14ac:dyDescent="0.2">
      <c r="A2619" t="s">
        <v>7</v>
      </c>
      <c r="B2619" s="3">
        <v>2022</v>
      </c>
      <c r="C2619" t="s">
        <v>646</v>
      </c>
      <c r="D2619" t="s">
        <v>647</v>
      </c>
      <c r="E2619" t="s">
        <v>647</v>
      </c>
      <c r="F2619" s="4">
        <v>1218345</v>
      </c>
      <c r="G2619" s="4" t="s">
        <v>7</v>
      </c>
      <c r="H2619" t="str">
        <f>IFERROR(VLOOKUP(E2619,'GASB Match'!$A$2:$B$240,2,FALSE),"")</f>
        <v/>
      </c>
    </row>
    <row r="2620" spans="1:8" x14ac:dyDescent="0.2">
      <c r="A2620" t="s">
        <v>7</v>
      </c>
      <c r="B2620" s="3">
        <v>2023</v>
      </c>
      <c r="C2620" t="s">
        <v>646</v>
      </c>
      <c r="D2620" t="s">
        <v>647</v>
      </c>
      <c r="E2620" t="s">
        <v>647</v>
      </c>
      <c r="F2620" s="4">
        <v>1276721</v>
      </c>
      <c r="G2620" s="4" t="s">
        <v>7</v>
      </c>
      <c r="H2620" t="str">
        <f>IFERROR(VLOOKUP(E2620,'GASB Match'!$A$2:$B$240,2,FALSE),"")</f>
        <v/>
      </c>
    </row>
    <row r="2621" spans="1:8" x14ac:dyDescent="0.2">
      <c r="A2621" t="s">
        <v>7</v>
      </c>
      <c r="B2621" s="3">
        <v>2015</v>
      </c>
      <c r="C2621" t="s">
        <v>648</v>
      </c>
      <c r="D2621" t="s">
        <v>650</v>
      </c>
      <c r="E2621" t="s">
        <v>649</v>
      </c>
      <c r="F2621" s="4">
        <v>720431.1</v>
      </c>
      <c r="G2621" s="4" t="s">
        <v>7</v>
      </c>
      <c r="H2621" t="str">
        <f>IFERROR(VLOOKUP(E2621,'GASB Match'!$A$2:$B$240,2,FALSE),"")</f>
        <v/>
      </c>
    </row>
    <row r="2622" spans="1:8" x14ac:dyDescent="0.2">
      <c r="A2622" t="s">
        <v>7</v>
      </c>
      <c r="B2622" s="3">
        <v>2016</v>
      </c>
      <c r="C2622" t="s">
        <v>648</v>
      </c>
      <c r="D2622" t="s">
        <v>650</v>
      </c>
      <c r="E2622" t="s">
        <v>649</v>
      </c>
      <c r="F2622" s="4">
        <v>788805.38</v>
      </c>
      <c r="G2622" s="4" t="s">
        <v>7</v>
      </c>
      <c r="H2622" t="str">
        <f>IFERROR(VLOOKUP(E2622,'GASB Match'!$A$2:$B$240,2,FALSE),"")</f>
        <v/>
      </c>
    </row>
    <row r="2623" spans="1:8" x14ac:dyDescent="0.2">
      <c r="A2623" t="s">
        <v>7</v>
      </c>
      <c r="B2623" s="3">
        <v>2017</v>
      </c>
      <c r="C2623" t="s">
        <v>648</v>
      </c>
      <c r="D2623" t="s">
        <v>650</v>
      </c>
      <c r="E2623" t="s">
        <v>649</v>
      </c>
      <c r="F2623" s="4">
        <v>790636</v>
      </c>
      <c r="G2623" s="4" t="s">
        <v>7</v>
      </c>
      <c r="H2623" t="str">
        <f>IFERROR(VLOOKUP(E2623,'GASB Match'!$A$2:$B$240,2,FALSE),"")</f>
        <v/>
      </c>
    </row>
    <row r="2624" spans="1:8" x14ac:dyDescent="0.2">
      <c r="A2624" t="s">
        <v>7</v>
      </c>
      <c r="B2624" s="3">
        <v>2018</v>
      </c>
      <c r="C2624" t="s">
        <v>648</v>
      </c>
      <c r="D2624" t="s">
        <v>650</v>
      </c>
      <c r="E2624" t="s">
        <v>649</v>
      </c>
      <c r="F2624" s="4">
        <v>983119</v>
      </c>
      <c r="G2624" s="4" t="s">
        <v>7</v>
      </c>
      <c r="H2624" t="str">
        <f>IFERROR(VLOOKUP(E2624,'GASB Match'!$A$2:$B$240,2,FALSE),"")</f>
        <v/>
      </c>
    </row>
    <row r="2625" spans="1:8" x14ac:dyDescent="0.2">
      <c r="A2625" t="s">
        <v>7</v>
      </c>
      <c r="B2625" s="3">
        <v>2019</v>
      </c>
      <c r="C2625" t="s">
        <v>648</v>
      </c>
      <c r="D2625" t="s">
        <v>650</v>
      </c>
      <c r="E2625" t="s">
        <v>649</v>
      </c>
      <c r="F2625" s="4">
        <v>1124397</v>
      </c>
      <c r="G2625" s="4" t="s">
        <v>7</v>
      </c>
      <c r="H2625" t="str">
        <f>IFERROR(VLOOKUP(E2625,'GASB Match'!$A$2:$B$240,2,FALSE),"")</f>
        <v/>
      </c>
    </row>
    <row r="2626" spans="1:8" x14ac:dyDescent="0.2">
      <c r="A2626" t="s">
        <v>7</v>
      </c>
      <c r="B2626" s="3">
        <v>2020</v>
      </c>
      <c r="C2626" t="s">
        <v>648</v>
      </c>
      <c r="D2626" t="s">
        <v>650</v>
      </c>
      <c r="E2626" t="s">
        <v>649</v>
      </c>
      <c r="F2626" s="4">
        <v>1127472</v>
      </c>
      <c r="G2626" s="4" t="s">
        <v>7</v>
      </c>
      <c r="H2626" t="str">
        <f>IFERROR(VLOOKUP(E2626,'GASB Match'!$A$2:$B$240,2,FALSE),"")</f>
        <v/>
      </c>
    </row>
    <row r="2627" spans="1:8" x14ac:dyDescent="0.2">
      <c r="A2627" t="s">
        <v>7</v>
      </c>
      <c r="B2627" s="3">
        <v>2021</v>
      </c>
      <c r="C2627" t="s">
        <v>648</v>
      </c>
      <c r="D2627" t="s">
        <v>651</v>
      </c>
      <c r="E2627" t="s">
        <v>649</v>
      </c>
      <c r="F2627" s="4">
        <v>950700</v>
      </c>
      <c r="G2627" s="4" t="s">
        <v>7</v>
      </c>
      <c r="H2627" t="str">
        <f>IFERROR(VLOOKUP(E2627,'GASB Match'!$A$2:$B$240,2,FALSE),"")</f>
        <v/>
      </c>
    </row>
    <row r="2628" spans="1:8" x14ac:dyDescent="0.2">
      <c r="A2628" t="s">
        <v>7</v>
      </c>
      <c r="B2628" s="3">
        <v>2022</v>
      </c>
      <c r="C2628" t="s">
        <v>648</v>
      </c>
      <c r="D2628" t="s">
        <v>649</v>
      </c>
      <c r="E2628" t="s">
        <v>649</v>
      </c>
      <c r="F2628" s="4">
        <v>979729</v>
      </c>
      <c r="G2628" s="4" t="s">
        <v>7</v>
      </c>
      <c r="H2628" t="str">
        <f>IFERROR(VLOOKUP(E2628,'GASB Match'!$A$2:$B$240,2,FALSE),"")</f>
        <v/>
      </c>
    </row>
    <row r="2629" spans="1:8" x14ac:dyDescent="0.2">
      <c r="A2629" t="s">
        <v>7</v>
      </c>
      <c r="B2629" s="3">
        <v>2023</v>
      </c>
      <c r="C2629" t="s">
        <v>648</v>
      </c>
      <c r="D2629" t="s">
        <v>649</v>
      </c>
      <c r="E2629" t="s">
        <v>649</v>
      </c>
      <c r="F2629" s="4">
        <v>977141</v>
      </c>
      <c r="G2629" s="4" t="s">
        <v>7</v>
      </c>
      <c r="H2629" t="str">
        <f>IFERROR(VLOOKUP(E2629,'GASB Match'!$A$2:$B$240,2,FALSE),"")</f>
        <v/>
      </c>
    </row>
    <row r="2630" spans="1:8" x14ac:dyDescent="0.2">
      <c r="A2630" t="s">
        <v>7</v>
      </c>
      <c r="B2630" s="3">
        <v>2015</v>
      </c>
      <c r="C2630" t="s">
        <v>652</v>
      </c>
      <c r="D2630" t="s">
        <v>654</v>
      </c>
      <c r="E2630" t="s">
        <v>653</v>
      </c>
      <c r="F2630" s="4">
        <v>1371774.25</v>
      </c>
      <c r="G2630" s="4" t="s">
        <v>7</v>
      </c>
      <c r="H2630" t="str">
        <f>IFERROR(VLOOKUP(E2630,'GASB Match'!$A$2:$B$240,2,FALSE),"")</f>
        <v/>
      </c>
    </row>
    <row r="2631" spans="1:8" x14ac:dyDescent="0.2">
      <c r="A2631" t="s">
        <v>7</v>
      </c>
      <c r="B2631" s="3">
        <v>2016</v>
      </c>
      <c r="C2631" t="s">
        <v>652</v>
      </c>
      <c r="D2631" t="s">
        <v>654</v>
      </c>
      <c r="E2631" t="s">
        <v>653</v>
      </c>
      <c r="F2631" s="4">
        <v>1375713.21</v>
      </c>
      <c r="G2631" s="4" t="s">
        <v>7</v>
      </c>
      <c r="H2631" t="str">
        <f>IFERROR(VLOOKUP(E2631,'GASB Match'!$A$2:$B$240,2,FALSE),"")</f>
        <v/>
      </c>
    </row>
    <row r="2632" spans="1:8" x14ac:dyDescent="0.2">
      <c r="A2632" t="s">
        <v>7</v>
      </c>
      <c r="B2632" s="3">
        <v>2017</v>
      </c>
      <c r="C2632" t="s">
        <v>652</v>
      </c>
      <c r="D2632" t="s">
        <v>654</v>
      </c>
      <c r="E2632" t="s">
        <v>653</v>
      </c>
      <c r="F2632" s="4">
        <v>1318214</v>
      </c>
      <c r="G2632" s="4" t="s">
        <v>7</v>
      </c>
      <c r="H2632" t="str">
        <f>IFERROR(VLOOKUP(E2632,'GASB Match'!$A$2:$B$240,2,FALSE),"")</f>
        <v/>
      </c>
    </row>
    <row r="2633" spans="1:8" x14ac:dyDescent="0.2">
      <c r="A2633" t="s">
        <v>7</v>
      </c>
      <c r="B2633" s="3">
        <v>2018</v>
      </c>
      <c r="C2633" t="s">
        <v>652</v>
      </c>
      <c r="D2633" t="s">
        <v>654</v>
      </c>
      <c r="E2633" t="s">
        <v>653</v>
      </c>
      <c r="F2633" s="4">
        <v>1518138</v>
      </c>
      <c r="G2633" s="4" t="s">
        <v>7</v>
      </c>
      <c r="H2633" t="str">
        <f>IFERROR(VLOOKUP(E2633,'GASB Match'!$A$2:$B$240,2,FALSE),"")</f>
        <v/>
      </c>
    </row>
    <row r="2634" spans="1:8" x14ac:dyDescent="0.2">
      <c r="A2634" t="s">
        <v>7</v>
      </c>
      <c r="B2634" s="3">
        <v>2019</v>
      </c>
      <c r="C2634" t="s">
        <v>652</v>
      </c>
      <c r="D2634" t="s">
        <v>654</v>
      </c>
      <c r="E2634" t="s">
        <v>653</v>
      </c>
      <c r="F2634" s="4">
        <v>1858267</v>
      </c>
      <c r="G2634" s="4" t="s">
        <v>7</v>
      </c>
      <c r="H2634" t="str">
        <f>IFERROR(VLOOKUP(E2634,'GASB Match'!$A$2:$B$240,2,FALSE),"")</f>
        <v/>
      </c>
    </row>
    <row r="2635" spans="1:8" x14ac:dyDescent="0.2">
      <c r="A2635" t="s">
        <v>7</v>
      </c>
      <c r="B2635" s="3">
        <v>2020</v>
      </c>
      <c r="C2635" t="s">
        <v>652</v>
      </c>
      <c r="D2635" t="s">
        <v>654</v>
      </c>
      <c r="E2635" t="s">
        <v>653</v>
      </c>
      <c r="F2635" s="4">
        <v>1971277</v>
      </c>
      <c r="G2635" s="4" t="s">
        <v>7</v>
      </c>
      <c r="H2635" t="str">
        <f>IFERROR(VLOOKUP(E2635,'GASB Match'!$A$2:$B$240,2,FALSE),"")</f>
        <v/>
      </c>
    </row>
    <row r="2636" spans="1:8" x14ac:dyDescent="0.2">
      <c r="A2636" t="s">
        <v>7</v>
      </c>
      <c r="B2636" s="3">
        <v>2021</v>
      </c>
      <c r="C2636" t="s">
        <v>652</v>
      </c>
      <c r="D2636" t="s">
        <v>655</v>
      </c>
      <c r="E2636" t="s">
        <v>653</v>
      </c>
      <c r="F2636" s="4">
        <v>1660385</v>
      </c>
      <c r="G2636" s="4" t="s">
        <v>7</v>
      </c>
      <c r="H2636" t="str">
        <f>IFERROR(VLOOKUP(E2636,'GASB Match'!$A$2:$B$240,2,FALSE),"")</f>
        <v/>
      </c>
    </row>
    <row r="2637" spans="1:8" x14ac:dyDescent="0.2">
      <c r="A2637" t="s">
        <v>7</v>
      </c>
      <c r="B2637" s="3">
        <v>2022</v>
      </c>
      <c r="C2637" t="s">
        <v>652</v>
      </c>
      <c r="D2637" t="s">
        <v>653</v>
      </c>
      <c r="E2637" t="s">
        <v>653</v>
      </c>
      <c r="F2637" s="4">
        <v>1765717</v>
      </c>
      <c r="G2637" s="4" t="s">
        <v>7</v>
      </c>
      <c r="H2637" t="str">
        <f>IFERROR(VLOOKUP(E2637,'GASB Match'!$A$2:$B$240,2,FALSE),"")</f>
        <v/>
      </c>
    </row>
    <row r="2638" spans="1:8" x14ac:dyDescent="0.2">
      <c r="A2638" t="s">
        <v>7</v>
      </c>
      <c r="B2638" s="3">
        <v>2023</v>
      </c>
      <c r="C2638" t="s">
        <v>652</v>
      </c>
      <c r="D2638" t="s">
        <v>653</v>
      </c>
      <c r="E2638" t="s">
        <v>653</v>
      </c>
      <c r="F2638" s="4">
        <v>1838107</v>
      </c>
      <c r="G2638" s="4" t="s">
        <v>7</v>
      </c>
      <c r="H2638" t="str">
        <f>IFERROR(VLOOKUP(E2638,'GASB Match'!$A$2:$B$240,2,FALSE),"")</f>
        <v/>
      </c>
    </row>
    <row r="2639" spans="1:8" x14ac:dyDescent="0.2">
      <c r="A2639" t="s">
        <v>7</v>
      </c>
      <c r="B2639" s="3">
        <v>2015</v>
      </c>
      <c r="C2639" t="s">
        <v>656</v>
      </c>
      <c r="D2639" t="s">
        <v>658</v>
      </c>
      <c r="E2639" t="s">
        <v>657</v>
      </c>
      <c r="F2639" s="4">
        <v>789123.27</v>
      </c>
      <c r="G2639" s="4" t="s">
        <v>7</v>
      </c>
      <c r="H2639" t="str">
        <f>IFERROR(VLOOKUP(E2639,'GASB Match'!$A$2:$B$240,2,FALSE),"")</f>
        <v/>
      </c>
    </row>
    <row r="2640" spans="1:8" x14ac:dyDescent="0.2">
      <c r="A2640" t="s">
        <v>7</v>
      </c>
      <c r="B2640" s="3">
        <v>2016</v>
      </c>
      <c r="C2640" t="s">
        <v>656</v>
      </c>
      <c r="D2640" t="s">
        <v>658</v>
      </c>
      <c r="E2640" t="s">
        <v>657</v>
      </c>
      <c r="F2640" s="4">
        <v>814401.13</v>
      </c>
      <c r="G2640" s="4" t="s">
        <v>7</v>
      </c>
      <c r="H2640" t="str">
        <f>IFERROR(VLOOKUP(E2640,'GASB Match'!$A$2:$B$240,2,FALSE),"")</f>
        <v/>
      </c>
    </row>
    <row r="2641" spans="1:8" x14ac:dyDescent="0.2">
      <c r="A2641" t="s">
        <v>7</v>
      </c>
      <c r="B2641" s="3">
        <v>2017</v>
      </c>
      <c r="C2641" t="s">
        <v>656</v>
      </c>
      <c r="D2641" t="s">
        <v>658</v>
      </c>
      <c r="E2641" t="s">
        <v>657</v>
      </c>
      <c r="F2641" s="4">
        <v>836164</v>
      </c>
      <c r="G2641" s="4" t="s">
        <v>7</v>
      </c>
      <c r="H2641" t="str">
        <f>IFERROR(VLOOKUP(E2641,'GASB Match'!$A$2:$B$240,2,FALSE),"")</f>
        <v/>
      </c>
    </row>
    <row r="2642" spans="1:8" x14ac:dyDescent="0.2">
      <c r="A2642" t="s">
        <v>7</v>
      </c>
      <c r="B2642" s="3">
        <v>2018</v>
      </c>
      <c r="C2642" t="s">
        <v>656</v>
      </c>
      <c r="D2642" t="s">
        <v>658</v>
      </c>
      <c r="E2642" t="s">
        <v>657</v>
      </c>
      <c r="F2642" s="4">
        <v>880922</v>
      </c>
      <c r="G2642" s="4" t="s">
        <v>7</v>
      </c>
      <c r="H2642" t="str">
        <f>IFERROR(VLOOKUP(E2642,'GASB Match'!$A$2:$B$240,2,FALSE),"")</f>
        <v/>
      </c>
    </row>
    <row r="2643" spans="1:8" x14ac:dyDescent="0.2">
      <c r="A2643" t="s">
        <v>7</v>
      </c>
      <c r="B2643" s="3">
        <v>2019</v>
      </c>
      <c r="C2643" t="s">
        <v>656</v>
      </c>
      <c r="D2643" t="s">
        <v>658</v>
      </c>
      <c r="E2643" t="s">
        <v>657</v>
      </c>
      <c r="F2643" s="4">
        <v>1047159</v>
      </c>
      <c r="G2643" s="4" t="s">
        <v>7</v>
      </c>
      <c r="H2643" t="str">
        <f>IFERROR(VLOOKUP(E2643,'GASB Match'!$A$2:$B$240,2,FALSE),"")</f>
        <v/>
      </c>
    </row>
    <row r="2644" spans="1:8" x14ac:dyDescent="0.2">
      <c r="A2644" t="s">
        <v>7</v>
      </c>
      <c r="B2644" s="3">
        <v>2020</v>
      </c>
      <c r="C2644" t="s">
        <v>656</v>
      </c>
      <c r="D2644" t="s">
        <v>658</v>
      </c>
      <c r="E2644" t="s">
        <v>657</v>
      </c>
      <c r="F2644" s="4">
        <v>983108</v>
      </c>
      <c r="G2644" s="4" t="s">
        <v>7</v>
      </c>
      <c r="H2644" t="str">
        <f>IFERROR(VLOOKUP(E2644,'GASB Match'!$A$2:$B$240,2,FALSE),"")</f>
        <v/>
      </c>
    </row>
    <row r="2645" spans="1:8" x14ac:dyDescent="0.2">
      <c r="A2645" t="s">
        <v>7</v>
      </c>
      <c r="B2645" s="3">
        <v>2021</v>
      </c>
      <c r="C2645" t="s">
        <v>656</v>
      </c>
      <c r="D2645" t="s">
        <v>659</v>
      </c>
      <c r="E2645" t="s">
        <v>657</v>
      </c>
      <c r="F2645" s="4">
        <v>891307</v>
      </c>
      <c r="G2645" s="4" t="s">
        <v>7</v>
      </c>
      <c r="H2645" t="str">
        <f>IFERROR(VLOOKUP(E2645,'GASB Match'!$A$2:$B$240,2,FALSE),"")</f>
        <v/>
      </c>
    </row>
    <row r="2646" spans="1:8" x14ac:dyDescent="0.2">
      <c r="A2646" t="s">
        <v>7</v>
      </c>
      <c r="B2646" s="3">
        <v>2022</v>
      </c>
      <c r="C2646" t="s">
        <v>656</v>
      </c>
      <c r="D2646" t="s">
        <v>657</v>
      </c>
      <c r="E2646" t="s">
        <v>657</v>
      </c>
      <c r="F2646" s="4">
        <v>839678</v>
      </c>
      <c r="G2646" s="4" t="s">
        <v>7</v>
      </c>
      <c r="H2646" t="str">
        <f>IFERROR(VLOOKUP(E2646,'GASB Match'!$A$2:$B$240,2,FALSE),"")</f>
        <v/>
      </c>
    </row>
    <row r="2647" spans="1:8" x14ac:dyDescent="0.2">
      <c r="A2647" t="s">
        <v>7</v>
      </c>
      <c r="B2647" s="3">
        <v>2023</v>
      </c>
      <c r="C2647" t="s">
        <v>656</v>
      </c>
      <c r="D2647" t="s">
        <v>657</v>
      </c>
      <c r="E2647" t="s">
        <v>657</v>
      </c>
      <c r="F2647" s="4">
        <v>942608</v>
      </c>
      <c r="G2647" s="4" t="s">
        <v>7</v>
      </c>
      <c r="H2647" t="str">
        <f>IFERROR(VLOOKUP(E2647,'GASB Match'!$A$2:$B$240,2,FALSE),"")</f>
        <v/>
      </c>
    </row>
    <row r="2648" spans="1:8" x14ac:dyDescent="0.2">
      <c r="A2648" t="s">
        <v>7</v>
      </c>
      <c r="B2648" s="3">
        <v>2015</v>
      </c>
      <c r="C2648" t="s">
        <v>660</v>
      </c>
      <c r="D2648" t="s">
        <v>662</v>
      </c>
      <c r="E2648" t="s">
        <v>661</v>
      </c>
      <c r="F2648" s="4">
        <v>908851.51</v>
      </c>
      <c r="G2648" s="4" t="s">
        <v>7</v>
      </c>
      <c r="H2648" t="str">
        <f>IFERROR(VLOOKUP(E2648,'GASB Match'!$A$2:$B$240,2,FALSE),"")</f>
        <v/>
      </c>
    </row>
    <row r="2649" spans="1:8" x14ac:dyDescent="0.2">
      <c r="A2649" t="s">
        <v>7</v>
      </c>
      <c r="B2649" s="3">
        <v>2016</v>
      </c>
      <c r="C2649" t="s">
        <v>660</v>
      </c>
      <c r="D2649" t="s">
        <v>662</v>
      </c>
      <c r="E2649" t="s">
        <v>661</v>
      </c>
      <c r="F2649" s="4">
        <v>956277.37</v>
      </c>
      <c r="G2649" s="4" t="s">
        <v>7</v>
      </c>
      <c r="H2649" t="str">
        <f>IFERROR(VLOOKUP(E2649,'GASB Match'!$A$2:$B$240,2,FALSE),"")</f>
        <v/>
      </c>
    </row>
    <row r="2650" spans="1:8" x14ac:dyDescent="0.2">
      <c r="A2650" t="s">
        <v>7</v>
      </c>
      <c r="B2650" s="3">
        <v>2017</v>
      </c>
      <c r="C2650" t="s">
        <v>660</v>
      </c>
      <c r="D2650" t="s">
        <v>662</v>
      </c>
      <c r="E2650" t="s">
        <v>661</v>
      </c>
      <c r="F2650" s="4">
        <v>939465</v>
      </c>
      <c r="G2650" s="4" t="s">
        <v>7</v>
      </c>
      <c r="H2650" t="str">
        <f>IFERROR(VLOOKUP(E2650,'GASB Match'!$A$2:$B$240,2,FALSE),"")</f>
        <v/>
      </c>
    </row>
    <row r="2651" spans="1:8" x14ac:dyDescent="0.2">
      <c r="A2651" t="s">
        <v>7</v>
      </c>
      <c r="B2651" s="3">
        <v>2018</v>
      </c>
      <c r="C2651" t="s">
        <v>660</v>
      </c>
      <c r="D2651" t="s">
        <v>662</v>
      </c>
      <c r="E2651" t="s">
        <v>661</v>
      </c>
      <c r="F2651" s="4">
        <v>1037655</v>
      </c>
      <c r="G2651" s="4" t="s">
        <v>7</v>
      </c>
      <c r="H2651" t="str">
        <f>IFERROR(VLOOKUP(E2651,'GASB Match'!$A$2:$B$240,2,FALSE),"")</f>
        <v/>
      </c>
    </row>
    <row r="2652" spans="1:8" x14ac:dyDescent="0.2">
      <c r="A2652" t="s">
        <v>7</v>
      </c>
      <c r="B2652" s="3">
        <v>2019</v>
      </c>
      <c r="C2652" t="s">
        <v>660</v>
      </c>
      <c r="D2652" t="s">
        <v>662</v>
      </c>
      <c r="E2652" t="s">
        <v>661</v>
      </c>
      <c r="F2652" s="4">
        <v>1283649</v>
      </c>
      <c r="G2652" s="4" t="s">
        <v>7</v>
      </c>
      <c r="H2652" t="str">
        <f>IFERROR(VLOOKUP(E2652,'GASB Match'!$A$2:$B$240,2,FALSE),"")</f>
        <v/>
      </c>
    </row>
    <row r="2653" spans="1:8" x14ac:dyDescent="0.2">
      <c r="A2653" t="s">
        <v>7</v>
      </c>
      <c r="B2653" s="3">
        <v>2020</v>
      </c>
      <c r="C2653" t="s">
        <v>660</v>
      </c>
      <c r="D2653" t="s">
        <v>662</v>
      </c>
      <c r="E2653" t="s">
        <v>661</v>
      </c>
      <c r="F2653" s="4">
        <v>1356948</v>
      </c>
      <c r="G2653" s="4" t="s">
        <v>7</v>
      </c>
      <c r="H2653" t="str">
        <f>IFERROR(VLOOKUP(E2653,'GASB Match'!$A$2:$B$240,2,FALSE),"")</f>
        <v/>
      </c>
    </row>
    <row r="2654" spans="1:8" x14ac:dyDescent="0.2">
      <c r="A2654" t="s">
        <v>7</v>
      </c>
      <c r="B2654" s="3">
        <v>2021</v>
      </c>
      <c r="C2654" t="s">
        <v>660</v>
      </c>
      <c r="D2654" t="s">
        <v>663</v>
      </c>
      <c r="E2654" t="s">
        <v>661</v>
      </c>
      <c r="F2654" s="4">
        <v>1244640</v>
      </c>
      <c r="G2654" s="4" t="s">
        <v>7</v>
      </c>
      <c r="H2654" t="str">
        <f>IFERROR(VLOOKUP(E2654,'GASB Match'!$A$2:$B$240,2,FALSE),"")</f>
        <v/>
      </c>
    </row>
    <row r="2655" spans="1:8" x14ac:dyDescent="0.2">
      <c r="A2655" t="s">
        <v>7</v>
      </c>
      <c r="B2655" s="3">
        <v>2022</v>
      </c>
      <c r="C2655" t="s">
        <v>660</v>
      </c>
      <c r="D2655" t="s">
        <v>661</v>
      </c>
      <c r="E2655" t="s">
        <v>661</v>
      </c>
      <c r="F2655" s="4">
        <v>1300337</v>
      </c>
      <c r="G2655" s="4" t="s">
        <v>7</v>
      </c>
      <c r="H2655" t="str">
        <f>IFERROR(VLOOKUP(E2655,'GASB Match'!$A$2:$B$240,2,FALSE),"")</f>
        <v/>
      </c>
    </row>
    <row r="2656" spans="1:8" x14ac:dyDescent="0.2">
      <c r="A2656" t="s">
        <v>7</v>
      </c>
      <c r="B2656" s="3">
        <v>2023</v>
      </c>
      <c r="C2656" t="s">
        <v>660</v>
      </c>
      <c r="D2656" t="s">
        <v>661</v>
      </c>
      <c r="E2656" t="s">
        <v>661</v>
      </c>
      <c r="F2656" s="4">
        <v>1372416</v>
      </c>
      <c r="G2656" s="4" t="s">
        <v>7</v>
      </c>
      <c r="H2656" t="str">
        <f>IFERROR(VLOOKUP(E2656,'GASB Match'!$A$2:$B$240,2,FALSE),"")</f>
        <v/>
      </c>
    </row>
    <row r="2657" spans="1:8" x14ac:dyDescent="0.2">
      <c r="A2657" t="s">
        <v>7</v>
      </c>
      <c r="B2657" s="3">
        <v>2015</v>
      </c>
      <c r="C2657" t="s">
        <v>664</v>
      </c>
      <c r="D2657" t="s">
        <v>666</v>
      </c>
      <c r="E2657" t="s">
        <v>665</v>
      </c>
      <c r="F2657" s="4">
        <v>1143567.94</v>
      </c>
      <c r="G2657" s="4" t="s">
        <v>7</v>
      </c>
      <c r="H2657" t="str">
        <f>IFERROR(VLOOKUP(E2657,'GASB Match'!$A$2:$B$240,2,FALSE),"")</f>
        <v/>
      </c>
    </row>
    <row r="2658" spans="1:8" x14ac:dyDescent="0.2">
      <c r="A2658" t="s">
        <v>7</v>
      </c>
      <c r="B2658" s="3">
        <v>2016</v>
      </c>
      <c r="C2658" t="s">
        <v>664</v>
      </c>
      <c r="D2658" t="s">
        <v>666</v>
      </c>
      <c r="E2658" t="s">
        <v>665</v>
      </c>
      <c r="F2658" s="4">
        <v>1300114.8500000001</v>
      </c>
      <c r="G2658" s="4" t="s">
        <v>7</v>
      </c>
      <c r="H2658" t="str">
        <f>IFERROR(VLOOKUP(E2658,'GASB Match'!$A$2:$B$240,2,FALSE),"")</f>
        <v/>
      </c>
    </row>
    <row r="2659" spans="1:8" x14ac:dyDescent="0.2">
      <c r="A2659" t="s">
        <v>7</v>
      </c>
      <c r="B2659" s="3">
        <v>2017</v>
      </c>
      <c r="C2659" t="s">
        <v>664</v>
      </c>
      <c r="D2659" t="s">
        <v>666</v>
      </c>
      <c r="E2659" t="s">
        <v>665</v>
      </c>
      <c r="F2659" s="4">
        <v>1417600</v>
      </c>
      <c r="G2659" s="4" t="s">
        <v>7</v>
      </c>
      <c r="H2659" t="str">
        <f>IFERROR(VLOOKUP(E2659,'GASB Match'!$A$2:$B$240,2,FALSE),"")</f>
        <v/>
      </c>
    </row>
    <row r="2660" spans="1:8" x14ac:dyDescent="0.2">
      <c r="A2660" t="s">
        <v>7</v>
      </c>
      <c r="B2660" s="3">
        <v>2018</v>
      </c>
      <c r="C2660" t="s">
        <v>664</v>
      </c>
      <c r="D2660" t="s">
        <v>666</v>
      </c>
      <c r="E2660" t="s">
        <v>665</v>
      </c>
      <c r="F2660" s="4">
        <v>1624400</v>
      </c>
      <c r="G2660" s="4" t="s">
        <v>7</v>
      </c>
      <c r="H2660" t="str">
        <f>IFERROR(VLOOKUP(E2660,'GASB Match'!$A$2:$B$240,2,FALSE),"")</f>
        <v/>
      </c>
    </row>
    <row r="2661" spans="1:8" x14ac:dyDescent="0.2">
      <c r="A2661" t="s">
        <v>7</v>
      </c>
      <c r="B2661" s="3">
        <v>2019</v>
      </c>
      <c r="C2661" t="s">
        <v>664</v>
      </c>
      <c r="D2661" t="s">
        <v>666</v>
      </c>
      <c r="E2661" t="s">
        <v>665</v>
      </c>
      <c r="F2661" s="4">
        <v>1883378</v>
      </c>
      <c r="G2661" s="4" t="s">
        <v>7</v>
      </c>
      <c r="H2661" t="str">
        <f>IFERROR(VLOOKUP(E2661,'GASB Match'!$A$2:$B$240,2,FALSE),"")</f>
        <v/>
      </c>
    </row>
    <row r="2662" spans="1:8" x14ac:dyDescent="0.2">
      <c r="A2662" t="s">
        <v>7</v>
      </c>
      <c r="B2662" s="3">
        <v>2020</v>
      </c>
      <c r="C2662" t="s">
        <v>664</v>
      </c>
      <c r="D2662" t="s">
        <v>666</v>
      </c>
      <c r="E2662" t="s">
        <v>665</v>
      </c>
      <c r="F2662" s="4">
        <v>1971266</v>
      </c>
      <c r="G2662" s="4" t="s">
        <v>7</v>
      </c>
      <c r="H2662" t="str">
        <f>IFERROR(VLOOKUP(E2662,'GASB Match'!$A$2:$B$240,2,FALSE),"")</f>
        <v/>
      </c>
    </row>
    <row r="2663" spans="1:8" x14ac:dyDescent="0.2">
      <c r="A2663" t="s">
        <v>7</v>
      </c>
      <c r="B2663" s="3">
        <v>2021</v>
      </c>
      <c r="C2663" t="s">
        <v>664</v>
      </c>
      <c r="D2663" t="s">
        <v>667</v>
      </c>
      <c r="E2663" t="s">
        <v>665</v>
      </c>
      <c r="F2663" s="4">
        <v>1643733</v>
      </c>
      <c r="G2663" s="4" t="s">
        <v>7</v>
      </c>
      <c r="H2663" t="str">
        <f>IFERROR(VLOOKUP(E2663,'GASB Match'!$A$2:$B$240,2,FALSE),"")</f>
        <v/>
      </c>
    </row>
    <row r="2664" spans="1:8" x14ac:dyDescent="0.2">
      <c r="A2664" t="s">
        <v>7</v>
      </c>
      <c r="B2664" s="3">
        <v>2022</v>
      </c>
      <c r="C2664" t="s">
        <v>664</v>
      </c>
      <c r="D2664" t="s">
        <v>665</v>
      </c>
      <c r="E2664" t="s">
        <v>665</v>
      </c>
      <c r="F2664" s="4">
        <v>1714403</v>
      </c>
      <c r="G2664" s="4" t="s">
        <v>7</v>
      </c>
      <c r="H2664" t="str">
        <f>IFERROR(VLOOKUP(E2664,'GASB Match'!$A$2:$B$240,2,FALSE),"")</f>
        <v/>
      </c>
    </row>
    <row r="2665" spans="1:8" x14ac:dyDescent="0.2">
      <c r="A2665" t="s">
        <v>7</v>
      </c>
      <c r="B2665" s="3">
        <v>2023</v>
      </c>
      <c r="C2665" t="s">
        <v>664</v>
      </c>
      <c r="D2665" t="s">
        <v>665</v>
      </c>
      <c r="E2665" t="s">
        <v>665</v>
      </c>
      <c r="F2665" s="4">
        <v>1741390</v>
      </c>
      <c r="G2665" s="4" t="s">
        <v>7</v>
      </c>
      <c r="H2665" t="str">
        <f>IFERROR(VLOOKUP(E2665,'GASB Match'!$A$2:$B$240,2,FALSE),"")</f>
        <v/>
      </c>
    </row>
    <row r="2666" spans="1:8" x14ac:dyDescent="0.2">
      <c r="A2666" t="s">
        <v>7</v>
      </c>
      <c r="B2666" s="3">
        <v>2015</v>
      </c>
      <c r="C2666" t="s">
        <v>668</v>
      </c>
      <c r="D2666" t="s">
        <v>670</v>
      </c>
      <c r="E2666" t="s">
        <v>669</v>
      </c>
      <c r="F2666" s="4">
        <v>1726997.49</v>
      </c>
      <c r="G2666" s="4" t="s">
        <v>7</v>
      </c>
      <c r="H2666" t="str">
        <f>IFERROR(VLOOKUP(E2666,'GASB Match'!$A$2:$B$240,2,FALSE),"")</f>
        <v/>
      </c>
    </row>
    <row r="2667" spans="1:8" x14ac:dyDescent="0.2">
      <c r="A2667" t="s">
        <v>7</v>
      </c>
      <c r="B2667" s="3">
        <v>2016</v>
      </c>
      <c r="C2667" t="s">
        <v>668</v>
      </c>
      <c r="D2667" t="s">
        <v>670</v>
      </c>
      <c r="E2667" t="s">
        <v>669</v>
      </c>
      <c r="F2667" s="4">
        <v>1885725.52</v>
      </c>
      <c r="G2667" s="4" t="s">
        <v>7</v>
      </c>
      <c r="H2667" t="str">
        <f>IFERROR(VLOOKUP(E2667,'GASB Match'!$A$2:$B$240,2,FALSE),"")</f>
        <v/>
      </c>
    </row>
    <row r="2668" spans="1:8" x14ac:dyDescent="0.2">
      <c r="A2668" t="s">
        <v>7</v>
      </c>
      <c r="B2668" s="3">
        <v>2017</v>
      </c>
      <c r="C2668" t="s">
        <v>668</v>
      </c>
      <c r="D2668" t="s">
        <v>670</v>
      </c>
      <c r="E2668" t="s">
        <v>669</v>
      </c>
      <c r="F2668" s="4">
        <v>1908815</v>
      </c>
      <c r="G2668" s="4" t="s">
        <v>7</v>
      </c>
      <c r="H2668" t="str">
        <f>IFERROR(VLOOKUP(E2668,'GASB Match'!$A$2:$B$240,2,FALSE),"")</f>
        <v/>
      </c>
    </row>
    <row r="2669" spans="1:8" x14ac:dyDescent="0.2">
      <c r="A2669" t="s">
        <v>7</v>
      </c>
      <c r="B2669" s="3">
        <v>2018</v>
      </c>
      <c r="C2669" t="s">
        <v>668</v>
      </c>
      <c r="D2669" t="s">
        <v>670</v>
      </c>
      <c r="E2669" t="s">
        <v>669</v>
      </c>
      <c r="F2669" s="4">
        <v>2220703</v>
      </c>
      <c r="G2669" s="4" t="s">
        <v>7</v>
      </c>
      <c r="H2669" t="str">
        <f>IFERROR(VLOOKUP(E2669,'GASB Match'!$A$2:$B$240,2,FALSE),"")</f>
        <v/>
      </c>
    </row>
    <row r="2670" spans="1:8" x14ac:dyDescent="0.2">
      <c r="A2670" t="s">
        <v>7</v>
      </c>
      <c r="B2670" s="3">
        <v>2019</v>
      </c>
      <c r="C2670" t="s">
        <v>668</v>
      </c>
      <c r="D2670" t="s">
        <v>670</v>
      </c>
      <c r="E2670" t="s">
        <v>669</v>
      </c>
      <c r="F2670" s="4">
        <v>2644644</v>
      </c>
      <c r="G2670" s="4" t="s">
        <v>7</v>
      </c>
      <c r="H2670" t="str">
        <f>IFERROR(VLOOKUP(E2670,'GASB Match'!$A$2:$B$240,2,FALSE),"")</f>
        <v/>
      </c>
    </row>
    <row r="2671" spans="1:8" x14ac:dyDescent="0.2">
      <c r="A2671" t="s">
        <v>7</v>
      </c>
      <c r="B2671" s="3">
        <v>2020</v>
      </c>
      <c r="C2671" t="s">
        <v>668</v>
      </c>
      <c r="D2671" t="s">
        <v>670</v>
      </c>
      <c r="E2671" t="s">
        <v>669</v>
      </c>
      <c r="F2671" s="4">
        <v>2658804</v>
      </c>
      <c r="G2671" s="4" t="s">
        <v>7</v>
      </c>
      <c r="H2671" t="str">
        <f>IFERROR(VLOOKUP(E2671,'GASB Match'!$A$2:$B$240,2,FALSE),"")</f>
        <v/>
      </c>
    </row>
    <row r="2672" spans="1:8" x14ac:dyDescent="0.2">
      <c r="A2672" t="s">
        <v>7</v>
      </c>
      <c r="B2672" s="3">
        <v>2021</v>
      </c>
      <c r="C2672" t="s">
        <v>668</v>
      </c>
      <c r="D2672" t="s">
        <v>671</v>
      </c>
      <c r="E2672" t="s">
        <v>669</v>
      </c>
      <c r="F2672" s="4">
        <v>2301568</v>
      </c>
      <c r="G2672" s="4" t="s">
        <v>7</v>
      </c>
      <c r="H2672" t="str">
        <f>IFERROR(VLOOKUP(E2672,'GASB Match'!$A$2:$B$240,2,FALSE),"")</f>
        <v/>
      </c>
    </row>
    <row r="2673" spans="1:8" x14ac:dyDescent="0.2">
      <c r="A2673" t="s">
        <v>7</v>
      </c>
      <c r="B2673" s="3">
        <v>2022</v>
      </c>
      <c r="C2673" t="s">
        <v>668</v>
      </c>
      <c r="D2673" t="s">
        <v>669</v>
      </c>
      <c r="E2673" t="s">
        <v>669</v>
      </c>
      <c r="F2673" s="4">
        <v>2437518</v>
      </c>
      <c r="G2673" s="4" t="s">
        <v>7</v>
      </c>
      <c r="H2673" t="str">
        <f>IFERROR(VLOOKUP(E2673,'GASB Match'!$A$2:$B$240,2,FALSE),"")</f>
        <v/>
      </c>
    </row>
    <row r="2674" spans="1:8" x14ac:dyDescent="0.2">
      <c r="A2674" t="s">
        <v>7</v>
      </c>
      <c r="B2674" s="3">
        <v>2023</v>
      </c>
      <c r="C2674" t="s">
        <v>668</v>
      </c>
      <c r="D2674" t="s">
        <v>669</v>
      </c>
      <c r="E2674" t="s">
        <v>669</v>
      </c>
      <c r="F2674" s="4">
        <v>2563534</v>
      </c>
      <c r="G2674" s="4" t="s">
        <v>7</v>
      </c>
      <c r="H2674" t="str">
        <f>IFERROR(VLOOKUP(E2674,'GASB Match'!$A$2:$B$240,2,FALSE),"")</f>
        <v/>
      </c>
    </row>
    <row r="2675" spans="1:8" x14ac:dyDescent="0.2">
      <c r="A2675" t="s">
        <v>7</v>
      </c>
      <c r="B2675" s="3">
        <v>2015</v>
      </c>
      <c r="C2675" t="s">
        <v>672</v>
      </c>
      <c r="D2675" t="s">
        <v>674</v>
      </c>
      <c r="E2675" t="s">
        <v>673</v>
      </c>
      <c r="F2675" s="4">
        <v>936946.92</v>
      </c>
      <c r="G2675" s="4" t="s">
        <v>7</v>
      </c>
      <c r="H2675" t="str">
        <f>IFERROR(VLOOKUP(E2675,'GASB Match'!$A$2:$B$240,2,FALSE),"")</f>
        <v/>
      </c>
    </row>
    <row r="2676" spans="1:8" x14ac:dyDescent="0.2">
      <c r="A2676" t="s">
        <v>7</v>
      </c>
      <c r="B2676" s="3">
        <v>2016</v>
      </c>
      <c r="C2676" t="s">
        <v>672</v>
      </c>
      <c r="D2676" t="s">
        <v>674</v>
      </c>
      <c r="E2676" t="s">
        <v>673</v>
      </c>
      <c r="F2676" s="4">
        <v>1000864.75</v>
      </c>
      <c r="G2676" s="4" t="s">
        <v>7</v>
      </c>
      <c r="H2676" t="str">
        <f>IFERROR(VLOOKUP(E2676,'GASB Match'!$A$2:$B$240,2,FALSE),"")</f>
        <v/>
      </c>
    </row>
    <row r="2677" spans="1:8" x14ac:dyDescent="0.2">
      <c r="A2677" t="s">
        <v>7</v>
      </c>
      <c r="B2677" s="3">
        <v>2017</v>
      </c>
      <c r="C2677" t="s">
        <v>672</v>
      </c>
      <c r="D2677" t="s">
        <v>674</v>
      </c>
      <c r="E2677" t="s">
        <v>673</v>
      </c>
      <c r="F2677" s="4">
        <v>1021953</v>
      </c>
      <c r="G2677" s="4" t="s">
        <v>7</v>
      </c>
      <c r="H2677" t="str">
        <f>IFERROR(VLOOKUP(E2677,'GASB Match'!$A$2:$B$240,2,FALSE),"")</f>
        <v/>
      </c>
    </row>
    <row r="2678" spans="1:8" x14ac:dyDescent="0.2">
      <c r="A2678" t="s">
        <v>7</v>
      </c>
      <c r="B2678" s="3">
        <v>2018</v>
      </c>
      <c r="C2678" t="s">
        <v>672</v>
      </c>
      <c r="D2678" t="s">
        <v>674</v>
      </c>
      <c r="E2678" t="s">
        <v>673</v>
      </c>
      <c r="F2678" s="4">
        <v>1163070</v>
      </c>
      <c r="G2678" s="4" t="s">
        <v>7</v>
      </c>
      <c r="H2678" t="str">
        <f>IFERROR(VLOOKUP(E2678,'GASB Match'!$A$2:$B$240,2,FALSE),"")</f>
        <v/>
      </c>
    </row>
    <row r="2679" spans="1:8" x14ac:dyDescent="0.2">
      <c r="A2679" t="s">
        <v>7</v>
      </c>
      <c r="B2679" s="3">
        <v>2019</v>
      </c>
      <c r="C2679" t="s">
        <v>672</v>
      </c>
      <c r="D2679" t="s">
        <v>674</v>
      </c>
      <c r="E2679" t="s">
        <v>673</v>
      </c>
      <c r="F2679" s="4">
        <v>1348981</v>
      </c>
      <c r="G2679" s="4" t="s">
        <v>7</v>
      </c>
      <c r="H2679" t="str">
        <f>IFERROR(VLOOKUP(E2679,'GASB Match'!$A$2:$B$240,2,FALSE),"")</f>
        <v/>
      </c>
    </row>
    <row r="2680" spans="1:8" x14ac:dyDescent="0.2">
      <c r="A2680" t="s">
        <v>7</v>
      </c>
      <c r="B2680" s="3">
        <v>2020</v>
      </c>
      <c r="C2680" t="s">
        <v>672</v>
      </c>
      <c r="D2680" t="s">
        <v>674</v>
      </c>
      <c r="E2680" t="s">
        <v>673</v>
      </c>
      <c r="F2680" s="4">
        <v>1379199</v>
      </c>
      <c r="G2680" s="4" t="s">
        <v>7</v>
      </c>
      <c r="H2680" t="str">
        <f>IFERROR(VLOOKUP(E2680,'GASB Match'!$A$2:$B$240,2,FALSE),"")</f>
        <v/>
      </c>
    </row>
    <row r="2681" spans="1:8" x14ac:dyDescent="0.2">
      <c r="A2681" t="s">
        <v>7</v>
      </c>
      <c r="B2681" s="3">
        <v>2021</v>
      </c>
      <c r="C2681" t="s">
        <v>672</v>
      </c>
      <c r="D2681" t="s">
        <v>675</v>
      </c>
      <c r="E2681" t="s">
        <v>673</v>
      </c>
      <c r="F2681" s="4">
        <v>1256615</v>
      </c>
      <c r="G2681" s="4" t="s">
        <v>7</v>
      </c>
      <c r="H2681" t="str">
        <f>IFERROR(VLOOKUP(E2681,'GASB Match'!$A$2:$B$240,2,FALSE),"")</f>
        <v/>
      </c>
    </row>
    <row r="2682" spans="1:8" x14ac:dyDescent="0.2">
      <c r="A2682" t="s">
        <v>7</v>
      </c>
      <c r="B2682" s="3">
        <v>2022</v>
      </c>
      <c r="C2682" t="s">
        <v>672</v>
      </c>
      <c r="D2682" t="s">
        <v>673</v>
      </c>
      <c r="E2682" t="s">
        <v>673</v>
      </c>
      <c r="F2682" s="4">
        <v>1306278</v>
      </c>
      <c r="G2682" s="4" t="s">
        <v>7</v>
      </c>
      <c r="H2682" t="str">
        <f>IFERROR(VLOOKUP(E2682,'GASB Match'!$A$2:$B$240,2,FALSE),"")</f>
        <v/>
      </c>
    </row>
    <row r="2683" spans="1:8" x14ac:dyDescent="0.2">
      <c r="A2683" t="s">
        <v>7</v>
      </c>
      <c r="B2683" s="3">
        <v>2023</v>
      </c>
      <c r="C2683" t="s">
        <v>672</v>
      </c>
      <c r="D2683" t="s">
        <v>673</v>
      </c>
      <c r="E2683" t="s">
        <v>673</v>
      </c>
      <c r="F2683" s="4">
        <v>1386428</v>
      </c>
      <c r="G2683" s="4" t="s">
        <v>7</v>
      </c>
      <c r="H2683" t="str">
        <f>IFERROR(VLOOKUP(E2683,'GASB Match'!$A$2:$B$240,2,FALSE),"")</f>
        <v/>
      </c>
    </row>
    <row r="2684" spans="1:8" x14ac:dyDescent="0.2">
      <c r="A2684" t="s">
        <v>7</v>
      </c>
      <c r="B2684" s="3">
        <v>2015</v>
      </c>
      <c r="C2684" t="s">
        <v>676</v>
      </c>
      <c r="D2684" t="s">
        <v>678</v>
      </c>
      <c r="E2684" t="s">
        <v>677</v>
      </c>
      <c r="F2684" s="4">
        <v>1170882.53</v>
      </c>
      <c r="G2684" s="4" t="s">
        <v>7</v>
      </c>
      <c r="H2684" t="str">
        <f>IFERROR(VLOOKUP(E2684,'GASB Match'!$A$2:$B$240,2,FALSE),"")</f>
        <v/>
      </c>
    </row>
    <row r="2685" spans="1:8" x14ac:dyDescent="0.2">
      <c r="A2685" t="s">
        <v>7</v>
      </c>
      <c r="B2685" s="3">
        <v>2016</v>
      </c>
      <c r="C2685" t="s">
        <v>676</v>
      </c>
      <c r="D2685" t="s">
        <v>678</v>
      </c>
      <c r="E2685" t="s">
        <v>677</v>
      </c>
      <c r="F2685" s="4">
        <v>1271351.33</v>
      </c>
      <c r="G2685" s="4" t="s">
        <v>7</v>
      </c>
      <c r="H2685" t="str">
        <f>IFERROR(VLOOKUP(E2685,'GASB Match'!$A$2:$B$240,2,FALSE),"")</f>
        <v/>
      </c>
    </row>
    <row r="2686" spans="1:8" x14ac:dyDescent="0.2">
      <c r="A2686" t="s">
        <v>7</v>
      </c>
      <c r="B2686" s="3">
        <v>2017</v>
      </c>
      <c r="C2686" t="s">
        <v>676</v>
      </c>
      <c r="D2686" t="s">
        <v>678</v>
      </c>
      <c r="E2686" t="s">
        <v>677</v>
      </c>
      <c r="F2686" s="4">
        <v>1241305</v>
      </c>
      <c r="G2686" s="4" t="s">
        <v>7</v>
      </c>
      <c r="H2686" t="str">
        <f>IFERROR(VLOOKUP(E2686,'GASB Match'!$A$2:$B$240,2,FALSE),"")</f>
        <v/>
      </c>
    </row>
    <row r="2687" spans="1:8" x14ac:dyDescent="0.2">
      <c r="A2687" t="s">
        <v>7</v>
      </c>
      <c r="B2687" s="3">
        <v>2018</v>
      </c>
      <c r="C2687" t="s">
        <v>676</v>
      </c>
      <c r="D2687" t="s">
        <v>678</v>
      </c>
      <c r="E2687" t="s">
        <v>677</v>
      </c>
      <c r="F2687" s="4">
        <v>1418523</v>
      </c>
      <c r="G2687" s="4" t="s">
        <v>7</v>
      </c>
      <c r="H2687" t="str">
        <f>IFERROR(VLOOKUP(E2687,'GASB Match'!$A$2:$B$240,2,FALSE),"")</f>
        <v/>
      </c>
    </row>
    <row r="2688" spans="1:8" x14ac:dyDescent="0.2">
      <c r="A2688" t="s">
        <v>7</v>
      </c>
      <c r="B2688" s="3">
        <v>2019</v>
      </c>
      <c r="C2688" t="s">
        <v>676</v>
      </c>
      <c r="D2688" t="s">
        <v>678</v>
      </c>
      <c r="E2688" t="s">
        <v>677</v>
      </c>
      <c r="F2688" s="4">
        <v>1669470</v>
      </c>
      <c r="G2688" s="4" t="s">
        <v>7</v>
      </c>
      <c r="H2688" t="str">
        <f>IFERROR(VLOOKUP(E2688,'GASB Match'!$A$2:$B$240,2,FALSE),"")</f>
        <v/>
      </c>
    </row>
    <row r="2689" spans="1:8" x14ac:dyDescent="0.2">
      <c r="A2689" t="s">
        <v>7</v>
      </c>
      <c r="B2689" s="3">
        <v>2020</v>
      </c>
      <c r="C2689" t="s">
        <v>676</v>
      </c>
      <c r="D2689" t="s">
        <v>678</v>
      </c>
      <c r="E2689" t="s">
        <v>677</v>
      </c>
      <c r="F2689" s="4">
        <v>1708632</v>
      </c>
      <c r="G2689" s="4" t="s">
        <v>7</v>
      </c>
      <c r="H2689" t="str">
        <f>IFERROR(VLOOKUP(E2689,'GASB Match'!$A$2:$B$240,2,FALSE),"")</f>
        <v/>
      </c>
    </row>
    <row r="2690" spans="1:8" x14ac:dyDescent="0.2">
      <c r="A2690" t="s">
        <v>7</v>
      </c>
      <c r="B2690" s="3">
        <v>2021</v>
      </c>
      <c r="C2690" t="s">
        <v>676</v>
      </c>
      <c r="D2690" t="s">
        <v>679</v>
      </c>
      <c r="E2690" t="s">
        <v>677</v>
      </c>
      <c r="F2690" s="4">
        <v>1529609</v>
      </c>
      <c r="G2690" s="4" t="s">
        <v>7</v>
      </c>
      <c r="H2690" t="str">
        <f>IFERROR(VLOOKUP(E2690,'GASB Match'!$A$2:$B$240,2,FALSE),"")</f>
        <v/>
      </c>
    </row>
    <row r="2691" spans="1:8" x14ac:dyDescent="0.2">
      <c r="A2691" t="s">
        <v>7</v>
      </c>
      <c r="B2691" s="3">
        <v>2022</v>
      </c>
      <c r="C2691" t="s">
        <v>676</v>
      </c>
      <c r="D2691" t="s">
        <v>677</v>
      </c>
      <c r="E2691" t="s">
        <v>677</v>
      </c>
      <c r="F2691" s="4">
        <v>1646574</v>
      </c>
      <c r="G2691" s="4" t="s">
        <v>7</v>
      </c>
      <c r="H2691" t="str">
        <f>IFERROR(VLOOKUP(E2691,'GASB Match'!$A$2:$B$240,2,FALSE),"")</f>
        <v/>
      </c>
    </row>
    <row r="2692" spans="1:8" x14ac:dyDescent="0.2">
      <c r="A2692" t="s">
        <v>7</v>
      </c>
      <c r="B2692" s="3">
        <v>2023</v>
      </c>
      <c r="C2692" t="s">
        <v>676</v>
      </c>
      <c r="D2692" t="s">
        <v>677</v>
      </c>
      <c r="E2692" t="s">
        <v>677</v>
      </c>
      <c r="F2692" s="4">
        <v>1754678</v>
      </c>
      <c r="G2692" s="4" t="s">
        <v>7</v>
      </c>
      <c r="H2692" t="str">
        <f>IFERROR(VLOOKUP(E2692,'GASB Match'!$A$2:$B$240,2,FALSE),"")</f>
        <v/>
      </c>
    </row>
    <row r="2693" spans="1:8" x14ac:dyDescent="0.2">
      <c r="A2693" t="s">
        <v>7</v>
      </c>
      <c r="B2693" s="3">
        <v>2015</v>
      </c>
      <c r="C2693" t="s">
        <v>680</v>
      </c>
      <c r="D2693" t="s">
        <v>682</v>
      </c>
      <c r="E2693" t="s">
        <v>681</v>
      </c>
      <c r="F2693" s="4">
        <v>1044200.73</v>
      </c>
      <c r="G2693" s="4" t="s">
        <v>7</v>
      </c>
      <c r="H2693" t="str">
        <f>IFERROR(VLOOKUP(E2693,'GASB Match'!$A$2:$B$240,2,FALSE),"")</f>
        <v/>
      </c>
    </row>
    <row r="2694" spans="1:8" x14ac:dyDescent="0.2">
      <c r="A2694" t="s">
        <v>7</v>
      </c>
      <c r="B2694" s="3">
        <v>2016</v>
      </c>
      <c r="C2694" t="s">
        <v>680</v>
      </c>
      <c r="D2694" t="s">
        <v>682</v>
      </c>
      <c r="E2694" t="s">
        <v>681</v>
      </c>
      <c r="F2694" s="4">
        <v>1157017.04</v>
      </c>
      <c r="G2694" s="4" t="s">
        <v>7</v>
      </c>
      <c r="H2694" t="str">
        <f>IFERROR(VLOOKUP(E2694,'GASB Match'!$A$2:$B$240,2,FALSE),"")</f>
        <v/>
      </c>
    </row>
    <row r="2695" spans="1:8" x14ac:dyDescent="0.2">
      <c r="A2695" t="s">
        <v>7</v>
      </c>
      <c r="B2695" s="3">
        <v>2017</v>
      </c>
      <c r="C2695" t="s">
        <v>680</v>
      </c>
      <c r="D2695" t="s">
        <v>682</v>
      </c>
      <c r="E2695" t="s">
        <v>681</v>
      </c>
      <c r="F2695" s="4">
        <v>1227966</v>
      </c>
      <c r="G2695" s="4" t="s">
        <v>7</v>
      </c>
      <c r="H2695" t="str">
        <f>IFERROR(VLOOKUP(E2695,'GASB Match'!$A$2:$B$240,2,FALSE),"")</f>
        <v/>
      </c>
    </row>
    <row r="2696" spans="1:8" x14ac:dyDescent="0.2">
      <c r="A2696" t="s">
        <v>7</v>
      </c>
      <c r="B2696" s="3">
        <v>2018</v>
      </c>
      <c r="C2696" t="s">
        <v>680</v>
      </c>
      <c r="D2696" t="s">
        <v>682</v>
      </c>
      <c r="E2696" t="s">
        <v>681</v>
      </c>
      <c r="F2696" s="4">
        <v>1464709</v>
      </c>
      <c r="G2696" s="4" t="s">
        <v>7</v>
      </c>
      <c r="H2696" t="str">
        <f>IFERROR(VLOOKUP(E2696,'GASB Match'!$A$2:$B$240,2,FALSE),"")</f>
        <v/>
      </c>
    </row>
    <row r="2697" spans="1:8" x14ac:dyDescent="0.2">
      <c r="A2697" t="s">
        <v>7</v>
      </c>
      <c r="B2697" s="3">
        <v>2019</v>
      </c>
      <c r="C2697" t="s">
        <v>680</v>
      </c>
      <c r="D2697" t="s">
        <v>682</v>
      </c>
      <c r="E2697" t="s">
        <v>681</v>
      </c>
      <c r="F2697" s="4">
        <v>1397142</v>
      </c>
      <c r="G2697" s="4" t="s">
        <v>7</v>
      </c>
      <c r="H2697" t="str">
        <f>IFERROR(VLOOKUP(E2697,'GASB Match'!$A$2:$B$240,2,FALSE),"")</f>
        <v/>
      </c>
    </row>
    <row r="2698" spans="1:8" x14ac:dyDescent="0.2">
      <c r="A2698" t="s">
        <v>7</v>
      </c>
      <c r="B2698" s="3">
        <v>2020</v>
      </c>
      <c r="C2698" t="s">
        <v>680</v>
      </c>
      <c r="D2698" t="s">
        <v>682</v>
      </c>
      <c r="E2698" t="s">
        <v>681</v>
      </c>
      <c r="F2698" s="4">
        <v>1480769</v>
      </c>
      <c r="G2698" s="4" t="s">
        <v>7</v>
      </c>
      <c r="H2698" t="str">
        <f>IFERROR(VLOOKUP(E2698,'GASB Match'!$A$2:$B$240,2,FALSE),"")</f>
        <v/>
      </c>
    </row>
    <row r="2699" spans="1:8" x14ac:dyDescent="0.2">
      <c r="A2699" t="s">
        <v>7</v>
      </c>
      <c r="B2699" s="3">
        <v>2021</v>
      </c>
      <c r="C2699" t="s">
        <v>680</v>
      </c>
      <c r="D2699" t="s">
        <v>683</v>
      </c>
      <c r="E2699" t="s">
        <v>681</v>
      </c>
      <c r="F2699" s="4">
        <v>1295711</v>
      </c>
      <c r="G2699" s="4" t="s">
        <v>7</v>
      </c>
      <c r="H2699" t="str">
        <f>IFERROR(VLOOKUP(E2699,'GASB Match'!$A$2:$B$240,2,FALSE),"")</f>
        <v/>
      </c>
    </row>
    <row r="2700" spans="1:8" x14ac:dyDescent="0.2">
      <c r="A2700" t="s">
        <v>7</v>
      </c>
      <c r="B2700" s="3">
        <v>2022</v>
      </c>
      <c r="C2700" t="s">
        <v>680</v>
      </c>
      <c r="D2700" t="s">
        <v>681</v>
      </c>
      <c r="E2700" t="s">
        <v>681</v>
      </c>
      <c r="F2700" s="4">
        <v>1313680</v>
      </c>
      <c r="G2700" s="4" t="s">
        <v>7</v>
      </c>
      <c r="H2700" t="str">
        <f>IFERROR(VLOOKUP(E2700,'GASB Match'!$A$2:$B$240,2,FALSE),"")</f>
        <v/>
      </c>
    </row>
    <row r="2701" spans="1:8" x14ac:dyDescent="0.2">
      <c r="A2701" t="s">
        <v>7</v>
      </c>
      <c r="B2701" s="3">
        <v>2023</v>
      </c>
      <c r="C2701" t="s">
        <v>680</v>
      </c>
      <c r="D2701" t="s">
        <v>681</v>
      </c>
      <c r="E2701" t="s">
        <v>681</v>
      </c>
      <c r="F2701" s="4">
        <v>1498597</v>
      </c>
      <c r="G2701" s="4" t="s">
        <v>7</v>
      </c>
      <c r="H2701" t="str">
        <f>IFERROR(VLOOKUP(E2701,'GASB Match'!$A$2:$B$240,2,FALSE),"")</f>
        <v/>
      </c>
    </row>
    <row r="2702" spans="1:8" x14ac:dyDescent="0.2">
      <c r="A2702" t="s">
        <v>7</v>
      </c>
      <c r="B2702" s="3">
        <v>2015</v>
      </c>
      <c r="C2702" t="s">
        <v>684</v>
      </c>
      <c r="D2702" t="s">
        <v>686</v>
      </c>
      <c r="E2702" t="s">
        <v>685</v>
      </c>
      <c r="F2702" s="4">
        <v>1290172.8799999999</v>
      </c>
      <c r="G2702" s="4" t="s">
        <v>7</v>
      </c>
      <c r="H2702" t="str">
        <f>IFERROR(VLOOKUP(E2702,'GASB Match'!$A$2:$B$240,2,FALSE),"")</f>
        <v/>
      </c>
    </row>
    <row r="2703" spans="1:8" x14ac:dyDescent="0.2">
      <c r="A2703" t="s">
        <v>7</v>
      </c>
      <c r="B2703" s="3">
        <v>2016</v>
      </c>
      <c r="C2703" t="s">
        <v>684</v>
      </c>
      <c r="D2703" t="s">
        <v>686</v>
      </c>
      <c r="E2703" t="s">
        <v>685</v>
      </c>
      <c r="F2703" s="4">
        <v>1354886.67</v>
      </c>
      <c r="G2703" s="4" t="s">
        <v>7</v>
      </c>
      <c r="H2703" t="str">
        <f>IFERROR(VLOOKUP(E2703,'GASB Match'!$A$2:$B$240,2,FALSE),"")</f>
        <v/>
      </c>
    </row>
    <row r="2704" spans="1:8" x14ac:dyDescent="0.2">
      <c r="A2704" t="s">
        <v>7</v>
      </c>
      <c r="B2704" s="3">
        <v>2017</v>
      </c>
      <c r="C2704" t="s">
        <v>684</v>
      </c>
      <c r="D2704" t="s">
        <v>686</v>
      </c>
      <c r="E2704" t="s">
        <v>685</v>
      </c>
      <c r="F2704" s="4">
        <v>1369983</v>
      </c>
      <c r="G2704" s="4" t="s">
        <v>7</v>
      </c>
      <c r="H2704" t="str">
        <f>IFERROR(VLOOKUP(E2704,'GASB Match'!$A$2:$B$240,2,FALSE),"")</f>
        <v/>
      </c>
    </row>
    <row r="2705" spans="1:8" x14ac:dyDescent="0.2">
      <c r="A2705" t="s">
        <v>7</v>
      </c>
      <c r="B2705" s="3">
        <v>2018</v>
      </c>
      <c r="C2705" t="s">
        <v>684</v>
      </c>
      <c r="D2705" t="s">
        <v>686</v>
      </c>
      <c r="E2705" t="s">
        <v>685</v>
      </c>
      <c r="F2705" s="4">
        <v>1599108</v>
      </c>
      <c r="G2705" s="4" t="s">
        <v>7</v>
      </c>
      <c r="H2705" t="str">
        <f>IFERROR(VLOOKUP(E2705,'GASB Match'!$A$2:$B$240,2,FALSE),"")</f>
        <v/>
      </c>
    </row>
    <row r="2706" spans="1:8" x14ac:dyDescent="0.2">
      <c r="A2706" t="s">
        <v>7</v>
      </c>
      <c r="B2706" s="3">
        <v>2019</v>
      </c>
      <c r="C2706" t="s">
        <v>684</v>
      </c>
      <c r="D2706" t="s">
        <v>686</v>
      </c>
      <c r="E2706" t="s">
        <v>685</v>
      </c>
      <c r="F2706" s="4">
        <v>1856473</v>
      </c>
      <c r="G2706" s="4" t="s">
        <v>7</v>
      </c>
      <c r="H2706" t="str">
        <f>IFERROR(VLOOKUP(E2706,'GASB Match'!$A$2:$B$240,2,FALSE),"")</f>
        <v/>
      </c>
    </row>
    <row r="2707" spans="1:8" x14ac:dyDescent="0.2">
      <c r="A2707" t="s">
        <v>7</v>
      </c>
      <c r="B2707" s="3">
        <v>2020</v>
      </c>
      <c r="C2707" t="s">
        <v>684</v>
      </c>
      <c r="D2707" t="s">
        <v>686</v>
      </c>
      <c r="E2707" t="s">
        <v>685</v>
      </c>
      <c r="F2707" s="4">
        <v>1774431</v>
      </c>
      <c r="G2707" s="4" t="s">
        <v>7</v>
      </c>
      <c r="H2707" t="str">
        <f>IFERROR(VLOOKUP(E2707,'GASB Match'!$A$2:$B$240,2,FALSE),"")</f>
        <v/>
      </c>
    </row>
    <row r="2708" spans="1:8" x14ac:dyDescent="0.2">
      <c r="A2708" t="s">
        <v>7</v>
      </c>
      <c r="B2708" s="3">
        <v>2021</v>
      </c>
      <c r="C2708" t="s">
        <v>684</v>
      </c>
      <c r="D2708" t="s">
        <v>687</v>
      </c>
      <c r="E2708" t="s">
        <v>685</v>
      </c>
      <c r="F2708" s="4">
        <v>1439581</v>
      </c>
      <c r="G2708" s="4" t="s">
        <v>7</v>
      </c>
      <c r="H2708" t="str">
        <f>IFERROR(VLOOKUP(E2708,'GASB Match'!$A$2:$B$240,2,FALSE),"")</f>
        <v/>
      </c>
    </row>
    <row r="2709" spans="1:8" x14ac:dyDescent="0.2">
      <c r="A2709" t="s">
        <v>7</v>
      </c>
      <c r="B2709" s="3">
        <v>2022</v>
      </c>
      <c r="C2709" t="s">
        <v>684</v>
      </c>
      <c r="D2709" t="s">
        <v>685</v>
      </c>
      <c r="E2709" t="s">
        <v>685</v>
      </c>
      <c r="F2709" s="4">
        <v>1536228</v>
      </c>
      <c r="G2709" s="4" t="s">
        <v>7</v>
      </c>
      <c r="H2709" t="str">
        <f>IFERROR(VLOOKUP(E2709,'GASB Match'!$A$2:$B$240,2,FALSE),"")</f>
        <v/>
      </c>
    </row>
    <row r="2710" spans="1:8" x14ac:dyDescent="0.2">
      <c r="A2710" t="s">
        <v>7</v>
      </c>
      <c r="B2710" s="3">
        <v>2023</v>
      </c>
      <c r="C2710" t="s">
        <v>684</v>
      </c>
      <c r="D2710" t="s">
        <v>685</v>
      </c>
      <c r="E2710" t="s">
        <v>685</v>
      </c>
      <c r="F2710" s="4">
        <v>1638900</v>
      </c>
      <c r="G2710" s="4" t="s">
        <v>7</v>
      </c>
      <c r="H2710" t="str">
        <f>IFERROR(VLOOKUP(E2710,'GASB Match'!$A$2:$B$240,2,FALSE),"")</f>
        <v/>
      </c>
    </row>
    <row r="2711" spans="1:8" x14ac:dyDescent="0.2">
      <c r="A2711" t="s">
        <v>7</v>
      </c>
      <c r="B2711" s="3">
        <v>2015</v>
      </c>
      <c r="C2711" t="s">
        <v>688</v>
      </c>
      <c r="D2711" t="s">
        <v>690</v>
      </c>
      <c r="E2711" t="s">
        <v>689</v>
      </c>
      <c r="F2711" s="4">
        <v>1223478.57</v>
      </c>
      <c r="G2711" s="4" t="s">
        <v>7</v>
      </c>
      <c r="H2711" t="str">
        <f>IFERROR(VLOOKUP(E2711,'GASB Match'!$A$2:$B$240,2,FALSE),"")</f>
        <v/>
      </c>
    </row>
    <row r="2712" spans="1:8" x14ac:dyDescent="0.2">
      <c r="A2712" t="s">
        <v>7</v>
      </c>
      <c r="B2712" s="3">
        <v>2016</v>
      </c>
      <c r="C2712" t="s">
        <v>688</v>
      </c>
      <c r="D2712" t="s">
        <v>690</v>
      </c>
      <c r="E2712" t="s">
        <v>689</v>
      </c>
      <c r="F2712" s="4">
        <v>1335255.3600000001</v>
      </c>
      <c r="G2712" s="4" t="s">
        <v>7</v>
      </c>
      <c r="H2712" t="str">
        <f>IFERROR(VLOOKUP(E2712,'GASB Match'!$A$2:$B$240,2,FALSE),"")</f>
        <v/>
      </c>
    </row>
    <row r="2713" spans="1:8" x14ac:dyDescent="0.2">
      <c r="A2713" t="s">
        <v>7</v>
      </c>
      <c r="B2713" s="3">
        <v>2017</v>
      </c>
      <c r="C2713" t="s">
        <v>688</v>
      </c>
      <c r="D2713" t="s">
        <v>690</v>
      </c>
      <c r="E2713" t="s">
        <v>689</v>
      </c>
      <c r="F2713" s="4">
        <v>1338084</v>
      </c>
      <c r="G2713" s="4" t="s">
        <v>7</v>
      </c>
      <c r="H2713" t="str">
        <f>IFERROR(VLOOKUP(E2713,'GASB Match'!$A$2:$B$240,2,FALSE),"")</f>
        <v/>
      </c>
    </row>
    <row r="2714" spans="1:8" x14ac:dyDescent="0.2">
      <c r="A2714" t="s">
        <v>7</v>
      </c>
      <c r="B2714" s="3">
        <v>2018</v>
      </c>
      <c r="C2714" t="s">
        <v>688</v>
      </c>
      <c r="D2714" t="s">
        <v>690</v>
      </c>
      <c r="E2714" t="s">
        <v>689</v>
      </c>
      <c r="F2714" s="4">
        <v>1623195</v>
      </c>
      <c r="G2714" s="4" t="s">
        <v>7</v>
      </c>
      <c r="H2714" t="str">
        <f>IFERROR(VLOOKUP(E2714,'GASB Match'!$A$2:$B$240,2,FALSE),"")</f>
        <v/>
      </c>
    </row>
    <row r="2715" spans="1:8" x14ac:dyDescent="0.2">
      <c r="A2715" t="s">
        <v>7</v>
      </c>
      <c r="B2715" s="3">
        <v>2019</v>
      </c>
      <c r="C2715" t="s">
        <v>688</v>
      </c>
      <c r="D2715" t="s">
        <v>690</v>
      </c>
      <c r="E2715" t="s">
        <v>689</v>
      </c>
      <c r="F2715" s="4">
        <v>1933532</v>
      </c>
      <c r="G2715" s="4" t="s">
        <v>7</v>
      </c>
      <c r="H2715" t="str">
        <f>IFERROR(VLOOKUP(E2715,'GASB Match'!$A$2:$B$240,2,FALSE),"")</f>
        <v/>
      </c>
    </row>
    <row r="2716" spans="1:8" x14ac:dyDescent="0.2">
      <c r="A2716" t="s">
        <v>7</v>
      </c>
      <c r="B2716" s="3">
        <v>2020</v>
      </c>
      <c r="C2716" t="s">
        <v>688</v>
      </c>
      <c r="D2716" t="s">
        <v>690</v>
      </c>
      <c r="E2716" t="s">
        <v>689</v>
      </c>
      <c r="F2716" s="4">
        <v>1999423</v>
      </c>
      <c r="G2716" s="4" t="s">
        <v>7</v>
      </c>
      <c r="H2716" t="str">
        <f>IFERROR(VLOOKUP(E2716,'GASB Match'!$A$2:$B$240,2,FALSE),"")</f>
        <v/>
      </c>
    </row>
    <row r="2717" spans="1:8" x14ac:dyDescent="0.2">
      <c r="A2717" t="s">
        <v>7</v>
      </c>
      <c r="B2717" s="3">
        <v>2021</v>
      </c>
      <c r="C2717" t="s">
        <v>688</v>
      </c>
      <c r="D2717" t="s">
        <v>691</v>
      </c>
      <c r="E2717" t="s">
        <v>689</v>
      </c>
      <c r="F2717" s="4">
        <v>1767261</v>
      </c>
      <c r="G2717" s="4" t="s">
        <v>7</v>
      </c>
      <c r="H2717" t="str">
        <f>IFERROR(VLOOKUP(E2717,'GASB Match'!$A$2:$B$240,2,FALSE),"")</f>
        <v/>
      </c>
    </row>
    <row r="2718" spans="1:8" x14ac:dyDescent="0.2">
      <c r="A2718" t="s">
        <v>7</v>
      </c>
      <c r="B2718" s="3">
        <v>2022</v>
      </c>
      <c r="C2718" t="s">
        <v>688</v>
      </c>
      <c r="D2718" t="s">
        <v>689</v>
      </c>
      <c r="E2718" t="s">
        <v>689</v>
      </c>
      <c r="F2718" s="4">
        <v>1710568</v>
      </c>
      <c r="G2718" s="4" t="s">
        <v>7</v>
      </c>
      <c r="H2718" t="str">
        <f>IFERROR(VLOOKUP(E2718,'GASB Match'!$A$2:$B$240,2,FALSE),"")</f>
        <v/>
      </c>
    </row>
    <row r="2719" spans="1:8" x14ac:dyDescent="0.2">
      <c r="A2719" t="s">
        <v>7</v>
      </c>
      <c r="B2719" s="3">
        <v>2023</v>
      </c>
      <c r="C2719" t="s">
        <v>688</v>
      </c>
      <c r="D2719" t="s">
        <v>689</v>
      </c>
      <c r="E2719" t="s">
        <v>689</v>
      </c>
      <c r="F2719" s="4">
        <v>1831765</v>
      </c>
      <c r="G2719" s="4" t="s">
        <v>7</v>
      </c>
      <c r="H2719" t="str">
        <f>IFERROR(VLOOKUP(E2719,'GASB Match'!$A$2:$B$240,2,FALSE),"")</f>
        <v/>
      </c>
    </row>
    <row r="2720" spans="1:8" x14ac:dyDescent="0.2">
      <c r="A2720" t="s">
        <v>7</v>
      </c>
      <c r="B2720" s="3">
        <v>2015</v>
      </c>
      <c r="C2720" t="s">
        <v>692</v>
      </c>
      <c r="D2720" t="s">
        <v>694</v>
      </c>
      <c r="E2720" t="s">
        <v>693</v>
      </c>
      <c r="F2720" s="4">
        <v>1014923.79</v>
      </c>
      <c r="G2720" s="4" t="s">
        <v>7</v>
      </c>
      <c r="H2720" t="str">
        <f>IFERROR(VLOOKUP(E2720,'GASB Match'!$A$2:$B$240,2,FALSE),"")</f>
        <v/>
      </c>
    </row>
    <row r="2721" spans="1:8" x14ac:dyDescent="0.2">
      <c r="A2721" t="s">
        <v>7</v>
      </c>
      <c r="B2721" s="3">
        <v>2016</v>
      </c>
      <c r="C2721" t="s">
        <v>692</v>
      </c>
      <c r="D2721" t="s">
        <v>694</v>
      </c>
      <c r="E2721" t="s">
        <v>693</v>
      </c>
      <c r="F2721" s="4">
        <v>1099604.3799999999</v>
      </c>
      <c r="G2721" s="4" t="s">
        <v>7</v>
      </c>
      <c r="H2721" t="str">
        <f>IFERROR(VLOOKUP(E2721,'GASB Match'!$A$2:$B$240,2,FALSE),"")</f>
        <v/>
      </c>
    </row>
    <row r="2722" spans="1:8" x14ac:dyDescent="0.2">
      <c r="A2722" t="s">
        <v>7</v>
      </c>
      <c r="B2722" s="3">
        <v>2017</v>
      </c>
      <c r="C2722" t="s">
        <v>692</v>
      </c>
      <c r="D2722" t="s">
        <v>694</v>
      </c>
      <c r="E2722" t="s">
        <v>693</v>
      </c>
      <c r="F2722" s="4">
        <v>1084448</v>
      </c>
      <c r="G2722" s="4" t="s">
        <v>7</v>
      </c>
      <c r="H2722" t="str">
        <f>IFERROR(VLOOKUP(E2722,'GASB Match'!$A$2:$B$240,2,FALSE),"")</f>
        <v/>
      </c>
    </row>
    <row r="2723" spans="1:8" x14ac:dyDescent="0.2">
      <c r="A2723" t="s">
        <v>7</v>
      </c>
      <c r="B2723" s="3">
        <v>2018</v>
      </c>
      <c r="C2723" t="s">
        <v>692</v>
      </c>
      <c r="D2723" t="s">
        <v>694</v>
      </c>
      <c r="E2723" t="s">
        <v>693</v>
      </c>
      <c r="F2723" s="4">
        <v>1302335</v>
      </c>
      <c r="G2723" s="4" t="s">
        <v>7</v>
      </c>
      <c r="H2723" t="str">
        <f>IFERROR(VLOOKUP(E2723,'GASB Match'!$A$2:$B$240,2,FALSE),"")</f>
        <v/>
      </c>
    </row>
    <row r="2724" spans="1:8" x14ac:dyDescent="0.2">
      <c r="A2724" t="s">
        <v>7</v>
      </c>
      <c r="B2724" s="3">
        <v>2019</v>
      </c>
      <c r="C2724" t="s">
        <v>692</v>
      </c>
      <c r="D2724" t="s">
        <v>694</v>
      </c>
      <c r="E2724" t="s">
        <v>693</v>
      </c>
      <c r="F2724" s="4">
        <v>1553227</v>
      </c>
      <c r="G2724" s="4" t="s">
        <v>7</v>
      </c>
      <c r="H2724" t="str">
        <f>IFERROR(VLOOKUP(E2724,'GASB Match'!$A$2:$B$240,2,FALSE),"")</f>
        <v/>
      </c>
    </row>
    <row r="2725" spans="1:8" x14ac:dyDescent="0.2">
      <c r="A2725" t="s">
        <v>7</v>
      </c>
      <c r="B2725" s="3">
        <v>2020</v>
      </c>
      <c r="C2725" t="s">
        <v>692</v>
      </c>
      <c r="D2725" t="s">
        <v>694</v>
      </c>
      <c r="E2725" t="s">
        <v>693</v>
      </c>
      <c r="F2725" s="4">
        <v>1678178</v>
      </c>
      <c r="G2725" s="4" t="s">
        <v>7</v>
      </c>
      <c r="H2725" t="str">
        <f>IFERROR(VLOOKUP(E2725,'GASB Match'!$A$2:$B$240,2,FALSE),"")</f>
        <v/>
      </c>
    </row>
    <row r="2726" spans="1:8" x14ac:dyDescent="0.2">
      <c r="A2726" t="s">
        <v>7</v>
      </c>
      <c r="B2726" s="3">
        <v>2021</v>
      </c>
      <c r="C2726" t="s">
        <v>692</v>
      </c>
      <c r="D2726" t="s">
        <v>695</v>
      </c>
      <c r="E2726" t="s">
        <v>693</v>
      </c>
      <c r="F2726" s="4">
        <v>1456579</v>
      </c>
      <c r="G2726" s="4" t="s">
        <v>7</v>
      </c>
      <c r="H2726" t="str">
        <f>IFERROR(VLOOKUP(E2726,'GASB Match'!$A$2:$B$240,2,FALSE),"")</f>
        <v/>
      </c>
    </row>
    <row r="2727" spans="1:8" x14ac:dyDescent="0.2">
      <c r="A2727" t="s">
        <v>7</v>
      </c>
      <c r="B2727" s="3">
        <v>2022</v>
      </c>
      <c r="C2727" t="s">
        <v>692</v>
      </c>
      <c r="D2727" t="s">
        <v>693</v>
      </c>
      <c r="E2727" t="s">
        <v>693</v>
      </c>
      <c r="F2727" s="4">
        <v>1415270</v>
      </c>
      <c r="G2727" s="4" t="s">
        <v>7</v>
      </c>
      <c r="H2727" t="str">
        <f>IFERROR(VLOOKUP(E2727,'GASB Match'!$A$2:$B$240,2,FALSE),"")</f>
        <v/>
      </c>
    </row>
    <row r="2728" spans="1:8" x14ac:dyDescent="0.2">
      <c r="A2728" t="s">
        <v>7</v>
      </c>
      <c r="B2728" s="3">
        <v>2023</v>
      </c>
      <c r="C2728" t="s">
        <v>692</v>
      </c>
      <c r="D2728" t="s">
        <v>693</v>
      </c>
      <c r="E2728" t="s">
        <v>693</v>
      </c>
      <c r="F2728" s="4">
        <v>1428914</v>
      </c>
      <c r="G2728" s="4" t="s">
        <v>7</v>
      </c>
      <c r="H2728" t="str">
        <f>IFERROR(VLOOKUP(E2728,'GASB Match'!$A$2:$B$240,2,FALSE),"")</f>
        <v/>
      </c>
    </row>
    <row r="2729" spans="1:8" x14ac:dyDescent="0.2">
      <c r="A2729" t="s">
        <v>7</v>
      </c>
      <c r="B2729" s="3">
        <v>2015</v>
      </c>
      <c r="C2729" t="s">
        <v>696</v>
      </c>
      <c r="D2729" t="s">
        <v>698</v>
      </c>
      <c r="E2729" t="s">
        <v>697</v>
      </c>
      <c r="F2729" s="4">
        <v>1730182.64</v>
      </c>
      <c r="G2729" s="4" t="s">
        <v>7</v>
      </c>
      <c r="H2729" t="str">
        <f>IFERROR(VLOOKUP(E2729,'GASB Match'!$A$2:$B$240,2,FALSE),"")</f>
        <v/>
      </c>
    </row>
    <row r="2730" spans="1:8" x14ac:dyDescent="0.2">
      <c r="A2730" t="s">
        <v>7</v>
      </c>
      <c r="B2730" s="3">
        <v>2016</v>
      </c>
      <c r="C2730" t="s">
        <v>696</v>
      </c>
      <c r="D2730" t="s">
        <v>698</v>
      </c>
      <c r="E2730" t="s">
        <v>697</v>
      </c>
      <c r="F2730" s="4">
        <v>1828443.86</v>
      </c>
      <c r="G2730" s="4" t="s">
        <v>7</v>
      </c>
      <c r="H2730" t="str">
        <f>IFERROR(VLOOKUP(E2730,'GASB Match'!$A$2:$B$240,2,FALSE),"")</f>
        <v/>
      </c>
    </row>
    <row r="2731" spans="1:8" x14ac:dyDescent="0.2">
      <c r="A2731" t="s">
        <v>7</v>
      </c>
      <c r="B2731" s="3">
        <v>2017</v>
      </c>
      <c r="C2731" t="s">
        <v>696</v>
      </c>
      <c r="D2731" t="s">
        <v>699</v>
      </c>
      <c r="E2731" t="s">
        <v>697</v>
      </c>
      <c r="F2731" s="4">
        <v>1754106</v>
      </c>
      <c r="G2731" s="4" t="s">
        <v>7</v>
      </c>
      <c r="H2731" t="str">
        <f>IFERROR(VLOOKUP(E2731,'GASB Match'!$A$2:$B$240,2,FALSE),"")</f>
        <v/>
      </c>
    </row>
    <row r="2732" spans="1:8" x14ac:dyDescent="0.2">
      <c r="A2732" t="s">
        <v>7</v>
      </c>
      <c r="B2732" s="3">
        <v>2018</v>
      </c>
      <c r="C2732" t="s">
        <v>696</v>
      </c>
      <c r="D2732" t="s">
        <v>698</v>
      </c>
      <c r="E2732" t="s">
        <v>697</v>
      </c>
      <c r="F2732" s="4">
        <v>2114890</v>
      </c>
      <c r="G2732" s="4" t="s">
        <v>7</v>
      </c>
      <c r="H2732" t="str">
        <f>IFERROR(VLOOKUP(E2732,'GASB Match'!$A$2:$B$240,2,FALSE),"")</f>
        <v/>
      </c>
    </row>
    <row r="2733" spans="1:8" x14ac:dyDescent="0.2">
      <c r="A2733" t="s">
        <v>7</v>
      </c>
      <c r="B2733" s="3">
        <v>2019</v>
      </c>
      <c r="C2733" t="s">
        <v>696</v>
      </c>
      <c r="D2733" t="s">
        <v>698</v>
      </c>
      <c r="E2733" t="s">
        <v>697</v>
      </c>
      <c r="F2733" s="4">
        <v>2578458</v>
      </c>
      <c r="G2733" s="4" t="s">
        <v>7</v>
      </c>
      <c r="H2733" t="str">
        <f>IFERROR(VLOOKUP(E2733,'GASB Match'!$A$2:$B$240,2,FALSE),"")</f>
        <v/>
      </c>
    </row>
    <row r="2734" spans="1:8" x14ac:dyDescent="0.2">
      <c r="A2734" t="s">
        <v>7</v>
      </c>
      <c r="B2734" s="3">
        <v>2020</v>
      </c>
      <c r="C2734" t="s">
        <v>696</v>
      </c>
      <c r="D2734" t="s">
        <v>698</v>
      </c>
      <c r="E2734" t="s">
        <v>697</v>
      </c>
      <c r="F2734" s="4">
        <v>2615895</v>
      </c>
      <c r="G2734" s="4" t="s">
        <v>7</v>
      </c>
      <c r="H2734" t="str">
        <f>IFERROR(VLOOKUP(E2734,'GASB Match'!$A$2:$B$240,2,FALSE),"")</f>
        <v/>
      </c>
    </row>
    <row r="2735" spans="1:8" x14ac:dyDescent="0.2">
      <c r="A2735" t="s">
        <v>7</v>
      </c>
      <c r="B2735" s="3">
        <v>2021</v>
      </c>
      <c r="C2735" t="s">
        <v>696</v>
      </c>
      <c r="D2735" t="s">
        <v>699</v>
      </c>
      <c r="E2735" t="s">
        <v>697</v>
      </c>
      <c r="F2735" s="4">
        <v>2316846</v>
      </c>
      <c r="G2735" s="4" t="s">
        <v>7</v>
      </c>
      <c r="H2735" t="str">
        <f>IFERROR(VLOOKUP(E2735,'GASB Match'!$A$2:$B$240,2,FALSE),"")</f>
        <v/>
      </c>
    </row>
    <row r="2736" spans="1:8" x14ac:dyDescent="0.2">
      <c r="A2736" t="s">
        <v>7</v>
      </c>
      <c r="B2736" s="3">
        <v>2022</v>
      </c>
      <c r="C2736" t="s">
        <v>696</v>
      </c>
      <c r="D2736" t="s">
        <v>697</v>
      </c>
      <c r="E2736" t="s">
        <v>697</v>
      </c>
      <c r="F2736" s="4">
        <v>2431728</v>
      </c>
      <c r="G2736" s="4" t="s">
        <v>7</v>
      </c>
      <c r="H2736" t="str">
        <f>IFERROR(VLOOKUP(E2736,'GASB Match'!$A$2:$B$240,2,FALSE),"")</f>
        <v/>
      </c>
    </row>
    <row r="2737" spans="1:8" x14ac:dyDescent="0.2">
      <c r="A2737" t="s">
        <v>7</v>
      </c>
      <c r="B2737" s="3">
        <v>2023</v>
      </c>
      <c r="C2737" t="s">
        <v>696</v>
      </c>
      <c r="D2737" t="s">
        <v>697</v>
      </c>
      <c r="E2737" t="s">
        <v>697</v>
      </c>
      <c r="F2737" s="4">
        <v>2588754</v>
      </c>
      <c r="G2737" s="4" t="s">
        <v>7</v>
      </c>
      <c r="H2737" t="str">
        <f>IFERROR(VLOOKUP(E2737,'GASB Match'!$A$2:$B$240,2,FALSE),"")</f>
        <v/>
      </c>
    </row>
    <row r="2738" spans="1:8" x14ac:dyDescent="0.2">
      <c r="A2738" t="s">
        <v>7</v>
      </c>
      <c r="B2738" s="3">
        <v>2015</v>
      </c>
      <c r="C2738" t="s">
        <v>700</v>
      </c>
      <c r="D2738" t="s">
        <v>701</v>
      </c>
      <c r="E2738" t="s">
        <v>701</v>
      </c>
      <c r="F2738" s="4">
        <v>544565.56000000006</v>
      </c>
      <c r="G2738" s="4" t="s">
        <v>7</v>
      </c>
      <c r="H2738" t="str">
        <f>IFERROR(VLOOKUP(E2738,'GASB Match'!$A$2:$B$240,2,FALSE),"")</f>
        <v/>
      </c>
    </row>
    <row r="2739" spans="1:8" x14ac:dyDescent="0.2">
      <c r="A2739" t="s">
        <v>7</v>
      </c>
      <c r="B2739" s="3">
        <v>2016</v>
      </c>
      <c r="C2739" t="s">
        <v>700</v>
      </c>
      <c r="D2739" t="s">
        <v>701</v>
      </c>
      <c r="E2739" t="s">
        <v>701</v>
      </c>
      <c r="F2739" s="4">
        <v>1133502.74</v>
      </c>
      <c r="G2739" s="4" t="s">
        <v>7</v>
      </c>
      <c r="H2739" t="str">
        <f>IFERROR(VLOOKUP(E2739,'GASB Match'!$A$2:$B$240,2,FALSE),"")</f>
        <v/>
      </c>
    </row>
    <row r="2740" spans="1:8" x14ac:dyDescent="0.2">
      <c r="A2740" t="s">
        <v>7</v>
      </c>
      <c r="B2740" s="3">
        <v>2017</v>
      </c>
      <c r="C2740" t="s">
        <v>700</v>
      </c>
      <c r="D2740" t="s">
        <v>701</v>
      </c>
      <c r="E2740" t="s">
        <v>701</v>
      </c>
      <c r="F2740" s="4">
        <v>1099976</v>
      </c>
      <c r="G2740" s="4" t="s">
        <v>7</v>
      </c>
      <c r="H2740" t="str">
        <f>IFERROR(VLOOKUP(E2740,'GASB Match'!$A$2:$B$240,2,FALSE),"")</f>
        <v/>
      </c>
    </row>
    <row r="2741" spans="1:8" x14ac:dyDescent="0.2">
      <c r="A2741" t="s">
        <v>7</v>
      </c>
      <c r="B2741" s="3">
        <v>2018</v>
      </c>
      <c r="C2741" t="s">
        <v>700</v>
      </c>
      <c r="D2741" t="s">
        <v>701</v>
      </c>
      <c r="E2741" t="s">
        <v>701</v>
      </c>
      <c r="F2741" s="4">
        <v>1314208</v>
      </c>
      <c r="G2741" s="4" t="s">
        <v>7</v>
      </c>
      <c r="H2741" t="str">
        <f>IFERROR(VLOOKUP(E2741,'GASB Match'!$A$2:$B$240,2,FALSE),"")</f>
        <v/>
      </c>
    </row>
    <row r="2742" spans="1:8" x14ac:dyDescent="0.2">
      <c r="A2742" t="s">
        <v>7</v>
      </c>
      <c r="B2742" s="3">
        <v>2019</v>
      </c>
      <c r="C2742" t="s">
        <v>700</v>
      </c>
      <c r="D2742" t="s">
        <v>701</v>
      </c>
      <c r="E2742" t="s">
        <v>701</v>
      </c>
      <c r="F2742" s="4">
        <v>1862690</v>
      </c>
      <c r="G2742" s="4" t="s">
        <v>7</v>
      </c>
      <c r="H2742" t="str">
        <f>IFERROR(VLOOKUP(E2742,'GASB Match'!$A$2:$B$240,2,FALSE),"")</f>
        <v/>
      </c>
    </row>
    <row r="2743" spans="1:8" x14ac:dyDescent="0.2">
      <c r="A2743" t="s">
        <v>7</v>
      </c>
      <c r="B2743" s="3">
        <v>2020</v>
      </c>
      <c r="C2743" t="s">
        <v>700</v>
      </c>
      <c r="D2743" t="s">
        <v>701</v>
      </c>
      <c r="E2743" t="s">
        <v>701</v>
      </c>
      <c r="F2743" s="4">
        <v>1972471</v>
      </c>
      <c r="G2743" s="4" t="s">
        <v>7</v>
      </c>
      <c r="H2743" t="str">
        <f>IFERROR(VLOOKUP(E2743,'GASB Match'!$A$2:$B$240,2,FALSE),"")</f>
        <v/>
      </c>
    </row>
    <row r="2744" spans="1:8" x14ac:dyDescent="0.2">
      <c r="A2744" t="s">
        <v>7</v>
      </c>
      <c r="B2744" s="3">
        <v>2021</v>
      </c>
      <c r="C2744" t="s">
        <v>700</v>
      </c>
      <c r="D2744" t="s">
        <v>701</v>
      </c>
      <c r="E2744" t="s">
        <v>701</v>
      </c>
      <c r="F2744" s="4">
        <v>1697651</v>
      </c>
      <c r="G2744" s="4" t="s">
        <v>7</v>
      </c>
      <c r="H2744" t="str">
        <f>IFERROR(VLOOKUP(E2744,'GASB Match'!$A$2:$B$240,2,FALSE),"")</f>
        <v/>
      </c>
    </row>
    <row r="2745" spans="1:8" x14ac:dyDescent="0.2">
      <c r="A2745" t="s">
        <v>7</v>
      </c>
      <c r="B2745" s="3">
        <v>2022</v>
      </c>
      <c r="C2745" t="s">
        <v>700</v>
      </c>
      <c r="D2745" t="s">
        <v>701</v>
      </c>
      <c r="E2745" t="s">
        <v>701</v>
      </c>
      <c r="F2745" s="4">
        <v>1798310</v>
      </c>
      <c r="G2745" s="4" t="s">
        <v>7</v>
      </c>
      <c r="H2745" t="str">
        <f>IFERROR(VLOOKUP(E2745,'GASB Match'!$A$2:$B$240,2,FALSE),"")</f>
        <v/>
      </c>
    </row>
    <row r="2746" spans="1:8" x14ac:dyDescent="0.2">
      <c r="A2746" t="s">
        <v>7</v>
      </c>
      <c r="B2746" s="3">
        <v>2023</v>
      </c>
      <c r="C2746" t="s">
        <v>700</v>
      </c>
      <c r="D2746" t="s">
        <v>701</v>
      </c>
      <c r="E2746" t="s">
        <v>701</v>
      </c>
      <c r="F2746" s="4">
        <v>1939479</v>
      </c>
      <c r="G2746" s="4" t="s">
        <v>7</v>
      </c>
      <c r="H2746" t="str">
        <f>IFERROR(VLOOKUP(E2746,'GASB Match'!$A$2:$B$240,2,FALSE),"")</f>
        <v/>
      </c>
    </row>
    <row r="2747" spans="1:8" x14ac:dyDescent="0.2">
      <c r="A2747" t="s">
        <v>7</v>
      </c>
      <c r="B2747" s="3">
        <v>2015</v>
      </c>
      <c r="C2747" t="s">
        <v>702</v>
      </c>
      <c r="D2747" t="s">
        <v>704</v>
      </c>
      <c r="E2747" t="s">
        <v>703</v>
      </c>
      <c r="F2747" s="4">
        <v>620932.4</v>
      </c>
      <c r="G2747" s="4" t="s">
        <v>7</v>
      </c>
      <c r="H2747" t="str">
        <f>IFERROR(VLOOKUP(E2747,'GASB Match'!$A$2:$B$240,2,FALSE),"")</f>
        <v/>
      </c>
    </row>
    <row r="2748" spans="1:8" x14ac:dyDescent="0.2">
      <c r="A2748" t="s">
        <v>7</v>
      </c>
      <c r="B2748" s="3">
        <v>2016</v>
      </c>
      <c r="C2748" t="s">
        <v>702</v>
      </c>
      <c r="D2748" t="s">
        <v>704</v>
      </c>
      <c r="E2748" t="s">
        <v>703</v>
      </c>
      <c r="F2748" s="4">
        <v>647528.12</v>
      </c>
      <c r="G2748" s="4" t="s">
        <v>7</v>
      </c>
      <c r="H2748" t="str">
        <f>IFERROR(VLOOKUP(E2748,'GASB Match'!$A$2:$B$240,2,FALSE),"")</f>
        <v/>
      </c>
    </row>
    <row r="2749" spans="1:8" x14ac:dyDescent="0.2">
      <c r="A2749" t="s">
        <v>7</v>
      </c>
      <c r="B2749" s="3">
        <v>2017</v>
      </c>
      <c r="C2749" t="s">
        <v>702</v>
      </c>
      <c r="D2749" t="s">
        <v>704</v>
      </c>
      <c r="E2749" t="s">
        <v>703</v>
      </c>
      <c r="F2749" s="4">
        <v>683163</v>
      </c>
      <c r="G2749" s="4" t="s">
        <v>7</v>
      </c>
      <c r="H2749" t="str">
        <f>IFERROR(VLOOKUP(E2749,'GASB Match'!$A$2:$B$240,2,FALSE),"")</f>
        <v/>
      </c>
    </row>
    <row r="2750" spans="1:8" x14ac:dyDescent="0.2">
      <c r="A2750" t="s">
        <v>7</v>
      </c>
      <c r="B2750" s="3">
        <v>2018</v>
      </c>
      <c r="C2750" t="s">
        <v>702</v>
      </c>
      <c r="D2750" t="s">
        <v>704</v>
      </c>
      <c r="E2750" t="s">
        <v>703</v>
      </c>
      <c r="F2750" s="4">
        <v>842452</v>
      </c>
      <c r="G2750" s="4" t="s">
        <v>7</v>
      </c>
      <c r="H2750" t="str">
        <f>IFERROR(VLOOKUP(E2750,'GASB Match'!$A$2:$B$240,2,FALSE),"")</f>
        <v/>
      </c>
    </row>
    <row r="2751" spans="1:8" x14ac:dyDescent="0.2">
      <c r="A2751" t="s">
        <v>7</v>
      </c>
      <c r="B2751" s="3">
        <v>2019</v>
      </c>
      <c r="C2751" t="s">
        <v>702</v>
      </c>
      <c r="D2751" t="s">
        <v>704</v>
      </c>
      <c r="E2751" t="s">
        <v>703</v>
      </c>
      <c r="F2751" s="4">
        <v>1074596</v>
      </c>
      <c r="G2751" s="4" t="s">
        <v>7</v>
      </c>
      <c r="H2751" t="str">
        <f>IFERROR(VLOOKUP(E2751,'GASB Match'!$A$2:$B$240,2,FALSE),"")</f>
        <v/>
      </c>
    </row>
    <row r="2752" spans="1:8" x14ac:dyDescent="0.2">
      <c r="A2752" t="s">
        <v>7</v>
      </c>
      <c r="B2752" s="3">
        <v>2020</v>
      </c>
      <c r="C2752" t="s">
        <v>702</v>
      </c>
      <c r="D2752" t="s">
        <v>704</v>
      </c>
      <c r="E2752" t="s">
        <v>703</v>
      </c>
      <c r="F2752" s="4">
        <v>1089934</v>
      </c>
      <c r="G2752" s="4" t="s">
        <v>7</v>
      </c>
      <c r="H2752" t="str">
        <f>IFERROR(VLOOKUP(E2752,'GASB Match'!$A$2:$B$240,2,FALSE),"")</f>
        <v/>
      </c>
    </row>
    <row r="2753" spans="1:8" x14ac:dyDescent="0.2">
      <c r="A2753" t="s">
        <v>7</v>
      </c>
      <c r="B2753" s="3">
        <v>2021</v>
      </c>
      <c r="C2753" t="s">
        <v>702</v>
      </c>
      <c r="D2753" t="s">
        <v>705</v>
      </c>
      <c r="E2753" t="s">
        <v>703</v>
      </c>
      <c r="F2753" s="4">
        <v>921496</v>
      </c>
      <c r="G2753" s="4" t="s">
        <v>7</v>
      </c>
      <c r="H2753" t="str">
        <f>IFERROR(VLOOKUP(E2753,'GASB Match'!$A$2:$B$240,2,FALSE),"")</f>
        <v/>
      </c>
    </row>
    <row r="2754" spans="1:8" x14ac:dyDescent="0.2">
      <c r="A2754" t="s">
        <v>7</v>
      </c>
      <c r="B2754" s="3">
        <v>2022</v>
      </c>
      <c r="C2754" t="s">
        <v>702</v>
      </c>
      <c r="D2754" t="s">
        <v>703</v>
      </c>
      <c r="E2754" t="s">
        <v>703</v>
      </c>
      <c r="F2754" s="4">
        <v>978541</v>
      </c>
      <c r="G2754" s="4" t="s">
        <v>7</v>
      </c>
      <c r="H2754" t="str">
        <f>IFERROR(VLOOKUP(E2754,'GASB Match'!$A$2:$B$240,2,FALSE),"")</f>
        <v/>
      </c>
    </row>
    <row r="2755" spans="1:8" x14ac:dyDescent="0.2">
      <c r="A2755" t="s">
        <v>7</v>
      </c>
      <c r="B2755" s="3">
        <v>2023</v>
      </c>
      <c r="C2755" t="s">
        <v>702</v>
      </c>
      <c r="D2755" t="s">
        <v>703</v>
      </c>
      <c r="E2755" t="s">
        <v>703</v>
      </c>
      <c r="F2755" s="4">
        <v>1057787</v>
      </c>
      <c r="G2755" s="4" t="s">
        <v>7</v>
      </c>
      <c r="H2755" t="str">
        <f>IFERROR(VLOOKUP(E2755,'GASB Match'!$A$2:$B$240,2,FALSE),"")</f>
        <v/>
      </c>
    </row>
    <row r="2756" spans="1:8" x14ac:dyDescent="0.2">
      <c r="A2756" t="s">
        <v>7</v>
      </c>
      <c r="B2756" s="3">
        <v>2015</v>
      </c>
      <c r="C2756" t="s">
        <v>706</v>
      </c>
      <c r="D2756" t="s">
        <v>707</v>
      </c>
      <c r="E2756" t="s">
        <v>707</v>
      </c>
      <c r="F2756" s="4">
        <v>962464.52</v>
      </c>
      <c r="G2756" s="4" t="s">
        <v>7</v>
      </c>
      <c r="H2756" t="str">
        <f>IFERROR(VLOOKUP(E2756,'GASB Match'!$A$2:$B$240,2,FALSE),"")</f>
        <v/>
      </c>
    </row>
    <row r="2757" spans="1:8" x14ac:dyDescent="0.2">
      <c r="A2757" t="s">
        <v>7</v>
      </c>
      <c r="B2757" s="3">
        <v>2016</v>
      </c>
      <c r="C2757" t="s">
        <v>706</v>
      </c>
      <c r="D2757" t="s">
        <v>707</v>
      </c>
      <c r="E2757" t="s">
        <v>707</v>
      </c>
      <c r="F2757" s="4">
        <v>1051992.5900000001</v>
      </c>
      <c r="G2757" s="4" t="s">
        <v>7</v>
      </c>
      <c r="H2757" t="str">
        <f>IFERROR(VLOOKUP(E2757,'GASB Match'!$A$2:$B$240,2,FALSE),"")</f>
        <v/>
      </c>
    </row>
    <row r="2758" spans="1:8" x14ac:dyDescent="0.2">
      <c r="A2758" t="s">
        <v>7</v>
      </c>
      <c r="B2758" s="3">
        <v>2017</v>
      </c>
      <c r="C2758" t="s">
        <v>706</v>
      </c>
      <c r="D2758" t="s">
        <v>707</v>
      </c>
      <c r="E2758" t="s">
        <v>707</v>
      </c>
      <c r="F2758" s="4">
        <v>1057116</v>
      </c>
      <c r="G2758" s="4" t="s">
        <v>7</v>
      </c>
      <c r="H2758" t="str">
        <f>IFERROR(VLOOKUP(E2758,'GASB Match'!$A$2:$B$240,2,FALSE),"")</f>
        <v/>
      </c>
    </row>
    <row r="2759" spans="1:8" x14ac:dyDescent="0.2">
      <c r="A2759" t="s">
        <v>7</v>
      </c>
      <c r="B2759" s="3">
        <v>2018</v>
      </c>
      <c r="C2759" t="s">
        <v>706</v>
      </c>
      <c r="D2759" t="s">
        <v>707</v>
      </c>
      <c r="E2759" t="s">
        <v>707</v>
      </c>
      <c r="F2759" s="4">
        <v>1185417</v>
      </c>
      <c r="G2759" s="4" t="s">
        <v>7</v>
      </c>
      <c r="H2759" t="str">
        <f>IFERROR(VLOOKUP(E2759,'GASB Match'!$A$2:$B$240,2,FALSE),"")</f>
        <v/>
      </c>
    </row>
    <row r="2760" spans="1:8" x14ac:dyDescent="0.2">
      <c r="A2760" t="s">
        <v>7</v>
      </c>
      <c r="B2760" s="3">
        <v>2019</v>
      </c>
      <c r="C2760" t="s">
        <v>706</v>
      </c>
      <c r="D2760" t="s">
        <v>707</v>
      </c>
      <c r="E2760" t="s">
        <v>707</v>
      </c>
      <c r="F2760" s="4">
        <v>1386498</v>
      </c>
      <c r="G2760" s="4" t="s">
        <v>7</v>
      </c>
      <c r="H2760" t="str">
        <f>IFERROR(VLOOKUP(E2760,'GASB Match'!$A$2:$B$240,2,FALSE),"")</f>
        <v/>
      </c>
    </row>
    <row r="2761" spans="1:8" x14ac:dyDescent="0.2">
      <c r="A2761" t="s">
        <v>7</v>
      </c>
      <c r="B2761" s="3">
        <v>2020</v>
      </c>
      <c r="C2761" t="s">
        <v>706</v>
      </c>
      <c r="D2761" t="s">
        <v>707</v>
      </c>
      <c r="E2761" t="s">
        <v>707</v>
      </c>
      <c r="F2761" s="4">
        <v>1374914</v>
      </c>
      <c r="G2761" s="4" t="s">
        <v>7</v>
      </c>
      <c r="H2761" t="str">
        <f>IFERROR(VLOOKUP(E2761,'GASB Match'!$A$2:$B$240,2,FALSE),"")</f>
        <v/>
      </c>
    </row>
    <row r="2762" spans="1:8" x14ac:dyDescent="0.2">
      <c r="A2762" t="s">
        <v>7</v>
      </c>
      <c r="B2762" s="3">
        <v>2021</v>
      </c>
      <c r="C2762" t="s">
        <v>706</v>
      </c>
      <c r="D2762" t="s">
        <v>707</v>
      </c>
      <c r="E2762" t="s">
        <v>707</v>
      </c>
      <c r="F2762" s="4">
        <v>1155483</v>
      </c>
      <c r="G2762" s="4" t="s">
        <v>7</v>
      </c>
      <c r="H2762" t="str">
        <f>IFERROR(VLOOKUP(E2762,'GASB Match'!$A$2:$B$240,2,FALSE),"")</f>
        <v/>
      </c>
    </row>
    <row r="2763" spans="1:8" x14ac:dyDescent="0.2">
      <c r="A2763" t="s">
        <v>7</v>
      </c>
      <c r="B2763" s="3">
        <v>2022</v>
      </c>
      <c r="C2763" t="s">
        <v>706</v>
      </c>
      <c r="D2763" t="s">
        <v>707</v>
      </c>
      <c r="E2763" t="s">
        <v>707</v>
      </c>
      <c r="F2763" s="4">
        <v>1151340</v>
      </c>
      <c r="G2763" s="4" t="s">
        <v>7</v>
      </c>
      <c r="H2763" t="str">
        <f>IFERROR(VLOOKUP(E2763,'GASB Match'!$A$2:$B$240,2,FALSE),"")</f>
        <v/>
      </c>
    </row>
    <row r="2764" spans="1:8" x14ac:dyDescent="0.2">
      <c r="A2764" t="s">
        <v>7</v>
      </c>
      <c r="B2764" s="3">
        <v>2023</v>
      </c>
      <c r="C2764" t="s">
        <v>706</v>
      </c>
      <c r="D2764" t="s">
        <v>707</v>
      </c>
      <c r="E2764" t="s">
        <v>707</v>
      </c>
      <c r="F2764" s="4">
        <v>1232558</v>
      </c>
      <c r="G2764" s="4" t="s">
        <v>7</v>
      </c>
      <c r="H2764" t="str">
        <f>IFERROR(VLOOKUP(E2764,'GASB Match'!$A$2:$B$240,2,FALSE),"")</f>
        <v/>
      </c>
    </row>
    <row r="2765" spans="1:8" x14ac:dyDescent="0.2">
      <c r="A2765" t="s">
        <v>7</v>
      </c>
      <c r="B2765" s="3">
        <v>2015</v>
      </c>
      <c r="C2765" t="s">
        <v>708</v>
      </c>
      <c r="D2765" t="s">
        <v>710</v>
      </c>
      <c r="E2765" t="s">
        <v>709</v>
      </c>
      <c r="F2765" s="4">
        <v>514566.29</v>
      </c>
      <c r="G2765" s="4" t="s">
        <v>7</v>
      </c>
      <c r="H2765" t="str">
        <f>IFERROR(VLOOKUP(E2765,'GASB Match'!$A$2:$B$240,2,FALSE),"")</f>
        <v/>
      </c>
    </row>
    <row r="2766" spans="1:8" x14ac:dyDescent="0.2">
      <c r="A2766" t="s">
        <v>7</v>
      </c>
      <c r="B2766" s="3">
        <v>2016</v>
      </c>
      <c r="C2766" t="s">
        <v>708</v>
      </c>
      <c r="D2766" t="s">
        <v>710</v>
      </c>
      <c r="E2766" t="s">
        <v>709</v>
      </c>
      <c r="F2766" s="4">
        <v>570766.47</v>
      </c>
      <c r="G2766" s="4" t="s">
        <v>7</v>
      </c>
      <c r="H2766" t="str">
        <f>IFERROR(VLOOKUP(E2766,'GASB Match'!$A$2:$B$240,2,FALSE),"")</f>
        <v/>
      </c>
    </row>
    <row r="2767" spans="1:8" x14ac:dyDescent="0.2">
      <c r="A2767" t="s">
        <v>7</v>
      </c>
      <c r="B2767" s="3">
        <v>2017</v>
      </c>
      <c r="C2767" t="s">
        <v>708</v>
      </c>
      <c r="D2767" t="s">
        <v>710</v>
      </c>
      <c r="E2767" t="s">
        <v>709</v>
      </c>
      <c r="F2767" s="4">
        <v>540537</v>
      </c>
      <c r="G2767" s="4" t="s">
        <v>7</v>
      </c>
      <c r="H2767" t="str">
        <f>IFERROR(VLOOKUP(E2767,'GASB Match'!$A$2:$B$240,2,FALSE),"")</f>
        <v/>
      </c>
    </row>
    <row r="2768" spans="1:8" x14ac:dyDescent="0.2">
      <c r="A2768" t="s">
        <v>7</v>
      </c>
      <c r="B2768" s="3">
        <v>2018</v>
      </c>
      <c r="C2768" t="s">
        <v>708</v>
      </c>
      <c r="D2768" t="s">
        <v>710</v>
      </c>
      <c r="E2768" t="s">
        <v>709</v>
      </c>
      <c r="F2768" s="4">
        <v>608018</v>
      </c>
      <c r="G2768" s="4" t="s">
        <v>7</v>
      </c>
      <c r="H2768" t="str">
        <f>IFERROR(VLOOKUP(E2768,'GASB Match'!$A$2:$B$240,2,FALSE),"")</f>
        <v/>
      </c>
    </row>
    <row r="2769" spans="1:8" x14ac:dyDescent="0.2">
      <c r="A2769" t="s">
        <v>7</v>
      </c>
      <c r="B2769" s="3">
        <v>2019</v>
      </c>
      <c r="C2769" t="s">
        <v>708</v>
      </c>
      <c r="D2769" t="s">
        <v>710</v>
      </c>
      <c r="E2769" t="s">
        <v>709</v>
      </c>
      <c r="F2769" s="4">
        <v>746411</v>
      </c>
      <c r="G2769" s="4" t="s">
        <v>7</v>
      </c>
      <c r="H2769" t="str">
        <f>IFERROR(VLOOKUP(E2769,'GASB Match'!$A$2:$B$240,2,FALSE),"")</f>
        <v/>
      </c>
    </row>
    <row r="2770" spans="1:8" x14ac:dyDescent="0.2">
      <c r="A2770" t="s">
        <v>7</v>
      </c>
      <c r="B2770" s="3">
        <v>2020</v>
      </c>
      <c r="C2770" t="s">
        <v>708</v>
      </c>
      <c r="D2770" t="s">
        <v>710</v>
      </c>
      <c r="E2770" t="s">
        <v>709</v>
      </c>
      <c r="F2770" s="4">
        <v>710199</v>
      </c>
      <c r="G2770" s="4" t="s">
        <v>7</v>
      </c>
      <c r="H2770" t="str">
        <f>IFERROR(VLOOKUP(E2770,'GASB Match'!$A$2:$B$240,2,FALSE),"")</f>
        <v/>
      </c>
    </row>
    <row r="2771" spans="1:8" x14ac:dyDescent="0.2">
      <c r="A2771" t="s">
        <v>7</v>
      </c>
      <c r="B2771" s="3">
        <v>2021</v>
      </c>
      <c r="C2771" t="s">
        <v>708</v>
      </c>
      <c r="D2771" t="s">
        <v>711</v>
      </c>
      <c r="E2771" t="s">
        <v>709</v>
      </c>
      <c r="F2771" s="4">
        <v>560558</v>
      </c>
      <c r="G2771" s="4" t="s">
        <v>7</v>
      </c>
      <c r="H2771" t="str">
        <f>IFERROR(VLOOKUP(E2771,'GASB Match'!$A$2:$B$240,2,FALSE),"")</f>
        <v/>
      </c>
    </row>
    <row r="2772" spans="1:8" x14ac:dyDescent="0.2">
      <c r="A2772" t="s">
        <v>7</v>
      </c>
      <c r="B2772" s="3">
        <v>2022</v>
      </c>
      <c r="C2772" t="s">
        <v>708</v>
      </c>
      <c r="D2772" t="s">
        <v>709</v>
      </c>
      <c r="E2772" t="s">
        <v>709</v>
      </c>
      <c r="F2772" s="4">
        <v>629066</v>
      </c>
      <c r="G2772" s="4" t="s">
        <v>7</v>
      </c>
      <c r="H2772" t="str">
        <f>IFERROR(VLOOKUP(E2772,'GASB Match'!$A$2:$B$240,2,FALSE),"")</f>
        <v/>
      </c>
    </row>
    <row r="2773" spans="1:8" x14ac:dyDescent="0.2">
      <c r="A2773" t="s">
        <v>7</v>
      </c>
      <c r="B2773" s="3">
        <v>2023</v>
      </c>
      <c r="C2773" t="s">
        <v>708</v>
      </c>
      <c r="D2773" t="s">
        <v>709</v>
      </c>
      <c r="E2773" t="s">
        <v>709</v>
      </c>
      <c r="F2773" s="4">
        <v>682402</v>
      </c>
      <c r="G2773" s="4" t="s">
        <v>7</v>
      </c>
      <c r="H2773" t="str">
        <f>IFERROR(VLOOKUP(E2773,'GASB Match'!$A$2:$B$240,2,FALSE),"")</f>
        <v/>
      </c>
    </row>
    <row r="2774" spans="1:8" x14ac:dyDescent="0.2">
      <c r="A2774" t="s">
        <v>7</v>
      </c>
      <c r="B2774" s="3">
        <v>2015</v>
      </c>
      <c r="C2774" t="s">
        <v>712</v>
      </c>
      <c r="D2774" t="s">
        <v>714</v>
      </c>
      <c r="E2774" t="s">
        <v>713</v>
      </c>
      <c r="F2774" s="4">
        <v>735319.84</v>
      </c>
      <c r="G2774" s="4" t="s">
        <v>7</v>
      </c>
      <c r="H2774" t="str">
        <f>IFERROR(VLOOKUP(E2774,'GASB Match'!$A$2:$B$240,2,FALSE),"")</f>
        <v/>
      </c>
    </row>
    <row r="2775" spans="1:8" x14ac:dyDescent="0.2">
      <c r="A2775" t="s">
        <v>7</v>
      </c>
      <c r="B2775" s="3">
        <v>2016</v>
      </c>
      <c r="C2775" t="s">
        <v>712</v>
      </c>
      <c r="D2775" t="s">
        <v>714</v>
      </c>
      <c r="E2775" t="s">
        <v>713</v>
      </c>
      <c r="F2775" s="4">
        <v>770144.76</v>
      </c>
      <c r="G2775" s="4" t="s">
        <v>7</v>
      </c>
      <c r="H2775" t="str">
        <f>IFERROR(VLOOKUP(E2775,'GASB Match'!$A$2:$B$240,2,FALSE),"")</f>
        <v/>
      </c>
    </row>
    <row r="2776" spans="1:8" x14ac:dyDescent="0.2">
      <c r="A2776" t="s">
        <v>7</v>
      </c>
      <c r="B2776" s="3">
        <v>2017</v>
      </c>
      <c r="C2776" t="s">
        <v>712</v>
      </c>
      <c r="D2776" t="s">
        <v>714</v>
      </c>
      <c r="E2776" t="s">
        <v>713</v>
      </c>
      <c r="F2776" s="4">
        <v>775524</v>
      </c>
      <c r="G2776" s="4" t="s">
        <v>7</v>
      </c>
      <c r="H2776" t="str">
        <f>IFERROR(VLOOKUP(E2776,'GASB Match'!$A$2:$B$240,2,FALSE),"")</f>
        <v/>
      </c>
    </row>
    <row r="2777" spans="1:8" x14ac:dyDescent="0.2">
      <c r="A2777" t="s">
        <v>7</v>
      </c>
      <c r="B2777" s="3">
        <v>2018</v>
      </c>
      <c r="C2777" t="s">
        <v>712</v>
      </c>
      <c r="D2777" t="s">
        <v>714</v>
      </c>
      <c r="E2777" t="s">
        <v>713</v>
      </c>
      <c r="F2777" s="4">
        <v>924932</v>
      </c>
      <c r="G2777" s="4" t="s">
        <v>7</v>
      </c>
      <c r="H2777" t="str">
        <f>IFERROR(VLOOKUP(E2777,'GASB Match'!$A$2:$B$240,2,FALSE),"")</f>
        <v/>
      </c>
    </row>
    <row r="2778" spans="1:8" x14ac:dyDescent="0.2">
      <c r="A2778" t="s">
        <v>7</v>
      </c>
      <c r="B2778" s="3">
        <v>2019</v>
      </c>
      <c r="C2778" t="s">
        <v>712</v>
      </c>
      <c r="D2778" t="s">
        <v>714</v>
      </c>
      <c r="E2778" t="s">
        <v>713</v>
      </c>
      <c r="F2778" s="4">
        <v>1126373</v>
      </c>
      <c r="G2778" s="4" t="s">
        <v>7</v>
      </c>
      <c r="H2778" t="str">
        <f>IFERROR(VLOOKUP(E2778,'GASB Match'!$A$2:$B$240,2,FALSE),"")</f>
        <v/>
      </c>
    </row>
    <row r="2779" spans="1:8" x14ac:dyDescent="0.2">
      <c r="A2779" t="s">
        <v>7</v>
      </c>
      <c r="B2779" s="3">
        <v>2020</v>
      </c>
      <c r="C2779" t="s">
        <v>712</v>
      </c>
      <c r="D2779" t="s">
        <v>714</v>
      </c>
      <c r="E2779" t="s">
        <v>713</v>
      </c>
      <c r="F2779" s="4">
        <v>1148463</v>
      </c>
      <c r="G2779" s="4" t="s">
        <v>7</v>
      </c>
      <c r="H2779" t="str">
        <f>IFERROR(VLOOKUP(E2779,'GASB Match'!$A$2:$B$240,2,FALSE),"")</f>
        <v/>
      </c>
    </row>
    <row r="2780" spans="1:8" x14ac:dyDescent="0.2">
      <c r="A2780" t="s">
        <v>7</v>
      </c>
      <c r="B2780" s="3">
        <v>2021</v>
      </c>
      <c r="C2780" t="s">
        <v>712</v>
      </c>
      <c r="D2780" t="s">
        <v>715</v>
      </c>
      <c r="E2780" t="s">
        <v>713</v>
      </c>
      <c r="F2780" s="4">
        <v>1028919</v>
      </c>
      <c r="G2780" s="4" t="s">
        <v>7</v>
      </c>
      <c r="H2780" t="str">
        <f>IFERROR(VLOOKUP(E2780,'GASB Match'!$A$2:$B$240,2,FALSE),"")</f>
        <v/>
      </c>
    </row>
    <row r="2781" spans="1:8" x14ac:dyDescent="0.2">
      <c r="A2781" t="s">
        <v>7</v>
      </c>
      <c r="B2781" s="3">
        <v>2022</v>
      </c>
      <c r="C2781" t="s">
        <v>712</v>
      </c>
      <c r="D2781" t="s">
        <v>713</v>
      </c>
      <c r="E2781" t="s">
        <v>713</v>
      </c>
      <c r="F2781" s="4">
        <v>1037863</v>
      </c>
      <c r="G2781" s="4" t="s">
        <v>7</v>
      </c>
      <c r="H2781" t="str">
        <f>IFERROR(VLOOKUP(E2781,'GASB Match'!$A$2:$B$240,2,FALSE),"")</f>
        <v/>
      </c>
    </row>
    <row r="2782" spans="1:8" x14ac:dyDescent="0.2">
      <c r="A2782" t="s">
        <v>7</v>
      </c>
      <c r="B2782" s="3">
        <v>2023</v>
      </c>
      <c r="C2782" t="s">
        <v>712</v>
      </c>
      <c r="D2782" t="s">
        <v>713</v>
      </c>
      <c r="E2782" t="s">
        <v>713</v>
      </c>
      <c r="F2782" s="4">
        <v>1072812</v>
      </c>
      <c r="G2782" s="4" t="s">
        <v>7</v>
      </c>
      <c r="H2782" t="str">
        <f>IFERROR(VLOOKUP(E2782,'GASB Match'!$A$2:$B$240,2,FALSE),"")</f>
        <v/>
      </c>
    </row>
    <row r="2783" spans="1:8" x14ac:dyDescent="0.2">
      <c r="A2783" t="s">
        <v>7</v>
      </c>
      <c r="B2783" s="3">
        <v>2015</v>
      </c>
      <c r="C2783" t="s">
        <v>716</v>
      </c>
      <c r="D2783" t="s">
        <v>717</v>
      </c>
      <c r="E2783" t="s">
        <v>717</v>
      </c>
      <c r="F2783" s="4">
        <v>942968.88</v>
      </c>
      <c r="G2783" s="4" t="s">
        <v>7</v>
      </c>
      <c r="H2783" t="str">
        <f>IFERROR(VLOOKUP(E2783,'GASB Match'!$A$2:$B$240,2,FALSE),"")</f>
        <v/>
      </c>
    </row>
    <row r="2784" spans="1:8" x14ac:dyDescent="0.2">
      <c r="A2784" t="s">
        <v>7</v>
      </c>
      <c r="B2784" s="3">
        <v>2016</v>
      </c>
      <c r="C2784" t="s">
        <v>716</v>
      </c>
      <c r="D2784" t="s">
        <v>717</v>
      </c>
      <c r="E2784" t="s">
        <v>717</v>
      </c>
      <c r="F2784" s="4">
        <v>930872.46</v>
      </c>
      <c r="G2784" s="4" t="s">
        <v>7</v>
      </c>
      <c r="H2784" t="str">
        <f>IFERROR(VLOOKUP(E2784,'GASB Match'!$A$2:$B$240,2,FALSE),"")</f>
        <v/>
      </c>
    </row>
    <row r="2785" spans="1:8" x14ac:dyDescent="0.2">
      <c r="A2785" t="s">
        <v>7</v>
      </c>
      <c r="B2785" s="3">
        <v>2017</v>
      </c>
      <c r="C2785" t="s">
        <v>716</v>
      </c>
      <c r="D2785" t="s">
        <v>717</v>
      </c>
      <c r="E2785" t="s">
        <v>717</v>
      </c>
      <c r="F2785" s="4">
        <v>1044720</v>
      </c>
      <c r="G2785" s="4" t="s">
        <v>7</v>
      </c>
      <c r="H2785" t="str">
        <f>IFERROR(VLOOKUP(E2785,'GASB Match'!$A$2:$B$240,2,FALSE),"")</f>
        <v/>
      </c>
    </row>
    <row r="2786" spans="1:8" x14ac:dyDescent="0.2">
      <c r="A2786" t="s">
        <v>7</v>
      </c>
      <c r="B2786" s="3">
        <v>2018</v>
      </c>
      <c r="C2786" t="s">
        <v>716</v>
      </c>
      <c r="D2786" t="s">
        <v>717</v>
      </c>
      <c r="E2786" t="s">
        <v>717</v>
      </c>
      <c r="F2786" s="4">
        <v>1183868</v>
      </c>
      <c r="G2786" s="4" t="s">
        <v>7</v>
      </c>
      <c r="H2786" t="str">
        <f>IFERROR(VLOOKUP(E2786,'GASB Match'!$A$2:$B$240,2,FALSE),"")</f>
        <v/>
      </c>
    </row>
    <row r="2787" spans="1:8" x14ac:dyDescent="0.2">
      <c r="A2787" t="s">
        <v>7</v>
      </c>
      <c r="B2787" s="3">
        <v>2019</v>
      </c>
      <c r="C2787" t="s">
        <v>716</v>
      </c>
      <c r="D2787" t="s">
        <v>717</v>
      </c>
      <c r="E2787" t="s">
        <v>717</v>
      </c>
      <c r="F2787" s="4">
        <v>1434486</v>
      </c>
      <c r="G2787" s="4" t="s">
        <v>7</v>
      </c>
      <c r="H2787" t="str">
        <f>IFERROR(VLOOKUP(E2787,'GASB Match'!$A$2:$B$240,2,FALSE),"")</f>
        <v/>
      </c>
    </row>
    <row r="2788" spans="1:8" x14ac:dyDescent="0.2">
      <c r="A2788" t="s">
        <v>7</v>
      </c>
      <c r="B2788" s="3">
        <v>2020</v>
      </c>
      <c r="C2788" t="s">
        <v>716</v>
      </c>
      <c r="D2788" t="s">
        <v>717</v>
      </c>
      <c r="E2788" t="s">
        <v>717</v>
      </c>
      <c r="F2788" s="4">
        <v>1500876</v>
      </c>
      <c r="G2788" s="4" t="s">
        <v>7</v>
      </c>
      <c r="H2788" t="str">
        <f>IFERROR(VLOOKUP(E2788,'GASB Match'!$A$2:$B$240,2,FALSE),"")</f>
        <v/>
      </c>
    </row>
    <row r="2789" spans="1:8" x14ac:dyDescent="0.2">
      <c r="A2789" t="s">
        <v>7</v>
      </c>
      <c r="B2789" s="3">
        <v>2021</v>
      </c>
      <c r="C2789" t="s">
        <v>716</v>
      </c>
      <c r="D2789" t="s">
        <v>717</v>
      </c>
      <c r="E2789" t="s">
        <v>717</v>
      </c>
      <c r="F2789" s="4">
        <v>1373377</v>
      </c>
      <c r="G2789" s="4" t="s">
        <v>7</v>
      </c>
      <c r="H2789" t="str">
        <f>IFERROR(VLOOKUP(E2789,'GASB Match'!$A$2:$B$240,2,FALSE),"")</f>
        <v/>
      </c>
    </row>
    <row r="2790" spans="1:8" x14ac:dyDescent="0.2">
      <c r="A2790" t="s">
        <v>7</v>
      </c>
      <c r="B2790" s="3">
        <v>2022</v>
      </c>
      <c r="C2790" t="s">
        <v>716</v>
      </c>
      <c r="D2790" t="s">
        <v>717</v>
      </c>
      <c r="E2790" t="s">
        <v>717</v>
      </c>
      <c r="F2790" s="4">
        <v>1531335</v>
      </c>
      <c r="G2790" s="4" t="s">
        <v>7</v>
      </c>
      <c r="H2790" t="str">
        <f>IFERROR(VLOOKUP(E2790,'GASB Match'!$A$2:$B$240,2,FALSE),"")</f>
        <v/>
      </c>
    </row>
    <row r="2791" spans="1:8" x14ac:dyDescent="0.2">
      <c r="A2791" t="s">
        <v>7</v>
      </c>
      <c r="B2791" s="3">
        <v>2023</v>
      </c>
      <c r="C2791" t="s">
        <v>716</v>
      </c>
      <c r="D2791" t="s">
        <v>717</v>
      </c>
      <c r="E2791" t="s">
        <v>717</v>
      </c>
      <c r="F2791" s="4">
        <v>1582061</v>
      </c>
      <c r="G2791" s="4" t="s">
        <v>7</v>
      </c>
      <c r="H2791" t="str">
        <f>IFERROR(VLOOKUP(E2791,'GASB Match'!$A$2:$B$240,2,FALSE),"")</f>
        <v/>
      </c>
    </row>
    <row r="2792" spans="1:8" x14ac:dyDescent="0.2">
      <c r="A2792" t="s">
        <v>7</v>
      </c>
      <c r="B2792" s="3">
        <v>2015</v>
      </c>
      <c r="C2792" t="s">
        <v>718</v>
      </c>
      <c r="D2792" t="s">
        <v>720</v>
      </c>
      <c r="E2792" t="s">
        <v>719</v>
      </c>
      <c r="F2792" s="4">
        <v>1160227.82</v>
      </c>
      <c r="G2792" s="4" t="s">
        <v>7</v>
      </c>
      <c r="H2792" t="str">
        <f>IFERROR(VLOOKUP(E2792,'GASB Match'!$A$2:$B$240,2,FALSE),"")</f>
        <v/>
      </c>
    </row>
    <row r="2793" spans="1:8" x14ac:dyDescent="0.2">
      <c r="A2793" t="s">
        <v>7</v>
      </c>
      <c r="B2793" s="3">
        <v>2016</v>
      </c>
      <c r="C2793" t="s">
        <v>718</v>
      </c>
      <c r="D2793" t="s">
        <v>720</v>
      </c>
      <c r="E2793" t="s">
        <v>719</v>
      </c>
      <c r="F2793" s="4">
        <v>1259952.48</v>
      </c>
      <c r="G2793" s="4" t="s">
        <v>7</v>
      </c>
      <c r="H2793" t="str">
        <f>IFERROR(VLOOKUP(E2793,'GASB Match'!$A$2:$B$240,2,FALSE),"")</f>
        <v/>
      </c>
    </row>
    <row r="2794" spans="1:8" x14ac:dyDescent="0.2">
      <c r="A2794" t="s">
        <v>7</v>
      </c>
      <c r="B2794" s="3">
        <v>2017</v>
      </c>
      <c r="C2794" t="s">
        <v>718</v>
      </c>
      <c r="D2794" t="s">
        <v>720</v>
      </c>
      <c r="E2794" t="s">
        <v>719</v>
      </c>
      <c r="F2794" s="4">
        <v>1369006</v>
      </c>
      <c r="G2794" s="4" t="s">
        <v>7</v>
      </c>
      <c r="H2794" t="str">
        <f>IFERROR(VLOOKUP(E2794,'GASB Match'!$A$2:$B$240,2,FALSE),"")</f>
        <v/>
      </c>
    </row>
    <row r="2795" spans="1:8" x14ac:dyDescent="0.2">
      <c r="A2795" t="s">
        <v>7</v>
      </c>
      <c r="B2795" s="3">
        <v>2018</v>
      </c>
      <c r="C2795" t="s">
        <v>718</v>
      </c>
      <c r="D2795" t="s">
        <v>720</v>
      </c>
      <c r="E2795" t="s">
        <v>719</v>
      </c>
      <c r="F2795" s="4">
        <v>1590601</v>
      </c>
      <c r="G2795" s="4" t="s">
        <v>7</v>
      </c>
      <c r="H2795" t="str">
        <f>IFERROR(VLOOKUP(E2795,'GASB Match'!$A$2:$B$240,2,FALSE),"")</f>
        <v/>
      </c>
    </row>
    <row r="2796" spans="1:8" x14ac:dyDescent="0.2">
      <c r="A2796" t="s">
        <v>7</v>
      </c>
      <c r="B2796" s="3">
        <v>2019</v>
      </c>
      <c r="C2796" t="s">
        <v>718</v>
      </c>
      <c r="D2796" t="s">
        <v>720</v>
      </c>
      <c r="E2796" t="s">
        <v>719</v>
      </c>
      <c r="F2796" s="4">
        <v>1819515</v>
      </c>
      <c r="G2796" s="4" t="s">
        <v>7</v>
      </c>
      <c r="H2796" t="str">
        <f>IFERROR(VLOOKUP(E2796,'GASB Match'!$A$2:$B$240,2,FALSE),"")</f>
        <v/>
      </c>
    </row>
    <row r="2797" spans="1:8" x14ac:dyDescent="0.2">
      <c r="A2797" t="s">
        <v>7</v>
      </c>
      <c r="B2797" s="3">
        <v>2020</v>
      </c>
      <c r="C2797" t="s">
        <v>718</v>
      </c>
      <c r="D2797" t="s">
        <v>720</v>
      </c>
      <c r="E2797" t="s">
        <v>719</v>
      </c>
      <c r="F2797" s="4">
        <v>1802050</v>
      </c>
      <c r="G2797" s="4" t="s">
        <v>7</v>
      </c>
      <c r="H2797" t="str">
        <f>IFERROR(VLOOKUP(E2797,'GASB Match'!$A$2:$B$240,2,FALSE),"")</f>
        <v/>
      </c>
    </row>
    <row r="2798" spans="1:8" x14ac:dyDescent="0.2">
      <c r="A2798" t="s">
        <v>7</v>
      </c>
      <c r="B2798" s="3">
        <v>2021</v>
      </c>
      <c r="C2798" t="s">
        <v>718</v>
      </c>
      <c r="D2798" t="s">
        <v>721</v>
      </c>
      <c r="E2798" t="s">
        <v>719</v>
      </c>
      <c r="F2798" s="4">
        <v>1444482</v>
      </c>
      <c r="G2798" s="4" t="s">
        <v>7</v>
      </c>
      <c r="H2798" t="str">
        <f>IFERROR(VLOOKUP(E2798,'GASB Match'!$A$2:$B$240,2,FALSE),"")</f>
        <v/>
      </c>
    </row>
    <row r="2799" spans="1:8" x14ac:dyDescent="0.2">
      <c r="A2799" t="s">
        <v>7</v>
      </c>
      <c r="B2799" s="3">
        <v>2022</v>
      </c>
      <c r="C2799" t="s">
        <v>718</v>
      </c>
      <c r="D2799" t="s">
        <v>719</v>
      </c>
      <c r="E2799" t="s">
        <v>719</v>
      </c>
      <c r="F2799" s="4">
        <v>1423898</v>
      </c>
      <c r="G2799" s="4" t="s">
        <v>7</v>
      </c>
      <c r="H2799" t="str">
        <f>IFERROR(VLOOKUP(E2799,'GASB Match'!$A$2:$B$240,2,FALSE),"")</f>
        <v/>
      </c>
    </row>
    <row r="2800" spans="1:8" x14ac:dyDescent="0.2">
      <c r="A2800" t="s">
        <v>7</v>
      </c>
      <c r="B2800" s="3">
        <v>2023</v>
      </c>
      <c r="C2800" t="s">
        <v>718</v>
      </c>
      <c r="D2800" t="s">
        <v>719</v>
      </c>
      <c r="E2800" t="s">
        <v>719</v>
      </c>
      <c r="F2800" s="4">
        <v>1548803</v>
      </c>
      <c r="G2800" s="4" t="s">
        <v>7</v>
      </c>
      <c r="H2800" t="str">
        <f>IFERROR(VLOOKUP(E2800,'GASB Match'!$A$2:$B$240,2,FALSE),"")</f>
        <v/>
      </c>
    </row>
    <row r="2801" spans="1:8" x14ac:dyDescent="0.2">
      <c r="A2801">
        <v>1300006</v>
      </c>
      <c r="B2801" s="3">
        <v>2015</v>
      </c>
      <c r="C2801" t="s">
        <v>722</v>
      </c>
      <c r="D2801" t="s">
        <v>723</v>
      </c>
      <c r="E2801" t="s">
        <v>723</v>
      </c>
      <c r="F2801" s="4">
        <v>479454.27</v>
      </c>
      <c r="G2801" s="4" t="s">
        <v>7</v>
      </c>
      <c r="H2801">
        <f>IFERROR(VLOOKUP(E2801,'GASB Match'!$A$2:$B$240,2,FALSE),"")</f>
        <v>1300006</v>
      </c>
    </row>
    <row r="2802" spans="1:8" x14ac:dyDescent="0.2">
      <c r="A2802">
        <v>1300006</v>
      </c>
      <c r="B2802" s="3">
        <v>2016</v>
      </c>
      <c r="C2802" t="s">
        <v>722</v>
      </c>
      <c r="D2802" t="s">
        <v>723</v>
      </c>
      <c r="E2802" t="s">
        <v>723</v>
      </c>
      <c r="F2802" s="4">
        <v>520753.1</v>
      </c>
      <c r="G2802" s="4" t="s">
        <v>7</v>
      </c>
      <c r="H2802">
        <f>IFERROR(VLOOKUP(E2802,'GASB Match'!$A$2:$B$240,2,FALSE),"")</f>
        <v>1300006</v>
      </c>
    </row>
    <row r="2803" spans="1:8" x14ac:dyDescent="0.2">
      <c r="A2803">
        <v>1300006</v>
      </c>
      <c r="B2803" s="3">
        <v>2017</v>
      </c>
      <c r="C2803" t="s">
        <v>722</v>
      </c>
      <c r="D2803" t="s">
        <v>723</v>
      </c>
      <c r="E2803" t="s">
        <v>723</v>
      </c>
      <c r="F2803" s="4">
        <v>577645</v>
      </c>
      <c r="G2803" s="4" t="s">
        <v>7</v>
      </c>
      <c r="H2803">
        <f>IFERROR(VLOOKUP(E2803,'GASB Match'!$A$2:$B$240,2,FALSE),"")</f>
        <v>1300006</v>
      </c>
    </row>
    <row r="2804" spans="1:8" x14ac:dyDescent="0.2">
      <c r="A2804">
        <v>1300006</v>
      </c>
      <c r="B2804" s="3">
        <v>2018</v>
      </c>
      <c r="C2804" t="s">
        <v>722</v>
      </c>
      <c r="D2804" t="s">
        <v>723</v>
      </c>
      <c r="E2804" t="s">
        <v>723</v>
      </c>
      <c r="F2804" s="4">
        <v>722462</v>
      </c>
      <c r="G2804" s="4" t="s">
        <v>7</v>
      </c>
      <c r="H2804">
        <f>IFERROR(VLOOKUP(E2804,'GASB Match'!$A$2:$B$240,2,FALSE),"")</f>
        <v>1300006</v>
      </c>
    </row>
    <row r="2805" spans="1:8" x14ac:dyDescent="0.2">
      <c r="A2805">
        <v>1300006</v>
      </c>
      <c r="B2805" s="3">
        <v>2019</v>
      </c>
      <c r="C2805" t="s">
        <v>722</v>
      </c>
      <c r="D2805" t="s">
        <v>723</v>
      </c>
      <c r="E2805" t="s">
        <v>723</v>
      </c>
      <c r="F2805" s="4">
        <v>941374</v>
      </c>
      <c r="G2805" s="4" t="s">
        <v>7</v>
      </c>
      <c r="H2805">
        <f>IFERROR(VLOOKUP(E2805,'GASB Match'!$A$2:$B$240,2,FALSE),"")</f>
        <v>1300006</v>
      </c>
    </row>
    <row r="2806" spans="1:8" x14ac:dyDescent="0.2">
      <c r="A2806">
        <v>1300006</v>
      </c>
      <c r="B2806" s="3">
        <v>2020</v>
      </c>
      <c r="C2806" t="s">
        <v>722</v>
      </c>
      <c r="D2806" t="s">
        <v>723</v>
      </c>
      <c r="E2806" t="s">
        <v>723</v>
      </c>
      <c r="F2806" s="4">
        <v>1022267</v>
      </c>
      <c r="G2806" s="4" t="s">
        <v>7</v>
      </c>
      <c r="H2806">
        <f>IFERROR(VLOOKUP(E2806,'GASB Match'!$A$2:$B$240,2,FALSE),"")</f>
        <v>1300006</v>
      </c>
    </row>
    <row r="2807" spans="1:8" x14ac:dyDescent="0.2">
      <c r="A2807">
        <v>1300006</v>
      </c>
      <c r="B2807" s="3">
        <v>2021</v>
      </c>
      <c r="C2807" t="s">
        <v>722</v>
      </c>
      <c r="D2807" t="s">
        <v>723</v>
      </c>
      <c r="E2807" t="s">
        <v>723</v>
      </c>
      <c r="F2807" s="4">
        <v>900262</v>
      </c>
      <c r="G2807" s="4" t="s">
        <v>7</v>
      </c>
      <c r="H2807">
        <f>IFERROR(VLOOKUP(E2807,'GASB Match'!$A$2:$B$240,2,FALSE),"")</f>
        <v>1300006</v>
      </c>
    </row>
    <row r="2808" spans="1:8" x14ac:dyDescent="0.2">
      <c r="A2808">
        <v>1300006</v>
      </c>
      <c r="B2808" s="3">
        <v>2022</v>
      </c>
      <c r="C2808" t="s">
        <v>722</v>
      </c>
      <c r="D2808" t="s">
        <v>723</v>
      </c>
      <c r="E2808" t="s">
        <v>723</v>
      </c>
      <c r="F2808" s="4">
        <v>948170</v>
      </c>
      <c r="G2808" s="4" t="s">
        <v>7</v>
      </c>
      <c r="H2808">
        <f>IFERROR(VLOOKUP(E2808,'GASB Match'!$A$2:$B$240,2,FALSE),"")</f>
        <v>1300006</v>
      </c>
    </row>
    <row r="2809" spans="1:8" x14ac:dyDescent="0.2">
      <c r="A2809">
        <v>1300006</v>
      </c>
      <c r="B2809" s="3">
        <v>2023</v>
      </c>
      <c r="C2809" t="s">
        <v>722</v>
      </c>
      <c r="D2809" t="s">
        <v>723</v>
      </c>
      <c r="E2809" t="s">
        <v>723</v>
      </c>
      <c r="F2809" s="4">
        <v>961710</v>
      </c>
      <c r="G2809" s="4" t="s">
        <v>7</v>
      </c>
      <c r="H2809">
        <f>IFERROR(VLOOKUP(E2809,'GASB Match'!$A$2:$B$240,2,FALSE),"")</f>
        <v>1300006</v>
      </c>
    </row>
    <row r="2810" spans="1:8" x14ac:dyDescent="0.2">
      <c r="A2810">
        <v>1300007</v>
      </c>
      <c r="B2810" s="3">
        <v>2015</v>
      </c>
      <c r="C2810" t="s">
        <v>724</v>
      </c>
      <c r="D2810" t="s">
        <v>725</v>
      </c>
      <c r="E2810" t="s">
        <v>725</v>
      </c>
      <c r="F2810" s="4">
        <v>271410.96999999997</v>
      </c>
      <c r="G2810" s="4" t="s">
        <v>7</v>
      </c>
      <c r="H2810">
        <f>IFERROR(VLOOKUP(E2810,'GASB Match'!$A$2:$B$240,2,FALSE),"")</f>
        <v>1300007</v>
      </c>
    </row>
    <row r="2811" spans="1:8" x14ac:dyDescent="0.2">
      <c r="A2811">
        <v>1300007</v>
      </c>
      <c r="B2811" s="3">
        <v>2016</v>
      </c>
      <c r="C2811" t="s">
        <v>724</v>
      </c>
      <c r="D2811" t="s">
        <v>725</v>
      </c>
      <c r="E2811" t="s">
        <v>725</v>
      </c>
      <c r="F2811" s="4">
        <v>274192.90000000002</v>
      </c>
      <c r="G2811" s="4" t="s">
        <v>7</v>
      </c>
      <c r="H2811">
        <f>IFERROR(VLOOKUP(E2811,'GASB Match'!$A$2:$B$240,2,FALSE),"")</f>
        <v>1300007</v>
      </c>
    </row>
    <row r="2812" spans="1:8" x14ac:dyDescent="0.2">
      <c r="A2812">
        <v>1300007</v>
      </c>
      <c r="B2812" s="3">
        <v>2017</v>
      </c>
      <c r="C2812" t="s">
        <v>724</v>
      </c>
      <c r="D2812" t="s">
        <v>725</v>
      </c>
      <c r="E2812" t="s">
        <v>725</v>
      </c>
      <c r="F2812" s="4">
        <v>263573</v>
      </c>
      <c r="G2812" s="4" t="s">
        <v>7</v>
      </c>
      <c r="H2812">
        <f>IFERROR(VLOOKUP(E2812,'GASB Match'!$A$2:$B$240,2,FALSE),"")</f>
        <v>1300007</v>
      </c>
    </row>
    <row r="2813" spans="1:8" x14ac:dyDescent="0.2">
      <c r="A2813">
        <v>1300007</v>
      </c>
      <c r="B2813" s="3">
        <v>2018</v>
      </c>
      <c r="C2813" t="s">
        <v>724</v>
      </c>
      <c r="D2813" t="s">
        <v>725</v>
      </c>
      <c r="E2813" t="s">
        <v>725</v>
      </c>
      <c r="F2813" s="4">
        <v>315833</v>
      </c>
      <c r="G2813" s="4" t="s">
        <v>7</v>
      </c>
      <c r="H2813">
        <f>IFERROR(VLOOKUP(E2813,'GASB Match'!$A$2:$B$240,2,FALSE),"")</f>
        <v>1300007</v>
      </c>
    </row>
    <row r="2814" spans="1:8" x14ac:dyDescent="0.2">
      <c r="A2814">
        <v>1300007</v>
      </c>
      <c r="B2814" s="3">
        <v>2019</v>
      </c>
      <c r="C2814" t="s">
        <v>724</v>
      </c>
      <c r="D2814" t="s">
        <v>725</v>
      </c>
      <c r="E2814" t="s">
        <v>725</v>
      </c>
      <c r="F2814" s="4">
        <v>426546</v>
      </c>
      <c r="G2814" s="4" t="s">
        <v>7</v>
      </c>
      <c r="H2814">
        <f>IFERROR(VLOOKUP(E2814,'GASB Match'!$A$2:$B$240,2,FALSE),"")</f>
        <v>1300007</v>
      </c>
    </row>
    <row r="2815" spans="1:8" x14ac:dyDescent="0.2">
      <c r="A2815">
        <v>1300007</v>
      </c>
      <c r="B2815" s="3">
        <v>2020</v>
      </c>
      <c r="C2815" t="s">
        <v>724</v>
      </c>
      <c r="D2815" t="s">
        <v>725</v>
      </c>
      <c r="E2815" t="s">
        <v>725</v>
      </c>
      <c r="F2815" s="4">
        <v>491053</v>
      </c>
      <c r="G2815" s="4" t="s">
        <v>7</v>
      </c>
      <c r="H2815">
        <f>IFERROR(VLOOKUP(E2815,'GASB Match'!$A$2:$B$240,2,FALSE),"")</f>
        <v>1300007</v>
      </c>
    </row>
    <row r="2816" spans="1:8" x14ac:dyDescent="0.2">
      <c r="A2816">
        <v>1300007</v>
      </c>
      <c r="B2816" s="3">
        <v>2021</v>
      </c>
      <c r="C2816" t="s">
        <v>724</v>
      </c>
      <c r="D2816" t="s">
        <v>725</v>
      </c>
      <c r="E2816" t="s">
        <v>725</v>
      </c>
      <c r="F2816" s="4">
        <v>431479</v>
      </c>
      <c r="G2816" s="4" t="s">
        <v>7</v>
      </c>
      <c r="H2816">
        <f>IFERROR(VLOOKUP(E2816,'GASB Match'!$A$2:$B$240,2,FALSE),"")</f>
        <v>1300007</v>
      </c>
    </row>
    <row r="2817" spans="1:8" x14ac:dyDescent="0.2">
      <c r="A2817">
        <v>1300007</v>
      </c>
      <c r="B2817" s="3">
        <v>2022</v>
      </c>
      <c r="C2817" t="s">
        <v>724</v>
      </c>
      <c r="D2817" t="s">
        <v>725</v>
      </c>
      <c r="E2817" t="s">
        <v>725</v>
      </c>
      <c r="F2817" s="4">
        <v>442902</v>
      </c>
      <c r="G2817" s="4" t="s">
        <v>7</v>
      </c>
      <c r="H2817">
        <f>IFERROR(VLOOKUP(E2817,'GASB Match'!$A$2:$B$240,2,FALSE),"")</f>
        <v>1300007</v>
      </c>
    </row>
    <row r="2818" spans="1:8" x14ac:dyDescent="0.2">
      <c r="A2818">
        <v>1300007</v>
      </c>
      <c r="B2818" s="3">
        <v>2023</v>
      </c>
      <c r="C2818" t="s">
        <v>724</v>
      </c>
      <c r="D2818" t="s">
        <v>725</v>
      </c>
      <c r="E2818" t="s">
        <v>725</v>
      </c>
      <c r="F2818" s="4">
        <v>488079</v>
      </c>
      <c r="G2818" s="4" t="s">
        <v>7</v>
      </c>
      <c r="H2818">
        <f>IFERROR(VLOOKUP(E2818,'GASB Match'!$A$2:$B$240,2,FALSE),"")</f>
        <v>1300007</v>
      </c>
    </row>
    <row r="2819" spans="1:8" x14ac:dyDescent="0.2">
      <c r="A2819">
        <v>1300008</v>
      </c>
      <c r="B2819" s="3">
        <v>2015</v>
      </c>
      <c r="C2819" t="s">
        <v>726</v>
      </c>
      <c r="D2819" t="s">
        <v>727</v>
      </c>
      <c r="E2819" t="s">
        <v>727</v>
      </c>
      <c r="F2819" s="4">
        <v>502931.05</v>
      </c>
      <c r="G2819" s="4" t="s">
        <v>7</v>
      </c>
      <c r="H2819">
        <f>IFERROR(VLOOKUP(E2819,'GASB Match'!$A$2:$B$240,2,FALSE),"")</f>
        <v>1300008</v>
      </c>
    </row>
    <row r="2820" spans="1:8" x14ac:dyDescent="0.2">
      <c r="A2820">
        <v>1300008</v>
      </c>
      <c r="B2820" s="3">
        <v>2016</v>
      </c>
      <c r="C2820" t="s">
        <v>726</v>
      </c>
      <c r="D2820" t="s">
        <v>727</v>
      </c>
      <c r="E2820" t="s">
        <v>727</v>
      </c>
      <c r="F2820" s="4">
        <v>572214.86</v>
      </c>
      <c r="G2820" s="4" t="s">
        <v>7</v>
      </c>
      <c r="H2820">
        <f>IFERROR(VLOOKUP(E2820,'GASB Match'!$A$2:$B$240,2,FALSE),"")</f>
        <v>1300008</v>
      </c>
    </row>
    <row r="2821" spans="1:8" x14ac:dyDescent="0.2">
      <c r="A2821">
        <v>1300008</v>
      </c>
      <c r="B2821" s="3">
        <v>2017</v>
      </c>
      <c r="C2821" t="s">
        <v>726</v>
      </c>
      <c r="D2821" t="s">
        <v>727</v>
      </c>
      <c r="E2821" t="s">
        <v>727</v>
      </c>
      <c r="F2821" s="4">
        <v>593339</v>
      </c>
      <c r="G2821" s="4" t="s">
        <v>7</v>
      </c>
      <c r="H2821">
        <f>IFERROR(VLOOKUP(E2821,'GASB Match'!$A$2:$B$240,2,FALSE),"")</f>
        <v>1300008</v>
      </c>
    </row>
    <row r="2822" spans="1:8" x14ac:dyDescent="0.2">
      <c r="A2822">
        <v>1300008</v>
      </c>
      <c r="B2822" s="3">
        <v>2018</v>
      </c>
      <c r="C2822" t="s">
        <v>726</v>
      </c>
      <c r="D2822" t="s">
        <v>727</v>
      </c>
      <c r="E2822" t="s">
        <v>727</v>
      </c>
      <c r="F2822" s="4">
        <v>764866</v>
      </c>
      <c r="G2822" s="4" t="s">
        <v>7</v>
      </c>
      <c r="H2822">
        <f>IFERROR(VLOOKUP(E2822,'GASB Match'!$A$2:$B$240,2,FALSE),"")</f>
        <v>1300008</v>
      </c>
    </row>
    <row r="2823" spans="1:8" x14ac:dyDescent="0.2">
      <c r="A2823">
        <v>1300008</v>
      </c>
      <c r="B2823" s="3">
        <v>2019</v>
      </c>
      <c r="C2823" t="s">
        <v>726</v>
      </c>
      <c r="D2823" t="s">
        <v>727</v>
      </c>
      <c r="E2823" t="s">
        <v>727</v>
      </c>
      <c r="F2823" s="4">
        <v>988329</v>
      </c>
      <c r="G2823" s="4" t="s">
        <v>7</v>
      </c>
      <c r="H2823">
        <f>IFERROR(VLOOKUP(E2823,'GASB Match'!$A$2:$B$240,2,FALSE),"")</f>
        <v>1300008</v>
      </c>
    </row>
    <row r="2824" spans="1:8" x14ac:dyDescent="0.2">
      <c r="A2824">
        <v>1300008</v>
      </c>
      <c r="B2824" s="3">
        <v>2020</v>
      </c>
      <c r="C2824" t="s">
        <v>726</v>
      </c>
      <c r="D2824" t="s">
        <v>727</v>
      </c>
      <c r="E2824" t="s">
        <v>727</v>
      </c>
      <c r="F2824" s="4">
        <v>1188927</v>
      </c>
      <c r="G2824" s="4" t="s">
        <v>7</v>
      </c>
      <c r="H2824">
        <f>IFERROR(VLOOKUP(E2824,'GASB Match'!$A$2:$B$240,2,FALSE),"")</f>
        <v>1300008</v>
      </c>
    </row>
    <row r="2825" spans="1:8" x14ac:dyDescent="0.2">
      <c r="A2825">
        <v>1300008</v>
      </c>
      <c r="B2825" s="3">
        <v>2021</v>
      </c>
      <c r="C2825" t="s">
        <v>726</v>
      </c>
      <c r="D2825" t="s">
        <v>727</v>
      </c>
      <c r="E2825" t="s">
        <v>727</v>
      </c>
      <c r="F2825" s="4">
        <v>1151126</v>
      </c>
      <c r="G2825" s="4" t="s">
        <v>7</v>
      </c>
      <c r="H2825">
        <f>IFERROR(VLOOKUP(E2825,'GASB Match'!$A$2:$B$240,2,FALSE),"")</f>
        <v>1300008</v>
      </c>
    </row>
    <row r="2826" spans="1:8" x14ac:dyDescent="0.2">
      <c r="A2826">
        <v>1300008</v>
      </c>
      <c r="B2826" s="3">
        <v>2022</v>
      </c>
      <c r="C2826" t="s">
        <v>726</v>
      </c>
      <c r="D2826" t="s">
        <v>727</v>
      </c>
      <c r="E2826" t="s">
        <v>727</v>
      </c>
      <c r="F2826" s="4">
        <v>1370281</v>
      </c>
      <c r="G2826" s="4" t="s">
        <v>7</v>
      </c>
      <c r="H2826">
        <f>IFERROR(VLOOKUP(E2826,'GASB Match'!$A$2:$B$240,2,FALSE),"")</f>
        <v>1300008</v>
      </c>
    </row>
    <row r="2827" spans="1:8" x14ac:dyDescent="0.2">
      <c r="A2827">
        <v>1300008</v>
      </c>
      <c r="B2827" s="3">
        <v>2023</v>
      </c>
      <c r="C2827" t="s">
        <v>726</v>
      </c>
      <c r="D2827" t="s">
        <v>727</v>
      </c>
      <c r="E2827" t="s">
        <v>727</v>
      </c>
      <c r="F2827" s="4">
        <v>1505186</v>
      </c>
      <c r="G2827" s="4" t="s">
        <v>7</v>
      </c>
      <c r="H2827">
        <f>IFERROR(VLOOKUP(E2827,'GASB Match'!$A$2:$B$240,2,FALSE),"")</f>
        <v>1300008</v>
      </c>
    </row>
    <row r="2828" spans="1:8" x14ac:dyDescent="0.2">
      <c r="A2828">
        <v>1300009</v>
      </c>
      <c r="B2828" s="3">
        <v>2015</v>
      </c>
      <c r="C2828" t="s">
        <v>728</v>
      </c>
      <c r="D2828" t="s">
        <v>729</v>
      </c>
      <c r="E2828" t="s">
        <v>729</v>
      </c>
      <c r="F2828" s="4">
        <v>855065.95</v>
      </c>
      <c r="G2828" s="4" t="s">
        <v>7</v>
      </c>
      <c r="H2828">
        <f>IFERROR(VLOOKUP(E2828,'GASB Match'!$A$2:$B$240,2,FALSE),"")</f>
        <v>1300009</v>
      </c>
    </row>
    <row r="2829" spans="1:8" x14ac:dyDescent="0.2">
      <c r="A2829">
        <v>1300009</v>
      </c>
      <c r="B2829" s="3">
        <v>2016</v>
      </c>
      <c r="C2829" t="s">
        <v>728</v>
      </c>
      <c r="D2829" t="s">
        <v>729</v>
      </c>
      <c r="E2829" t="s">
        <v>729</v>
      </c>
      <c r="F2829" s="4">
        <v>921470.21</v>
      </c>
      <c r="G2829" s="4" t="s">
        <v>7</v>
      </c>
      <c r="H2829">
        <f>IFERROR(VLOOKUP(E2829,'GASB Match'!$A$2:$B$240,2,FALSE),"")</f>
        <v>1300009</v>
      </c>
    </row>
    <row r="2830" spans="1:8" x14ac:dyDescent="0.2">
      <c r="A2830">
        <v>1300009</v>
      </c>
      <c r="B2830" s="3">
        <v>2017</v>
      </c>
      <c r="C2830" t="s">
        <v>728</v>
      </c>
      <c r="D2830" t="s">
        <v>729</v>
      </c>
      <c r="E2830" t="s">
        <v>729</v>
      </c>
      <c r="F2830" s="4">
        <v>892127</v>
      </c>
      <c r="G2830" s="4" t="s">
        <v>7</v>
      </c>
      <c r="H2830">
        <f>IFERROR(VLOOKUP(E2830,'GASB Match'!$A$2:$B$240,2,FALSE),"")</f>
        <v>1300009</v>
      </c>
    </row>
    <row r="2831" spans="1:8" x14ac:dyDescent="0.2">
      <c r="A2831">
        <v>1300009</v>
      </c>
      <c r="B2831" s="3">
        <v>2018</v>
      </c>
      <c r="C2831" t="s">
        <v>728</v>
      </c>
      <c r="D2831" t="s">
        <v>729</v>
      </c>
      <c r="E2831" t="s">
        <v>729</v>
      </c>
      <c r="F2831" s="4">
        <v>1036617</v>
      </c>
      <c r="G2831" s="4" t="s">
        <v>7</v>
      </c>
      <c r="H2831">
        <f>IFERROR(VLOOKUP(E2831,'GASB Match'!$A$2:$B$240,2,FALSE),"")</f>
        <v>1300009</v>
      </c>
    </row>
    <row r="2832" spans="1:8" x14ac:dyDescent="0.2">
      <c r="A2832">
        <v>1300009</v>
      </c>
      <c r="B2832" s="3">
        <v>2019</v>
      </c>
      <c r="C2832" t="s">
        <v>728</v>
      </c>
      <c r="D2832" t="s">
        <v>729</v>
      </c>
      <c r="E2832" t="s">
        <v>729</v>
      </c>
      <c r="F2832" s="4">
        <v>1353866</v>
      </c>
      <c r="G2832" s="4" t="s">
        <v>7</v>
      </c>
      <c r="H2832">
        <f>IFERROR(VLOOKUP(E2832,'GASB Match'!$A$2:$B$240,2,FALSE),"")</f>
        <v>1300009</v>
      </c>
    </row>
    <row r="2833" spans="1:8" x14ac:dyDescent="0.2">
      <c r="A2833">
        <v>1300009</v>
      </c>
      <c r="B2833" s="3">
        <v>2020</v>
      </c>
      <c r="C2833" t="s">
        <v>728</v>
      </c>
      <c r="D2833" t="s">
        <v>729</v>
      </c>
      <c r="E2833" t="s">
        <v>729</v>
      </c>
      <c r="F2833" s="4">
        <v>1362448</v>
      </c>
      <c r="G2833" s="4" t="s">
        <v>7</v>
      </c>
      <c r="H2833">
        <f>IFERROR(VLOOKUP(E2833,'GASB Match'!$A$2:$B$240,2,FALSE),"")</f>
        <v>1300009</v>
      </c>
    </row>
    <row r="2834" spans="1:8" x14ac:dyDescent="0.2">
      <c r="A2834">
        <v>1300009</v>
      </c>
      <c r="B2834" s="3">
        <v>2021</v>
      </c>
      <c r="C2834" t="s">
        <v>728</v>
      </c>
      <c r="D2834" t="s">
        <v>729</v>
      </c>
      <c r="E2834" t="s">
        <v>729</v>
      </c>
      <c r="F2834" s="4">
        <v>1256171</v>
      </c>
      <c r="G2834" s="4" t="s">
        <v>7</v>
      </c>
      <c r="H2834">
        <f>IFERROR(VLOOKUP(E2834,'GASB Match'!$A$2:$B$240,2,FALSE),"")</f>
        <v>1300009</v>
      </c>
    </row>
    <row r="2835" spans="1:8" x14ac:dyDescent="0.2">
      <c r="A2835">
        <v>1300009</v>
      </c>
      <c r="B2835" s="3">
        <v>2022</v>
      </c>
      <c r="C2835" t="s">
        <v>728</v>
      </c>
      <c r="D2835" t="s">
        <v>729</v>
      </c>
      <c r="E2835" t="s">
        <v>729</v>
      </c>
      <c r="F2835" s="4">
        <v>1287429</v>
      </c>
      <c r="G2835" s="4" t="s">
        <v>7</v>
      </c>
      <c r="H2835">
        <f>IFERROR(VLOOKUP(E2835,'GASB Match'!$A$2:$B$240,2,FALSE),"")</f>
        <v>1300009</v>
      </c>
    </row>
    <row r="2836" spans="1:8" x14ac:dyDescent="0.2">
      <c r="A2836">
        <v>1300009</v>
      </c>
      <c r="B2836" s="3">
        <v>2023</v>
      </c>
      <c r="C2836" t="s">
        <v>728</v>
      </c>
      <c r="D2836" t="s">
        <v>729</v>
      </c>
      <c r="E2836" t="s">
        <v>729</v>
      </c>
      <c r="F2836" s="4">
        <v>1255700</v>
      </c>
      <c r="G2836" s="4" t="s">
        <v>7</v>
      </c>
      <c r="H2836">
        <f>IFERROR(VLOOKUP(E2836,'GASB Match'!$A$2:$B$240,2,FALSE),"")</f>
        <v>1300009</v>
      </c>
    </row>
    <row r="2837" spans="1:8" x14ac:dyDescent="0.2">
      <c r="A2837">
        <v>1300010</v>
      </c>
      <c r="B2837" s="3">
        <v>2015</v>
      </c>
      <c r="C2837" t="s">
        <v>730</v>
      </c>
      <c r="D2837" t="s">
        <v>731</v>
      </c>
      <c r="E2837" t="s">
        <v>731</v>
      </c>
      <c r="F2837" s="4">
        <v>625470.31999999902</v>
      </c>
      <c r="G2837" s="4" t="s">
        <v>7</v>
      </c>
      <c r="H2837">
        <f>IFERROR(VLOOKUP(E2837,'GASB Match'!$A$2:$B$240,2,FALSE),"")</f>
        <v>1300010</v>
      </c>
    </row>
    <row r="2838" spans="1:8" x14ac:dyDescent="0.2">
      <c r="A2838">
        <v>1300010</v>
      </c>
      <c r="B2838" s="3">
        <v>2016</v>
      </c>
      <c r="C2838" t="s">
        <v>730</v>
      </c>
      <c r="D2838" t="s">
        <v>731</v>
      </c>
      <c r="E2838" t="s">
        <v>731</v>
      </c>
      <c r="F2838" s="4">
        <v>695578.09</v>
      </c>
      <c r="G2838" s="4" t="s">
        <v>7</v>
      </c>
      <c r="H2838">
        <f>IFERROR(VLOOKUP(E2838,'GASB Match'!$A$2:$B$240,2,FALSE),"")</f>
        <v>1300010</v>
      </c>
    </row>
    <row r="2839" spans="1:8" x14ac:dyDescent="0.2">
      <c r="A2839">
        <v>1300010</v>
      </c>
      <c r="B2839" s="3">
        <v>2017</v>
      </c>
      <c r="C2839" t="s">
        <v>730</v>
      </c>
      <c r="D2839" t="s">
        <v>731</v>
      </c>
      <c r="E2839" t="s">
        <v>731</v>
      </c>
      <c r="F2839" s="4">
        <v>716954</v>
      </c>
      <c r="G2839" s="4" t="s">
        <v>7</v>
      </c>
      <c r="H2839">
        <f>IFERROR(VLOOKUP(E2839,'GASB Match'!$A$2:$B$240,2,FALSE),"")</f>
        <v>1300010</v>
      </c>
    </row>
    <row r="2840" spans="1:8" x14ac:dyDescent="0.2">
      <c r="A2840">
        <v>1300010</v>
      </c>
      <c r="B2840" s="3">
        <v>2018</v>
      </c>
      <c r="C2840" t="s">
        <v>730</v>
      </c>
      <c r="D2840" t="s">
        <v>731</v>
      </c>
      <c r="E2840" t="s">
        <v>731</v>
      </c>
      <c r="F2840" s="4">
        <v>834515</v>
      </c>
      <c r="G2840" s="4" t="s">
        <v>7</v>
      </c>
      <c r="H2840">
        <f>IFERROR(VLOOKUP(E2840,'GASB Match'!$A$2:$B$240,2,FALSE),"")</f>
        <v>1300010</v>
      </c>
    </row>
    <row r="2841" spans="1:8" x14ac:dyDescent="0.2">
      <c r="A2841">
        <v>1300010</v>
      </c>
      <c r="B2841" s="3">
        <v>2019</v>
      </c>
      <c r="C2841" t="s">
        <v>730</v>
      </c>
      <c r="D2841" t="s">
        <v>731</v>
      </c>
      <c r="E2841" t="s">
        <v>731</v>
      </c>
      <c r="F2841" s="4">
        <v>957469</v>
      </c>
      <c r="G2841" s="4" t="s">
        <v>7</v>
      </c>
      <c r="H2841">
        <f>IFERROR(VLOOKUP(E2841,'GASB Match'!$A$2:$B$240,2,FALSE),"")</f>
        <v>1300010</v>
      </c>
    </row>
    <row r="2842" spans="1:8" x14ac:dyDescent="0.2">
      <c r="A2842">
        <v>1300010</v>
      </c>
      <c r="B2842" s="3">
        <v>2020</v>
      </c>
      <c r="C2842" t="s">
        <v>730</v>
      </c>
      <c r="D2842" t="s">
        <v>731</v>
      </c>
      <c r="E2842" t="s">
        <v>731</v>
      </c>
      <c r="F2842" s="4">
        <v>1036897</v>
      </c>
      <c r="G2842" s="4" t="s">
        <v>7</v>
      </c>
      <c r="H2842">
        <f>IFERROR(VLOOKUP(E2842,'GASB Match'!$A$2:$B$240,2,FALSE),"")</f>
        <v>1300010</v>
      </c>
    </row>
    <row r="2843" spans="1:8" x14ac:dyDescent="0.2">
      <c r="A2843">
        <v>1300010</v>
      </c>
      <c r="B2843" s="3">
        <v>2021</v>
      </c>
      <c r="C2843" t="s">
        <v>730</v>
      </c>
      <c r="D2843" t="s">
        <v>731</v>
      </c>
      <c r="E2843" t="s">
        <v>731</v>
      </c>
      <c r="F2843" s="4">
        <v>925772</v>
      </c>
      <c r="G2843" s="4" t="s">
        <v>7</v>
      </c>
      <c r="H2843">
        <f>IFERROR(VLOOKUP(E2843,'GASB Match'!$A$2:$B$240,2,FALSE),"")</f>
        <v>1300010</v>
      </c>
    </row>
    <row r="2844" spans="1:8" x14ac:dyDescent="0.2">
      <c r="A2844">
        <v>1300010</v>
      </c>
      <c r="B2844" s="3">
        <v>2022</v>
      </c>
      <c r="C2844" t="s">
        <v>730</v>
      </c>
      <c r="D2844" t="s">
        <v>731</v>
      </c>
      <c r="E2844" t="s">
        <v>731</v>
      </c>
      <c r="F2844" s="4">
        <v>970436</v>
      </c>
      <c r="G2844" s="4" t="s">
        <v>7</v>
      </c>
      <c r="H2844">
        <f>IFERROR(VLOOKUP(E2844,'GASB Match'!$A$2:$B$240,2,FALSE),"")</f>
        <v>1300010</v>
      </c>
    </row>
    <row r="2845" spans="1:8" x14ac:dyDescent="0.2">
      <c r="A2845">
        <v>1300010</v>
      </c>
      <c r="B2845" s="3">
        <v>2023</v>
      </c>
      <c r="C2845" t="s">
        <v>730</v>
      </c>
      <c r="D2845" t="s">
        <v>731</v>
      </c>
      <c r="E2845" t="s">
        <v>731</v>
      </c>
      <c r="F2845" s="4">
        <v>1031288</v>
      </c>
      <c r="G2845" s="4" t="s">
        <v>7</v>
      </c>
      <c r="H2845">
        <f>IFERROR(VLOOKUP(E2845,'GASB Match'!$A$2:$B$240,2,FALSE),"")</f>
        <v>1300010</v>
      </c>
    </row>
    <row r="2846" spans="1:8" x14ac:dyDescent="0.2">
      <c r="A2846">
        <v>1300011</v>
      </c>
      <c r="B2846" s="3">
        <v>2015</v>
      </c>
      <c r="C2846" t="s">
        <v>732</v>
      </c>
      <c r="D2846" t="s">
        <v>733</v>
      </c>
      <c r="E2846" t="s">
        <v>733</v>
      </c>
      <c r="F2846" s="4">
        <v>629017.51</v>
      </c>
      <c r="G2846" s="4" t="s">
        <v>7</v>
      </c>
      <c r="H2846">
        <f>IFERROR(VLOOKUP(E2846,'GASB Match'!$A$2:$B$240,2,FALSE),"")</f>
        <v>1300011</v>
      </c>
    </row>
    <row r="2847" spans="1:8" x14ac:dyDescent="0.2">
      <c r="A2847">
        <v>1300011</v>
      </c>
      <c r="B2847" s="3">
        <v>2016</v>
      </c>
      <c r="C2847" t="s">
        <v>732</v>
      </c>
      <c r="D2847" t="s">
        <v>733</v>
      </c>
      <c r="E2847" t="s">
        <v>733</v>
      </c>
      <c r="F2847" s="4">
        <v>664590.02</v>
      </c>
      <c r="G2847" s="4" t="s">
        <v>7</v>
      </c>
      <c r="H2847">
        <f>IFERROR(VLOOKUP(E2847,'GASB Match'!$A$2:$B$240,2,FALSE),"")</f>
        <v>1300011</v>
      </c>
    </row>
    <row r="2848" spans="1:8" x14ac:dyDescent="0.2">
      <c r="A2848">
        <v>1300011</v>
      </c>
      <c r="B2848" s="3">
        <v>2017</v>
      </c>
      <c r="C2848" t="s">
        <v>732</v>
      </c>
      <c r="D2848" t="s">
        <v>733</v>
      </c>
      <c r="E2848" t="s">
        <v>733</v>
      </c>
      <c r="F2848" s="4">
        <v>663876</v>
      </c>
      <c r="G2848" s="4" t="s">
        <v>7</v>
      </c>
      <c r="H2848">
        <f>IFERROR(VLOOKUP(E2848,'GASB Match'!$A$2:$B$240,2,FALSE),"")</f>
        <v>1300011</v>
      </c>
    </row>
    <row r="2849" spans="1:8" x14ac:dyDescent="0.2">
      <c r="A2849">
        <v>1300011</v>
      </c>
      <c r="B2849" s="3">
        <v>2018</v>
      </c>
      <c r="C2849" t="s">
        <v>732</v>
      </c>
      <c r="D2849" t="s">
        <v>733</v>
      </c>
      <c r="E2849" t="s">
        <v>733</v>
      </c>
      <c r="F2849" s="4">
        <v>767679</v>
      </c>
      <c r="G2849" s="4" t="s">
        <v>7</v>
      </c>
      <c r="H2849">
        <f>IFERROR(VLOOKUP(E2849,'GASB Match'!$A$2:$B$240,2,FALSE),"")</f>
        <v>1300011</v>
      </c>
    </row>
    <row r="2850" spans="1:8" x14ac:dyDescent="0.2">
      <c r="A2850">
        <v>1300011</v>
      </c>
      <c r="B2850" s="3">
        <v>2019</v>
      </c>
      <c r="C2850" t="s">
        <v>732</v>
      </c>
      <c r="D2850" t="s">
        <v>733</v>
      </c>
      <c r="E2850" t="s">
        <v>733</v>
      </c>
      <c r="F2850" s="4">
        <v>983263</v>
      </c>
      <c r="G2850" s="4" t="s">
        <v>7</v>
      </c>
      <c r="H2850">
        <f>IFERROR(VLOOKUP(E2850,'GASB Match'!$A$2:$B$240,2,FALSE),"")</f>
        <v>1300011</v>
      </c>
    </row>
    <row r="2851" spans="1:8" x14ac:dyDescent="0.2">
      <c r="A2851">
        <v>1300011</v>
      </c>
      <c r="B2851" s="3">
        <v>2020</v>
      </c>
      <c r="C2851" t="s">
        <v>732</v>
      </c>
      <c r="D2851" t="s">
        <v>733</v>
      </c>
      <c r="E2851" t="s">
        <v>733</v>
      </c>
      <c r="F2851" s="4">
        <v>1064255</v>
      </c>
      <c r="G2851" s="4" t="s">
        <v>7</v>
      </c>
      <c r="H2851">
        <f>IFERROR(VLOOKUP(E2851,'GASB Match'!$A$2:$B$240,2,FALSE),"")</f>
        <v>1300011</v>
      </c>
    </row>
    <row r="2852" spans="1:8" x14ac:dyDescent="0.2">
      <c r="A2852">
        <v>1300011</v>
      </c>
      <c r="B2852" s="3">
        <v>2021</v>
      </c>
      <c r="C2852" t="s">
        <v>732</v>
      </c>
      <c r="D2852" t="s">
        <v>733</v>
      </c>
      <c r="E2852" t="s">
        <v>733</v>
      </c>
      <c r="F2852" s="4">
        <v>881707</v>
      </c>
      <c r="G2852" s="4" t="s">
        <v>7</v>
      </c>
      <c r="H2852">
        <f>IFERROR(VLOOKUP(E2852,'GASB Match'!$A$2:$B$240,2,FALSE),"")</f>
        <v>1300011</v>
      </c>
    </row>
    <row r="2853" spans="1:8" x14ac:dyDescent="0.2">
      <c r="A2853">
        <v>1300011</v>
      </c>
      <c r="B2853" s="3">
        <v>2022</v>
      </c>
      <c r="C2853" t="s">
        <v>732</v>
      </c>
      <c r="D2853" t="s">
        <v>733</v>
      </c>
      <c r="E2853" t="s">
        <v>733</v>
      </c>
      <c r="F2853" s="4">
        <v>866903</v>
      </c>
      <c r="G2853" s="4" t="s">
        <v>7</v>
      </c>
      <c r="H2853">
        <f>IFERROR(VLOOKUP(E2853,'GASB Match'!$A$2:$B$240,2,FALSE),"")</f>
        <v>1300011</v>
      </c>
    </row>
    <row r="2854" spans="1:8" x14ac:dyDescent="0.2">
      <c r="A2854">
        <v>1300011</v>
      </c>
      <c r="B2854" s="3">
        <v>2023</v>
      </c>
      <c r="C2854" t="s">
        <v>732</v>
      </c>
      <c r="D2854" t="s">
        <v>733</v>
      </c>
      <c r="E2854" t="s">
        <v>733</v>
      </c>
      <c r="F2854" s="4">
        <v>845176</v>
      </c>
      <c r="G2854" s="4" t="s">
        <v>7</v>
      </c>
      <c r="H2854">
        <f>IFERROR(VLOOKUP(E2854,'GASB Match'!$A$2:$B$240,2,FALSE),"")</f>
        <v>1300011</v>
      </c>
    </row>
    <row r="2855" spans="1:8" x14ac:dyDescent="0.2">
      <c r="A2855">
        <v>1300012</v>
      </c>
      <c r="B2855" s="3">
        <v>2015</v>
      </c>
      <c r="C2855" t="s">
        <v>734</v>
      </c>
      <c r="D2855" t="s">
        <v>735</v>
      </c>
      <c r="E2855" t="s">
        <v>735</v>
      </c>
      <c r="F2855" s="4">
        <v>253075.4</v>
      </c>
      <c r="G2855" s="4" t="s">
        <v>7</v>
      </c>
      <c r="H2855">
        <f>IFERROR(VLOOKUP(E2855,'GASB Match'!$A$2:$B$240,2,FALSE),"")</f>
        <v>1300012</v>
      </c>
    </row>
    <row r="2856" spans="1:8" x14ac:dyDescent="0.2">
      <c r="A2856">
        <v>1300012</v>
      </c>
      <c r="B2856" s="3">
        <v>2016</v>
      </c>
      <c r="C2856" t="s">
        <v>734</v>
      </c>
      <c r="D2856" t="s">
        <v>735</v>
      </c>
      <c r="E2856" t="s">
        <v>735</v>
      </c>
      <c r="F2856" s="4">
        <v>272648.8</v>
      </c>
      <c r="G2856" s="4" t="s">
        <v>7</v>
      </c>
      <c r="H2856">
        <f>IFERROR(VLOOKUP(E2856,'GASB Match'!$A$2:$B$240,2,FALSE),"")</f>
        <v>1300012</v>
      </c>
    </row>
    <row r="2857" spans="1:8" x14ac:dyDescent="0.2">
      <c r="A2857">
        <v>1300012</v>
      </c>
      <c r="B2857" s="3">
        <v>2017</v>
      </c>
      <c r="C2857" t="s">
        <v>734</v>
      </c>
      <c r="D2857" t="s">
        <v>735</v>
      </c>
      <c r="E2857" t="s">
        <v>735</v>
      </c>
      <c r="F2857" s="4">
        <v>277096</v>
      </c>
      <c r="G2857" s="4" t="s">
        <v>7</v>
      </c>
      <c r="H2857">
        <f>IFERROR(VLOOKUP(E2857,'GASB Match'!$A$2:$B$240,2,FALSE),"")</f>
        <v>1300012</v>
      </c>
    </row>
    <row r="2858" spans="1:8" x14ac:dyDescent="0.2">
      <c r="A2858">
        <v>1300012</v>
      </c>
      <c r="B2858" s="3">
        <v>2018</v>
      </c>
      <c r="C2858" t="s">
        <v>734</v>
      </c>
      <c r="D2858" t="s">
        <v>735</v>
      </c>
      <c r="E2858" t="s">
        <v>735</v>
      </c>
      <c r="F2858" s="4">
        <v>312588</v>
      </c>
      <c r="G2858" s="4" t="s">
        <v>7</v>
      </c>
      <c r="H2858">
        <f>IFERROR(VLOOKUP(E2858,'GASB Match'!$A$2:$B$240,2,FALSE),"")</f>
        <v>1300012</v>
      </c>
    </row>
    <row r="2859" spans="1:8" x14ac:dyDescent="0.2">
      <c r="A2859">
        <v>1300012</v>
      </c>
      <c r="B2859" s="3">
        <v>2019</v>
      </c>
      <c r="C2859" t="s">
        <v>734</v>
      </c>
      <c r="D2859" t="s">
        <v>735</v>
      </c>
      <c r="E2859" t="s">
        <v>735</v>
      </c>
      <c r="F2859" s="4">
        <v>410768</v>
      </c>
      <c r="G2859" s="4" t="s">
        <v>7</v>
      </c>
      <c r="H2859">
        <f>IFERROR(VLOOKUP(E2859,'GASB Match'!$A$2:$B$240,2,FALSE),"")</f>
        <v>1300012</v>
      </c>
    </row>
    <row r="2860" spans="1:8" x14ac:dyDescent="0.2">
      <c r="A2860">
        <v>1300012</v>
      </c>
      <c r="B2860" s="3">
        <v>2020</v>
      </c>
      <c r="C2860" t="s">
        <v>734</v>
      </c>
      <c r="D2860" t="s">
        <v>735</v>
      </c>
      <c r="E2860" t="s">
        <v>735</v>
      </c>
      <c r="F2860" s="4">
        <v>498657</v>
      </c>
      <c r="G2860" s="4" t="s">
        <v>7</v>
      </c>
      <c r="H2860">
        <f>IFERROR(VLOOKUP(E2860,'GASB Match'!$A$2:$B$240,2,FALSE),"")</f>
        <v>1300012</v>
      </c>
    </row>
    <row r="2861" spans="1:8" x14ac:dyDescent="0.2">
      <c r="A2861">
        <v>1300012</v>
      </c>
      <c r="B2861" s="3">
        <v>2021</v>
      </c>
      <c r="C2861" t="s">
        <v>734</v>
      </c>
      <c r="D2861" t="s">
        <v>735</v>
      </c>
      <c r="E2861" t="s">
        <v>735</v>
      </c>
      <c r="F2861" s="4">
        <v>500689</v>
      </c>
      <c r="G2861" s="4" t="s">
        <v>7</v>
      </c>
      <c r="H2861">
        <f>IFERROR(VLOOKUP(E2861,'GASB Match'!$A$2:$B$240,2,FALSE),"")</f>
        <v>1300012</v>
      </c>
    </row>
    <row r="2862" spans="1:8" x14ac:dyDescent="0.2">
      <c r="A2862">
        <v>1300012</v>
      </c>
      <c r="B2862" s="3">
        <v>2022</v>
      </c>
      <c r="C2862" t="s">
        <v>734</v>
      </c>
      <c r="D2862" t="s">
        <v>735</v>
      </c>
      <c r="E2862" t="s">
        <v>735</v>
      </c>
      <c r="F2862" s="4">
        <v>524215</v>
      </c>
      <c r="G2862" s="4" t="s">
        <v>7</v>
      </c>
      <c r="H2862">
        <f>IFERROR(VLOOKUP(E2862,'GASB Match'!$A$2:$B$240,2,FALSE),"")</f>
        <v>1300012</v>
      </c>
    </row>
    <row r="2863" spans="1:8" x14ac:dyDescent="0.2">
      <c r="A2863">
        <v>1300012</v>
      </c>
      <c r="B2863" s="3">
        <v>2023</v>
      </c>
      <c r="C2863" t="s">
        <v>734</v>
      </c>
      <c r="D2863" t="s">
        <v>735</v>
      </c>
      <c r="E2863" t="s">
        <v>735</v>
      </c>
      <c r="F2863" s="4">
        <v>680944</v>
      </c>
      <c r="G2863" s="4" t="s">
        <v>7</v>
      </c>
      <c r="H2863">
        <f>IFERROR(VLOOKUP(E2863,'GASB Match'!$A$2:$B$240,2,FALSE),"")</f>
        <v>1300012</v>
      </c>
    </row>
    <row r="2864" spans="1:8" x14ac:dyDescent="0.2">
      <c r="A2864">
        <v>1300013</v>
      </c>
      <c r="B2864" s="3">
        <v>2015</v>
      </c>
      <c r="C2864" t="s">
        <v>736</v>
      </c>
      <c r="D2864" t="s">
        <v>737</v>
      </c>
      <c r="E2864" t="s">
        <v>737</v>
      </c>
      <c r="F2864" s="4">
        <v>124791.28</v>
      </c>
      <c r="G2864" s="4" t="s">
        <v>7</v>
      </c>
      <c r="H2864">
        <f>IFERROR(VLOOKUP(E2864,'GASB Match'!$A$2:$B$240,2,FALSE),"")</f>
        <v>1300013</v>
      </c>
    </row>
    <row r="2865" spans="1:8" x14ac:dyDescent="0.2">
      <c r="A2865">
        <v>1300013</v>
      </c>
      <c r="B2865" s="3">
        <v>2016</v>
      </c>
      <c r="C2865" t="s">
        <v>736</v>
      </c>
      <c r="D2865" t="s">
        <v>737</v>
      </c>
      <c r="E2865" t="s">
        <v>737</v>
      </c>
      <c r="F2865" s="4">
        <v>165329.79999999999</v>
      </c>
      <c r="G2865" s="4" t="s">
        <v>7</v>
      </c>
      <c r="H2865">
        <f>IFERROR(VLOOKUP(E2865,'GASB Match'!$A$2:$B$240,2,FALSE),"")</f>
        <v>1300013</v>
      </c>
    </row>
    <row r="2866" spans="1:8" x14ac:dyDescent="0.2">
      <c r="A2866">
        <v>1300013</v>
      </c>
      <c r="B2866" s="3">
        <v>2017</v>
      </c>
      <c r="C2866" t="s">
        <v>736</v>
      </c>
      <c r="D2866" t="s">
        <v>737</v>
      </c>
      <c r="E2866" t="s">
        <v>737</v>
      </c>
      <c r="F2866" s="4">
        <v>161446</v>
      </c>
      <c r="G2866" s="4" t="s">
        <v>7</v>
      </c>
      <c r="H2866">
        <f>IFERROR(VLOOKUP(E2866,'GASB Match'!$A$2:$B$240,2,FALSE),"")</f>
        <v>1300013</v>
      </c>
    </row>
    <row r="2867" spans="1:8" x14ac:dyDescent="0.2">
      <c r="A2867">
        <v>1300013</v>
      </c>
      <c r="B2867" s="3">
        <v>2018</v>
      </c>
      <c r="C2867" t="s">
        <v>736</v>
      </c>
      <c r="D2867" t="s">
        <v>737</v>
      </c>
      <c r="E2867" t="s">
        <v>737</v>
      </c>
      <c r="F2867" s="4">
        <v>205549</v>
      </c>
      <c r="G2867" s="4" t="s">
        <v>7</v>
      </c>
      <c r="H2867">
        <f>IFERROR(VLOOKUP(E2867,'GASB Match'!$A$2:$B$240,2,FALSE),"")</f>
        <v>1300013</v>
      </c>
    </row>
    <row r="2868" spans="1:8" x14ac:dyDescent="0.2">
      <c r="A2868">
        <v>1300013</v>
      </c>
      <c r="B2868" s="3">
        <v>2019</v>
      </c>
      <c r="C2868" t="s">
        <v>736</v>
      </c>
      <c r="D2868" t="s">
        <v>737</v>
      </c>
      <c r="E2868" t="s">
        <v>737</v>
      </c>
      <c r="F2868" s="4">
        <v>231713</v>
      </c>
      <c r="G2868" s="4" t="s">
        <v>7</v>
      </c>
      <c r="H2868">
        <f>IFERROR(VLOOKUP(E2868,'GASB Match'!$A$2:$B$240,2,FALSE),"")</f>
        <v>1300013</v>
      </c>
    </row>
    <row r="2869" spans="1:8" x14ac:dyDescent="0.2">
      <c r="A2869">
        <v>1300013</v>
      </c>
      <c r="B2869" s="3">
        <v>2020</v>
      </c>
      <c r="C2869" t="s">
        <v>736</v>
      </c>
      <c r="D2869" t="s">
        <v>737</v>
      </c>
      <c r="E2869" t="s">
        <v>737</v>
      </c>
      <c r="F2869" s="4">
        <v>297395</v>
      </c>
      <c r="G2869" s="4" t="s">
        <v>7</v>
      </c>
      <c r="H2869">
        <f>IFERROR(VLOOKUP(E2869,'GASB Match'!$A$2:$B$240,2,FALSE),"")</f>
        <v>1300013</v>
      </c>
    </row>
    <row r="2870" spans="1:8" x14ac:dyDescent="0.2">
      <c r="A2870">
        <v>1300013</v>
      </c>
      <c r="B2870" s="3">
        <v>2021</v>
      </c>
      <c r="C2870" t="s">
        <v>736</v>
      </c>
      <c r="D2870" t="s">
        <v>737</v>
      </c>
      <c r="E2870" t="s">
        <v>737</v>
      </c>
      <c r="F2870" s="4">
        <v>240224</v>
      </c>
      <c r="G2870" s="4" t="s">
        <v>7</v>
      </c>
      <c r="H2870">
        <f>IFERROR(VLOOKUP(E2870,'GASB Match'!$A$2:$B$240,2,FALSE),"")</f>
        <v>1300013</v>
      </c>
    </row>
    <row r="2871" spans="1:8" x14ac:dyDescent="0.2">
      <c r="A2871">
        <v>1300013</v>
      </c>
      <c r="B2871" s="3">
        <v>2022</v>
      </c>
      <c r="C2871" t="s">
        <v>736</v>
      </c>
      <c r="D2871" t="s">
        <v>737</v>
      </c>
      <c r="E2871" t="s">
        <v>737</v>
      </c>
      <c r="F2871" s="4">
        <v>266856</v>
      </c>
      <c r="G2871" s="4" t="s">
        <v>7</v>
      </c>
      <c r="H2871">
        <f>IFERROR(VLOOKUP(E2871,'GASB Match'!$A$2:$B$240,2,FALSE),"")</f>
        <v>1300013</v>
      </c>
    </row>
    <row r="2872" spans="1:8" x14ac:dyDescent="0.2">
      <c r="A2872">
        <v>1300013</v>
      </c>
      <c r="B2872" s="3">
        <v>2023</v>
      </c>
      <c r="C2872" t="s">
        <v>736</v>
      </c>
      <c r="D2872" t="s">
        <v>737</v>
      </c>
      <c r="E2872" t="s">
        <v>737</v>
      </c>
      <c r="F2872" s="4">
        <v>283201</v>
      </c>
      <c r="G2872" s="4" t="s">
        <v>7</v>
      </c>
      <c r="H2872">
        <f>IFERROR(VLOOKUP(E2872,'GASB Match'!$A$2:$B$240,2,FALSE),"")</f>
        <v>1300013</v>
      </c>
    </row>
    <row r="2873" spans="1:8" x14ac:dyDescent="0.2">
      <c r="A2873">
        <v>1300014</v>
      </c>
      <c r="B2873" s="3">
        <v>2015</v>
      </c>
      <c r="C2873" t="s">
        <v>738</v>
      </c>
      <c r="D2873" t="s">
        <v>739</v>
      </c>
      <c r="E2873" t="s">
        <v>739</v>
      </c>
      <c r="F2873" s="4">
        <v>153361.93</v>
      </c>
      <c r="G2873" s="4" t="s">
        <v>7</v>
      </c>
      <c r="H2873">
        <f>IFERROR(VLOOKUP(E2873,'GASB Match'!$A$2:$B$240,2,FALSE),"")</f>
        <v>1300014</v>
      </c>
    </row>
    <row r="2874" spans="1:8" x14ac:dyDescent="0.2">
      <c r="A2874">
        <v>1300014</v>
      </c>
      <c r="B2874" s="3">
        <v>2016</v>
      </c>
      <c r="C2874" t="s">
        <v>738</v>
      </c>
      <c r="D2874" t="s">
        <v>739</v>
      </c>
      <c r="E2874" t="s">
        <v>739</v>
      </c>
      <c r="F2874" s="4">
        <v>160238.21</v>
      </c>
      <c r="G2874" s="4" t="s">
        <v>7</v>
      </c>
      <c r="H2874">
        <f>IFERROR(VLOOKUP(E2874,'GASB Match'!$A$2:$B$240,2,FALSE),"")</f>
        <v>1300014</v>
      </c>
    </row>
    <row r="2875" spans="1:8" x14ac:dyDescent="0.2">
      <c r="A2875">
        <v>1300014</v>
      </c>
      <c r="B2875" s="3">
        <v>2017</v>
      </c>
      <c r="C2875" t="s">
        <v>738</v>
      </c>
      <c r="D2875" t="s">
        <v>739</v>
      </c>
      <c r="E2875" t="s">
        <v>739</v>
      </c>
      <c r="F2875" s="4">
        <v>187336</v>
      </c>
      <c r="G2875" s="4" t="s">
        <v>7</v>
      </c>
      <c r="H2875">
        <f>IFERROR(VLOOKUP(E2875,'GASB Match'!$A$2:$B$240,2,FALSE),"")</f>
        <v>1300014</v>
      </c>
    </row>
    <row r="2876" spans="1:8" x14ac:dyDescent="0.2">
      <c r="A2876">
        <v>1300014</v>
      </c>
      <c r="B2876" s="3">
        <v>2018</v>
      </c>
      <c r="C2876" t="s">
        <v>738</v>
      </c>
      <c r="D2876" t="s">
        <v>739</v>
      </c>
      <c r="E2876" t="s">
        <v>739</v>
      </c>
      <c r="F2876" s="4">
        <v>247812</v>
      </c>
      <c r="G2876" s="4" t="s">
        <v>7</v>
      </c>
      <c r="H2876">
        <f>IFERROR(VLOOKUP(E2876,'GASB Match'!$A$2:$B$240,2,FALSE),"")</f>
        <v>1300014</v>
      </c>
    </row>
    <row r="2877" spans="1:8" x14ac:dyDescent="0.2">
      <c r="A2877">
        <v>1300014</v>
      </c>
      <c r="B2877" s="3">
        <v>2019</v>
      </c>
      <c r="C2877" t="s">
        <v>738</v>
      </c>
      <c r="D2877" t="s">
        <v>739</v>
      </c>
      <c r="E2877" t="s">
        <v>739</v>
      </c>
      <c r="F2877" s="4">
        <v>277462</v>
      </c>
      <c r="G2877" s="4" t="s">
        <v>7</v>
      </c>
      <c r="H2877">
        <f>IFERROR(VLOOKUP(E2877,'GASB Match'!$A$2:$B$240,2,FALSE),"")</f>
        <v>1300014</v>
      </c>
    </row>
    <row r="2878" spans="1:8" x14ac:dyDescent="0.2">
      <c r="A2878">
        <v>1300014</v>
      </c>
      <c r="B2878" s="3">
        <v>2020</v>
      </c>
      <c r="C2878" t="s">
        <v>738</v>
      </c>
      <c r="D2878" t="s">
        <v>739</v>
      </c>
      <c r="E2878" t="s">
        <v>739</v>
      </c>
      <c r="F2878" s="4">
        <v>316071</v>
      </c>
      <c r="G2878" s="4" t="s">
        <v>7</v>
      </c>
      <c r="H2878">
        <f>IFERROR(VLOOKUP(E2878,'GASB Match'!$A$2:$B$240,2,FALSE),"")</f>
        <v>1300014</v>
      </c>
    </row>
    <row r="2879" spans="1:8" x14ac:dyDescent="0.2">
      <c r="A2879">
        <v>1300014</v>
      </c>
      <c r="B2879" s="3">
        <v>2021</v>
      </c>
      <c r="C2879" t="s">
        <v>738</v>
      </c>
      <c r="D2879" t="s">
        <v>739</v>
      </c>
      <c r="E2879" t="s">
        <v>739</v>
      </c>
      <c r="F2879" s="4">
        <v>279906</v>
      </c>
      <c r="G2879" s="4" t="s">
        <v>7</v>
      </c>
      <c r="H2879">
        <f>IFERROR(VLOOKUP(E2879,'GASB Match'!$A$2:$B$240,2,FALSE),"")</f>
        <v>1300014</v>
      </c>
    </row>
    <row r="2880" spans="1:8" x14ac:dyDescent="0.2">
      <c r="A2880">
        <v>1300014</v>
      </c>
      <c r="B2880" s="3">
        <v>2022</v>
      </c>
      <c r="C2880" t="s">
        <v>738</v>
      </c>
      <c r="D2880" t="s">
        <v>739</v>
      </c>
      <c r="E2880" t="s">
        <v>739</v>
      </c>
      <c r="F2880" s="4">
        <v>299062</v>
      </c>
      <c r="G2880" s="4" t="s">
        <v>7</v>
      </c>
      <c r="H2880">
        <f>IFERROR(VLOOKUP(E2880,'GASB Match'!$A$2:$B$240,2,FALSE),"")</f>
        <v>1300014</v>
      </c>
    </row>
    <row r="2881" spans="1:8" x14ac:dyDescent="0.2">
      <c r="A2881">
        <v>1300014</v>
      </c>
      <c r="B2881" s="3">
        <v>2023</v>
      </c>
      <c r="C2881" t="s">
        <v>738</v>
      </c>
      <c r="D2881" t="s">
        <v>739</v>
      </c>
      <c r="E2881" t="s">
        <v>739</v>
      </c>
      <c r="F2881" s="4">
        <v>318245</v>
      </c>
      <c r="G2881" s="4" t="s">
        <v>7</v>
      </c>
      <c r="H2881">
        <f>IFERROR(VLOOKUP(E2881,'GASB Match'!$A$2:$B$240,2,FALSE),"")</f>
        <v>1300014</v>
      </c>
    </row>
    <row r="2882" spans="1:8" x14ac:dyDescent="0.2">
      <c r="A2882" t="s">
        <v>7</v>
      </c>
      <c r="B2882" s="3">
        <v>2015</v>
      </c>
      <c r="C2882" t="s">
        <v>740</v>
      </c>
      <c r="D2882" t="s">
        <v>741</v>
      </c>
      <c r="E2882" t="s">
        <v>741</v>
      </c>
      <c r="F2882" s="4">
        <v>207677.11</v>
      </c>
      <c r="G2882" s="4" t="s">
        <v>7</v>
      </c>
      <c r="H2882" t="str">
        <f>IFERROR(VLOOKUP(E2882,'GASB Match'!$A$2:$B$240,2,FALSE),"")</f>
        <v/>
      </c>
    </row>
    <row r="2883" spans="1:8" x14ac:dyDescent="0.2">
      <c r="A2883" t="s">
        <v>7</v>
      </c>
      <c r="B2883" s="3">
        <v>2016</v>
      </c>
      <c r="C2883" t="s">
        <v>740</v>
      </c>
      <c r="D2883" t="s">
        <v>741</v>
      </c>
      <c r="E2883" t="s">
        <v>741</v>
      </c>
      <c r="F2883" s="4">
        <v>203870.12</v>
      </c>
      <c r="G2883" s="4" t="s">
        <v>7</v>
      </c>
      <c r="H2883" t="str">
        <f>IFERROR(VLOOKUP(E2883,'GASB Match'!$A$2:$B$240,2,FALSE),"")</f>
        <v/>
      </c>
    </row>
    <row r="2884" spans="1:8" x14ac:dyDescent="0.2">
      <c r="A2884" t="s">
        <v>7</v>
      </c>
      <c r="B2884" s="3">
        <v>2017</v>
      </c>
      <c r="C2884" t="s">
        <v>740</v>
      </c>
      <c r="D2884" t="s">
        <v>741</v>
      </c>
      <c r="E2884" t="s">
        <v>741</v>
      </c>
      <c r="F2884" s="4">
        <v>166347</v>
      </c>
      <c r="G2884" s="4" t="s">
        <v>7</v>
      </c>
      <c r="H2884" t="str">
        <f>IFERROR(VLOOKUP(E2884,'GASB Match'!$A$2:$B$240,2,FALSE),"")</f>
        <v/>
      </c>
    </row>
    <row r="2885" spans="1:8" x14ac:dyDescent="0.2">
      <c r="A2885" t="s">
        <v>7</v>
      </c>
      <c r="B2885" s="3">
        <v>2018</v>
      </c>
      <c r="C2885" t="s">
        <v>740</v>
      </c>
      <c r="D2885" t="s">
        <v>741</v>
      </c>
      <c r="E2885" t="s">
        <v>741</v>
      </c>
      <c r="F2885" s="4">
        <v>169349</v>
      </c>
      <c r="G2885" s="4" t="s">
        <v>7</v>
      </c>
      <c r="H2885" t="str">
        <f>IFERROR(VLOOKUP(E2885,'GASB Match'!$A$2:$B$240,2,FALSE),"")</f>
        <v/>
      </c>
    </row>
    <row r="2886" spans="1:8" x14ac:dyDescent="0.2">
      <c r="A2886" t="s">
        <v>7</v>
      </c>
      <c r="B2886" s="3">
        <v>2019</v>
      </c>
      <c r="C2886" t="s">
        <v>740</v>
      </c>
      <c r="D2886" t="s">
        <v>741</v>
      </c>
      <c r="E2886" t="s">
        <v>741</v>
      </c>
      <c r="F2886" s="4">
        <v>191634</v>
      </c>
      <c r="G2886" s="4" t="s">
        <v>7</v>
      </c>
      <c r="H2886" t="str">
        <f>IFERROR(VLOOKUP(E2886,'GASB Match'!$A$2:$B$240,2,FALSE),"")</f>
        <v/>
      </c>
    </row>
    <row r="2887" spans="1:8" x14ac:dyDescent="0.2">
      <c r="A2887" t="s">
        <v>7</v>
      </c>
      <c r="B2887" s="3">
        <v>2020</v>
      </c>
      <c r="C2887" t="s">
        <v>740</v>
      </c>
      <c r="D2887" t="s">
        <v>741</v>
      </c>
      <c r="E2887" t="s">
        <v>741</v>
      </c>
      <c r="F2887" s="4">
        <v>234969</v>
      </c>
      <c r="G2887" s="4" t="s">
        <v>7</v>
      </c>
      <c r="H2887" t="str">
        <f>IFERROR(VLOOKUP(E2887,'GASB Match'!$A$2:$B$240,2,FALSE),"")</f>
        <v/>
      </c>
    </row>
    <row r="2888" spans="1:8" x14ac:dyDescent="0.2">
      <c r="A2888" t="s">
        <v>7</v>
      </c>
      <c r="B2888" s="3">
        <v>2021</v>
      </c>
      <c r="C2888" t="s">
        <v>740</v>
      </c>
      <c r="D2888" t="s">
        <v>741</v>
      </c>
      <c r="E2888" t="s">
        <v>741</v>
      </c>
      <c r="F2888" s="4">
        <v>243021</v>
      </c>
      <c r="G2888" s="4" t="s">
        <v>7</v>
      </c>
      <c r="H2888" t="str">
        <f>IFERROR(VLOOKUP(E2888,'GASB Match'!$A$2:$B$240,2,FALSE),"")</f>
        <v/>
      </c>
    </row>
    <row r="2889" spans="1:8" x14ac:dyDescent="0.2">
      <c r="A2889" t="s">
        <v>7</v>
      </c>
      <c r="B2889" s="3">
        <v>2022</v>
      </c>
      <c r="C2889" t="s">
        <v>740</v>
      </c>
      <c r="D2889" t="s">
        <v>741</v>
      </c>
      <c r="E2889" t="s">
        <v>741</v>
      </c>
      <c r="F2889" s="4">
        <v>258394</v>
      </c>
      <c r="G2889" s="4" t="s">
        <v>7</v>
      </c>
      <c r="H2889" t="str">
        <f>IFERROR(VLOOKUP(E2889,'GASB Match'!$A$2:$B$240,2,FALSE),"")</f>
        <v/>
      </c>
    </row>
    <row r="2890" spans="1:8" x14ac:dyDescent="0.2">
      <c r="A2890" t="s">
        <v>7</v>
      </c>
      <c r="B2890" s="3">
        <v>2023</v>
      </c>
      <c r="C2890" t="s">
        <v>740</v>
      </c>
      <c r="D2890" t="s">
        <v>741</v>
      </c>
      <c r="E2890" t="s">
        <v>741</v>
      </c>
      <c r="F2890" s="4">
        <v>286421</v>
      </c>
      <c r="G2890" s="4" t="s">
        <v>7</v>
      </c>
      <c r="H2890" t="str">
        <f>IFERROR(VLOOKUP(E2890,'GASB Match'!$A$2:$B$240,2,FALSE),"")</f>
        <v/>
      </c>
    </row>
    <row r="2891" spans="1:8" x14ac:dyDescent="0.2">
      <c r="A2891">
        <v>1300016</v>
      </c>
      <c r="B2891" s="3">
        <v>2015</v>
      </c>
      <c r="C2891" t="s">
        <v>742</v>
      </c>
      <c r="D2891" t="s">
        <v>743</v>
      </c>
      <c r="E2891" t="s">
        <v>743</v>
      </c>
      <c r="F2891" s="4">
        <v>158667.95000000001</v>
      </c>
      <c r="G2891" s="4" t="s">
        <v>7</v>
      </c>
      <c r="H2891">
        <f>IFERROR(VLOOKUP(E2891,'GASB Match'!$A$2:$B$240,2,FALSE),"")</f>
        <v>1300016</v>
      </c>
    </row>
    <row r="2892" spans="1:8" x14ac:dyDescent="0.2">
      <c r="A2892">
        <v>1300016</v>
      </c>
      <c r="B2892" s="3">
        <v>2016</v>
      </c>
      <c r="C2892" t="s">
        <v>742</v>
      </c>
      <c r="D2892" t="s">
        <v>743</v>
      </c>
      <c r="E2892" t="s">
        <v>743</v>
      </c>
      <c r="F2892" s="4">
        <v>162869.97</v>
      </c>
      <c r="G2892" s="4" t="s">
        <v>7</v>
      </c>
      <c r="H2892">
        <f>IFERROR(VLOOKUP(E2892,'GASB Match'!$A$2:$B$240,2,FALSE),"")</f>
        <v>1300016</v>
      </c>
    </row>
    <row r="2893" spans="1:8" x14ac:dyDescent="0.2">
      <c r="A2893">
        <v>1300016</v>
      </c>
      <c r="B2893" s="3">
        <v>2017</v>
      </c>
      <c r="C2893" t="s">
        <v>742</v>
      </c>
      <c r="D2893" t="s">
        <v>743</v>
      </c>
      <c r="E2893" t="s">
        <v>743</v>
      </c>
      <c r="F2893" s="4">
        <v>165989</v>
      </c>
      <c r="G2893" s="4" t="s">
        <v>7</v>
      </c>
      <c r="H2893">
        <f>IFERROR(VLOOKUP(E2893,'GASB Match'!$A$2:$B$240,2,FALSE),"")</f>
        <v>1300016</v>
      </c>
    </row>
    <row r="2894" spans="1:8" x14ac:dyDescent="0.2">
      <c r="A2894">
        <v>1300016</v>
      </c>
      <c r="B2894" s="3">
        <v>2018</v>
      </c>
      <c r="C2894" t="s">
        <v>742</v>
      </c>
      <c r="D2894" t="s">
        <v>743</v>
      </c>
      <c r="E2894" t="s">
        <v>743</v>
      </c>
      <c r="F2894" s="4">
        <v>257748</v>
      </c>
      <c r="G2894" s="4" t="s">
        <v>7</v>
      </c>
      <c r="H2894">
        <f>IFERROR(VLOOKUP(E2894,'GASB Match'!$A$2:$B$240,2,FALSE),"")</f>
        <v>1300016</v>
      </c>
    </row>
    <row r="2895" spans="1:8" x14ac:dyDescent="0.2">
      <c r="A2895">
        <v>1300016</v>
      </c>
      <c r="B2895" s="3">
        <v>2019</v>
      </c>
      <c r="C2895" t="s">
        <v>742</v>
      </c>
      <c r="D2895" t="s">
        <v>743</v>
      </c>
      <c r="E2895" t="s">
        <v>743</v>
      </c>
      <c r="F2895" s="4">
        <v>331951</v>
      </c>
      <c r="G2895" s="4" t="s">
        <v>7</v>
      </c>
      <c r="H2895">
        <f>IFERROR(VLOOKUP(E2895,'GASB Match'!$A$2:$B$240,2,FALSE),"")</f>
        <v>1300016</v>
      </c>
    </row>
    <row r="2896" spans="1:8" x14ac:dyDescent="0.2">
      <c r="A2896">
        <v>1300016</v>
      </c>
      <c r="B2896" s="3">
        <v>2020</v>
      </c>
      <c r="C2896" t="s">
        <v>742</v>
      </c>
      <c r="D2896" t="s">
        <v>743</v>
      </c>
      <c r="E2896" t="s">
        <v>743</v>
      </c>
      <c r="F2896" s="4">
        <v>361712</v>
      </c>
      <c r="G2896" s="4" t="s">
        <v>7</v>
      </c>
      <c r="H2896">
        <f>IFERROR(VLOOKUP(E2896,'GASB Match'!$A$2:$B$240,2,FALSE),"")</f>
        <v>1300016</v>
      </c>
    </row>
    <row r="2897" spans="1:8" x14ac:dyDescent="0.2">
      <c r="A2897">
        <v>1300016</v>
      </c>
      <c r="B2897" s="3">
        <v>2021</v>
      </c>
      <c r="C2897" t="s">
        <v>742</v>
      </c>
      <c r="D2897" t="s">
        <v>743</v>
      </c>
      <c r="E2897" t="s">
        <v>743</v>
      </c>
      <c r="F2897" s="4">
        <v>356320</v>
      </c>
      <c r="G2897" s="4" t="s">
        <v>7</v>
      </c>
      <c r="H2897">
        <f>IFERROR(VLOOKUP(E2897,'GASB Match'!$A$2:$B$240,2,FALSE),"")</f>
        <v>1300016</v>
      </c>
    </row>
    <row r="2898" spans="1:8" x14ac:dyDescent="0.2">
      <c r="A2898">
        <v>1300016</v>
      </c>
      <c r="B2898" s="3">
        <v>2022</v>
      </c>
      <c r="C2898" t="s">
        <v>742</v>
      </c>
      <c r="D2898" t="s">
        <v>743</v>
      </c>
      <c r="E2898" t="s">
        <v>743</v>
      </c>
      <c r="F2898" s="4">
        <v>376295</v>
      </c>
      <c r="G2898" s="4" t="s">
        <v>7</v>
      </c>
      <c r="H2898">
        <f>IFERROR(VLOOKUP(E2898,'GASB Match'!$A$2:$B$240,2,FALSE),"")</f>
        <v>1300016</v>
      </c>
    </row>
    <row r="2899" spans="1:8" x14ac:dyDescent="0.2">
      <c r="A2899">
        <v>1300016</v>
      </c>
      <c r="B2899" s="3">
        <v>2023</v>
      </c>
      <c r="C2899" t="s">
        <v>742</v>
      </c>
      <c r="D2899" t="s">
        <v>743</v>
      </c>
      <c r="E2899" t="s">
        <v>743</v>
      </c>
      <c r="F2899" s="4">
        <v>406621</v>
      </c>
      <c r="G2899" s="4" t="s">
        <v>7</v>
      </c>
      <c r="H2899">
        <f>IFERROR(VLOOKUP(E2899,'GASB Match'!$A$2:$B$240,2,FALSE),"")</f>
        <v>1300016</v>
      </c>
    </row>
    <row r="2900" spans="1:8" x14ac:dyDescent="0.2">
      <c r="A2900">
        <v>1300017</v>
      </c>
      <c r="B2900" s="3">
        <v>2015</v>
      </c>
      <c r="C2900" t="s">
        <v>744</v>
      </c>
      <c r="D2900" t="s">
        <v>745</v>
      </c>
      <c r="E2900" t="s">
        <v>745</v>
      </c>
      <c r="F2900" s="4">
        <v>400145.73</v>
      </c>
      <c r="G2900" s="4" t="s">
        <v>7</v>
      </c>
      <c r="H2900">
        <f>IFERROR(VLOOKUP(E2900,'GASB Match'!$A$2:$B$240,2,FALSE),"")</f>
        <v>1300017</v>
      </c>
    </row>
    <row r="2901" spans="1:8" x14ac:dyDescent="0.2">
      <c r="A2901">
        <v>1300017</v>
      </c>
      <c r="B2901" s="3">
        <v>2016</v>
      </c>
      <c r="C2901" t="s">
        <v>744</v>
      </c>
      <c r="D2901" t="s">
        <v>745</v>
      </c>
      <c r="E2901" t="s">
        <v>745</v>
      </c>
      <c r="F2901" s="4">
        <v>438049.11</v>
      </c>
      <c r="G2901" s="4" t="s">
        <v>7</v>
      </c>
      <c r="H2901">
        <f>IFERROR(VLOOKUP(E2901,'GASB Match'!$A$2:$B$240,2,FALSE),"")</f>
        <v>1300017</v>
      </c>
    </row>
    <row r="2902" spans="1:8" x14ac:dyDescent="0.2">
      <c r="A2902">
        <v>1300017</v>
      </c>
      <c r="B2902" s="3">
        <v>2017</v>
      </c>
      <c r="C2902" t="s">
        <v>744</v>
      </c>
      <c r="D2902" t="s">
        <v>745</v>
      </c>
      <c r="E2902" t="s">
        <v>745</v>
      </c>
      <c r="F2902" s="4">
        <v>399580</v>
      </c>
      <c r="G2902" s="4" t="s">
        <v>7</v>
      </c>
      <c r="H2902">
        <f>IFERROR(VLOOKUP(E2902,'GASB Match'!$A$2:$B$240,2,FALSE),"")</f>
        <v>1300017</v>
      </c>
    </row>
    <row r="2903" spans="1:8" x14ac:dyDescent="0.2">
      <c r="A2903">
        <v>1300017</v>
      </c>
      <c r="B2903" s="3">
        <v>2018</v>
      </c>
      <c r="C2903" t="s">
        <v>744</v>
      </c>
      <c r="D2903" t="s">
        <v>745</v>
      </c>
      <c r="E2903" t="s">
        <v>745</v>
      </c>
      <c r="F2903" s="4">
        <v>456957</v>
      </c>
      <c r="G2903" s="4" t="s">
        <v>7</v>
      </c>
      <c r="H2903">
        <f>IFERROR(VLOOKUP(E2903,'GASB Match'!$A$2:$B$240,2,FALSE),"")</f>
        <v>1300017</v>
      </c>
    </row>
    <row r="2904" spans="1:8" x14ac:dyDescent="0.2">
      <c r="A2904">
        <v>1300017</v>
      </c>
      <c r="B2904" s="3">
        <v>2019</v>
      </c>
      <c r="C2904" t="s">
        <v>744</v>
      </c>
      <c r="D2904" t="s">
        <v>745</v>
      </c>
      <c r="E2904" t="s">
        <v>745</v>
      </c>
      <c r="F2904" s="4">
        <v>552677</v>
      </c>
      <c r="G2904" s="4" t="s">
        <v>7</v>
      </c>
      <c r="H2904">
        <f>IFERROR(VLOOKUP(E2904,'GASB Match'!$A$2:$B$240,2,FALSE),"")</f>
        <v>1300017</v>
      </c>
    </row>
    <row r="2905" spans="1:8" x14ac:dyDescent="0.2">
      <c r="A2905">
        <v>1300017</v>
      </c>
      <c r="B2905" s="3">
        <v>2020</v>
      </c>
      <c r="C2905" t="s">
        <v>744</v>
      </c>
      <c r="D2905" t="s">
        <v>745</v>
      </c>
      <c r="E2905" t="s">
        <v>745</v>
      </c>
      <c r="F2905" s="4">
        <v>556827</v>
      </c>
      <c r="G2905" s="4" t="s">
        <v>7</v>
      </c>
      <c r="H2905">
        <f>IFERROR(VLOOKUP(E2905,'GASB Match'!$A$2:$B$240,2,FALSE),"")</f>
        <v>1300017</v>
      </c>
    </row>
    <row r="2906" spans="1:8" x14ac:dyDescent="0.2">
      <c r="A2906">
        <v>1300017</v>
      </c>
      <c r="B2906" s="3">
        <v>2021</v>
      </c>
      <c r="C2906" t="s">
        <v>744</v>
      </c>
      <c r="D2906" t="s">
        <v>745</v>
      </c>
      <c r="E2906" t="s">
        <v>745</v>
      </c>
      <c r="F2906" s="4">
        <v>492059</v>
      </c>
      <c r="G2906" s="4" t="s">
        <v>7</v>
      </c>
      <c r="H2906">
        <f>IFERROR(VLOOKUP(E2906,'GASB Match'!$A$2:$B$240,2,FALSE),"")</f>
        <v>1300017</v>
      </c>
    </row>
    <row r="2907" spans="1:8" x14ac:dyDescent="0.2">
      <c r="A2907">
        <v>1300017</v>
      </c>
      <c r="B2907" s="3">
        <v>2022</v>
      </c>
      <c r="C2907" t="s">
        <v>744</v>
      </c>
      <c r="D2907" t="s">
        <v>745</v>
      </c>
      <c r="E2907" t="s">
        <v>745</v>
      </c>
      <c r="F2907" s="4">
        <v>414060</v>
      </c>
      <c r="G2907" s="4" t="s">
        <v>7</v>
      </c>
      <c r="H2907">
        <f>IFERROR(VLOOKUP(E2907,'GASB Match'!$A$2:$B$240,2,FALSE),"")</f>
        <v>1300017</v>
      </c>
    </row>
    <row r="2908" spans="1:8" x14ac:dyDescent="0.2">
      <c r="A2908">
        <v>1300017</v>
      </c>
      <c r="B2908" s="3">
        <v>2023</v>
      </c>
      <c r="C2908" t="s">
        <v>744</v>
      </c>
      <c r="D2908" t="s">
        <v>745</v>
      </c>
      <c r="E2908" t="s">
        <v>745</v>
      </c>
      <c r="F2908" s="4">
        <v>379701</v>
      </c>
      <c r="G2908" s="4" t="s">
        <v>7</v>
      </c>
      <c r="H2908">
        <f>IFERROR(VLOOKUP(E2908,'GASB Match'!$A$2:$B$240,2,FALSE),"")</f>
        <v>1300017</v>
      </c>
    </row>
    <row r="2909" spans="1:8" x14ac:dyDescent="0.2">
      <c r="A2909" t="s">
        <v>7</v>
      </c>
      <c r="B2909" s="3">
        <v>2015</v>
      </c>
      <c r="C2909" t="s">
        <v>746</v>
      </c>
      <c r="D2909" t="s">
        <v>747</v>
      </c>
      <c r="E2909" t="s">
        <v>747</v>
      </c>
      <c r="F2909" s="4">
        <v>627777.79</v>
      </c>
      <c r="G2909" s="4" t="s">
        <v>7</v>
      </c>
      <c r="H2909" t="str">
        <f>IFERROR(VLOOKUP(E2909,'GASB Match'!$A$2:$B$240,2,FALSE),"")</f>
        <v/>
      </c>
    </row>
    <row r="2910" spans="1:8" x14ac:dyDescent="0.2">
      <c r="A2910" t="s">
        <v>7</v>
      </c>
      <c r="B2910" s="3">
        <v>2016</v>
      </c>
      <c r="C2910" t="s">
        <v>746</v>
      </c>
      <c r="D2910" t="s">
        <v>747</v>
      </c>
      <c r="E2910" t="s">
        <v>747</v>
      </c>
      <c r="F2910" s="4">
        <v>680804.73</v>
      </c>
      <c r="G2910" s="4" t="s">
        <v>7</v>
      </c>
      <c r="H2910" t="str">
        <f>IFERROR(VLOOKUP(E2910,'GASB Match'!$A$2:$B$240,2,FALSE),"")</f>
        <v/>
      </c>
    </row>
    <row r="2911" spans="1:8" x14ac:dyDescent="0.2">
      <c r="A2911" t="s">
        <v>7</v>
      </c>
      <c r="B2911" s="3">
        <v>2017</v>
      </c>
      <c r="C2911" t="s">
        <v>746</v>
      </c>
      <c r="D2911" t="s">
        <v>747</v>
      </c>
      <c r="E2911" t="s">
        <v>747</v>
      </c>
      <c r="F2911" s="4">
        <v>671332</v>
      </c>
      <c r="G2911" s="4" t="s">
        <v>7</v>
      </c>
      <c r="H2911" t="str">
        <f>IFERROR(VLOOKUP(E2911,'GASB Match'!$A$2:$B$240,2,FALSE),"")</f>
        <v/>
      </c>
    </row>
    <row r="2912" spans="1:8" x14ac:dyDescent="0.2">
      <c r="A2912" t="s">
        <v>7</v>
      </c>
      <c r="B2912" s="3">
        <v>2018</v>
      </c>
      <c r="C2912" t="s">
        <v>746</v>
      </c>
      <c r="D2912" t="s">
        <v>747</v>
      </c>
      <c r="E2912" t="s">
        <v>747</v>
      </c>
      <c r="F2912" s="4">
        <v>792050</v>
      </c>
      <c r="G2912" s="4" t="s">
        <v>7</v>
      </c>
      <c r="H2912" t="str">
        <f>IFERROR(VLOOKUP(E2912,'GASB Match'!$A$2:$B$240,2,FALSE),"")</f>
        <v/>
      </c>
    </row>
    <row r="2913" spans="1:8" x14ac:dyDescent="0.2">
      <c r="A2913" t="s">
        <v>7</v>
      </c>
      <c r="B2913" s="3">
        <v>2019</v>
      </c>
      <c r="C2913" t="s">
        <v>746</v>
      </c>
      <c r="D2913" t="s">
        <v>747</v>
      </c>
      <c r="E2913" t="s">
        <v>747</v>
      </c>
      <c r="F2913" s="4">
        <v>945975</v>
      </c>
      <c r="G2913" s="4" t="s">
        <v>7</v>
      </c>
      <c r="H2913" t="str">
        <f>IFERROR(VLOOKUP(E2913,'GASB Match'!$A$2:$B$240,2,FALSE),"")</f>
        <v/>
      </c>
    </row>
    <row r="2914" spans="1:8" x14ac:dyDescent="0.2">
      <c r="A2914" t="s">
        <v>7</v>
      </c>
      <c r="B2914" s="3">
        <v>2020</v>
      </c>
      <c r="C2914" t="s">
        <v>746</v>
      </c>
      <c r="D2914" t="s">
        <v>747</v>
      </c>
      <c r="E2914" t="s">
        <v>747</v>
      </c>
      <c r="F2914" s="4">
        <v>976649</v>
      </c>
      <c r="G2914" s="4" t="s">
        <v>7</v>
      </c>
      <c r="H2914" t="str">
        <f>IFERROR(VLOOKUP(E2914,'GASB Match'!$A$2:$B$240,2,FALSE),"")</f>
        <v/>
      </c>
    </row>
    <row r="2915" spans="1:8" x14ac:dyDescent="0.2">
      <c r="A2915" t="s">
        <v>7</v>
      </c>
      <c r="B2915" s="3">
        <v>2021</v>
      </c>
      <c r="C2915" t="s">
        <v>746</v>
      </c>
      <c r="D2915" t="s">
        <v>747</v>
      </c>
      <c r="E2915" t="s">
        <v>747</v>
      </c>
      <c r="F2915" s="4">
        <v>705017</v>
      </c>
      <c r="G2915" s="4" t="s">
        <v>7</v>
      </c>
      <c r="H2915" t="str">
        <f>IFERROR(VLOOKUP(E2915,'GASB Match'!$A$2:$B$240,2,FALSE),"")</f>
        <v/>
      </c>
    </row>
    <row r="2916" spans="1:8" x14ac:dyDescent="0.2">
      <c r="A2916" t="s">
        <v>7</v>
      </c>
      <c r="B2916" s="3">
        <v>2022</v>
      </c>
      <c r="C2916" t="s">
        <v>746</v>
      </c>
      <c r="D2916" t="s">
        <v>747</v>
      </c>
      <c r="E2916" t="s">
        <v>747</v>
      </c>
      <c r="F2916" s="4">
        <v>690583</v>
      </c>
      <c r="G2916" s="4" t="s">
        <v>7</v>
      </c>
      <c r="H2916" t="str">
        <f>IFERROR(VLOOKUP(E2916,'GASB Match'!$A$2:$B$240,2,FALSE),"")</f>
        <v/>
      </c>
    </row>
    <row r="2917" spans="1:8" x14ac:dyDescent="0.2">
      <c r="A2917" t="s">
        <v>7</v>
      </c>
      <c r="B2917" s="3">
        <v>2023</v>
      </c>
      <c r="C2917" t="s">
        <v>746</v>
      </c>
      <c r="D2917" t="s">
        <v>747</v>
      </c>
      <c r="E2917" t="s">
        <v>747</v>
      </c>
      <c r="F2917" s="4">
        <v>688295</v>
      </c>
      <c r="G2917" s="4" t="s">
        <v>7</v>
      </c>
      <c r="H2917" t="str">
        <f>IFERROR(VLOOKUP(E2917,'GASB Match'!$A$2:$B$240,2,FALSE),"")</f>
        <v/>
      </c>
    </row>
    <row r="2918" spans="1:8" x14ac:dyDescent="0.2">
      <c r="A2918">
        <v>1300019</v>
      </c>
      <c r="B2918" s="3">
        <v>2015</v>
      </c>
      <c r="C2918" t="s">
        <v>748</v>
      </c>
      <c r="D2918" t="s">
        <v>749</v>
      </c>
      <c r="E2918" t="s">
        <v>749</v>
      </c>
      <c r="F2918" s="4">
        <v>91998.36</v>
      </c>
      <c r="G2918" s="4" t="s">
        <v>7</v>
      </c>
      <c r="H2918">
        <f>IFERROR(VLOOKUP(E2918,'GASB Match'!$A$2:$B$240,2,FALSE),"")</f>
        <v>1300019</v>
      </c>
    </row>
    <row r="2919" spans="1:8" x14ac:dyDescent="0.2">
      <c r="A2919">
        <v>1300019</v>
      </c>
      <c r="B2919" s="3">
        <v>2016</v>
      </c>
      <c r="C2919" t="s">
        <v>748</v>
      </c>
      <c r="D2919" t="s">
        <v>749</v>
      </c>
      <c r="E2919" t="s">
        <v>749</v>
      </c>
      <c r="F2919" s="4">
        <v>81492.78</v>
      </c>
      <c r="G2919" s="4" t="s">
        <v>7</v>
      </c>
      <c r="H2919">
        <f>IFERROR(VLOOKUP(E2919,'GASB Match'!$A$2:$B$240,2,FALSE),"")</f>
        <v>1300019</v>
      </c>
    </row>
    <row r="2920" spans="1:8" x14ac:dyDescent="0.2">
      <c r="A2920">
        <v>1300019</v>
      </c>
      <c r="B2920" s="3">
        <v>2017</v>
      </c>
      <c r="C2920" t="s">
        <v>748</v>
      </c>
      <c r="D2920" t="s">
        <v>749</v>
      </c>
      <c r="E2920" t="s">
        <v>749</v>
      </c>
      <c r="F2920" s="4">
        <v>87392</v>
      </c>
      <c r="G2920" s="4" t="s">
        <v>7</v>
      </c>
      <c r="H2920">
        <f>IFERROR(VLOOKUP(E2920,'GASB Match'!$A$2:$B$240,2,FALSE),"")</f>
        <v>1300019</v>
      </c>
    </row>
    <row r="2921" spans="1:8" x14ac:dyDescent="0.2">
      <c r="A2921">
        <v>1300019</v>
      </c>
      <c r="B2921" s="3">
        <v>2018</v>
      </c>
      <c r="C2921" t="s">
        <v>748</v>
      </c>
      <c r="D2921" t="s">
        <v>749</v>
      </c>
      <c r="E2921" t="s">
        <v>749</v>
      </c>
      <c r="F2921" s="4">
        <v>111830</v>
      </c>
      <c r="G2921" s="4" t="s">
        <v>7</v>
      </c>
      <c r="H2921">
        <f>IFERROR(VLOOKUP(E2921,'GASB Match'!$A$2:$B$240,2,FALSE),"")</f>
        <v>1300019</v>
      </c>
    </row>
    <row r="2922" spans="1:8" x14ac:dyDescent="0.2">
      <c r="A2922">
        <v>1300019</v>
      </c>
      <c r="B2922" s="3">
        <v>2019</v>
      </c>
      <c r="C2922" t="s">
        <v>748</v>
      </c>
      <c r="D2922" t="s">
        <v>749</v>
      </c>
      <c r="E2922" t="s">
        <v>749</v>
      </c>
      <c r="F2922" s="4">
        <v>138266</v>
      </c>
      <c r="G2922" s="4" t="s">
        <v>7</v>
      </c>
      <c r="H2922">
        <f>IFERROR(VLOOKUP(E2922,'GASB Match'!$A$2:$B$240,2,FALSE),"")</f>
        <v>1300019</v>
      </c>
    </row>
    <row r="2923" spans="1:8" x14ac:dyDescent="0.2">
      <c r="A2923">
        <v>1300019</v>
      </c>
      <c r="B2923" s="3">
        <v>2020</v>
      </c>
      <c r="C2923" t="s">
        <v>748</v>
      </c>
      <c r="D2923" t="s">
        <v>749</v>
      </c>
      <c r="E2923" t="s">
        <v>749</v>
      </c>
      <c r="F2923" s="4">
        <v>225666</v>
      </c>
      <c r="G2923" s="4" t="s">
        <v>7</v>
      </c>
      <c r="H2923">
        <f>IFERROR(VLOOKUP(E2923,'GASB Match'!$A$2:$B$240,2,FALSE),"")</f>
        <v>1300019</v>
      </c>
    </row>
    <row r="2924" spans="1:8" x14ac:dyDescent="0.2">
      <c r="A2924">
        <v>1300019</v>
      </c>
      <c r="B2924" s="3">
        <v>2021</v>
      </c>
      <c r="C2924" t="s">
        <v>748</v>
      </c>
      <c r="D2924" t="s">
        <v>749</v>
      </c>
      <c r="E2924" t="s">
        <v>749</v>
      </c>
      <c r="F2924" s="4">
        <v>191762</v>
      </c>
      <c r="G2924" s="4" t="s">
        <v>7</v>
      </c>
      <c r="H2924">
        <f>IFERROR(VLOOKUP(E2924,'GASB Match'!$A$2:$B$240,2,FALSE),"")</f>
        <v>1300019</v>
      </c>
    </row>
    <row r="2925" spans="1:8" x14ac:dyDescent="0.2">
      <c r="A2925">
        <v>1300019</v>
      </c>
      <c r="B2925" s="3">
        <v>2022</v>
      </c>
      <c r="C2925" t="s">
        <v>748</v>
      </c>
      <c r="D2925" t="s">
        <v>749</v>
      </c>
      <c r="E2925" t="s">
        <v>749</v>
      </c>
      <c r="F2925" s="4">
        <v>191019</v>
      </c>
      <c r="G2925" s="4" t="s">
        <v>7</v>
      </c>
      <c r="H2925">
        <f>IFERROR(VLOOKUP(E2925,'GASB Match'!$A$2:$B$240,2,FALSE),"")</f>
        <v>1300019</v>
      </c>
    </row>
    <row r="2926" spans="1:8" x14ac:dyDescent="0.2">
      <c r="A2926">
        <v>1300019</v>
      </c>
      <c r="B2926" s="3">
        <v>2023</v>
      </c>
      <c r="C2926" t="s">
        <v>748</v>
      </c>
      <c r="D2926" t="s">
        <v>749</v>
      </c>
      <c r="E2926" t="s">
        <v>749</v>
      </c>
      <c r="F2926" s="4">
        <v>188424</v>
      </c>
      <c r="G2926" s="4" t="s">
        <v>7</v>
      </c>
      <c r="H2926">
        <f>IFERROR(VLOOKUP(E2926,'GASB Match'!$A$2:$B$240,2,FALSE),"")</f>
        <v>1300019</v>
      </c>
    </row>
    <row r="2927" spans="1:8" x14ac:dyDescent="0.2">
      <c r="A2927">
        <v>1300020</v>
      </c>
      <c r="B2927" s="3">
        <v>2015</v>
      </c>
      <c r="C2927" t="s">
        <v>750</v>
      </c>
      <c r="D2927" t="s">
        <v>751</v>
      </c>
      <c r="E2927" t="s">
        <v>751</v>
      </c>
      <c r="F2927" s="4">
        <v>94927.56</v>
      </c>
      <c r="G2927" s="4" t="s">
        <v>7</v>
      </c>
      <c r="H2927">
        <f>IFERROR(VLOOKUP(E2927,'GASB Match'!$A$2:$B$240,2,FALSE),"")</f>
        <v>1300020</v>
      </c>
    </row>
    <row r="2928" spans="1:8" x14ac:dyDescent="0.2">
      <c r="A2928">
        <v>1300020</v>
      </c>
      <c r="B2928" s="3">
        <v>2016</v>
      </c>
      <c r="C2928" t="s">
        <v>750</v>
      </c>
      <c r="D2928" t="s">
        <v>751</v>
      </c>
      <c r="E2928" t="s">
        <v>751</v>
      </c>
      <c r="F2928" s="4">
        <v>106564.04</v>
      </c>
      <c r="G2928" s="4" t="s">
        <v>7</v>
      </c>
      <c r="H2928">
        <f>IFERROR(VLOOKUP(E2928,'GASB Match'!$A$2:$B$240,2,FALSE),"")</f>
        <v>1300020</v>
      </c>
    </row>
    <row r="2929" spans="1:8" x14ac:dyDescent="0.2">
      <c r="A2929">
        <v>1300020</v>
      </c>
      <c r="B2929" s="3">
        <v>2017</v>
      </c>
      <c r="C2929" t="s">
        <v>750</v>
      </c>
      <c r="D2929" t="s">
        <v>751</v>
      </c>
      <c r="E2929" t="s">
        <v>751</v>
      </c>
      <c r="F2929" s="4">
        <v>109800</v>
      </c>
      <c r="G2929" s="4" t="s">
        <v>7</v>
      </c>
      <c r="H2929">
        <f>IFERROR(VLOOKUP(E2929,'GASB Match'!$A$2:$B$240,2,FALSE),"")</f>
        <v>1300020</v>
      </c>
    </row>
    <row r="2930" spans="1:8" x14ac:dyDescent="0.2">
      <c r="A2930">
        <v>1300020</v>
      </c>
      <c r="B2930" s="3">
        <v>2018</v>
      </c>
      <c r="C2930" t="s">
        <v>750</v>
      </c>
      <c r="D2930" t="s">
        <v>751</v>
      </c>
      <c r="E2930" t="s">
        <v>751</v>
      </c>
      <c r="F2930" s="4">
        <v>118883</v>
      </c>
      <c r="G2930" s="4" t="s">
        <v>7</v>
      </c>
      <c r="H2930">
        <f>IFERROR(VLOOKUP(E2930,'GASB Match'!$A$2:$B$240,2,FALSE),"")</f>
        <v>1300020</v>
      </c>
    </row>
    <row r="2931" spans="1:8" x14ac:dyDescent="0.2">
      <c r="A2931">
        <v>1300020</v>
      </c>
      <c r="B2931" s="3">
        <v>2019</v>
      </c>
      <c r="C2931" t="s">
        <v>750</v>
      </c>
      <c r="D2931" t="s">
        <v>751</v>
      </c>
      <c r="E2931" t="s">
        <v>751</v>
      </c>
      <c r="F2931" s="4">
        <v>480226</v>
      </c>
      <c r="G2931" s="4" t="s">
        <v>7</v>
      </c>
      <c r="H2931">
        <f>IFERROR(VLOOKUP(E2931,'GASB Match'!$A$2:$B$240,2,FALSE),"")</f>
        <v>1300020</v>
      </c>
    </row>
    <row r="2932" spans="1:8" x14ac:dyDescent="0.2">
      <c r="A2932">
        <v>1300020</v>
      </c>
      <c r="B2932" s="3">
        <v>2020</v>
      </c>
      <c r="C2932" t="s">
        <v>750</v>
      </c>
      <c r="D2932" t="s">
        <v>751</v>
      </c>
      <c r="E2932" t="s">
        <v>751</v>
      </c>
      <c r="F2932" s="4">
        <v>560534</v>
      </c>
      <c r="G2932" s="4" t="s">
        <v>7</v>
      </c>
      <c r="H2932">
        <f>IFERROR(VLOOKUP(E2932,'GASB Match'!$A$2:$B$240,2,FALSE),"")</f>
        <v>1300020</v>
      </c>
    </row>
    <row r="2933" spans="1:8" x14ac:dyDescent="0.2">
      <c r="A2933">
        <v>1300020</v>
      </c>
      <c r="B2933" s="3">
        <v>2021</v>
      </c>
      <c r="C2933" t="s">
        <v>750</v>
      </c>
      <c r="D2933" t="s">
        <v>751</v>
      </c>
      <c r="E2933" t="s">
        <v>751</v>
      </c>
      <c r="F2933" s="4">
        <v>448996</v>
      </c>
      <c r="G2933" s="4" t="s">
        <v>7</v>
      </c>
      <c r="H2933">
        <f>IFERROR(VLOOKUP(E2933,'GASB Match'!$A$2:$B$240,2,FALSE),"")</f>
        <v>1300020</v>
      </c>
    </row>
    <row r="2934" spans="1:8" x14ac:dyDescent="0.2">
      <c r="A2934">
        <v>1300020</v>
      </c>
      <c r="B2934" s="3">
        <v>2022</v>
      </c>
      <c r="C2934" t="s">
        <v>750</v>
      </c>
      <c r="D2934" t="s">
        <v>751</v>
      </c>
      <c r="E2934" t="s">
        <v>751</v>
      </c>
      <c r="F2934" s="4">
        <v>440981</v>
      </c>
      <c r="G2934" s="4" t="s">
        <v>7</v>
      </c>
      <c r="H2934">
        <f>IFERROR(VLOOKUP(E2934,'GASB Match'!$A$2:$B$240,2,FALSE),"")</f>
        <v>1300020</v>
      </c>
    </row>
    <row r="2935" spans="1:8" x14ac:dyDescent="0.2">
      <c r="A2935">
        <v>1300020</v>
      </c>
      <c r="B2935" s="3">
        <v>2023</v>
      </c>
      <c r="C2935" t="s">
        <v>750</v>
      </c>
      <c r="D2935" t="s">
        <v>751</v>
      </c>
      <c r="E2935" t="s">
        <v>751</v>
      </c>
      <c r="F2935" s="4">
        <v>449417</v>
      </c>
      <c r="G2935" s="4" t="s">
        <v>7</v>
      </c>
      <c r="H2935">
        <f>IFERROR(VLOOKUP(E2935,'GASB Match'!$A$2:$B$240,2,FALSE),"")</f>
        <v>1300020</v>
      </c>
    </row>
    <row r="2936" spans="1:8" x14ac:dyDescent="0.2">
      <c r="A2936">
        <v>1300021</v>
      </c>
      <c r="B2936" s="3">
        <v>2015</v>
      </c>
      <c r="C2936" t="s">
        <v>752</v>
      </c>
      <c r="D2936" t="s">
        <v>753</v>
      </c>
      <c r="E2936" t="s">
        <v>753</v>
      </c>
      <c r="F2936" s="4">
        <v>228971.51</v>
      </c>
      <c r="G2936" s="4" t="s">
        <v>7</v>
      </c>
      <c r="H2936">
        <f>IFERROR(VLOOKUP(E2936,'GASB Match'!$A$2:$B$240,2,FALSE),"")</f>
        <v>1300021</v>
      </c>
    </row>
    <row r="2937" spans="1:8" x14ac:dyDescent="0.2">
      <c r="A2937">
        <v>1300021</v>
      </c>
      <c r="B2937" s="3">
        <v>2016</v>
      </c>
      <c r="C2937" t="s">
        <v>752</v>
      </c>
      <c r="D2937" t="s">
        <v>753</v>
      </c>
      <c r="E2937" t="s">
        <v>753</v>
      </c>
      <c r="F2937" s="4">
        <v>235088.73</v>
      </c>
      <c r="G2937" s="4" t="s">
        <v>7</v>
      </c>
      <c r="H2937">
        <f>IFERROR(VLOOKUP(E2937,'GASB Match'!$A$2:$B$240,2,FALSE),"")</f>
        <v>1300021</v>
      </c>
    </row>
    <row r="2938" spans="1:8" x14ac:dyDescent="0.2">
      <c r="A2938">
        <v>1300021</v>
      </c>
      <c r="B2938" s="3">
        <v>2017</v>
      </c>
      <c r="C2938" t="s">
        <v>752</v>
      </c>
      <c r="D2938" t="s">
        <v>753</v>
      </c>
      <c r="E2938" t="s">
        <v>753</v>
      </c>
      <c r="F2938" s="4">
        <v>238476</v>
      </c>
      <c r="G2938" s="4" t="s">
        <v>7</v>
      </c>
      <c r="H2938">
        <f>IFERROR(VLOOKUP(E2938,'GASB Match'!$A$2:$B$240,2,FALSE),"")</f>
        <v>1300021</v>
      </c>
    </row>
    <row r="2939" spans="1:8" x14ac:dyDescent="0.2">
      <c r="A2939">
        <v>1300021</v>
      </c>
      <c r="B2939" s="3">
        <v>2018</v>
      </c>
      <c r="C2939" t="s">
        <v>752</v>
      </c>
      <c r="D2939" t="s">
        <v>753</v>
      </c>
      <c r="E2939" t="s">
        <v>753</v>
      </c>
      <c r="F2939" s="4">
        <v>297919</v>
      </c>
      <c r="G2939" s="4" t="s">
        <v>7</v>
      </c>
      <c r="H2939">
        <f>IFERROR(VLOOKUP(E2939,'GASB Match'!$A$2:$B$240,2,FALSE),"")</f>
        <v>1300021</v>
      </c>
    </row>
    <row r="2940" spans="1:8" x14ac:dyDescent="0.2">
      <c r="A2940">
        <v>1300021</v>
      </c>
      <c r="B2940" s="3">
        <v>2019</v>
      </c>
      <c r="C2940" t="s">
        <v>752</v>
      </c>
      <c r="D2940" t="s">
        <v>753</v>
      </c>
      <c r="E2940" t="s">
        <v>753</v>
      </c>
      <c r="F2940" s="4">
        <v>359263</v>
      </c>
      <c r="G2940" s="4" t="s">
        <v>7</v>
      </c>
      <c r="H2940">
        <f>IFERROR(VLOOKUP(E2940,'GASB Match'!$A$2:$B$240,2,FALSE),"")</f>
        <v>1300021</v>
      </c>
    </row>
    <row r="2941" spans="1:8" x14ac:dyDescent="0.2">
      <c r="A2941">
        <v>1300021</v>
      </c>
      <c r="B2941" s="3">
        <v>2020</v>
      </c>
      <c r="C2941" t="s">
        <v>752</v>
      </c>
      <c r="D2941" t="s">
        <v>753</v>
      </c>
      <c r="E2941" t="s">
        <v>753</v>
      </c>
      <c r="F2941" s="4">
        <v>379516</v>
      </c>
      <c r="G2941" s="4" t="s">
        <v>7</v>
      </c>
      <c r="H2941">
        <f>IFERROR(VLOOKUP(E2941,'GASB Match'!$A$2:$B$240,2,FALSE),"")</f>
        <v>1300021</v>
      </c>
    </row>
    <row r="2942" spans="1:8" x14ac:dyDescent="0.2">
      <c r="A2942">
        <v>1300021</v>
      </c>
      <c r="B2942" s="3">
        <v>2021</v>
      </c>
      <c r="C2942" t="s">
        <v>752</v>
      </c>
      <c r="D2942" t="s">
        <v>753</v>
      </c>
      <c r="E2942" t="s">
        <v>753</v>
      </c>
      <c r="F2942" s="4">
        <v>353657</v>
      </c>
      <c r="G2942" s="4" t="s">
        <v>7</v>
      </c>
      <c r="H2942">
        <f>IFERROR(VLOOKUP(E2942,'GASB Match'!$A$2:$B$240,2,FALSE),"")</f>
        <v>1300021</v>
      </c>
    </row>
    <row r="2943" spans="1:8" x14ac:dyDescent="0.2">
      <c r="A2943">
        <v>1300021</v>
      </c>
      <c r="B2943" s="3">
        <v>2022</v>
      </c>
      <c r="C2943" t="s">
        <v>752</v>
      </c>
      <c r="D2943" t="s">
        <v>753</v>
      </c>
      <c r="E2943" t="s">
        <v>753</v>
      </c>
      <c r="F2943" s="4">
        <v>353760</v>
      </c>
      <c r="G2943" s="4" t="s">
        <v>7</v>
      </c>
      <c r="H2943">
        <f>IFERROR(VLOOKUP(E2943,'GASB Match'!$A$2:$B$240,2,FALSE),"")</f>
        <v>1300021</v>
      </c>
    </row>
    <row r="2944" spans="1:8" x14ac:dyDescent="0.2">
      <c r="A2944">
        <v>1300021</v>
      </c>
      <c r="B2944" s="3">
        <v>2023</v>
      </c>
      <c r="C2944" t="s">
        <v>752</v>
      </c>
      <c r="D2944" t="s">
        <v>753</v>
      </c>
      <c r="E2944" t="s">
        <v>753</v>
      </c>
      <c r="F2944" s="4">
        <v>398305</v>
      </c>
      <c r="G2944" s="4" t="s">
        <v>7</v>
      </c>
      <c r="H2944">
        <f>IFERROR(VLOOKUP(E2944,'GASB Match'!$A$2:$B$240,2,FALSE),"")</f>
        <v>1300021</v>
      </c>
    </row>
    <row r="2945" spans="1:8" x14ac:dyDescent="0.2">
      <c r="A2945" t="s">
        <v>7</v>
      </c>
      <c r="B2945" s="3">
        <v>2015</v>
      </c>
      <c r="C2945" t="s">
        <v>754</v>
      </c>
      <c r="D2945" t="s">
        <v>755</v>
      </c>
      <c r="E2945" t="s">
        <v>755</v>
      </c>
      <c r="F2945" s="4"/>
      <c r="G2945" s="4" t="s">
        <v>7</v>
      </c>
      <c r="H2945" t="str">
        <f>IFERROR(VLOOKUP(E2945,'GASB Match'!$A$2:$B$240,2,FALSE),"")</f>
        <v/>
      </c>
    </row>
    <row r="2946" spans="1:8" x14ac:dyDescent="0.2">
      <c r="A2946" t="s">
        <v>7</v>
      </c>
      <c r="B2946" s="3">
        <v>2015</v>
      </c>
      <c r="C2946" t="s">
        <v>756</v>
      </c>
      <c r="D2946" t="s">
        <v>758</v>
      </c>
      <c r="E2946" t="s">
        <v>757</v>
      </c>
      <c r="F2946" s="4">
        <v>21352.14</v>
      </c>
      <c r="G2946" s="4" t="s">
        <v>7</v>
      </c>
      <c r="H2946" t="str">
        <f>IFERROR(VLOOKUP(E2946,'GASB Match'!$A$2:$B$240,2,FALSE),"")</f>
        <v/>
      </c>
    </row>
    <row r="2947" spans="1:8" x14ac:dyDescent="0.2">
      <c r="A2947" t="s">
        <v>7</v>
      </c>
      <c r="B2947" s="3">
        <v>2016</v>
      </c>
      <c r="C2947" t="s">
        <v>756</v>
      </c>
      <c r="D2947" t="s">
        <v>758</v>
      </c>
      <c r="E2947" t="s">
        <v>757</v>
      </c>
      <c r="F2947" s="4">
        <v>30337.99</v>
      </c>
      <c r="G2947" s="4" t="s">
        <v>7</v>
      </c>
      <c r="H2947" t="str">
        <f>IFERROR(VLOOKUP(E2947,'GASB Match'!$A$2:$B$240,2,FALSE),"")</f>
        <v/>
      </c>
    </row>
    <row r="2948" spans="1:8" x14ac:dyDescent="0.2">
      <c r="A2948" t="s">
        <v>7</v>
      </c>
      <c r="B2948" s="3">
        <v>2017</v>
      </c>
      <c r="C2948" t="s">
        <v>756</v>
      </c>
      <c r="D2948" t="s">
        <v>758</v>
      </c>
      <c r="E2948" t="s">
        <v>757</v>
      </c>
      <c r="F2948" s="4">
        <v>23258</v>
      </c>
      <c r="G2948" s="4" t="s">
        <v>7</v>
      </c>
      <c r="H2948" t="str">
        <f>IFERROR(VLOOKUP(E2948,'GASB Match'!$A$2:$B$240,2,FALSE),"")</f>
        <v/>
      </c>
    </row>
    <row r="2949" spans="1:8" x14ac:dyDescent="0.2">
      <c r="A2949" t="s">
        <v>7</v>
      </c>
      <c r="B2949" s="3">
        <v>2018</v>
      </c>
      <c r="C2949" t="s">
        <v>756</v>
      </c>
      <c r="D2949" t="s">
        <v>758</v>
      </c>
      <c r="E2949" t="s">
        <v>757</v>
      </c>
      <c r="F2949" s="4">
        <v>36783</v>
      </c>
      <c r="G2949" s="4" t="s">
        <v>7</v>
      </c>
      <c r="H2949" t="str">
        <f>IFERROR(VLOOKUP(E2949,'GASB Match'!$A$2:$B$240,2,FALSE),"")</f>
        <v/>
      </c>
    </row>
    <row r="2950" spans="1:8" x14ac:dyDescent="0.2">
      <c r="A2950" t="s">
        <v>7</v>
      </c>
      <c r="B2950" s="3">
        <v>2019</v>
      </c>
      <c r="C2950" t="s">
        <v>756</v>
      </c>
      <c r="D2950" t="s">
        <v>758</v>
      </c>
      <c r="E2950" t="s">
        <v>757</v>
      </c>
      <c r="F2950" s="4">
        <v>49316</v>
      </c>
      <c r="G2950" s="4" t="s">
        <v>7</v>
      </c>
      <c r="H2950" t="str">
        <f>IFERROR(VLOOKUP(E2950,'GASB Match'!$A$2:$B$240,2,FALSE),"")</f>
        <v/>
      </c>
    </row>
    <row r="2951" spans="1:8" x14ac:dyDescent="0.2">
      <c r="A2951" t="s">
        <v>7</v>
      </c>
      <c r="B2951" s="3">
        <v>2020</v>
      </c>
      <c r="C2951" t="s">
        <v>756</v>
      </c>
      <c r="D2951" t="s">
        <v>758</v>
      </c>
      <c r="E2951" t="s">
        <v>757</v>
      </c>
      <c r="F2951" s="4">
        <v>46149</v>
      </c>
      <c r="G2951" s="4" t="s">
        <v>7</v>
      </c>
      <c r="H2951" t="str">
        <f>IFERROR(VLOOKUP(E2951,'GASB Match'!$A$2:$B$240,2,FALSE),"")</f>
        <v/>
      </c>
    </row>
    <row r="2952" spans="1:8" x14ac:dyDescent="0.2">
      <c r="A2952" t="s">
        <v>7</v>
      </c>
      <c r="B2952" s="3">
        <v>2021</v>
      </c>
      <c r="C2952" t="s">
        <v>756</v>
      </c>
      <c r="D2952" t="s">
        <v>757</v>
      </c>
      <c r="E2952" t="s">
        <v>757</v>
      </c>
      <c r="F2952" s="4">
        <v>37193</v>
      </c>
      <c r="G2952" s="4" t="s">
        <v>7</v>
      </c>
      <c r="H2952" t="str">
        <f>IFERROR(VLOOKUP(E2952,'GASB Match'!$A$2:$B$240,2,FALSE),"")</f>
        <v/>
      </c>
    </row>
    <row r="2953" spans="1:8" x14ac:dyDescent="0.2">
      <c r="A2953" t="s">
        <v>7</v>
      </c>
      <c r="B2953" s="3">
        <v>2022</v>
      </c>
      <c r="C2953" t="s">
        <v>756</v>
      </c>
      <c r="D2953" t="s">
        <v>757</v>
      </c>
      <c r="E2953" t="s">
        <v>757</v>
      </c>
      <c r="F2953" s="4">
        <v>39627</v>
      </c>
      <c r="G2953" s="4" t="s">
        <v>7</v>
      </c>
      <c r="H2953" t="str">
        <f>IFERROR(VLOOKUP(E2953,'GASB Match'!$A$2:$B$240,2,FALSE),"")</f>
        <v/>
      </c>
    </row>
    <row r="2954" spans="1:8" x14ac:dyDescent="0.2">
      <c r="A2954" t="s">
        <v>7</v>
      </c>
      <c r="B2954" s="3">
        <v>2023</v>
      </c>
      <c r="C2954" t="s">
        <v>756</v>
      </c>
      <c r="D2954" t="s">
        <v>757</v>
      </c>
      <c r="E2954" t="s">
        <v>757</v>
      </c>
      <c r="F2954" s="4">
        <v>41466</v>
      </c>
      <c r="G2954" s="4" t="s">
        <v>7</v>
      </c>
      <c r="H2954" t="str">
        <f>IFERROR(VLOOKUP(E2954,'GASB Match'!$A$2:$B$240,2,FALSE),"")</f>
        <v/>
      </c>
    </row>
    <row r="2955" spans="1:8" x14ac:dyDescent="0.2">
      <c r="A2955" t="s">
        <v>7</v>
      </c>
      <c r="B2955" s="3">
        <v>2016</v>
      </c>
      <c r="C2955" t="s">
        <v>759</v>
      </c>
      <c r="D2955" t="s">
        <v>760</v>
      </c>
      <c r="E2955" t="s">
        <v>760</v>
      </c>
      <c r="F2955" s="4">
        <v>881.6</v>
      </c>
      <c r="G2955" s="4" t="s">
        <v>7</v>
      </c>
      <c r="H2955" t="str">
        <f>IFERROR(VLOOKUP(E2955,'GASB Match'!$A$2:$B$240,2,FALSE),"")</f>
        <v/>
      </c>
    </row>
    <row r="2956" spans="1:8" x14ac:dyDescent="0.2">
      <c r="A2956" t="s">
        <v>7</v>
      </c>
      <c r="B2956" s="3">
        <v>2017</v>
      </c>
      <c r="C2956" t="s">
        <v>759</v>
      </c>
      <c r="D2956" t="s">
        <v>760</v>
      </c>
      <c r="E2956" t="s">
        <v>760</v>
      </c>
      <c r="F2956" s="4">
        <v>10703</v>
      </c>
      <c r="G2956" s="4" t="s">
        <v>7</v>
      </c>
      <c r="H2956" t="str">
        <f>IFERROR(VLOOKUP(E2956,'GASB Match'!$A$2:$B$240,2,FALSE),"")</f>
        <v/>
      </c>
    </row>
    <row r="2957" spans="1:8" x14ac:dyDescent="0.2">
      <c r="A2957" t="s">
        <v>7</v>
      </c>
      <c r="B2957" s="3">
        <v>2018</v>
      </c>
      <c r="C2957" t="s">
        <v>759</v>
      </c>
      <c r="D2957" t="s">
        <v>760</v>
      </c>
      <c r="E2957" t="s">
        <v>760</v>
      </c>
      <c r="F2957" s="4">
        <v>12839</v>
      </c>
      <c r="G2957" s="4" t="s">
        <v>7</v>
      </c>
      <c r="H2957" t="str">
        <f>IFERROR(VLOOKUP(E2957,'GASB Match'!$A$2:$B$240,2,FALSE),"")</f>
        <v/>
      </c>
    </row>
    <row r="2958" spans="1:8" x14ac:dyDescent="0.2">
      <c r="A2958" t="s">
        <v>7</v>
      </c>
      <c r="B2958" s="3">
        <v>2019</v>
      </c>
      <c r="C2958" t="s">
        <v>759</v>
      </c>
      <c r="D2958" t="s">
        <v>760</v>
      </c>
      <c r="E2958" t="s">
        <v>760</v>
      </c>
      <c r="F2958" s="4">
        <v>15988</v>
      </c>
      <c r="G2958" s="4" t="s">
        <v>7</v>
      </c>
      <c r="H2958" t="str">
        <f>IFERROR(VLOOKUP(E2958,'GASB Match'!$A$2:$B$240,2,FALSE),"")</f>
        <v/>
      </c>
    </row>
    <row r="2959" spans="1:8" x14ac:dyDescent="0.2">
      <c r="A2959" t="s">
        <v>7</v>
      </c>
      <c r="B2959" s="3">
        <v>2020</v>
      </c>
      <c r="C2959" t="s">
        <v>759</v>
      </c>
      <c r="D2959" t="s">
        <v>760</v>
      </c>
      <c r="E2959" t="s">
        <v>760</v>
      </c>
      <c r="F2959" s="4">
        <v>16721</v>
      </c>
      <c r="G2959" s="4" t="s">
        <v>7</v>
      </c>
      <c r="H2959" t="str">
        <f>IFERROR(VLOOKUP(E2959,'GASB Match'!$A$2:$B$240,2,FALSE),"")</f>
        <v/>
      </c>
    </row>
    <row r="2960" spans="1:8" x14ac:dyDescent="0.2">
      <c r="A2960" t="s">
        <v>7</v>
      </c>
      <c r="B2960" s="3">
        <v>2021</v>
      </c>
      <c r="C2960" t="s">
        <v>759</v>
      </c>
      <c r="D2960" t="s">
        <v>760</v>
      </c>
      <c r="E2960" t="s">
        <v>760</v>
      </c>
      <c r="F2960" s="4">
        <v>13977</v>
      </c>
      <c r="G2960" s="4" t="s">
        <v>7</v>
      </c>
      <c r="H2960" t="str">
        <f>IFERROR(VLOOKUP(E2960,'GASB Match'!$A$2:$B$240,2,FALSE),"")</f>
        <v/>
      </c>
    </row>
    <row r="2961" spans="1:8" x14ac:dyDescent="0.2">
      <c r="A2961" t="s">
        <v>7</v>
      </c>
      <c r="B2961" s="3">
        <v>2016</v>
      </c>
      <c r="C2961" t="s">
        <v>761</v>
      </c>
      <c r="D2961" t="s">
        <v>762</v>
      </c>
      <c r="E2961" t="s">
        <v>762</v>
      </c>
      <c r="F2961" s="4">
        <v>7629.68</v>
      </c>
      <c r="G2961" s="4" t="s">
        <v>7</v>
      </c>
      <c r="H2961" t="str">
        <f>IFERROR(VLOOKUP(E2961,'GASB Match'!$A$2:$B$240,2,FALSE),"")</f>
        <v/>
      </c>
    </row>
    <row r="2962" spans="1:8" x14ac:dyDescent="0.2">
      <c r="A2962" t="s">
        <v>7</v>
      </c>
      <c r="B2962" s="3">
        <v>2017</v>
      </c>
      <c r="C2962" t="s">
        <v>761</v>
      </c>
      <c r="D2962" t="s">
        <v>762</v>
      </c>
      <c r="E2962" t="s">
        <v>762</v>
      </c>
      <c r="F2962" s="4">
        <v>31280</v>
      </c>
      <c r="G2962" s="4" t="s">
        <v>7</v>
      </c>
      <c r="H2962" t="str">
        <f>IFERROR(VLOOKUP(E2962,'GASB Match'!$A$2:$B$240,2,FALSE),"")</f>
        <v/>
      </c>
    </row>
    <row r="2963" spans="1:8" x14ac:dyDescent="0.2">
      <c r="A2963" t="s">
        <v>7</v>
      </c>
      <c r="B2963" s="3">
        <v>2018</v>
      </c>
      <c r="C2963" t="s">
        <v>761</v>
      </c>
      <c r="D2963" t="s">
        <v>762</v>
      </c>
      <c r="E2963" t="s">
        <v>762</v>
      </c>
      <c r="F2963" s="4">
        <v>37554</v>
      </c>
      <c r="G2963" s="4" t="s">
        <v>7</v>
      </c>
      <c r="H2963" t="str">
        <f>IFERROR(VLOOKUP(E2963,'GASB Match'!$A$2:$B$240,2,FALSE),"")</f>
        <v/>
      </c>
    </row>
    <row r="2964" spans="1:8" x14ac:dyDescent="0.2">
      <c r="A2964" t="s">
        <v>7</v>
      </c>
      <c r="B2964" s="3">
        <v>2019</v>
      </c>
      <c r="C2964" t="s">
        <v>761</v>
      </c>
      <c r="D2964" t="s">
        <v>762</v>
      </c>
      <c r="E2964" t="s">
        <v>762</v>
      </c>
      <c r="F2964" s="4">
        <v>32688</v>
      </c>
      <c r="G2964" s="4" t="s">
        <v>7</v>
      </c>
      <c r="H2964" t="str">
        <f>IFERROR(VLOOKUP(E2964,'GASB Match'!$A$2:$B$240,2,FALSE),"")</f>
        <v/>
      </c>
    </row>
    <row r="2965" spans="1:8" x14ac:dyDescent="0.2">
      <c r="A2965" t="s">
        <v>7</v>
      </c>
      <c r="B2965" s="3">
        <v>2023</v>
      </c>
      <c r="C2965" t="s">
        <v>761</v>
      </c>
      <c r="D2965" t="s">
        <v>762</v>
      </c>
      <c r="E2965" t="s">
        <v>762</v>
      </c>
      <c r="F2965" s="4">
        <v>19125</v>
      </c>
      <c r="G2965" s="4" t="s">
        <v>7</v>
      </c>
      <c r="H2965" t="str">
        <f>IFERROR(VLOOKUP(E2965,'GASB Match'!$A$2:$B$240,2,FALSE),"")</f>
        <v/>
      </c>
    </row>
    <row r="2966" spans="1:8" x14ac:dyDescent="0.2">
      <c r="A2966">
        <v>1300232</v>
      </c>
      <c r="B2966" s="3">
        <v>2015</v>
      </c>
      <c r="C2966" t="s">
        <v>763</v>
      </c>
      <c r="D2966" t="s">
        <v>764</v>
      </c>
      <c r="E2966" t="s">
        <v>764</v>
      </c>
      <c r="F2966" s="4">
        <v>2168615.04</v>
      </c>
      <c r="G2966" s="4" t="s">
        <v>7</v>
      </c>
      <c r="H2966">
        <f>IFERROR(VLOOKUP(E2966,'GASB Match'!$A$2:$B$240,2,FALSE),"")</f>
        <v>1300232</v>
      </c>
    </row>
    <row r="2967" spans="1:8" x14ac:dyDescent="0.2">
      <c r="A2967">
        <v>1300232</v>
      </c>
      <c r="B2967" s="3">
        <v>2016</v>
      </c>
      <c r="C2967" t="s">
        <v>763</v>
      </c>
      <c r="D2967" t="s">
        <v>764</v>
      </c>
      <c r="E2967" t="s">
        <v>764</v>
      </c>
      <c r="F2967" s="4">
        <v>2695652.03</v>
      </c>
      <c r="G2967" s="4" t="s">
        <v>7</v>
      </c>
      <c r="H2967">
        <f>IFERROR(VLOOKUP(E2967,'GASB Match'!$A$2:$B$240,2,FALSE),"")</f>
        <v>1300232</v>
      </c>
    </row>
    <row r="2968" spans="1:8" x14ac:dyDescent="0.2">
      <c r="A2968">
        <v>1300232</v>
      </c>
      <c r="B2968" s="3">
        <v>2017</v>
      </c>
      <c r="C2968" t="s">
        <v>763</v>
      </c>
      <c r="D2968" t="s">
        <v>764</v>
      </c>
      <c r="E2968" t="s">
        <v>764</v>
      </c>
      <c r="F2968" s="4">
        <v>3088273</v>
      </c>
      <c r="G2968" s="4" t="s">
        <v>7</v>
      </c>
      <c r="H2968">
        <f>IFERROR(VLOOKUP(E2968,'GASB Match'!$A$2:$B$240,2,FALSE),"")</f>
        <v>1300232</v>
      </c>
    </row>
    <row r="2969" spans="1:8" x14ac:dyDescent="0.2">
      <c r="A2969">
        <v>1300232</v>
      </c>
      <c r="B2969" s="3">
        <v>2018</v>
      </c>
      <c r="C2969" t="s">
        <v>763</v>
      </c>
      <c r="D2969" t="s">
        <v>764</v>
      </c>
      <c r="E2969" t="s">
        <v>764</v>
      </c>
      <c r="F2969" s="4">
        <v>3993123</v>
      </c>
      <c r="G2969" s="4" t="s">
        <v>7</v>
      </c>
      <c r="H2969">
        <f>IFERROR(VLOOKUP(E2969,'GASB Match'!$A$2:$B$240,2,FALSE),"")</f>
        <v>1300232</v>
      </c>
    </row>
    <row r="2970" spans="1:8" x14ac:dyDescent="0.2">
      <c r="A2970">
        <v>1300232</v>
      </c>
      <c r="B2970" s="3">
        <v>2019</v>
      </c>
      <c r="C2970" t="s">
        <v>763</v>
      </c>
      <c r="D2970" t="s">
        <v>764</v>
      </c>
      <c r="E2970" t="s">
        <v>764</v>
      </c>
      <c r="F2970" s="4">
        <v>5580713</v>
      </c>
      <c r="G2970" s="4" t="s">
        <v>7</v>
      </c>
      <c r="H2970">
        <f>IFERROR(VLOOKUP(E2970,'GASB Match'!$A$2:$B$240,2,FALSE),"")</f>
        <v>1300232</v>
      </c>
    </row>
    <row r="2971" spans="1:8" x14ac:dyDescent="0.2">
      <c r="A2971">
        <v>1300232</v>
      </c>
      <c r="B2971" s="3">
        <v>2020</v>
      </c>
      <c r="C2971" t="s">
        <v>763</v>
      </c>
      <c r="D2971" t="s">
        <v>764</v>
      </c>
      <c r="E2971" t="s">
        <v>764</v>
      </c>
      <c r="F2971" s="4">
        <v>6861062</v>
      </c>
      <c r="G2971" s="4" t="s">
        <v>7</v>
      </c>
      <c r="H2971">
        <f>IFERROR(VLOOKUP(E2971,'GASB Match'!$A$2:$B$240,2,FALSE),"")</f>
        <v>1300232</v>
      </c>
    </row>
    <row r="2972" spans="1:8" x14ac:dyDescent="0.2">
      <c r="A2972">
        <v>1300232</v>
      </c>
      <c r="B2972" s="3">
        <v>2021</v>
      </c>
      <c r="C2972" t="s">
        <v>763</v>
      </c>
      <c r="D2972" t="s">
        <v>764</v>
      </c>
      <c r="E2972" t="s">
        <v>764</v>
      </c>
      <c r="F2972" s="4">
        <v>7111141</v>
      </c>
      <c r="G2972" s="4" t="s">
        <v>7</v>
      </c>
      <c r="H2972">
        <f>IFERROR(VLOOKUP(E2972,'GASB Match'!$A$2:$B$240,2,FALSE),"")</f>
        <v>1300232</v>
      </c>
    </row>
    <row r="2973" spans="1:8" x14ac:dyDescent="0.2">
      <c r="A2973">
        <v>1300232</v>
      </c>
      <c r="B2973" s="3">
        <v>2022</v>
      </c>
      <c r="C2973" t="s">
        <v>763</v>
      </c>
      <c r="D2973" t="s">
        <v>764</v>
      </c>
      <c r="E2973" t="s">
        <v>764</v>
      </c>
      <c r="F2973" s="4">
        <v>10225807</v>
      </c>
      <c r="G2973" s="4" t="s">
        <v>7</v>
      </c>
      <c r="H2973">
        <f>IFERROR(VLOOKUP(E2973,'GASB Match'!$A$2:$B$240,2,FALSE),"")</f>
        <v>1300232</v>
      </c>
    </row>
    <row r="2974" spans="1:8" x14ac:dyDescent="0.2">
      <c r="A2974">
        <v>1300232</v>
      </c>
      <c r="B2974" s="3">
        <v>2023</v>
      </c>
      <c r="C2974" t="s">
        <v>763</v>
      </c>
      <c r="D2974" t="s">
        <v>764</v>
      </c>
      <c r="E2974" t="s">
        <v>764</v>
      </c>
      <c r="F2974" s="4">
        <v>11995791</v>
      </c>
      <c r="G2974" s="4" t="s">
        <v>7</v>
      </c>
      <c r="H2974">
        <f>IFERROR(VLOOKUP(E2974,'GASB Match'!$A$2:$B$240,2,FALSE),"")</f>
        <v>1300232</v>
      </c>
    </row>
    <row r="2975" spans="1:8" x14ac:dyDescent="0.2">
      <c r="A2975">
        <v>1300252</v>
      </c>
      <c r="B2975" s="3">
        <v>2015</v>
      </c>
      <c r="C2975" t="s">
        <v>765</v>
      </c>
      <c r="D2975" t="s">
        <v>766</v>
      </c>
      <c r="E2975" t="s">
        <v>766</v>
      </c>
      <c r="F2975" s="4">
        <v>235158.11</v>
      </c>
      <c r="G2975" s="4" t="s">
        <v>7</v>
      </c>
      <c r="H2975">
        <f>IFERROR(VLOOKUP(E2975,'GASB Match'!$A$2:$B$240,2,FALSE),"")</f>
        <v>1300252</v>
      </c>
    </row>
    <row r="2976" spans="1:8" x14ac:dyDescent="0.2">
      <c r="A2976">
        <v>1300252</v>
      </c>
      <c r="B2976" s="3">
        <v>2016</v>
      </c>
      <c r="C2976" t="s">
        <v>765</v>
      </c>
      <c r="D2976" t="s">
        <v>766</v>
      </c>
      <c r="E2976" t="s">
        <v>766</v>
      </c>
      <c r="F2976" s="4">
        <v>427214.45</v>
      </c>
      <c r="G2976" s="4" t="s">
        <v>7</v>
      </c>
      <c r="H2976">
        <f>IFERROR(VLOOKUP(E2976,'GASB Match'!$A$2:$B$240,2,FALSE),"")</f>
        <v>1300252</v>
      </c>
    </row>
    <row r="2977" spans="1:8" x14ac:dyDescent="0.2">
      <c r="A2977">
        <v>1300252</v>
      </c>
      <c r="B2977" s="3">
        <v>2017</v>
      </c>
      <c r="C2977" t="s">
        <v>765</v>
      </c>
      <c r="D2977" t="s">
        <v>766</v>
      </c>
      <c r="E2977" t="s">
        <v>766</v>
      </c>
      <c r="F2977" s="4">
        <v>551352</v>
      </c>
      <c r="G2977" s="4" t="s">
        <v>7</v>
      </c>
      <c r="H2977">
        <f>IFERROR(VLOOKUP(E2977,'GASB Match'!$A$2:$B$240,2,FALSE),"")</f>
        <v>1300252</v>
      </c>
    </row>
    <row r="2978" spans="1:8" x14ac:dyDescent="0.2">
      <c r="A2978">
        <v>1300252</v>
      </c>
      <c r="B2978" s="3">
        <v>2018</v>
      </c>
      <c r="C2978" t="s">
        <v>765</v>
      </c>
      <c r="D2978" t="s">
        <v>766</v>
      </c>
      <c r="E2978" t="s">
        <v>766</v>
      </c>
      <c r="F2978" s="4">
        <v>805162</v>
      </c>
      <c r="G2978" s="4" t="s">
        <v>7</v>
      </c>
      <c r="H2978">
        <f>IFERROR(VLOOKUP(E2978,'GASB Match'!$A$2:$B$240,2,FALSE),"")</f>
        <v>1300252</v>
      </c>
    </row>
    <row r="2979" spans="1:8" x14ac:dyDescent="0.2">
      <c r="A2979">
        <v>1300252</v>
      </c>
      <c r="B2979" s="3">
        <v>2019</v>
      </c>
      <c r="C2979" t="s">
        <v>765</v>
      </c>
      <c r="D2979" t="s">
        <v>766</v>
      </c>
      <c r="E2979" t="s">
        <v>766</v>
      </c>
      <c r="F2979" s="4">
        <v>1191133</v>
      </c>
      <c r="G2979" s="4" t="s">
        <v>7</v>
      </c>
      <c r="H2979">
        <f>IFERROR(VLOOKUP(E2979,'GASB Match'!$A$2:$B$240,2,FALSE),"")</f>
        <v>1300252</v>
      </c>
    </row>
    <row r="2980" spans="1:8" x14ac:dyDescent="0.2">
      <c r="A2980">
        <v>1300252</v>
      </c>
      <c r="B2980" s="3">
        <v>2020</v>
      </c>
      <c r="C2980" t="s">
        <v>765</v>
      </c>
      <c r="D2980" t="s">
        <v>766</v>
      </c>
      <c r="E2980" t="s">
        <v>766</v>
      </c>
      <c r="F2980" s="4">
        <v>1407576</v>
      </c>
      <c r="G2980" s="4" t="s">
        <v>7</v>
      </c>
      <c r="H2980">
        <f>IFERROR(VLOOKUP(E2980,'GASB Match'!$A$2:$B$240,2,FALSE),"")</f>
        <v>1300252</v>
      </c>
    </row>
    <row r="2981" spans="1:8" x14ac:dyDescent="0.2">
      <c r="A2981">
        <v>1300252</v>
      </c>
      <c r="B2981" s="3">
        <v>2021</v>
      </c>
      <c r="C2981" t="s">
        <v>765</v>
      </c>
      <c r="D2981" t="s">
        <v>766</v>
      </c>
      <c r="E2981" t="s">
        <v>766</v>
      </c>
      <c r="F2981" s="4">
        <v>1401821</v>
      </c>
      <c r="G2981" s="4" t="s">
        <v>7</v>
      </c>
      <c r="H2981">
        <f>IFERROR(VLOOKUP(E2981,'GASB Match'!$A$2:$B$240,2,FALSE),"")</f>
        <v>1300252</v>
      </c>
    </row>
    <row r="2982" spans="1:8" x14ac:dyDescent="0.2">
      <c r="A2982">
        <v>1300252</v>
      </c>
      <c r="B2982" s="3">
        <v>2022</v>
      </c>
      <c r="C2982" t="s">
        <v>765</v>
      </c>
      <c r="D2982" t="s">
        <v>766</v>
      </c>
      <c r="E2982" t="s">
        <v>766</v>
      </c>
      <c r="F2982" s="4">
        <v>1600389</v>
      </c>
      <c r="G2982" s="4" t="s">
        <v>7</v>
      </c>
      <c r="H2982">
        <f>IFERROR(VLOOKUP(E2982,'GASB Match'!$A$2:$B$240,2,FALSE),"")</f>
        <v>1300252</v>
      </c>
    </row>
    <row r="2983" spans="1:8" x14ac:dyDescent="0.2">
      <c r="A2983">
        <v>1300252</v>
      </c>
      <c r="B2983" s="3">
        <v>2023</v>
      </c>
      <c r="C2983" t="s">
        <v>765</v>
      </c>
      <c r="D2983" t="s">
        <v>766</v>
      </c>
      <c r="E2983" t="s">
        <v>766</v>
      </c>
      <c r="F2983" s="4">
        <v>1761047</v>
      </c>
      <c r="G2983" s="4">
        <v>6242</v>
      </c>
      <c r="H2983">
        <f>IFERROR(VLOOKUP(E2983,'GASB Match'!$A$2:$B$240,2,FALSE),"")</f>
        <v>1300252</v>
      </c>
    </row>
    <row r="2984" spans="1:8" x14ac:dyDescent="0.2">
      <c r="A2984" t="s">
        <v>7</v>
      </c>
      <c r="B2984" s="3">
        <v>2015</v>
      </c>
      <c r="C2984" t="s">
        <v>767</v>
      </c>
      <c r="D2984" t="s">
        <v>768</v>
      </c>
      <c r="E2984" t="s">
        <v>768</v>
      </c>
      <c r="F2984" s="4">
        <v>251923.65</v>
      </c>
      <c r="G2984" s="4" t="s">
        <v>7</v>
      </c>
      <c r="H2984" t="str">
        <f>IFERROR(VLOOKUP(E2984,'GASB Match'!$A$2:$B$240,2,FALSE),"")</f>
        <v/>
      </c>
    </row>
    <row r="2985" spans="1:8" x14ac:dyDescent="0.2">
      <c r="A2985" t="s">
        <v>7</v>
      </c>
      <c r="B2985" s="3">
        <v>2016</v>
      </c>
      <c r="C2985" t="s">
        <v>767</v>
      </c>
      <c r="D2985" t="s">
        <v>768</v>
      </c>
      <c r="E2985" t="s">
        <v>768</v>
      </c>
      <c r="F2985" s="4">
        <v>339003.23</v>
      </c>
      <c r="G2985" s="4" t="s">
        <v>7</v>
      </c>
      <c r="H2985" t="str">
        <f>IFERROR(VLOOKUP(E2985,'GASB Match'!$A$2:$B$240,2,FALSE),"")</f>
        <v/>
      </c>
    </row>
    <row r="2986" spans="1:8" x14ac:dyDescent="0.2">
      <c r="A2986" t="s">
        <v>7</v>
      </c>
      <c r="B2986" s="3">
        <v>2017</v>
      </c>
      <c r="C2986" t="s">
        <v>767</v>
      </c>
      <c r="D2986" t="s">
        <v>768</v>
      </c>
      <c r="E2986" t="s">
        <v>768</v>
      </c>
      <c r="F2986" s="4">
        <v>404339</v>
      </c>
      <c r="G2986" s="4" t="s">
        <v>7</v>
      </c>
      <c r="H2986" t="str">
        <f>IFERROR(VLOOKUP(E2986,'GASB Match'!$A$2:$B$240,2,FALSE),"")</f>
        <v/>
      </c>
    </row>
    <row r="2987" spans="1:8" x14ac:dyDescent="0.2">
      <c r="A2987" t="s">
        <v>7</v>
      </c>
      <c r="B2987" s="3">
        <v>2018</v>
      </c>
      <c r="C2987" t="s">
        <v>767</v>
      </c>
      <c r="D2987" t="s">
        <v>768</v>
      </c>
      <c r="E2987" t="s">
        <v>768</v>
      </c>
      <c r="F2987" s="4">
        <v>494206</v>
      </c>
      <c r="G2987" s="4" t="s">
        <v>7</v>
      </c>
      <c r="H2987" t="str">
        <f>IFERROR(VLOOKUP(E2987,'GASB Match'!$A$2:$B$240,2,FALSE),"")</f>
        <v/>
      </c>
    </row>
    <row r="2988" spans="1:8" x14ac:dyDescent="0.2">
      <c r="A2988" t="s">
        <v>7</v>
      </c>
      <c r="B2988" s="3">
        <v>2019</v>
      </c>
      <c r="C2988" t="s">
        <v>767</v>
      </c>
      <c r="D2988" t="s">
        <v>768</v>
      </c>
      <c r="E2988" t="s">
        <v>768</v>
      </c>
      <c r="F2988" s="4">
        <v>682286</v>
      </c>
      <c r="G2988" s="4" t="s">
        <v>7</v>
      </c>
      <c r="H2988" t="str">
        <f>IFERROR(VLOOKUP(E2988,'GASB Match'!$A$2:$B$240,2,FALSE),"")</f>
        <v/>
      </c>
    </row>
    <row r="2989" spans="1:8" x14ac:dyDescent="0.2">
      <c r="A2989" t="s">
        <v>7</v>
      </c>
      <c r="B2989" s="3">
        <v>2020</v>
      </c>
      <c r="C2989" t="s">
        <v>767</v>
      </c>
      <c r="D2989" t="s">
        <v>768</v>
      </c>
      <c r="E2989" t="s">
        <v>768</v>
      </c>
      <c r="F2989" s="4">
        <v>794196</v>
      </c>
      <c r="G2989" s="4" t="s">
        <v>7</v>
      </c>
      <c r="H2989" t="str">
        <f>IFERROR(VLOOKUP(E2989,'GASB Match'!$A$2:$B$240,2,FALSE),"")</f>
        <v/>
      </c>
    </row>
    <row r="2990" spans="1:8" x14ac:dyDescent="0.2">
      <c r="A2990" t="s">
        <v>7</v>
      </c>
      <c r="B2990" s="3">
        <v>2021</v>
      </c>
      <c r="C2990" t="s">
        <v>767</v>
      </c>
      <c r="D2990" t="s">
        <v>768</v>
      </c>
      <c r="E2990" t="s">
        <v>768</v>
      </c>
      <c r="F2990" s="4">
        <v>826228</v>
      </c>
      <c r="G2990" s="4" t="s">
        <v>7</v>
      </c>
      <c r="H2990" t="str">
        <f>IFERROR(VLOOKUP(E2990,'GASB Match'!$A$2:$B$240,2,FALSE),"")</f>
        <v/>
      </c>
    </row>
    <row r="2991" spans="1:8" x14ac:dyDescent="0.2">
      <c r="A2991" t="s">
        <v>7</v>
      </c>
      <c r="B2991" s="3">
        <v>2022</v>
      </c>
      <c r="C2991" t="s">
        <v>767</v>
      </c>
      <c r="D2991" t="s">
        <v>768</v>
      </c>
      <c r="E2991" t="s">
        <v>768</v>
      </c>
      <c r="F2991" s="4">
        <v>987137</v>
      </c>
      <c r="G2991" s="4" t="s">
        <v>7</v>
      </c>
      <c r="H2991" t="str">
        <f>IFERROR(VLOOKUP(E2991,'GASB Match'!$A$2:$B$240,2,FALSE),"")</f>
        <v/>
      </c>
    </row>
    <row r="2992" spans="1:8" x14ac:dyDescent="0.2">
      <c r="A2992" t="s">
        <v>7</v>
      </c>
      <c r="B2992" s="3">
        <v>2023</v>
      </c>
      <c r="C2992" t="s">
        <v>767</v>
      </c>
      <c r="D2992" t="s">
        <v>768</v>
      </c>
      <c r="E2992" t="s">
        <v>768</v>
      </c>
      <c r="F2992" s="4">
        <v>938185</v>
      </c>
      <c r="G2992" s="4" t="s">
        <v>7</v>
      </c>
      <c r="H2992" t="str">
        <f>IFERROR(VLOOKUP(E2992,'GASB Match'!$A$2:$B$240,2,FALSE),"")</f>
        <v/>
      </c>
    </row>
    <row r="2993" spans="1:8" x14ac:dyDescent="0.2">
      <c r="A2993">
        <v>1300233</v>
      </c>
      <c r="B2993" s="3">
        <v>2015</v>
      </c>
      <c r="C2993" t="s">
        <v>769</v>
      </c>
      <c r="D2993" t="s">
        <v>770</v>
      </c>
      <c r="E2993" t="s">
        <v>770</v>
      </c>
      <c r="F2993" s="4">
        <v>133830.54</v>
      </c>
      <c r="G2993" s="4" t="s">
        <v>7</v>
      </c>
      <c r="H2993">
        <f>IFERROR(VLOOKUP(E2993,'GASB Match'!$A$2:$B$240,2,FALSE),"")</f>
        <v>1300233</v>
      </c>
    </row>
    <row r="2994" spans="1:8" x14ac:dyDescent="0.2">
      <c r="A2994">
        <v>1300233</v>
      </c>
      <c r="B2994" s="3">
        <v>2016</v>
      </c>
      <c r="C2994" t="s">
        <v>769</v>
      </c>
      <c r="D2994" t="s">
        <v>770</v>
      </c>
      <c r="E2994" t="s">
        <v>770</v>
      </c>
      <c r="F2994" s="4">
        <v>143037.78</v>
      </c>
      <c r="G2994" s="4" t="s">
        <v>7</v>
      </c>
      <c r="H2994">
        <f>IFERROR(VLOOKUP(E2994,'GASB Match'!$A$2:$B$240,2,FALSE),"")</f>
        <v>1300233</v>
      </c>
    </row>
    <row r="2995" spans="1:8" x14ac:dyDescent="0.2">
      <c r="A2995">
        <v>1300233</v>
      </c>
      <c r="B2995" s="3">
        <v>2017</v>
      </c>
      <c r="C2995" t="s">
        <v>769</v>
      </c>
      <c r="D2995" t="s">
        <v>770</v>
      </c>
      <c r="E2995" t="s">
        <v>770</v>
      </c>
      <c r="F2995" s="4">
        <v>146819</v>
      </c>
      <c r="G2995" s="4" t="s">
        <v>7</v>
      </c>
      <c r="H2995">
        <f>IFERROR(VLOOKUP(E2995,'GASB Match'!$A$2:$B$240,2,FALSE),"")</f>
        <v>1300233</v>
      </c>
    </row>
    <row r="2996" spans="1:8" x14ac:dyDescent="0.2">
      <c r="A2996">
        <v>1300233</v>
      </c>
      <c r="B2996" s="3">
        <v>2018</v>
      </c>
      <c r="C2996" t="s">
        <v>769</v>
      </c>
      <c r="D2996" t="s">
        <v>770</v>
      </c>
      <c r="E2996" t="s">
        <v>770</v>
      </c>
      <c r="F2996" s="4">
        <v>145454</v>
      </c>
      <c r="G2996" s="4" t="s">
        <v>7</v>
      </c>
      <c r="H2996">
        <f>IFERROR(VLOOKUP(E2996,'GASB Match'!$A$2:$B$240,2,FALSE),"")</f>
        <v>1300233</v>
      </c>
    </row>
    <row r="2997" spans="1:8" x14ac:dyDescent="0.2">
      <c r="A2997">
        <v>1300233</v>
      </c>
      <c r="B2997" s="3">
        <v>2019</v>
      </c>
      <c r="C2997" t="s">
        <v>769</v>
      </c>
      <c r="D2997" t="s">
        <v>770</v>
      </c>
      <c r="E2997" t="s">
        <v>770</v>
      </c>
      <c r="F2997" s="4">
        <v>238574</v>
      </c>
      <c r="G2997" s="4" t="s">
        <v>7</v>
      </c>
      <c r="H2997">
        <f>IFERROR(VLOOKUP(E2997,'GASB Match'!$A$2:$B$240,2,FALSE),"")</f>
        <v>1300233</v>
      </c>
    </row>
    <row r="2998" spans="1:8" x14ac:dyDescent="0.2">
      <c r="A2998">
        <v>1300233</v>
      </c>
      <c r="B2998" s="3">
        <v>2020</v>
      </c>
      <c r="C2998" t="s">
        <v>769</v>
      </c>
      <c r="D2998" t="s">
        <v>770</v>
      </c>
      <c r="E2998" t="s">
        <v>770</v>
      </c>
      <c r="F2998" s="4">
        <v>269884</v>
      </c>
      <c r="G2998" s="4" t="s">
        <v>7</v>
      </c>
      <c r="H2998">
        <f>IFERROR(VLOOKUP(E2998,'GASB Match'!$A$2:$B$240,2,FALSE),"")</f>
        <v>1300233</v>
      </c>
    </row>
    <row r="2999" spans="1:8" x14ac:dyDescent="0.2">
      <c r="A2999">
        <v>1300233</v>
      </c>
      <c r="B2999" s="3">
        <v>2021</v>
      </c>
      <c r="C2999" t="s">
        <v>769</v>
      </c>
      <c r="D2999" t="s">
        <v>770</v>
      </c>
      <c r="E2999" t="s">
        <v>770</v>
      </c>
      <c r="F2999" s="4">
        <v>271168</v>
      </c>
      <c r="G2999" s="4" t="s">
        <v>7</v>
      </c>
      <c r="H2999">
        <f>IFERROR(VLOOKUP(E2999,'GASB Match'!$A$2:$B$240,2,FALSE),"")</f>
        <v>1300233</v>
      </c>
    </row>
    <row r="3000" spans="1:8" x14ac:dyDescent="0.2">
      <c r="A3000">
        <v>1300233</v>
      </c>
      <c r="B3000" s="3">
        <v>2022</v>
      </c>
      <c r="C3000" t="s">
        <v>769</v>
      </c>
      <c r="D3000" t="s">
        <v>770</v>
      </c>
      <c r="E3000" t="s">
        <v>770</v>
      </c>
      <c r="F3000" s="4">
        <v>494782</v>
      </c>
      <c r="G3000" s="4" t="s">
        <v>7</v>
      </c>
      <c r="H3000">
        <f>IFERROR(VLOOKUP(E3000,'GASB Match'!$A$2:$B$240,2,FALSE),"")</f>
        <v>1300233</v>
      </c>
    </row>
    <row r="3001" spans="1:8" x14ac:dyDescent="0.2">
      <c r="A3001">
        <v>1300233</v>
      </c>
      <c r="B3001" s="3">
        <v>2023</v>
      </c>
      <c r="C3001" t="s">
        <v>769</v>
      </c>
      <c r="D3001" t="s">
        <v>770</v>
      </c>
      <c r="E3001" t="s">
        <v>770</v>
      </c>
      <c r="F3001" s="4">
        <v>588865</v>
      </c>
      <c r="G3001" s="4" t="s">
        <v>7</v>
      </c>
      <c r="H3001">
        <f>IFERROR(VLOOKUP(E3001,'GASB Match'!$A$2:$B$240,2,FALSE),"")</f>
        <v>1300233</v>
      </c>
    </row>
    <row r="3002" spans="1:8" x14ac:dyDescent="0.2">
      <c r="A3002" t="s">
        <v>7</v>
      </c>
      <c r="B3002" s="3">
        <v>2015</v>
      </c>
      <c r="C3002" t="s">
        <v>771</v>
      </c>
      <c r="D3002" t="s">
        <v>772</v>
      </c>
      <c r="E3002" t="s">
        <v>772</v>
      </c>
      <c r="F3002" s="4">
        <v>90087.42</v>
      </c>
      <c r="G3002" s="4" t="s">
        <v>7</v>
      </c>
      <c r="H3002" t="str">
        <f>IFERROR(VLOOKUP(E3002,'GASB Match'!$A$2:$B$240,2,FALSE),"")</f>
        <v/>
      </c>
    </row>
    <row r="3003" spans="1:8" x14ac:dyDescent="0.2">
      <c r="A3003" t="s">
        <v>7</v>
      </c>
      <c r="B3003" s="3">
        <v>2016</v>
      </c>
      <c r="C3003" t="s">
        <v>771</v>
      </c>
      <c r="D3003" t="s">
        <v>772</v>
      </c>
      <c r="E3003" t="s">
        <v>772</v>
      </c>
      <c r="F3003" s="4">
        <v>158841.85</v>
      </c>
      <c r="G3003" s="4" t="s">
        <v>7</v>
      </c>
      <c r="H3003" t="str">
        <f>IFERROR(VLOOKUP(E3003,'GASB Match'!$A$2:$B$240,2,FALSE),"")</f>
        <v/>
      </c>
    </row>
    <row r="3004" spans="1:8" x14ac:dyDescent="0.2">
      <c r="A3004" t="s">
        <v>7</v>
      </c>
      <c r="B3004" s="3">
        <v>2017</v>
      </c>
      <c r="C3004" t="s">
        <v>771</v>
      </c>
      <c r="D3004" t="s">
        <v>772</v>
      </c>
      <c r="E3004" t="s">
        <v>772</v>
      </c>
      <c r="F3004" s="4">
        <v>286006</v>
      </c>
      <c r="G3004" s="4" t="s">
        <v>7</v>
      </c>
      <c r="H3004" t="str">
        <f>IFERROR(VLOOKUP(E3004,'GASB Match'!$A$2:$B$240,2,FALSE),"")</f>
        <v/>
      </c>
    </row>
    <row r="3005" spans="1:8" x14ac:dyDescent="0.2">
      <c r="A3005" t="s">
        <v>7</v>
      </c>
      <c r="B3005" s="3">
        <v>2018</v>
      </c>
      <c r="C3005" t="s">
        <v>771</v>
      </c>
      <c r="D3005" t="s">
        <v>772</v>
      </c>
      <c r="E3005" t="s">
        <v>772</v>
      </c>
      <c r="F3005" s="4">
        <v>405963</v>
      </c>
      <c r="G3005" s="4" t="s">
        <v>7</v>
      </c>
      <c r="H3005" t="str">
        <f>IFERROR(VLOOKUP(E3005,'GASB Match'!$A$2:$B$240,2,FALSE),"")</f>
        <v/>
      </c>
    </row>
    <row r="3006" spans="1:8" x14ac:dyDescent="0.2">
      <c r="A3006" t="s">
        <v>7</v>
      </c>
      <c r="B3006" s="3">
        <v>2019</v>
      </c>
      <c r="C3006" t="s">
        <v>771</v>
      </c>
      <c r="D3006" t="s">
        <v>772</v>
      </c>
      <c r="E3006" t="s">
        <v>772</v>
      </c>
      <c r="F3006" s="4">
        <v>588672</v>
      </c>
      <c r="G3006" s="4" t="s">
        <v>7</v>
      </c>
      <c r="H3006" t="str">
        <f>IFERROR(VLOOKUP(E3006,'GASB Match'!$A$2:$B$240,2,FALSE),"")</f>
        <v/>
      </c>
    </row>
    <row r="3007" spans="1:8" x14ac:dyDescent="0.2">
      <c r="A3007" t="s">
        <v>7</v>
      </c>
      <c r="B3007" s="3">
        <v>2020</v>
      </c>
      <c r="C3007" t="s">
        <v>771</v>
      </c>
      <c r="D3007" t="s">
        <v>772</v>
      </c>
      <c r="E3007" t="s">
        <v>772</v>
      </c>
      <c r="F3007" s="4">
        <v>667168</v>
      </c>
      <c r="G3007" s="4" t="s">
        <v>7</v>
      </c>
      <c r="H3007" t="str">
        <f>IFERROR(VLOOKUP(E3007,'GASB Match'!$A$2:$B$240,2,FALSE),"")</f>
        <v/>
      </c>
    </row>
    <row r="3008" spans="1:8" x14ac:dyDescent="0.2">
      <c r="A3008" t="s">
        <v>7</v>
      </c>
      <c r="B3008" s="3">
        <v>2021</v>
      </c>
      <c r="C3008" t="s">
        <v>771</v>
      </c>
      <c r="D3008" t="s">
        <v>772</v>
      </c>
      <c r="E3008" t="s">
        <v>772</v>
      </c>
      <c r="F3008" s="4">
        <v>516597</v>
      </c>
      <c r="G3008" s="4" t="s">
        <v>7</v>
      </c>
      <c r="H3008" t="str">
        <f>IFERROR(VLOOKUP(E3008,'GASB Match'!$A$2:$B$240,2,FALSE),"")</f>
        <v/>
      </c>
    </row>
    <row r="3009" spans="1:8" x14ac:dyDescent="0.2">
      <c r="A3009" t="s">
        <v>7</v>
      </c>
      <c r="B3009" s="3">
        <v>2022</v>
      </c>
      <c r="C3009" t="s">
        <v>771</v>
      </c>
      <c r="D3009" t="s">
        <v>772</v>
      </c>
      <c r="E3009" t="s">
        <v>772</v>
      </c>
      <c r="F3009" s="4">
        <v>527999</v>
      </c>
      <c r="G3009" s="4" t="s">
        <v>7</v>
      </c>
      <c r="H3009" t="str">
        <f>IFERROR(VLOOKUP(E3009,'GASB Match'!$A$2:$B$240,2,FALSE),"")</f>
        <v/>
      </c>
    </row>
    <row r="3010" spans="1:8" x14ac:dyDescent="0.2">
      <c r="A3010" t="s">
        <v>7</v>
      </c>
      <c r="B3010" s="3">
        <v>2023</v>
      </c>
      <c r="C3010" t="s">
        <v>771</v>
      </c>
      <c r="D3010" t="s">
        <v>772</v>
      </c>
      <c r="E3010" t="s">
        <v>772</v>
      </c>
      <c r="F3010" s="4">
        <v>603619</v>
      </c>
      <c r="G3010" s="4" t="s">
        <v>7</v>
      </c>
      <c r="H3010" t="str">
        <f>IFERROR(VLOOKUP(E3010,'GASB Match'!$A$2:$B$240,2,FALSE),"")</f>
        <v/>
      </c>
    </row>
    <row r="3011" spans="1:8" x14ac:dyDescent="0.2">
      <c r="A3011" t="s">
        <v>7</v>
      </c>
      <c r="B3011" s="3">
        <v>2015</v>
      </c>
      <c r="C3011" t="s">
        <v>773</v>
      </c>
      <c r="D3011" t="s">
        <v>774</v>
      </c>
      <c r="E3011" t="s">
        <v>774</v>
      </c>
      <c r="F3011" s="4">
        <v>151351.25</v>
      </c>
      <c r="G3011" s="4" t="s">
        <v>7</v>
      </c>
      <c r="H3011" t="str">
        <f>IFERROR(VLOOKUP(E3011,'GASB Match'!$A$2:$B$240,2,FALSE),"")</f>
        <v/>
      </c>
    </row>
    <row r="3012" spans="1:8" x14ac:dyDescent="0.2">
      <c r="A3012" t="s">
        <v>7</v>
      </c>
      <c r="B3012" s="3">
        <v>2016</v>
      </c>
      <c r="C3012" t="s">
        <v>773</v>
      </c>
      <c r="D3012" t="s">
        <v>774</v>
      </c>
      <c r="E3012" t="s">
        <v>774</v>
      </c>
      <c r="F3012" s="4">
        <v>193946.25</v>
      </c>
      <c r="G3012" s="4" t="s">
        <v>7</v>
      </c>
      <c r="H3012" t="str">
        <f>IFERROR(VLOOKUP(E3012,'GASB Match'!$A$2:$B$240,2,FALSE),"")</f>
        <v/>
      </c>
    </row>
    <row r="3013" spans="1:8" x14ac:dyDescent="0.2">
      <c r="A3013" t="s">
        <v>7</v>
      </c>
      <c r="B3013" s="3">
        <v>2017</v>
      </c>
      <c r="C3013" t="s">
        <v>773</v>
      </c>
      <c r="D3013" t="s">
        <v>774</v>
      </c>
      <c r="E3013" t="s">
        <v>774</v>
      </c>
      <c r="F3013" s="4">
        <v>203106</v>
      </c>
      <c r="G3013" s="4" t="s">
        <v>7</v>
      </c>
      <c r="H3013" t="str">
        <f>IFERROR(VLOOKUP(E3013,'GASB Match'!$A$2:$B$240,2,FALSE),"")</f>
        <v/>
      </c>
    </row>
    <row r="3014" spans="1:8" x14ac:dyDescent="0.2">
      <c r="A3014" t="s">
        <v>7</v>
      </c>
      <c r="B3014" s="3">
        <v>2018</v>
      </c>
      <c r="C3014" t="s">
        <v>773</v>
      </c>
      <c r="D3014" t="s">
        <v>774</v>
      </c>
      <c r="E3014" t="s">
        <v>774</v>
      </c>
      <c r="F3014" s="4">
        <v>298377</v>
      </c>
      <c r="G3014" s="4" t="s">
        <v>7</v>
      </c>
      <c r="H3014" t="str">
        <f>IFERROR(VLOOKUP(E3014,'GASB Match'!$A$2:$B$240,2,FALSE),"")</f>
        <v/>
      </c>
    </row>
    <row r="3015" spans="1:8" x14ac:dyDescent="0.2">
      <c r="A3015" t="s">
        <v>7</v>
      </c>
      <c r="B3015" s="3">
        <v>2019</v>
      </c>
      <c r="C3015" t="s">
        <v>773</v>
      </c>
      <c r="D3015" t="s">
        <v>774</v>
      </c>
      <c r="E3015" t="s">
        <v>774</v>
      </c>
      <c r="F3015" s="4">
        <v>408806</v>
      </c>
      <c r="G3015" s="4" t="s">
        <v>7</v>
      </c>
      <c r="H3015" t="str">
        <f>IFERROR(VLOOKUP(E3015,'GASB Match'!$A$2:$B$240,2,FALSE),"")</f>
        <v/>
      </c>
    </row>
    <row r="3016" spans="1:8" x14ac:dyDescent="0.2">
      <c r="A3016" t="s">
        <v>7</v>
      </c>
      <c r="B3016" s="3">
        <v>2020</v>
      </c>
      <c r="C3016" t="s">
        <v>773</v>
      </c>
      <c r="D3016" t="s">
        <v>774</v>
      </c>
      <c r="E3016" t="s">
        <v>774</v>
      </c>
      <c r="F3016" s="4">
        <v>509584</v>
      </c>
      <c r="G3016" s="4" t="s">
        <v>7</v>
      </c>
      <c r="H3016" t="str">
        <f>IFERROR(VLOOKUP(E3016,'GASB Match'!$A$2:$B$240,2,FALSE),"")</f>
        <v/>
      </c>
    </row>
    <row r="3017" spans="1:8" x14ac:dyDescent="0.2">
      <c r="A3017" t="s">
        <v>7</v>
      </c>
      <c r="B3017" s="3">
        <v>2021</v>
      </c>
      <c r="C3017" t="s">
        <v>773</v>
      </c>
      <c r="D3017" t="s">
        <v>774</v>
      </c>
      <c r="E3017" t="s">
        <v>774</v>
      </c>
      <c r="F3017" s="4">
        <v>576666</v>
      </c>
      <c r="G3017" s="4" t="s">
        <v>7</v>
      </c>
      <c r="H3017" t="str">
        <f>IFERROR(VLOOKUP(E3017,'GASB Match'!$A$2:$B$240,2,FALSE),"")</f>
        <v/>
      </c>
    </row>
    <row r="3018" spans="1:8" x14ac:dyDescent="0.2">
      <c r="A3018" t="s">
        <v>7</v>
      </c>
      <c r="B3018" s="3">
        <v>2022</v>
      </c>
      <c r="C3018" t="s">
        <v>773</v>
      </c>
      <c r="D3018" t="s">
        <v>774</v>
      </c>
      <c r="E3018" t="s">
        <v>774</v>
      </c>
      <c r="F3018" s="4">
        <v>605121</v>
      </c>
      <c r="G3018" s="4" t="s">
        <v>7</v>
      </c>
      <c r="H3018" t="str">
        <f>IFERROR(VLOOKUP(E3018,'GASB Match'!$A$2:$B$240,2,FALSE),"")</f>
        <v/>
      </c>
    </row>
    <row r="3019" spans="1:8" x14ac:dyDescent="0.2">
      <c r="A3019" t="s">
        <v>7</v>
      </c>
      <c r="B3019" s="3">
        <v>2023</v>
      </c>
      <c r="C3019" t="s">
        <v>773</v>
      </c>
      <c r="D3019" t="s">
        <v>774</v>
      </c>
      <c r="E3019" t="s">
        <v>774</v>
      </c>
      <c r="F3019" s="4">
        <v>615534</v>
      </c>
      <c r="G3019" s="4" t="s">
        <v>7</v>
      </c>
      <c r="H3019" t="str">
        <f>IFERROR(VLOOKUP(E3019,'GASB Match'!$A$2:$B$240,2,FALSE),"")</f>
        <v/>
      </c>
    </row>
    <row r="3020" spans="1:8" x14ac:dyDescent="0.2">
      <c r="A3020" t="s">
        <v>7</v>
      </c>
      <c r="B3020" s="3">
        <v>2015</v>
      </c>
      <c r="C3020" t="s">
        <v>775</v>
      </c>
      <c r="D3020" t="s">
        <v>776</v>
      </c>
      <c r="E3020" t="s">
        <v>776</v>
      </c>
      <c r="F3020" s="4">
        <v>10130.450000000001</v>
      </c>
      <c r="G3020" s="4" t="s">
        <v>7</v>
      </c>
      <c r="H3020" t="str">
        <f>IFERROR(VLOOKUP(E3020,'GASB Match'!$A$2:$B$240,2,FALSE),"")</f>
        <v/>
      </c>
    </row>
    <row r="3021" spans="1:8" x14ac:dyDescent="0.2">
      <c r="A3021" t="s">
        <v>7</v>
      </c>
      <c r="B3021" s="3">
        <v>2016</v>
      </c>
      <c r="C3021" t="s">
        <v>775</v>
      </c>
      <c r="D3021" t="s">
        <v>776</v>
      </c>
      <c r="E3021" t="s">
        <v>776</v>
      </c>
      <c r="F3021" s="4">
        <v>7015.92</v>
      </c>
      <c r="G3021" s="4" t="s">
        <v>7</v>
      </c>
      <c r="H3021" t="str">
        <f>IFERROR(VLOOKUP(E3021,'GASB Match'!$A$2:$B$240,2,FALSE),"")</f>
        <v/>
      </c>
    </row>
    <row r="3022" spans="1:8" x14ac:dyDescent="0.2">
      <c r="A3022" t="s">
        <v>7</v>
      </c>
      <c r="B3022" s="3">
        <v>2017</v>
      </c>
      <c r="C3022" t="s">
        <v>775</v>
      </c>
      <c r="D3022" t="s">
        <v>776</v>
      </c>
      <c r="E3022" t="s">
        <v>776</v>
      </c>
      <c r="F3022" s="4">
        <v>6881</v>
      </c>
      <c r="G3022" s="4" t="s">
        <v>7</v>
      </c>
      <c r="H3022" t="str">
        <f>IFERROR(VLOOKUP(E3022,'GASB Match'!$A$2:$B$240,2,FALSE),"")</f>
        <v/>
      </c>
    </row>
    <row r="3023" spans="1:8" x14ac:dyDescent="0.2">
      <c r="A3023" t="s">
        <v>7</v>
      </c>
      <c r="B3023" s="3">
        <v>2018</v>
      </c>
      <c r="C3023" t="s">
        <v>775</v>
      </c>
      <c r="D3023" t="s">
        <v>776</v>
      </c>
      <c r="E3023" t="s">
        <v>776</v>
      </c>
      <c r="F3023" s="4">
        <v>8262</v>
      </c>
      <c r="G3023" s="4" t="s">
        <v>7</v>
      </c>
      <c r="H3023" t="str">
        <f>IFERROR(VLOOKUP(E3023,'GASB Match'!$A$2:$B$240,2,FALSE),"")</f>
        <v/>
      </c>
    </row>
    <row r="3024" spans="1:8" x14ac:dyDescent="0.2">
      <c r="A3024" t="s">
        <v>7</v>
      </c>
      <c r="B3024" s="3">
        <v>2019</v>
      </c>
      <c r="C3024" t="s">
        <v>775</v>
      </c>
      <c r="D3024" t="s">
        <v>776</v>
      </c>
      <c r="E3024" t="s">
        <v>776</v>
      </c>
      <c r="F3024" s="4">
        <v>10486</v>
      </c>
      <c r="G3024" s="4" t="s">
        <v>7</v>
      </c>
      <c r="H3024" t="str">
        <f>IFERROR(VLOOKUP(E3024,'GASB Match'!$A$2:$B$240,2,FALSE),"")</f>
        <v/>
      </c>
    </row>
    <row r="3025" spans="1:8" x14ac:dyDescent="0.2">
      <c r="A3025" t="s">
        <v>7</v>
      </c>
      <c r="B3025" s="3">
        <v>2020</v>
      </c>
      <c r="C3025" t="s">
        <v>775</v>
      </c>
      <c r="D3025" t="s">
        <v>776</v>
      </c>
      <c r="E3025" t="s">
        <v>776</v>
      </c>
      <c r="F3025" s="4">
        <v>24904</v>
      </c>
      <c r="G3025" s="4" t="s">
        <v>7</v>
      </c>
      <c r="H3025" t="str">
        <f>IFERROR(VLOOKUP(E3025,'GASB Match'!$A$2:$B$240,2,FALSE),"")</f>
        <v/>
      </c>
    </row>
    <row r="3026" spans="1:8" x14ac:dyDescent="0.2">
      <c r="A3026" t="s">
        <v>7</v>
      </c>
      <c r="B3026" s="3">
        <v>2021</v>
      </c>
      <c r="C3026" t="s">
        <v>775</v>
      </c>
      <c r="D3026" t="s">
        <v>776</v>
      </c>
      <c r="E3026" t="s">
        <v>776</v>
      </c>
      <c r="F3026" s="4">
        <v>20876</v>
      </c>
      <c r="G3026" s="4" t="s">
        <v>7</v>
      </c>
      <c r="H3026" t="str">
        <f>IFERROR(VLOOKUP(E3026,'GASB Match'!$A$2:$B$240,2,FALSE),"")</f>
        <v/>
      </c>
    </row>
    <row r="3027" spans="1:8" x14ac:dyDescent="0.2">
      <c r="A3027" t="s">
        <v>7</v>
      </c>
      <c r="B3027" s="3">
        <v>2022</v>
      </c>
      <c r="C3027" t="s">
        <v>775</v>
      </c>
      <c r="D3027" t="s">
        <v>776</v>
      </c>
      <c r="E3027" t="s">
        <v>776</v>
      </c>
      <c r="F3027" s="4">
        <v>17031</v>
      </c>
      <c r="G3027" s="4" t="s">
        <v>7</v>
      </c>
      <c r="H3027" t="str">
        <f>IFERROR(VLOOKUP(E3027,'GASB Match'!$A$2:$B$240,2,FALSE),"")</f>
        <v/>
      </c>
    </row>
    <row r="3028" spans="1:8" x14ac:dyDescent="0.2">
      <c r="A3028" t="s">
        <v>7</v>
      </c>
      <c r="B3028" s="3">
        <v>2023</v>
      </c>
      <c r="C3028" t="s">
        <v>775</v>
      </c>
      <c r="D3028" t="s">
        <v>776</v>
      </c>
      <c r="E3028" t="s">
        <v>776</v>
      </c>
      <c r="F3028" s="4">
        <v>25652</v>
      </c>
      <c r="G3028" s="4" t="s">
        <v>7</v>
      </c>
      <c r="H3028" t="str">
        <f>IFERROR(VLOOKUP(E3028,'GASB Match'!$A$2:$B$240,2,FALSE),"")</f>
        <v/>
      </c>
    </row>
    <row r="3029" spans="1:8" x14ac:dyDescent="0.2">
      <c r="A3029" t="s">
        <v>7</v>
      </c>
      <c r="B3029" s="3">
        <v>2015</v>
      </c>
      <c r="C3029" t="s">
        <v>777</v>
      </c>
      <c r="D3029" t="s">
        <v>778</v>
      </c>
      <c r="E3029" t="s">
        <v>778</v>
      </c>
      <c r="F3029" s="4">
        <v>69056.88</v>
      </c>
      <c r="G3029" s="4" t="s">
        <v>7</v>
      </c>
      <c r="H3029" t="str">
        <f>IFERROR(VLOOKUP(E3029,'GASB Match'!$A$2:$B$240,2,FALSE),"")</f>
        <v/>
      </c>
    </row>
    <row r="3030" spans="1:8" x14ac:dyDescent="0.2">
      <c r="A3030" t="s">
        <v>7</v>
      </c>
      <c r="B3030" s="3">
        <v>2016</v>
      </c>
      <c r="C3030" t="s">
        <v>777</v>
      </c>
      <c r="D3030" t="s">
        <v>778</v>
      </c>
      <c r="E3030" t="s">
        <v>778</v>
      </c>
      <c r="F3030" s="4">
        <v>77501.59</v>
      </c>
      <c r="G3030" s="4" t="s">
        <v>7</v>
      </c>
      <c r="H3030" t="str">
        <f>IFERROR(VLOOKUP(E3030,'GASB Match'!$A$2:$B$240,2,FALSE),"")</f>
        <v/>
      </c>
    </row>
    <row r="3031" spans="1:8" x14ac:dyDescent="0.2">
      <c r="A3031" t="s">
        <v>7</v>
      </c>
      <c r="B3031" s="3">
        <v>2017</v>
      </c>
      <c r="C3031" t="s">
        <v>777</v>
      </c>
      <c r="D3031" t="s">
        <v>778</v>
      </c>
      <c r="E3031" t="s">
        <v>778</v>
      </c>
      <c r="F3031" s="4">
        <v>111841</v>
      </c>
      <c r="G3031" s="4" t="s">
        <v>7</v>
      </c>
      <c r="H3031" t="str">
        <f>IFERROR(VLOOKUP(E3031,'GASB Match'!$A$2:$B$240,2,FALSE),"")</f>
        <v/>
      </c>
    </row>
    <row r="3032" spans="1:8" x14ac:dyDescent="0.2">
      <c r="A3032" t="s">
        <v>7</v>
      </c>
      <c r="B3032" s="3">
        <v>2018</v>
      </c>
      <c r="C3032" t="s">
        <v>777</v>
      </c>
      <c r="D3032" t="s">
        <v>778</v>
      </c>
      <c r="E3032" t="s">
        <v>778</v>
      </c>
      <c r="F3032" s="4">
        <v>144511</v>
      </c>
      <c r="G3032" s="4" t="s">
        <v>7</v>
      </c>
      <c r="H3032" t="str">
        <f>IFERROR(VLOOKUP(E3032,'GASB Match'!$A$2:$B$240,2,FALSE),"")</f>
        <v/>
      </c>
    </row>
    <row r="3033" spans="1:8" x14ac:dyDescent="0.2">
      <c r="A3033" t="s">
        <v>7</v>
      </c>
      <c r="B3033" s="3">
        <v>2019</v>
      </c>
      <c r="C3033" t="s">
        <v>777</v>
      </c>
      <c r="D3033" t="s">
        <v>778</v>
      </c>
      <c r="E3033" t="s">
        <v>778</v>
      </c>
      <c r="F3033" s="4">
        <v>183425</v>
      </c>
      <c r="G3033" s="4" t="s">
        <v>7</v>
      </c>
      <c r="H3033" t="str">
        <f>IFERROR(VLOOKUP(E3033,'GASB Match'!$A$2:$B$240,2,FALSE),"")</f>
        <v/>
      </c>
    </row>
    <row r="3034" spans="1:8" x14ac:dyDescent="0.2">
      <c r="A3034" t="s">
        <v>7</v>
      </c>
      <c r="B3034" s="3">
        <v>2020</v>
      </c>
      <c r="C3034" t="s">
        <v>777</v>
      </c>
      <c r="D3034" t="s">
        <v>778</v>
      </c>
      <c r="E3034" t="s">
        <v>778</v>
      </c>
      <c r="F3034" s="4">
        <v>171339</v>
      </c>
      <c r="G3034" s="4" t="s">
        <v>7</v>
      </c>
      <c r="H3034" t="str">
        <f>IFERROR(VLOOKUP(E3034,'GASB Match'!$A$2:$B$240,2,FALSE),"")</f>
        <v/>
      </c>
    </row>
    <row r="3035" spans="1:8" x14ac:dyDescent="0.2">
      <c r="A3035" t="s">
        <v>7</v>
      </c>
      <c r="B3035" s="3">
        <v>2021</v>
      </c>
      <c r="C3035" t="s">
        <v>777</v>
      </c>
      <c r="D3035" t="s">
        <v>778</v>
      </c>
      <c r="E3035" t="s">
        <v>778</v>
      </c>
      <c r="F3035" s="4">
        <v>158186</v>
      </c>
      <c r="G3035" s="4" t="s">
        <v>7</v>
      </c>
      <c r="H3035" t="str">
        <f>IFERROR(VLOOKUP(E3035,'GASB Match'!$A$2:$B$240,2,FALSE),"")</f>
        <v/>
      </c>
    </row>
    <row r="3036" spans="1:8" x14ac:dyDescent="0.2">
      <c r="A3036" t="s">
        <v>7</v>
      </c>
      <c r="B3036" s="3">
        <v>2022</v>
      </c>
      <c r="C3036" t="s">
        <v>777</v>
      </c>
      <c r="D3036" t="s">
        <v>778</v>
      </c>
      <c r="E3036" t="s">
        <v>778</v>
      </c>
      <c r="F3036" s="4">
        <v>197403</v>
      </c>
      <c r="G3036" s="4" t="s">
        <v>7</v>
      </c>
      <c r="H3036" t="str">
        <f>IFERROR(VLOOKUP(E3036,'GASB Match'!$A$2:$B$240,2,FALSE),"")</f>
        <v/>
      </c>
    </row>
    <row r="3037" spans="1:8" x14ac:dyDescent="0.2">
      <c r="A3037" t="s">
        <v>7</v>
      </c>
      <c r="B3037" s="3">
        <v>2023</v>
      </c>
      <c r="C3037" t="s">
        <v>777</v>
      </c>
      <c r="D3037" t="s">
        <v>778</v>
      </c>
      <c r="E3037" t="s">
        <v>778</v>
      </c>
      <c r="F3037" s="4">
        <v>215944</v>
      </c>
      <c r="G3037" s="4" t="s">
        <v>7</v>
      </c>
      <c r="H3037" t="str">
        <f>IFERROR(VLOOKUP(E3037,'GASB Match'!$A$2:$B$240,2,FALSE),"")</f>
        <v/>
      </c>
    </row>
    <row r="3038" spans="1:8" x14ac:dyDescent="0.2">
      <c r="A3038" t="s">
        <v>7</v>
      </c>
      <c r="B3038" s="3">
        <v>2015</v>
      </c>
      <c r="C3038" t="s">
        <v>779</v>
      </c>
      <c r="D3038" t="s">
        <v>780</v>
      </c>
      <c r="E3038" t="s">
        <v>780</v>
      </c>
      <c r="F3038" s="4">
        <v>279927.33</v>
      </c>
      <c r="G3038" s="4" t="s">
        <v>7</v>
      </c>
      <c r="H3038" t="str">
        <f>IFERROR(VLOOKUP(E3038,'GASB Match'!$A$2:$B$240,2,FALSE),"")</f>
        <v/>
      </c>
    </row>
    <row r="3039" spans="1:8" x14ac:dyDescent="0.2">
      <c r="A3039" t="s">
        <v>7</v>
      </c>
      <c r="B3039" s="3">
        <v>2016</v>
      </c>
      <c r="C3039" t="s">
        <v>779</v>
      </c>
      <c r="D3039" t="s">
        <v>780</v>
      </c>
      <c r="E3039" t="s">
        <v>780</v>
      </c>
      <c r="F3039" s="4">
        <v>344279.38</v>
      </c>
      <c r="G3039" s="4" t="s">
        <v>7</v>
      </c>
      <c r="H3039" t="str">
        <f>IFERROR(VLOOKUP(E3039,'GASB Match'!$A$2:$B$240,2,FALSE),"")</f>
        <v/>
      </c>
    </row>
    <row r="3040" spans="1:8" x14ac:dyDescent="0.2">
      <c r="A3040" t="s">
        <v>7</v>
      </c>
      <c r="B3040" s="3">
        <v>2017</v>
      </c>
      <c r="C3040" t="s">
        <v>779</v>
      </c>
      <c r="D3040" t="s">
        <v>780</v>
      </c>
      <c r="E3040" t="s">
        <v>780</v>
      </c>
      <c r="F3040" s="4">
        <v>334015</v>
      </c>
      <c r="G3040" s="4" t="s">
        <v>7</v>
      </c>
      <c r="H3040" t="str">
        <f>IFERROR(VLOOKUP(E3040,'GASB Match'!$A$2:$B$240,2,FALSE),"")</f>
        <v/>
      </c>
    </row>
    <row r="3041" spans="1:8" x14ac:dyDescent="0.2">
      <c r="A3041" t="s">
        <v>7</v>
      </c>
      <c r="B3041" s="3">
        <v>2018</v>
      </c>
      <c r="C3041" t="s">
        <v>779</v>
      </c>
      <c r="D3041" t="s">
        <v>780</v>
      </c>
      <c r="E3041" t="s">
        <v>780</v>
      </c>
      <c r="F3041" s="4">
        <v>402090</v>
      </c>
      <c r="G3041" s="4" t="s">
        <v>7</v>
      </c>
      <c r="H3041" t="str">
        <f>IFERROR(VLOOKUP(E3041,'GASB Match'!$A$2:$B$240,2,FALSE),"")</f>
        <v/>
      </c>
    </row>
    <row r="3042" spans="1:8" x14ac:dyDescent="0.2">
      <c r="A3042" t="s">
        <v>7</v>
      </c>
      <c r="B3042" s="3">
        <v>2019</v>
      </c>
      <c r="C3042" t="s">
        <v>779</v>
      </c>
      <c r="D3042" t="s">
        <v>780</v>
      </c>
      <c r="E3042" t="s">
        <v>780</v>
      </c>
      <c r="F3042" s="4">
        <v>537082</v>
      </c>
      <c r="G3042" s="4" t="s">
        <v>7</v>
      </c>
      <c r="H3042" t="str">
        <f>IFERROR(VLOOKUP(E3042,'GASB Match'!$A$2:$B$240,2,FALSE),"")</f>
        <v/>
      </c>
    </row>
    <row r="3043" spans="1:8" x14ac:dyDescent="0.2">
      <c r="A3043" t="s">
        <v>7</v>
      </c>
      <c r="B3043" s="3">
        <v>2020</v>
      </c>
      <c r="C3043" t="s">
        <v>779</v>
      </c>
      <c r="D3043" t="s">
        <v>780</v>
      </c>
      <c r="E3043" t="s">
        <v>780</v>
      </c>
      <c r="F3043" s="4">
        <v>523815</v>
      </c>
      <c r="G3043" s="4" t="s">
        <v>7</v>
      </c>
      <c r="H3043" t="str">
        <f>IFERROR(VLOOKUP(E3043,'GASB Match'!$A$2:$B$240,2,FALSE),"")</f>
        <v/>
      </c>
    </row>
    <row r="3044" spans="1:8" x14ac:dyDescent="0.2">
      <c r="A3044" t="s">
        <v>7</v>
      </c>
      <c r="B3044" s="3">
        <v>2021</v>
      </c>
      <c r="C3044" t="s">
        <v>779</v>
      </c>
      <c r="D3044" t="s">
        <v>780</v>
      </c>
      <c r="E3044" t="s">
        <v>780</v>
      </c>
      <c r="F3044" s="4">
        <v>436900</v>
      </c>
      <c r="G3044" s="4" t="s">
        <v>7</v>
      </c>
      <c r="H3044" t="str">
        <f>IFERROR(VLOOKUP(E3044,'GASB Match'!$A$2:$B$240,2,FALSE),"")</f>
        <v/>
      </c>
    </row>
    <row r="3045" spans="1:8" x14ac:dyDescent="0.2">
      <c r="A3045" t="s">
        <v>7</v>
      </c>
      <c r="B3045" s="3">
        <v>2022</v>
      </c>
      <c r="C3045" t="s">
        <v>779</v>
      </c>
      <c r="D3045" t="s">
        <v>780</v>
      </c>
      <c r="E3045" t="s">
        <v>780</v>
      </c>
      <c r="F3045" s="4">
        <v>465133</v>
      </c>
      <c r="G3045" s="4" t="s">
        <v>7</v>
      </c>
      <c r="H3045" t="str">
        <f>IFERROR(VLOOKUP(E3045,'GASB Match'!$A$2:$B$240,2,FALSE),"")</f>
        <v/>
      </c>
    </row>
    <row r="3046" spans="1:8" x14ac:dyDescent="0.2">
      <c r="A3046" t="s">
        <v>7</v>
      </c>
      <c r="B3046" s="3">
        <v>2023</v>
      </c>
      <c r="C3046" t="s">
        <v>779</v>
      </c>
      <c r="D3046" t="s">
        <v>780</v>
      </c>
      <c r="E3046" t="s">
        <v>780</v>
      </c>
      <c r="F3046" s="4">
        <v>624172</v>
      </c>
      <c r="G3046" s="4" t="s">
        <v>7</v>
      </c>
      <c r="H3046" t="str">
        <f>IFERROR(VLOOKUP(E3046,'GASB Match'!$A$2:$B$240,2,FALSE),"")</f>
        <v/>
      </c>
    </row>
    <row r="3047" spans="1:8" x14ac:dyDescent="0.2">
      <c r="A3047" t="s">
        <v>7</v>
      </c>
      <c r="B3047" s="3">
        <v>2015</v>
      </c>
      <c r="C3047" t="s">
        <v>781</v>
      </c>
      <c r="D3047" t="s">
        <v>783</v>
      </c>
      <c r="E3047" t="s">
        <v>782</v>
      </c>
      <c r="F3047" s="4">
        <v>230740.36</v>
      </c>
      <c r="G3047" s="4" t="s">
        <v>7</v>
      </c>
      <c r="H3047" t="str">
        <f>IFERROR(VLOOKUP(E3047,'GASB Match'!$A$2:$B$240,2,FALSE),"")</f>
        <v/>
      </c>
    </row>
    <row r="3048" spans="1:8" x14ac:dyDescent="0.2">
      <c r="A3048" t="s">
        <v>7</v>
      </c>
      <c r="B3048" s="3">
        <v>2016</v>
      </c>
      <c r="C3048" t="s">
        <v>781</v>
      </c>
      <c r="D3048" t="s">
        <v>783</v>
      </c>
      <c r="E3048" t="s">
        <v>782</v>
      </c>
      <c r="F3048" s="4">
        <v>271072.49</v>
      </c>
      <c r="G3048" s="4" t="s">
        <v>7</v>
      </c>
      <c r="H3048" t="str">
        <f>IFERROR(VLOOKUP(E3048,'GASB Match'!$A$2:$B$240,2,FALSE),"")</f>
        <v/>
      </c>
    </row>
    <row r="3049" spans="1:8" x14ac:dyDescent="0.2">
      <c r="A3049" t="s">
        <v>7</v>
      </c>
      <c r="B3049" s="3">
        <v>2017</v>
      </c>
      <c r="C3049" t="s">
        <v>781</v>
      </c>
      <c r="D3049" t="s">
        <v>783</v>
      </c>
      <c r="E3049" t="s">
        <v>782</v>
      </c>
      <c r="F3049" s="4">
        <v>259015</v>
      </c>
      <c r="G3049" s="4" t="s">
        <v>7</v>
      </c>
      <c r="H3049" t="str">
        <f>IFERROR(VLOOKUP(E3049,'GASB Match'!$A$2:$B$240,2,FALSE),"")</f>
        <v/>
      </c>
    </row>
    <row r="3050" spans="1:8" x14ac:dyDescent="0.2">
      <c r="A3050" t="s">
        <v>7</v>
      </c>
      <c r="B3050" s="3">
        <v>2018</v>
      </c>
      <c r="C3050" t="s">
        <v>781</v>
      </c>
      <c r="D3050" t="s">
        <v>783</v>
      </c>
      <c r="E3050" t="s">
        <v>782</v>
      </c>
      <c r="F3050" s="4">
        <v>313811</v>
      </c>
      <c r="G3050" s="4" t="s">
        <v>7</v>
      </c>
      <c r="H3050" t="str">
        <f>IFERROR(VLOOKUP(E3050,'GASB Match'!$A$2:$B$240,2,FALSE),"")</f>
        <v/>
      </c>
    </row>
    <row r="3051" spans="1:8" x14ac:dyDescent="0.2">
      <c r="A3051" t="s">
        <v>7</v>
      </c>
      <c r="B3051" s="3">
        <v>2019</v>
      </c>
      <c r="C3051" t="s">
        <v>781</v>
      </c>
      <c r="D3051" t="s">
        <v>783</v>
      </c>
      <c r="E3051" t="s">
        <v>782</v>
      </c>
      <c r="F3051" s="4">
        <v>426859</v>
      </c>
      <c r="G3051" s="4" t="s">
        <v>7</v>
      </c>
      <c r="H3051" t="str">
        <f>IFERROR(VLOOKUP(E3051,'GASB Match'!$A$2:$B$240,2,FALSE),"")</f>
        <v/>
      </c>
    </row>
    <row r="3052" spans="1:8" x14ac:dyDescent="0.2">
      <c r="A3052" t="s">
        <v>7</v>
      </c>
      <c r="B3052" s="3">
        <v>2020</v>
      </c>
      <c r="C3052" t="s">
        <v>781</v>
      </c>
      <c r="D3052" t="s">
        <v>783</v>
      </c>
      <c r="E3052" t="s">
        <v>782</v>
      </c>
      <c r="F3052" s="4">
        <v>529967</v>
      </c>
      <c r="G3052" s="4" t="s">
        <v>7</v>
      </c>
      <c r="H3052" t="str">
        <f>IFERROR(VLOOKUP(E3052,'GASB Match'!$A$2:$B$240,2,FALSE),"")</f>
        <v/>
      </c>
    </row>
    <row r="3053" spans="1:8" x14ac:dyDescent="0.2">
      <c r="A3053" t="s">
        <v>7</v>
      </c>
      <c r="B3053" s="3">
        <v>2021</v>
      </c>
      <c r="C3053" t="s">
        <v>781</v>
      </c>
      <c r="D3053" t="s">
        <v>783</v>
      </c>
      <c r="E3053" t="s">
        <v>782</v>
      </c>
      <c r="F3053" s="4">
        <v>481234</v>
      </c>
      <c r="G3053" s="4" t="s">
        <v>7</v>
      </c>
      <c r="H3053" t="str">
        <f>IFERROR(VLOOKUP(E3053,'GASB Match'!$A$2:$B$240,2,FALSE),"")</f>
        <v/>
      </c>
    </row>
    <row r="3054" spans="1:8" x14ac:dyDescent="0.2">
      <c r="A3054" t="s">
        <v>7</v>
      </c>
      <c r="B3054" s="3">
        <v>2022</v>
      </c>
      <c r="C3054" t="s">
        <v>781</v>
      </c>
      <c r="D3054" t="s">
        <v>782</v>
      </c>
      <c r="E3054" t="s">
        <v>782</v>
      </c>
      <c r="F3054" s="4">
        <v>462980</v>
      </c>
      <c r="G3054" s="4" t="s">
        <v>7</v>
      </c>
      <c r="H3054" t="str">
        <f>IFERROR(VLOOKUP(E3054,'GASB Match'!$A$2:$B$240,2,FALSE),"")</f>
        <v/>
      </c>
    </row>
    <row r="3055" spans="1:8" x14ac:dyDescent="0.2">
      <c r="A3055" t="s">
        <v>7</v>
      </c>
      <c r="B3055" s="3">
        <v>2023</v>
      </c>
      <c r="C3055" t="s">
        <v>781</v>
      </c>
      <c r="D3055" t="s">
        <v>782</v>
      </c>
      <c r="E3055" t="s">
        <v>782</v>
      </c>
      <c r="F3055" s="4">
        <v>510333</v>
      </c>
      <c r="G3055" s="4" t="s">
        <v>7</v>
      </c>
      <c r="H3055" t="str">
        <f>IFERROR(VLOOKUP(E3055,'GASB Match'!$A$2:$B$240,2,FALSE),"")</f>
        <v/>
      </c>
    </row>
    <row r="3056" spans="1:8" x14ac:dyDescent="0.2">
      <c r="A3056" t="s">
        <v>7</v>
      </c>
      <c r="B3056" s="3">
        <v>2015</v>
      </c>
      <c r="C3056" t="s">
        <v>784</v>
      </c>
      <c r="D3056" t="s">
        <v>786</v>
      </c>
      <c r="E3056" t="s">
        <v>785</v>
      </c>
      <c r="F3056" s="4">
        <v>619370.64</v>
      </c>
      <c r="G3056" s="4" t="s">
        <v>7</v>
      </c>
      <c r="H3056" t="str">
        <f>IFERROR(VLOOKUP(E3056,'GASB Match'!$A$2:$B$240,2,FALSE),"")</f>
        <v/>
      </c>
    </row>
    <row r="3057" spans="1:8" x14ac:dyDescent="0.2">
      <c r="A3057" t="s">
        <v>7</v>
      </c>
      <c r="B3057" s="3">
        <v>2016</v>
      </c>
      <c r="C3057" t="s">
        <v>784</v>
      </c>
      <c r="D3057" t="s">
        <v>786</v>
      </c>
      <c r="E3057" t="s">
        <v>785</v>
      </c>
      <c r="F3057" s="4">
        <v>733271.11</v>
      </c>
      <c r="G3057" s="4" t="s">
        <v>7</v>
      </c>
      <c r="H3057" t="str">
        <f>IFERROR(VLOOKUP(E3057,'GASB Match'!$A$2:$B$240,2,FALSE),"")</f>
        <v/>
      </c>
    </row>
    <row r="3058" spans="1:8" x14ac:dyDescent="0.2">
      <c r="A3058" t="s">
        <v>7</v>
      </c>
      <c r="B3058" s="3">
        <v>2017</v>
      </c>
      <c r="C3058" t="s">
        <v>784</v>
      </c>
      <c r="D3058" t="s">
        <v>786</v>
      </c>
      <c r="E3058" t="s">
        <v>785</v>
      </c>
      <c r="F3058" s="4">
        <v>765551</v>
      </c>
      <c r="G3058" s="4" t="s">
        <v>7</v>
      </c>
      <c r="H3058" t="str">
        <f>IFERROR(VLOOKUP(E3058,'GASB Match'!$A$2:$B$240,2,FALSE),"")</f>
        <v/>
      </c>
    </row>
    <row r="3059" spans="1:8" x14ac:dyDescent="0.2">
      <c r="A3059" t="s">
        <v>7</v>
      </c>
      <c r="B3059" s="3">
        <v>2018</v>
      </c>
      <c r="C3059" t="s">
        <v>784</v>
      </c>
      <c r="D3059" t="s">
        <v>786</v>
      </c>
      <c r="E3059" t="s">
        <v>785</v>
      </c>
      <c r="F3059" s="4">
        <v>923982</v>
      </c>
      <c r="G3059" s="4" t="s">
        <v>7</v>
      </c>
      <c r="H3059" t="str">
        <f>IFERROR(VLOOKUP(E3059,'GASB Match'!$A$2:$B$240,2,FALSE),"")</f>
        <v/>
      </c>
    </row>
    <row r="3060" spans="1:8" x14ac:dyDescent="0.2">
      <c r="A3060" t="s">
        <v>7</v>
      </c>
      <c r="B3060" s="3">
        <v>2019</v>
      </c>
      <c r="C3060" t="s">
        <v>784</v>
      </c>
      <c r="D3060" t="s">
        <v>786</v>
      </c>
      <c r="E3060" t="s">
        <v>785</v>
      </c>
      <c r="F3060" s="4">
        <v>1219576</v>
      </c>
      <c r="G3060" s="4" t="s">
        <v>7</v>
      </c>
      <c r="H3060" t="str">
        <f>IFERROR(VLOOKUP(E3060,'GASB Match'!$A$2:$B$240,2,FALSE),"")</f>
        <v/>
      </c>
    </row>
    <row r="3061" spans="1:8" x14ac:dyDescent="0.2">
      <c r="A3061" t="s">
        <v>7</v>
      </c>
      <c r="B3061" s="3">
        <v>2020</v>
      </c>
      <c r="C3061" t="s">
        <v>784</v>
      </c>
      <c r="D3061" t="s">
        <v>786</v>
      </c>
      <c r="E3061" t="s">
        <v>785</v>
      </c>
      <c r="F3061" s="4">
        <v>1312058</v>
      </c>
      <c r="G3061" s="4" t="s">
        <v>7</v>
      </c>
      <c r="H3061" t="str">
        <f>IFERROR(VLOOKUP(E3061,'GASB Match'!$A$2:$B$240,2,FALSE),"")</f>
        <v/>
      </c>
    </row>
    <row r="3062" spans="1:8" x14ac:dyDescent="0.2">
      <c r="A3062" t="s">
        <v>7</v>
      </c>
      <c r="B3062" s="3">
        <v>2021</v>
      </c>
      <c r="C3062" t="s">
        <v>784</v>
      </c>
      <c r="D3062" t="s">
        <v>786</v>
      </c>
      <c r="E3062" t="s">
        <v>785</v>
      </c>
      <c r="F3062" s="4">
        <v>1252662</v>
      </c>
      <c r="G3062" s="4" t="s">
        <v>7</v>
      </c>
      <c r="H3062" t="str">
        <f>IFERROR(VLOOKUP(E3062,'GASB Match'!$A$2:$B$240,2,FALSE),"")</f>
        <v/>
      </c>
    </row>
    <row r="3063" spans="1:8" x14ac:dyDescent="0.2">
      <c r="A3063" t="s">
        <v>7</v>
      </c>
      <c r="B3063" s="3">
        <v>2022</v>
      </c>
      <c r="C3063" t="s">
        <v>784</v>
      </c>
      <c r="D3063" t="s">
        <v>785</v>
      </c>
      <c r="E3063" t="s">
        <v>785</v>
      </c>
      <c r="F3063" s="4">
        <v>1471172</v>
      </c>
      <c r="G3063" s="4" t="s">
        <v>7</v>
      </c>
      <c r="H3063" t="str">
        <f>IFERROR(VLOOKUP(E3063,'GASB Match'!$A$2:$B$240,2,FALSE),"")</f>
        <v/>
      </c>
    </row>
    <row r="3064" spans="1:8" x14ac:dyDescent="0.2">
      <c r="A3064" t="s">
        <v>7</v>
      </c>
      <c r="B3064" s="3">
        <v>2023</v>
      </c>
      <c r="C3064" t="s">
        <v>784</v>
      </c>
      <c r="D3064" t="s">
        <v>785</v>
      </c>
      <c r="E3064" t="s">
        <v>785</v>
      </c>
      <c r="F3064" s="4">
        <v>1326462</v>
      </c>
      <c r="G3064" s="4" t="s">
        <v>7</v>
      </c>
      <c r="H3064" t="str">
        <f>IFERROR(VLOOKUP(E3064,'GASB Match'!$A$2:$B$240,2,FALSE),"")</f>
        <v/>
      </c>
    </row>
    <row r="3065" spans="1:8" x14ac:dyDescent="0.2">
      <c r="A3065" t="s">
        <v>7</v>
      </c>
      <c r="B3065" s="3">
        <v>2015</v>
      </c>
      <c r="C3065" t="s">
        <v>787</v>
      </c>
      <c r="D3065" t="s">
        <v>788</v>
      </c>
      <c r="E3065" t="s">
        <v>788</v>
      </c>
      <c r="F3065" s="4">
        <v>121321.73</v>
      </c>
      <c r="G3065" s="4" t="s">
        <v>7</v>
      </c>
      <c r="H3065" t="str">
        <f>IFERROR(VLOOKUP(E3065,'GASB Match'!$A$2:$B$240,2,FALSE),"")</f>
        <v/>
      </c>
    </row>
    <row r="3066" spans="1:8" x14ac:dyDescent="0.2">
      <c r="A3066" t="s">
        <v>7</v>
      </c>
      <c r="B3066" s="3">
        <v>2016</v>
      </c>
      <c r="C3066" t="s">
        <v>787</v>
      </c>
      <c r="D3066" t="s">
        <v>788</v>
      </c>
      <c r="E3066" t="s">
        <v>788</v>
      </c>
      <c r="F3066" s="4">
        <v>182818.98</v>
      </c>
      <c r="G3066" s="4" t="s">
        <v>7</v>
      </c>
      <c r="H3066" t="str">
        <f>IFERROR(VLOOKUP(E3066,'GASB Match'!$A$2:$B$240,2,FALSE),"")</f>
        <v/>
      </c>
    </row>
    <row r="3067" spans="1:8" x14ac:dyDescent="0.2">
      <c r="A3067" t="s">
        <v>7</v>
      </c>
      <c r="B3067" s="3">
        <v>2017</v>
      </c>
      <c r="C3067" t="s">
        <v>787</v>
      </c>
      <c r="D3067" t="s">
        <v>788</v>
      </c>
      <c r="E3067" t="s">
        <v>788</v>
      </c>
      <c r="F3067" s="4">
        <v>221144</v>
      </c>
      <c r="G3067" s="4" t="s">
        <v>7</v>
      </c>
      <c r="H3067" t="str">
        <f>IFERROR(VLOOKUP(E3067,'GASB Match'!$A$2:$B$240,2,FALSE),"")</f>
        <v/>
      </c>
    </row>
    <row r="3068" spans="1:8" x14ac:dyDescent="0.2">
      <c r="A3068" t="s">
        <v>7</v>
      </c>
      <c r="B3068" s="3">
        <v>2018</v>
      </c>
      <c r="C3068" t="s">
        <v>787</v>
      </c>
      <c r="D3068" t="s">
        <v>788</v>
      </c>
      <c r="E3068" t="s">
        <v>788</v>
      </c>
      <c r="F3068" s="4">
        <v>179489</v>
      </c>
      <c r="G3068" s="4" t="s">
        <v>7</v>
      </c>
      <c r="H3068" t="str">
        <f>IFERROR(VLOOKUP(E3068,'GASB Match'!$A$2:$B$240,2,FALSE),"")</f>
        <v/>
      </c>
    </row>
    <row r="3069" spans="1:8" x14ac:dyDescent="0.2">
      <c r="A3069" t="s">
        <v>7</v>
      </c>
      <c r="B3069" s="3">
        <v>2019</v>
      </c>
      <c r="C3069" t="s">
        <v>787</v>
      </c>
      <c r="D3069" t="s">
        <v>788</v>
      </c>
      <c r="E3069" t="s">
        <v>788</v>
      </c>
      <c r="F3069" s="4">
        <v>270024</v>
      </c>
      <c r="G3069" s="4" t="s">
        <v>7</v>
      </c>
      <c r="H3069" t="str">
        <f>IFERROR(VLOOKUP(E3069,'GASB Match'!$A$2:$B$240,2,FALSE),"")</f>
        <v/>
      </c>
    </row>
    <row r="3070" spans="1:8" x14ac:dyDescent="0.2">
      <c r="A3070" t="s">
        <v>7</v>
      </c>
      <c r="B3070" s="3">
        <v>2020</v>
      </c>
      <c r="C3070" t="s">
        <v>787</v>
      </c>
      <c r="D3070" t="s">
        <v>788</v>
      </c>
      <c r="E3070" t="s">
        <v>788</v>
      </c>
      <c r="F3070" s="4">
        <v>287228</v>
      </c>
      <c r="G3070" s="4" t="s">
        <v>7</v>
      </c>
      <c r="H3070" t="str">
        <f>IFERROR(VLOOKUP(E3070,'GASB Match'!$A$2:$B$240,2,FALSE),"")</f>
        <v/>
      </c>
    </row>
    <row r="3071" spans="1:8" x14ac:dyDescent="0.2">
      <c r="A3071" t="s">
        <v>7</v>
      </c>
      <c r="B3071" s="3">
        <v>2021</v>
      </c>
      <c r="C3071" t="s">
        <v>787</v>
      </c>
      <c r="D3071" t="s">
        <v>788</v>
      </c>
      <c r="E3071" t="s">
        <v>788</v>
      </c>
      <c r="F3071" s="4">
        <v>233065</v>
      </c>
      <c r="G3071" s="4" t="s">
        <v>7</v>
      </c>
      <c r="H3071" t="str">
        <f>IFERROR(VLOOKUP(E3071,'GASB Match'!$A$2:$B$240,2,FALSE),"")</f>
        <v/>
      </c>
    </row>
    <row r="3072" spans="1:8" x14ac:dyDescent="0.2">
      <c r="A3072" t="s">
        <v>7</v>
      </c>
      <c r="B3072" s="3">
        <v>2022</v>
      </c>
      <c r="C3072" t="s">
        <v>787</v>
      </c>
      <c r="D3072" t="s">
        <v>788</v>
      </c>
      <c r="E3072" t="s">
        <v>788</v>
      </c>
      <c r="F3072" s="4">
        <v>18701</v>
      </c>
      <c r="G3072" s="4" t="s">
        <v>7</v>
      </c>
      <c r="H3072" t="str">
        <f>IFERROR(VLOOKUP(E3072,'GASB Match'!$A$2:$B$240,2,FALSE),"")</f>
        <v/>
      </c>
    </row>
    <row r="3073" spans="1:8" x14ac:dyDescent="0.2">
      <c r="A3073" t="s">
        <v>7</v>
      </c>
      <c r="B3073" s="3">
        <v>2015</v>
      </c>
      <c r="C3073" t="s">
        <v>789</v>
      </c>
      <c r="D3073" t="s">
        <v>790</v>
      </c>
      <c r="E3073" t="s">
        <v>790</v>
      </c>
      <c r="F3073" s="4">
        <v>468655.85</v>
      </c>
      <c r="G3073" s="4" t="s">
        <v>7</v>
      </c>
      <c r="H3073" t="str">
        <f>IFERROR(VLOOKUP(E3073,'GASB Match'!$A$2:$B$240,2,FALSE),"")</f>
        <v/>
      </c>
    </row>
    <row r="3074" spans="1:8" x14ac:dyDescent="0.2">
      <c r="A3074" t="s">
        <v>7</v>
      </c>
      <c r="B3074" s="3">
        <v>2016</v>
      </c>
      <c r="C3074" t="s">
        <v>789</v>
      </c>
      <c r="D3074" t="s">
        <v>790</v>
      </c>
      <c r="E3074" t="s">
        <v>790</v>
      </c>
      <c r="F3074" s="4">
        <v>692653.56</v>
      </c>
      <c r="G3074" s="4" t="s">
        <v>7</v>
      </c>
      <c r="H3074" t="str">
        <f>IFERROR(VLOOKUP(E3074,'GASB Match'!$A$2:$B$240,2,FALSE),"")</f>
        <v/>
      </c>
    </row>
    <row r="3075" spans="1:8" x14ac:dyDescent="0.2">
      <c r="A3075" t="s">
        <v>7</v>
      </c>
      <c r="B3075" s="3">
        <v>2017</v>
      </c>
      <c r="C3075" t="s">
        <v>789</v>
      </c>
      <c r="D3075" t="s">
        <v>790</v>
      </c>
      <c r="E3075" t="s">
        <v>790</v>
      </c>
      <c r="F3075" s="4">
        <v>784113</v>
      </c>
      <c r="G3075" s="4" t="s">
        <v>7</v>
      </c>
      <c r="H3075" t="str">
        <f>IFERROR(VLOOKUP(E3075,'GASB Match'!$A$2:$B$240,2,FALSE),"")</f>
        <v/>
      </c>
    </row>
    <row r="3076" spans="1:8" x14ac:dyDescent="0.2">
      <c r="A3076" t="s">
        <v>7</v>
      </c>
      <c r="B3076" s="3">
        <v>2018</v>
      </c>
      <c r="C3076" t="s">
        <v>789</v>
      </c>
      <c r="D3076" t="s">
        <v>790</v>
      </c>
      <c r="E3076" t="s">
        <v>790</v>
      </c>
      <c r="F3076" s="4">
        <v>999890</v>
      </c>
      <c r="G3076" s="4" t="s">
        <v>7</v>
      </c>
      <c r="H3076" t="str">
        <f>IFERROR(VLOOKUP(E3076,'GASB Match'!$A$2:$B$240,2,FALSE),"")</f>
        <v/>
      </c>
    </row>
    <row r="3077" spans="1:8" x14ac:dyDescent="0.2">
      <c r="A3077" t="s">
        <v>7</v>
      </c>
      <c r="B3077" s="3">
        <v>2019</v>
      </c>
      <c r="C3077" t="s">
        <v>789</v>
      </c>
      <c r="D3077" t="s">
        <v>790</v>
      </c>
      <c r="E3077" t="s">
        <v>790</v>
      </c>
      <c r="F3077" s="4">
        <v>1275292</v>
      </c>
      <c r="G3077" s="4" t="s">
        <v>7</v>
      </c>
      <c r="H3077" t="str">
        <f>IFERROR(VLOOKUP(E3077,'GASB Match'!$A$2:$B$240,2,FALSE),"")</f>
        <v/>
      </c>
    </row>
    <row r="3078" spans="1:8" x14ac:dyDescent="0.2">
      <c r="A3078" t="s">
        <v>7</v>
      </c>
      <c r="B3078" s="3">
        <v>2020</v>
      </c>
      <c r="C3078" t="s">
        <v>789</v>
      </c>
      <c r="D3078" t="s">
        <v>790</v>
      </c>
      <c r="E3078" t="s">
        <v>790</v>
      </c>
      <c r="F3078" s="4">
        <v>1165096</v>
      </c>
      <c r="G3078" s="4" t="s">
        <v>7</v>
      </c>
      <c r="H3078" t="str">
        <f>IFERROR(VLOOKUP(E3078,'GASB Match'!$A$2:$B$240,2,FALSE),"")</f>
        <v/>
      </c>
    </row>
    <row r="3079" spans="1:8" x14ac:dyDescent="0.2">
      <c r="A3079" t="s">
        <v>7</v>
      </c>
      <c r="B3079" s="3">
        <v>2021</v>
      </c>
      <c r="C3079" t="s">
        <v>789</v>
      </c>
      <c r="D3079" t="s">
        <v>790</v>
      </c>
      <c r="E3079" t="s">
        <v>790</v>
      </c>
      <c r="F3079" s="4">
        <v>1213611</v>
      </c>
      <c r="G3079" s="4" t="s">
        <v>7</v>
      </c>
      <c r="H3079" t="str">
        <f>IFERROR(VLOOKUP(E3079,'GASB Match'!$A$2:$B$240,2,FALSE),"")</f>
        <v/>
      </c>
    </row>
    <row r="3080" spans="1:8" x14ac:dyDescent="0.2">
      <c r="A3080" t="s">
        <v>7</v>
      </c>
      <c r="B3080" s="3">
        <v>2022</v>
      </c>
      <c r="C3080" t="s">
        <v>789</v>
      </c>
      <c r="D3080" t="s">
        <v>790</v>
      </c>
      <c r="E3080" t="s">
        <v>790</v>
      </c>
      <c r="F3080" s="4">
        <v>1130854</v>
      </c>
      <c r="G3080" s="4" t="s">
        <v>7</v>
      </c>
      <c r="H3080" t="str">
        <f>IFERROR(VLOOKUP(E3080,'GASB Match'!$A$2:$B$240,2,FALSE),"")</f>
        <v/>
      </c>
    </row>
    <row r="3081" spans="1:8" x14ac:dyDescent="0.2">
      <c r="A3081" t="s">
        <v>7</v>
      </c>
      <c r="B3081" s="3">
        <v>2023</v>
      </c>
      <c r="C3081" t="s">
        <v>789</v>
      </c>
      <c r="D3081" t="s">
        <v>790</v>
      </c>
      <c r="E3081" t="s">
        <v>790</v>
      </c>
      <c r="F3081" s="4">
        <v>1333144</v>
      </c>
      <c r="G3081" s="4" t="s">
        <v>7</v>
      </c>
      <c r="H3081" t="str">
        <f>IFERROR(VLOOKUP(E3081,'GASB Match'!$A$2:$B$240,2,FALSE),"")</f>
        <v/>
      </c>
    </row>
    <row r="3082" spans="1:8" x14ac:dyDescent="0.2">
      <c r="A3082" t="s">
        <v>7</v>
      </c>
      <c r="B3082" s="3">
        <v>2016</v>
      </c>
      <c r="C3082" t="s">
        <v>791</v>
      </c>
      <c r="D3082" t="s">
        <v>792</v>
      </c>
      <c r="E3082" t="s">
        <v>792</v>
      </c>
      <c r="F3082" s="4">
        <v>220064.09</v>
      </c>
      <c r="G3082" s="4" t="s">
        <v>7</v>
      </c>
      <c r="H3082" t="str">
        <f>IFERROR(VLOOKUP(E3082,'GASB Match'!$A$2:$B$240,2,FALSE),"")</f>
        <v/>
      </c>
    </row>
    <row r="3083" spans="1:8" x14ac:dyDescent="0.2">
      <c r="A3083">
        <v>1300237</v>
      </c>
      <c r="B3083" s="3">
        <v>2016</v>
      </c>
      <c r="C3083" t="s">
        <v>793</v>
      </c>
      <c r="D3083" t="s">
        <v>794</v>
      </c>
      <c r="E3083" t="s">
        <v>794</v>
      </c>
      <c r="F3083" s="4">
        <v>213491.33</v>
      </c>
      <c r="G3083" s="4" t="s">
        <v>7</v>
      </c>
      <c r="H3083">
        <f>IFERROR(VLOOKUP(E3083,'GASB Match'!$A$2:$B$240,2,FALSE),"")</f>
        <v>1300237</v>
      </c>
    </row>
    <row r="3084" spans="1:8" x14ac:dyDescent="0.2">
      <c r="A3084">
        <v>1300237</v>
      </c>
      <c r="B3084" s="3">
        <v>2017</v>
      </c>
      <c r="C3084" t="s">
        <v>793</v>
      </c>
      <c r="D3084" t="s">
        <v>794</v>
      </c>
      <c r="E3084" t="s">
        <v>794</v>
      </c>
      <c r="F3084" s="4">
        <v>345253</v>
      </c>
      <c r="G3084" s="4" t="s">
        <v>7</v>
      </c>
      <c r="H3084">
        <f>IFERROR(VLOOKUP(E3084,'GASB Match'!$A$2:$B$240,2,FALSE),"")</f>
        <v>1300237</v>
      </c>
    </row>
    <row r="3085" spans="1:8" x14ac:dyDescent="0.2">
      <c r="A3085">
        <v>1300237</v>
      </c>
      <c r="B3085" s="3">
        <v>2018</v>
      </c>
      <c r="C3085" t="s">
        <v>793</v>
      </c>
      <c r="D3085" t="s">
        <v>794</v>
      </c>
      <c r="E3085" t="s">
        <v>794</v>
      </c>
      <c r="F3085" s="4">
        <v>452412</v>
      </c>
      <c r="G3085" s="4" t="s">
        <v>7</v>
      </c>
      <c r="H3085">
        <f>IFERROR(VLOOKUP(E3085,'GASB Match'!$A$2:$B$240,2,FALSE),"")</f>
        <v>1300237</v>
      </c>
    </row>
    <row r="3086" spans="1:8" x14ac:dyDescent="0.2">
      <c r="A3086">
        <v>1300237</v>
      </c>
      <c r="B3086" s="3">
        <v>2019</v>
      </c>
      <c r="C3086" t="s">
        <v>793</v>
      </c>
      <c r="D3086" t="s">
        <v>794</v>
      </c>
      <c r="E3086" t="s">
        <v>794</v>
      </c>
      <c r="F3086" s="4">
        <v>673843</v>
      </c>
      <c r="G3086" s="4" t="s">
        <v>7</v>
      </c>
      <c r="H3086">
        <f>IFERROR(VLOOKUP(E3086,'GASB Match'!$A$2:$B$240,2,FALSE),"")</f>
        <v>1300237</v>
      </c>
    </row>
    <row r="3087" spans="1:8" x14ac:dyDescent="0.2">
      <c r="A3087">
        <v>1300237</v>
      </c>
      <c r="B3087" s="3">
        <v>2020</v>
      </c>
      <c r="C3087" t="s">
        <v>793</v>
      </c>
      <c r="D3087" t="s">
        <v>794</v>
      </c>
      <c r="E3087" t="s">
        <v>794</v>
      </c>
      <c r="F3087" s="4">
        <v>794632</v>
      </c>
      <c r="G3087" s="4" t="s">
        <v>7</v>
      </c>
      <c r="H3087">
        <f>IFERROR(VLOOKUP(E3087,'GASB Match'!$A$2:$B$240,2,FALSE),"")</f>
        <v>1300237</v>
      </c>
    </row>
    <row r="3088" spans="1:8" x14ac:dyDescent="0.2">
      <c r="A3088">
        <v>1300237</v>
      </c>
      <c r="B3088" s="3">
        <v>2021</v>
      </c>
      <c r="C3088" t="s">
        <v>793</v>
      </c>
      <c r="D3088" t="s">
        <v>794</v>
      </c>
      <c r="E3088" t="s">
        <v>794</v>
      </c>
      <c r="F3088" s="4">
        <v>781568</v>
      </c>
      <c r="G3088" s="4" t="s">
        <v>7</v>
      </c>
      <c r="H3088">
        <f>IFERROR(VLOOKUP(E3088,'GASB Match'!$A$2:$B$240,2,FALSE),"")</f>
        <v>1300237</v>
      </c>
    </row>
    <row r="3089" spans="1:8" x14ac:dyDescent="0.2">
      <c r="A3089">
        <v>1300237</v>
      </c>
      <c r="B3089" s="3">
        <v>2022</v>
      </c>
      <c r="C3089" t="s">
        <v>793</v>
      </c>
      <c r="D3089" t="s">
        <v>794</v>
      </c>
      <c r="E3089" t="s">
        <v>794</v>
      </c>
      <c r="F3089" s="4">
        <v>1036347</v>
      </c>
      <c r="G3089" s="4" t="s">
        <v>7</v>
      </c>
      <c r="H3089">
        <f>IFERROR(VLOOKUP(E3089,'GASB Match'!$A$2:$B$240,2,FALSE),"")</f>
        <v>1300237</v>
      </c>
    </row>
    <row r="3090" spans="1:8" x14ac:dyDescent="0.2">
      <c r="A3090">
        <v>1300237</v>
      </c>
      <c r="B3090" s="3">
        <v>2023</v>
      </c>
      <c r="C3090" t="s">
        <v>793</v>
      </c>
      <c r="D3090" t="s">
        <v>794</v>
      </c>
      <c r="E3090" t="s">
        <v>794</v>
      </c>
      <c r="F3090" s="4">
        <v>1230818</v>
      </c>
      <c r="G3090" s="4" t="s">
        <v>7</v>
      </c>
      <c r="H3090">
        <f>IFERROR(VLOOKUP(E3090,'GASB Match'!$A$2:$B$240,2,FALSE),"")</f>
        <v>1300237</v>
      </c>
    </row>
    <row r="3091" spans="1:8" x14ac:dyDescent="0.2">
      <c r="A3091" t="s">
        <v>7</v>
      </c>
      <c r="B3091" s="3">
        <v>2017</v>
      </c>
      <c r="C3091" t="s">
        <v>795</v>
      </c>
      <c r="D3091" t="s">
        <v>796</v>
      </c>
      <c r="E3091" t="s">
        <v>796</v>
      </c>
      <c r="F3091" s="4">
        <v>91465</v>
      </c>
      <c r="G3091" s="4" t="s">
        <v>7</v>
      </c>
      <c r="H3091" t="str">
        <f>IFERROR(VLOOKUP(E3091,'GASB Match'!$A$2:$B$240,2,FALSE),"")</f>
        <v/>
      </c>
    </row>
    <row r="3092" spans="1:8" x14ac:dyDescent="0.2">
      <c r="A3092" t="s">
        <v>7</v>
      </c>
      <c r="B3092" s="3">
        <v>2018</v>
      </c>
      <c r="C3092" t="s">
        <v>795</v>
      </c>
      <c r="D3092" t="s">
        <v>796</v>
      </c>
      <c r="E3092" t="s">
        <v>796</v>
      </c>
      <c r="F3092" s="4">
        <v>124243</v>
      </c>
      <c r="G3092" s="4" t="s">
        <v>7</v>
      </c>
      <c r="H3092" t="str">
        <f>IFERROR(VLOOKUP(E3092,'GASB Match'!$A$2:$B$240,2,FALSE),"")</f>
        <v/>
      </c>
    </row>
    <row r="3093" spans="1:8" x14ac:dyDescent="0.2">
      <c r="A3093" t="s">
        <v>7</v>
      </c>
      <c r="B3093" s="3">
        <v>2019</v>
      </c>
      <c r="C3093" t="s">
        <v>795</v>
      </c>
      <c r="D3093" t="s">
        <v>796</v>
      </c>
      <c r="E3093" t="s">
        <v>796</v>
      </c>
      <c r="F3093" s="4">
        <v>132854</v>
      </c>
      <c r="G3093" s="4" t="s">
        <v>7</v>
      </c>
      <c r="H3093" t="str">
        <f>IFERROR(VLOOKUP(E3093,'GASB Match'!$A$2:$B$240,2,FALSE),"")</f>
        <v/>
      </c>
    </row>
    <row r="3094" spans="1:8" x14ac:dyDescent="0.2">
      <c r="A3094" t="s">
        <v>7</v>
      </c>
      <c r="B3094" s="3">
        <v>2020</v>
      </c>
      <c r="C3094" t="s">
        <v>795</v>
      </c>
      <c r="D3094" t="s">
        <v>796</v>
      </c>
      <c r="E3094" t="s">
        <v>796</v>
      </c>
      <c r="F3094" s="4">
        <v>185073</v>
      </c>
      <c r="G3094" s="4" t="s">
        <v>7</v>
      </c>
      <c r="H3094" t="str">
        <f>IFERROR(VLOOKUP(E3094,'GASB Match'!$A$2:$B$240,2,FALSE),"")</f>
        <v/>
      </c>
    </row>
    <row r="3095" spans="1:8" x14ac:dyDescent="0.2">
      <c r="A3095" t="s">
        <v>7</v>
      </c>
      <c r="B3095" s="3">
        <v>2021</v>
      </c>
      <c r="C3095" t="s">
        <v>795</v>
      </c>
      <c r="D3095" t="s">
        <v>796</v>
      </c>
      <c r="E3095" t="s">
        <v>796</v>
      </c>
      <c r="F3095" s="4">
        <v>156136</v>
      </c>
      <c r="G3095" s="4" t="s">
        <v>7</v>
      </c>
      <c r="H3095" t="str">
        <f>IFERROR(VLOOKUP(E3095,'GASB Match'!$A$2:$B$240,2,FALSE),"")</f>
        <v/>
      </c>
    </row>
    <row r="3096" spans="1:8" x14ac:dyDescent="0.2">
      <c r="A3096" t="s">
        <v>7</v>
      </c>
      <c r="B3096" s="3">
        <v>2022</v>
      </c>
      <c r="C3096" t="s">
        <v>795</v>
      </c>
      <c r="D3096" t="s">
        <v>796</v>
      </c>
      <c r="E3096" t="s">
        <v>796</v>
      </c>
      <c r="F3096" s="4">
        <v>152856</v>
      </c>
      <c r="G3096" s="4" t="s">
        <v>7</v>
      </c>
      <c r="H3096" t="str">
        <f>IFERROR(VLOOKUP(E3096,'GASB Match'!$A$2:$B$240,2,FALSE),"")</f>
        <v/>
      </c>
    </row>
    <row r="3097" spans="1:8" x14ac:dyDescent="0.2">
      <c r="A3097" t="s">
        <v>7</v>
      </c>
      <c r="B3097" s="3">
        <v>2023</v>
      </c>
      <c r="C3097" t="s">
        <v>795</v>
      </c>
      <c r="D3097" t="s">
        <v>796</v>
      </c>
      <c r="E3097" t="s">
        <v>796</v>
      </c>
      <c r="F3097" s="4">
        <v>210560</v>
      </c>
      <c r="G3097" s="4" t="s">
        <v>7</v>
      </c>
      <c r="H3097" t="str">
        <f>IFERROR(VLOOKUP(E3097,'GASB Match'!$A$2:$B$240,2,FALSE),"")</f>
        <v/>
      </c>
    </row>
    <row r="3098" spans="1:8" x14ac:dyDescent="0.2">
      <c r="A3098">
        <v>1300238</v>
      </c>
      <c r="B3098" s="3">
        <v>2016</v>
      </c>
      <c r="C3098" t="s">
        <v>797</v>
      </c>
      <c r="D3098" t="s">
        <v>798</v>
      </c>
      <c r="E3098" t="s">
        <v>798</v>
      </c>
      <c r="F3098" s="4">
        <v>170075.26</v>
      </c>
      <c r="G3098" s="4" t="s">
        <v>7</v>
      </c>
      <c r="H3098">
        <f>IFERROR(VLOOKUP(E3098,'GASB Match'!$A$2:$B$240,2,FALSE),"")</f>
        <v>1300238</v>
      </c>
    </row>
    <row r="3099" spans="1:8" x14ac:dyDescent="0.2">
      <c r="A3099">
        <v>1300238</v>
      </c>
      <c r="B3099" s="3">
        <v>2017</v>
      </c>
      <c r="C3099" t="s">
        <v>797</v>
      </c>
      <c r="D3099" t="s">
        <v>798</v>
      </c>
      <c r="E3099" t="s">
        <v>798</v>
      </c>
      <c r="F3099" s="4">
        <v>277588</v>
      </c>
      <c r="G3099" s="4" t="s">
        <v>7</v>
      </c>
      <c r="H3099">
        <f>IFERROR(VLOOKUP(E3099,'GASB Match'!$A$2:$B$240,2,FALSE),"")</f>
        <v>1300238</v>
      </c>
    </row>
    <row r="3100" spans="1:8" x14ac:dyDescent="0.2">
      <c r="A3100">
        <v>1300238</v>
      </c>
      <c r="B3100" s="3">
        <v>2018</v>
      </c>
      <c r="C3100" t="s">
        <v>797</v>
      </c>
      <c r="D3100" t="s">
        <v>798</v>
      </c>
      <c r="E3100" t="s">
        <v>798</v>
      </c>
      <c r="F3100" s="4">
        <v>390211</v>
      </c>
      <c r="G3100" s="4" t="s">
        <v>7</v>
      </c>
      <c r="H3100">
        <f>IFERROR(VLOOKUP(E3100,'GASB Match'!$A$2:$B$240,2,FALSE),"")</f>
        <v>1300238</v>
      </c>
    </row>
    <row r="3101" spans="1:8" x14ac:dyDescent="0.2">
      <c r="A3101">
        <v>1300238</v>
      </c>
      <c r="B3101" s="3">
        <v>2019</v>
      </c>
      <c r="C3101" t="s">
        <v>797</v>
      </c>
      <c r="D3101" t="s">
        <v>798</v>
      </c>
      <c r="E3101" t="s">
        <v>798</v>
      </c>
      <c r="F3101" s="4">
        <v>523386</v>
      </c>
      <c r="G3101" s="4" t="s">
        <v>7</v>
      </c>
      <c r="H3101">
        <f>IFERROR(VLOOKUP(E3101,'GASB Match'!$A$2:$B$240,2,FALSE),"")</f>
        <v>1300238</v>
      </c>
    </row>
    <row r="3102" spans="1:8" x14ac:dyDescent="0.2">
      <c r="A3102">
        <v>1300238</v>
      </c>
      <c r="B3102" s="3">
        <v>2020</v>
      </c>
      <c r="C3102" t="s">
        <v>797</v>
      </c>
      <c r="D3102" t="s">
        <v>798</v>
      </c>
      <c r="E3102" t="s">
        <v>798</v>
      </c>
      <c r="F3102" s="4">
        <v>515800</v>
      </c>
      <c r="G3102" s="4" t="s">
        <v>7</v>
      </c>
      <c r="H3102">
        <f>IFERROR(VLOOKUP(E3102,'GASB Match'!$A$2:$B$240,2,FALSE),"")</f>
        <v>1300238</v>
      </c>
    </row>
    <row r="3103" spans="1:8" x14ac:dyDescent="0.2">
      <c r="A3103">
        <v>1300238</v>
      </c>
      <c r="B3103" s="3">
        <v>2021</v>
      </c>
      <c r="C3103" t="s">
        <v>797</v>
      </c>
      <c r="D3103" t="s">
        <v>798</v>
      </c>
      <c r="E3103" t="s">
        <v>798</v>
      </c>
      <c r="F3103" s="4">
        <v>547641</v>
      </c>
      <c r="G3103" s="4" t="s">
        <v>7</v>
      </c>
      <c r="H3103">
        <f>IFERROR(VLOOKUP(E3103,'GASB Match'!$A$2:$B$240,2,FALSE),"")</f>
        <v>1300238</v>
      </c>
    </row>
    <row r="3104" spans="1:8" x14ac:dyDescent="0.2">
      <c r="A3104">
        <v>1300238</v>
      </c>
      <c r="B3104" s="3">
        <v>2022</v>
      </c>
      <c r="C3104" t="s">
        <v>797</v>
      </c>
      <c r="D3104" t="s">
        <v>798</v>
      </c>
      <c r="E3104" t="s">
        <v>798</v>
      </c>
      <c r="F3104" s="4">
        <v>639233</v>
      </c>
      <c r="G3104" s="4" t="s">
        <v>7</v>
      </c>
      <c r="H3104">
        <f>IFERROR(VLOOKUP(E3104,'GASB Match'!$A$2:$B$240,2,FALSE),"")</f>
        <v>1300238</v>
      </c>
    </row>
    <row r="3105" spans="1:8" x14ac:dyDescent="0.2">
      <c r="A3105">
        <v>1300238</v>
      </c>
      <c r="B3105" s="3">
        <v>2023</v>
      </c>
      <c r="C3105" t="s">
        <v>797</v>
      </c>
      <c r="D3105" t="s">
        <v>798</v>
      </c>
      <c r="E3105" t="s">
        <v>798</v>
      </c>
      <c r="F3105" s="4">
        <v>679640</v>
      </c>
      <c r="G3105" s="4" t="s">
        <v>7</v>
      </c>
      <c r="H3105">
        <f>IFERROR(VLOOKUP(E3105,'GASB Match'!$A$2:$B$240,2,FALSE),"")</f>
        <v>1300238</v>
      </c>
    </row>
    <row r="3106" spans="1:8" x14ac:dyDescent="0.2">
      <c r="A3106">
        <v>1300234</v>
      </c>
      <c r="B3106" s="3">
        <v>2016</v>
      </c>
      <c r="C3106" t="s">
        <v>799</v>
      </c>
      <c r="D3106" t="s">
        <v>800</v>
      </c>
      <c r="E3106" t="s">
        <v>800</v>
      </c>
      <c r="F3106" s="4">
        <v>182910.33</v>
      </c>
      <c r="G3106" s="4" t="s">
        <v>7</v>
      </c>
      <c r="H3106">
        <f>IFERROR(VLOOKUP(E3106,'GASB Match'!$A$2:$B$240,2,FALSE),"")</f>
        <v>1300234</v>
      </c>
    </row>
    <row r="3107" spans="1:8" x14ac:dyDescent="0.2">
      <c r="A3107">
        <v>1300234</v>
      </c>
      <c r="B3107" s="3">
        <v>2017</v>
      </c>
      <c r="C3107" t="s">
        <v>799</v>
      </c>
      <c r="D3107" t="s">
        <v>800</v>
      </c>
      <c r="E3107" t="s">
        <v>800</v>
      </c>
      <c r="F3107" s="4">
        <v>257434</v>
      </c>
      <c r="G3107" s="4" t="s">
        <v>7</v>
      </c>
      <c r="H3107">
        <f>IFERROR(VLOOKUP(E3107,'GASB Match'!$A$2:$B$240,2,FALSE),"")</f>
        <v>1300234</v>
      </c>
    </row>
    <row r="3108" spans="1:8" x14ac:dyDescent="0.2">
      <c r="A3108">
        <v>1300234</v>
      </c>
      <c r="B3108" s="3">
        <v>2018</v>
      </c>
      <c r="C3108" t="s">
        <v>799</v>
      </c>
      <c r="D3108" t="s">
        <v>800</v>
      </c>
      <c r="E3108" t="s">
        <v>800</v>
      </c>
      <c r="F3108" s="4">
        <v>430826</v>
      </c>
      <c r="G3108" s="4" t="s">
        <v>7</v>
      </c>
      <c r="H3108">
        <f>IFERROR(VLOOKUP(E3108,'GASB Match'!$A$2:$B$240,2,FALSE),"")</f>
        <v>1300234</v>
      </c>
    </row>
    <row r="3109" spans="1:8" x14ac:dyDescent="0.2">
      <c r="A3109">
        <v>1300234</v>
      </c>
      <c r="B3109" s="3">
        <v>2019</v>
      </c>
      <c r="C3109" t="s">
        <v>799</v>
      </c>
      <c r="D3109" t="s">
        <v>800</v>
      </c>
      <c r="E3109" t="s">
        <v>800</v>
      </c>
      <c r="F3109" s="4">
        <v>640741</v>
      </c>
      <c r="G3109" s="4" t="s">
        <v>7</v>
      </c>
      <c r="H3109">
        <f>IFERROR(VLOOKUP(E3109,'GASB Match'!$A$2:$B$240,2,FALSE),"")</f>
        <v>1300234</v>
      </c>
    </row>
    <row r="3110" spans="1:8" x14ac:dyDescent="0.2">
      <c r="A3110">
        <v>1300234</v>
      </c>
      <c r="B3110" s="3">
        <v>2020</v>
      </c>
      <c r="C3110" t="s">
        <v>799</v>
      </c>
      <c r="D3110" t="s">
        <v>800</v>
      </c>
      <c r="E3110" t="s">
        <v>800</v>
      </c>
      <c r="F3110" s="4">
        <v>739183</v>
      </c>
      <c r="G3110" s="4" t="s">
        <v>7</v>
      </c>
      <c r="H3110">
        <f>IFERROR(VLOOKUP(E3110,'GASB Match'!$A$2:$B$240,2,FALSE),"")</f>
        <v>1300234</v>
      </c>
    </row>
    <row r="3111" spans="1:8" x14ac:dyDescent="0.2">
      <c r="A3111">
        <v>1300234</v>
      </c>
      <c r="B3111" s="3">
        <v>2021</v>
      </c>
      <c r="C3111" t="s">
        <v>799</v>
      </c>
      <c r="D3111" t="s">
        <v>800</v>
      </c>
      <c r="E3111" t="s">
        <v>800</v>
      </c>
      <c r="F3111" s="4">
        <v>711744</v>
      </c>
      <c r="G3111" s="4" t="s">
        <v>7</v>
      </c>
      <c r="H3111">
        <f>IFERROR(VLOOKUP(E3111,'GASB Match'!$A$2:$B$240,2,FALSE),"")</f>
        <v>1300234</v>
      </c>
    </row>
    <row r="3112" spans="1:8" x14ac:dyDescent="0.2">
      <c r="A3112">
        <v>1300234</v>
      </c>
      <c r="B3112" s="3">
        <v>2022</v>
      </c>
      <c r="C3112" t="s">
        <v>799</v>
      </c>
      <c r="D3112" t="s">
        <v>800</v>
      </c>
      <c r="E3112" t="s">
        <v>800</v>
      </c>
      <c r="F3112" s="4">
        <v>862570</v>
      </c>
      <c r="G3112" s="4" t="s">
        <v>7</v>
      </c>
      <c r="H3112">
        <f>IFERROR(VLOOKUP(E3112,'GASB Match'!$A$2:$B$240,2,FALSE),"")</f>
        <v>1300234</v>
      </c>
    </row>
    <row r="3113" spans="1:8" x14ac:dyDescent="0.2">
      <c r="A3113">
        <v>1300234</v>
      </c>
      <c r="B3113" s="3">
        <v>2023</v>
      </c>
      <c r="C3113" t="s">
        <v>799</v>
      </c>
      <c r="D3113" t="s">
        <v>800</v>
      </c>
      <c r="E3113" t="s">
        <v>800</v>
      </c>
      <c r="F3113" s="4">
        <v>853311</v>
      </c>
      <c r="G3113" s="4" t="s">
        <v>7</v>
      </c>
      <c r="H3113">
        <f>IFERROR(VLOOKUP(E3113,'GASB Match'!$A$2:$B$240,2,FALSE),"")</f>
        <v>1300234</v>
      </c>
    </row>
    <row r="3114" spans="1:8" x14ac:dyDescent="0.2">
      <c r="A3114">
        <v>1300236</v>
      </c>
      <c r="B3114" s="3">
        <v>2016</v>
      </c>
      <c r="C3114" t="s">
        <v>801</v>
      </c>
      <c r="D3114" t="s">
        <v>802</v>
      </c>
      <c r="E3114" t="s">
        <v>802</v>
      </c>
      <c r="F3114" s="4">
        <v>191216.75</v>
      </c>
      <c r="G3114" s="4" t="s">
        <v>7</v>
      </c>
      <c r="H3114">
        <f>IFERROR(VLOOKUP(E3114,'GASB Match'!$A$2:$B$240,2,FALSE),"")</f>
        <v>1300236</v>
      </c>
    </row>
    <row r="3115" spans="1:8" x14ac:dyDescent="0.2">
      <c r="A3115">
        <v>1300236</v>
      </c>
      <c r="B3115" s="3">
        <v>2017</v>
      </c>
      <c r="C3115" t="s">
        <v>801</v>
      </c>
      <c r="D3115" t="s">
        <v>802</v>
      </c>
      <c r="E3115" t="s">
        <v>802</v>
      </c>
      <c r="F3115" s="4">
        <v>267680</v>
      </c>
      <c r="G3115" s="4" t="s">
        <v>7</v>
      </c>
      <c r="H3115">
        <f>IFERROR(VLOOKUP(E3115,'GASB Match'!$A$2:$B$240,2,FALSE),"")</f>
        <v>1300236</v>
      </c>
    </row>
    <row r="3116" spans="1:8" x14ac:dyDescent="0.2">
      <c r="A3116">
        <v>1300236</v>
      </c>
      <c r="B3116" s="3">
        <v>2018</v>
      </c>
      <c r="C3116" t="s">
        <v>801</v>
      </c>
      <c r="D3116" t="s">
        <v>802</v>
      </c>
      <c r="E3116" t="s">
        <v>802</v>
      </c>
      <c r="F3116" s="4">
        <v>339414</v>
      </c>
      <c r="G3116" s="4" t="s">
        <v>7</v>
      </c>
      <c r="H3116">
        <f>IFERROR(VLOOKUP(E3116,'GASB Match'!$A$2:$B$240,2,FALSE),"")</f>
        <v>1300236</v>
      </c>
    </row>
    <row r="3117" spans="1:8" x14ac:dyDescent="0.2">
      <c r="A3117">
        <v>1300236</v>
      </c>
      <c r="B3117" s="3">
        <v>2019</v>
      </c>
      <c r="C3117" t="s">
        <v>801</v>
      </c>
      <c r="D3117" t="s">
        <v>802</v>
      </c>
      <c r="E3117" t="s">
        <v>802</v>
      </c>
      <c r="F3117" s="4">
        <v>472072</v>
      </c>
      <c r="G3117" s="4" t="s">
        <v>7</v>
      </c>
      <c r="H3117">
        <f>IFERROR(VLOOKUP(E3117,'GASB Match'!$A$2:$B$240,2,FALSE),"")</f>
        <v>1300236</v>
      </c>
    </row>
    <row r="3118" spans="1:8" x14ac:dyDescent="0.2">
      <c r="A3118">
        <v>1300236</v>
      </c>
      <c r="B3118" s="3">
        <v>2020</v>
      </c>
      <c r="C3118" t="s">
        <v>801</v>
      </c>
      <c r="D3118" t="s">
        <v>802</v>
      </c>
      <c r="E3118" t="s">
        <v>802</v>
      </c>
      <c r="F3118" s="4">
        <v>562836</v>
      </c>
      <c r="G3118" s="4" t="s">
        <v>7</v>
      </c>
      <c r="H3118">
        <f>IFERROR(VLOOKUP(E3118,'GASB Match'!$A$2:$B$240,2,FALSE),"")</f>
        <v>1300236</v>
      </c>
    </row>
    <row r="3119" spans="1:8" x14ac:dyDescent="0.2">
      <c r="A3119">
        <v>1300236</v>
      </c>
      <c r="B3119" s="3">
        <v>2021</v>
      </c>
      <c r="C3119" t="s">
        <v>801</v>
      </c>
      <c r="D3119" t="s">
        <v>802</v>
      </c>
      <c r="E3119" t="s">
        <v>802</v>
      </c>
      <c r="F3119" s="4">
        <v>542148</v>
      </c>
      <c r="G3119" s="4" t="s">
        <v>7</v>
      </c>
      <c r="H3119">
        <f>IFERROR(VLOOKUP(E3119,'GASB Match'!$A$2:$B$240,2,FALSE),"")</f>
        <v>1300236</v>
      </c>
    </row>
    <row r="3120" spans="1:8" x14ac:dyDescent="0.2">
      <c r="A3120">
        <v>1300236</v>
      </c>
      <c r="B3120" s="3">
        <v>2022</v>
      </c>
      <c r="C3120" t="s">
        <v>801</v>
      </c>
      <c r="D3120" t="s">
        <v>802</v>
      </c>
      <c r="E3120" t="s">
        <v>802</v>
      </c>
      <c r="F3120" s="4">
        <v>644600</v>
      </c>
      <c r="G3120" s="4" t="s">
        <v>7</v>
      </c>
      <c r="H3120">
        <f>IFERROR(VLOOKUP(E3120,'GASB Match'!$A$2:$B$240,2,FALSE),"")</f>
        <v>1300236</v>
      </c>
    </row>
    <row r="3121" spans="1:8" x14ac:dyDescent="0.2">
      <c r="A3121">
        <v>1300236</v>
      </c>
      <c r="B3121" s="3">
        <v>2023</v>
      </c>
      <c r="C3121" t="s">
        <v>801</v>
      </c>
      <c r="D3121" t="s">
        <v>802</v>
      </c>
      <c r="E3121" t="s">
        <v>802</v>
      </c>
      <c r="F3121" s="4">
        <v>836433</v>
      </c>
      <c r="G3121" s="4" t="s">
        <v>7</v>
      </c>
      <c r="H3121">
        <f>IFERROR(VLOOKUP(E3121,'GASB Match'!$A$2:$B$240,2,FALSE),"")</f>
        <v>1300236</v>
      </c>
    </row>
    <row r="3122" spans="1:8" x14ac:dyDescent="0.2">
      <c r="A3122" t="s">
        <v>7</v>
      </c>
      <c r="B3122" s="3">
        <v>2017</v>
      </c>
      <c r="C3122" t="s">
        <v>803</v>
      </c>
      <c r="D3122" t="s">
        <v>804</v>
      </c>
      <c r="E3122" t="s">
        <v>804</v>
      </c>
      <c r="F3122" s="4">
        <v>288085</v>
      </c>
      <c r="G3122" s="4" t="s">
        <v>7</v>
      </c>
      <c r="H3122" t="str">
        <f>IFERROR(VLOOKUP(E3122,'GASB Match'!$A$2:$B$240,2,FALSE),"")</f>
        <v/>
      </c>
    </row>
    <row r="3123" spans="1:8" x14ac:dyDescent="0.2">
      <c r="A3123" t="s">
        <v>7</v>
      </c>
      <c r="B3123" s="3">
        <v>2018</v>
      </c>
      <c r="C3123" t="s">
        <v>803</v>
      </c>
      <c r="D3123" t="s">
        <v>804</v>
      </c>
      <c r="E3123" t="s">
        <v>804</v>
      </c>
      <c r="F3123" s="4">
        <v>391751</v>
      </c>
      <c r="G3123" s="4" t="s">
        <v>7</v>
      </c>
      <c r="H3123" t="str">
        <f>IFERROR(VLOOKUP(E3123,'GASB Match'!$A$2:$B$240,2,FALSE),"")</f>
        <v/>
      </c>
    </row>
    <row r="3124" spans="1:8" x14ac:dyDescent="0.2">
      <c r="A3124" t="s">
        <v>7</v>
      </c>
      <c r="B3124" s="3">
        <v>2019</v>
      </c>
      <c r="C3124" t="s">
        <v>803</v>
      </c>
      <c r="D3124" t="s">
        <v>804</v>
      </c>
      <c r="E3124" t="s">
        <v>804</v>
      </c>
      <c r="F3124" s="4">
        <v>417330</v>
      </c>
      <c r="G3124" s="4" t="s">
        <v>7</v>
      </c>
      <c r="H3124" t="str">
        <f>IFERROR(VLOOKUP(E3124,'GASB Match'!$A$2:$B$240,2,FALSE),"")</f>
        <v/>
      </c>
    </row>
    <row r="3125" spans="1:8" x14ac:dyDescent="0.2">
      <c r="A3125" t="s">
        <v>7</v>
      </c>
      <c r="B3125" s="3">
        <v>2020</v>
      </c>
      <c r="C3125" t="s">
        <v>803</v>
      </c>
      <c r="D3125" t="s">
        <v>804</v>
      </c>
      <c r="E3125" t="s">
        <v>804</v>
      </c>
      <c r="F3125" s="4">
        <v>482282</v>
      </c>
      <c r="G3125" s="4" t="s">
        <v>7</v>
      </c>
      <c r="H3125" t="str">
        <f>IFERROR(VLOOKUP(E3125,'GASB Match'!$A$2:$B$240,2,FALSE),"")</f>
        <v/>
      </c>
    </row>
    <row r="3126" spans="1:8" x14ac:dyDescent="0.2">
      <c r="A3126" t="s">
        <v>7</v>
      </c>
      <c r="B3126" s="3">
        <v>2021</v>
      </c>
      <c r="C3126" t="s">
        <v>803</v>
      </c>
      <c r="D3126" t="s">
        <v>804</v>
      </c>
      <c r="E3126" t="s">
        <v>804</v>
      </c>
      <c r="F3126" s="4">
        <v>460190</v>
      </c>
      <c r="G3126" s="4" t="s">
        <v>7</v>
      </c>
      <c r="H3126" t="str">
        <f>IFERROR(VLOOKUP(E3126,'GASB Match'!$A$2:$B$240,2,FALSE),"")</f>
        <v/>
      </c>
    </row>
    <row r="3127" spans="1:8" x14ac:dyDescent="0.2">
      <c r="A3127" t="s">
        <v>7</v>
      </c>
      <c r="B3127" s="3">
        <v>2022</v>
      </c>
      <c r="C3127" t="s">
        <v>803</v>
      </c>
      <c r="D3127" t="s">
        <v>804</v>
      </c>
      <c r="E3127" t="s">
        <v>804</v>
      </c>
      <c r="F3127" s="4">
        <v>544792</v>
      </c>
      <c r="G3127" s="4" t="s">
        <v>7</v>
      </c>
      <c r="H3127" t="str">
        <f>IFERROR(VLOOKUP(E3127,'GASB Match'!$A$2:$B$240,2,FALSE),"")</f>
        <v/>
      </c>
    </row>
    <row r="3128" spans="1:8" x14ac:dyDescent="0.2">
      <c r="A3128" t="s">
        <v>7</v>
      </c>
      <c r="B3128" s="3">
        <v>2023</v>
      </c>
      <c r="C3128" t="s">
        <v>803</v>
      </c>
      <c r="D3128" t="s">
        <v>804</v>
      </c>
      <c r="E3128" t="s">
        <v>804</v>
      </c>
      <c r="F3128" s="4">
        <v>644187</v>
      </c>
      <c r="G3128" s="4" t="s">
        <v>7</v>
      </c>
      <c r="H3128" t="str">
        <f>IFERROR(VLOOKUP(E3128,'GASB Match'!$A$2:$B$240,2,FALSE),"")</f>
        <v/>
      </c>
    </row>
    <row r="3129" spans="1:8" x14ac:dyDescent="0.2">
      <c r="A3129" t="s">
        <v>7</v>
      </c>
      <c r="B3129" s="3">
        <v>2017</v>
      </c>
      <c r="C3129" t="s">
        <v>805</v>
      </c>
      <c r="D3129" t="s">
        <v>806</v>
      </c>
      <c r="E3129" t="s">
        <v>806</v>
      </c>
      <c r="F3129" s="4">
        <v>256707</v>
      </c>
      <c r="G3129" s="4" t="s">
        <v>7</v>
      </c>
      <c r="H3129" t="str">
        <f>IFERROR(VLOOKUP(E3129,'GASB Match'!$A$2:$B$240,2,FALSE),"")</f>
        <v/>
      </c>
    </row>
    <row r="3130" spans="1:8" x14ac:dyDescent="0.2">
      <c r="A3130" t="s">
        <v>7</v>
      </c>
      <c r="B3130" s="3">
        <v>2018</v>
      </c>
      <c r="C3130" t="s">
        <v>805</v>
      </c>
      <c r="D3130" t="s">
        <v>806</v>
      </c>
      <c r="E3130" t="s">
        <v>806</v>
      </c>
      <c r="F3130" s="4">
        <v>390908</v>
      </c>
      <c r="G3130" s="4" t="s">
        <v>7</v>
      </c>
      <c r="H3130" t="str">
        <f>IFERROR(VLOOKUP(E3130,'GASB Match'!$A$2:$B$240,2,FALSE),"")</f>
        <v/>
      </c>
    </row>
    <row r="3131" spans="1:8" x14ac:dyDescent="0.2">
      <c r="A3131" t="s">
        <v>7</v>
      </c>
      <c r="B3131" s="3">
        <v>2019</v>
      </c>
      <c r="C3131" t="s">
        <v>805</v>
      </c>
      <c r="D3131" t="s">
        <v>806</v>
      </c>
      <c r="E3131" t="s">
        <v>806</v>
      </c>
      <c r="F3131" s="4">
        <v>499043</v>
      </c>
      <c r="G3131" s="4" t="s">
        <v>7</v>
      </c>
      <c r="H3131" t="str">
        <f>IFERROR(VLOOKUP(E3131,'GASB Match'!$A$2:$B$240,2,FALSE),"")</f>
        <v/>
      </c>
    </row>
    <row r="3132" spans="1:8" x14ac:dyDescent="0.2">
      <c r="A3132" t="s">
        <v>7</v>
      </c>
      <c r="B3132" s="3">
        <v>2020</v>
      </c>
      <c r="C3132" t="s">
        <v>805</v>
      </c>
      <c r="D3132" t="s">
        <v>806</v>
      </c>
      <c r="E3132" t="s">
        <v>806</v>
      </c>
      <c r="F3132" s="4">
        <v>572514</v>
      </c>
      <c r="G3132" s="4" t="s">
        <v>7</v>
      </c>
      <c r="H3132" t="str">
        <f>IFERROR(VLOOKUP(E3132,'GASB Match'!$A$2:$B$240,2,FALSE),"")</f>
        <v/>
      </c>
    </row>
    <row r="3133" spans="1:8" x14ac:dyDescent="0.2">
      <c r="A3133" t="s">
        <v>7</v>
      </c>
      <c r="B3133" s="3">
        <v>2021</v>
      </c>
      <c r="C3133" t="s">
        <v>805</v>
      </c>
      <c r="D3133" t="s">
        <v>806</v>
      </c>
      <c r="E3133" t="s">
        <v>806</v>
      </c>
      <c r="F3133" s="4">
        <v>537753</v>
      </c>
      <c r="G3133" s="4" t="s">
        <v>7</v>
      </c>
      <c r="H3133" t="str">
        <f>IFERROR(VLOOKUP(E3133,'GASB Match'!$A$2:$B$240,2,FALSE),"")</f>
        <v/>
      </c>
    </row>
    <row r="3134" spans="1:8" x14ac:dyDescent="0.2">
      <c r="A3134" t="s">
        <v>7</v>
      </c>
      <c r="B3134" s="3">
        <v>2022</v>
      </c>
      <c r="C3134" t="s">
        <v>805</v>
      </c>
      <c r="D3134" t="s">
        <v>806</v>
      </c>
      <c r="E3134" t="s">
        <v>806</v>
      </c>
      <c r="F3134" s="4">
        <v>574398</v>
      </c>
      <c r="G3134" s="4" t="s">
        <v>7</v>
      </c>
      <c r="H3134" t="str">
        <f>IFERROR(VLOOKUP(E3134,'GASB Match'!$A$2:$B$240,2,FALSE),"")</f>
        <v/>
      </c>
    </row>
    <row r="3135" spans="1:8" x14ac:dyDescent="0.2">
      <c r="A3135" t="s">
        <v>7</v>
      </c>
      <c r="B3135" s="3">
        <v>2023</v>
      </c>
      <c r="C3135" t="s">
        <v>805</v>
      </c>
      <c r="D3135" t="s">
        <v>806</v>
      </c>
      <c r="E3135" t="s">
        <v>806</v>
      </c>
      <c r="F3135" s="4">
        <v>603632</v>
      </c>
      <c r="G3135" s="4" t="s">
        <v>7</v>
      </c>
      <c r="H3135" t="str">
        <f>IFERROR(VLOOKUP(E3135,'GASB Match'!$A$2:$B$240,2,FALSE),"")</f>
        <v/>
      </c>
    </row>
    <row r="3136" spans="1:8" x14ac:dyDescent="0.2">
      <c r="A3136">
        <v>1300243</v>
      </c>
      <c r="B3136" s="3">
        <v>2017</v>
      </c>
      <c r="C3136" t="s">
        <v>807</v>
      </c>
      <c r="D3136" t="s">
        <v>808</v>
      </c>
      <c r="E3136" t="s">
        <v>808</v>
      </c>
      <c r="F3136" s="4">
        <v>42390</v>
      </c>
      <c r="G3136" s="4" t="s">
        <v>7</v>
      </c>
      <c r="H3136">
        <f>IFERROR(VLOOKUP(E3136,'GASB Match'!$A$2:$B$240,2,FALSE),"")</f>
        <v>1300243</v>
      </c>
    </row>
    <row r="3137" spans="1:8" x14ac:dyDescent="0.2">
      <c r="A3137">
        <v>1300243</v>
      </c>
      <c r="B3137" s="3">
        <v>2018</v>
      </c>
      <c r="C3137" t="s">
        <v>807</v>
      </c>
      <c r="D3137" t="s">
        <v>808</v>
      </c>
      <c r="E3137" t="s">
        <v>808</v>
      </c>
      <c r="F3137" s="4">
        <v>152274</v>
      </c>
      <c r="G3137" s="4" t="s">
        <v>7</v>
      </c>
      <c r="H3137">
        <f>IFERROR(VLOOKUP(E3137,'GASB Match'!$A$2:$B$240,2,FALSE),"")</f>
        <v>1300243</v>
      </c>
    </row>
    <row r="3138" spans="1:8" x14ac:dyDescent="0.2">
      <c r="A3138">
        <v>1300243</v>
      </c>
      <c r="B3138" s="3">
        <v>2019</v>
      </c>
      <c r="C3138" t="s">
        <v>807</v>
      </c>
      <c r="D3138" t="s">
        <v>808</v>
      </c>
      <c r="E3138" t="s">
        <v>808</v>
      </c>
      <c r="F3138" s="4">
        <v>333321</v>
      </c>
      <c r="G3138" s="4" t="s">
        <v>7</v>
      </c>
      <c r="H3138">
        <f>IFERROR(VLOOKUP(E3138,'GASB Match'!$A$2:$B$240,2,FALSE),"")</f>
        <v>1300243</v>
      </c>
    </row>
    <row r="3139" spans="1:8" x14ac:dyDescent="0.2">
      <c r="A3139">
        <v>1300243</v>
      </c>
      <c r="B3139" s="3">
        <v>2020</v>
      </c>
      <c r="C3139" t="s">
        <v>807</v>
      </c>
      <c r="D3139" t="s">
        <v>808</v>
      </c>
      <c r="E3139" t="s">
        <v>808</v>
      </c>
      <c r="F3139" s="4">
        <v>402192</v>
      </c>
      <c r="G3139" s="4" t="s">
        <v>7</v>
      </c>
      <c r="H3139">
        <f>IFERROR(VLOOKUP(E3139,'GASB Match'!$A$2:$B$240,2,FALSE),"")</f>
        <v>1300243</v>
      </c>
    </row>
    <row r="3140" spans="1:8" x14ac:dyDescent="0.2">
      <c r="A3140">
        <v>1300243</v>
      </c>
      <c r="B3140" s="3">
        <v>2021</v>
      </c>
      <c r="C3140" t="s">
        <v>807</v>
      </c>
      <c r="D3140" t="s">
        <v>808</v>
      </c>
      <c r="E3140" t="s">
        <v>808</v>
      </c>
      <c r="F3140" s="4">
        <v>351996</v>
      </c>
      <c r="G3140" s="4" t="s">
        <v>7</v>
      </c>
      <c r="H3140">
        <f>IFERROR(VLOOKUP(E3140,'GASB Match'!$A$2:$B$240,2,FALSE),"")</f>
        <v>1300243</v>
      </c>
    </row>
    <row r="3141" spans="1:8" x14ac:dyDescent="0.2">
      <c r="A3141">
        <v>1300243</v>
      </c>
      <c r="B3141" s="3">
        <v>2022</v>
      </c>
      <c r="C3141" t="s">
        <v>807</v>
      </c>
      <c r="D3141" t="s">
        <v>808</v>
      </c>
      <c r="E3141" t="s">
        <v>808</v>
      </c>
      <c r="F3141" s="4">
        <v>436445</v>
      </c>
      <c r="G3141" s="4" t="s">
        <v>7</v>
      </c>
      <c r="H3141">
        <f>IFERROR(VLOOKUP(E3141,'GASB Match'!$A$2:$B$240,2,FALSE),"")</f>
        <v>1300243</v>
      </c>
    </row>
    <row r="3142" spans="1:8" x14ac:dyDescent="0.2">
      <c r="A3142">
        <v>1300243</v>
      </c>
      <c r="B3142" s="3">
        <v>2023</v>
      </c>
      <c r="C3142" t="s">
        <v>807</v>
      </c>
      <c r="D3142" t="s">
        <v>808</v>
      </c>
      <c r="E3142" t="s">
        <v>808</v>
      </c>
      <c r="F3142" s="4">
        <v>504695</v>
      </c>
      <c r="G3142" s="4" t="s">
        <v>7</v>
      </c>
      <c r="H3142">
        <f>IFERROR(VLOOKUP(E3142,'GASB Match'!$A$2:$B$240,2,FALSE),"")</f>
        <v>1300243</v>
      </c>
    </row>
    <row r="3143" spans="1:8" x14ac:dyDescent="0.2">
      <c r="A3143">
        <v>1300239</v>
      </c>
      <c r="B3143" s="3">
        <v>2017</v>
      </c>
      <c r="C3143" t="s">
        <v>809</v>
      </c>
      <c r="D3143" t="s">
        <v>810</v>
      </c>
      <c r="E3143" t="s">
        <v>810</v>
      </c>
      <c r="F3143" s="4">
        <v>182974</v>
      </c>
      <c r="G3143" s="4" t="s">
        <v>7</v>
      </c>
      <c r="H3143">
        <f>IFERROR(VLOOKUP(E3143,'GASB Match'!$A$2:$B$240,2,FALSE),"")</f>
        <v>1300239</v>
      </c>
    </row>
    <row r="3144" spans="1:8" x14ac:dyDescent="0.2">
      <c r="A3144">
        <v>1300239</v>
      </c>
      <c r="B3144" s="3">
        <v>2018</v>
      </c>
      <c r="C3144" t="s">
        <v>809</v>
      </c>
      <c r="D3144" t="s">
        <v>810</v>
      </c>
      <c r="E3144" t="s">
        <v>810</v>
      </c>
      <c r="F3144" s="4">
        <v>204279</v>
      </c>
      <c r="G3144" s="4" t="s">
        <v>7</v>
      </c>
      <c r="H3144">
        <f>IFERROR(VLOOKUP(E3144,'GASB Match'!$A$2:$B$240,2,FALSE),"")</f>
        <v>1300239</v>
      </c>
    </row>
    <row r="3145" spans="1:8" x14ac:dyDescent="0.2">
      <c r="A3145">
        <v>1300239</v>
      </c>
      <c r="B3145" s="3">
        <v>2019</v>
      </c>
      <c r="C3145" t="s">
        <v>809</v>
      </c>
      <c r="D3145" t="s">
        <v>810</v>
      </c>
      <c r="E3145" t="s">
        <v>810</v>
      </c>
      <c r="F3145" s="4">
        <v>270177</v>
      </c>
      <c r="G3145" s="4" t="s">
        <v>7</v>
      </c>
      <c r="H3145">
        <f>IFERROR(VLOOKUP(E3145,'GASB Match'!$A$2:$B$240,2,FALSE),"")</f>
        <v>1300239</v>
      </c>
    </row>
    <row r="3146" spans="1:8" x14ac:dyDescent="0.2">
      <c r="A3146">
        <v>1300239</v>
      </c>
      <c r="B3146" s="3">
        <v>2020</v>
      </c>
      <c r="C3146" t="s">
        <v>809</v>
      </c>
      <c r="D3146" t="s">
        <v>810</v>
      </c>
      <c r="E3146" t="s">
        <v>810</v>
      </c>
      <c r="F3146" s="4">
        <v>363101</v>
      </c>
      <c r="G3146" s="4" t="s">
        <v>7</v>
      </c>
      <c r="H3146">
        <f>IFERROR(VLOOKUP(E3146,'GASB Match'!$A$2:$B$240,2,FALSE),"")</f>
        <v>1300239</v>
      </c>
    </row>
    <row r="3147" spans="1:8" x14ac:dyDescent="0.2">
      <c r="A3147">
        <v>1300239</v>
      </c>
      <c r="B3147" s="3">
        <v>2021</v>
      </c>
      <c r="C3147" t="s">
        <v>809</v>
      </c>
      <c r="D3147" t="s">
        <v>810</v>
      </c>
      <c r="E3147" t="s">
        <v>810</v>
      </c>
      <c r="F3147" s="4">
        <v>399194</v>
      </c>
      <c r="G3147" s="4" t="s">
        <v>7</v>
      </c>
      <c r="H3147">
        <f>IFERROR(VLOOKUP(E3147,'GASB Match'!$A$2:$B$240,2,FALSE),"")</f>
        <v>1300239</v>
      </c>
    </row>
    <row r="3148" spans="1:8" x14ac:dyDescent="0.2">
      <c r="A3148">
        <v>1300239</v>
      </c>
      <c r="B3148" s="3">
        <v>2022</v>
      </c>
      <c r="C3148" t="s">
        <v>809</v>
      </c>
      <c r="D3148" t="s">
        <v>810</v>
      </c>
      <c r="E3148" t="s">
        <v>810</v>
      </c>
      <c r="F3148" s="4">
        <v>495965</v>
      </c>
      <c r="G3148" s="4" t="s">
        <v>7</v>
      </c>
      <c r="H3148">
        <f>IFERROR(VLOOKUP(E3148,'GASB Match'!$A$2:$B$240,2,FALSE),"")</f>
        <v>1300239</v>
      </c>
    </row>
    <row r="3149" spans="1:8" x14ac:dyDescent="0.2">
      <c r="A3149">
        <v>1300239</v>
      </c>
      <c r="B3149" s="3">
        <v>2023</v>
      </c>
      <c r="C3149" t="s">
        <v>809</v>
      </c>
      <c r="D3149" t="s">
        <v>810</v>
      </c>
      <c r="E3149" t="s">
        <v>810</v>
      </c>
      <c r="F3149" s="4">
        <v>505246</v>
      </c>
      <c r="G3149" s="4" t="s">
        <v>7</v>
      </c>
      <c r="H3149">
        <f>IFERROR(VLOOKUP(E3149,'GASB Match'!$A$2:$B$240,2,FALSE),"")</f>
        <v>1300239</v>
      </c>
    </row>
    <row r="3150" spans="1:8" x14ac:dyDescent="0.2">
      <c r="A3150" t="s">
        <v>7</v>
      </c>
      <c r="B3150" s="3">
        <v>2017</v>
      </c>
      <c r="C3150" t="s">
        <v>811</v>
      </c>
      <c r="D3150" t="s">
        <v>812</v>
      </c>
      <c r="E3150" t="s">
        <v>812</v>
      </c>
      <c r="F3150" s="4">
        <v>630705</v>
      </c>
      <c r="G3150" s="4" t="s">
        <v>7</v>
      </c>
      <c r="H3150" t="str">
        <f>IFERROR(VLOOKUP(E3150,'GASB Match'!$A$2:$B$240,2,FALSE),"")</f>
        <v/>
      </c>
    </row>
    <row r="3151" spans="1:8" x14ac:dyDescent="0.2">
      <c r="A3151" t="s">
        <v>7</v>
      </c>
      <c r="B3151" s="3">
        <v>2018</v>
      </c>
      <c r="C3151" t="s">
        <v>811</v>
      </c>
      <c r="D3151" t="s">
        <v>812</v>
      </c>
      <c r="E3151" t="s">
        <v>812</v>
      </c>
      <c r="F3151" s="4">
        <v>2114711</v>
      </c>
      <c r="G3151" s="4" t="s">
        <v>7</v>
      </c>
      <c r="H3151" t="str">
        <f>IFERROR(VLOOKUP(E3151,'GASB Match'!$A$2:$B$240,2,FALSE),"")</f>
        <v/>
      </c>
    </row>
    <row r="3152" spans="1:8" x14ac:dyDescent="0.2">
      <c r="A3152" t="s">
        <v>7</v>
      </c>
      <c r="B3152" s="3">
        <v>2019</v>
      </c>
      <c r="C3152" t="s">
        <v>811</v>
      </c>
      <c r="D3152" t="s">
        <v>812</v>
      </c>
      <c r="E3152" t="s">
        <v>812</v>
      </c>
      <c r="F3152" s="4">
        <v>3657301</v>
      </c>
      <c r="G3152" s="4" t="s">
        <v>7</v>
      </c>
      <c r="H3152" t="str">
        <f>IFERROR(VLOOKUP(E3152,'GASB Match'!$A$2:$B$240,2,FALSE),"")</f>
        <v/>
      </c>
    </row>
    <row r="3153" spans="1:8" x14ac:dyDescent="0.2">
      <c r="A3153" t="s">
        <v>7</v>
      </c>
      <c r="B3153" s="3">
        <v>2020</v>
      </c>
      <c r="C3153" t="s">
        <v>811</v>
      </c>
      <c r="D3153" t="s">
        <v>812</v>
      </c>
      <c r="E3153" t="s">
        <v>812</v>
      </c>
      <c r="F3153" s="4">
        <v>3849703</v>
      </c>
      <c r="G3153" s="4" t="s">
        <v>7</v>
      </c>
      <c r="H3153" t="str">
        <f>IFERROR(VLOOKUP(E3153,'GASB Match'!$A$2:$B$240,2,FALSE),"")</f>
        <v/>
      </c>
    </row>
    <row r="3154" spans="1:8" x14ac:dyDescent="0.2">
      <c r="A3154" t="s">
        <v>7</v>
      </c>
      <c r="B3154" s="3">
        <v>2021</v>
      </c>
      <c r="C3154" t="s">
        <v>811</v>
      </c>
      <c r="D3154" t="s">
        <v>812</v>
      </c>
      <c r="E3154" t="s">
        <v>812</v>
      </c>
      <c r="F3154" s="4">
        <v>3067286</v>
      </c>
      <c r="G3154" s="4" t="s">
        <v>7</v>
      </c>
      <c r="H3154" t="str">
        <f>IFERROR(VLOOKUP(E3154,'GASB Match'!$A$2:$B$240,2,FALSE),"")</f>
        <v/>
      </c>
    </row>
    <row r="3155" spans="1:8" x14ac:dyDescent="0.2">
      <c r="A3155" t="s">
        <v>7</v>
      </c>
      <c r="B3155" s="3">
        <v>2022</v>
      </c>
      <c r="C3155" t="s">
        <v>811</v>
      </c>
      <c r="D3155" t="s">
        <v>812</v>
      </c>
      <c r="E3155" t="s">
        <v>812</v>
      </c>
      <c r="F3155" s="4">
        <v>3184282</v>
      </c>
      <c r="G3155" s="4" t="s">
        <v>7</v>
      </c>
      <c r="H3155" t="str">
        <f>IFERROR(VLOOKUP(E3155,'GASB Match'!$A$2:$B$240,2,FALSE),"")</f>
        <v/>
      </c>
    </row>
    <row r="3156" spans="1:8" x14ac:dyDescent="0.2">
      <c r="A3156" t="s">
        <v>7</v>
      </c>
      <c r="B3156" s="3">
        <v>2023</v>
      </c>
      <c r="C3156" t="s">
        <v>811</v>
      </c>
      <c r="D3156" t="s">
        <v>812</v>
      </c>
      <c r="E3156" t="s">
        <v>812</v>
      </c>
      <c r="F3156" s="4">
        <v>3128650</v>
      </c>
      <c r="G3156" s="4" t="s">
        <v>7</v>
      </c>
      <c r="H3156" t="str">
        <f>IFERROR(VLOOKUP(E3156,'GASB Match'!$A$2:$B$240,2,FALSE),"")</f>
        <v/>
      </c>
    </row>
    <row r="3157" spans="1:8" x14ac:dyDescent="0.2">
      <c r="A3157">
        <v>1300241</v>
      </c>
      <c r="B3157" s="3">
        <v>2017</v>
      </c>
      <c r="C3157" t="s">
        <v>813</v>
      </c>
      <c r="D3157" t="s">
        <v>814</v>
      </c>
      <c r="E3157" t="s">
        <v>814</v>
      </c>
      <c r="F3157" s="4">
        <v>123033</v>
      </c>
      <c r="G3157" s="4" t="s">
        <v>7</v>
      </c>
      <c r="H3157">
        <f>IFERROR(VLOOKUP(E3157,'GASB Match'!$A$2:$B$240,2,FALSE),"")</f>
        <v>1300241</v>
      </c>
    </row>
    <row r="3158" spans="1:8" x14ac:dyDescent="0.2">
      <c r="A3158">
        <v>1300241</v>
      </c>
      <c r="B3158" s="3">
        <v>2018</v>
      </c>
      <c r="C3158" t="s">
        <v>813</v>
      </c>
      <c r="D3158" t="s">
        <v>814</v>
      </c>
      <c r="E3158" t="s">
        <v>814</v>
      </c>
      <c r="F3158" s="4">
        <v>292535</v>
      </c>
      <c r="G3158" s="4" t="s">
        <v>7</v>
      </c>
      <c r="H3158">
        <f>IFERROR(VLOOKUP(E3158,'GASB Match'!$A$2:$B$240,2,FALSE),"")</f>
        <v>1300241</v>
      </c>
    </row>
    <row r="3159" spans="1:8" x14ac:dyDescent="0.2">
      <c r="A3159">
        <v>1300241</v>
      </c>
      <c r="B3159" s="3">
        <v>2019</v>
      </c>
      <c r="C3159" t="s">
        <v>813</v>
      </c>
      <c r="D3159" t="s">
        <v>814</v>
      </c>
      <c r="E3159" t="s">
        <v>814</v>
      </c>
      <c r="F3159" s="4">
        <v>416144</v>
      </c>
      <c r="G3159" s="4" t="s">
        <v>7</v>
      </c>
      <c r="H3159">
        <f>IFERROR(VLOOKUP(E3159,'GASB Match'!$A$2:$B$240,2,FALSE),"")</f>
        <v>1300241</v>
      </c>
    </row>
    <row r="3160" spans="1:8" x14ac:dyDescent="0.2">
      <c r="A3160">
        <v>1300241</v>
      </c>
      <c r="B3160" s="3">
        <v>2020</v>
      </c>
      <c r="C3160" t="s">
        <v>813</v>
      </c>
      <c r="D3160" t="s">
        <v>814</v>
      </c>
      <c r="E3160" t="s">
        <v>814</v>
      </c>
      <c r="F3160" s="4">
        <v>481733</v>
      </c>
      <c r="G3160" s="4" t="s">
        <v>7</v>
      </c>
      <c r="H3160">
        <f>IFERROR(VLOOKUP(E3160,'GASB Match'!$A$2:$B$240,2,FALSE),"")</f>
        <v>1300241</v>
      </c>
    </row>
    <row r="3161" spans="1:8" x14ac:dyDescent="0.2">
      <c r="A3161">
        <v>1300241</v>
      </c>
      <c r="B3161" s="3">
        <v>2021</v>
      </c>
      <c r="C3161" t="s">
        <v>813</v>
      </c>
      <c r="D3161" t="s">
        <v>814</v>
      </c>
      <c r="E3161" t="s">
        <v>814</v>
      </c>
      <c r="F3161" s="4">
        <v>488646</v>
      </c>
      <c r="G3161" s="4" t="s">
        <v>7</v>
      </c>
      <c r="H3161">
        <f>IFERROR(VLOOKUP(E3161,'GASB Match'!$A$2:$B$240,2,FALSE),"")</f>
        <v>1300241</v>
      </c>
    </row>
    <row r="3162" spans="1:8" x14ac:dyDescent="0.2">
      <c r="A3162">
        <v>1300241</v>
      </c>
      <c r="B3162" s="3">
        <v>2022</v>
      </c>
      <c r="C3162" t="s">
        <v>813</v>
      </c>
      <c r="D3162" t="s">
        <v>814</v>
      </c>
      <c r="E3162" t="s">
        <v>814</v>
      </c>
      <c r="F3162" s="4">
        <v>548305</v>
      </c>
      <c r="G3162" s="4" t="s">
        <v>7</v>
      </c>
      <c r="H3162">
        <f>IFERROR(VLOOKUP(E3162,'GASB Match'!$A$2:$B$240,2,FALSE),"")</f>
        <v>1300241</v>
      </c>
    </row>
    <row r="3163" spans="1:8" x14ac:dyDescent="0.2">
      <c r="A3163">
        <v>1300241</v>
      </c>
      <c r="B3163" s="3">
        <v>2023</v>
      </c>
      <c r="C3163" t="s">
        <v>813</v>
      </c>
      <c r="D3163" t="s">
        <v>814</v>
      </c>
      <c r="E3163" t="s">
        <v>814</v>
      </c>
      <c r="F3163" s="4">
        <v>660081</v>
      </c>
      <c r="G3163" s="4" t="s">
        <v>7</v>
      </c>
      <c r="H3163">
        <f>IFERROR(VLOOKUP(E3163,'GASB Match'!$A$2:$B$240,2,FALSE),"")</f>
        <v>1300241</v>
      </c>
    </row>
    <row r="3164" spans="1:8" x14ac:dyDescent="0.2">
      <c r="A3164">
        <v>1300245</v>
      </c>
      <c r="B3164" s="3">
        <v>2018</v>
      </c>
      <c r="C3164" t="s">
        <v>815</v>
      </c>
      <c r="D3164" t="s">
        <v>816</v>
      </c>
      <c r="E3164" t="s">
        <v>816</v>
      </c>
      <c r="F3164" s="4">
        <v>279689</v>
      </c>
      <c r="G3164" s="4" t="s">
        <v>7</v>
      </c>
      <c r="H3164">
        <f>IFERROR(VLOOKUP(E3164,'GASB Match'!$A$2:$B$240,2,FALSE),"")</f>
        <v>1300245</v>
      </c>
    </row>
    <row r="3165" spans="1:8" x14ac:dyDescent="0.2">
      <c r="A3165">
        <v>1300245</v>
      </c>
      <c r="B3165" s="3">
        <v>2019</v>
      </c>
      <c r="C3165" t="s">
        <v>815</v>
      </c>
      <c r="D3165" t="s">
        <v>816</v>
      </c>
      <c r="E3165" t="s">
        <v>816</v>
      </c>
      <c r="F3165" s="4">
        <v>477298</v>
      </c>
      <c r="G3165" s="4" t="s">
        <v>7</v>
      </c>
      <c r="H3165">
        <f>IFERROR(VLOOKUP(E3165,'GASB Match'!$A$2:$B$240,2,FALSE),"")</f>
        <v>1300245</v>
      </c>
    </row>
    <row r="3166" spans="1:8" x14ac:dyDescent="0.2">
      <c r="A3166">
        <v>1300245</v>
      </c>
      <c r="B3166" s="3">
        <v>2020</v>
      </c>
      <c r="C3166" t="s">
        <v>815</v>
      </c>
      <c r="D3166" t="s">
        <v>816</v>
      </c>
      <c r="E3166" t="s">
        <v>816</v>
      </c>
      <c r="F3166" s="4">
        <v>490274</v>
      </c>
      <c r="G3166" s="4" t="s">
        <v>7</v>
      </c>
      <c r="H3166">
        <f>IFERROR(VLOOKUP(E3166,'GASB Match'!$A$2:$B$240,2,FALSE),"")</f>
        <v>1300245</v>
      </c>
    </row>
    <row r="3167" spans="1:8" x14ac:dyDescent="0.2">
      <c r="A3167">
        <v>1300245</v>
      </c>
      <c r="B3167" s="3">
        <v>2021</v>
      </c>
      <c r="C3167" t="s">
        <v>815</v>
      </c>
      <c r="D3167" t="s">
        <v>816</v>
      </c>
      <c r="E3167" t="s">
        <v>816</v>
      </c>
      <c r="F3167" s="4">
        <v>476218</v>
      </c>
      <c r="G3167" s="4" t="s">
        <v>7</v>
      </c>
      <c r="H3167">
        <f>IFERROR(VLOOKUP(E3167,'GASB Match'!$A$2:$B$240,2,FALSE),"")</f>
        <v>1300245</v>
      </c>
    </row>
    <row r="3168" spans="1:8" x14ac:dyDescent="0.2">
      <c r="A3168">
        <v>1300245</v>
      </c>
      <c r="B3168" s="3">
        <v>2022</v>
      </c>
      <c r="C3168" t="s">
        <v>815</v>
      </c>
      <c r="D3168" t="s">
        <v>816</v>
      </c>
      <c r="E3168" t="s">
        <v>816</v>
      </c>
      <c r="F3168" s="4">
        <v>539962</v>
      </c>
      <c r="G3168" s="4" t="s">
        <v>7</v>
      </c>
      <c r="H3168">
        <f>IFERROR(VLOOKUP(E3168,'GASB Match'!$A$2:$B$240,2,FALSE),"")</f>
        <v>1300245</v>
      </c>
    </row>
    <row r="3169" spans="1:8" x14ac:dyDescent="0.2">
      <c r="A3169">
        <v>1300245</v>
      </c>
      <c r="B3169" s="3">
        <v>2023</v>
      </c>
      <c r="C3169" t="s">
        <v>815</v>
      </c>
      <c r="D3169" t="s">
        <v>816</v>
      </c>
      <c r="E3169" t="s">
        <v>816</v>
      </c>
      <c r="F3169" s="4">
        <v>598998</v>
      </c>
      <c r="G3169" s="4" t="s">
        <v>7</v>
      </c>
      <c r="H3169">
        <f>IFERROR(VLOOKUP(E3169,'GASB Match'!$A$2:$B$240,2,FALSE),"")</f>
        <v>1300245</v>
      </c>
    </row>
    <row r="3170" spans="1:8" x14ac:dyDescent="0.2">
      <c r="A3170">
        <v>1300246</v>
      </c>
      <c r="B3170" s="3">
        <v>2019</v>
      </c>
      <c r="C3170" t="s">
        <v>817</v>
      </c>
      <c r="D3170" t="s">
        <v>818</v>
      </c>
      <c r="E3170" t="s">
        <v>818</v>
      </c>
      <c r="F3170" s="4">
        <v>60198</v>
      </c>
      <c r="G3170" s="4" t="s">
        <v>7</v>
      </c>
      <c r="H3170">
        <f>IFERROR(VLOOKUP(E3170,'GASB Match'!$A$2:$B$240,2,FALSE),"")</f>
        <v>1300246</v>
      </c>
    </row>
    <row r="3171" spans="1:8" x14ac:dyDescent="0.2">
      <c r="A3171">
        <v>1300246</v>
      </c>
      <c r="B3171" s="3">
        <v>2020</v>
      </c>
      <c r="C3171" t="s">
        <v>817</v>
      </c>
      <c r="D3171" t="s">
        <v>818</v>
      </c>
      <c r="E3171" t="s">
        <v>818</v>
      </c>
      <c r="F3171" s="4">
        <v>83330</v>
      </c>
      <c r="G3171" s="4" t="s">
        <v>7</v>
      </c>
      <c r="H3171">
        <f>IFERROR(VLOOKUP(E3171,'GASB Match'!$A$2:$B$240,2,FALSE),"")</f>
        <v>1300246</v>
      </c>
    </row>
    <row r="3172" spans="1:8" x14ac:dyDescent="0.2">
      <c r="A3172">
        <v>1300246</v>
      </c>
      <c r="B3172" s="3">
        <v>2021</v>
      </c>
      <c r="C3172" t="s">
        <v>817</v>
      </c>
      <c r="D3172" t="s">
        <v>818</v>
      </c>
      <c r="E3172" t="s">
        <v>818</v>
      </c>
      <c r="F3172" s="4">
        <v>95525</v>
      </c>
      <c r="G3172" s="4" t="s">
        <v>7</v>
      </c>
      <c r="H3172">
        <f>IFERROR(VLOOKUP(E3172,'GASB Match'!$A$2:$B$240,2,FALSE),"")</f>
        <v>1300246</v>
      </c>
    </row>
    <row r="3173" spans="1:8" x14ac:dyDescent="0.2">
      <c r="A3173">
        <v>1300246</v>
      </c>
      <c r="B3173" s="3">
        <v>2022</v>
      </c>
      <c r="C3173" t="s">
        <v>817</v>
      </c>
      <c r="D3173" t="s">
        <v>818</v>
      </c>
      <c r="E3173" t="s">
        <v>818</v>
      </c>
      <c r="F3173" s="4">
        <v>116888</v>
      </c>
      <c r="G3173" s="4" t="s">
        <v>7</v>
      </c>
      <c r="H3173">
        <f>IFERROR(VLOOKUP(E3173,'GASB Match'!$A$2:$B$240,2,FALSE),"")</f>
        <v>1300246</v>
      </c>
    </row>
    <row r="3174" spans="1:8" x14ac:dyDescent="0.2">
      <c r="A3174">
        <v>1300246</v>
      </c>
      <c r="B3174" s="3">
        <v>2023</v>
      </c>
      <c r="C3174" t="s">
        <v>817</v>
      </c>
      <c r="D3174" t="s">
        <v>818</v>
      </c>
      <c r="E3174" t="s">
        <v>818</v>
      </c>
      <c r="F3174" s="4">
        <v>123482</v>
      </c>
      <c r="G3174" s="4" t="s">
        <v>7</v>
      </c>
      <c r="H3174">
        <f>IFERROR(VLOOKUP(E3174,'GASB Match'!$A$2:$B$240,2,FALSE),"")</f>
        <v>1300246</v>
      </c>
    </row>
    <row r="3175" spans="1:8" x14ac:dyDescent="0.2">
      <c r="A3175">
        <v>1300250</v>
      </c>
      <c r="B3175" s="3">
        <v>2019</v>
      </c>
      <c r="C3175" t="s">
        <v>819</v>
      </c>
      <c r="D3175" t="s">
        <v>820</v>
      </c>
      <c r="E3175" t="s">
        <v>820</v>
      </c>
      <c r="F3175" s="4">
        <v>166151</v>
      </c>
      <c r="G3175" s="4" t="s">
        <v>7</v>
      </c>
      <c r="H3175">
        <f>IFERROR(VLOOKUP(E3175,'GASB Match'!$A$2:$B$240,2,FALSE),"")</f>
        <v>1300250</v>
      </c>
    </row>
    <row r="3176" spans="1:8" x14ac:dyDescent="0.2">
      <c r="A3176">
        <v>1300250</v>
      </c>
      <c r="B3176" s="3">
        <v>2020</v>
      </c>
      <c r="C3176" t="s">
        <v>819</v>
      </c>
      <c r="D3176" t="s">
        <v>820</v>
      </c>
      <c r="E3176" t="s">
        <v>820</v>
      </c>
      <c r="F3176" s="4">
        <v>220955</v>
      </c>
      <c r="G3176" s="4" t="s">
        <v>7</v>
      </c>
      <c r="H3176">
        <f>IFERROR(VLOOKUP(E3176,'GASB Match'!$A$2:$B$240,2,FALSE),"")</f>
        <v>1300250</v>
      </c>
    </row>
    <row r="3177" spans="1:8" x14ac:dyDescent="0.2">
      <c r="A3177">
        <v>1300250</v>
      </c>
      <c r="B3177" s="3">
        <v>2021</v>
      </c>
      <c r="C3177" t="s">
        <v>819</v>
      </c>
      <c r="D3177" t="s">
        <v>820</v>
      </c>
      <c r="E3177" t="s">
        <v>820</v>
      </c>
      <c r="F3177" s="4">
        <v>220488</v>
      </c>
      <c r="G3177" s="4" t="s">
        <v>7</v>
      </c>
      <c r="H3177">
        <f>IFERROR(VLOOKUP(E3177,'GASB Match'!$A$2:$B$240,2,FALSE),"")</f>
        <v>1300250</v>
      </c>
    </row>
    <row r="3178" spans="1:8" x14ac:dyDescent="0.2">
      <c r="A3178">
        <v>1300250</v>
      </c>
      <c r="B3178" s="3">
        <v>2022</v>
      </c>
      <c r="C3178" t="s">
        <v>819</v>
      </c>
      <c r="D3178" t="s">
        <v>820</v>
      </c>
      <c r="E3178" t="s">
        <v>820</v>
      </c>
      <c r="F3178" s="4">
        <v>208272</v>
      </c>
      <c r="G3178" s="4" t="s">
        <v>7</v>
      </c>
      <c r="H3178">
        <f>IFERROR(VLOOKUP(E3178,'GASB Match'!$A$2:$B$240,2,FALSE),"")</f>
        <v>1300250</v>
      </c>
    </row>
    <row r="3179" spans="1:8" x14ac:dyDescent="0.2">
      <c r="A3179">
        <v>1300250</v>
      </c>
      <c r="B3179" s="3">
        <v>2023</v>
      </c>
      <c r="C3179" t="s">
        <v>819</v>
      </c>
      <c r="D3179" t="s">
        <v>820</v>
      </c>
      <c r="E3179" t="s">
        <v>820</v>
      </c>
      <c r="F3179" s="4">
        <v>236829</v>
      </c>
      <c r="G3179" s="4" t="s">
        <v>7</v>
      </c>
      <c r="H3179">
        <f>IFERROR(VLOOKUP(E3179,'GASB Match'!$A$2:$B$240,2,FALSE),"")</f>
        <v>1300250</v>
      </c>
    </row>
    <row r="3180" spans="1:8" x14ac:dyDescent="0.2">
      <c r="A3180">
        <v>1300251</v>
      </c>
      <c r="B3180" s="3">
        <v>2019</v>
      </c>
      <c r="C3180" t="s">
        <v>821</v>
      </c>
      <c r="D3180" t="s">
        <v>822</v>
      </c>
      <c r="E3180" t="s">
        <v>822</v>
      </c>
      <c r="F3180" s="4">
        <v>76522</v>
      </c>
      <c r="G3180" s="4" t="s">
        <v>7</v>
      </c>
      <c r="H3180">
        <f>IFERROR(VLOOKUP(E3180,'GASB Match'!$A$2:$B$240,2,FALSE),"")</f>
        <v>1300251</v>
      </c>
    </row>
    <row r="3181" spans="1:8" x14ac:dyDescent="0.2">
      <c r="A3181">
        <v>1300251</v>
      </c>
      <c r="B3181" s="3">
        <v>2020</v>
      </c>
      <c r="C3181" t="s">
        <v>821</v>
      </c>
      <c r="D3181" t="s">
        <v>822</v>
      </c>
      <c r="E3181" t="s">
        <v>822</v>
      </c>
      <c r="F3181" s="4">
        <v>105863</v>
      </c>
      <c r="G3181" s="4" t="s">
        <v>7</v>
      </c>
      <c r="H3181">
        <f>IFERROR(VLOOKUP(E3181,'GASB Match'!$A$2:$B$240,2,FALSE),"")</f>
        <v>1300251</v>
      </c>
    </row>
    <row r="3182" spans="1:8" x14ac:dyDescent="0.2">
      <c r="A3182">
        <v>1300251</v>
      </c>
      <c r="B3182" s="3">
        <v>2021</v>
      </c>
      <c r="C3182" t="s">
        <v>821</v>
      </c>
      <c r="D3182" t="s">
        <v>822</v>
      </c>
      <c r="E3182" t="s">
        <v>822</v>
      </c>
      <c r="F3182" s="4">
        <v>101214</v>
      </c>
      <c r="G3182" s="4" t="s">
        <v>7</v>
      </c>
      <c r="H3182">
        <f>IFERROR(VLOOKUP(E3182,'GASB Match'!$A$2:$B$240,2,FALSE),"")</f>
        <v>1300251</v>
      </c>
    </row>
    <row r="3183" spans="1:8" x14ac:dyDescent="0.2">
      <c r="A3183">
        <v>1300251</v>
      </c>
      <c r="B3183" s="3">
        <v>2022</v>
      </c>
      <c r="C3183" t="s">
        <v>821</v>
      </c>
      <c r="D3183" t="s">
        <v>822</v>
      </c>
      <c r="E3183" t="s">
        <v>822</v>
      </c>
      <c r="F3183" s="4">
        <v>140676</v>
      </c>
      <c r="G3183" s="4" t="s">
        <v>7</v>
      </c>
      <c r="H3183">
        <f>IFERROR(VLOOKUP(E3183,'GASB Match'!$A$2:$B$240,2,FALSE),"")</f>
        <v>1300251</v>
      </c>
    </row>
    <row r="3184" spans="1:8" x14ac:dyDescent="0.2">
      <c r="A3184">
        <v>1300251</v>
      </c>
      <c r="B3184" s="3">
        <v>2023</v>
      </c>
      <c r="C3184" t="s">
        <v>821</v>
      </c>
      <c r="D3184" t="s">
        <v>822</v>
      </c>
      <c r="E3184" t="s">
        <v>822</v>
      </c>
      <c r="F3184" s="4">
        <v>163884</v>
      </c>
      <c r="G3184" s="4" t="s">
        <v>7</v>
      </c>
      <c r="H3184">
        <f>IFERROR(VLOOKUP(E3184,'GASB Match'!$A$2:$B$240,2,FALSE),"")</f>
        <v>1300251</v>
      </c>
    </row>
    <row r="3185" spans="1:8" x14ac:dyDescent="0.2">
      <c r="A3185" t="s">
        <v>7</v>
      </c>
      <c r="B3185" s="3">
        <v>2021</v>
      </c>
      <c r="C3185" t="s">
        <v>823</v>
      </c>
      <c r="D3185" t="s">
        <v>824</v>
      </c>
      <c r="E3185" t="s">
        <v>824</v>
      </c>
      <c r="F3185" s="4">
        <v>102938</v>
      </c>
      <c r="G3185" s="4" t="s">
        <v>7</v>
      </c>
      <c r="H3185" t="str">
        <f>IFERROR(VLOOKUP(E3185,'GASB Match'!$A$2:$B$240,2,FALSE),"")</f>
        <v/>
      </c>
    </row>
    <row r="3186" spans="1:8" x14ac:dyDescent="0.2">
      <c r="A3186" t="s">
        <v>7</v>
      </c>
      <c r="B3186" s="3">
        <v>2022</v>
      </c>
      <c r="C3186" t="s">
        <v>823</v>
      </c>
      <c r="D3186" t="s">
        <v>824</v>
      </c>
      <c r="E3186" t="s">
        <v>824</v>
      </c>
      <c r="F3186" s="4">
        <v>175325</v>
      </c>
      <c r="G3186" s="4" t="s">
        <v>7</v>
      </c>
      <c r="H3186" t="str">
        <f>IFERROR(VLOOKUP(E3186,'GASB Match'!$A$2:$B$240,2,FALSE),"")</f>
        <v/>
      </c>
    </row>
    <row r="3187" spans="1:8" x14ac:dyDescent="0.2">
      <c r="A3187" t="s">
        <v>7</v>
      </c>
      <c r="B3187" s="3">
        <v>2023</v>
      </c>
      <c r="C3187" t="s">
        <v>823</v>
      </c>
      <c r="D3187" t="s">
        <v>824</v>
      </c>
      <c r="E3187" t="s">
        <v>824</v>
      </c>
      <c r="F3187" s="4">
        <v>221198</v>
      </c>
      <c r="G3187" s="4" t="s">
        <v>7</v>
      </c>
      <c r="H3187" t="str">
        <f>IFERROR(VLOOKUP(E3187,'GASB Match'!$A$2:$B$240,2,FALSE),"")</f>
        <v/>
      </c>
    </row>
    <row r="3188" spans="1:8" x14ac:dyDescent="0.2">
      <c r="A3188" t="s">
        <v>7</v>
      </c>
      <c r="B3188" s="3">
        <v>2015</v>
      </c>
      <c r="C3188" t="s">
        <v>825</v>
      </c>
      <c r="D3188" t="s">
        <v>827</v>
      </c>
      <c r="E3188" t="s">
        <v>826</v>
      </c>
      <c r="F3188" s="4">
        <v>400073.08</v>
      </c>
      <c r="G3188" s="4" t="s">
        <v>7</v>
      </c>
      <c r="H3188" t="str">
        <f>IFERROR(VLOOKUP(E3188,'GASB Match'!$A$2:$B$240,2,FALSE),"")</f>
        <v/>
      </c>
    </row>
    <row r="3189" spans="1:8" x14ac:dyDescent="0.2">
      <c r="A3189" t="s">
        <v>7</v>
      </c>
      <c r="B3189" s="3">
        <v>2016</v>
      </c>
      <c r="C3189" t="s">
        <v>825</v>
      </c>
      <c r="D3189" t="s">
        <v>827</v>
      </c>
      <c r="E3189" t="s">
        <v>826</v>
      </c>
      <c r="F3189" s="4">
        <v>370358.14</v>
      </c>
      <c r="G3189" s="4" t="s">
        <v>7</v>
      </c>
      <c r="H3189" t="str">
        <f>IFERROR(VLOOKUP(E3189,'GASB Match'!$A$2:$B$240,2,FALSE),"")</f>
        <v/>
      </c>
    </row>
    <row r="3190" spans="1:8" x14ac:dyDescent="0.2">
      <c r="A3190" t="s">
        <v>7</v>
      </c>
      <c r="B3190" s="3">
        <v>2017</v>
      </c>
      <c r="C3190" t="s">
        <v>825</v>
      </c>
      <c r="D3190" t="s">
        <v>827</v>
      </c>
      <c r="E3190" t="s">
        <v>826</v>
      </c>
      <c r="F3190" s="4">
        <v>455042</v>
      </c>
      <c r="G3190" s="4" t="s">
        <v>7</v>
      </c>
      <c r="H3190" t="str">
        <f>IFERROR(VLOOKUP(E3190,'GASB Match'!$A$2:$B$240,2,FALSE),"")</f>
        <v/>
      </c>
    </row>
    <row r="3191" spans="1:8" x14ac:dyDescent="0.2">
      <c r="A3191" t="s">
        <v>7</v>
      </c>
      <c r="B3191" s="3">
        <v>2018</v>
      </c>
      <c r="C3191" t="s">
        <v>825</v>
      </c>
      <c r="D3191" t="s">
        <v>827</v>
      </c>
      <c r="E3191" t="s">
        <v>826</v>
      </c>
      <c r="F3191" s="4">
        <v>690168</v>
      </c>
      <c r="G3191" s="4" t="s">
        <v>7</v>
      </c>
      <c r="H3191" t="str">
        <f>IFERROR(VLOOKUP(E3191,'GASB Match'!$A$2:$B$240,2,FALSE),"")</f>
        <v/>
      </c>
    </row>
    <row r="3192" spans="1:8" x14ac:dyDescent="0.2">
      <c r="A3192" t="s">
        <v>7</v>
      </c>
      <c r="B3192" s="3">
        <v>2019</v>
      </c>
      <c r="C3192" t="s">
        <v>825</v>
      </c>
      <c r="D3192" t="s">
        <v>827</v>
      </c>
      <c r="E3192" t="s">
        <v>826</v>
      </c>
      <c r="F3192" s="4">
        <v>809946</v>
      </c>
      <c r="G3192" s="4" t="s">
        <v>7</v>
      </c>
      <c r="H3192" t="str">
        <f>IFERROR(VLOOKUP(E3192,'GASB Match'!$A$2:$B$240,2,FALSE),"")</f>
        <v/>
      </c>
    </row>
    <row r="3193" spans="1:8" x14ac:dyDescent="0.2">
      <c r="A3193" t="s">
        <v>7</v>
      </c>
      <c r="B3193" s="3">
        <v>2020</v>
      </c>
      <c r="C3193" t="s">
        <v>825</v>
      </c>
      <c r="D3193" t="s">
        <v>827</v>
      </c>
      <c r="E3193" t="s">
        <v>826</v>
      </c>
      <c r="F3193" s="4">
        <v>918105</v>
      </c>
      <c r="G3193" s="4" t="s">
        <v>7</v>
      </c>
      <c r="H3193" t="str">
        <f>IFERROR(VLOOKUP(E3193,'GASB Match'!$A$2:$B$240,2,FALSE),"")</f>
        <v/>
      </c>
    </row>
    <row r="3194" spans="1:8" x14ac:dyDescent="0.2">
      <c r="A3194" t="s">
        <v>7</v>
      </c>
      <c r="B3194" s="3">
        <v>2021</v>
      </c>
      <c r="C3194" t="s">
        <v>825</v>
      </c>
      <c r="D3194" t="s">
        <v>827</v>
      </c>
      <c r="E3194" t="s">
        <v>826</v>
      </c>
      <c r="F3194" s="4">
        <v>863052</v>
      </c>
      <c r="G3194" s="4" t="s">
        <v>7</v>
      </c>
      <c r="H3194" t="str">
        <f>IFERROR(VLOOKUP(E3194,'GASB Match'!$A$2:$B$240,2,FALSE),"")</f>
        <v/>
      </c>
    </row>
    <row r="3195" spans="1:8" x14ac:dyDescent="0.2">
      <c r="A3195" t="s">
        <v>7</v>
      </c>
      <c r="B3195" s="3">
        <v>2022</v>
      </c>
      <c r="C3195" t="s">
        <v>825</v>
      </c>
      <c r="D3195" t="s">
        <v>826</v>
      </c>
      <c r="E3195" t="s">
        <v>826</v>
      </c>
      <c r="F3195" s="4">
        <v>966063</v>
      </c>
      <c r="G3195" s="4" t="s">
        <v>7</v>
      </c>
      <c r="H3195" t="str">
        <f>IFERROR(VLOOKUP(E3195,'GASB Match'!$A$2:$B$240,2,FALSE),"")</f>
        <v/>
      </c>
    </row>
    <row r="3196" spans="1:8" x14ac:dyDescent="0.2">
      <c r="A3196" t="s">
        <v>7</v>
      </c>
      <c r="B3196" s="3">
        <v>2023</v>
      </c>
      <c r="C3196" t="s">
        <v>825</v>
      </c>
      <c r="D3196" t="s">
        <v>826</v>
      </c>
      <c r="E3196" t="s">
        <v>826</v>
      </c>
      <c r="F3196" s="4">
        <v>1138792</v>
      </c>
      <c r="G3196" s="4" t="s">
        <v>7</v>
      </c>
      <c r="H3196" t="str">
        <f>IFERROR(VLOOKUP(E3196,'GASB Match'!$A$2:$B$240,2,FALSE),"")</f>
        <v/>
      </c>
    </row>
    <row r="3197" spans="1:8" x14ac:dyDescent="0.2">
      <c r="A3197">
        <v>1300256</v>
      </c>
      <c r="B3197" s="3">
        <v>2015</v>
      </c>
      <c r="C3197" t="s">
        <v>828</v>
      </c>
      <c r="D3197" t="s">
        <v>829</v>
      </c>
      <c r="E3197" t="s">
        <v>829</v>
      </c>
      <c r="F3197" s="4">
        <v>348353.62</v>
      </c>
      <c r="G3197" s="4" t="s">
        <v>7</v>
      </c>
      <c r="H3197">
        <f>IFERROR(VLOOKUP(E3197,'GASB Match'!$A$2:$B$240,2,FALSE),"")</f>
        <v>1300256</v>
      </c>
    </row>
    <row r="3198" spans="1:8" x14ac:dyDescent="0.2">
      <c r="A3198">
        <v>1300256</v>
      </c>
      <c r="B3198" s="3">
        <v>2016</v>
      </c>
      <c r="C3198" t="s">
        <v>828</v>
      </c>
      <c r="D3198" t="s">
        <v>829</v>
      </c>
      <c r="E3198" t="s">
        <v>829</v>
      </c>
      <c r="F3198" s="4">
        <v>387518.36</v>
      </c>
      <c r="G3198" s="4" t="s">
        <v>7</v>
      </c>
      <c r="H3198">
        <f>IFERROR(VLOOKUP(E3198,'GASB Match'!$A$2:$B$240,2,FALSE),"")</f>
        <v>1300256</v>
      </c>
    </row>
    <row r="3199" spans="1:8" x14ac:dyDescent="0.2">
      <c r="A3199">
        <v>1300256</v>
      </c>
      <c r="B3199" s="3">
        <v>2017</v>
      </c>
      <c r="C3199" t="s">
        <v>828</v>
      </c>
      <c r="D3199" t="s">
        <v>829</v>
      </c>
      <c r="E3199" t="s">
        <v>829</v>
      </c>
      <c r="F3199" s="4">
        <v>419253</v>
      </c>
      <c r="G3199" s="4" t="s">
        <v>7</v>
      </c>
      <c r="H3199">
        <f>IFERROR(VLOOKUP(E3199,'GASB Match'!$A$2:$B$240,2,FALSE),"")</f>
        <v>1300256</v>
      </c>
    </row>
    <row r="3200" spans="1:8" x14ac:dyDescent="0.2">
      <c r="A3200">
        <v>1300256</v>
      </c>
      <c r="B3200" s="3">
        <v>2018</v>
      </c>
      <c r="C3200" t="s">
        <v>828</v>
      </c>
      <c r="D3200" t="s">
        <v>829</v>
      </c>
      <c r="E3200" t="s">
        <v>829</v>
      </c>
      <c r="F3200" s="4">
        <v>561513</v>
      </c>
      <c r="G3200" s="4" t="s">
        <v>7</v>
      </c>
      <c r="H3200">
        <f>IFERROR(VLOOKUP(E3200,'GASB Match'!$A$2:$B$240,2,FALSE),"")</f>
        <v>1300256</v>
      </c>
    </row>
    <row r="3201" spans="1:8" x14ac:dyDescent="0.2">
      <c r="A3201">
        <v>1300256</v>
      </c>
      <c r="B3201" s="3">
        <v>2019</v>
      </c>
      <c r="C3201" t="s">
        <v>828</v>
      </c>
      <c r="D3201" t="s">
        <v>829</v>
      </c>
      <c r="E3201" t="s">
        <v>829</v>
      </c>
      <c r="F3201" s="4">
        <v>700377</v>
      </c>
      <c r="G3201" s="4" t="s">
        <v>7</v>
      </c>
      <c r="H3201">
        <f>IFERROR(VLOOKUP(E3201,'GASB Match'!$A$2:$B$240,2,FALSE),"")</f>
        <v>1300256</v>
      </c>
    </row>
    <row r="3202" spans="1:8" x14ac:dyDescent="0.2">
      <c r="A3202">
        <v>1300256</v>
      </c>
      <c r="B3202" s="3">
        <v>2020</v>
      </c>
      <c r="C3202" t="s">
        <v>828</v>
      </c>
      <c r="D3202" t="s">
        <v>829</v>
      </c>
      <c r="E3202" t="s">
        <v>829</v>
      </c>
      <c r="F3202" s="4">
        <v>874169</v>
      </c>
      <c r="G3202" s="4" t="s">
        <v>7</v>
      </c>
      <c r="H3202">
        <f>IFERROR(VLOOKUP(E3202,'GASB Match'!$A$2:$B$240,2,FALSE),"")</f>
        <v>1300256</v>
      </c>
    </row>
    <row r="3203" spans="1:8" x14ac:dyDescent="0.2">
      <c r="A3203">
        <v>1300256</v>
      </c>
      <c r="B3203" s="3">
        <v>2021</v>
      </c>
      <c r="C3203" t="s">
        <v>828</v>
      </c>
      <c r="D3203" t="s">
        <v>829</v>
      </c>
      <c r="E3203" t="s">
        <v>829</v>
      </c>
      <c r="F3203" s="4">
        <v>928830</v>
      </c>
      <c r="G3203" s="4" t="s">
        <v>7</v>
      </c>
      <c r="H3203">
        <f>IFERROR(VLOOKUP(E3203,'GASB Match'!$A$2:$B$240,2,FALSE),"")</f>
        <v>1300256</v>
      </c>
    </row>
    <row r="3204" spans="1:8" x14ac:dyDescent="0.2">
      <c r="A3204">
        <v>1300256</v>
      </c>
      <c r="B3204" s="3">
        <v>2022</v>
      </c>
      <c r="C3204" t="s">
        <v>828</v>
      </c>
      <c r="D3204" t="s">
        <v>829</v>
      </c>
      <c r="E3204" t="s">
        <v>829</v>
      </c>
      <c r="F3204" s="4">
        <v>1076841</v>
      </c>
      <c r="G3204" s="4" t="s">
        <v>7</v>
      </c>
      <c r="H3204">
        <f>IFERROR(VLOOKUP(E3204,'GASB Match'!$A$2:$B$240,2,FALSE),"")</f>
        <v>1300256</v>
      </c>
    </row>
    <row r="3205" spans="1:8" x14ac:dyDescent="0.2">
      <c r="A3205">
        <v>1300256</v>
      </c>
      <c r="B3205" s="3">
        <v>2023</v>
      </c>
      <c r="C3205" t="s">
        <v>828</v>
      </c>
      <c r="D3205" t="s">
        <v>829</v>
      </c>
      <c r="E3205" t="s">
        <v>829</v>
      </c>
      <c r="F3205" s="4">
        <v>1176744</v>
      </c>
      <c r="G3205" s="4" t="s">
        <v>7</v>
      </c>
      <c r="H3205">
        <f>IFERROR(VLOOKUP(E3205,'GASB Match'!$A$2:$B$240,2,FALSE),"")</f>
        <v>1300256</v>
      </c>
    </row>
    <row r="3206" spans="1:8" x14ac:dyDescent="0.2">
      <c r="A3206">
        <v>1300222</v>
      </c>
      <c r="B3206" s="3">
        <v>2015</v>
      </c>
      <c r="C3206" t="s">
        <v>830</v>
      </c>
      <c r="D3206" t="s">
        <v>832</v>
      </c>
      <c r="E3206" t="s">
        <v>831</v>
      </c>
      <c r="F3206" s="4">
        <v>250259.26</v>
      </c>
      <c r="G3206" s="4" t="s">
        <v>7</v>
      </c>
      <c r="H3206">
        <f>IFERROR(VLOOKUP(E3206,'GASB Match'!$A$2:$B$240,2,FALSE),"")</f>
        <v>1300222</v>
      </c>
    </row>
    <row r="3207" spans="1:8" x14ac:dyDescent="0.2">
      <c r="A3207">
        <v>1300222</v>
      </c>
      <c r="B3207" s="3">
        <v>2016</v>
      </c>
      <c r="C3207" t="s">
        <v>830</v>
      </c>
      <c r="D3207" t="s">
        <v>832</v>
      </c>
      <c r="E3207" t="s">
        <v>831</v>
      </c>
      <c r="F3207" s="4">
        <v>267589.46000000002</v>
      </c>
      <c r="G3207" s="4" t="s">
        <v>7</v>
      </c>
      <c r="H3207">
        <f>IFERROR(VLOOKUP(E3207,'GASB Match'!$A$2:$B$240,2,FALSE),"")</f>
        <v>1300222</v>
      </c>
    </row>
    <row r="3208" spans="1:8" x14ac:dyDescent="0.2">
      <c r="A3208">
        <v>1300222</v>
      </c>
      <c r="B3208" s="3">
        <v>2017</v>
      </c>
      <c r="C3208" t="s">
        <v>830</v>
      </c>
      <c r="D3208" t="s">
        <v>832</v>
      </c>
      <c r="E3208" t="s">
        <v>831</v>
      </c>
      <c r="F3208" s="4">
        <v>286240</v>
      </c>
      <c r="G3208" s="4" t="s">
        <v>7</v>
      </c>
      <c r="H3208">
        <f>IFERROR(VLOOKUP(E3208,'GASB Match'!$A$2:$B$240,2,FALSE),"")</f>
        <v>1300222</v>
      </c>
    </row>
    <row r="3209" spans="1:8" x14ac:dyDescent="0.2">
      <c r="A3209">
        <v>1300222</v>
      </c>
      <c r="B3209" s="3">
        <v>2018</v>
      </c>
      <c r="C3209" t="s">
        <v>830</v>
      </c>
      <c r="D3209" t="s">
        <v>832</v>
      </c>
      <c r="E3209" t="s">
        <v>831</v>
      </c>
      <c r="F3209" s="4">
        <v>472114</v>
      </c>
      <c r="G3209" s="4" t="s">
        <v>7</v>
      </c>
      <c r="H3209">
        <f>IFERROR(VLOOKUP(E3209,'GASB Match'!$A$2:$B$240,2,FALSE),"")</f>
        <v>1300222</v>
      </c>
    </row>
    <row r="3210" spans="1:8" x14ac:dyDescent="0.2">
      <c r="A3210">
        <v>1300222</v>
      </c>
      <c r="B3210" s="3">
        <v>2019</v>
      </c>
      <c r="C3210" t="s">
        <v>830</v>
      </c>
      <c r="D3210" t="s">
        <v>832</v>
      </c>
      <c r="E3210" t="s">
        <v>831</v>
      </c>
      <c r="F3210" s="4">
        <v>571646</v>
      </c>
      <c r="G3210" s="4" t="s">
        <v>7</v>
      </c>
      <c r="H3210">
        <f>IFERROR(VLOOKUP(E3210,'GASB Match'!$A$2:$B$240,2,FALSE),"")</f>
        <v>1300222</v>
      </c>
    </row>
    <row r="3211" spans="1:8" x14ac:dyDescent="0.2">
      <c r="A3211">
        <v>1300222</v>
      </c>
      <c r="B3211" s="3">
        <v>2020</v>
      </c>
      <c r="C3211" t="s">
        <v>830</v>
      </c>
      <c r="D3211" t="s">
        <v>832</v>
      </c>
      <c r="E3211" t="s">
        <v>831</v>
      </c>
      <c r="F3211" s="4">
        <v>613309</v>
      </c>
      <c r="G3211" s="4" t="s">
        <v>7</v>
      </c>
      <c r="H3211">
        <f>IFERROR(VLOOKUP(E3211,'GASB Match'!$A$2:$B$240,2,FALSE),"")</f>
        <v>1300222</v>
      </c>
    </row>
    <row r="3212" spans="1:8" x14ac:dyDescent="0.2">
      <c r="A3212">
        <v>1300222</v>
      </c>
      <c r="B3212" s="3">
        <v>2021</v>
      </c>
      <c r="C3212" t="s">
        <v>830</v>
      </c>
      <c r="D3212" t="s">
        <v>832</v>
      </c>
      <c r="E3212" t="s">
        <v>831</v>
      </c>
      <c r="F3212" s="4">
        <v>591020</v>
      </c>
      <c r="G3212" s="4" t="s">
        <v>7</v>
      </c>
      <c r="H3212">
        <f>IFERROR(VLOOKUP(E3212,'GASB Match'!$A$2:$B$240,2,FALSE),"")</f>
        <v>1300222</v>
      </c>
    </row>
    <row r="3213" spans="1:8" x14ac:dyDescent="0.2">
      <c r="A3213">
        <v>1300222</v>
      </c>
      <c r="B3213" s="3">
        <v>2022</v>
      </c>
      <c r="C3213" t="s">
        <v>830</v>
      </c>
      <c r="D3213" t="s">
        <v>831</v>
      </c>
      <c r="E3213" t="s">
        <v>831</v>
      </c>
      <c r="F3213" s="4">
        <v>661005</v>
      </c>
      <c r="G3213" s="4" t="s">
        <v>7</v>
      </c>
      <c r="H3213">
        <f>IFERROR(VLOOKUP(E3213,'GASB Match'!$A$2:$B$240,2,FALSE),"")</f>
        <v>1300222</v>
      </c>
    </row>
    <row r="3214" spans="1:8" x14ac:dyDescent="0.2">
      <c r="A3214">
        <v>1300222</v>
      </c>
      <c r="B3214" s="3">
        <v>2023</v>
      </c>
      <c r="C3214" t="s">
        <v>830</v>
      </c>
      <c r="D3214" t="s">
        <v>831</v>
      </c>
      <c r="E3214" t="s">
        <v>831</v>
      </c>
      <c r="F3214" s="4">
        <v>669282</v>
      </c>
      <c r="G3214" s="4" t="s">
        <v>7</v>
      </c>
      <c r="H3214">
        <f>IFERROR(VLOOKUP(E3214,'GASB Match'!$A$2:$B$240,2,FALSE),"")</f>
        <v>1300222</v>
      </c>
    </row>
    <row r="3215" spans="1:8" x14ac:dyDescent="0.2">
      <c r="A3215" t="s">
        <v>7</v>
      </c>
      <c r="B3215" s="3">
        <v>2016</v>
      </c>
      <c r="C3215" t="s">
        <v>833</v>
      </c>
      <c r="D3215" t="s">
        <v>834</v>
      </c>
      <c r="E3215" t="s">
        <v>834</v>
      </c>
      <c r="F3215" s="4">
        <v>684.66</v>
      </c>
      <c r="G3215" s="4" t="s">
        <v>7</v>
      </c>
      <c r="H3215" t="str">
        <f>IFERROR(VLOOKUP(E3215,'GASB Match'!$A$2:$B$240,2,FALSE),"")</f>
        <v/>
      </c>
    </row>
    <row r="3216" spans="1:8" x14ac:dyDescent="0.2">
      <c r="A3216" t="s">
        <v>7</v>
      </c>
      <c r="B3216" s="3">
        <v>2015</v>
      </c>
      <c r="C3216" t="s">
        <v>835</v>
      </c>
      <c r="D3216" t="s">
        <v>837</v>
      </c>
      <c r="E3216" t="s">
        <v>836</v>
      </c>
      <c r="F3216" s="4">
        <v>510607.93</v>
      </c>
      <c r="G3216" s="4" t="s">
        <v>7</v>
      </c>
      <c r="H3216" t="str">
        <f>IFERROR(VLOOKUP(E3216,'GASB Match'!$A$2:$B$240,2,FALSE),"")</f>
        <v/>
      </c>
    </row>
    <row r="3217" spans="1:8" x14ac:dyDescent="0.2">
      <c r="A3217" t="s">
        <v>7</v>
      </c>
      <c r="B3217" s="3">
        <v>2016</v>
      </c>
      <c r="C3217" t="s">
        <v>835</v>
      </c>
      <c r="D3217" t="s">
        <v>837</v>
      </c>
      <c r="E3217" t="s">
        <v>836</v>
      </c>
      <c r="F3217" s="4">
        <v>617008.61</v>
      </c>
      <c r="G3217" s="4" t="s">
        <v>7</v>
      </c>
      <c r="H3217" t="str">
        <f>IFERROR(VLOOKUP(E3217,'GASB Match'!$A$2:$B$240,2,FALSE),"")</f>
        <v/>
      </c>
    </row>
    <row r="3218" spans="1:8" x14ac:dyDescent="0.2">
      <c r="A3218" t="s">
        <v>7</v>
      </c>
      <c r="B3218" s="3">
        <v>2017</v>
      </c>
      <c r="C3218" t="s">
        <v>835</v>
      </c>
      <c r="D3218" t="s">
        <v>837</v>
      </c>
      <c r="E3218" t="s">
        <v>836</v>
      </c>
      <c r="F3218" s="4">
        <v>715017</v>
      </c>
      <c r="G3218" s="4" t="s">
        <v>7</v>
      </c>
      <c r="H3218" t="str">
        <f>IFERROR(VLOOKUP(E3218,'GASB Match'!$A$2:$B$240,2,FALSE),"")</f>
        <v/>
      </c>
    </row>
    <row r="3219" spans="1:8" x14ac:dyDescent="0.2">
      <c r="A3219" t="s">
        <v>7</v>
      </c>
      <c r="B3219" s="3">
        <v>2018</v>
      </c>
      <c r="C3219" t="s">
        <v>835</v>
      </c>
      <c r="D3219" t="s">
        <v>837</v>
      </c>
      <c r="E3219" t="s">
        <v>836</v>
      </c>
      <c r="F3219" s="4">
        <v>883342</v>
      </c>
      <c r="G3219" s="4" t="s">
        <v>7</v>
      </c>
      <c r="H3219" t="str">
        <f>IFERROR(VLOOKUP(E3219,'GASB Match'!$A$2:$B$240,2,FALSE),"")</f>
        <v/>
      </c>
    </row>
    <row r="3220" spans="1:8" x14ac:dyDescent="0.2">
      <c r="A3220" t="s">
        <v>7</v>
      </c>
      <c r="B3220" s="3">
        <v>2019</v>
      </c>
      <c r="C3220" t="s">
        <v>835</v>
      </c>
      <c r="D3220" t="s">
        <v>837</v>
      </c>
      <c r="E3220" t="s">
        <v>836</v>
      </c>
      <c r="F3220" s="4">
        <v>1116184</v>
      </c>
      <c r="G3220" s="4" t="s">
        <v>7</v>
      </c>
      <c r="H3220" t="str">
        <f>IFERROR(VLOOKUP(E3220,'GASB Match'!$A$2:$B$240,2,FALSE),"")</f>
        <v/>
      </c>
    </row>
    <row r="3221" spans="1:8" x14ac:dyDescent="0.2">
      <c r="A3221" t="s">
        <v>7</v>
      </c>
      <c r="B3221" s="3">
        <v>2020</v>
      </c>
      <c r="C3221" t="s">
        <v>835</v>
      </c>
      <c r="D3221" t="s">
        <v>837</v>
      </c>
      <c r="E3221" t="s">
        <v>836</v>
      </c>
      <c r="F3221" s="4">
        <v>1255564</v>
      </c>
      <c r="G3221" s="4" t="s">
        <v>7</v>
      </c>
      <c r="H3221" t="str">
        <f>IFERROR(VLOOKUP(E3221,'GASB Match'!$A$2:$B$240,2,FALSE),"")</f>
        <v/>
      </c>
    </row>
    <row r="3222" spans="1:8" x14ac:dyDescent="0.2">
      <c r="A3222" t="s">
        <v>7</v>
      </c>
      <c r="B3222" s="3">
        <v>2021</v>
      </c>
      <c r="C3222" t="s">
        <v>835</v>
      </c>
      <c r="D3222" t="s">
        <v>837</v>
      </c>
      <c r="E3222" t="s">
        <v>836</v>
      </c>
      <c r="F3222" s="4">
        <v>1198359</v>
      </c>
      <c r="G3222" s="4" t="s">
        <v>7</v>
      </c>
      <c r="H3222" t="str">
        <f>IFERROR(VLOOKUP(E3222,'GASB Match'!$A$2:$B$240,2,FALSE),"")</f>
        <v/>
      </c>
    </row>
    <row r="3223" spans="1:8" x14ac:dyDescent="0.2">
      <c r="A3223" t="s">
        <v>7</v>
      </c>
      <c r="B3223" s="3">
        <v>2022</v>
      </c>
      <c r="C3223" t="s">
        <v>835</v>
      </c>
      <c r="D3223" t="s">
        <v>836</v>
      </c>
      <c r="E3223" t="s">
        <v>836</v>
      </c>
      <c r="F3223" s="4">
        <v>1270427</v>
      </c>
      <c r="G3223" s="4" t="s">
        <v>7</v>
      </c>
      <c r="H3223" t="str">
        <f>IFERROR(VLOOKUP(E3223,'GASB Match'!$A$2:$B$240,2,FALSE),"")</f>
        <v/>
      </c>
    </row>
    <row r="3224" spans="1:8" x14ac:dyDescent="0.2">
      <c r="A3224" t="s">
        <v>7</v>
      </c>
      <c r="B3224" s="3">
        <v>2023</v>
      </c>
      <c r="C3224" t="s">
        <v>835</v>
      </c>
      <c r="D3224" t="s">
        <v>836</v>
      </c>
      <c r="E3224" t="s">
        <v>836</v>
      </c>
      <c r="F3224" s="4">
        <v>1322903</v>
      </c>
      <c r="G3224" s="4" t="s">
        <v>7</v>
      </c>
      <c r="H3224" t="str">
        <f>IFERROR(VLOOKUP(E3224,'GASB Match'!$A$2:$B$240,2,FALSE),"")</f>
        <v/>
      </c>
    </row>
    <row r="3225" spans="1:8" x14ac:dyDescent="0.2">
      <c r="A3225">
        <v>1300249</v>
      </c>
      <c r="B3225" s="3">
        <v>2015</v>
      </c>
      <c r="C3225" t="s">
        <v>838</v>
      </c>
      <c r="D3225" t="s">
        <v>840</v>
      </c>
      <c r="E3225" t="s">
        <v>839</v>
      </c>
      <c r="F3225" s="4">
        <v>365844.22</v>
      </c>
      <c r="G3225" s="4" t="s">
        <v>7</v>
      </c>
      <c r="H3225">
        <f>IFERROR(VLOOKUP(E3225,'GASB Match'!$A$2:$B$240,2,FALSE),"")</f>
        <v>1300249</v>
      </c>
    </row>
    <row r="3226" spans="1:8" x14ac:dyDescent="0.2">
      <c r="A3226">
        <v>1300249</v>
      </c>
      <c r="B3226" s="3">
        <v>2016</v>
      </c>
      <c r="C3226" t="s">
        <v>838</v>
      </c>
      <c r="D3226" t="s">
        <v>841</v>
      </c>
      <c r="E3226" t="s">
        <v>839</v>
      </c>
      <c r="F3226" s="4">
        <v>424528.23</v>
      </c>
      <c r="G3226" s="4" t="s">
        <v>7</v>
      </c>
      <c r="H3226">
        <f>IFERROR(VLOOKUP(E3226,'GASB Match'!$A$2:$B$240,2,FALSE),"")</f>
        <v>1300249</v>
      </c>
    </row>
    <row r="3227" spans="1:8" x14ac:dyDescent="0.2">
      <c r="A3227">
        <v>1300249</v>
      </c>
      <c r="B3227" s="3">
        <v>2017</v>
      </c>
      <c r="C3227" t="s">
        <v>838</v>
      </c>
      <c r="D3227" t="s">
        <v>840</v>
      </c>
      <c r="E3227" t="s">
        <v>839</v>
      </c>
      <c r="F3227" s="4">
        <v>463917</v>
      </c>
      <c r="G3227" s="4" t="s">
        <v>7</v>
      </c>
      <c r="H3227">
        <f>IFERROR(VLOOKUP(E3227,'GASB Match'!$A$2:$B$240,2,FALSE),"")</f>
        <v>1300249</v>
      </c>
    </row>
    <row r="3228" spans="1:8" x14ac:dyDescent="0.2">
      <c r="A3228">
        <v>1300249</v>
      </c>
      <c r="B3228" s="3">
        <v>2018</v>
      </c>
      <c r="C3228" t="s">
        <v>838</v>
      </c>
      <c r="D3228" t="s">
        <v>840</v>
      </c>
      <c r="E3228" t="s">
        <v>839</v>
      </c>
      <c r="F3228" s="4">
        <v>353234</v>
      </c>
      <c r="G3228" s="4" t="s">
        <v>7</v>
      </c>
      <c r="H3228">
        <f>IFERROR(VLOOKUP(E3228,'GASB Match'!$A$2:$B$240,2,FALSE),"")</f>
        <v>1300249</v>
      </c>
    </row>
    <row r="3229" spans="1:8" x14ac:dyDescent="0.2">
      <c r="A3229">
        <v>1300249</v>
      </c>
      <c r="B3229" s="3">
        <v>2019</v>
      </c>
      <c r="C3229" t="s">
        <v>838</v>
      </c>
      <c r="D3229" t="s">
        <v>840</v>
      </c>
      <c r="E3229" t="s">
        <v>839</v>
      </c>
      <c r="F3229" s="4">
        <v>428801</v>
      </c>
      <c r="G3229" s="4" t="s">
        <v>7</v>
      </c>
      <c r="H3229">
        <f>IFERROR(VLOOKUP(E3229,'GASB Match'!$A$2:$B$240,2,FALSE),"")</f>
        <v>1300249</v>
      </c>
    </row>
    <row r="3230" spans="1:8" x14ac:dyDescent="0.2">
      <c r="A3230">
        <v>1300249</v>
      </c>
      <c r="B3230" s="3">
        <v>2020</v>
      </c>
      <c r="C3230" t="s">
        <v>838</v>
      </c>
      <c r="D3230" t="s">
        <v>840</v>
      </c>
      <c r="E3230" t="s">
        <v>839</v>
      </c>
      <c r="F3230" s="4">
        <v>395699</v>
      </c>
      <c r="G3230" s="4" t="s">
        <v>7</v>
      </c>
      <c r="H3230">
        <f>IFERROR(VLOOKUP(E3230,'GASB Match'!$A$2:$B$240,2,FALSE),"")</f>
        <v>1300249</v>
      </c>
    </row>
    <row r="3231" spans="1:8" x14ac:dyDescent="0.2">
      <c r="A3231">
        <v>1300249</v>
      </c>
      <c r="B3231" s="3">
        <v>2021</v>
      </c>
      <c r="C3231" t="s">
        <v>838</v>
      </c>
      <c r="D3231" t="s">
        <v>840</v>
      </c>
      <c r="E3231" t="s">
        <v>839</v>
      </c>
      <c r="F3231" s="4">
        <v>363060</v>
      </c>
      <c r="G3231" s="4" t="s">
        <v>7</v>
      </c>
      <c r="H3231">
        <f>IFERROR(VLOOKUP(E3231,'GASB Match'!$A$2:$B$240,2,FALSE),"")</f>
        <v>1300249</v>
      </c>
    </row>
    <row r="3232" spans="1:8" x14ac:dyDescent="0.2">
      <c r="A3232">
        <v>1300249</v>
      </c>
      <c r="B3232" s="3">
        <v>2022</v>
      </c>
      <c r="C3232" t="s">
        <v>838</v>
      </c>
      <c r="D3232" t="s">
        <v>839</v>
      </c>
      <c r="E3232" t="s">
        <v>839</v>
      </c>
      <c r="F3232" s="4">
        <v>400818</v>
      </c>
      <c r="G3232" s="4" t="s">
        <v>7</v>
      </c>
      <c r="H3232">
        <f>IFERROR(VLOOKUP(E3232,'GASB Match'!$A$2:$B$240,2,FALSE),"")</f>
        <v>1300249</v>
      </c>
    </row>
    <row r="3233" spans="1:8" x14ac:dyDescent="0.2">
      <c r="A3233">
        <v>1300249</v>
      </c>
      <c r="B3233" s="3">
        <v>2023</v>
      </c>
      <c r="C3233" t="s">
        <v>838</v>
      </c>
      <c r="D3233" t="s">
        <v>839</v>
      </c>
      <c r="E3233" t="s">
        <v>839</v>
      </c>
      <c r="F3233" s="4">
        <v>425469</v>
      </c>
      <c r="G3233" s="4" t="s">
        <v>7</v>
      </c>
      <c r="H3233">
        <f>IFERROR(VLOOKUP(E3233,'GASB Match'!$A$2:$B$240,2,FALSE),"")</f>
        <v>1300249</v>
      </c>
    </row>
    <row r="3234" spans="1:8" x14ac:dyDescent="0.2">
      <c r="A3234" t="s">
        <v>7</v>
      </c>
      <c r="B3234" s="3">
        <v>2015</v>
      </c>
      <c r="C3234" t="s">
        <v>842</v>
      </c>
      <c r="D3234" t="s">
        <v>843</v>
      </c>
      <c r="E3234" t="s">
        <v>843</v>
      </c>
      <c r="F3234" s="4">
        <v>89920.53</v>
      </c>
      <c r="G3234" s="4" t="s">
        <v>7</v>
      </c>
      <c r="H3234" t="str">
        <f>IFERROR(VLOOKUP(E3234,'GASB Match'!$A$2:$B$240,2,FALSE),"")</f>
        <v/>
      </c>
    </row>
    <row r="3235" spans="1:8" x14ac:dyDescent="0.2">
      <c r="A3235" t="s">
        <v>7</v>
      </c>
      <c r="B3235" s="3">
        <v>2016</v>
      </c>
      <c r="C3235" t="s">
        <v>842</v>
      </c>
      <c r="D3235" t="s">
        <v>843</v>
      </c>
      <c r="E3235" t="s">
        <v>843</v>
      </c>
      <c r="F3235" s="4">
        <v>102469.2</v>
      </c>
      <c r="G3235" s="4" t="s">
        <v>7</v>
      </c>
      <c r="H3235" t="str">
        <f>IFERROR(VLOOKUP(E3235,'GASB Match'!$A$2:$B$240,2,FALSE),"")</f>
        <v/>
      </c>
    </row>
    <row r="3236" spans="1:8" x14ac:dyDescent="0.2">
      <c r="A3236" t="s">
        <v>7</v>
      </c>
      <c r="B3236" s="3">
        <v>2017</v>
      </c>
      <c r="C3236" t="s">
        <v>842</v>
      </c>
      <c r="D3236" t="s">
        <v>843</v>
      </c>
      <c r="E3236" t="s">
        <v>843</v>
      </c>
      <c r="F3236" s="4">
        <v>147929</v>
      </c>
      <c r="G3236" s="4" t="s">
        <v>7</v>
      </c>
      <c r="H3236" t="str">
        <f>IFERROR(VLOOKUP(E3236,'GASB Match'!$A$2:$B$240,2,FALSE),"")</f>
        <v/>
      </c>
    </row>
    <row r="3237" spans="1:8" x14ac:dyDescent="0.2">
      <c r="A3237" t="s">
        <v>7</v>
      </c>
      <c r="B3237" s="3">
        <v>2018</v>
      </c>
      <c r="C3237" t="s">
        <v>842</v>
      </c>
      <c r="D3237" t="s">
        <v>843</v>
      </c>
      <c r="E3237" t="s">
        <v>843</v>
      </c>
      <c r="F3237" s="4">
        <v>248693</v>
      </c>
      <c r="G3237" s="4" t="s">
        <v>7</v>
      </c>
      <c r="H3237" t="str">
        <f>IFERROR(VLOOKUP(E3237,'GASB Match'!$A$2:$B$240,2,FALSE),"")</f>
        <v/>
      </c>
    </row>
    <row r="3238" spans="1:8" x14ac:dyDescent="0.2">
      <c r="A3238">
        <v>1300228</v>
      </c>
      <c r="B3238" s="3">
        <v>2015</v>
      </c>
      <c r="C3238" t="s">
        <v>844</v>
      </c>
      <c r="D3238" t="s">
        <v>845</v>
      </c>
      <c r="E3238" t="s">
        <v>845</v>
      </c>
      <c r="F3238" s="4"/>
      <c r="G3238" s="4" t="s">
        <v>7</v>
      </c>
      <c r="H3238">
        <f>IFERROR(VLOOKUP(E3238,'GASB Match'!$A$2:$B$240,2,FALSE),"")</f>
        <v>1300228</v>
      </c>
    </row>
    <row r="3239" spans="1:8" x14ac:dyDescent="0.2">
      <c r="A3239" t="s">
        <v>7</v>
      </c>
      <c r="B3239" s="3">
        <v>2015</v>
      </c>
      <c r="C3239" t="s">
        <v>846</v>
      </c>
      <c r="D3239" t="s">
        <v>847</v>
      </c>
      <c r="E3239" t="s">
        <v>847</v>
      </c>
      <c r="F3239" s="4">
        <v>255357.84</v>
      </c>
      <c r="G3239" s="4" t="s">
        <v>7</v>
      </c>
      <c r="H3239" t="str">
        <f>IFERROR(VLOOKUP(E3239,'GASB Match'!$A$2:$B$240,2,FALSE),"")</f>
        <v/>
      </c>
    </row>
    <row r="3240" spans="1:8" x14ac:dyDescent="0.2">
      <c r="A3240" t="s">
        <v>7</v>
      </c>
      <c r="B3240" s="3">
        <v>2016</v>
      </c>
      <c r="C3240" t="s">
        <v>846</v>
      </c>
      <c r="D3240" t="s">
        <v>847</v>
      </c>
      <c r="E3240" t="s">
        <v>847</v>
      </c>
      <c r="F3240" s="4"/>
      <c r="G3240" s="4" t="s">
        <v>7</v>
      </c>
      <c r="H3240" t="str">
        <f>IFERROR(VLOOKUP(E3240,'GASB Match'!$A$2:$B$240,2,FALSE),"")</f>
        <v/>
      </c>
    </row>
    <row r="3241" spans="1:8" x14ac:dyDescent="0.2">
      <c r="A3241" t="s">
        <v>7</v>
      </c>
      <c r="B3241" s="3">
        <v>2015</v>
      </c>
      <c r="C3241" t="s">
        <v>848</v>
      </c>
      <c r="D3241" t="s">
        <v>849</v>
      </c>
      <c r="E3241" t="s">
        <v>849</v>
      </c>
      <c r="F3241" s="4">
        <v>13287.49</v>
      </c>
      <c r="G3241" s="4" t="s">
        <v>7</v>
      </c>
      <c r="H3241" t="str">
        <f>IFERROR(VLOOKUP(E3241,'GASB Match'!$A$2:$B$240,2,FALSE),"")</f>
        <v/>
      </c>
    </row>
    <row r="3242" spans="1:8" x14ac:dyDescent="0.2">
      <c r="A3242" t="s">
        <v>7</v>
      </c>
      <c r="B3242" s="3">
        <v>2016</v>
      </c>
      <c r="C3242" t="s">
        <v>848</v>
      </c>
      <c r="D3242" t="s">
        <v>849</v>
      </c>
      <c r="E3242" t="s">
        <v>849</v>
      </c>
      <c r="F3242" s="4">
        <v>16591.919999999998</v>
      </c>
      <c r="G3242" s="4" t="s">
        <v>7</v>
      </c>
      <c r="H3242" t="str">
        <f>IFERROR(VLOOKUP(E3242,'GASB Match'!$A$2:$B$240,2,FALSE),"")</f>
        <v/>
      </c>
    </row>
    <row r="3243" spans="1:8" x14ac:dyDescent="0.2">
      <c r="A3243" t="s">
        <v>7</v>
      </c>
      <c r="B3243" s="3">
        <v>2017</v>
      </c>
      <c r="C3243" t="s">
        <v>848</v>
      </c>
      <c r="D3243" t="s">
        <v>849</v>
      </c>
      <c r="E3243" t="s">
        <v>849</v>
      </c>
      <c r="F3243" s="4">
        <v>18508</v>
      </c>
      <c r="G3243" s="4" t="s">
        <v>7</v>
      </c>
      <c r="H3243" t="str">
        <f>IFERROR(VLOOKUP(E3243,'GASB Match'!$A$2:$B$240,2,FALSE),"")</f>
        <v/>
      </c>
    </row>
    <row r="3244" spans="1:8" x14ac:dyDescent="0.2">
      <c r="A3244" t="s">
        <v>7</v>
      </c>
      <c r="B3244" s="3">
        <v>2018</v>
      </c>
      <c r="C3244" t="s">
        <v>848</v>
      </c>
      <c r="D3244" t="s">
        <v>849</v>
      </c>
      <c r="E3244" t="s">
        <v>849</v>
      </c>
      <c r="F3244" s="4">
        <v>12670</v>
      </c>
      <c r="G3244" s="4" t="s">
        <v>7</v>
      </c>
      <c r="H3244" t="str">
        <f>IFERROR(VLOOKUP(E3244,'GASB Match'!$A$2:$B$240,2,FALSE),"")</f>
        <v/>
      </c>
    </row>
    <row r="3245" spans="1:8" x14ac:dyDescent="0.2">
      <c r="A3245" t="s">
        <v>7</v>
      </c>
      <c r="B3245" s="3">
        <v>2019</v>
      </c>
      <c r="C3245" t="s">
        <v>848</v>
      </c>
      <c r="D3245" t="s">
        <v>849</v>
      </c>
      <c r="E3245" t="s">
        <v>849</v>
      </c>
      <c r="F3245" s="4">
        <v>11630</v>
      </c>
      <c r="G3245" s="4" t="s">
        <v>7</v>
      </c>
      <c r="H3245" t="str">
        <f>IFERROR(VLOOKUP(E3245,'GASB Match'!$A$2:$B$240,2,FALSE),"")</f>
        <v/>
      </c>
    </row>
    <row r="3246" spans="1:8" x14ac:dyDescent="0.2">
      <c r="A3246" t="s">
        <v>7</v>
      </c>
      <c r="B3246" s="3">
        <v>2023</v>
      </c>
      <c r="C3246" t="s">
        <v>850</v>
      </c>
      <c r="D3246" t="s">
        <v>851</v>
      </c>
      <c r="E3246" t="s">
        <v>851</v>
      </c>
      <c r="F3246" s="4">
        <v>97852</v>
      </c>
      <c r="G3246" s="4" t="s">
        <v>7</v>
      </c>
      <c r="H3246" t="str">
        <f>IFERROR(VLOOKUP(E3246,'GASB Match'!$A$2:$B$240,2,FALSE),"")</f>
        <v/>
      </c>
    </row>
    <row r="3247" spans="1:8" x14ac:dyDescent="0.2">
      <c r="A3247">
        <v>1300214</v>
      </c>
      <c r="B3247" s="3">
        <v>2015</v>
      </c>
      <c r="C3247" t="s">
        <v>852</v>
      </c>
      <c r="D3247" t="s">
        <v>853</v>
      </c>
      <c r="E3247" t="s">
        <v>853</v>
      </c>
      <c r="F3247" s="4">
        <v>167715.44</v>
      </c>
      <c r="G3247" s="4" t="s">
        <v>7</v>
      </c>
      <c r="H3247">
        <f>IFERROR(VLOOKUP(E3247,'GASB Match'!$A$2:$B$240,2,FALSE),"")</f>
        <v>1300214</v>
      </c>
    </row>
    <row r="3248" spans="1:8" x14ac:dyDescent="0.2">
      <c r="A3248">
        <v>1300214</v>
      </c>
      <c r="B3248" s="3">
        <v>2016</v>
      </c>
      <c r="C3248" t="s">
        <v>852</v>
      </c>
      <c r="D3248" t="s">
        <v>853</v>
      </c>
      <c r="E3248" t="s">
        <v>853</v>
      </c>
      <c r="F3248" s="4">
        <v>206867.77</v>
      </c>
      <c r="G3248" s="4" t="s">
        <v>7</v>
      </c>
      <c r="H3248">
        <f>IFERROR(VLOOKUP(E3248,'GASB Match'!$A$2:$B$240,2,FALSE),"")</f>
        <v>1300214</v>
      </c>
    </row>
    <row r="3249" spans="1:8" x14ac:dyDescent="0.2">
      <c r="A3249">
        <v>1300214</v>
      </c>
      <c r="B3249" s="3">
        <v>2017</v>
      </c>
      <c r="C3249" t="s">
        <v>852</v>
      </c>
      <c r="D3249" t="s">
        <v>853</v>
      </c>
      <c r="E3249" t="s">
        <v>853</v>
      </c>
      <c r="F3249" s="4">
        <v>239342</v>
      </c>
      <c r="G3249" s="4" t="s">
        <v>7</v>
      </c>
      <c r="H3249">
        <f>IFERROR(VLOOKUP(E3249,'GASB Match'!$A$2:$B$240,2,FALSE),"")</f>
        <v>1300214</v>
      </c>
    </row>
    <row r="3250" spans="1:8" x14ac:dyDescent="0.2">
      <c r="A3250">
        <v>1300214</v>
      </c>
      <c r="B3250" s="3">
        <v>2018</v>
      </c>
      <c r="C3250" t="s">
        <v>852</v>
      </c>
      <c r="D3250" t="s">
        <v>853</v>
      </c>
      <c r="E3250" t="s">
        <v>853</v>
      </c>
      <c r="F3250" s="4">
        <v>372274</v>
      </c>
      <c r="G3250" s="4" t="s">
        <v>7</v>
      </c>
      <c r="H3250">
        <f>IFERROR(VLOOKUP(E3250,'GASB Match'!$A$2:$B$240,2,FALSE),"")</f>
        <v>1300214</v>
      </c>
    </row>
    <row r="3251" spans="1:8" x14ac:dyDescent="0.2">
      <c r="A3251">
        <v>1300214</v>
      </c>
      <c r="B3251" s="3">
        <v>2019</v>
      </c>
      <c r="C3251" t="s">
        <v>852</v>
      </c>
      <c r="D3251" t="s">
        <v>853</v>
      </c>
      <c r="E3251" t="s">
        <v>853</v>
      </c>
      <c r="F3251" s="4">
        <v>559258</v>
      </c>
      <c r="G3251" s="4" t="s">
        <v>7</v>
      </c>
      <c r="H3251">
        <f>IFERROR(VLOOKUP(E3251,'GASB Match'!$A$2:$B$240,2,FALSE),"")</f>
        <v>1300214</v>
      </c>
    </row>
    <row r="3252" spans="1:8" x14ac:dyDescent="0.2">
      <c r="A3252">
        <v>1300214</v>
      </c>
      <c r="B3252" s="3">
        <v>2020</v>
      </c>
      <c r="C3252" t="s">
        <v>852</v>
      </c>
      <c r="D3252" t="s">
        <v>853</v>
      </c>
      <c r="E3252" t="s">
        <v>853</v>
      </c>
      <c r="F3252" s="4">
        <v>674885</v>
      </c>
      <c r="G3252" s="4" t="s">
        <v>7</v>
      </c>
      <c r="H3252">
        <f>IFERROR(VLOOKUP(E3252,'GASB Match'!$A$2:$B$240,2,FALSE),"")</f>
        <v>1300214</v>
      </c>
    </row>
    <row r="3253" spans="1:8" x14ac:dyDescent="0.2">
      <c r="A3253">
        <v>1300214</v>
      </c>
      <c r="B3253" s="3">
        <v>2021</v>
      </c>
      <c r="C3253" t="s">
        <v>852</v>
      </c>
      <c r="D3253" t="s">
        <v>853</v>
      </c>
      <c r="E3253" t="s">
        <v>853</v>
      </c>
      <c r="F3253" s="4">
        <v>625851</v>
      </c>
      <c r="G3253" s="4" t="s">
        <v>7</v>
      </c>
      <c r="H3253">
        <f>IFERROR(VLOOKUP(E3253,'GASB Match'!$A$2:$B$240,2,FALSE),"")</f>
        <v>1300214</v>
      </c>
    </row>
    <row r="3254" spans="1:8" x14ac:dyDescent="0.2">
      <c r="A3254">
        <v>1300214</v>
      </c>
      <c r="B3254" s="3">
        <v>2022</v>
      </c>
      <c r="C3254" t="s">
        <v>852</v>
      </c>
      <c r="D3254" t="s">
        <v>853</v>
      </c>
      <c r="E3254" t="s">
        <v>853</v>
      </c>
      <c r="F3254" s="4">
        <v>684549</v>
      </c>
      <c r="G3254" s="4" t="s">
        <v>7</v>
      </c>
      <c r="H3254">
        <f>IFERROR(VLOOKUP(E3254,'GASB Match'!$A$2:$B$240,2,FALSE),"")</f>
        <v>1300214</v>
      </c>
    </row>
    <row r="3255" spans="1:8" x14ac:dyDescent="0.2">
      <c r="A3255">
        <v>1300214</v>
      </c>
      <c r="B3255" s="3">
        <v>2023</v>
      </c>
      <c r="C3255" t="s">
        <v>852</v>
      </c>
      <c r="D3255" t="s">
        <v>853</v>
      </c>
      <c r="E3255" t="s">
        <v>853</v>
      </c>
      <c r="F3255" s="4">
        <v>549499</v>
      </c>
      <c r="G3255" s="4" t="s">
        <v>7</v>
      </c>
      <c r="H3255">
        <f>IFERROR(VLOOKUP(E3255,'GASB Match'!$A$2:$B$240,2,FALSE),"")</f>
        <v>1300214</v>
      </c>
    </row>
    <row r="3256" spans="1:8" x14ac:dyDescent="0.2">
      <c r="A3256" t="s">
        <v>7</v>
      </c>
      <c r="B3256" s="3">
        <v>2015</v>
      </c>
      <c r="C3256" t="s">
        <v>854</v>
      </c>
      <c r="D3256" t="s">
        <v>855</v>
      </c>
      <c r="E3256" t="s">
        <v>855</v>
      </c>
      <c r="F3256" s="4">
        <v>1166351.6299999999</v>
      </c>
      <c r="G3256" s="4" t="s">
        <v>7</v>
      </c>
      <c r="H3256" t="str">
        <f>IFERROR(VLOOKUP(E3256,'GASB Match'!$A$2:$B$240,2,FALSE),"")</f>
        <v/>
      </c>
    </row>
    <row r="3257" spans="1:8" x14ac:dyDescent="0.2">
      <c r="A3257" t="s">
        <v>7</v>
      </c>
      <c r="B3257" s="3">
        <v>2016</v>
      </c>
      <c r="C3257" t="s">
        <v>854</v>
      </c>
      <c r="D3257" t="s">
        <v>855</v>
      </c>
      <c r="E3257" t="s">
        <v>855</v>
      </c>
      <c r="F3257" s="4">
        <v>1472086.62</v>
      </c>
      <c r="G3257" s="4" t="s">
        <v>7</v>
      </c>
      <c r="H3257" t="str">
        <f>IFERROR(VLOOKUP(E3257,'GASB Match'!$A$2:$B$240,2,FALSE),"")</f>
        <v/>
      </c>
    </row>
    <row r="3258" spans="1:8" x14ac:dyDescent="0.2">
      <c r="A3258" t="s">
        <v>7</v>
      </c>
      <c r="B3258" s="3">
        <v>2017</v>
      </c>
      <c r="C3258" t="s">
        <v>854</v>
      </c>
      <c r="D3258" t="s">
        <v>855</v>
      </c>
      <c r="E3258" t="s">
        <v>855</v>
      </c>
      <c r="F3258" s="4">
        <v>1758124</v>
      </c>
      <c r="G3258" s="4" t="s">
        <v>7</v>
      </c>
      <c r="H3258" t="str">
        <f>IFERROR(VLOOKUP(E3258,'GASB Match'!$A$2:$B$240,2,FALSE),"")</f>
        <v/>
      </c>
    </row>
    <row r="3259" spans="1:8" x14ac:dyDescent="0.2">
      <c r="A3259" t="s">
        <v>7</v>
      </c>
      <c r="B3259" s="3">
        <v>2018</v>
      </c>
      <c r="C3259" t="s">
        <v>854</v>
      </c>
      <c r="D3259" t="s">
        <v>855</v>
      </c>
      <c r="E3259" t="s">
        <v>855</v>
      </c>
      <c r="F3259" s="4">
        <v>2307719</v>
      </c>
      <c r="G3259" s="4" t="s">
        <v>7</v>
      </c>
      <c r="H3259" t="str">
        <f>IFERROR(VLOOKUP(E3259,'GASB Match'!$A$2:$B$240,2,FALSE),"")</f>
        <v/>
      </c>
    </row>
    <row r="3260" spans="1:8" x14ac:dyDescent="0.2">
      <c r="A3260" t="s">
        <v>7</v>
      </c>
      <c r="B3260" s="3">
        <v>2019</v>
      </c>
      <c r="C3260" t="s">
        <v>854</v>
      </c>
      <c r="D3260" t="s">
        <v>855</v>
      </c>
      <c r="E3260" t="s">
        <v>855</v>
      </c>
      <c r="F3260" s="4">
        <v>3166003</v>
      </c>
      <c r="G3260" s="4" t="s">
        <v>7</v>
      </c>
      <c r="H3260" t="str">
        <f>IFERROR(VLOOKUP(E3260,'GASB Match'!$A$2:$B$240,2,FALSE),"")</f>
        <v/>
      </c>
    </row>
    <row r="3261" spans="1:8" x14ac:dyDescent="0.2">
      <c r="A3261" t="s">
        <v>7</v>
      </c>
      <c r="B3261" s="3">
        <v>2020</v>
      </c>
      <c r="C3261" t="s">
        <v>854</v>
      </c>
      <c r="D3261" t="s">
        <v>855</v>
      </c>
      <c r="E3261" t="s">
        <v>855</v>
      </c>
      <c r="F3261" s="4">
        <v>3464504</v>
      </c>
      <c r="G3261" s="4" t="s">
        <v>7</v>
      </c>
      <c r="H3261" t="str">
        <f>IFERROR(VLOOKUP(E3261,'GASB Match'!$A$2:$B$240,2,FALSE),"")</f>
        <v/>
      </c>
    </row>
    <row r="3262" spans="1:8" x14ac:dyDescent="0.2">
      <c r="A3262" t="s">
        <v>7</v>
      </c>
      <c r="B3262" s="3">
        <v>2021</v>
      </c>
      <c r="C3262" t="s">
        <v>854</v>
      </c>
      <c r="D3262" t="s">
        <v>855</v>
      </c>
      <c r="E3262" t="s">
        <v>855</v>
      </c>
      <c r="F3262" s="4">
        <v>3178951</v>
      </c>
      <c r="G3262" s="4" t="s">
        <v>7</v>
      </c>
      <c r="H3262" t="str">
        <f>IFERROR(VLOOKUP(E3262,'GASB Match'!$A$2:$B$240,2,FALSE),"")</f>
        <v/>
      </c>
    </row>
    <row r="3263" spans="1:8" x14ac:dyDescent="0.2">
      <c r="A3263" t="s">
        <v>7</v>
      </c>
      <c r="B3263" s="3">
        <v>2022</v>
      </c>
      <c r="C3263" t="s">
        <v>854</v>
      </c>
      <c r="D3263" t="s">
        <v>855</v>
      </c>
      <c r="E3263" t="s">
        <v>855</v>
      </c>
      <c r="F3263" s="4">
        <v>3758534</v>
      </c>
      <c r="G3263" s="4" t="s">
        <v>7</v>
      </c>
      <c r="H3263" t="str">
        <f>IFERROR(VLOOKUP(E3263,'GASB Match'!$A$2:$B$240,2,FALSE),"")</f>
        <v/>
      </c>
    </row>
    <row r="3264" spans="1:8" x14ac:dyDescent="0.2">
      <c r="A3264" t="s">
        <v>7</v>
      </c>
      <c r="B3264" s="3">
        <v>2023</v>
      </c>
      <c r="C3264" t="s">
        <v>854</v>
      </c>
      <c r="D3264" t="s">
        <v>855</v>
      </c>
      <c r="E3264" t="s">
        <v>855</v>
      </c>
      <c r="F3264" s="4">
        <v>4095481</v>
      </c>
      <c r="G3264" s="4" t="s">
        <v>7</v>
      </c>
      <c r="H3264" t="str">
        <f>IFERROR(VLOOKUP(E3264,'GASB Match'!$A$2:$B$240,2,FALSE),"")</f>
        <v/>
      </c>
    </row>
    <row r="3265" spans="1:8" x14ac:dyDescent="0.2">
      <c r="A3265">
        <v>1300264</v>
      </c>
      <c r="B3265" s="3">
        <v>2022</v>
      </c>
      <c r="C3265" t="s">
        <v>856</v>
      </c>
      <c r="D3265" t="s">
        <v>857</v>
      </c>
      <c r="E3265" t="s">
        <v>857</v>
      </c>
      <c r="F3265" s="4">
        <v>446821</v>
      </c>
      <c r="G3265" s="4" t="s">
        <v>7</v>
      </c>
      <c r="H3265">
        <f>IFERROR(VLOOKUP(E3265,'GASB Match'!$A$2:$B$240,2,FALSE),"")</f>
        <v>1300264</v>
      </c>
    </row>
    <row r="3266" spans="1:8" x14ac:dyDescent="0.2">
      <c r="A3266">
        <v>1300264</v>
      </c>
      <c r="B3266" s="3">
        <v>2023</v>
      </c>
      <c r="C3266" t="s">
        <v>856</v>
      </c>
      <c r="D3266" t="s">
        <v>857</v>
      </c>
      <c r="E3266" t="s">
        <v>857</v>
      </c>
      <c r="F3266" s="4">
        <v>664116</v>
      </c>
      <c r="G3266" s="4" t="s">
        <v>7</v>
      </c>
      <c r="H3266">
        <f>IFERROR(VLOOKUP(E3266,'GASB Match'!$A$2:$B$240,2,FALSE),"")</f>
        <v>1300264</v>
      </c>
    </row>
    <row r="3267" spans="1:8" x14ac:dyDescent="0.2">
      <c r="A3267" t="s">
        <v>7</v>
      </c>
      <c r="B3267" s="3">
        <v>2019</v>
      </c>
      <c r="C3267" t="s">
        <v>858</v>
      </c>
      <c r="D3267" t="s">
        <v>859</v>
      </c>
      <c r="E3267" t="s">
        <v>859</v>
      </c>
      <c r="F3267" s="4">
        <v>610</v>
      </c>
      <c r="G3267" s="4" t="s">
        <v>7</v>
      </c>
      <c r="H3267" t="str">
        <f>IFERROR(VLOOKUP(E3267,'GASB Match'!$A$2:$B$240,2,FALSE),"")</f>
        <v/>
      </c>
    </row>
    <row r="3268" spans="1:8" x14ac:dyDescent="0.2">
      <c r="A3268" t="s">
        <v>7</v>
      </c>
      <c r="B3268" s="3">
        <v>2020</v>
      </c>
      <c r="C3268" t="s">
        <v>858</v>
      </c>
      <c r="D3268" t="s">
        <v>859</v>
      </c>
      <c r="E3268" t="s">
        <v>859</v>
      </c>
      <c r="F3268" s="4">
        <v>7399</v>
      </c>
      <c r="G3268" s="4" t="s">
        <v>7</v>
      </c>
      <c r="H3268" t="str">
        <f>IFERROR(VLOOKUP(E3268,'GASB Match'!$A$2:$B$240,2,FALSE),"")</f>
        <v/>
      </c>
    </row>
    <row r="3269" spans="1:8" x14ac:dyDescent="0.2">
      <c r="A3269" t="s">
        <v>7</v>
      </c>
      <c r="B3269" s="3">
        <v>2021</v>
      </c>
      <c r="C3269" t="s">
        <v>858</v>
      </c>
      <c r="D3269" t="s">
        <v>859</v>
      </c>
      <c r="E3269" t="s">
        <v>859</v>
      </c>
      <c r="F3269" s="4">
        <v>7181</v>
      </c>
      <c r="G3269" s="4" t="s">
        <v>7</v>
      </c>
      <c r="H3269" t="str">
        <f>IFERROR(VLOOKUP(E3269,'GASB Match'!$A$2:$B$240,2,FALSE),"")</f>
        <v/>
      </c>
    </row>
    <row r="3270" spans="1:8" x14ac:dyDescent="0.2">
      <c r="A3270" t="s">
        <v>7</v>
      </c>
      <c r="B3270" s="3">
        <v>2022</v>
      </c>
      <c r="C3270" t="s">
        <v>858</v>
      </c>
      <c r="D3270" t="s">
        <v>859</v>
      </c>
      <c r="E3270" t="s">
        <v>859</v>
      </c>
      <c r="F3270" s="4">
        <v>8265</v>
      </c>
      <c r="G3270" s="4" t="s">
        <v>7</v>
      </c>
      <c r="H3270" t="str">
        <f>IFERROR(VLOOKUP(E3270,'GASB Match'!$A$2:$B$240,2,FALSE),"")</f>
        <v/>
      </c>
    </row>
    <row r="3271" spans="1:8" x14ac:dyDescent="0.2">
      <c r="A3271" t="s">
        <v>7</v>
      </c>
      <c r="B3271" s="3">
        <v>2023</v>
      </c>
      <c r="C3271" t="s">
        <v>858</v>
      </c>
      <c r="D3271" t="s">
        <v>859</v>
      </c>
      <c r="E3271" t="s">
        <v>859</v>
      </c>
      <c r="F3271" s="4">
        <v>9538</v>
      </c>
      <c r="G3271" s="4" t="s">
        <v>7</v>
      </c>
      <c r="H3271" t="str">
        <f>IFERROR(VLOOKUP(E3271,'GASB Match'!$A$2:$B$240,2,FALSE),"")</f>
        <v/>
      </c>
    </row>
    <row r="3272" spans="1:8" x14ac:dyDescent="0.2">
      <c r="A3272">
        <v>1300217</v>
      </c>
      <c r="B3272" s="3">
        <v>2015</v>
      </c>
      <c r="C3272" t="s">
        <v>860</v>
      </c>
      <c r="D3272" t="s">
        <v>862</v>
      </c>
      <c r="E3272" t="s">
        <v>861</v>
      </c>
      <c r="F3272" s="4">
        <v>155272.29999999999</v>
      </c>
      <c r="G3272" s="4" t="s">
        <v>7</v>
      </c>
      <c r="H3272">
        <f>IFERROR(VLOOKUP(E3272,'GASB Match'!$A$2:$B$240,2,FALSE),"")</f>
        <v>1300217</v>
      </c>
    </row>
    <row r="3273" spans="1:8" x14ac:dyDescent="0.2">
      <c r="A3273">
        <v>1300217</v>
      </c>
      <c r="B3273" s="3">
        <v>2016</v>
      </c>
      <c r="C3273" t="s">
        <v>860</v>
      </c>
      <c r="D3273" t="s">
        <v>862</v>
      </c>
      <c r="E3273" t="s">
        <v>861</v>
      </c>
      <c r="F3273" s="4">
        <v>243268.62</v>
      </c>
      <c r="G3273" s="4" t="s">
        <v>7</v>
      </c>
      <c r="H3273">
        <f>IFERROR(VLOOKUP(E3273,'GASB Match'!$A$2:$B$240,2,FALSE),"")</f>
        <v>1300217</v>
      </c>
    </row>
    <row r="3274" spans="1:8" x14ac:dyDescent="0.2">
      <c r="A3274">
        <v>1300217</v>
      </c>
      <c r="B3274" s="3">
        <v>2017</v>
      </c>
      <c r="C3274" t="s">
        <v>860</v>
      </c>
      <c r="D3274" t="s">
        <v>862</v>
      </c>
      <c r="E3274" t="s">
        <v>861</v>
      </c>
      <c r="F3274" s="4">
        <v>247235</v>
      </c>
      <c r="G3274" s="4" t="s">
        <v>7</v>
      </c>
      <c r="H3274">
        <f>IFERROR(VLOOKUP(E3274,'GASB Match'!$A$2:$B$240,2,FALSE),"")</f>
        <v>1300217</v>
      </c>
    </row>
    <row r="3275" spans="1:8" x14ac:dyDescent="0.2">
      <c r="A3275">
        <v>1300217</v>
      </c>
      <c r="B3275" s="3">
        <v>2018</v>
      </c>
      <c r="C3275" t="s">
        <v>860</v>
      </c>
      <c r="D3275" t="s">
        <v>862</v>
      </c>
      <c r="E3275" t="s">
        <v>861</v>
      </c>
      <c r="F3275" s="4">
        <v>279996</v>
      </c>
      <c r="G3275" s="4" t="s">
        <v>7</v>
      </c>
      <c r="H3275">
        <f>IFERROR(VLOOKUP(E3275,'GASB Match'!$A$2:$B$240,2,FALSE),"")</f>
        <v>1300217</v>
      </c>
    </row>
    <row r="3276" spans="1:8" x14ac:dyDescent="0.2">
      <c r="A3276">
        <v>1300217</v>
      </c>
      <c r="B3276" s="3">
        <v>2019</v>
      </c>
      <c r="C3276" t="s">
        <v>860</v>
      </c>
      <c r="D3276" t="s">
        <v>862</v>
      </c>
      <c r="E3276" t="s">
        <v>861</v>
      </c>
      <c r="F3276" s="4">
        <v>326999</v>
      </c>
      <c r="G3276" s="4" t="s">
        <v>7</v>
      </c>
      <c r="H3276">
        <f>IFERROR(VLOOKUP(E3276,'GASB Match'!$A$2:$B$240,2,FALSE),"")</f>
        <v>1300217</v>
      </c>
    </row>
    <row r="3277" spans="1:8" x14ac:dyDescent="0.2">
      <c r="A3277">
        <v>1300217</v>
      </c>
      <c r="B3277" s="3">
        <v>2020</v>
      </c>
      <c r="C3277" t="s">
        <v>860</v>
      </c>
      <c r="D3277" t="s">
        <v>862</v>
      </c>
      <c r="E3277" t="s">
        <v>861</v>
      </c>
      <c r="F3277" s="4">
        <v>304330</v>
      </c>
      <c r="G3277" s="4" t="s">
        <v>7</v>
      </c>
      <c r="H3277">
        <f>IFERROR(VLOOKUP(E3277,'GASB Match'!$A$2:$B$240,2,FALSE),"")</f>
        <v>1300217</v>
      </c>
    </row>
    <row r="3278" spans="1:8" x14ac:dyDescent="0.2">
      <c r="A3278">
        <v>1300217</v>
      </c>
      <c r="B3278" s="3">
        <v>2021</v>
      </c>
      <c r="C3278" t="s">
        <v>860</v>
      </c>
      <c r="D3278" t="s">
        <v>862</v>
      </c>
      <c r="E3278" t="s">
        <v>861</v>
      </c>
      <c r="F3278" s="4">
        <v>271292</v>
      </c>
      <c r="G3278" s="4" t="s">
        <v>7</v>
      </c>
      <c r="H3278">
        <f>IFERROR(VLOOKUP(E3278,'GASB Match'!$A$2:$B$240,2,FALSE),"")</f>
        <v>1300217</v>
      </c>
    </row>
    <row r="3279" spans="1:8" x14ac:dyDescent="0.2">
      <c r="A3279">
        <v>1300217</v>
      </c>
      <c r="B3279" s="3">
        <v>2022</v>
      </c>
      <c r="C3279" t="s">
        <v>860</v>
      </c>
      <c r="D3279" t="s">
        <v>861</v>
      </c>
      <c r="E3279" t="s">
        <v>861</v>
      </c>
      <c r="F3279" s="4">
        <v>288350</v>
      </c>
      <c r="G3279" s="4" t="s">
        <v>7</v>
      </c>
      <c r="H3279">
        <f>IFERROR(VLOOKUP(E3279,'GASB Match'!$A$2:$B$240,2,FALSE),"")</f>
        <v>1300217</v>
      </c>
    </row>
    <row r="3280" spans="1:8" x14ac:dyDescent="0.2">
      <c r="A3280">
        <v>1300217</v>
      </c>
      <c r="B3280" s="3">
        <v>2023</v>
      </c>
      <c r="C3280" t="s">
        <v>860</v>
      </c>
      <c r="D3280" t="s">
        <v>861</v>
      </c>
      <c r="E3280" t="s">
        <v>861</v>
      </c>
      <c r="F3280" s="4">
        <v>292229</v>
      </c>
      <c r="G3280" s="4" t="s">
        <v>7</v>
      </c>
      <c r="H3280">
        <f>IFERROR(VLOOKUP(E3280,'GASB Match'!$A$2:$B$240,2,FALSE),"")</f>
        <v>1300217</v>
      </c>
    </row>
    <row r="3281" spans="1:8" x14ac:dyDescent="0.2">
      <c r="A3281" t="s">
        <v>7</v>
      </c>
      <c r="B3281" s="3">
        <v>2015</v>
      </c>
      <c r="C3281" t="s">
        <v>863</v>
      </c>
      <c r="D3281" t="s">
        <v>864</v>
      </c>
      <c r="E3281" t="s">
        <v>864</v>
      </c>
      <c r="F3281" s="4">
        <v>233551.84</v>
      </c>
      <c r="G3281" s="4" t="s">
        <v>7</v>
      </c>
      <c r="H3281" t="str">
        <f>IFERROR(VLOOKUP(E3281,'GASB Match'!$A$2:$B$240,2,FALSE),"")</f>
        <v/>
      </c>
    </row>
    <row r="3282" spans="1:8" x14ac:dyDescent="0.2">
      <c r="A3282" t="s">
        <v>7</v>
      </c>
      <c r="B3282" s="3">
        <v>2016</v>
      </c>
      <c r="C3282" t="s">
        <v>863</v>
      </c>
      <c r="D3282" t="s">
        <v>864</v>
      </c>
      <c r="E3282" t="s">
        <v>864</v>
      </c>
      <c r="F3282" s="4">
        <v>776107.52000000002</v>
      </c>
      <c r="G3282" s="4" t="s">
        <v>7</v>
      </c>
      <c r="H3282" t="str">
        <f>IFERROR(VLOOKUP(E3282,'GASB Match'!$A$2:$B$240,2,FALSE),"")</f>
        <v/>
      </c>
    </row>
    <row r="3283" spans="1:8" x14ac:dyDescent="0.2">
      <c r="A3283" t="s">
        <v>7</v>
      </c>
      <c r="B3283" s="3">
        <v>2017</v>
      </c>
      <c r="C3283" t="s">
        <v>863</v>
      </c>
      <c r="D3283" t="s">
        <v>864</v>
      </c>
      <c r="E3283" t="s">
        <v>864</v>
      </c>
      <c r="F3283" s="4">
        <v>1080668</v>
      </c>
      <c r="G3283" s="4" t="s">
        <v>7</v>
      </c>
      <c r="H3283" t="str">
        <f>IFERROR(VLOOKUP(E3283,'GASB Match'!$A$2:$B$240,2,FALSE),"")</f>
        <v/>
      </c>
    </row>
    <row r="3284" spans="1:8" x14ac:dyDescent="0.2">
      <c r="A3284" t="s">
        <v>7</v>
      </c>
      <c r="B3284" s="3">
        <v>2018</v>
      </c>
      <c r="C3284" t="s">
        <v>863</v>
      </c>
      <c r="D3284" t="s">
        <v>864</v>
      </c>
      <c r="E3284" t="s">
        <v>864</v>
      </c>
      <c r="F3284" s="4">
        <v>2181879</v>
      </c>
      <c r="G3284" s="4" t="s">
        <v>7</v>
      </c>
      <c r="H3284" t="str">
        <f>IFERROR(VLOOKUP(E3284,'GASB Match'!$A$2:$B$240,2,FALSE),"")</f>
        <v/>
      </c>
    </row>
    <row r="3285" spans="1:8" x14ac:dyDescent="0.2">
      <c r="A3285" t="s">
        <v>7</v>
      </c>
      <c r="B3285" s="3">
        <v>2019</v>
      </c>
      <c r="C3285" t="s">
        <v>863</v>
      </c>
      <c r="D3285" t="s">
        <v>864</v>
      </c>
      <c r="E3285" t="s">
        <v>864</v>
      </c>
      <c r="F3285" s="4">
        <v>2940859</v>
      </c>
      <c r="G3285" s="4" t="s">
        <v>7</v>
      </c>
      <c r="H3285" t="str">
        <f>IFERROR(VLOOKUP(E3285,'GASB Match'!$A$2:$B$240,2,FALSE),"")</f>
        <v/>
      </c>
    </row>
    <row r="3286" spans="1:8" x14ac:dyDescent="0.2">
      <c r="A3286" t="s">
        <v>7</v>
      </c>
      <c r="B3286" s="3">
        <v>2020</v>
      </c>
      <c r="C3286" t="s">
        <v>863</v>
      </c>
      <c r="D3286" t="s">
        <v>864</v>
      </c>
      <c r="E3286" t="s">
        <v>864</v>
      </c>
      <c r="F3286" s="4">
        <v>2970013</v>
      </c>
      <c r="G3286" s="4" t="s">
        <v>7</v>
      </c>
      <c r="H3286" t="str">
        <f>IFERROR(VLOOKUP(E3286,'GASB Match'!$A$2:$B$240,2,FALSE),"")</f>
        <v/>
      </c>
    </row>
    <row r="3287" spans="1:8" x14ac:dyDescent="0.2">
      <c r="A3287" t="s">
        <v>7</v>
      </c>
      <c r="B3287" s="3">
        <v>2021</v>
      </c>
      <c r="C3287" t="s">
        <v>863</v>
      </c>
      <c r="D3287" t="s">
        <v>864</v>
      </c>
      <c r="E3287" t="s">
        <v>864</v>
      </c>
      <c r="F3287" s="4">
        <v>2543751</v>
      </c>
      <c r="G3287" s="4" t="s">
        <v>7</v>
      </c>
      <c r="H3287" t="str">
        <f>IFERROR(VLOOKUP(E3287,'GASB Match'!$A$2:$B$240,2,FALSE),"")</f>
        <v/>
      </c>
    </row>
    <row r="3288" spans="1:8" x14ac:dyDescent="0.2">
      <c r="A3288" t="s">
        <v>7</v>
      </c>
      <c r="B3288" s="3">
        <v>2022</v>
      </c>
      <c r="C3288" t="s">
        <v>863</v>
      </c>
      <c r="D3288" t="s">
        <v>864</v>
      </c>
      <c r="E3288" t="s">
        <v>864</v>
      </c>
      <c r="F3288" s="4">
        <v>2435225</v>
      </c>
      <c r="G3288" s="4" t="s">
        <v>7</v>
      </c>
      <c r="H3288" t="str">
        <f>IFERROR(VLOOKUP(E3288,'GASB Match'!$A$2:$B$240,2,FALSE),"")</f>
        <v/>
      </c>
    </row>
    <row r="3289" spans="1:8" x14ac:dyDescent="0.2">
      <c r="A3289" t="s">
        <v>7</v>
      </c>
      <c r="B3289" s="3">
        <v>2023</v>
      </c>
      <c r="C3289" t="s">
        <v>863</v>
      </c>
      <c r="D3289" t="s">
        <v>864</v>
      </c>
      <c r="E3289" t="s">
        <v>864</v>
      </c>
      <c r="F3289" s="4">
        <v>2584205</v>
      </c>
      <c r="G3289" s="4" t="s">
        <v>7</v>
      </c>
      <c r="H3289" t="str">
        <f>IFERROR(VLOOKUP(E3289,'GASB Match'!$A$2:$B$240,2,FALSE),"")</f>
        <v/>
      </c>
    </row>
    <row r="3290" spans="1:8" x14ac:dyDescent="0.2">
      <c r="A3290">
        <v>1300259</v>
      </c>
      <c r="B3290" s="3">
        <v>2022</v>
      </c>
      <c r="C3290" t="s">
        <v>865</v>
      </c>
      <c r="D3290" t="s">
        <v>867</v>
      </c>
      <c r="E3290" t="s">
        <v>866</v>
      </c>
      <c r="F3290" s="4">
        <v>119168</v>
      </c>
      <c r="G3290" s="4" t="s">
        <v>7</v>
      </c>
      <c r="H3290">
        <f>IFERROR(VLOOKUP(E3290,'GASB Match'!$A$2:$B$240,2,FALSE),"")</f>
        <v>1300259</v>
      </c>
    </row>
    <row r="3291" spans="1:8" x14ac:dyDescent="0.2">
      <c r="A3291">
        <v>1300259</v>
      </c>
      <c r="B3291" s="3">
        <v>2023</v>
      </c>
      <c r="C3291" t="s">
        <v>865</v>
      </c>
      <c r="D3291" t="s">
        <v>866</v>
      </c>
      <c r="E3291" t="s">
        <v>866</v>
      </c>
      <c r="F3291" s="4">
        <v>318682</v>
      </c>
      <c r="G3291" s="4" t="s">
        <v>7</v>
      </c>
      <c r="H3291">
        <f>IFERROR(VLOOKUP(E3291,'GASB Match'!$A$2:$B$240,2,FALSE),"")</f>
        <v>1300259</v>
      </c>
    </row>
    <row r="3292" spans="1:8" x14ac:dyDescent="0.2">
      <c r="A3292" t="s">
        <v>7</v>
      </c>
      <c r="B3292" s="3">
        <v>2015</v>
      </c>
      <c r="C3292" t="s">
        <v>868</v>
      </c>
      <c r="D3292" t="s">
        <v>869</v>
      </c>
      <c r="E3292" t="s">
        <v>869</v>
      </c>
      <c r="F3292" s="4">
        <v>314730.84000000003</v>
      </c>
      <c r="G3292" s="4" t="s">
        <v>7</v>
      </c>
      <c r="H3292" t="str">
        <f>IFERROR(VLOOKUP(E3292,'GASB Match'!$A$2:$B$240,2,FALSE),"")</f>
        <v/>
      </c>
    </row>
    <row r="3293" spans="1:8" x14ac:dyDescent="0.2">
      <c r="A3293" t="s">
        <v>7</v>
      </c>
      <c r="B3293" s="3">
        <v>2016</v>
      </c>
      <c r="C3293" t="s">
        <v>868</v>
      </c>
      <c r="D3293" t="s">
        <v>869</v>
      </c>
      <c r="E3293" t="s">
        <v>869</v>
      </c>
      <c r="F3293" s="4">
        <v>327209.38</v>
      </c>
      <c r="G3293" s="4" t="s">
        <v>7</v>
      </c>
      <c r="H3293" t="str">
        <f>IFERROR(VLOOKUP(E3293,'GASB Match'!$A$2:$B$240,2,FALSE),"")</f>
        <v/>
      </c>
    </row>
    <row r="3294" spans="1:8" x14ac:dyDescent="0.2">
      <c r="A3294" t="s">
        <v>7</v>
      </c>
      <c r="B3294" s="3">
        <v>2017</v>
      </c>
      <c r="C3294" t="s">
        <v>868</v>
      </c>
      <c r="D3294" t="s">
        <v>869</v>
      </c>
      <c r="E3294" t="s">
        <v>869</v>
      </c>
      <c r="F3294" s="4">
        <v>336306</v>
      </c>
      <c r="G3294" s="4" t="s">
        <v>7</v>
      </c>
      <c r="H3294" t="str">
        <f>IFERROR(VLOOKUP(E3294,'GASB Match'!$A$2:$B$240,2,FALSE),"")</f>
        <v/>
      </c>
    </row>
    <row r="3295" spans="1:8" x14ac:dyDescent="0.2">
      <c r="A3295" t="s">
        <v>7</v>
      </c>
      <c r="B3295" s="3">
        <v>2018</v>
      </c>
      <c r="C3295" t="s">
        <v>868</v>
      </c>
      <c r="D3295" t="s">
        <v>869</v>
      </c>
      <c r="E3295" t="s">
        <v>869</v>
      </c>
      <c r="F3295" s="4">
        <v>377102</v>
      </c>
      <c r="G3295" s="4" t="s">
        <v>7</v>
      </c>
      <c r="H3295" t="str">
        <f>IFERROR(VLOOKUP(E3295,'GASB Match'!$A$2:$B$240,2,FALSE),"")</f>
        <v/>
      </c>
    </row>
    <row r="3296" spans="1:8" x14ac:dyDescent="0.2">
      <c r="A3296" t="s">
        <v>7</v>
      </c>
      <c r="B3296" s="3">
        <v>2019</v>
      </c>
      <c r="C3296" t="s">
        <v>868</v>
      </c>
      <c r="D3296" t="s">
        <v>869</v>
      </c>
      <c r="E3296" t="s">
        <v>869</v>
      </c>
      <c r="F3296" s="4">
        <v>426782</v>
      </c>
      <c r="G3296" s="4" t="s">
        <v>7</v>
      </c>
      <c r="H3296" t="str">
        <f>IFERROR(VLOOKUP(E3296,'GASB Match'!$A$2:$B$240,2,FALSE),"")</f>
        <v/>
      </c>
    </row>
    <row r="3297" spans="1:8" x14ac:dyDescent="0.2">
      <c r="A3297" t="s">
        <v>7</v>
      </c>
      <c r="B3297" s="3">
        <v>2020</v>
      </c>
      <c r="C3297" t="s">
        <v>868</v>
      </c>
      <c r="D3297" t="s">
        <v>869</v>
      </c>
      <c r="E3297" t="s">
        <v>869</v>
      </c>
      <c r="F3297" s="4">
        <v>288656</v>
      </c>
      <c r="G3297" s="4" t="s">
        <v>7</v>
      </c>
      <c r="H3297" t="str">
        <f>IFERROR(VLOOKUP(E3297,'GASB Match'!$A$2:$B$240,2,FALSE),"")</f>
        <v/>
      </c>
    </row>
    <row r="3298" spans="1:8" x14ac:dyDescent="0.2">
      <c r="A3298" t="s">
        <v>7</v>
      </c>
      <c r="B3298" s="3">
        <v>2021</v>
      </c>
      <c r="C3298" t="s">
        <v>868</v>
      </c>
      <c r="D3298" t="s">
        <v>869</v>
      </c>
      <c r="E3298" t="s">
        <v>869</v>
      </c>
      <c r="F3298" s="4">
        <v>745</v>
      </c>
      <c r="G3298" s="4" t="s">
        <v>7</v>
      </c>
      <c r="H3298" t="str">
        <f>IFERROR(VLOOKUP(E3298,'GASB Match'!$A$2:$B$240,2,FALSE),"")</f>
        <v/>
      </c>
    </row>
    <row r="3299" spans="1:8" x14ac:dyDescent="0.2">
      <c r="A3299">
        <v>1300242</v>
      </c>
      <c r="B3299" s="3">
        <v>2017</v>
      </c>
      <c r="C3299" t="s">
        <v>870</v>
      </c>
      <c r="D3299" t="s">
        <v>871</v>
      </c>
      <c r="E3299" t="s">
        <v>871</v>
      </c>
      <c r="F3299" s="4">
        <v>179254</v>
      </c>
      <c r="G3299" s="4" t="s">
        <v>7</v>
      </c>
      <c r="H3299">
        <f>IFERROR(VLOOKUP(E3299,'GASB Match'!$A$2:$B$240,2,FALSE),"")</f>
        <v>1300242</v>
      </c>
    </row>
    <row r="3300" spans="1:8" x14ac:dyDescent="0.2">
      <c r="A3300">
        <v>1300242</v>
      </c>
      <c r="B3300" s="3">
        <v>2018</v>
      </c>
      <c r="C3300" t="s">
        <v>870</v>
      </c>
      <c r="D3300" t="s">
        <v>871</v>
      </c>
      <c r="E3300" t="s">
        <v>871</v>
      </c>
      <c r="F3300" s="4">
        <v>323882</v>
      </c>
      <c r="G3300" s="4" t="s">
        <v>7</v>
      </c>
      <c r="H3300">
        <f>IFERROR(VLOOKUP(E3300,'GASB Match'!$A$2:$B$240,2,FALSE),"")</f>
        <v>1300242</v>
      </c>
    </row>
    <row r="3301" spans="1:8" x14ac:dyDescent="0.2">
      <c r="A3301">
        <v>1300242</v>
      </c>
      <c r="B3301" s="3">
        <v>2019</v>
      </c>
      <c r="C3301" t="s">
        <v>870</v>
      </c>
      <c r="D3301" t="s">
        <v>871</v>
      </c>
      <c r="E3301" t="s">
        <v>871</v>
      </c>
      <c r="F3301" s="4">
        <v>405170</v>
      </c>
      <c r="G3301" s="4" t="s">
        <v>7</v>
      </c>
      <c r="H3301">
        <f>IFERROR(VLOOKUP(E3301,'GASB Match'!$A$2:$B$240,2,FALSE),"")</f>
        <v>1300242</v>
      </c>
    </row>
    <row r="3302" spans="1:8" x14ac:dyDescent="0.2">
      <c r="A3302">
        <v>1300242</v>
      </c>
      <c r="B3302" s="3">
        <v>2020</v>
      </c>
      <c r="C3302" t="s">
        <v>870</v>
      </c>
      <c r="D3302" t="s">
        <v>871</v>
      </c>
      <c r="E3302" t="s">
        <v>871</v>
      </c>
      <c r="F3302" s="4">
        <v>486897</v>
      </c>
      <c r="G3302" s="4" t="s">
        <v>7</v>
      </c>
      <c r="H3302">
        <f>IFERROR(VLOOKUP(E3302,'GASB Match'!$A$2:$B$240,2,FALSE),"")</f>
        <v>1300242</v>
      </c>
    </row>
    <row r="3303" spans="1:8" x14ac:dyDescent="0.2">
      <c r="A3303">
        <v>1300242</v>
      </c>
      <c r="B3303" s="3">
        <v>2021</v>
      </c>
      <c r="C3303" t="s">
        <v>870</v>
      </c>
      <c r="D3303" t="s">
        <v>871</v>
      </c>
      <c r="E3303" t="s">
        <v>871</v>
      </c>
      <c r="F3303" s="4">
        <v>469955</v>
      </c>
      <c r="G3303" s="4" t="s">
        <v>7</v>
      </c>
      <c r="H3303">
        <f>IFERROR(VLOOKUP(E3303,'GASB Match'!$A$2:$B$240,2,FALSE),"")</f>
        <v>1300242</v>
      </c>
    </row>
    <row r="3304" spans="1:8" x14ac:dyDescent="0.2">
      <c r="A3304">
        <v>1300242</v>
      </c>
      <c r="B3304" s="3">
        <v>2022</v>
      </c>
      <c r="C3304" t="s">
        <v>870</v>
      </c>
      <c r="D3304" t="s">
        <v>871</v>
      </c>
      <c r="E3304" t="s">
        <v>871</v>
      </c>
      <c r="F3304" s="4">
        <v>498325</v>
      </c>
      <c r="G3304" s="4" t="s">
        <v>7</v>
      </c>
      <c r="H3304">
        <f>IFERROR(VLOOKUP(E3304,'GASB Match'!$A$2:$B$240,2,FALSE),"")</f>
        <v>1300242</v>
      </c>
    </row>
    <row r="3305" spans="1:8" x14ac:dyDescent="0.2">
      <c r="A3305">
        <v>1300242</v>
      </c>
      <c r="B3305" s="3">
        <v>2023</v>
      </c>
      <c r="C3305" t="s">
        <v>870</v>
      </c>
      <c r="D3305" t="s">
        <v>871</v>
      </c>
      <c r="E3305" t="s">
        <v>871</v>
      </c>
      <c r="F3305" s="4">
        <v>546467</v>
      </c>
      <c r="G3305" s="4" t="s">
        <v>7</v>
      </c>
      <c r="H3305">
        <f>IFERROR(VLOOKUP(E3305,'GASB Match'!$A$2:$B$240,2,FALSE),"")</f>
        <v>1300242</v>
      </c>
    </row>
    <row r="3306" spans="1:8" x14ac:dyDescent="0.2">
      <c r="A3306" t="s">
        <v>7</v>
      </c>
      <c r="B3306" s="3">
        <v>2015</v>
      </c>
      <c r="C3306" t="s">
        <v>872</v>
      </c>
      <c r="D3306" t="s">
        <v>873</v>
      </c>
      <c r="E3306" t="s">
        <v>873</v>
      </c>
      <c r="F3306" s="4">
        <v>310845.02</v>
      </c>
      <c r="G3306" s="4" t="s">
        <v>7</v>
      </c>
      <c r="H3306" t="str">
        <f>IFERROR(VLOOKUP(E3306,'GASB Match'!$A$2:$B$240,2,FALSE),"")</f>
        <v/>
      </c>
    </row>
    <row r="3307" spans="1:8" x14ac:dyDescent="0.2">
      <c r="A3307" t="s">
        <v>7</v>
      </c>
      <c r="B3307" s="3">
        <v>2016</v>
      </c>
      <c r="C3307" t="s">
        <v>872</v>
      </c>
      <c r="D3307" t="s">
        <v>873</v>
      </c>
      <c r="E3307" t="s">
        <v>873</v>
      </c>
      <c r="F3307" s="4"/>
      <c r="G3307" s="4" t="s">
        <v>7</v>
      </c>
      <c r="H3307" t="str">
        <f>IFERROR(VLOOKUP(E3307,'GASB Match'!$A$2:$B$240,2,FALSE),"")</f>
        <v/>
      </c>
    </row>
    <row r="3308" spans="1:8" x14ac:dyDescent="0.2">
      <c r="A3308">
        <v>1300258</v>
      </c>
      <c r="B3308" s="3">
        <v>2016</v>
      </c>
      <c r="C3308" t="s">
        <v>874</v>
      </c>
      <c r="D3308" t="s">
        <v>875</v>
      </c>
      <c r="E3308" t="s">
        <v>875</v>
      </c>
      <c r="F3308" s="4">
        <v>155828.62</v>
      </c>
      <c r="G3308" s="4" t="s">
        <v>7</v>
      </c>
      <c r="H3308">
        <f>IFERROR(VLOOKUP(E3308,'GASB Match'!$A$2:$B$240,2,FALSE),"")</f>
        <v>1300258</v>
      </c>
    </row>
    <row r="3309" spans="1:8" x14ac:dyDescent="0.2">
      <c r="A3309">
        <v>1300258</v>
      </c>
      <c r="B3309" s="3">
        <v>2017</v>
      </c>
      <c r="C3309" t="s">
        <v>874</v>
      </c>
      <c r="D3309" t="s">
        <v>875</v>
      </c>
      <c r="E3309" t="s">
        <v>875</v>
      </c>
      <c r="F3309" s="4">
        <v>211390</v>
      </c>
      <c r="G3309" s="4" t="s">
        <v>7</v>
      </c>
      <c r="H3309">
        <f>IFERROR(VLOOKUP(E3309,'GASB Match'!$A$2:$B$240,2,FALSE),"")</f>
        <v>1300258</v>
      </c>
    </row>
    <row r="3310" spans="1:8" x14ac:dyDescent="0.2">
      <c r="A3310">
        <v>1300258</v>
      </c>
      <c r="B3310" s="3">
        <v>2018</v>
      </c>
      <c r="C3310" t="s">
        <v>874</v>
      </c>
      <c r="D3310" t="s">
        <v>875</v>
      </c>
      <c r="E3310" t="s">
        <v>875</v>
      </c>
      <c r="F3310" s="4">
        <v>307844</v>
      </c>
      <c r="G3310" s="4" t="s">
        <v>7</v>
      </c>
      <c r="H3310">
        <f>IFERROR(VLOOKUP(E3310,'GASB Match'!$A$2:$B$240,2,FALSE),"")</f>
        <v>1300258</v>
      </c>
    </row>
    <row r="3311" spans="1:8" x14ac:dyDescent="0.2">
      <c r="A3311">
        <v>1300258</v>
      </c>
      <c r="B3311" s="3">
        <v>2019</v>
      </c>
      <c r="C3311" t="s">
        <v>874</v>
      </c>
      <c r="D3311" t="s">
        <v>875</v>
      </c>
      <c r="E3311" t="s">
        <v>875</v>
      </c>
      <c r="F3311" s="4">
        <v>407793</v>
      </c>
      <c r="G3311" s="4" t="s">
        <v>7</v>
      </c>
      <c r="H3311">
        <f>IFERROR(VLOOKUP(E3311,'GASB Match'!$A$2:$B$240,2,FALSE),"")</f>
        <v>1300258</v>
      </c>
    </row>
    <row r="3312" spans="1:8" x14ac:dyDescent="0.2">
      <c r="A3312">
        <v>1300258</v>
      </c>
      <c r="B3312" s="3">
        <v>2020</v>
      </c>
      <c r="C3312" t="s">
        <v>874</v>
      </c>
      <c r="D3312" t="s">
        <v>875</v>
      </c>
      <c r="E3312" t="s">
        <v>875</v>
      </c>
      <c r="F3312" s="4">
        <v>442701</v>
      </c>
      <c r="G3312" s="4" t="s">
        <v>7</v>
      </c>
      <c r="H3312">
        <f>IFERROR(VLOOKUP(E3312,'GASB Match'!$A$2:$B$240,2,FALSE),"")</f>
        <v>1300258</v>
      </c>
    </row>
    <row r="3313" spans="1:8" x14ac:dyDescent="0.2">
      <c r="A3313">
        <v>1300258</v>
      </c>
      <c r="B3313" s="3">
        <v>2021</v>
      </c>
      <c r="C3313" t="s">
        <v>874</v>
      </c>
      <c r="D3313" t="s">
        <v>875</v>
      </c>
      <c r="E3313" t="s">
        <v>875</v>
      </c>
      <c r="F3313" s="4">
        <v>518742</v>
      </c>
      <c r="G3313" s="4" t="s">
        <v>7</v>
      </c>
      <c r="H3313">
        <f>IFERROR(VLOOKUP(E3313,'GASB Match'!$A$2:$B$240,2,FALSE),"")</f>
        <v>1300258</v>
      </c>
    </row>
    <row r="3314" spans="1:8" x14ac:dyDescent="0.2">
      <c r="A3314">
        <v>1300258</v>
      </c>
      <c r="B3314" s="3">
        <v>2022</v>
      </c>
      <c r="C3314" t="s">
        <v>874</v>
      </c>
      <c r="D3314" t="s">
        <v>875</v>
      </c>
      <c r="E3314" t="s">
        <v>875</v>
      </c>
      <c r="F3314" s="4">
        <v>576868</v>
      </c>
      <c r="G3314" s="4" t="s">
        <v>7</v>
      </c>
      <c r="H3314">
        <f>IFERROR(VLOOKUP(E3314,'GASB Match'!$A$2:$B$240,2,FALSE),"")</f>
        <v>1300258</v>
      </c>
    </row>
    <row r="3315" spans="1:8" x14ac:dyDescent="0.2">
      <c r="A3315">
        <v>1300258</v>
      </c>
      <c r="B3315" s="3">
        <v>2023</v>
      </c>
      <c r="C3315" t="s">
        <v>874</v>
      </c>
      <c r="D3315" t="s">
        <v>875</v>
      </c>
      <c r="E3315" t="s">
        <v>875</v>
      </c>
      <c r="F3315" s="4">
        <v>652270</v>
      </c>
      <c r="G3315" s="4" t="s">
        <v>7</v>
      </c>
      <c r="H3315">
        <f>IFERROR(VLOOKUP(E3315,'GASB Match'!$A$2:$B$240,2,FALSE),"")</f>
        <v>1300258</v>
      </c>
    </row>
    <row r="3316" spans="1:8" x14ac:dyDescent="0.2">
      <c r="A3316" t="s">
        <v>7</v>
      </c>
      <c r="B3316" s="3">
        <v>2015</v>
      </c>
      <c r="C3316" t="s">
        <v>876</v>
      </c>
      <c r="D3316" t="s">
        <v>878</v>
      </c>
      <c r="E3316" t="s">
        <v>877</v>
      </c>
      <c r="F3316" s="4">
        <v>389533.29</v>
      </c>
      <c r="G3316" s="4" t="s">
        <v>7</v>
      </c>
      <c r="H3316" t="str">
        <f>IFERROR(VLOOKUP(E3316,'GASB Match'!$A$2:$B$240,2,FALSE),"")</f>
        <v/>
      </c>
    </row>
    <row r="3317" spans="1:8" x14ac:dyDescent="0.2">
      <c r="A3317" t="s">
        <v>7</v>
      </c>
      <c r="B3317" s="3">
        <v>2016</v>
      </c>
      <c r="C3317" t="s">
        <v>876</v>
      </c>
      <c r="D3317" t="s">
        <v>878</v>
      </c>
      <c r="E3317" t="s">
        <v>877</v>
      </c>
      <c r="F3317" s="4">
        <v>463187.17</v>
      </c>
      <c r="G3317" s="4" t="s">
        <v>7</v>
      </c>
      <c r="H3317" t="str">
        <f>IFERROR(VLOOKUP(E3317,'GASB Match'!$A$2:$B$240,2,FALSE),"")</f>
        <v/>
      </c>
    </row>
    <row r="3318" spans="1:8" x14ac:dyDescent="0.2">
      <c r="A3318" t="s">
        <v>7</v>
      </c>
      <c r="B3318" s="3">
        <v>2017</v>
      </c>
      <c r="C3318" t="s">
        <v>876</v>
      </c>
      <c r="D3318" t="s">
        <v>878</v>
      </c>
      <c r="E3318" t="s">
        <v>877</v>
      </c>
      <c r="F3318" s="4">
        <v>461679</v>
      </c>
      <c r="G3318" s="4" t="s">
        <v>7</v>
      </c>
      <c r="H3318" t="str">
        <f>IFERROR(VLOOKUP(E3318,'GASB Match'!$A$2:$B$240,2,FALSE),"")</f>
        <v/>
      </c>
    </row>
    <row r="3319" spans="1:8" x14ac:dyDescent="0.2">
      <c r="A3319" t="s">
        <v>7</v>
      </c>
      <c r="B3319" s="3">
        <v>2018</v>
      </c>
      <c r="C3319" t="s">
        <v>876</v>
      </c>
      <c r="D3319" t="s">
        <v>878</v>
      </c>
      <c r="E3319" t="s">
        <v>877</v>
      </c>
      <c r="F3319" s="4">
        <v>612202</v>
      </c>
      <c r="G3319" s="4" t="s">
        <v>7</v>
      </c>
      <c r="H3319" t="str">
        <f>IFERROR(VLOOKUP(E3319,'GASB Match'!$A$2:$B$240,2,FALSE),"")</f>
        <v/>
      </c>
    </row>
    <row r="3320" spans="1:8" x14ac:dyDescent="0.2">
      <c r="A3320" t="s">
        <v>7</v>
      </c>
      <c r="B3320" s="3">
        <v>2019</v>
      </c>
      <c r="C3320" t="s">
        <v>876</v>
      </c>
      <c r="D3320" t="s">
        <v>878</v>
      </c>
      <c r="E3320" t="s">
        <v>877</v>
      </c>
      <c r="F3320" s="4">
        <v>796457</v>
      </c>
      <c r="G3320" s="4">
        <v>826</v>
      </c>
      <c r="H3320" t="str">
        <f>IFERROR(VLOOKUP(E3320,'GASB Match'!$A$2:$B$240,2,FALSE),"")</f>
        <v/>
      </c>
    </row>
    <row r="3321" spans="1:8" x14ac:dyDescent="0.2">
      <c r="A3321" t="s">
        <v>7</v>
      </c>
      <c r="B3321" s="3">
        <v>2020</v>
      </c>
      <c r="C3321" t="s">
        <v>876</v>
      </c>
      <c r="D3321" t="s">
        <v>878</v>
      </c>
      <c r="E3321" t="s">
        <v>877</v>
      </c>
      <c r="F3321" s="4">
        <v>848255</v>
      </c>
      <c r="G3321" s="4">
        <v>-826</v>
      </c>
      <c r="H3321" t="str">
        <f>IFERROR(VLOOKUP(E3321,'GASB Match'!$A$2:$B$240,2,FALSE),"")</f>
        <v/>
      </c>
    </row>
    <row r="3322" spans="1:8" x14ac:dyDescent="0.2">
      <c r="A3322" t="s">
        <v>7</v>
      </c>
      <c r="B3322" s="3">
        <v>2021</v>
      </c>
      <c r="C3322" t="s">
        <v>876</v>
      </c>
      <c r="D3322" t="s">
        <v>878</v>
      </c>
      <c r="E3322" t="s">
        <v>877</v>
      </c>
      <c r="F3322" s="4">
        <v>750453</v>
      </c>
      <c r="G3322" s="4" t="s">
        <v>7</v>
      </c>
      <c r="H3322" t="str">
        <f>IFERROR(VLOOKUP(E3322,'GASB Match'!$A$2:$B$240,2,FALSE),"")</f>
        <v/>
      </c>
    </row>
    <row r="3323" spans="1:8" x14ac:dyDescent="0.2">
      <c r="A3323" t="s">
        <v>7</v>
      </c>
      <c r="B3323" s="3">
        <v>2022</v>
      </c>
      <c r="C3323" t="s">
        <v>876</v>
      </c>
      <c r="D3323" t="s">
        <v>877</v>
      </c>
      <c r="E3323" t="s">
        <v>877</v>
      </c>
      <c r="F3323" s="4">
        <v>863355</v>
      </c>
      <c r="G3323" s="4" t="s">
        <v>7</v>
      </c>
      <c r="H3323" t="str">
        <f>IFERROR(VLOOKUP(E3323,'GASB Match'!$A$2:$B$240,2,FALSE),"")</f>
        <v/>
      </c>
    </row>
    <row r="3324" spans="1:8" x14ac:dyDescent="0.2">
      <c r="A3324" t="s">
        <v>7</v>
      </c>
      <c r="B3324" s="3">
        <v>2023</v>
      </c>
      <c r="C3324" t="s">
        <v>876</v>
      </c>
      <c r="D3324" t="s">
        <v>877</v>
      </c>
      <c r="E3324" t="s">
        <v>877</v>
      </c>
      <c r="F3324" s="4">
        <v>1077724</v>
      </c>
      <c r="G3324" s="4" t="s">
        <v>7</v>
      </c>
      <c r="H3324" t="str">
        <f>IFERROR(VLOOKUP(E3324,'GASB Match'!$A$2:$B$240,2,FALSE),"")</f>
        <v/>
      </c>
    </row>
    <row r="3325" spans="1:8" x14ac:dyDescent="0.2">
      <c r="A3325" t="s">
        <v>7</v>
      </c>
      <c r="B3325" s="3">
        <v>2015</v>
      </c>
      <c r="C3325" t="s">
        <v>879</v>
      </c>
      <c r="D3325" t="s">
        <v>881</v>
      </c>
      <c r="E3325" t="s">
        <v>880</v>
      </c>
      <c r="F3325" s="4">
        <v>257154.9</v>
      </c>
      <c r="G3325" s="4" t="s">
        <v>7</v>
      </c>
      <c r="H3325" t="str">
        <f>IFERROR(VLOOKUP(E3325,'GASB Match'!$A$2:$B$240,2,FALSE),"")</f>
        <v/>
      </c>
    </row>
    <row r="3326" spans="1:8" x14ac:dyDescent="0.2">
      <c r="A3326" t="s">
        <v>7</v>
      </c>
      <c r="B3326" s="3">
        <v>2016</v>
      </c>
      <c r="C3326" t="s">
        <v>879</v>
      </c>
      <c r="D3326" t="s">
        <v>881</v>
      </c>
      <c r="E3326" t="s">
        <v>880</v>
      </c>
      <c r="F3326" s="4">
        <v>313479.69</v>
      </c>
      <c r="G3326" s="4" t="s">
        <v>7</v>
      </c>
      <c r="H3326" t="str">
        <f>IFERROR(VLOOKUP(E3326,'GASB Match'!$A$2:$B$240,2,FALSE),"")</f>
        <v/>
      </c>
    </row>
    <row r="3327" spans="1:8" x14ac:dyDescent="0.2">
      <c r="A3327" t="s">
        <v>7</v>
      </c>
      <c r="B3327" s="3">
        <v>2017</v>
      </c>
      <c r="C3327" t="s">
        <v>879</v>
      </c>
      <c r="D3327" t="s">
        <v>881</v>
      </c>
      <c r="E3327" t="s">
        <v>880</v>
      </c>
      <c r="F3327" s="4">
        <v>342585</v>
      </c>
      <c r="G3327" s="4" t="s">
        <v>7</v>
      </c>
      <c r="H3327" t="str">
        <f>IFERROR(VLOOKUP(E3327,'GASB Match'!$A$2:$B$240,2,FALSE),"")</f>
        <v/>
      </c>
    </row>
    <row r="3328" spans="1:8" x14ac:dyDescent="0.2">
      <c r="A3328" t="s">
        <v>7</v>
      </c>
      <c r="B3328" s="3">
        <v>2018</v>
      </c>
      <c r="C3328" t="s">
        <v>879</v>
      </c>
      <c r="D3328" t="s">
        <v>881</v>
      </c>
      <c r="E3328" t="s">
        <v>880</v>
      </c>
      <c r="F3328" s="4">
        <v>452523</v>
      </c>
      <c r="G3328" s="4" t="s">
        <v>7</v>
      </c>
      <c r="H3328" t="str">
        <f>IFERROR(VLOOKUP(E3328,'GASB Match'!$A$2:$B$240,2,FALSE),"")</f>
        <v/>
      </c>
    </row>
    <row r="3329" spans="1:8" x14ac:dyDescent="0.2">
      <c r="A3329" t="s">
        <v>7</v>
      </c>
      <c r="B3329" s="3">
        <v>2019</v>
      </c>
      <c r="C3329" t="s">
        <v>879</v>
      </c>
      <c r="D3329" t="s">
        <v>881</v>
      </c>
      <c r="E3329" t="s">
        <v>880</v>
      </c>
      <c r="F3329" s="4">
        <v>603625</v>
      </c>
      <c r="G3329" s="4" t="s">
        <v>7</v>
      </c>
      <c r="H3329" t="str">
        <f>IFERROR(VLOOKUP(E3329,'GASB Match'!$A$2:$B$240,2,FALSE),"")</f>
        <v/>
      </c>
    </row>
    <row r="3330" spans="1:8" x14ac:dyDescent="0.2">
      <c r="A3330" t="s">
        <v>7</v>
      </c>
      <c r="B3330" s="3">
        <v>2020</v>
      </c>
      <c r="C3330" t="s">
        <v>879</v>
      </c>
      <c r="D3330" t="s">
        <v>881</v>
      </c>
      <c r="E3330" t="s">
        <v>880</v>
      </c>
      <c r="F3330" s="4">
        <v>691680</v>
      </c>
      <c r="G3330" s="4" t="s">
        <v>7</v>
      </c>
      <c r="H3330" t="str">
        <f>IFERROR(VLOOKUP(E3330,'GASB Match'!$A$2:$B$240,2,FALSE),"")</f>
        <v/>
      </c>
    </row>
    <row r="3331" spans="1:8" x14ac:dyDescent="0.2">
      <c r="A3331" t="s">
        <v>7</v>
      </c>
      <c r="B3331" s="3">
        <v>2021</v>
      </c>
      <c r="C3331" t="s">
        <v>879</v>
      </c>
      <c r="D3331" t="s">
        <v>881</v>
      </c>
      <c r="E3331" t="s">
        <v>880</v>
      </c>
      <c r="F3331" s="4">
        <v>644026</v>
      </c>
      <c r="G3331" s="4" t="s">
        <v>7</v>
      </c>
      <c r="H3331" t="str">
        <f>IFERROR(VLOOKUP(E3331,'GASB Match'!$A$2:$B$240,2,FALSE),"")</f>
        <v/>
      </c>
    </row>
    <row r="3332" spans="1:8" x14ac:dyDescent="0.2">
      <c r="A3332" t="s">
        <v>7</v>
      </c>
      <c r="B3332" s="3">
        <v>2022</v>
      </c>
      <c r="C3332" t="s">
        <v>879</v>
      </c>
      <c r="D3332" t="s">
        <v>880</v>
      </c>
      <c r="E3332" t="s">
        <v>880</v>
      </c>
      <c r="F3332" s="4">
        <v>751420</v>
      </c>
      <c r="G3332" s="4" t="s">
        <v>7</v>
      </c>
      <c r="H3332" t="str">
        <f>IFERROR(VLOOKUP(E3332,'GASB Match'!$A$2:$B$240,2,FALSE),"")</f>
        <v/>
      </c>
    </row>
    <row r="3333" spans="1:8" x14ac:dyDescent="0.2">
      <c r="A3333" t="s">
        <v>7</v>
      </c>
      <c r="B3333" s="3">
        <v>2023</v>
      </c>
      <c r="C3333" t="s">
        <v>879</v>
      </c>
      <c r="D3333" t="s">
        <v>880</v>
      </c>
      <c r="E3333" t="s">
        <v>880</v>
      </c>
      <c r="F3333" s="4">
        <v>825798</v>
      </c>
      <c r="G3333" s="4" t="s">
        <v>7</v>
      </c>
      <c r="H3333" t="str">
        <f>IFERROR(VLOOKUP(E3333,'GASB Match'!$A$2:$B$240,2,FALSE),"")</f>
        <v/>
      </c>
    </row>
    <row r="3334" spans="1:8" x14ac:dyDescent="0.2">
      <c r="A3334">
        <v>1300227</v>
      </c>
      <c r="B3334" s="3">
        <v>2015</v>
      </c>
      <c r="C3334" t="s">
        <v>882</v>
      </c>
      <c r="D3334" t="s">
        <v>884</v>
      </c>
      <c r="E3334" t="s">
        <v>883</v>
      </c>
      <c r="F3334" s="4">
        <v>733876.79</v>
      </c>
      <c r="G3334" s="4" t="s">
        <v>7</v>
      </c>
      <c r="H3334">
        <f>IFERROR(VLOOKUP(E3334,'GASB Match'!$A$2:$B$240,2,FALSE),"")</f>
        <v>1300227</v>
      </c>
    </row>
    <row r="3335" spans="1:8" x14ac:dyDescent="0.2">
      <c r="A3335">
        <v>1300227</v>
      </c>
      <c r="B3335" s="3">
        <v>2016</v>
      </c>
      <c r="C3335" t="s">
        <v>882</v>
      </c>
      <c r="D3335" t="s">
        <v>884</v>
      </c>
      <c r="E3335" t="s">
        <v>883</v>
      </c>
      <c r="F3335" s="4">
        <v>813607.85</v>
      </c>
      <c r="G3335" s="4" t="s">
        <v>7</v>
      </c>
      <c r="H3335">
        <f>IFERROR(VLOOKUP(E3335,'GASB Match'!$A$2:$B$240,2,FALSE),"")</f>
        <v>1300227</v>
      </c>
    </row>
    <row r="3336" spans="1:8" x14ac:dyDescent="0.2">
      <c r="A3336">
        <v>1300227</v>
      </c>
      <c r="B3336" s="3">
        <v>2017</v>
      </c>
      <c r="C3336" t="s">
        <v>882</v>
      </c>
      <c r="D3336" t="s">
        <v>884</v>
      </c>
      <c r="E3336" t="s">
        <v>883</v>
      </c>
      <c r="F3336" s="4">
        <v>833937</v>
      </c>
      <c r="G3336" s="4" t="s">
        <v>7</v>
      </c>
      <c r="H3336">
        <f>IFERROR(VLOOKUP(E3336,'GASB Match'!$A$2:$B$240,2,FALSE),"")</f>
        <v>1300227</v>
      </c>
    </row>
    <row r="3337" spans="1:8" x14ac:dyDescent="0.2">
      <c r="A3337">
        <v>1300227</v>
      </c>
      <c r="B3337" s="3">
        <v>2018</v>
      </c>
      <c r="C3337" t="s">
        <v>882</v>
      </c>
      <c r="D3337" t="s">
        <v>884</v>
      </c>
      <c r="E3337" t="s">
        <v>883</v>
      </c>
      <c r="F3337" s="4">
        <v>1059370</v>
      </c>
      <c r="G3337" s="4" t="s">
        <v>7</v>
      </c>
      <c r="H3337">
        <f>IFERROR(VLOOKUP(E3337,'GASB Match'!$A$2:$B$240,2,FALSE),"")</f>
        <v>1300227</v>
      </c>
    </row>
    <row r="3338" spans="1:8" x14ac:dyDescent="0.2">
      <c r="A3338">
        <v>1300227</v>
      </c>
      <c r="B3338" s="3">
        <v>2019</v>
      </c>
      <c r="C3338" t="s">
        <v>882</v>
      </c>
      <c r="D3338" t="s">
        <v>884</v>
      </c>
      <c r="E3338" t="s">
        <v>883</v>
      </c>
      <c r="F3338" s="4">
        <v>1384504</v>
      </c>
      <c r="G3338" s="4" t="s">
        <v>7</v>
      </c>
      <c r="H3338">
        <f>IFERROR(VLOOKUP(E3338,'GASB Match'!$A$2:$B$240,2,FALSE),"")</f>
        <v>1300227</v>
      </c>
    </row>
    <row r="3339" spans="1:8" x14ac:dyDescent="0.2">
      <c r="A3339">
        <v>1300227</v>
      </c>
      <c r="B3339" s="3">
        <v>2020</v>
      </c>
      <c r="C3339" t="s">
        <v>882</v>
      </c>
      <c r="D3339" t="s">
        <v>884</v>
      </c>
      <c r="E3339" t="s">
        <v>883</v>
      </c>
      <c r="F3339" s="4">
        <v>1738897</v>
      </c>
      <c r="G3339" s="4" t="s">
        <v>7</v>
      </c>
      <c r="H3339">
        <f>IFERROR(VLOOKUP(E3339,'GASB Match'!$A$2:$B$240,2,FALSE),"")</f>
        <v>1300227</v>
      </c>
    </row>
    <row r="3340" spans="1:8" x14ac:dyDescent="0.2">
      <c r="A3340">
        <v>1300227</v>
      </c>
      <c r="B3340" s="3">
        <v>2021</v>
      </c>
      <c r="C3340" t="s">
        <v>882</v>
      </c>
      <c r="D3340" t="s">
        <v>884</v>
      </c>
      <c r="E3340" t="s">
        <v>883</v>
      </c>
      <c r="F3340" s="4">
        <v>1715180</v>
      </c>
      <c r="G3340" s="4" t="s">
        <v>7</v>
      </c>
      <c r="H3340">
        <f>IFERROR(VLOOKUP(E3340,'GASB Match'!$A$2:$B$240,2,FALSE),"")</f>
        <v>1300227</v>
      </c>
    </row>
    <row r="3341" spans="1:8" x14ac:dyDescent="0.2">
      <c r="A3341">
        <v>1300227</v>
      </c>
      <c r="B3341" s="3">
        <v>2022</v>
      </c>
      <c r="C3341" t="s">
        <v>882</v>
      </c>
      <c r="D3341" t="s">
        <v>883</v>
      </c>
      <c r="E3341" t="s">
        <v>883</v>
      </c>
      <c r="F3341" s="4">
        <v>2108247</v>
      </c>
      <c r="G3341" s="4" t="s">
        <v>7</v>
      </c>
      <c r="H3341">
        <f>IFERROR(VLOOKUP(E3341,'GASB Match'!$A$2:$B$240,2,FALSE),"")</f>
        <v>1300227</v>
      </c>
    </row>
    <row r="3342" spans="1:8" x14ac:dyDescent="0.2">
      <c r="A3342">
        <v>1300227</v>
      </c>
      <c r="B3342" s="3">
        <v>2023</v>
      </c>
      <c r="C3342" t="s">
        <v>882</v>
      </c>
      <c r="D3342" t="s">
        <v>883</v>
      </c>
      <c r="E3342" t="s">
        <v>883</v>
      </c>
      <c r="F3342" s="4">
        <v>2910476</v>
      </c>
      <c r="G3342" s="4" t="s">
        <v>7</v>
      </c>
      <c r="H3342">
        <f>IFERROR(VLOOKUP(E3342,'GASB Match'!$A$2:$B$240,2,FALSE),"")</f>
        <v>1300227</v>
      </c>
    </row>
    <row r="3343" spans="1:8" x14ac:dyDescent="0.2">
      <c r="A3343">
        <v>1300230</v>
      </c>
      <c r="B3343" s="3">
        <v>2015</v>
      </c>
      <c r="C3343" t="s">
        <v>885</v>
      </c>
      <c r="D3343" t="s">
        <v>887</v>
      </c>
      <c r="E3343" t="s">
        <v>886</v>
      </c>
      <c r="F3343" s="4">
        <v>396123.18</v>
      </c>
      <c r="G3343" s="4" t="s">
        <v>7</v>
      </c>
      <c r="H3343">
        <f>IFERROR(VLOOKUP(E3343,'GASB Match'!$A$2:$B$240,2,FALSE),"")</f>
        <v>1300230</v>
      </c>
    </row>
    <row r="3344" spans="1:8" x14ac:dyDescent="0.2">
      <c r="A3344">
        <v>1300230</v>
      </c>
      <c r="B3344" s="3">
        <v>2016</v>
      </c>
      <c r="C3344" t="s">
        <v>885</v>
      </c>
      <c r="D3344" t="s">
        <v>887</v>
      </c>
      <c r="E3344" t="s">
        <v>886</v>
      </c>
      <c r="F3344" s="4">
        <v>433124.27</v>
      </c>
      <c r="G3344" s="4" t="s">
        <v>7</v>
      </c>
      <c r="H3344">
        <f>IFERROR(VLOOKUP(E3344,'GASB Match'!$A$2:$B$240,2,FALSE),"")</f>
        <v>1300230</v>
      </c>
    </row>
    <row r="3345" spans="1:8" x14ac:dyDescent="0.2">
      <c r="A3345">
        <v>1300230</v>
      </c>
      <c r="B3345" s="3">
        <v>2017</v>
      </c>
      <c r="C3345" t="s">
        <v>885</v>
      </c>
      <c r="D3345" t="s">
        <v>887</v>
      </c>
      <c r="E3345" t="s">
        <v>886</v>
      </c>
      <c r="F3345" s="4">
        <v>397510</v>
      </c>
      <c r="G3345" s="4" t="s">
        <v>7</v>
      </c>
      <c r="H3345">
        <f>IFERROR(VLOOKUP(E3345,'GASB Match'!$A$2:$B$240,2,FALSE),"")</f>
        <v>1300230</v>
      </c>
    </row>
    <row r="3346" spans="1:8" x14ac:dyDescent="0.2">
      <c r="A3346">
        <v>1300230</v>
      </c>
      <c r="B3346" s="3">
        <v>2018</v>
      </c>
      <c r="C3346" t="s">
        <v>885</v>
      </c>
      <c r="D3346" t="s">
        <v>887</v>
      </c>
      <c r="E3346" t="s">
        <v>886</v>
      </c>
      <c r="F3346" s="4">
        <v>567934</v>
      </c>
      <c r="G3346" s="4" t="s">
        <v>7</v>
      </c>
      <c r="H3346">
        <f>IFERROR(VLOOKUP(E3346,'GASB Match'!$A$2:$B$240,2,FALSE),"")</f>
        <v>1300230</v>
      </c>
    </row>
    <row r="3347" spans="1:8" x14ac:dyDescent="0.2">
      <c r="A3347">
        <v>1300230</v>
      </c>
      <c r="B3347" s="3">
        <v>2019</v>
      </c>
      <c r="C3347" t="s">
        <v>885</v>
      </c>
      <c r="D3347" t="s">
        <v>887</v>
      </c>
      <c r="E3347" t="s">
        <v>886</v>
      </c>
      <c r="F3347" s="4">
        <v>639379</v>
      </c>
      <c r="G3347" s="4" t="s">
        <v>7</v>
      </c>
      <c r="H3347">
        <f>IFERROR(VLOOKUP(E3347,'GASB Match'!$A$2:$B$240,2,FALSE),"")</f>
        <v>1300230</v>
      </c>
    </row>
    <row r="3348" spans="1:8" x14ac:dyDescent="0.2">
      <c r="A3348">
        <v>1300230</v>
      </c>
      <c r="B3348" s="3">
        <v>2020</v>
      </c>
      <c r="C3348" t="s">
        <v>885</v>
      </c>
      <c r="D3348" t="s">
        <v>887</v>
      </c>
      <c r="E3348" t="s">
        <v>886</v>
      </c>
      <c r="F3348" s="4">
        <v>607780</v>
      </c>
      <c r="G3348" s="4" t="s">
        <v>7</v>
      </c>
      <c r="H3348">
        <f>IFERROR(VLOOKUP(E3348,'GASB Match'!$A$2:$B$240,2,FALSE),"")</f>
        <v>1300230</v>
      </c>
    </row>
    <row r="3349" spans="1:8" x14ac:dyDescent="0.2">
      <c r="A3349">
        <v>1300230</v>
      </c>
      <c r="B3349" s="3">
        <v>2021</v>
      </c>
      <c r="C3349" t="s">
        <v>885</v>
      </c>
      <c r="D3349" t="s">
        <v>887</v>
      </c>
      <c r="E3349" t="s">
        <v>886</v>
      </c>
      <c r="F3349" s="4">
        <v>576402</v>
      </c>
      <c r="G3349" s="4" t="s">
        <v>7</v>
      </c>
      <c r="H3349">
        <f>IFERROR(VLOOKUP(E3349,'GASB Match'!$A$2:$B$240,2,FALSE),"")</f>
        <v>1300230</v>
      </c>
    </row>
    <row r="3350" spans="1:8" x14ac:dyDescent="0.2">
      <c r="A3350">
        <v>1300230</v>
      </c>
      <c r="B3350" s="3">
        <v>2022</v>
      </c>
      <c r="C3350" t="s">
        <v>885</v>
      </c>
      <c r="D3350" t="s">
        <v>886</v>
      </c>
      <c r="E3350" t="s">
        <v>886</v>
      </c>
      <c r="F3350" s="4">
        <v>673709</v>
      </c>
      <c r="G3350" s="4" t="s">
        <v>7</v>
      </c>
      <c r="H3350">
        <f>IFERROR(VLOOKUP(E3350,'GASB Match'!$A$2:$B$240,2,FALSE),"")</f>
        <v>1300230</v>
      </c>
    </row>
    <row r="3351" spans="1:8" x14ac:dyDescent="0.2">
      <c r="A3351">
        <v>1300230</v>
      </c>
      <c r="B3351" s="3">
        <v>2023</v>
      </c>
      <c r="C3351" t="s">
        <v>885</v>
      </c>
      <c r="D3351" t="s">
        <v>886</v>
      </c>
      <c r="E3351" t="s">
        <v>886</v>
      </c>
      <c r="F3351" s="4">
        <v>602604</v>
      </c>
      <c r="G3351" s="4" t="s">
        <v>7</v>
      </c>
      <c r="H3351">
        <f>IFERROR(VLOOKUP(E3351,'GASB Match'!$A$2:$B$240,2,FALSE),"")</f>
        <v>1300230</v>
      </c>
    </row>
    <row r="3352" spans="1:8" x14ac:dyDescent="0.2">
      <c r="A3352" t="s">
        <v>7</v>
      </c>
      <c r="B3352" s="3">
        <v>2015</v>
      </c>
      <c r="C3352" t="s">
        <v>888</v>
      </c>
      <c r="D3352" t="s">
        <v>889</v>
      </c>
      <c r="E3352" t="s">
        <v>889</v>
      </c>
      <c r="F3352" s="4">
        <v>153898.63</v>
      </c>
      <c r="G3352" s="4" t="s">
        <v>7</v>
      </c>
      <c r="H3352" t="str">
        <f>IFERROR(VLOOKUP(E3352,'GASB Match'!$A$2:$B$240,2,FALSE),"")</f>
        <v/>
      </c>
    </row>
    <row r="3353" spans="1:8" x14ac:dyDescent="0.2">
      <c r="A3353" t="s">
        <v>7</v>
      </c>
      <c r="B3353" s="3">
        <v>2016</v>
      </c>
      <c r="C3353" t="s">
        <v>888</v>
      </c>
      <c r="D3353" t="s">
        <v>889</v>
      </c>
      <c r="E3353" t="s">
        <v>889</v>
      </c>
      <c r="F3353" s="4">
        <v>14344.44</v>
      </c>
      <c r="G3353" s="4" t="s">
        <v>7</v>
      </c>
      <c r="H3353" t="str">
        <f>IFERROR(VLOOKUP(E3353,'GASB Match'!$A$2:$B$240,2,FALSE),"")</f>
        <v/>
      </c>
    </row>
    <row r="3354" spans="1:8" x14ac:dyDescent="0.2">
      <c r="A3354" t="s">
        <v>7</v>
      </c>
      <c r="B3354" s="3">
        <v>2015</v>
      </c>
      <c r="C3354" t="s">
        <v>890</v>
      </c>
      <c r="D3354" t="s">
        <v>891</v>
      </c>
      <c r="E3354" t="s">
        <v>891</v>
      </c>
      <c r="F3354" s="4">
        <v>544136.93000000005</v>
      </c>
      <c r="G3354" s="4" t="s">
        <v>7</v>
      </c>
      <c r="H3354" t="str">
        <f>IFERROR(VLOOKUP(E3354,'GASB Match'!$A$2:$B$240,2,FALSE),"")</f>
        <v/>
      </c>
    </row>
    <row r="3355" spans="1:8" x14ac:dyDescent="0.2">
      <c r="A3355" t="s">
        <v>7</v>
      </c>
      <c r="B3355" s="3">
        <v>2016</v>
      </c>
      <c r="C3355" t="s">
        <v>890</v>
      </c>
      <c r="D3355" t="s">
        <v>891</v>
      </c>
      <c r="E3355" t="s">
        <v>891</v>
      </c>
      <c r="F3355" s="4">
        <v>633826.31999999902</v>
      </c>
      <c r="G3355" s="4" t="s">
        <v>7</v>
      </c>
      <c r="H3355" t="str">
        <f>IFERROR(VLOOKUP(E3355,'GASB Match'!$A$2:$B$240,2,FALSE),"")</f>
        <v/>
      </c>
    </row>
    <row r="3356" spans="1:8" x14ac:dyDescent="0.2">
      <c r="A3356" t="s">
        <v>7</v>
      </c>
      <c r="B3356" s="3">
        <v>2017</v>
      </c>
      <c r="C3356" t="s">
        <v>890</v>
      </c>
      <c r="D3356" t="s">
        <v>891</v>
      </c>
      <c r="E3356" t="s">
        <v>891</v>
      </c>
      <c r="F3356" s="4">
        <v>681310</v>
      </c>
      <c r="G3356" s="4" t="s">
        <v>7</v>
      </c>
      <c r="H3356" t="str">
        <f>IFERROR(VLOOKUP(E3356,'GASB Match'!$A$2:$B$240,2,FALSE),"")</f>
        <v/>
      </c>
    </row>
    <row r="3357" spans="1:8" x14ac:dyDescent="0.2">
      <c r="A3357" t="s">
        <v>7</v>
      </c>
      <c r="B3357" s="3">
        <v>2018</v>
      </c>
      <c r="C3357" t="s">
        <v>890</v>
      </c>
      <c r="D3357" t="s">
        <v>891</v>
      </c>
      <c r="E3357" t="s">
        <v>891</v>
      </c>
      <c r="F3357" s="4">
        <v>801735</v>
      </c>
      <c r="G3357" s="4" t="s">
        <v>7</v>
      </c>
      <c r="H3357" t="str">
        <f>IFERROR(VLOOKUP(E3357,'GASB Match'!$A$2:$B$240,2,FALSE),"")</f>
        <v/>
      </c>
    </row>
    <row r="3358" spans="1:8" x14ac:dyDescent="0.2">
      <c r="A3358" t="s">
        <v>7</v>
      </c>
      <c r="B3358" s="3">
        <v>2019</v>
      </c>
      <c r="C3358" t="s">
        <v>890</v>
      </c>
      <c r="D3358" t="s">
        <v>891</v>
      </c>
      <c r="E3358" t="s">
        <v>891</v>
      </c>
      <c r="F3358" s="4">
        <v>1026657</v>
      </c>
      <c r="G3358" s="4" t="s">
        <v>7</v>
      </c>
      <c r="H3358" t="str">
        <f>IFERROR(VLOOKUP(E3358,'GASB Match'!$A$2:$B$240,2,FALSE),"")</f>
        <v/>
      </c>
    </row>
    <row r="3359" spans="1:8" x14ac:dyDescent="0.2">
      <c r="A3359" t="s">
        <v>7</v>
      </c>
      <c r="B3359" s="3">
        <v>2020</v>
      </c>
      <c r="C3359" t="s">
        <v>890</v>
      </c>
      <c r="D3359" t="s">
        <v>891</v>
      </c>
      <c r="E3359" t="s">
        <v>891</v>
      </c>
      <c r="F3359" s="4">
        <v>1076582</v>
      </c>
      <c r="G3359" s="4" t="s">
        <v>7</v>
      </c>
      <c r="H3359" t="str">
        <f>IFERROR(VLOOKUP(E3359,'GASB Match'!$A$2:$B$240,2,FALSE),"")</f>
        <v/>
      </c>
    </row>
    <row r="3360" spans="1:8" x14ac:dyDescent="0.2">
      <c r="A3360" t="s">
        <v>7</v>
      </c>
      <c r="B3360" s="3">
        <v>2021</v>
      </c>
      <c r="C3360" t="s">
        <v>890</v>
      </c>
      <c r="D3360" t="s">
        <v>891</v>
      </c>
      <c r="E3360" t="s">
        <v>891</v>
      </c>
      <c r="F3360" s="4">
        <v>1051552</v>
      </c>
      <c r="G3360" s="4" t="s">
        <v>7</v>
      </c>
      <c r="H3360" t="str">
        <f>IFERROR(VLOOKUP(E3360,'GASB Match'!$A$2:$B$240,2,FALSE),"")</f>
        <v/>
      </c>
    </row>
    <row r="3361" spans="1:8" x14ac:dyDescent="0.2">
      <c r="A3361" t="s">
        <v>7</v>
      </c>
      <c r="B3361" s="3">
        <v>2022</v>
      </c>
      <c r="C3361" t="s">
        <v>890</v>
      </c>
      <c r="D3361" t="s">
        <v>891</v>
      </c>
      <c r="E3361" t="s">
        <v>891</v>
      </c>
      <c r="F3361" s="4">
        <v>1076071</v>
      </c>
      <c r="G3361" s="4" t="s">
        <v>7</v>
      </c>
      <c r="H3361" t="str">
        <f>IFERROR(VLOOKUP(E3361,'GASB Match'!$A$2:$B$240,2,FALSE),"")</f>
        <v/>
      </c>
    </row>
    <row r="3362" spans="1:8" x14ac:dyDescent="0.2">
      <c r="A3362" t="s">
        <v>7</v>
      </c>
      <c r="B3362" s="3">
        <v>2023</v>
      </c>
      <c r="C3362" t="s">
        <v>890</v>
      </c>
      <c r="D3362" t="s">
        <v>891</v>
      </c>
      <c r="E3362" t="s">
        <v>891</v>
      </c>
      <c r="F3362" s="4">
        <v>815902</v>
      </c>
      <c r="G3362" s="4" t="s">
        <v>7</v>
      </c>
      <c r="H3362" t="str">
        <f>IFERROR(VLOOKUP(E3362,'GASB Match'!$A$2:$B$240,2,FALSE),"")</f>
        <v/>
      </c>
    </row>
    <row r="3363" spans="1:8" x14ac:dyDescent="0.2">
      <c r="A3363">
        <v>1300218</v>
      </c>
      <c r="B3363" s="3">
        <v>2015</v>
      </c>
      <c r="C3363" t="s">
        <v>892</v>
      </c>
      <c r="D3363" t="s">
        <v>894</v>
      </c>
      <c r="E3363" t="s">
        <v>893</v>
      </c>
      <c r="F3363" s="4">
        <v>239330.06</v>
      </c>
      <c r="G3363" s="4" t="s">
        <v>7</v>
      </c>
      <c r="H3363">
        <f>IFERROR(VLOOKUP(E3363,'GASB Match'!$A$2:$B$240,2,FALSE),"")</f>
        <v>1300218</v>
      </c>
    </row>
    <row r="3364" spans="1:8" x14ac:dyDescent="0.2">
      <c r="A3364">
        <v>1300218</v>
      </c>
      <c r="B3364" s="3">
        <v>2016</v>
      </c>
      <c r="C3364" t="s">
        <v>892</v>
      </c>
      <c r="D3364" t="s">
        <v>894</v>
      </c>
      <c r="E3364" t="s">
        <v>893</v>
      </c>
      <c r="F3364" s="4">
        <v>289902.94</v>
      </c>
      <c r="G3364" s="4" t="s">
        <v>7</v>
      </c>
      <c r="H3364">
        <f>IFERROR(VLOOKUP(E3364,'GASB Match'!$A$2:$B$240,2,FALSE),"")</f>
        <v>1300218</v>
      </c>
    </row>
    <row r="3365" spans="1:8" x14ac:dyDescent="0.2">
      <c r="A3365">
        <v>1300218</v>
      </c>
      <c r="B3365" s="3">
        <v>2017</v>
      </c>
      <c r="C3365" t="s">
        <v>892</v>
      </c>
      <c r="D3365" t="s">
        <v>894</v>
      </c>
      <c r="E3365" t="s">
        <v>893</v>
      </c>
      <c r="F3365" s="4">
        <v>323307</v>
      </c>
      <c r="G3365" s="4" t="s">
        <v>7</v>
      </c>
      <c r="H3365">
        <f>IFERROR(VLOOKUP(E3365,'GASB Match'!$A$2:$B$240,2,FALSE),"")</f>
        <v>1300218</v>
      </c>
    </row>
    <row r="3366" spans="1:8" x14ac:dyDescent="0.2">
      <c r="A3366">
        <v>1300218</v>
      </c>
      <c r="B3366" s="3">
        <v>2018</v>
      </c>
      <c r="C3366" t="s">
        <v>892</v>
      </c>
      <c r="D3366" t="s">
        <v>894</v>
      </c>
      <c r="E3366" t="s">
        <v>893</v>
      </c>
      <c r="F3366" s="4">
        <v>424421</v>
      </c>
      <c r="G3366" s="4" t="s">
        <v>7</v>
      </c>
      <c r="H3366">
        <f>IFERROR(VLOOKUP(E3366,'GASB Match'!$A$2:$B$240,2,FALSE),"")</f>
        <v>1300218</v>
      </c>
    </row>
    <row r="3367" spans="1:8" x14ac:dyDescent="0.2">
      <c r="A3367">
        <v>1300218</v>
      </c>
      <c r="B3367" s="3">
        <v>2019</v>
      </c>
      <c r="C3367" t="s">
        <v>892</v>
      </c>
      <c r="D3367" t="s">
        <v>894</v>
      </c>
      <c r="E3367" t="s">
        <v>893</v>
      </c>
      <c r="F3367" s="4">
        <v>585228</v>
      </c>
      <c r="G3367" s="4" t="s">
        <v>7</v>
      </c>
      <c r="H3367">
        <f>IFERROR(VLOOKUP(E3367,'GASB Match'!$A$2:$B$240,2,FALSE),"")</f>
        <v>1300218</v>
      </c>
    </row>
    <row r="3368" spans="1:8" x14ac:dyDescent="0.2">
      <c r="A3368">
        <v>1300218</v>
      </c>
      <c r="B3368" s="3">
        <v>2020</v>
      </c>
      <c r="C3368" t="s">
        <v>892</v>
      </c>
      <c r="D3368" t="s">
        <v>894</v>
      </c>
      <c r="E3368" t="s">
        <v>893</v>
      </c>
      <c r="F3368" s="4">
        <v>664361</v>
      </c>
      <c r="G3368" s="4" t="s">
        <v>7</v>
      </c>
      <c r="H3368">
        <f>IFERROR(VLOOKUP(E3368,'GASB Match'!$A$2:$B$240,2,FALSE),"")</f>
        <v>1300218</v>
      </c>
    </row>
    <row r="3369" spans="1:8" x14ac:dyDescent="0.2">
      <c r="A3369">
        <v>1300218</v>
      </c>
      <c r="B3369" s="3">
        <v>2021</v>
      </c>
      <c r="C3369" t="s">
        <v>892</v>
      </c>
      <c r="D3369" t="s">
        <v>894</v>
      </c>
      <c r="E3369" t="s">
        <v>893</v>
      </c>
      <c r="F3369" s="4">
        <v>644242</v>
      </c>
      <c r="G3369" s="4" t="s">
        <v>7</v>
      </c>
      <c r="H3369">
        <f>IFERROR(VLOOKUP(E3369,'GASB Match'!$A$2:$B$240,2,FALSE),"")</f>
        <v>1300218</v>
      </c>
    </row>
    <row r="3370" spans="1:8" x14ac:dyDescent="0.2">
      <c r="A3370">
        <v>1300218</v>
      </c>
      <c r="B3370" s="3">
        <v>2022</v>
      </c>
      <c r="C3370" t="s">
        <v>892</v>
      </c>
      <c r="D3370" t="s">
        <v>893</v>
      </c>
      <c r="E3370" t="s">
        <v>893</v>
      </c>
      <c r="F3370" s="4">
        <v>700154</v>
      </c>
      <c r="G3370" s="4" t="s">
        <v>7</v>
      </c>
      <c r="H3370">
        <f>IFERROR(VLOOKUP(E3370,'GASB Match'!$A$2:$B$240,2,FALSE),"")</f>
        <v>1300218</v>
      </c>
    </row>
    <row r="3371" spans="1:8" x14ac:dyDescent="0.2">
      <c r="A3371">
        <v>1300218</v>
      </c>
      <c r="B3371" s="3">
        <v>2023</v>
      </c>
      <c r="C3371" t="s">
        <v>892</v>
      </c>
      <c r="D3371" t="s">
        <v>893</v>
      </c>
      <c r="E3371" t="s">
        <v>893</v>
      </c>
      <c r="F3371" s="4">
        <v>726807</v>
      </c>
      <c r="G3371" s="4" t="s">
        <v>7</v>
      </c>
      <c r="H3371">
        <f>IFERROR(VLOOKUP(E3371,'GASB Match'!$A$2:$B$240,2,FALSE),"")</f>
        <v>1300218</v>
      </c>
    </row>
    <row r="3372" spans="1:8" x14ac:dyDescent="0.2">
      <c r="A3372" t="s">
        <v>7</v>
      </c>
      <c r="B3372" s="3">
        <v>2015</v>
      </c>
      <c r="C3372" t="s">
        <v>895</v>
      </c>
      <c r="D3372" t="s">
        <v>896</v>
      </c>
      <c r="E3372" t="s">
        <v>896</v>
      </c>
      <c r="F3372" s="4">
        <v>2025021.26</v>
      </c>
      <c r="G3372" s="4" t="s">
        <v>7</v>
      </c>
      <c r="H3372" t="str">
        <f>IFERROR(VLOOKUP(E3372,'GASB Match'!$A$2:$B$240,2,FALSE),"")</f>
        <v/>
      </c>
    </row>
    <row r="3373" spans="1:8" x14ac:dyDescent="0.2">
      <c r="A3373" t="s">
        <v>7</v>
      </c>
      <c r="B3373" s="3">
        <v>2016</v>
      </c>
      <c r="C3373" t="s">
        <v>895</v>
      </c>
      <c r="D3373" t="s">
        <v>896</v>
      </c>
      <c r="E3373" t="s">
        <v>896</v>
      </c>
      <c r="F3373" s="4">
        <v>2798758.38</v>
      </c>
      <c r="G3373" s="4" t="s">
        <v>7</v>
      </c>
      <c r="H3373" t="str">
        <f>IFERROR(VLOOKUP(E3373,'GASB Match'!$A$2:$B$240,2,FALSE),"")</f>
        <v/>
      </c>
    </row>
    <row r="3374" spans="1:8" x14ac:dyDescent="0.2">
      <c r="A3374" t="s">
        <v>7</v>
      </c>
      <c r="B3374" s="3">
        <v>2017</v>
      </c>
      <c r="C3374" t="s">
        <v>895</v>
      </c>
      <c r="D3374" t="s">
        <v>896</v>
      </c>
      <c r="E3374" t="s">
        <v>896</v>
      </c>
      <c r="F3374" s="4">
        <v>3279563</v>
      </c>
      <c r="G3374" s="4" t="s">
        <v>7</v>
      </c>
      <c r="H3374" t="str">
        <f>IFERROR(VLOOKUP(E3374,'GASB Match'!$A$2:$B$240,2,FALSE),"")</f>
        <v/>
      </c>
    </row>
    <row r="3375" spans="1:8" x14ac:dyDescent="0.2">
      <c r="A3375" t="s">
        <v>7</v>
      </c>
      <c r="B3375" s="3">
        <v>2018</v>
      </c>
      <c r="C3375" t="s">
        <v>895</v>
      </c>
      <c r="D3375" t="s">
        <v>896</v>
      </c>
      <c r="E3375" t="s">
        <v>896</v>
      </c>
      <c r="F3375" s="4">
        <v>4371848</v>
      </c>
      <c r="G3375" s="4" t="s">
        <v>7</v>
      </c>
      <c r="H3375" t="str">
        <f>IFERROR(VLOOKUP(E3375,'GASB Match'!$A$2:$B$240,2,FALSE),"")</f>
        <v/>
      </c>
    </row>
    <row r="3376" spans="1:8" x14ac:dyDescent="0.2">
      <c r="A3376" t="s">
        <v>7</v>
      </c>
      <c r="B3376" s="3">
        <v>2019</v>
      </c>
      <c r="C3376" t="s">
        <v>895</v>
      </c>
      <c r="D3376" t="s">
        <v>896</v>
      </c>
      <c r="E3376" t="s">
        <v>896</v>
      </c>
      <c r="F3376" s="4">
        <v>5957805</v>
      </c>
      <c r="G3376" s="4" t="s">
        <v>7</v>
      </c>
      <c r="H3376" t="str">
        <f>IFERROR(VLOOKUP(E3376,'GASB Match'!$A$2:$B$240,2,FALSE),"")</f>
        <v/>
      </c>
    </row>
    <row r="3377" spans="1:8" x14ac:dyDescent="0.2">
      <c r="A3377" t="s">
        <v>7</v>
      </c>
      <c r="B3377" s="3">
        <v>2020</v>
      </c>
      <c r="C3377" t="s">
        <v>895</v>
      </c>
      <c r="D3377" t="s">
        <v>896</v>
      </c>
      <c r="E3377" t="s">
        <v>896</v>
      </c>
      <c r="F3377" s="4">
        <v>6915028</v>
      </c>
      <c r="G3377" s="4" t="s">
        <v>7</v>
      </c>
      <c r="H3377" t="str">
        <f>IFERROR(VLOOKUP(E3377,'GASB Match'!$A$2:$B$240,2,FALSE),"")</f>
        <v/>
      </c>
    </row>
    <row r="3378" spans="1:8" x14ac:dyDescent="0.2">
      <c r="A3378" t="s">
        <v>7</v>
      </c>
      <c r="B3378" s="3">
        <v>2021</v>
      </c>
      <c r="C3378" t="s">
        <v>895</v>
      </c>
      <c r="D3378" t="s">
        <v>896</v>
      </c>
      <c r="E3378" t="s">
        <v>896</v>
      </c>
      <c r="F3378" s="4">
        <v>7138814</v>
      </c>
      <c r="G3378" s="4" t="s">
        <v>7</v>
      </c>
      <c r="H3378" t="str">
        <f>IFERROR(VLOOKUP(E3378,'GASB Match'!$A$2:$B$240,2,FALSE),"")</f>
        <v/>
      </c>
    </row>
    <row r="3379" spans="1:8" x14ac:dyDescent="0.2">
      <c r="A3379" t="s">
        <v>7</v>
      </c>
      <c r="B3379" s="3">
        <v>2022</v>
      </c>
      <c r="C3379" t="s">
        <v>895</v>
      </c>
      <c r="D3379" t="s">
        <v>896</v>
      </c>
      <c r="E3379" t="s">
        <v>896</v>
      </c>
      <c r="F3379" s="4">
        <v>8062657</v>
      </c>
      <c r="G3379" s="4" t="s">
        <v>7</v>
      </c>
      <c r="H3379" t="str">
        <f>IFERROR(VLOOKUP(E3379,'GASB Match'!$A$2:$B$240,2,FALSE),"")</f>
        <v/>
      </c>
    </row>
    <row r="3380" spans="1:8" x14ac:dyDescent="0.2">
      <c r="A3380" t="s">
        <v>7</v>
      </c>
      <c r="B3380" s="3">
        <v>2023</v>
      </c>
      <c r="C3380" t="s">
        <v>895</v>
      </c>
      <c r="D3380" t="s">
        <v>896</v>
      </c>
      <c r="E3380" t="s">
        <v>896</v>
      </c>
      <c r="F3380" s="4">
        <v>9142601</v>
      </c>
      <c r="G3380" s="4" t="s">
        <v>7</v>
      </c>
      <c r="H3380" t="str">
        <f>IFERROR(VLOOKUP(E3380,'GASB Match'!$A$2:$B$240,2,FALSE),"")</f>
        <v/>
      </c>
    </row>
    <row r="3381" spans="1:8" x14ac:dyDescent="0.2">
      <c r="A3381" t="s">
        <v>7</v>
      </c>
      <c r="B3381" s="3">
        <v>2015</v>
      </c>
      <c r="C3381" t="s">
        <v>897</v>
      </c>
      <c r="D3381" t="s">
        <v>899</v>
      </c>
      <c r="E3381" t="s">
        <v>898</v>
      </c>
      <c r="F3381" s="4">
        <v>339891.68</v>
      </c>
      <c r="G3381" s="4" t="s">
        <v>7</v>
      </c>
      <c r="H3381" t="str">
        <f>IFERROR(VLOOKUP(E3381,'GASB Match'!$A$2:$B$240,2,FALSE),"")</f>
        <v/>
      </c>
    </row>
    <row r="3382" spans="1:8" x14ac:dyDescent="0.2">
      <c r="A3382" t="s">
        <v>7</v>
      </c>
      <c r="B3382" s="3">
        <v>2016</v>
      </c>
      <c r="C3382" t="s">
        <v>897</v>
      </c>
      <c r="D3382" t="s">
        <v>899</v>
      </c>
      <c r="E3382" t="s">
        <v>898</v>
      </c>
      <c r="F3382" s="4">
        <v>381056.65</v>
      </c>
      <c r="G3382" s="4" t="s">
        <v>7</v>
      </c>
      <c r="H3382" t="str">
        <f>IFERROR(VLOOKUP(E3382,'GASB Match'!$A$2:$B$240,2,FALSE),"")</f>
        <v/>
      </c>
    </row>
    <row r="3383" spans="1:8" x14ac:dyDescent="0.2">
      <c r="A3383" t="s">
        <v>7</v>
      </c>
      <c r="B3383" s="3">
        <v>2017</v>
      </c>
      <c r="C3383" t="s">
        <v>897</v>
      </c>
      <c r="D3383" t="s">
        <v>899</v>
      </c>
      <c r="E3383" t="s">
        <v>898</v>
      </c>
      <c r="F3383" s="4">
        <v>447352</v>
      </c>
      <c r="G3383" s="4" t="s">
        <v>7</v>
      </c>
      <c r="H3383" t="str">
        <f>IFERROR(VLOOKUP(E3383,'GASB Match'!$A$2:$B$240,2,FALSE),"")</f>
        <v/>
      </c>
    </row>
    <row r="3384" spans="1:8" x14ac:dyDescent="0.2">
      <c r="A3384" t="s">
        <v>7</v>
      </c>
      <c r="B3384" s="3">
        <v>2018</v>
      </c>
      <c r="C3384" t="s">
        <v>897</v>
      </c>
      <c r="D3384" t="s">
        <v>899</v>
      </c>
      <c r="E3384" t="s">
        <v>898</v>
      </c>
      <c r="F3384" s="4">
        <v>587000</v>
      </c>
      <c r="G3384" s="4" t="s">
        <v>7</v>
      </c>
      <c r="H3384" t="str">
        <f>IFERROR(VLOOKUP(E3384,'GASB Match'!$A$2:$B$240,2,FALSE),"")</f>
        <v/>
      </c>
    </row>
    <row r="3385" spans="1:8" x14ac:dyDescent="0.2">
      <c r="A3385" t="s">
        <v>7</v>
      </c>
      <c r="B3385" s="3">
        <v>2019</v>
      </c>
      <c r="C3385" t="s">
        <v>897</v>
      </c>
      <c r="D3385" t="s">
        <v>899</v>
      </c>
      <c r="E3385" t="s">
        <v>898</v>
      </c>
      <c r="F3385" s="4">
        <v>807538</v>
      </c>
      <c r="G3385" s="4" t="s">
        <v>7</v>
      </c>
      <c r="H3385" t="str">
        <f>IFERROR(VLOOKUP(E3385,'GASB Match'!$A$2:$B$240,2,FALSE),"")</f>
        <v/>
      </c>
    </row>
    <row r="3386" spans="1:8" x14ac:dyDescent="0.2">
      <c r="A3386" t="s">
        <v>7</v>
      </c>
      <c r="B3386" s="3">
        <v>2020</v>
      </c>
      <c r="C3386" t="s">
        <v>897</v>
      </c>
      <c r="D3386" t="s">
        <v>899</v>
      </c>
      <c r="E3386" t="s">
        <v>898</v>
      </c>
      <c r="F3386" s="4">
        <v>897941</v>
      </c>
      <c r="G3386" s="4" t="s">
        <v>7</v>
      </c>
      <c r="H3386" t="str">
        <f>IFERROR(VLOOKUP(E3386,'GASB Match'!$A$2:$B$240,2,FALSE),"")</f>
        <v/>
      </c>
    </row>
    <row r="3387" spans="1:8" x14ac:dyDescent="0.2">
      <c r="A3387" t="s">
        <v>7</v>
      </c>
      <c r="B3387" s="3">
        <v>2021</v>
      </c>
      <c r="C3387" t="s">
        <v>897</v>
      </c>
      <c r="D3387" t="s">
        <v>898</v>
      </c>
      <c r="E3387" t="s">
        <v>898</v>
      </c>
      <c r="F3387" s="4">
        <v>795148</v>
      </c>
      <c r="G3387" s="4" t="s">
        <v>7</v>
      </c>
      <c r="H3387" t="str">
        <f>IFERROR(VLOOKUP(E3387,'GASB Match'!$A$2:$B$240,2,FALSE),"")</f>
        <v/>
      </c>
    </row>
    <row r="3388" spans="1:8" x14ac:dyDescent="0.2">
      <c r="A3388" t="s">
        <v>7</v>
      </c>
      <c r="B3388" s="3">
        <v>2022</v>
      </c>
      <c r="C3388" t="s">
        <v>897</v>
      </c>
      <c r="D3388" t="s">
        <v>898</v>
      </c>
      <c r="E3388" t="s">
        <v>898</v>
      </c>
      <c r="F3388" s="4">
        <v>890084</v>
      </c>
      <c r="G3388" s="4" t="s">
        <v>7</v>
      </c>
      <c r="H3388" t="str">
        <f>IFERROR(VLOOKUP(E3388,'GASB Match'!$A$2:$B$240,2,FALSE),"")</f>
        <v/>
      </c>
    </row>
    <row r="3389" spans="1:8" x14ac:dyDescent="0.2">
      <c r="A3389" t="s">
        <v>7</v>
      </c>
      <c r="B3389" s="3">
        <v>2023</v>
      </c>
      <c r="C3389" t="s">
        <v>897</v>
      </c>
      <c r="D3389" t="s">
        <v>898</v>
      </c>
      <c r="E3389" t="s">
        <v>898</v>
      </c>
      <c r="F3389" s="4">
        <v>956104</v>
      </c>
      <c r="G3389" s="4" t="s">
        <v>7</v>
      </c>
      <c r="H3389" t="str">
        <f>IFERROR(VLOOKUP(E3389,'GASB Match'!$A$2:$B$240,2,FALSE),"")</f>
        <v/>
      </c>
    </row>
    <row r="3390" spans="1:8" x14ac:dyDescent="0.2">
      <c r="A3390">
        <v>1300253</v>
      </c>
      <c r="B3390" s="3">
        <v>2020</v>
      </c>
      <c r="C3390" t="s">
        <v>900</v>
      </c>
      <c r="D3390" t="s">
        <v>901</v>
      </c>
      <c r="E3390" t="s">
        <v>901</v>
      </c>
      <c r="F3390" s="4">
        <v>215070</v>
      </c>
      <c r="G3390" s="4" t="s">
        <v>7</v>
      </c>
      <c r="H3390">
        <f>IFERROR(VLOOKUP(E3390,'GASB Match'!$A$2:$B$240,2,FALSE),"")</f>
        <v>1300253</v>
      </c>
    </row>
    <row r="3391" spans="1:8" x14ac:dyDescent="0.2">
      <c r="A3391">
        <v>1300253</v>
      </c>
      <c r="B3391" s="3">
        <v>2021</v>
      </c>
      <c r="C3391" t="s">
        <v>900</v>
      </c>
      <c r="D3391" t="s">
        <v>901</v>
      </c>
      <c r="E3391" t="s">
        <v>901</v>
      </c>
      <c r="F3391" s="4">
        <v>295890</v>
      </c>
      <c r="G3391" s="4" t="s">
        <v>7</v>
      </c>
      <c r="H3391">
        <f>IFERROR(VLOOKUP(E3391,'GASB Match'!$A$2:$B$240,2,FALSE),"")</f>
        <v>1300253</v>
      </c>
    </row>
    <row r="3392" spans="1:8" x14ac:dyDescent="0.2">
      <c r="A3392">
        <v>1300253</v>
      </c>
      <c r="B3392" s="3">
        <v>2022</v>
      </c>
      <c r="C3392" t="s">
        <v>900</v>
      </c>
      <c r="D3392" t="s">
        <v>901</v>
      </c>
      <c r="E3392" t="s">
        <v>901</v>
      </c>
      <c r="F3392" s="4">
        <v>358880</v>
      </c>
      <c r="G3392" s="4" t="s">
        <v>7</v>
      </c>
      <c r="H3392">
        <f>IFERROR(VLOOKUP(E3392,'GASB Match'!$A$2:$B$240,2,FALSE),"")</f>
        <v>1300253</v>
      </c>
    </row>
    <row r="3393" spans="1:8" x14ac:dyDescent="0.2">
      <c r="A3393">
        <v>1300253</v>
      </c>
      <c r="B3393" s="3">
        <v>2023</v>
      </c>
      <c r="C3393" t="s">
        <v>900</v>
      </c>
      <c r="D3393" t="s">
        <v>901</v>
      </c>
      <c r="E3393" t="s">
        <v>901</v>
      </c>
      <c r="F3393" s="4">
        <v>432580</v>
      </c>
      <c r="G3393" s="4" t="s">
        <v>7</v>
      </c>
      <c r="H3393">
        <f>IFERROR(VLOOKUP(E3393,'GASB Match'!$A$2:$B$240,2,FALSE),"")</f>
        <v>1300253</v>
      </c>
    </row>
    <row r="3394" spans="1:8" x14ac:dyDescent="0.2">
      <c r="A3394">
        <v>1300260</v>
      </c>
      <c r="B3394" s="3">
        <v>2021</v>
      </c>
      <c r="C3394" t="s">
        <v>902</v>
      </c>
      <c r="D3394" t="s">
        <v>903</v>
      </c>
      <c r="E3394" t="s">
        <v>903</v>
      </c>
      <c r="F3394" s="4">
        <v>81694</v>
      </c>
      <c r="G3394" s="4" t="s">
        <v>7</v>
      </c>
      <c r="H3394">
        <f>IFERROR(VLOOKUP(E3394,'GASB Match'!$A$2:$B$240,2,FALSE),"")</f>
        <v>1300260</v>
      </c>
    </row>
    <row r="3395" spans="1:8" x14ac:dyDescent="0.2">
      <c r="A3395">
        <v>1300260</v>
      </c>
      <c r="B3395" s="3">
        <v>2022</v>
      </c>
      <c r="C3395" t="s">
        <v>902</v>
      </c>
      <c r="D3395" t="s">
        <v>903</v>
      </c>
      <c r="E3395" t="s">
        <v>903</v>
      </c>
      <c r="F3395" s="4">
        <v>5264</v>
      </c>
      <c r="G3395" s="4" t="s">
        <v>7</v>
      </c>
      <c r="H3395">
        <f>IFERROR(VLOOKUP(E3395,'GASB Match'!$A$2:$B$240,2,FALSE),"")</f>
        <v>1300260</v>
      </c>
    </row>
    <row r="3396" spans="1:8" x14ac:dyDescent="0.2">
      <c r="A3396">
        <v>1300255</v>
      </c>
      <c r="B3396" s="3">
        <v>2020</v>
      </c>
      <c r="C3396" t="s">
        <v>904</v>
      </c>
      <c r="D3396" t="s">
        <v>905</v>
      </c>
      <c r="E3396" t="s">
        <v>905</v>
      </c>
      <c r="F3396" s="4">
        <v>189435</v>
      </c>
      <c r="G3396" s="4" t="s">
        <v>7</v>
      </c>
      <c r="H3396">
        <f>IFERROR(VLOOKUP(E3396,'GASB Match'!$A$2:$B$240,2,FALSE),"")</f>
        <v>1300255</v>
      </c>
    </row>
    <row r="3397" spans="1:8" x14ac:dyDescent="0.2">
      <c r="A3397">
        <v>1300255</v>
      </c>
      <c r="B3397" s="3">
        <v>2021</v>
      </c>
      <c r="C3397" t="s">
        <v>904</v>
      </c>
      <c r="D3397" t="s">
        <v>905</v>
      </c>
      <c r="E3397" t="s">
        <v>905</v>
      </c>
      <c r="F3397" s="4">
        <v>263703</v>
      </c>
      <c r="G3397" s="4" t="s">
        <v>7</v>
      </c>
      <c r="H3397">
        <f>IFERROR(VLOOKUP(E3397,'GASB Match'!$A$2:$B$240,2,FALSE),"")</f>
        <v>1300255</v>
      </c>
    </row>
    <row r="3398" spans="1:8" x14ac:dyDescent="0.2">
      <c r="A3398">
        <v>1300255</v>
      </c>
      <c r="B3398" s="3">
        <v>2022</v>
      </c>
      <c r="C3398" t="s">
        <v>904</v>
      </c>
      <c r="D3398" t="s">
        <v>905</v>
      </c>
      <c r="E3398" t="s">
        <v>905</v>
      </c>
      <c r="F3398" s="4">
        <v>398126</v>
      </c>
      <c r="G3398" s="4" t="s">
        <v>7</v>
      </c>
      <c r="H3398">
        <f>IFERROR(VLOOKUP(E3398,'GASB Match'!$A$2:$B$240,2,FALSE),"")</f>
        <v>1300255</v>
      </c>
    </row>
    <row r="3399" spans="1:8" x14ac:dyDescent="0.2">
      <c r="A3399">
        <v>1300255</v>
      </c>
      <c r="B3399" s="3">
        <v>2023</v>
      </c>
      <c r="C3399" t="s">
        <v>904</v>
      </c>
      <c r="D3399" t="s">
        <v>905</v>
      </c>
      <c r="E3399" t="s">
        <v>905</v>
      </c>
      <c r="F3399" s="4">
        <v>474117</v>
      </c>
      <c r="G3399" s="4" t="s">
        <v>7</v>
      </c>
      <c r="H3399">
        <f>IFERROR(VLOOKUP(E3399,'GASB Match'!$A$2:$B$240,2,FALSE),"")</f>
        <v>1300255</v>
      </c>
    </row>
    <row r="3400" spans="1:8" x14ac:dyDescent="0.2">
      <c r="A3400">
        <v>1300229</v>
      </c>
      <c r="B3400" s="3">
        <v>2015</v>
      </c>
      <c r="C3400" t="s">
        <v>906</v>
      </c>
      <c r="D3400" t="s">
        <v>907</v>
      </c>
      <c r="E3400" t="s">
        <v>907</v>
      </c>
      <c r="F3400" s="4">
        <v>196528.87</v>
      </c>
      <c r="G3400" s="4" t="s">
        <v>7</v>
      </c>
      <c r="H3400">
        <f>IFERROR(VLOOKUP(E3400,'GASB Match'!$A$2:$B$240,2,FALSE),"")</f>
        <v>1300229</v>
      </c>
    </row>
    <row r="3401" spans="1:8" x14ac:dyDescent="0.2">
      <c r="A3401">
        <v>1300229</v>
      </c>
      <c r="B3401" s="3">
        <v>2016</v>
      </c>
      <c r="C3401" t="s">
        <v>906</v>
      </c>
      <c r="D3401" t="s">
        <v>907</v>
      </c>
      <c r="E3401" t="s">
        <v>907</v>
      </c>
      <c r="F3401" s="4">
        <v>159189.03</v>
      </c>
      <c r="G3401" s="4" t="s">
        <v>7</v>
      </c>
      <c r="H3401">
        <f>IFERROR(VLOOKUP(E3401,'GASB Match'!$A$2:$B$240,2,FALSE),"")</f>
        <v>1300229</v>
      </c>
    </row>
    <row r="3402" spans="1:8" x14ac:dyDescent="0.2">
      <c r="A3402">
        <v>1300229</v>
      </c>
      <c r="B3402" s="3">
        <v>2017</v>
      </c>
      <c r="C3402" t="s">
        <v>906</v>
      </c>
      <c r="D3402" t="s">
        <v>907</v>
      </c>
      <c r="E3402" t="s">
        <v>907</v>
      </c>
      <c r="F3402" s="4">
        <v>7082</v>
      </c>
      <c r="G3402" s="4" t="s">
        <v>7</v>
      </c>
      <c r="H3402">
        <f>IFERROR(VLOOKUP(E3402,'GASB Match'!$A$2:$B$240,2,FALSE),"")</f>
        <v>1300229</v>
      </c>
    </row>
    <row r="3403" spans="1:8" x14ac:dyDescent="0.2">
      <c r="A3403">
        <v>1300215</v>
      </c>
      <c r="B3403" s="3">
        <v>2015</v>
      </c>
      <c r="C3403" t="s">
        <v>908</v>
      </c>
      <c r="D3403" t="s">
        <v>909</v>
      </c>
      <c r="E3403" t="s">
        <v>909</v>
      </c>
      <c r="F3403" s="4">
        <v>171686.57</v>
      </c>
      <c r="G3403" s="4" t="s">
        <v>7</v>
      </c>
      <c r="H3403">
        <f>IFERROR(VLOOKUP(E3403,'GASB Match'!$A$2:$B$240,2,FALSE),"")</f>
        <v>1300215</v>
      </c>
    </row>
    <row r="3404" spans="1:8" x14ac:dyDescent="0.2">
      <c r="A3404">
        <v>1300215</v>
      </c>
      <c r="B3404" s="3">
        <v>2016</v>
      </c>
      <c r="C3404" t="s">
        <v>908</v>
      </c>
      <c r="D3404" t="s">
        <v>909</v>
      </c>
      <c r="E3404" t="s">
        <v>909</v>
      </c>
      <c r="F3404" s="4">
        <v>141987.95000000001</v>
      </c>
      <c r="G3404" s="4" t="s">
        <v>7</v>
      </c>
      <c r="H3404">
        <f>IFERROR(VLOOKUP(E3404,'GASB Match'!$A$2:$B$240,2,FALSE),"")</f>
        <v>1300215</v>
      </c>
    </row>
    <row r="3405" spans="1:8" x14ac:dyDescent="0.2">
      <c r="A3405">
        <v>1300215</v>
      </c>
      <c r="B3405" s="3">
        <v>2017</v>
      </c>
      <c r="C3405" t="s">
        <v>908</v>
      </c>
      <c r="D3405" t="s">
        <v>909</v>
      </c>
      <c r="E3405" t="s">
        <v>909</v>
      </c>
      <c r="F3405" s="4">
        <v>108229</v>
      </c>
      <c r="G3405" s="4" t="s">
        <v>7</v>
      </c>
      <c r="H3405">
        <f>IFERROR(VLOOKUP(E3405,'GASB Match'!$A$2:$B$240,2,FALSE),"")</f>
        <v>1300215</v>
      </c>
    </row>
    <row r="3406" spans="1:8" x14ac:dyDescent="0.2">
      <c r="A3406">
        <v>1300215</v>
      </c>
      <c r="B3406" s="3">
        <v>2018</v>
      </c>
      <c r="C3406" t="s">
        <v>908</v>
      </c>
      <c r="D3406" t="s">
        <v>909</v>
      </c>
      <c r="E3406" t="s">
        <v>909</v>
      </c>
      <c r="F3406" s="4">
        <v>71583</v>
      </c>
      <c r="G3406" s="4" t="s">
        <v>7</v>
      </c>
      <c r="H3406">
        <f>IFERROR(VLOOKUP(E3406,'GASB Match'!$A$2:$B$240,2,FALSE),"")</f>
        <v>1300215</v>
      </c>
    </row>
    <row r="3407" spans="1:8" x14ac:dyDescent="0.2">
      <c r="A3407">
        <v>1300215</v>
      </c>
      <c r="B3407" s="3">
        <v>2019</v>
      </c>
      <c r="C3407" t="s">
        <v>908</v>
      </c>
      <c r="D3407" t="s">
        <v>909</v>
      </c>
      <c r="E3407" t="s">
        <v>909</v>
      </c>
      <c r="F3407" s="4">
        <v>2096</v>
      </c>
      <c r="G3407" s="4" t="s">
        <v>7</v>
      </c>
      <c r="H3407">
        <f>IFERROR(VLOOKUP(E3407,'GASB Match'!$A$2:$B$240,2,FALSE),"")</f>
        <v>1300215</v>
      </c>
    </row>
    <row r="3408" spans="1:8" x14ac:dyDescent="0.2">
      <c r="A3408">
        <v>1300226</v>
      </c>
      <c r="B3408" s="3">
        <v>2015</v>
      </c>
      <c r="C3408" t="s">
        <v>910</v>
      </c>
      <c r="D3408" t="s">
        <v>912</v>
      </c>
      <c r="E3408" t="s">
        <v>911</v>
      </c>
      <c r="F3408" s="4">
        <v>194669.54</v>
      </c>
      <c r="G3408" s="4" t="s">
        <v>7</v>
      </c>
      <c r="H3408">
        <f>IFERROR(VLOOKUP(E3408,'GASB Match'!$A$2:$B$240,2,FALSE),"")</f>
        <v>1300226</v>
      </c>
    </row>
    <row r="3409" spans="1:8" x14ac:dyDescent="0.2">
      <c r="A3409">
        <v>1300226</v>
      </c>
      <c r="B3409" s="3">
        <v>2016</v>
      </c>
      <c r="C3409" t="s">
        <v>910</v>
      </c>
      <c r="D3409" t="s">
        <v>912</v>
      </c>
      <c r="E3409" t="s">
        <v>911</v>
      </c>
      <c r="F3409" s="4">
        <v>246893.09</v>
      </c>
      <c r="G3409" s="4" t="s">
        <v>7</v>
      </c>
      <c r="H3409">
        <f>IFERROR(VLOOKUP(E3409,'GASB Match'!$A$2:$B$240,2,FALSE),"")</f>
        <v>1300226</v>
      </c>
    </row>
    <row r="3410" spans="1:8" x14ac:dyDescent="0.2">
      <c r="A3410">
        <v>1300226</v>
      </c>
      <c r="B3410" s="3">
        <v>2017</v>
      </c>
      <c r="C3410" t="s">
        <v>910</v>
      </c>
      <c r="D3410" t="s">
        <v>912</v>
      </c>
      <c r="E3410" t="s">
        <v>911</v>
      </c>
      <c r="F3410" s="4">
        <v>309234</v>
      </c>
      <c r="G3410" s="4" t="s">
        <v>7</v>
      </c>
      <c r="H3410">
        <f>IFERROR(VLOOKUP(E3410,'GASB Match'!$A$2:$B$240,2,FALSE),"")</f>
        <v>1300226</v>
      </c>
    </row>
    <row r="3411" spans="1:8" x14ac:dyDescent="0.2">
      <c r="A3411">
        <v>1300226</v>
      </c>
      <c r="B3411" s="3">
        <v>2018</v>
      </c>
      <c r="C3411" t="s">
        <v>910</v>
      </c>
      <c r="D3411" t="s">
        <v>912</v>
      </c>
      <c r="E3411" t="s">
        <v>911</v>
      </c>
      <c r="F3411" s="4">
        <v>391140</v>
      </c>
      <c r="G3411" s="4" t="s">
        <v>7</v>
      </c>
      <c r="H3411">
        <f>IFERROR(VLOOKUP(E3411,'GASB Match'!$A$2:$B$240,2,FALSE),"")</f>
        <v>1300226</v>
      </c>
    </row>
    <row r="3412" spans="1:8" x14ac:dyDescent="0.2">
      <c r="A3412">
        <v>1300226</v>
      </c>
      <c r="B3412" s="3">
        <v>2019</v>
      </c>
      <c r="C3412" t="s">
        <v>910</v>
      </c>
      <c r="D3412" t="s">
        <v>912</v>
      </c>
      <c r="E3412" t="s">
        <v>911</v>
      </c>
      <c r="F3412" s="4">
        <v>440261</v>
      </c>
      <c r="G3412" s="4" t="s">
        <v>7</v>
      </c>
      <c r="H3412">
        <f>IFERROR(VLOOKUP(E3412,'GASB Match'!$A$2:$B$240,2,FALSE),"")</f>
        <v>1300226</v>
      </c>
    </row>
    <row r="3413" spans="1:8" x14ac:dyDescent="0.2">
      <c r="A3413">
        <v>1300226</v>
      </c>
      <c r="B3413" s="3">
        <v>2020</v>
      </c>
      <c r="C3413" t="s">
        <v>910</v>
      </c>
      <c r="D3413" t="s">
        <v>912</v>
      </c>
      <c r="E3413" t="s">
        <v>911</v>
      </c>
      <c r="F3413" s="4">
        <v>507791</v>
      </c>
      <c r="G3413" s="4" t="s">
        <v>7</v>
      </c>
      <c r="H3413">
        <f>IFERROR(VLOOKUP(E3413,'GASB Match'!$A$2:$B$240,2,FALSE),"")</f>
        <v>1300226</v>
      </c>
    </row>
    <row r="3414" spans="1:8" x14ac:dyDescent="0.2">
      <c r="A3414">
        <v>1300226</v>
      </c>
      <c r="B3414" s="3">
        <v>2021</v>
      </c>
      <c r="C3414" t="s">
        <v>910</v>
      </c>
      <c r="D3414" t="s">
        <v>912</v>
      </c>
      <c r="E3414" t="s">
        <v>911</v>
      </c>
      <c r="F3414" s="4">
        <v>497368</v>
      </c>
      <c r="G3414" s="4" t="s">
        <v>7</v>
      </c>
      <c r="H3414">
        <f>IFERROR(VLOOKUP(E3414,'GASB Match'!$A$2:$B$240,2,FALSE),"")</f>
        <v>1300226</v>
      </c>
    </row>
    <row r="3415" spans="1:8" x14ac:dyDescent="0.2">
      <c r="A3415">
        <v>1300226</v>
      </c>
      <c r="B3415" s="3">
        <v>2022</v>
      </c>
      <c r="C3415" t="s">
        <v>910</v>
      </c>
      <c r="D3415" t="s">
        <v>911</v>
      </c>
      <c r="E3415" t="s">
        <v>911</v>
      </c>
      <c r="F3415" s="4">
        <v>600647</v>
      </c>
      <c r="G3415" s="4" t="s">
        <v>7</v>
      </c>
      <c r="H3415">
        <f>IFERROR(VLOOKUP(E3415,'GASB Match'!$A$2:$B$240,2,FALSE),"")</f>
        <v>1300226</v>
      </c>
    </row>
    <row r="3416" spans="1:8" x14ac:dyDescent="0.2">
      <c r="A3416">
        <v>1300226</v>
      </c>
      <c r="B3416" s="3">
        <v>2023</v>
      </c>
      <c r="C3416" t="s">
        <v>910</v>
      </c>
      <c r="D3416" t="s">
        <v>911</v>
      </c>
      <c r="E3416" t="s">
        <v>911</v>
      </c>
      <c r="F3416" s="4">
        <v>649595</v>
      </c>
      <c r="G3416" s="4" t="s">
        <v>7</v>
      </c>
      <c r="H3416">
        <f>IFERROR(VLOOKUP(E3416,'GASB Match'!$A$2:$B$240,2,FALSE),"")</f>
        <v>1300226</v>
      </c>
    </row>
    <row r="3417" spans="1:8" x14ac:dyDescent="0.2">
      <c r="A3417">
        <v>1300216</v>
      </c>
      <c r="B3417" s="3">
        <v>2015</v>
      </c>
      <c r="C3417" t="s">
        <v>913</v>
      </c>
      <c r="D3417" t="s">
        <v>914</v>
      </c>
      <c r="E3417" t="s">
        <v>914</v>
      </c>
      <c r="F3417" s="4"/>
      <c r="G3417" s="4" t="s">
        <v>7</v>
      </c>
      <c r="H3417">
        <f>IFERROR(VLOOKUP(E3417,'GASB Match'!$A$2:$B$240,2,FALSE),"")</f>
        <v>1300216</v>
      </c>
    </row>
    <row r="3418" spans="1:8" x14ac:dyDescent="0.2">
      <c r="A3418">
        <v>1300023</v>
      </c>
      <c r="B3418" s="3">
        <v>2015</v>
      </c>
      <c r="C3418" t="s">
        <v>915</v>
      </c>
      <c r="D3418" t="s">
        <v>916</v>
      </c>
      <c r="E3418" t="s">
        <v>916</v>
      </c>
      <c r="F3418" s="4">
        <v>247230.21</v>
      </c>
      <c r="G3418" s="4" t="s">
        <v>7</v>
      </c>
      <c r="H3418">
        <f>IFERROR(VLOOKUP(E3418,'GASB Match'!$A$2:$B$240,2,FALSE),"")</f>
        <v>1300023</v>
      </c>
    </row>
    <row r="3419" spans="1:8" x14ac:dyDescent="0.2">
      <c r="A3419">
        <v>1300023</v>
      </c>
      <c r="B3419" s="3">
        <v>2016</v>
      </c>
      <c r="C3419" t="s">
        <v>915</v>
      </c>
      <c r="D3419" t="s">
        <v>916</v>
      </c>
      <c r="E3419" t="s">
        <v>916</v>
      </c>
      <c r="F3419" s="4">
        <v>254423.22</v>
      </c>
      <c r="G3419" s="4" t="s">
        <v>7</v>
      </c>
      <c r="H3419">
        <f>IFERROR(VLOOKUP(E3419,'GASB Match'!$A$2:$B$240,2,FALSE),"")</f>
        <v>1300023</v>
      </c>
    </row>
    <row r="3420" spans="1:8" x14ac:dyDescent="0.2">
      <c r="A3420">
        <v>1300023</v>
      </c>
      <c r="B3420" s="3">
        <v>2017</v>
      </c>
      <c r="C3420" t="s">
        <v>915</v>
      </c>
      <c r="D3420" t="s">
        <v>916</v>
      </c>
      <c r="E3420" t="s">
        <v>916</v>
      </c>
      <c r="F3420" s="4">
        <v>249896</v>
      </c>
      <c r="G3420" s="4" t="s">
        <v>7</v>
      </c>
      <c r="H3420">
        <f>IFERROR(VLOOKUP(E3420,'GASB Match'!$A$2:$B$240,2,FALSE),"")</f>
        <v>1300023</v>
      </c>
    </row>
    <row r="3421" spans="1:8" x14ac:dyDescent="0.2">
      <c r="A3421">
        <v>1300023</v>
      </c>
      <c r="B3421" s="3">
        <v>2018</v>
      </c>
      <c r="C3421" t="s">
        <v>915</v>
      </c>
      <c r="D3421" t="s">
        <v>916</v>
      </c>
      <c r="E3421" t="s">
        <v>916</v>
      </c>
      <c r="F3421" s="4">
        <v>307430</v>
      </c>
      <c r="G3421" s="4" t="s">
        <v>7</v>
      </c>
      <c r="H3421">
        <f>IFERROR(VLOOKUP(E3421,'GASB Match'!$A$2:$B$240,2,FALSE),"")</f>
        <v>1300023</v>
      </c>
    </row>
    <row r="3422" spans="1:8" x14ac:dyDescent="0.2">
      <c r="A3422">
        <v>1300023</v>
      </c>
      <c r="B3422" s="3">
        <v>2019</v>
      </c>
      <c r="C3422" t="s">
        <v>915</v>
      </c>
      <c r="D3422" t="s">
        <v>916</v>
      </c>
      <c r="E3422" t="s">
        <v>916</v>
      </c>
      <c r="F3422" s="4">
        <v>379205</v>
      </c>
      <c r="G3422" s="4" t="s">
        <v>7</v>
      </c>
      <c r="H3422">
        <f>IFERROR(VLOOKUP(E3422,'GASB Match'!$A$2:$B$240,2,FALSE),"")</f>
        <v>1300023</v>
      </c>
    </row>
    <row r="3423" spans="1:8" x14ac:dyDescent="0.2">
      <c r="A3423">
        <v>1300023</v>
      </c>
      <c r="B3423" s="3">
        <v>2020</v>
      </c>
      <c r="C3423" t="s">
        <v>915</v>
      </c>
      <c r="D3423" t="s">
        <v>916</v>
      </c>
      <c r="E3423" t="s">
        <v>916</v>
      </c>
      <c r="F3423" s="4">
        <v>404262</v>
      </c>
      <c r="G3423" s="4" t="s">
        <v>7</v>
      </c>
      <c r="H3423">
        <f>IFERROR(VLOOKUP(E3423,'GASB Match'!$A$2:$B$240,2,FALSE),"")</f>
        <v>1300023</v>
      </c>
    </row>
    <row r="3424" spans="1:8" x14ac:dyDescent="0.2">
      <c r="A3424">
        <v>1300023</v>
      </c>
      <c r="B3424" s="3">
        <v>2021</v>
      </c>
      <c r="C3424" t="s">
        <v>915</v>
      </c>
      <c r="D3424" t="s">
        <v>916</v>
      </c>
      <c r="E3424" t="s">
        <v>916</v>
      </c>
      <c r="F3424" s="4">
        <v>375240</v>
      </c>
      <c r="G3424" s="4" t="s">
        <v>7</v>
      </c>
      <c r="H3424">
        <f>IFERROR(VLOOKUP(E3424,'GASB Match'!$A$2:$B$240,2,FALSE),"")</f>
        <v>1300023</v>
      </c>
    </row>
    <row r="3425" spans="1:8" x14ac:dyDescent="0.2">
      <c r="A3425">
        <v>1300023</v>
      </c>
      <c r="B3425" s="3">
        <v>2022</v>
      </c>
      <c r="C3425" t="s">
        <v>915</v>
      </c>
      <c r="D3425" t="s">
        <v>916</v>
      </c>
      <c r="E3425" t="s">
        <v>916</v>
      </c>
      <c r="F3425" s="4">
        <v>402973</v>
      </c>
      <c r="G3425" s="4" t="s">
        <v>7</v>
      </c>
      <c r="H3425">
        <f>IFERROR(VLOOKUP(E3425,'GASB Match'!$A$2:$B$240,2,FALSE),"")</f>
        <v>1300023</v>
      </c>
    </row>
    <row r="3426" spans="1:8" x14ac:dyDescent="0.2">
      <c r="A3426">
        <v>1300023</v>
      </c>
      <c r="B3426" s="3">
        <v>2023</v>
      </c>
      <c r="C3426" t="s">
        <v>915</v>
      </c>
      <c r="D3426" t="s">
        <v>916</v>
      </c>
      <c r="E3426" t="s">
        <v>916</v>
      </c>
      <c r="F3426" s="4">
        <v>402066</v>
      </c>
      <c r="G3426" s="4" t="s">
        <v>7</v>
      </c>
      <c r="H3426">
        <f>IFERROR(VLOOKUP(E3426,'GASB Match'!$A$2:$B$240,2,FALSE),"")</f>
        <v>1300023</v>
      </c>
    </row>
    <row r="3427" spans="1:8" x14ac:dyDescent="0.2">
      <c r="A3427" t="s">
        <v>7</v>
      </c>
      <c r="B3427" s="3">
        <v>2015</v>
      </c>
      <c r="C3427" t="s">
        <v>917</v>
      </c>
      <c r="D3427" t="s">
        <v>919</v>
      </c>
      <c r="E3427" t="s">
        <v>918</v>
      </c>
      <c r="F3427" s="4">
        <v>230117.09</v>
      </c>
      <c r="G3427" s="4" t="s">
        <v>7</v>
      </c>
      <c r="H3427" t="str">
        <f>IFERROR(VLOOKUP(E3427,'GASB Match'!$A$2:$B$240,2,FALSE),"")</f>
        <v/>
      </c>
    </row>
    <row r="3428" spans="1:8" x14ac:dyDescent="0.2">
      <c r="A3428" t="s">
        <v>7</v>
      </c>
      <c r="B3428" s="3">
        <v>2016</v>
      </c>
      <c r="C3428" t="s">
        <v>917</v>
      </c>
      <c r="D3428" t="s">
        <v>919</v>
      </c>
      <c r="E3428" t="s">
        <v>918</v>
      </c>
      <c r="F3428" s="4">
        <v>271696.84000000003</v>
      </c>
      <c r="G3428" s="4" t="s">
        <v>7</v>
      </c>
      <c r="H3428" t="str">
        <f>IFERROR(VLOOKUP(E3428,'GASB Match'!$A$2:$B$240,2,FALSE),"")</f>
        <v/>
      </c>
    </row>
    <row r="3429" spans="1:8" x14ac:dyDescent="0.2">
      <c r="A3429" t="s">
        <v>7</v>
      </c>
      <c r="B3429" s="3">
        <v>2017</v>
      </c>
      <c r="C3429" t="s">
        <v>917</v>
      </c>
      <c r="D3429" t="s">
        <v>919</v>
      </c>
      <c r="E3429" t="s">
        <v>918</v>
      </c>
      <c r="F3429" s="4">
        <v>292225</v>
      </c>
      <c r="G3429" s="4" t="s">
        <v>7</v>
      </c>
      <c r="H3429" t="str">
        <f>IFERROR(VLOOKUP(E3429,'GASB Match'!$A$2:$B$240,2,FALSE),"")</f>
        <v/>
      </c>
    </row>
    <row r="3430" spans="1:8" x14ac:dyDescent="0.2">
      <c r="A3430" t="s">
        <v>7</v>
      </c>
      <c r="B3430" s="3">
        <v>2018</v>
      </c>
      <c r="C3430" t="s">
        <v>917</v>
      </c>
      <c r="D3430" t="s">
        <v>919</v>
      </c>
      <c r="E3430" t="s">
        <v>918</v>
      </c>
      <c r="F3430" s="4">
        <v>393565</v>
      </c>
      <c r="G3430" s="4" t="s">
        <v>7</v>
      </c>
      <c r="H3430" t="str">
        <f>IFERROR(VLOOKUP(E3430,'GASB Match'!$A$2:$B$240,2,FALSE),"")</f>
        <v/>
      </c>
    </row>
    <row r="3431" spans="1:8" x14ac:dyDescent="0.2">
      <c r="A3431" t="s">
        <v>7</v>
      </c>
      <c r="B3431" s="3">
        <v>2019</v>
      </c>
      <c r="C3431" t="s">
        <v>917</v>
      </c>
      <c r="D3431" t="s">
        <v>919</v>
      </c>
      <c r="E3431" t="s">
        <v>918</v>
      </c>
      <c r="F3431" s="4">
        <v>511346</v>
      </c>
      <c r="G3431" s="4" t="s">
        <v>7</v>
      </c>
      <c r="H3431" t="str">
        <f>IFERROR(VLOOKUP(E3431,'GASB Match'!$A$2:$B$240,2,FALSE),"")</f>
        <v/>
      </c>
    </row>
    <row r="3432" spans="1:8" x14ac:dyDescent="0.2">
      <c r="A3432" t="s">
        <v>7</v>
      </c>
      <c r="B3432" s="3">
        <v>2020</v>
      </c>
      <c r="C3432" t="s">
        <v>917</v>
      </c>
      <c r="D3432" t="s">
        <v>919</v>
      </c>
      <c r="E3432" t="s">
        <v>918</v>
      </c>
      <c r="F3432" s="4">
        <v>510575</v>
      </c>
      <c r="G3432" s="4" t="s">
        <v>7</v>
      </c>
      <c r="H3432" t="str">
        <f>IFERROR(VLOOKUP(E3432,'GASB Match'!$A$2:$B$240,2,FALSE),"")</f>
        <v/>
      </c>
    </row>
    <row r="3433" spans="1:8" x14ac:dyDescent="0.2">
      <c r="A3433" t="s">
        <v>7</v>
      </c>
      <c r="B3433" s="3">
        <v>2021</v>
      </c>
      <c r="C3433" t="s">
        <v>917</v>
      </c>
      <c r="D3433" t="s">
        <v>919</v>
      </c>
      <c r="E3433" t="s">
        <v>918</v>
      </c>
      <c r="F3433" s="4">
        <v>368207</v>
      </c>
      <c r="G3433" s="4" t="s">
        <v>7</v>
      </c>
      <c r="H3433" t="str">
        <f>IFERROR(VLOOKUP(E3433,'GASB Match'!$A$2:$B$240,2,FALSE),"")</f>
        <v/>
      </c>
    </row>
    <row r="3434" spans="1:8" x14ac:dyDescent="0.2">
      <c r="A3434" t="s">
        <v>7</v>
      </c>
      <c r="B3434" s="3">
        <v>2022</v>
      </c>
      <c r="C3434" t="s">
        <v>917</v>
      </c>
      <c r="D3434" t="s">
        <v>918</v>
      </c>
      <c r="E3434" t="s">
        <v>918</v>
      </c>
      <c r="F3434" s="4">
        <v>385085</v>
      </c>
      <c r="G3434" s="4" t="s">
        <v>7</v>
      </c>
      <c r="H3434" t="str">
        <f>IFERROR(VLOOKUP(E3434,'GASB Match'!$A$2:$B$240,2,FALSE),"")</f>
        <v/>
      </c>
    </row>
    <row r="3435" spans="1:8" x14ac:dyDescent="0.2">
      <c r="A3435" t="s">
        <v>7</v>
      </c>
      <c r="B3435" s="3">
        <v>2023</v>
      </c>
      <c r="C3435" t="s">
        <v>917</v>
      </c>
      <c r="D3435" t="s">
        <v>918</v>
      </c>
      <c r="E3435" t="s">
        <v>918</v>
      </c>
      <c r="F3435" s="4">
        <v>421273</v>
      </c>
      <c r="G3435" s="4" t="s">
        <v>7</v>
      </c>
      <c r="H3435" t="str">
        <f>IFERROR(VLOOKUP(E3435,'GASB Match'!$A$2:$B$240,2,FALSE),"")</f>
        <v/>
      </c>
    </row>
    <row r="3436" spans="1:8" x14ac:dyDescent="0.2">
      <c r="A3436" t="s">
        <v>7</v>
      </c>
      <c r="B3436" s="3">
        <v>2015</v>
      </c>
      <c r="C3436" t="s">
        <v>920</v>
      </c>
      <c r="D3436" t="s">
        <v>922</v>
      </c>
      <c r="E3436" t="s">
        <v>921</v>
      </c>
      <c r="F3436" s="4">
        <v>293758.27</v>
      </c>
      <c r="G3436" s="4" t="s">
        <v>7</v>
      </c>
      <c r="H3436" t="str">
        <f>IFERROR(VLOOKUP(E3436,'GASB Match'!$A$2:$B$240,2,FALSE),"")</f>
        <v/>
      </c>
    </row>
    <row r="3437" spans="1:8" x14ac:dyDescent="0.2">
      <c r="A3437" t="s">
        <v>7</v>
      </c>
      <c r="B3437" s="3">
        <v>2016</v>
      </c>
      <c r="C3437" t="s">
        <v>920</v>
      </c>
      <c r="D3437" t="s">
        <v>922</v>
      </c>
      <c r="E3437" t="s">
        <v>921</v>
      </c>
      <c r="F3437" s="4">
        <v>397619</v>
      </c>
      <c r="G3437" s="4" t="s">
        <v>7</v>
      </c>
      <c r="H3437" t="str">
        <f>IFERROR(VLOOKUP(E3437,'GASB Match'!$A$2:$B$240,2,FALSE),"")</f>
        <v/>
      </c>
    </row>
    <row r="3438" spans="1:8" x14ac:dyDescent="0.2">
      <c r="A3438" t="s">
        <v>7</v>
      </c>
      <c r="B3438" s="3">
        <v>2017</v>
      </c>
      <c r="C3438" t="s">
        <v>920</v>
      </c>
      <c r="D3438" t="s">
        <v>922</v>
      </c>
      <c r="E3438" t="s">
        <v>921</v>
      </c>
      <c r="F3438" s="4">
        <v>442830</v>
      </c>
      <c r="G3438" s="4" t="s">
        <v>7</v>
      </c>
      <c r="H3438" t="str">
        <f>IFERROR(VLOOKUP(E3438,'GASB Match'!$A$2:$B$240,2,FALSE),"")</f>
        <v/>
      </c>
    </row>
    <row r="3439" spans="1:8" x14ac:dyDescent="0.2">
      <c r="A3439" t="s">
        <v>7</v>
      </c>
      <c r="B3439" s="3">
        <v>2018</v>
      </c>
      <c r="C3439" t="s">
        <v>920</v>
      </c>
      <c r="D3439" t="s">
        <v>922</v>
      </c>
      <c r="E3439" t="s">
        <v>921</v>
      </c>
      <c r="F3439" s="4">
        <v>568422</v>
      </c>
      <c r="G3439" s="4" t="s">
        <v>7</v>
      </c>
      <c r="H3439" t="str">
        <f>IFERROR(VLOOKUP(E3439,'GASB Match'!$A$2:$B$240,2,FALSE),"")</f>
        <v/>
      </c>
    </row>
    <row r="3440" spans="1:8" x14ac:dyDescent="0.2">
      <c r="A3440" t="s">
        <v>7</v>
      </c>
      <c r="B3440" s="3">
        <v>2019</v>
      </c>
      <c r="C3440" t="s">
        <v>920</v>
      </c>
      <c r="D3440" t="s">
        <v>922</v>
      </c>
      <c r="E3440" t="s">
        <v>921</v>
      </c>
      <c r="F3440" s="4">
        <v>807337</v>
      </c>
      <c r="G3440" s="4" t="s">
        <v>7</v>
      </c>
      <c r="H3440" t="str">
        <f>IFERROR(VLOOKUP(E3440,'GASB Match'!$A$2:$B$240,2,FALSE),"")</f>
        <v/>
      </c>
    </row>
    <row r="3441" spans="1:8" x14ac:dyDescent="0.2">
      <c r="A3441" t="s">
        <v>7</v>
      </c>
      <c r="B3441" s="3">
        <v>2020</v>
      </c>
      <c r="C3441" t="s">
        <v>920</v>
      </c>
      <c r="D3441" t="s">
        <v>922</v>
      </c>
      <c r="E3441" t="s">
        <v>921</v>
      </c>
      <c r="F3441" s="4">
        <v>978463</v>
      </c>
      <c r="G3441" s="4" t="s">
        <v>7</v>
      </c>
      <c r="H3441" t="str">
        <f>IFERROR(VLOOKUP(E3441,'GASB Match'!$A$2:$B$240,2,FALSE),"")</f>
        <v/>
      </c>
    </row>
    <row r="3442" spans="1:8" x14ac:dyDescent="0.2">
      <c r="A3442" t="s">
        <v>7</v>
      </c>
      <c r="B3442" s="3">
        <v>2021</v>
      </c>
      <c r="C3442" t="s">
        <v>920</v>
      </c>
      <c r="D3442" t="s">
        <v>922</v>
      </c>
      <c r="E3442" t="s">
        <v>921</v>
      </c>
      <c r="F3442" s="4">
        <v>885783</v>
      </c>
      <c r="G3442" s="4" t="s">
        <v>7</v>
      </c>
      <c r="H3442" t="str">
        <f>IFERROR(VLOOKUP(E3442,'GASB Match'!$A$2:$B$240,2,FALSE),"")</f>
        <v/>
      </c>
    </row>
    <row r="3443" spans="1:8" x14ac:dyDescent="0.2">
      <c r="A3443" t="s">
        <v>7</v>
      </c>
      <c r="B3443" s="3">
        <v>2022</v>
      </c>
      <c r="C3443" t="s">
        <v>920</v>
      </c>
      <c r="D3443" t="s">
        <v>921</v>
      </c>
      <c r="E3443" t="s">
        <v>921</v>
      </c>
      <c r="F3443" s="4">
        <v>989321</v>
      </c>
      <c r="G3443" s="4" t="s">
        <v>7</v>
      </c>
      <c r="H3443" t="str">
        <f>IFERROR(VLOOKUP(E3443,'GASB Match'!$A$2:$B$240,2,FALSE),"")</f>
        <v/>
      </c>
    </row>
    <row r="3444" spans="1:8" x14ac:dyDescent="0.2">
      <c r="A3444" t="s">
        <v>7</v>
      </c>
      <c r="B3444" s="3">
        <v>2023</v>
      </c>
      <c r="C3444" t="s">
        <v>920</v>
      </c>
      <c r="D3444" t="s">
        <v>921</v>
      </c>
      <c r="E3444" t="s">
        <v>921</v>
      </c>
      <c r="F3444" s="4">
        <v>1101092</v>
      </c>
      <c r="G3444" s="4" t="s">
        <v>7</v>
      </c>
      <c r="H3444" t="str">
        <f>IFERROR(VLOOKUP(E3444,'GASB Match'!$A$2:$B$240,2,FALSE),"")</f>
        <v/>
      </c>
    </row>
    <row r="3445" spans="1:8" x14ac:dyDescent="0.2">
      <c r="A3445" t="s">
        <v>7</v>
      </c>
      <c r="B3445" s="3">
        <v>2020</v>
      </c>
      <c r="C3445" t="s">
        <v>923</v>
      </c>
      <c r="D3445" t="s">
        <v>924</v>
      </c>
      <c r="E3445" t="s">
        <v>924</v>
      </c>
      <c r="F3445" s="4">
        <v>126707</v>
      </c>
      <c r="G3445" s="4" t="s">
        <v>7</v>
      </c>
      <c r="H3445" t="str">
        <f>IFERROR(VLOOKUP(E3445,'GASB Match'!$A$2:$B$240,2,FALSE),"")</f>
        <v/>
      </c>
    </row>
    <row r="3446" spans="1:8" x14ac:dyDescent="0.2">
      <c r="A3446" t="s">
        <v>7</v>
      </c>
      <c r="B3446" s="3">
        <v>2021</v>
      </c>
      <c r="C3446" t="s">
        <v>923</v>
      </c>
      <c r="D3446" t="s">
        <v>924</v>
      </c>
      <c r="E3446" t="s">
        <v>924</v>
      </c>
      <c r="F3446" s="4">
        <v>146598</v>
      </c>
      <c r="G3446" s="4" t="s">
        <v>7</v>
      </c>
      <c r="H3446" t="str">
        <f>IFERROR(VLOOKUP(E3446,'GASB Match'!$A$2:$B$240,2,FALSE),"")</f>
        <v/>
      </c>
    </row>
    <row r="3447" spans="1:8" x14ac:dyDescent="0.2">
      <c r="A3447" t="s">
        <v>7</v>
      </c>
      <c r="B3447" s="3">
        <v>2022</v>
      </c>
      <c r="C3447" t="s">
        <v>923</v>
      </c>
      <c r="D3447" t="s">
        <v>924</v>
      </c>
      <c r="E3447" t="s">
        <v>924</v>
      </c>
      <c r="F3447" s="4">
        <v>171183</v>
      </c>
      <c r="G3447" s="4" t="s">
        <v>7</v>
      </c>
      <c r="H3447" t="str">
        <f>IFERROR(VLOOKUP(E3447,'GASB Match'!$A$2:$B$240,2,FALSE),"")</f>
        <v/>
      </c>
    </row>
    <row r="3448" spans="1:8" x14ac:dyDescent="0.2">
      <c r="A3448" t="s">
        <v>7</v>
      </c>
      <c r="B3448" s="3">
        <v>2023</v>
      </c>
      <c r="C3448" t="s">
        <v>923</v>
      </c>
      <c r="D3448" t="s">
        <v>924</v>
      </c>
      <c r="E3448" t="s">
        <v>924</v>
      </c>
      <c r="F3448" s="4">
        <v>239047</v>
      </c>
      <c r="G3448" s="4" t="s">
        <v>7</v>
      </c>
      <c r="H3448" t="str">
        <f>IFERROR(VLOOKUP(E3448,'GASB Match'!$A$2:$B$240,2,FALSE),"")</f>
        <v/>
      </c>
    </row>
    <row r="3449" spans="1:8" x14ac:dyDescent="0.2">
      <c r="A3449" t="s">
        <v>7</v>
      </c>
      <c r="B3449" s="3">
        <v>2015</v>
      </c>
      <c r="C3449" t="s">
        <v>925</v>
      </c>
      <c r="D3449" t="s">
        <v>927</v>
      </c>
      <c r="E3449" t="s">
        <v>926</v>
      </c>
      <c r="F3449" s="4">
        <v>210923.51</v>
      </c>
      <c r="G3449" s="4" t="s">
        <v>7</v>
      </c>
      <c r="H3449" t="str">
        <f>IFERROR(VLOOKUP(E3449,'GASB Match'!$A$2:$B$240,2,FALSE),"")</f>
        <v/>
      </c>
    </row>
    <row r="3450" spans="1:8" x14ac:dyDescent="0.2">
      <c r="A3450" t="s">
        <v>7</v>
      </c>
      <c r="B3450" s="3">
        <v>2016</v>
      </c>
      <c r="C3450" t="s">
        <v>925</v>
      </c>
      <c r="D3450" t="s">
        <v>927</v>
      </c>
      <c r="E3450" t="s">
        <v>926</v>
      </c>
      <c r="F3450" s="4">
        <v>242896.05</v>
      </c>
      <c r="G3450" s="4" t="s">
        <v>7</v>
      </c>
      <c r="H3450" t="str">
        <f>IFERROR(VLOOKUP(E3450,'GASB Match'!$A$2:$B$240,2,FALSE),"")</f>
        <v/>
      </c>
    </row>
    <row r="3451" spans="1:8" x14ac:dyDescent="0.2">
      <c r="A3451" t="s">
        <v>7</v>
      </c>
      <c r="B3451" s="3">
        <v>2017</v>
      </c>
      <c r="C3451" t="s">
        <v>925</v>
      </c>
      <c r="D3451" t="s">
        <v>927</v>
      </c>
      <c r="E3451" t="s">
        <v>926</v>
      </c>
      <c r="F3451" s="4">
        <v>262099</v>
      </c>
      <c r="G3451" s="4" t="s">
        <v>7</v>
      </c>
      <c r="H3451" t="str">
        <f>IFERROR(VLOOKUP(E3451,'GASB Match'!$A$2:$B$240,2,FALSE),"")</f>
        <v/>
      </c>
    </row>
    <row r="3452" spans="1:8" x14ac:dyDescent="0.2">
      <c r="A3452" t="s">
        <v>7</v>
      </c>
      <c r="B3452" s="3">
        <v>2018</v>
      </c>
      <c r="C3452" t="s">
        <v>925</v>
      </c>
      <c r="D3452" t="s">
        <v>927</v>
      </c>
      <c r="E3452" t="s">
        <v>926</v>
      </c>
      <c r="F3452" s="4">
        <v>302378</v>
      </c>
      <c r="G3452" s="4" t="s">
        <v>7</v>
      </c>
      <c r="H3452" t="str">
        <f>IFERROR(VLOOKUP(E3452,'GASB Match'!$A$2:$B$240,2,FALSE),"")</f>
        <v/>
      </c>
    </row>
    <row r="3453" spans="1:8" x14ac:dyDescent="0.2">
      <c r="A3453" t="s">
        <v>7</v>
      </c>
      <c r="B3453" s="3">
        <v>2019</v>
      </c>
      <c r="C3453" t="s">
        <v>925</v>
      </c>
      <c r="D3453" t="s">
        <v>927</v>
      </c>
      <c r="E3453" t="s">
        <v>926</v>
      </c>
      <c r="F3453" s="4">
        <v>416660</v>
      </c>
      <c r="G3453" s="4" t="s">
        <v>7</v>
      </c>
      <c r="H3453" t="str">
        <f>IFERROR(VLOOKUP(E3453,'GASB Match'!$A$2:$B$240,2,FALSE),"")</f>
        <v/>
      </c>
    </row>
    <row r="3454" spans="1:8" x14ac:dyDescent="0.2">
      <c r="A3454" t="s">
        <v>7</v>
      </c>
      <c r="B3454" s="3">
        <v>2020</v>
      </c>
      <c r="C3454" t="s">
        <v>925</v>
      </c>
      <c r="D3454" t="s">
        <v>927</v>
      </c>
      <c r="E3454" t="s">
        <v>926</v>
      </c>
      <c r="F3454" s="4">
        <v>427304</v>
      </c>
      <c r="G3454" s="4" t="s">
        <v>7</v>
      </c>
      <c r="H3454" t="str">
        <f>IFERROR(VLOOKUP(E3454,'GASB Match'!$A$2:$B$240,2,FALSE),"")</f>
        <v/>
      </c>
    </row>
    <row r="3455" spans="1:8" x14ac:dyDescent="0.2">
      <c r="A3455" t="s">
        <v>7</v>
      </c>
      <c r="B3455" s="3">
        <v>2021</v>
      </c>
      <c r="C3455" t="s">
        <v>925</v>
      </c>
      <c r="D3455" t="s">
        <v>927</v>
      </c>
      <c r="E3455" t="s">
        <v>926</v>
      </c>
      <c r="F3455" s="4">
        <v>409831</v>
      </c>
      <c r="G3455" s="4" t="s">
        <v>7</v>
      </c>
      <c r="H3455" t="str">
        <f>IFERROR(VLOOKUP(E3455,'GASB Match'!$A$2:$B$240,2,FALSE),"")</f>
        <v/>
      </c>
    </row>
    <row r="3456" spans="1:8" x14ac:dyDescent="0.2">
      <c r="A3456" t="s">
        <v>7</v>
      </c>
      <c r="B3456" s="3">
        <v>2022</v>
      </c>
      <c r="C3456" t="s">
        <v>925</v>
      </c>
      <c r="D3456" t="s">
        <v>926</v>
      </c>
      <c r="E3456" t="s">
        <v>926</v>
      </c>
      <c r="F3456" s="4">
        <v>439053</v>
      </c>
      <c r="G3456" s="4" t="s">
        <v>7</v>
      </c>
      <c r="H3456" t="str">
        <f>IFERROR(VLOOKUP(E3456,'GASB Match'!$A$2:$B$240,2,FALSE),"")</f>
        <v/>
      </c>
    </row>
    <row r="3457" spans="1:8" x14ac:dyDescent="0.2">
      <c r="A3457" t="s">
        <v>7</v>
      </c>
      <c r="B3457" s="3">
        <v>2023</v>
      </c>
      <c r="C3457" t="s">
        <v>925</v>
      </c>
      <c r="D3457" t="s">
        <v>926</v>
      </c>
      <c r="E3457" t="s">
        <v>926</v>
      </c>
      <c r="F3457" s="4">
        <v>473590</v>
      </c>
      <c r="G3457" s="4" t="s">
        <v>7</v>
      </c>
      <c r="H3457" t="str">
        <f>IFERROR(VLOOKUP(E3457,'GASB Match'!$A$2:$B$240,2,FALSE),"")</f>
        <v/>
      </c>
    </row>
    <row r="3458" spans="1:8" x14ac:dyDescent="0.2">
      <c r="A3458">
        <v>1300221</v>
      </c>
      <c r="B3458" s="3">
        <v>2015</v>
      </c>
      <c r="C3458" t="s">
        <v>928</v>
      </c>
      <c r="D3458" t="s">
        <v>929</v>
      </c>
      <c r="E3458" t="s">
        <v>929</v>
      </c>
      <c r="F3458" s="4">
        <v>276067.71000000002</v>
      </c>
      <c r="G3458" s="4" t="s">
        <v>7</v>
      </c>
      <c r="H3458">
        <f>IFERROR(VLOOKUP(E3458,'GASB Match'!$A$2:$B$240,2,FALSE),"")</f>
        <v>1300221</v>
      </c>
    </row>
    <row r="3459" spans="1:8" x14ac:dyDescent="0.2">
      <c r="A3459">
        <v>1300221</v>
      </c>
      <c r="B3459" s="3">
        <v>2016</v>
      </c>
      <c r="C3459" t="s">
        <v>928</v>
      </c>
      <c r="D3459" t="s">
        <v>929</v>
      </c>
      <c r="E3459" t="s">
        <v>929</v>
      </c>
      <c r="F3459" s="4">
        <v>332188.79999999999</v>
      </c>
      <c r="G3459" s="4" t="s">
        <v>7</v>
      </c>
      <c r="H3459">
        <f>IFERROR(VLOOKUP(E3459,'GASB Match'!$A$2:$B$240,2,FALSE),"")</f>
        <v>1300221</v>
      </c>
    </row>
    <row r="3460" spans="1:8" x14ac:dyDescent="0.2">
      <c r="A3460">
        <v>1300221</v>
      </c>
      <c r="B3460" s="3">
        <v>2017</v>
      </c>
      <c r="C3460" t="s">
        <v>928</v>
      </c>
      <c r="D3460" t="s">
        <v>929</v>
      </c>
      <c r="E3460" t="s">
        <v>929</v>
      </c>
      <c r="F3460" s="4">
        <v>369762</v>
      </c>
      <c r="G3460" s="4" t="s">
        <v>7</v>
      </c>
      <c r="H3460">
        <f>IFERROR(VLOOKUP(E3460,'GASB Match'!$A$2:$B$240,2,FALSE),"")</f>
        <v>1300221</v>
      </c>
    </row>
    <row r="3461" spans="1:8" x14ac:dyDescent="0.2">
      <c r="A3461">
        <v>1300221</v>
      </c>
      <c r="B3461" s="3">
        <v>2018</v>
      </c>
      <c r="C3461" t="s">
        <v>928</v>
      </c>
      <c r="D3461" t="s">
        <v>929</v>
      </c>
      <c r="E3461" t="s">
        <v>929</v>
      </c>
      <c r="F3461" s="4">
        <v>440139</v>
      </c>
      <c r="G3461" s="4" t="s">
        <v>7</v>
      </c>
      <c r="H3461">
        <f>IFERROR(VLOOKUP(E3461,'GASB Match'!$A$2:$B$240,2,FALSE),"")</f>
        <v>1300221</v>
      </c>
    </row>
    <row r="3462" spans="1:8" x14ac:dyDescent="0.2">
      <c r="A3462">
        <v>1300221</v>
      </c>
      <c r="B3462" s="3">
        <v>2019</v>
      </c>
      <c r="C3462" t="s">
        <v>928</v>
      </c>
      <c r="D3462" t="s">
        <v>929</v>
      </c>
      <c r="E3462" t="s">
        <v>929</v>
      </c>
      <c r="F3462" s="4">
        <v>573048</v>
      </c>
      <c r="G3462" s="4" t="s">
        <v>7</v>
      </c>
      <c r="H3462">
        <f>IFERROR(VLOOKUP(E3462,'GASB Match'!$A$2:$B$240,2,FALSE),"")</f>
        <v>1300221</v>
      </c>
    </row>
    <row r="3463" spans="1:8" x14ac:dyDescent="0.2">
      <c r="A3463">
        <v>1300221</v>
      </c>
      <c r="B3463" s="3">
        <v>2020</v>
      </c>
      <c r="C3463" t="s">
        <v>928</v>
      </c>
      <c r="D3463" t="s">
        <v>929</v>
      </c>
      <c r="E3463" t="s">
        <v>929</v>
      </c>
      <c r="F3463" s="4">
        <v>598577</v>
      </c>
      <c r="G3463" s="4" t="s">
        <v>7</v>
      </c>
      <c r="H3463">
        <f>IFERROR(VLOOKUP(E3463,'GASB Match'!$A$2:$B$240,2,FALSE),"")</f>
        <v>1300221</v>
      </c>
    </row>
    <row r="3464" spans="1:8" x14ac:dyDescent="0.2">
      <c r="A3464">
        <v>1300221</v>
      </c>
      <c r="B3464" s="3">
        <v>2021</v>
      </c>
      <c r="C3464" t="s">
        <v>928</v>
      </c>
      <c r="D3464" t="s">
        <v>929</v>
      </c>
      <c r="E3464" t="s">
        <v>929</v>
      </c>
      <c r="F3464" s="4">
        <v>603788</v>
      </c>
      <c r="G3464" s="4" t="s">
        <v>7</v>
      </c>
      <c r="H3464">
        <f>IFERROR(VLOOKUP(E3464,'GASB Match'!$A$2:$B$240,2,FALSE),"")</f>
        <v>1300221</v>
      </c>
    </row>
    <row r="3465" spans="1:8" x14ac:dyDescent="0.2">
      <c r="A3465">
        <v>1300221</v>
      </c>
      <c r="B3465" s="3">
        <v>2022</v>
      </c>
      <c r="C3465" t="s">
        <v>928</v>
      </c>
      <c r="D3465" t="s">
        <v>929</v>
      </c>
      <c r="E3465" t="s">
        <v>929</v>
      </c>
      <c r="F3465" s="4">
        <v>572824</v>
      </c>
      <c r="G3465" s="4" t="s">
        <v>7</v>
      </c>
      <c r="H3465">
        <f>IFERROR(VLOOKUP(E3465,'GASB Match'!$A$2:$B$240,2,FALSE),"")</f>
        <v>1300221</v>
      </c>
    </row>
    <row r="3466" spans="1:8" x14ac:dyDescent="0.2">
      <c r="A3466">
        <v>1300221</v>
      </c>
      <c r="B3466" s="3">
        <v>2023</v>
      </c>
      <c r="C3466" t="s">
        <v>928</v>
      </c>
      <c r="D3466" t="s">
        <v>929</v>
      </c>
      <c r="E3466" t="s">
        <v>929</v>
      </c>
      <c r="F3466" s="4">
        <v>626176</v>
      </c>
      <c r="G3466" s="4" t="s">
        <v>7</v>
      </c>
      <c r="H3466">
        <f>IFERROR(VLOOKUP(E3466,'GASB Match'!$A$2:$B$240,2,FALSE),"")</f>
        <v>1300221</v>
      </c>
    </row>
    <row r="3467" spans="1:8" x14ac:dyDescent="0.2">
      <c r="A3467" t="s">
        <v>7</v>
      </c>
      <c r="B3467" s="3">
        <v>2015</v>
      </c>
      <c r="C3467" t="s">
        <v>930</v>
      </c>
      <c r="D3467" t="s">
        <v>932</v>
      </c>
      <c r="E3467" t="s">
        <v>931</v>
      </c>
      <c r="F3467" s="4">
        <v>212385.91</v>
      </c>
      <c r="G3467" s="4" t="s">
        <v>7</v>
      </c>
      <c r="H3467" t="str">
        <f>IFERROR(VLOOKUP(E3467,'GASB Match'!$A$2:$B$240,2,FALSE),"")</f>
        <v/>
      </c>
    </row>
    <row r="3468" spans="1:8" x14ac:dyDescent="0.2">
      <c r="A3468" t="s">
        <v>7</v>
      </c>
      <c r="B3468" s="3">
        <v>2016</v>
      </c>
      <c r="C3468" t="s">
        <v>930</v>
      </c>
      <c r="D3468" t="s">
        <v>932</v>
      </c>
      <c r="E3468" t="s">
        <v>931</v>
      </c>
      <c r="F3468" s="4">
        <v>269686.83</v>
      </c>
      <c r="G3468" s="4" t="s">
        <v>7</v>
      </c>
      <c r="H3468" t="str">
        <f>IFERROR(VLOOKUP(E3468,'GASB Match'!$A$2:$B$240,2,FALSE),"")</f>
        <v/>
      </c>
    </row>
    <row r="3469" spans="1:8" x14ac:dyDescent="0.2">
      <c r="A3469" t="s">
        <v>7</v>
      </c>
      <c r="B3469" s="3">
        <v>2017</v>
      </c>
      <c r="C3469" t="s">
        <v>930</v>
      </c>
      <c r="D3469" t="s">
        <v>932</v>
      </c>
      <c r="E3469" t="s">
        <v>931</v>
      </c>
      <c r="F3469" s="4">
        <v>325741</v>
      </c>
      <c r="G3469" s="4" t="s">
        <v>7</v>
      </c>
      <c r="H3469" t="str">
        <f>IFERROR(VLOOKUP(E3469,'GASB Match'!$A$2:$B$240,2,FALSE),"")</f>
        <v/>
      </c>
    </row>
    <row r="3470" spans="1:8" x14ac:dyDescent="0.2">
      <c r="A3470" t="s">
        <v>7</v>
      </c>
      <c r="B3470" s="3">
        <v>2018</v>
      </c>
      <c r="C3470" t="s">
        <v>930</v>
      </c>
      <c r="D3470" t="s">
        <v>932</v>
      </c>
      <c r="E3470" t="s">
        <v>931</v>
      </c>
      <c r="F3470" s="4">
        <v>409890</v>
      </c>
      <c r="G3470" s="4" t="s">
        <v>7</v>
      </c>
      <c r="H3470" t="str">
        <f>IFERROR(VLOOKUP(E3470,'GASB Match'!$A$2:$B$240,2,FALSE),"")</f>
        <v/>
      </c>
    </row>
    <row r="3471" spans="1:8" x14ac:dyDescent="0.2">
      <c r="A3471" t="s">
        <v>7</v>
      </c>
      <c r="B3471" s="3">
        <v>2019</v>
      </c>
      <c r="C3471" t="s">
        <v>930</v>
      </c>
      <c r="D3471" t="s">
        <v>932</v>
      </c>
      <c r="E3471" t="s">
        <v>931</v>
      </c>
      <c r="F3471" s="4">
        <v>586846</v>
      </c>
      <c r="G3471" s="4" t="s">
        <v>7</v>
      </c>
      <c r="H3471" t="str">
        <f>IFERROR(VLOOKUP(E3471,'GASB Match'!$A$2:$B$240,2,FALSE),"")</f>
        <v/>
      </c>
    </row>
    <row r="3472" spans="1:8" x14ac:dyDescent="0.2">
      <c r="A3472" t="s">
        <v>7</v>
      </c>
      <c r="B3472" s="3">
        <v>2020</v>
      </c>
      <c r="C3472" t="s">
        <v>930</v>
      </c>
      <c r="D3472" t="s">
        <v>932</v>
      </c>
      <c r="E3472" t="s">
        <v>931</v>
      </c>
      <c r="F3472" s="4">
        <v>663671</v>
      </c>
      <c r="G3472" s="4" t="s">
        <v>7</v>
      </c>
      <c r="H3472" t="str">
        <f>IFERROR(VLOOKUP(E3472,'GASB Match'!$A$2:$B$240,2,FALSE),"")</f>
        <v/>
      </c>
    </row>
    <row r="3473" spans="1:8" x14ac:dyDescent="0.2">
      <c r="A3473" t="s">
        <v>7</v>
      </c>
      <c r="B3473" s="3">
        <v>2021</v>
      </c>
      <c r="C3473" t="s">
        <v>930</v>
      </c>
      <c r="D3473" t="s">
        <v>932</v>
      </c>
      <c r="E3473" t="s">
        <v>931</v>
      </c>
      <c r="F3473" s="4">
        <v>604876</v>
      </c>
      <c r="G3473" s="4" t="s">
        <v>7</v>
      </c>
      <c r="H3473" t="str">
        <f>IFERROR(VLOOKUP(E3473,'GASB Match'!$A$2:$B$240,2,FALSE),"")</f>
        <v/>
      </c>
    </row>
    <row r="3474" spans="1:8" x14ac:dyDescent="0.2">
      <c r="A3474" t="s">
        <v>7</v>
      </c>
      <c r="B3474" s="3">
        <v>2022</v>
      </c>
      <c r="C3474" t="s">
        <v>930</v>
      </c>
      <c r="D3474" t="s">
        <v>931</v>
      </c>
      <c r="E3474" t="s">
        <v>931</v>
      </c>
      <c r="F3474" s="4">
        <v>606163</v>
      </c>
      <c r="G3474" s="4" t="s">
        <v>7</v>
      </c>
      <c r="H3474" t="str">
        <f>IFERROR(VLOOKUP(E3474,'GASB Match'!$A$2:$B$240,2,FALSE),"")</f>
        <v/>
      </c>
    </row>
    <row r="3475" spans="1:8" x14ac:dyDescent="0.2">
      <c r="A3475" t="s">
        <v>7</v>
      </c>
      <c r="B3475" s="3">
        <v>2023</v>
      </c>
      <c r="C3475" t="s">
        <v>930</v>
      </c>
      <c r="D3475" t="s">
        <v>931</v>
      </c>
      <c r="E3475" t="s">
        <v>931</v>
      </c>
      <c r="F3475" s="4">
        <v>578994</v>
      </c>
      <c r="G3475" s="4" t="s">
        <v>7</v>
      </c>
      <c r="H3475" t="str">
        <f>IFERROR(VLOOKUP(E3475,'GASB Match'!$A$2:$B$240,2,FALSE),"")</f>
        <v/>
      </c>
    </row>
    <row r="3476" spans="1:8" x14ac:dyDescent="0.2">
      <c r="A3476" t="s">
        <v>7</v>
      </c>
      <c r="B3476" s="3">
        <v>2015</v>
      </c>
      <c r="C3476" t="s">
        <v>933</v>
      </c>
      <c r="D3476" t="s">
        <v>934</v>
      </c>
      <c r="E3476" t="s">
        <v>934</v>
      </c>
      <c r="F3476" s="4">
        <v>121294.23</v>
      </c>
      <c r="G3476" s="4" t="s">
        <v>7</v>
      </c>
      <c r="H3476" t="str">
        <f>IFERROR(VLOOKUP(E3476,'GASB Match'!$A$2:$B$240,2,FALSE),"")</f>
        <v/>
      </c>
    </row>
    <row r="3477" spans="1:8" x14ac:dyDescent="0.2">
      <c r="A3477" t="s">
        <v>7</v>
      </c>
      <c r="B3477" s="3">
        <v>2016</v>
      </c>
      <c r="C3477" t="s">
        <v>933</v>
      </c>
      <c r="D3477" t="s">
        <v>934</v>
      </c>
      <c r="E3477" t="s">
        <v>934</v>
      </c>
      <c r="F3477" s="4">
        <v>186603.11</v>
      </c>
      <c r="G3477" s="4" t="s">
        <v>7</v>
      </c>
      <c r="H3477" t="str">
        <f>IFERROR(VLOOKUP(E3477,'GASB Match'!$A$2:$B$240,2,FALSE),"")</f>
        <v/>
      </c>
    </row>
    <row r="3478" spans="1:8" x14ac:dyDescent="0.2">
      <c r="A3478" t="s">
        <v>7</v>
      </c>
      <c r="B3478" s="3">
        <v>2017</v>
      </c>
      <c r="C3478" t="s">
        <v>933</v>
      </c>
      <c r="D3478" t="s">
        <v>934</v>
      </c>
      <c r="E3478" t="s">
        <v>934</v>
      </c>
      <c r="F3478" s="4">
        <v>14894</v>
      </c>
      <c r="G3478" s="4" t="s">
        <v>7</v>
      </c>
      <c r="H3478" t="str">
        <f>IFERROR(VLOOKUP(E3478,'GASB Match'!$A$2:$B$240,2,FALSE),"")</f>
        <v/>
      </c>
    </row>
    <row r="3479" spans="1:8" x14ac:dyDescent="0.2">
      <c r="A3479" t="s">
        <v>7</v>
      </c>
      <c r="B3479" s="3">
        <v>2016</v>
      </c>
      <c r="C3479" t="s">
        <v>935</v>
      </c>
      <c r="D3479" t="s">
        <v>936</v>
      </c>
      <c r="E3479" t="s">
        <v>936</v>
      </c>
      <c r="F3479" s="4">
        <v>334117.09000000003</v>
      </c>
      <c r="G3479" s="4" t="s">
        <v>7</v>
      </c>
      <c r="H3479" t="str">
        <f>IFERROR(VLOOKUP(E3479,'GASB Match'!$A$2:$B$240,2,FALSE),"")</f>
        <v/>
      </c>
    </row>
    <row r="3480" spans="1:8" x14ac:dyDescent="0.2">
      <c r="A3480" t="s">
        <v>7</v>
      </c>
      <c r="B3480" s="3">
        <v>2017</v>
      </c>
      <c r="C3480" t="s">
        <v>935</v>
      </c>
      <c r="D3480" t="s">
        <v>936</v>
      </c>
      <c r="E3480" t="s">
        <v>936</v>
      </c>
      <c r="F3480" s="4">
        <v>375079</v>
      </c>
      <c r="G3480" s="4" t="s">
        <v>7</v>
      </c>
      <c r="H3480" t="str">
        <f>IFERROR(VLOOKUP(E3480,'GASB Match'!$A$2:$B$240,2,FALSE),"")</f>
        <v/>
      </c>
    </row>
    <row r="3481" spans="1:8" x14ac:dyDescent="0.2">
      <c r="A3481" t="s">
        <v>7</v>
      </c>
      <c r="B3481" s="3">
        <v>2018</v>
      </c>
      <c r="C3481" t="s">
        <v>935</v>
      </c>
      <c r="D3481" t="s">
        <v>936</v>
      </c>
      <c r="E3481" t="s">
        <v>936</v>
      </c>
      <c r="F3481" s="4">
        <v>454758</v>
      </c>
      <c r="G3481" s="4" t="s">
        <v>7</v>
      </c>
      <c r="H3481" t="str">
        <f>IFERROR(VLOOKUP(E3481,'GASB Match'!$A$2:$B$240,2,FALSE),"")</f>
        <v/>
      </c>
    </row>
    <row r="3482" spans="1:8" x14ac:dyDescent="0.2">
      <c r="A3482" t="s">
        <v>7</v>
      </c>
      <c r="B3482" s="3">
        <v>2019</v>
      </c>
      <c r="C3482" t="s">
        <v>935</v>
      </c>
      <c r="D3482" t="s">
        <v>936</v>
      </c>
      <c r="E3482" t="s">
        <v>936</v>
      </c>
      <c r="F3482" s="4">
        <v>204047</v>
      </c>
      <c r="G3482" s="4" t="s">
        <v>7</v>
      </c>
      <c r="H3482" t="str">
        <f>IFERROR(VLOOKUP(E3482,'GASB Match'!$A$2:$B$240,2,FALSE),"")</f>
        <v/>
      </c>
    </row>
    <row r="3483" spans="1:8" x14ac:dyDescent="0.2">
      <c r="A3483" t="s">
        <v>7</v>
      </c>
      <c r="B3483" s="3">
        <v>2015</v>
      </c>
      <c r="C3483" t="s">
        <v>937</v>
      </c>
      <c r="D3483" t="s">
        <v>939</v>
      </c>
      <c r="E3483" t="s">
        <v>938</v>
      </c>
      <c r="F3483" s="4">
        <v>251653.89</v>
      </c>
      <c r="G3483" s="4" t="s">
        <v>7</v>
      </c>
      <c r="H3483" t="str">
        <f>IFERROR(VLOOKUP(E3483,'GASB Match'!$A$2:$B$240,2,FALSE),"")</f>
        <v/>
      </c>
    </row>
    <row r="3484" spans="1:8" x14ac:dyDescent="0.2">
      <c r="A3484" t="s">
        <v>7</v>
      </c>
      <c r="B3484" s="3">
        <v>2016</v>
      </c>
      <c r="C3484" t="s">
        <v>937</v>
      </c>
      <c r="D3484" t="s">
        <v>939</v>
      </c>
      <c r="E3484" t="s">
        <v>938</v>
      </c>
      <c r="F3484" s="4">
        <v>364420.48</v>
      </c>
      <c r="G3484" s="4" t="s">
        <v>7</v>
      </c>
      <c r="H3484" t="str">
        <f>IFERROR(VLOOKUP(E3484,'GASB Match'!$A$2:$B$240,2,FALSE),"")</f>
        <v/>
      </c>
    </row>
    <row r="3485" spans="1:8" x14ac:dyDescent="0.2">
      <c r="A3485" t="s">
        <v>7</v>
      </c>
      <c r="B3485" s="3">
        <v>2017</v>
      </c>
      <c r="C3485" t="s">
        <v>937</v>
      </c>
      <c r="D3485" t="s">
        <v>939</v>
      </c>
      <c r="E3485" t="s">
        <v>938</v>
      </c>
      <c r="F3485" s="4">
        <v>493361</v>
      </c>
      <c r="G3485" s="4" t="s">
        <v>7</v>
      </c>
      <c r="H3485" t="str">
        <f>IFERROR(VLOOKUP(E3485,'GASB Match'!$A$2:$B$240,2,FALSE),"")</f>
        <v/>
      </c>
    </row>
    <row r="3486" spans="1:8" x14ac:dyDescent="0.2">
      <c r="A3486" t="s">
        <v>7</v>
      </c>
      <c r="B3486" s="3">
        <v>2018</v>
      </c>
      <c r="C3486" t="s">
        <v>937</v>
      </c>
      <c r="D3486" t="s">
        <v>939</v>
      </c>
      <c r="E3486" t="s">
        <v>938</v>
      </c>
      <c r="F3486" s="4">
        <v>701738</v>
      </c>
      <c r="G3486" s="4" t="s">
        <v>7</v>
      </c>
      <c r="H3486" t="str">
        <f>IFERROR(VLOOKUP(E3486,'GASB Match'!$A$2:$B$240,2,FALSE),"")</f>
        <v/>
      </c>
    </row>
    <row r="3487" spans="1:8" x14ac:dyDescent="0.2">
      <c r="A3487" t="s">
        <v>7</v>
      </c>
      <c r="B3487" s="3">
        <v>2019</v>
      </c>
      <c r="C3487" t="s">
        <v>937</v>
      </c>
      <c r="D3487" t="s">
        <v>939</v>
      </c>
      <c r="E3487" t="s">
        <v>938</v>
      </c>
      <c r="F3487" s="4">
        <v>1037015</v>
      </c>
      <c r="G3487" s="4" t="s">
        <v>7</v>
      </c>
      <c r="H3487" t="str">
        <f>IFERROR(VLOOKUP(E3487,'GASB Match'!$A$2:$B$240,2,FALSE),"")</f>
        <v/>
      </c>
    </row>
    <row r="3488" spans="1:8" x14ac:dyDescent="0.2">
      <c r="A3488" t="s">
        <v>7</v>
      </c>
      <c r="B3488" s="3">
        <v>2020</v>
      </c>
      <c r="C3488" t="s">
        <v>937</v>
      </c>
      <c r="D3488" t="s">
        <v>939</v>
      </c>
      <c r="E3488" t="s">
        <v>938</v>
      </c>
      <c r="F3488" s="4">
        <v>1244189</v>
      </c>
      <c r="G3488" s="4" t="s">
        <v>7</v>
      </c>
      <c r="H3488" t="str">
        <f>IFERROR(VLOOKUP(E3488,'GASB Match'!$A$2:$B$240,2,FALSE),"")</f>
        <v/>
      </c>
    </row>
    <row r="3489" spans="1:8" x14ac:dyDescent="0.2">
      <c r="A3489" t="s">
        <v>7</v>
      </c>
      <c r="B3489" s="3">
        <v>2021</v>
      </c>
      <c r="C3489" t="s">
        <v>937</v>
      </c>
      <c r="D3489" t="s">
        <v>939</v>
      </c>
      <c r="E3489" t="s">
        <v>938</v>
      </c>
      <c r="F3489" s="4">
        <v>1165304</v>
      </c>
      <c r="G3489" s="4" t="s">
        <v>7</v>
      </c>
      <c r="H3489" t="str">
        <f>IFERROR(VLOOKUP(E3489,'GASB Match'!$A$2:$B$240,2,FALSE),"")</f>
        <v/>
      </c>
    </row>
    <row r="3490" spans="1:8" x14ac:dyDescent="0.2">
      <c r="A3490" t="s">
        <v>7</v>
      </c>
      <c r="B3490" s="3">
        <v>2022</v>
      </c>
      <c r="C3490" t="s">
        <v>937</v>
      </c>
      <c r="D3490" t="s">
        <v>938</v>
      </c>
      <c r="E3490" t="s">
        <v>938</v>
      </c>
      <c r="F3490" s="4">
        <v>1280770</v>
      </c>
      <c r="G3490" s="4" t="s">
        <v>7</v>
      </c>
      <c r="H3490" t="str">
        <f>IFERROR(VLOOKUP(E3490,'GASB Match'!$A$2:$B$240,2,FALSE),"")</f>
        <v/>
      </c>
    </row>
    <row r="3491" spans="1:8" x14ac:dyDescent="0.2">
      <c r="A3491" t="s">
        <v>7</v>
      </c>
      <c r="B3491" s="3">
        <v>2023</v>
      </c>
      <c r="C3491" t="s">
        <v>937</v>
      </c>
      <c r="D3491" t="s">
        <v>938</v>
      </c>
      <c r="E3491" t="s">
        <v>938</v>
      </c>
      <c r="F3491" s="4">
        <v>1470585</v>
      </c>
      <c r="G3491" s="4" t="s">
        <v>7</v>
      </c>
      <c r="H3491" t="str">
        <f>IFERROR(VLOOKUP(E3491,'GASB Match'!$A$2:$B$240,2,FALSE),"")</f>
        <v/>
      </c>
    </row>
    <row r="3492" spans="1:8" x14ac:dyDescent="0.2">
      <c r="A3492" t="s">
        <v>7</v>
      </c>
      <c r="B3492" s="3">
        <v>2015</v>
      </c>
      <c r="C3492" t="s">
        <v>940</v>
      </c>
      <c r="D3492" t="s">
        <v>941</v>
      </c>
      <c r="E3492" t="s">
        <v>941</v>
      </c>
      <c r="F3492" s="4">
        <v>116017.36</v>
      </c>
      <c r="G3492" s="4" t="s">
        <v>7</v>
      </c>
      <c r="H3492" t="str">
        <f>IFERROR(VLOOKUP(E3492,'GASB Match'!$A$2:$B$240,2,FALSE),"")</f>
        <v/>
      </c>
    </row>
    <row r="3493" spans="1:8" x14ac:dyDescent="0.2">
      <c r="A3493" t="s">
        <v>7</v>
      </c>
      <c r="B3493" s="3">
        <v>2016</v>
      </c>
      <c r="C3493" t="s">
        <v>940</v>
      </c>
      <c r="D3493" t="s">
        <v>941</v>
      </c>
      <c r="E3493" t="s">
        <v>941</v>
      </c>
      <c r="F3493" s="4">
        <v>210099.14</v>
      </c>
      <c r="G3493" s="4" t="s">
        <v>7</v>
      </c>
      <c r="H3493" t="str">
        <f>IFERROR(VLOOKUP(E3493,'GASB Match'!$A$2:$B$240,2,FALSE),"")</f>
        <v/>
      </c>
    </row>
    <row r="3494" spans="1:8" x14ac:dyDescent="0.2">
      <c r="A3494" t="s">
        <v>7</v>
      </c>
      <c r="B3494" s="3">
        <v>2017</v>
      </c>
      <c r="C3494" t="s">
        <v>940</v>
      </c>
      <c r="D3494" t="s">
        <v>941</v>
      </c>
      <c r="E3494" t="s">
        <v>941</v>
      </c>
      <c r="F3494" s="4">
        <v>253382</v>
      </c>
      <c r="G3494" s="4" t="s">
        <v>7</v>
      </c>
      <c r="H3494" t="str">
        <f>IFERROR(VLOOKUP(E3494,'GASB Match'!$A$2:$B$240,2,FALSE),"")</f>
        <v/>
      </c>
    </row>
    <row r="3495" spans="1:8" x14ac:dyDescent="0.2">
      <c r="A3495" t="s">
        <v>7</v>
      </c>
      <c r="B3495" s="3">
        <v>2018</v>
      </c>
      <c r="C3495" t="s">
        <v>940</v>
      </c>
      <c r="D3495" t="s">
        <v>941</v>
      </c>
      <c r="E3495" t="s">
        <v>941</v>
      </c>
      <c r="F3495" s="4">
        <v>334368</v>
      </c>
      <c r="G3495" s="4" t="s">
        <v>7</v>
      </c>
      <c r="H3495" t="str">
        <f>IFERROR(VLOOKUP(E3495,'GASB Match'!$A$2:$B$240,2,FALSE),"")</f>
        <v/>
      </c>
    </row>
    <row r="3496" spans="1:8" x14ac:dyDescent="0.2">
      <c r="A3496" t="s">
        <v>7</v>
      </c>
      <c r="B3496" s="3">
        <v>2019</v>
      </c>
      <c r="C3496" t="s">
        <v>940</v>
      </c>
      <c r="D3496" t="s">
        <v>941</v>
      </c>
      <c r="E3496" t="s">
        <v>941</v>
      </c>
      <c r="F3496" s="4">
        <v>475636</v>
      </c>
      <c r="G3496" s="4" t="s">
        <v>7</v>
      </c>
      <c r="H3496" t="str">
        <f>IFERROR(VLOOKUP(E3496,'GASB Match'!$A$2:$B$240,2,FALSE),"")</f>
        <v/>
      </c>
    </row>
    <row r="3497" spans="1:8" x14ac:dyDescent="0.2">
      <c r="A3497" t="s">
        <v>7</v>
      </c>
      <c r="B3497" s="3">
        <v>2020</v>
      </c>
      <c r="C3497" t="s">
        <v>940</v>
      </c>
      <c r="D3497" t="s">
        <v>941</v>
      </c>
      <c r="E3497" t="s">
        <v>941</v>
      </c>
      <c r="F3497" s="4">
        <v>572953</v>
      </c>
      <c r="G3497" s="4" t="s">
        <v>7</v>
      </c>
      <c r="H3497" t="str">
        <f>IFERROR(VLOOKUP(E3497,'GASB Match'!$A$2:$B$240,2,FALSE),"")</f>
        <v/>
      </c>
    </row>
    <row r="3498" spans="1:8" x14ac:dyDescent="0.2">
      <c r="A3498" t="s">
        <v>7</v>
      </c>
      <c r="B3498" s="3">
        <v>2021</v>
      </c>
      <c r="C3498" t="s">
        <v>940</v>
      </c>
      <c r="D3498" t="s">
        <v>941</v>
      </c>
      <c r="E3498" t="s">
        <v>941</v>
      </c>
      <c r="F3498" s="4">
        <v>563214</v>
      </c>
      <c r="G3498" s="4" t="s">
        <v>7</v>
      </c>
      <c r="H3498" t="str">
        <f>IFERROR(VLOOKUP(E3498,'GASB Match'!$A$2:$B$240,2,FALSE),"")</f>
        <v/>
      </c>
    </row>
    <row r="3499" spans="1:8" x14ac:dyDescent="0.2">
      <c r="A3499" t="s">
        <v>7</v>
      </c>
      <c r="B3499" s="3">
        <v>2022</v>
      </c>
      <c r="C3499" t="s">
        <v>940</v>
      </c>
      <c r="D3499" t="s">
        <v>941</v>
      </c>
      <c r="E3499" t="s">
        <v>941</v>
      </c>
      <c r="F3499" s="4">
        <v>680430</v>
      </c>
      <c r="G3499" s="4" t="s">
        <v>7</v>
      </c>
      <c r="H3499" t="str">
        <f>IFERROR(VLOOKUP(E3499,'GASB Match'!$A$2:$B$240,2,FALSE),"")</f>
        <v/>
      </c>
    </row>
    <row r="3500" spans="1:8" x14ac:dyDescent="0.2">
      <c r="A3500" t="s">
        <v>7</v>
      </c>
      <c r="B3500" s="3">
        <v>2023</v>
      </c>
      <c r="C3500" t="s">
        <v>940</v>
      </c>
      <c r="D3500" t="s">
        <v>941</v>
      </c>
      <c r="E3500" t="s">
        <v>941</v>
      </c>
      <c r="F3500" s="4">
        <v>756078</v>
      </c>
      <c r="G3500" s="4" t="s">
        <v>7</v>
      </c>
      <c r="H3500" t="str">
        <f>IFERROR(VLOOKUP(E3500,'GASB Match'!$A$2:$B$240,2,FALSE),"")</f>
        <v/>
      </c>
    </row>
    <row r="3501" spans="1:8" x14ac:dyDescent="0.2">
      <c r="A3501">
        <v>1300235</v>
      </c>
      <c r="B3501" s="3">
        <v>2015</v>
      </c>
      <c r="C3501" t="s">
        <v>942</v>
      </c>
      <c r="D3501" t="s">
        <v>943</v>
      </c>
      <c r="E3501" t="s">
        <v>943</v>
      </c>
      <c r="F3501" s="4">
        <v>869.05</v>
      </c>
      <c r="G3501" s="4" t="s">
        <v>7</v>
      </c>
      <c r="H3501">
        <f>IFERROR(VLOOKUP(E3501,'GASB Match'!$A$2:$B$240,2,FALSE),"")</f>
        <v>1300235</v>
      </c>
    </row>
    <row r="3502" spans="1:8" x14ac:dyDescent="0.2">
      <c r="A3502">
        <v>1300235</v>
      </c>
      <c r="B3502" s="3">
        <v>2016</v>
      </c>
      <c r="C3502" t="s">
        <v>942</v>
      </c>
      <c r="D3502" t="s">
        <v>943</v>
      </c>
      <c r="E3502" t="s">
        <v>943</v>
      </c>
      <c r="F3502" s="4">
        <v>33838.699999999997</v>
      </c>
      <c r="G3502" s="4" t="s">
        <v>7</v>
      </c>
      <c r="H3502">
        <f>IFERROR(VLOOKUP(E3502,'GASB Match'!$A$2:$B$240,2,FALSE),"")</f>
        <v>1300235</v>
      </c>
    </row>
    <row r="3503" spans="1:8" x14ac:dyDescent="0.2">
      <c r="A3503">
        <v>1300235</v>
      </c>
      <c r="B3503" s="3">
        <v>2017</v>
      </c>
      <c r="C3503" t="s">
        <v>942</v>
      </c>
      <c r="D3503" t="s">
        <v>943</v>
      </c>
      <c r="E3503" t="s">
        <v>943</v>
      </c>
      <c r="F3503" s="4">
        <v>49176</v>
      </c>
      <c r="G3503" s="4" t="s">
        <v>7</v>
      </c>
      <c r="H3503">
        <f>IFERROR(VLOOKUP(E3503,'GASB Match'!$A$2:$B$240,2,FALSE),"")</f>
        <v>1300235</v>
      </c>
    </row>
    <row r="3504" spans="1:8" x14ac:dyDescent="0.2">
      <c r="A3504">
        <v>1300235</v>
      </c>
      <c r="B3504" s="3">
        <v>2018</v>
      </c>
      <c r="C3504" t="s">
        <v>942</v>
      </c>
      <c r="D3504" t="s">
        <v>943</v>
      </c>
      <c r="E3504" t="s">
        <v>943</v>
      </c>
      <c r="F3504" s="4">
        <v>109451</v>
      </c>
      <c r="G3504" s="4" t="s">
        <v>7</v>
      </c>
      <c r="H3504">
        <f>IFERROR(VLOOKUP(E3504,'GASB Match'!$A$2:$B$240,2,FALSE),"")</f>
        <v>1300235</v>
      </c>
    </row>
    <row r="3505" spans="1:8" x14ac:dyDescent="0.2">
      <c r="A3505">
        <v>1300235</v>
      </c>
      <c r="B3505" s="3">
        <v>2019</v>
      </c>
      <c r="C3505" t="s">
        <v>942</v>
      </c>
      <c r="D3505" t="s">
        <v>943</v>
      </c>
      <c r="E3505" t="s">
        <v>943</v>
      </c>
      <c r="F3505" s="4">
        <v>316792</v>
      </c>
      <c r="G3505" s="4" t="s">
        <v>7</v>
      </c>
      <c r="H3505">
        <f>IFERROR(VLOOKUP(E3505,'GASB Match'!$A$2:$B$240,2,FALSE),"")</f>
        <v>1300235</v>
      </c>
    </row>
    <row r="3506" spans="1:8" x14ac:dyDescent="0.2">
      <c r="A3506">
        <v>1300235</v>
      </c>
      <c r="B3506" s="3">
        <v>2020</v>
      </c>
      <c r="C3506" t="s">
        <v>942</v>
      </c>
      <c r="D3506" t="s">
        <v>943</v>
      </c>
      <c r="E3506" t="s">
        <v>943</v>
      </c>
      <c r="F3506" s="4">
        <v>586752</v>
      </c>
      <c r="G3506" s="4" t="s">
        <v>7</v>
      </c>
      <c r="H3506">
        <f>IFERROR(VLOOKUP(E3506,'GASB Match'!$A$2:$B$240,2,FALSE),"")</f>
        <v>1300235</v>
      </c>
    </row>
    <row r="3507" spans="1:8" x14ac:dyDescent="0.2">
      <c r="A3507">
        <v>1300235</v>
      </c>
      <c r="B3507" s="3">
        <v>2021</v>
      </c>
      <c r="C3507" t="s">
        <v>942</v>
      </c>
      <c r="D3507" t="s">
        <v>943</v>
      </c>
      <c r="E3507" t="s">
        <v>943</v>
      </c>
      <c r="F3507" s="4">
        <v>351310</v>
      </c>
      <c r="G3507" s="4" t="s">
        <v>7</v>
      </c>
      <c r="H3507">
        <f>IFERROR(VLOOKUP(E3507,'GASB Match'!$A$2:$B$240,2,FALSE),"")</f>
        <v>1300235</v>
      </c>
    </row>
    <row r="3508" spans="1:8" x14ac:dyDescent="0.2">
      <c r="A3508">
        <v>1300235</v>
      </c>
      <c r="B3508" s="3">
        <v>2022</v>
      </c>
      <c r="C3508" t="s">
        <v>942</v>
      </c>
      <c r="D3508" t="s">
        <v>943</v>
      </c>
      <c r="E3508" t="s">
        <v>943</v>
      </c>
      <c r="F3508" s="4">
        <v>425531</v>
      </c>
      <c r="G3508" s="4" t="s">
        <v>7</v>
      </c>
      <c r="H3508">
        <f>IFERROR(VLOOKUP(E3508,'GASB Match'!$A$2:$B$240,2,FALSE),"")</f>
        <v>1300235</v>
      </c>
    </row>
    <row r="3509" spans="1:8" x14ac:dyDescent="0.2">
      <c r="A3509">
        <v>1300235</v>
      </c>
      <c r="B3509" s="3">
        <v>2023</v>
      </c>
      <c r="C3509" t="s">
        <v>942</v>
      </c>
      <c r="D3509" t="s">
        <v>943</v>
      </c>
      <c r="E3509" t="s">
        <v>943</v>
      </c>
      <c r="F3509" s="4">
        <v>457822</v>
      </c>
      <c r="G3509" s="4" t="s">
        <v>7</v>
      </c>
      <c r="H3509">
        <f>IFERROR(VLOOKUP(E3509,'GASB Match'!$A$2:$B$240,2,FALSE),"")</f>
        <v>1300235</v>
      </c>
    </row>
    <row r="3510" spans="1:8" x14ac:dyDescent="0.2">
      <c r="A3510" t="s">
        <v>7</v>
      </c>
      <c r="B3510" s="3">
        <v>2016</v>
      </c>
      <c r="C3510" t="s">
        <v>944</v>
      </c>
      <c r="D3510" t="s">
        <v>945</v>
      </c>
      <c r="E3510" t="s">
        <v>945</v>
      </c>
      <c r="F3510" s="4">
        <v>128041.87</v>
      </c>
      <c r="G3510" s="4" t="s">
        <v>7</v>
      </c>
      <c r="H3510" t="str">
        <f>IFERROR(VLOOKUP(E3510,'GASB Match'!$A$2:$B$240,2,FALSE),"")</f>
        <v/>
      </c>
    </row>
    <row r="3511" spans="1:8" x14ac:dyDescent="0.2">
      <c r="A3511" t="s">
        <v>7</v>
      </c>
      <c r="B3511" s="3">
        <v>2017</v>
      </c>
      <c r="C3511" t="s">
        <v>944</v>
      </c>
      <c r="D3511" t="s">
        <v>945</v>
      </c>
      <c r="E3511" t="s">
        <v>945</v>
      </c>
      <c r="F3511" s="4">
        <v>169214</v>
      </c>
      <c r="G3511" s="4" t="s">
        <v>7</v>
      </c>
      <c r="H3511" t="str">
        <f>IFERROR(VLOOKUP(E3511,'GASB Match'!$A$2:$B$240,2,FALSE),"")</f>
        <v/>
      </c>
    </row>
    <row r="3512" spans="1:8" x14ac:dyDescent="0.2">
      <c r="A3512" t="s">
        <v>7</v>
      </c>
      <c r="B3512" s="3">
        <v>2018</v>
      </c>
      <c r="C3512" t="s">
        <v>944</v>
      </c>
      <c r="D3512" t="s">
        <v>945</v>
      </c>
      <c r="E3512" t="s">
        <v>945</v>
      </c>
      <c r="F3512" s="4">
        <v>237939</v>
      </c>
      <c r="G3512" s="4" t="s">
        <v>7</v>
      </c>
      <c r="H3512" t="str">
        <f>IFERROR(VLOOKUP(E3512,'GASB Match'!$A$2:$B$240,2,FALSE),"")</f>
        <v/>
      </c>
    </row>
    <row r="3513" spans="1:8" x14ac:dyDescent="0.2">
      <c r="A3513" t="s">
        <v>7</v>
      </c>
      <c r="B3513" s="3">
        <v>2019</v>
      </c>
      <c r="C3513" t="s">
        <v>944</v>
      </c>
      <c r="D3513" t="s">
        <v>945</v>
      </c>
      <c r="E3513" t="s">
        <v>945</v>
      </c>
      <c r="F3513" s="4">
        <v>314994</v>
      </c>
      <c r="G3513" s="4" t="s">
        <v>7</v>
      </c>
      <c r="H3513" t="str">
        <f>IFERROR(VLOOKUP(E3513,'GASB Match'!$A$2:$B$240,2,FALSE),"")</f>
        <v/>
      </c>
    </row>
    <row r="3514" spans="1:8" x14ac:dyDescent="0.2">
      <c r="A3514" t="s">
        <v>7</v>
      </c>
      <c r="B3514" s="3">
        <v>2020</v>
      </c>
      <c r="C3514" t="s">
        <v>944</v>
      </c>
      <c r="D3514" t="s">
        <v>945</v>
      </c>
      <c r="E3514" t="s">
        <v>945</v>
      </c>
      <c r="F3514" s="4">
        <v>436332</v>
      </c>
      <c r="G3514" s="4" t="s">
        <v>7</v>
      </c>
      <c r="H3514" t="str">
        <f>IFERROR(VLOOKUP(E3514,'GASB Match'!$A$2:$B$240,2,FALSE),"")</f>
        <v/>
      </c>
    </row>
    <row r="3515" spans="1:8" x14ac:dyDescent="0.2">
      <c r="A3515" t="s">
        <v>7</v>
      </c>
      <c r="B3515" s="3">
        <v>2016</v>
      </c>
      <c r="C3515" t="s">
        <v>946</v>
      </c>
      <c r="D3515" t="s">
        <v>948</v>
      </c>
      <c r="E3515" t="s">
        <v>947</v>
      </c>
      <c r="F3515" s="4">
        <v>154303.57</v>
      </c>
      <c r="G3515" s="4" t="s">
        <v>7</v>
      </c>
      <c r="H3515" t="str">
        <f>IFERROR(VLOOKUP(E3515,'GASB Match'!$A$2:$B$240,2,FALSE),"")</f>
        <v/>
      </c>
    </row>
    <row r="3516" spans="1:8" x14ac:dyDescent="0.2">
      <c r="A3516" t="s">
        <v>7</v>
      </c>
      <c r="B3516" s="3">
        <v>2017</v>
      </c>
      <c r="C3516" t="s">
        <v>946</v>
      </c>
      <c r="D3516" t="s">
        <v>948</v>
      </c>
      <c r="E3516" t="s">
        <v>947</v>
      </c>
      <c r="F3516" s="4">
        <v>191883</v>
      </c>
      <c r="G3516" s="4" t="s">
        <v>7</v>
      </c>
      <c r="H3516" t="str">
        <f>IFERROR(VLOOKUP(E3516,'GASB Match'!$A$2:$B$240,2,FALSE),"")</f>
        <v/>
      </c>
    </row>
    <row r="3517" spans="1:8" x14ac:dyDescent="0.2">
      <c r="A3517" t="s">
        <v>7</v>
      </c>
      <c r="B3517" s="3">
        <v>2018</v>
      </c>
      <c r="C3517" t="s">
        <v>946</v>
      </c>
      <c r="D3517" t="s">
        <v>948</v>
      </c>
      <c r="E3517" t="s">
        <v>947</v>
      </c>
      <c r="F3517" s="4">
        <v>305447</v>
      </c>
      <c r="G3517" s="4" t="s">
        <v>7</v>
      </c>
      <c r="H3517" t="str">
        <f>IFERROR(VLOOKUP(E3517,'GASB Match'!$A$2:$B$240,2,FALSE),"")</f>
        <v/>
      </c>
    </row>
    <row r="3518" spans="1:8" x14ac:dyDescent="0.2">
      <c r="A3518" t="s">
        <v>7</v>
      </c>
      <c r="B3518" s="3">
        <v>2019</v>
      </c>
      <c r="C3518" t="s">
        <v>946</v>
      </c>
      <c r="D3518" t="s">
        <v>948</v>
      </c>
      <c r="E3518" t="s">
        <v>947</v>
      </c>
      <c r="F3518" s="4">
        <v>396181</v>
      </c>
      <c r="G3518" s="4" t="s">
        <v>7</v>
      </c>
      <c r="H3518" t="str">
        <f>IFERROR(VLOOKUP(E3518,'GASB Match'!$A$2:$B$240,2,FALSE),"")</f>
        <v/>
      </c>
    </row>
    <row r="3519" spans="1:8" x14ac:dyDescent="0.2">
      <c r="A3519" t="s">
        <v>7</v>
      </c>
      <c r="B3519" s="3">
        <v>2020</v>
      </c>
      <c r="C3519" t="s">
        <v>946</v>
      </c>
      <c r="D3519" t="s">
        <v>948</v>
      </c>
      <c r="E3519" t="s">
        <v>947</v>
      </c>
      <c r="F3519" s="4">
        <v>459125</v>
      </c>
      <c r="G3519" s="4" t="s">
        <v>7</v>
      </c>
      <c r="H3519" t="str">
        <f>IFERROR(VLOOKUP(E3519,'GASB Match'!$A$2:$B$240,2,FALSE),"")</f>
        <v/>
      </c>
    </row>
    <row r="3520" spans="1:8" x14ac:dyDescent="0.2">
      <c r="A3520" t="s">
        <v>7</v>
      </c>
      <c r="B3520" s="3">
        <v>2021</v>
      </c>
      <c r="C3520" t="s">
        <v>946</v>
      </c>
      <c r="D3520" t="s">
        <v>947</v>
      </c>
      <c r="E3520" t="s">
        <v>947</v>
      </c>
      <c r="F3520" s="4">
        <v>857375</v>
      </c>
      <c r="G3520" s="4" t="s">
        <v>7</v>
      </c>
      <c r="H3520" t="str">
        <f>IFERROR(VLOOKUP(E3520,'GASB Match'!$A$2:$B$240,2,FALSE),"")</f>
        <v/>
      </c>
    </row>
    <row r="3521" spans="1:8" x14ac:dyDescent="0.2">
      <c r="A3521" t="s">
        <v>7</v>
      </c>
      <c r="B3521" s="3">
        <v>2022</v>
      </c>
      <c r="C3521" t="s">
        <v>946</v>
      </c>
      <c r="D3521" t="s">
        <v>947</v>
      </c>
      <c r="E3521" t="s">
        <v>947</v>
      </c>
      <c r="F3521" s="4">
        <v>1067683</v>
      </c>
      <c r="G3521" s="4" t="s">
        <v>7</v>
      </c>
      <c r="H3521" t="str">
        <f>IFERROR(VLOOKUP(E3521,'GASB Match'!$A$2:$B$240,2,FALSE),"")</f>
        <v/>
      </c>
    </row>
    <row r="3522" spans="1:8" x14ac:dyDescent="0.2">
      <c r="A3522" t="s">
        <v>7</v>
      </c>
      <c r="B3522" s="3">
        <v>2023</v>
      </c>
      <c r="C3522" t="s">
        <v>946</v>
      </c>
      <c r="D3522" t="s">
        <v>947</v>
      </c>
      <c r="E3522" t="s">
        <v>947</v>
      </c>
      <c r="F3522" s="4">
        <v>1001187</v>
      </c>
      <c r="G3522" s="4" t="s">
        <v>7</v>
      </c>
      <c r="H3522" t="str">
        <f>IFERROR(VLOOKUP(E3522,'GASB Match'!$A$2:$B$240,2,FALSE),"")</f>
        <v/>
      </c>
    </row>
    <row r="3523" spans="1:8" x14ac:dyDescent="0.2">
      <c r="A3523">
        <v>1300247</v>
      </c>
      <c r="B3523" s="3">
        <v>2018</v>
      </c>
      <c r="C3523" t="s">
        <v>949</v>
      </c>
      <c r="D3523" t="s">
        <v>950</v>
      </c>
      <c r="E3523" t="s">
        <v>950</v>
      </c>
      <c r="F3523" s="4">
        <v>76646</v>
      </c>
      <c r="G3523" s="4" t="s">
        <v>7</v>
      </c>
      <c r="H3523">
        <f>IFERROR(VLOOKUP(E3523,'GASB Match'!$A$2:$B$240,2,FALSE),"")</f>
        <v>1300247</v>
      </c>
    </row>
    <row r="3524" spans="1:8" x14ac:dyDescent="0.2">
      <c r="A3524">
        <v>1300247</v>
      </c>
      <c r="B3524" s="3">
        <v>2019</v>
      </c>
      <c r="C3524" t="s">
        <v>949</v>
      </c>
      <c r="D3524" t="s">
        <v>950</v>
      </c>
      <c r="E3524" t="s">
        <v>950</v>
      </c>
      <c r="F3524" s="4">
        <v>145862</v>
      </c>
      <c r="G3524" s="4" t="s">
        <v>7</v>
      </c>
      <c r="H3524">
        <f>IFERROR(VLOOKUP(E3524,'GASB Match'!$A$2:$B$240,2,FALSE),"")</f>
        <v>1300247</v>
      </c>
    </row>
    <row r="3525" spans="1:8" x14ac:dyDescent="0.2">
      <c r="A3525">
        <v>1300247</v>
      </c>
      <c r="B3525" s="3">
        <v>2020</v>
      </c>
      <c r="C3525" t="s">
        <v>949</v>
      </c>
      <c r="D3525" t="s">
        <v>950</v>
      </c>
      <c r="E3525" t="s">
        <v>950</v>
      </c>
      <c r="F3525" s="4">
        <v>234744</v>
      </c>
      <c r="G3525" s="4" t="s">
        <v>7</v>
      </c>
      <c r="H3525">
        <f>IFERROR(VLOOKUP(E3525,'GASB Match'!$A$2:$B$240,2,FALSE),"")</f>
        <v>1300247</v>
      </c>
    </row>
    <row r="3526" spans="1:8" x14ac:dyDescent="0.2">
      <c r="A3526">
        <v>1300247</v>
      </c>
      <c r="B3526" s="3">
        <v>2021</v>
      </c>
      <c r="C3526" t="s">
        <v>949</v>
      </c>
      <c r="D3526" t="s">
        <v>950</v>
      </c>
      <c r="E3526" t="s">
        <v>950</v>
      </c>
      <c r="F3526" s="4">
        <v>261552</v>
      </c>
      <c r="G3526" s="4" t="s">
        <v>7</v>
      </c>
      <c r="H3526">
        <f>IFERROR(VLOOKUP(E3526,'GASB Match'!$A$2:$B$240,2,FALSE),"")</f>
        <v>1300247</v>
      </c>
    </row>
    <row r="3527" spans="1:8" x14ac:dyDescent="0.2">
      <c r="A3527">
        <v>1300247</v>
      </c>
      <c r="B3527" s="3">
        <v>2022</v>
      </c>
      <c r="C3527" t="s">
        <v>949</v>
      </c>
      <c r="D3527" t="s">
        <v>950</v>
      </c>
      <c r="E3527" t="s">
        <v>950</v>
      </c>
      <c r="F3527" s="4">
        <v>446702</v>
      </c>
      <c r="G3527" s="4" t="s">
        <v>7</v>
      </c>
      <c r="H3527">
        <f>IFERROR(VLOOKUP(E3527,'GASB Match'!$A$2:$B$240,2,FALSE),"")</f>
        <v>1300247</v>
      </c>
    </row>
    <row r="3528" spans="1:8" x14ac:dyDescent="0.2">
      <c r="A3528">
        <v>1300247</v>
      </c>
      <c r="B3528" s="3">
        <v>2023</v>
      </c>
      <c r="C3528" t="s">
        <v>949</v>
      </c>
      <c r="D3528" t="s">
        <v>950</v>
      </c>
      <c r="E3528" t="s">
        <v>950</v>
      </c>
      <c r="F3528" s="4">
        <v>520418</v>
      </c>
      <c r="G3528" s="4" t="s">
        <v>7</v>
      </c>
      <c r="H3528">
        <f>IFERROR(VLOOKUP(E3528,'GASB Match'!$A$2:$B$240,2,FALSE),"")</f>
        <v>1300247</v>
      </c>
    </row>
    <row r="3529" spans="1:8" x14ac:dyDescent="0.2">
      <c r="A3529">
        <v>1300244</v>
      </c>
      <c r="B3529" s="3">
        <v>2018</v>
      </c>
      <c r="C3529" t="s">
        <v>951</v>
      </c>
      <c r="D3529" t="s">
        <v>952</v>
      </c>
      <c r="E3529" t="s">
        <v>952</v>
      </c>
      <c r="F3529" s="4">
        <v>166205</v>
      </c>
      <c r="G3529" s="4" t="s">
        <v>7</v>
      </c>
      <c r="H3529">
        <f>IFERROR(VLOOKUP(E3529,'GASB Match'!$A$2:$B$240,2,FALSE),"")</f>
        <v>1300244</v>
      </c>
    </row>
    <row r="3530" spans="1:8" x14ac:dyDescent="0.2">
      <c r="A3530">
        <v>1300244</v>
      </c>
      <c r="B3530" s="3">
        <v>2019</v>
      </c>
      <c r="C3530" t="s">
        <v>951</v>
      </c>
      <c r="D3530" t="s">
        <v>952</v>
      </c>
      <c r="E3530" t="s">
        <v>952</v>
      </c>
      <c r="F3530" s="4">
        <v>308120</v>
      </c>
      <c r="G3530" s="4" t="s">
        <v>7</v>
      </c>
      <c r="H3530">
        <f>IFERROR(VLOOKUP(E3530,'GASB Match'!$A$2:$B$240,2,FALSE),"")</f>
        <v>1300244</v>
      </c>
    </row>
    <row r="3531" spans="1:8" x14ac:dyDescent="0.2">
      <c r="A3531">
        <v>1300244</v>
      </c>
      <c r="B3531" s="3">
        <v>2020</v>
      </c>
      <c r="C3531" t="s">
        <v>951</v>
      </c>
      <c r="D3531" t="s">
        <v>952</v>
      </c>
      <c r="E3531" t="s">
        <v>952</v>
      </c>
      <c r="F3531" s="4">
        <v>390969</v>
      </c>
      <c r="G3531" s="4" t="s">
        <v>7</v>
      </c>
      <c r="H3531">
        <f>IFERROR(VLOOKUP(E3531,'GASB Match'!$A$2:$B$240,2,FALSE),"")</f>
        <v>1300244</v>
      </c>
    </row>
    <row r="3532" spans="1:8" x14ac:dyDescent="0.2">
      <c r="A3532">
        <v>1300244</v>
      </c>
      <c r="B3532" s="3">
        <v>2021</v>
      </c>
      <c r="C3532" t="s">
        <v>951</v>
      </c>
      <c r="D3532" t="s">
        <v>952</v>
      </c>
      <c r="E3532" t="s">
        <v>952</v>
      </c>
      <c r="F3532" s="4">
        <v>438115</v>
      </c>
      <c r="G3532" s="4" t="s">
        <v>7</v>
      </c>
      <c r="H3532">
        <f>IFERROR(VLOOKUP(E3532,'GASB Match'!$A$2:$B$240,2,FALSE),"")</f>
        <v>1300244</v>
      </c>
    </row>
    <row r="3533" spans="1:8" x14ac:dyDescent="0.2">
      <c r="A3533">
        <v>1300244</v>
      </c>
      <c r="B3533" s="3">
        <v>2022</v>
      </c>
      <c r="C3533" t="s">
        <v>951</v>
      </c>
      <c r="D3533" t="s">
        <v>952</v>
      </c>
      <c r="E3533" t="s">
        <v>952</v>
      </c>
      <c r="F3533" s="4">
        <v>627694</v>
      </c>
      <c r="G3533" s="4" t="s">
        <v>7</v>
      </c>
      <c r="H3533">
        <f>IFERROR(VLOOKUP(E3533,'GASB Match'!$A$2:$B$240,2,FALSE),"")</f>
        <v>1300244</v>
      </c>
    </row>
    <row r="3534" spans="1:8" x14ac:dyDescent="0.2">
      <c r="A3534">
        <v>1300244</v>
      </c>
      <c r="B3534" s="3">
        <v>2023</v>
      </c>
      <c r="C3534" t="s">
        <v>951</v>
      </c>
      <c r="D3534" t="s">
        <v>952</v>
      </c>
      <c r="E3534" t="s">
        <v>952</v>
      </c>
      <c r="F3534" s="4">
        <v>667069</v>
      </c>
      <c r="G3534" s="4" t="s">
        <v>7</v>
      </c>
      <c r="H3534">
        <f>IFERROR(VLOOKUP(E3534,'GASB Match'!$A$2:$B$240,2,FALSE),"")</f>
        <v>1300244</v>
      </c>
    </row>
    <row r="3535" spans="1:8" x14ac:dyDescent="0.2">
      <c r="A3535">
        <v>1300248</v>
      </c>
      <c r="B3535" s="3">
        <v>2018</v>
      </c>
      <c r="C3535" t="s">
        <v>953</v>
      </c>
      <c r="D3535" t="s">
        <v>954</v>
      </c>
      <c r="E3535" t="s">
        <v>954</v>
      </c>
      <c r="F3535" s="4">
        <v>118989</v>
      </c>
      <c r="G3535" s="4" t="s">
        <v>7</v>
      </c>
      <c r="H3535">
        <f>IFERROR(VLOOKUP(E3535,'GASB Match'!$A$2:$B$240,2,FALSE),"")</f>
        <v>1300248</v>
      </c>
    </row>
    <row r="3536" spans="1:8" x14ac:dyDescent="0.2">
      <c r="A3536">
        <v>1300248</v>
      </c>
      <c r="B3536" s="3">
        <v>2019</v>
      </c>
      <c r="C3536" t="s">
        <v>953</v>
      </c>
      <c r="D3536" t="s">
        <v>954</v>
      </c>
      <c r="E3536" t="s">
        <v>954</v>
      </c>
      <c r="F3536" s="4">
        <v>188341</v>
      </c>
      <c r="G3536" s="4" t="s">
        <v>7</v>
      </c>
      <c r="H3536">
        <f>IFERROR(VLOOKUP(E3536,'GASB Match'!$A$2:$B$240,2,FALSE),"")</f>
        <v>1300248</v>
      </c>
    </row>
    <row r="3537" spans="1:8" x14ac:dyDescent="0.2">
      <c r="A3537">
        <v>1300248</v>
      </c>
      <c r="B3537" s="3">
        <v>2020</v>
      </c>
      <c r="C3537" t="s">
        <v>953</v>
      </c>
      <c r="D3537" t="s">
        <v>954</v>
      </c>
      <c r="E3537" t="s">
        <v>954</v>
      </c>
      <c r="F3537" s="4">
        <v>242778</v>
      </c>
      <c r="G3537" s="4" t="s">
        <v>7</v>
      </c>
      <c r="H3537">
        <f>IFERROR(VLOOKUP(E3537,'GASB Match'!$A$2:$B$240,2,FALSE),"")</f>
        <v>1300248</v>
      </c>
    </row>
    <row r="3538" spans="1:8" x14ac:dyDescent="0.2">
      <c r="A3538">
        <v>1300248</v>
      </c>
      <c r="B3538" s="3">
        <v>2021</v>
      </c>
      <c r="C3538" t="s">
        <v>953</v>
      </c>
      <c r="D3538" t="s">
        <v>954</v>
      </c>
      <c r="E3538" t="s">
        <v>954</v>
      </c>
      <c r="F3538" s="4">
        <v>277543</v>
      </c>
      <c r="G3538" s="4" t="s">
        <v>7</v>
      </c>
      <c r="H3538">
        <f>IFERROR(VLOOKUP(E3538,'GASB Match'!$A$2:$B$240,2,FALSE),"")</f>
        <v>1300248</v>
      </c>
    </row>
    <row r="3539" spans="1:8" x14ac:dyDescent="0.2">
      <c r="A3539">
        <v>1300248</v>
      </c>
      <c r="B3539" s="3">
        <v>2022</v>
      </c>
      <c r="C3539" t="s">
        <v>953</v>
      </c>
      <c r="D3539" t="s">
        <v>954</v>
      </c>
      <c r="E3539" t="s">
        <v>954</v>
      </c>
      <c r="F3539" s="4">
        <v>292906</v>
      </c>
      <c r="G3539" s="4" t="s">
        <v>7</v>
      </c>
      <c r="H3539">
        <f>IFERROR(VLOOKUP(E3539,'GASB Match'!$A$2:$B$240,2,FALSE),"")</f>
        <v>1300248</v>
      </c>
    </row>
    <row r="3540" spans="1:8" x14ac:dyDescent="0.2">
      <c r="A3540">
        <v>1300248</v>
      </c>
      <c r="B3540" s="3">
        <v>2023</v>
      </c>
      <c r="C3540" t="s">
        <v>953</v>
      </c>
      <c r="D3540" t="s">
        <v>954</v>
      </c>
      <c r="E3540" t="s">
        <v>954</v>
      </c>
      <c r="F3540" s="4">
        <v>299987</v>
      </c>
      <c r="G3540" s="4" t="s">
        <v>7</v>
      </c>
      <c r="H3540">
        <f>IFERROR(VLOOKUP(E3540,'GASB Match'!$A$2:$B$240,2,FALSE),"")</f>
        <v>1300248</v>
      </c>
    </row>
    <row r="3541" spans="1:8" x14ac:dyDescent="0.2">
      <c r="A3541">
        <v>1300261</v>
      </c>
      <c r="B3541" s="3">
        <v>2021</v>
      </c>
      <c r="C3541" t="s">
        <v>955</v>
      </c>
      <c r="D3541" t="s">
        <v>956</v>
      </c>
      <c r="E3541" t="s">
        <v>956</v>
      </c>
      <c r="F3541" s="4">
        <v>117811</v>
      </c>
      <c r="G3541" s="4" t="s">
        <v>7</v>
      </c>
      <c r="H3541">
        <f>IFERROR(VLOOKUP(E3541,'GASB Match'!$A$2:$B$240,2,FALSE),"")</f>
        <v>1300261</v>
      </c>
    </row>
    <row r="3542" spans="1:8" x14ac:dyDescent="0.2">
      <c r="A3542">
        <v>1300261</v>
      </c>
      <c r="B3542" s="3">
        <v>2022</v>
      </c>
      <c r="C3542" t="s">
        <v>955</v>
      </c>
      <c r="D3542" t="s">
        <v>956</v>
      </c>
      <c r="E3542" t="s">
        <v>956</v>
      </c>
      <c r="F3542" s="4">
        <v>307211</v>
      </c>
      <c r="G3542" s="4" t="s">
        <v>7</v>
      </c>
      <c r="H3542">
        <f>IFERROR(VLOOKUP(E3542,'GASB Match'!$A$2:$B$240,2,FALSE),"")</f>
        <v>1300261</v>
      </c>
    </row>
    <row r="3543" spans="1:8" x14ac:dyDescent="0.2">
      <c r="A3543">
        <v>1300261</v>
      </c>
      <c r="B3543" s="3">
        <v>2023</v>
      </c>
      <c r="C3543" t="s">
        <v>955</v>
      </c>
      <c r="D3543" t="s">
        <v>956</v>
      </c>
      <c r="E3543" t="s">
        <v>956</v>
      </c>
      <c r="F3543" s="4">
        <v>501744</v>
      </c>
      <c r="G3543" s="4" t="s">
        <v>7</v>
      </c>
      <c r="H3543">
        <f>IFERROR(VLOOKUP(E3543,'GASB Match'!$A$2:$B$240,2,FALSE),"")</f>
        <v>1300261</v>
      </c>
    </row>
    <row r="3544" spans="1:8" x14ac:dyDescent="0.2">
      <c r="A3544">
        <v>1300257</v>
      </c>
      <c r="B3544" s="3">
        <v>2021</v>
      </c>
      <c r="C3544" t="s">
        <v>957</v>
      </c>
      <c r="D3544" t="s">
        <v>958</v>
      </c>
      <c r="E3544" t="s">
        <v>958</v>
      </c>
      <c r="F3544" s="4">
        <v>91820</v>
      </c>
      <c r="G3544" s="4" t="s">
        <v>7</v>
      </c>
      <c r="H3544">
        <f>IFERROR(VLOOKUP(E3544,'GASB Match'!$A$2:$B$240,2,FALSE),"")</f>
        <v>1300257</v>
      </c>
    </row>
    <row r="3545" spans="1:8" x14ac:dyDescent="0.2">
      <c r="A3545">
        <v>1300257</v>
      </c>
      <c r="B3545" s="3">
        <v>2022</v>
      </c>
      <c r="C3545" t="s">
        <v>957</v>
      </c>
      <c r="D3545" t="s">
        <v>958</v>
      </c>
      <c r="E3545" t="s">
        <v>958</v>
      </c>
      <c r="F3545" s="4">
        <v>154398</v>
      </c>
      <c r="G3545" s="4" t="s">
        <v>7</v>
      </c>
      <c r="H3545">
        <f>IFERROR(VLOOKUP(E3545,'GASB Match'!$A$2:$B$240,2,FALSE),"")</f>
        <v>1300257</v>
      </c>
    </row>
    <row r="3546" spans="1:8" x14ac:dyDescent="0.2">
      <c r="A3546">
        <v>1300257</v>
      </c>
      <c r="B3546" s="3">
        <v>2023</v>
      </c>
      <c r="C3546" t="s">
        <v>957</v>
      </c>
      <c r="D3546" t="s">
        <v>958</v>
      </c>
      <c r="E3546" t="s">
        <v>958</v>
      </c>
      <c r="F3546" s="4">
        <v>398868</v>
      </c>
      <c r="G3546" s="4" t="s">
        <v>7</v>
      </c>
      <c r="H3546">
        <f>IFERROR(VLOOKUP(E3546,'GASB Match'!$A$2:$B$240,2,FALSE),"")</f>
        <v>1300257</v>
      </c>
    </row>
    <row r="3547" spans="1:8" x14ac:dyDescent="0.2">
      <c r="A3547">
        <v>1300262</v>
      </c>
      <c r="B3547" s="3">
        <v>2021</v>
      </c>
      <c r="C3547" t="s">
        <v>959</v>
      </c>
      <c r="D3547" t="s">
        <v>960</v>
      </c>
      <c r="E3547" t="s">
        <v>960</v>
      </c>
      <c r="F3547" s="4">
        <v>107219</v>
      </c>
      <c r="G3547" s="4" t="s">
        <v>7</v>
      </c>
      <c r="H3547">
        <f>IFERROR(VLOOKUP(E3547,'GASB Match'!$A$2:$B$240,2,FALSE),"")</f>
        <v>1300262</v>
      </c>
    </row>
    <row r="3548" spans="1:8" x14ac:dyDescent="0.2">
      <c r="A3548">
        <v>1300262</v>
      </c>
      <c r="B3548" s="3">
        <v>2022</v>
      </c>
      <c r="C3548" t="s">
        <v>959</v>
      </c>
      <c r="D3548" t="s">
        <v>960</v>
      </c>
      <c r="E3548" t="s">
        <v>960</v>
      </c>
      <c r="F3548" s="4">
        <v>171584</v>
      </c>
      <c r="G3548" s="4" t="s">
        <v>7</v>
      </c>
      <c r="H3548">
        <f>IFERROR(VLOOKUP(E3548,'GASB Match'!$A$2:$B$240,2,FALSE),"")</f>
        <v>1300262</v>
      </c>
    </row>
    <row r="3549" spans="1:8" x14ac:dyDescent="0.2">
      <c r="A3549">
        <v>1300262</v>
      </c>
      <c r="B3549" s="3">
        <v>2023</v>
      </c>
      <c r="C3549" t="s">
        <v>959</v>
      </c>
      <c r="D3549" t="s">
        <v>960</v>
      </c>
      <c r="E3549" t="s">
        <v>960</v>
      </c>
      <c r="F3549" s="4">
        <v>264942</v>
      </c>
      <c r="G3549" s="4" t="s">
        <v>7</v>
      </c>
      <c r="H3549">
        <f>IFERROR(VLOOKUP(E3549,'GASB Match'!$A$2:$B$240,2,FALSE),"")</f>
        <v>1300262</v>
      </c>
    </row>
    <row r="3550" spans="1:8" x14ac:dyDescent="0.2">
      <c r="A3550">
        <v>1300263</v>
      </c>
      <c r="B3550" s="3">
        <v>2021</v>
      </c>
      <c r="C3550" t="s">
        <v>961</v>
      </c>
      <c r="D3550" t="s">
        <v>962</v>
      </c>
      <c r="E3550" t="s">
        <v>962</v>
      </c>
      <c r="F3550" s="4">
        <v>136349</v>
      </c>
      <c r="G3550" s="4" t="s">
        <v>7</v>
      </c>
      <c r="H3550">
        <f>IFERROR(VLOOKUP(E3550,'GASB Match'!$A$2:$B$240,2,FALSE),"")</f>
        <v>1300263</v>
      </c>
    </row>
    <row r="3551" spans="1:8" x14ac:dyDescent="0.2">
      <c r="A3551">
        <v>1300263</v>
      </c>
      <c r="B3551" s="3">
        <v>2022</v>
      </c>
      <c r="C3551" t="s">
        <v>961</v>
      </c>
      <c r="D3551" t="s">
        <v>962</v>
      </c>
      <c r="E3551" t="s">
        <v>962</v>
      </c>
      <c r="F3551" s="4">
        <v>190254</v>
      </c>
      <c r="G3551" s="4" t="s">
        <v>7</v>
      </c>
      <c r="H3551">
        <f>IFERROR(VLOOKUP(E3551,'GASB Match'!$A$2:$B$240,2,FALSE),"")</f>
        <v>1300263</v>
      </c>
    </row>
    <row r="3552" spans="1:8" x14ac:dyDescent="0.2">
      <c r="A3552">
        <v>1300263</v>
      </c>
      <c r="B3552" s="3">
        <v>2023</v>
      </c>
      <c r="C3552" t="s">
        <v>961</v>
      </c>
      <c r="D3552" t="s">
        <v>962</v>
      </c>
      <c r="E3552" t="s">
        <v>962</v>
      </c>
      <c r="F3552" s="4">
        <v>223363</v>
      </c>
      <c r="G3552" s="4" t="s">
        <v>7</v>
      </c>
      <c r="H3552">
        <f>IFERROR(VLOOKUP(E3552,'GASB Match'!$A$2:$B$240,2,FALSE),"")</f>
        <v>1300263</v>
      </c>
    </row>
    <row r="3553" spans="1:8" x14ac:dyDescent="0.2">
      <c r="A3553" t="s">
        <v>7</v>
      </c>
      <c r="B3553" s="3">
        <v>2023</v>
      </c>
      <c r="C3553" t="s">
        <v>963</v>
      </c>
      <c r="D3553" t="s">
        <v>964</v>
      </c>
      <c r="E3553" t="s">
        <v>964</v>
      </c>
      <c r="F3553" s="4">
        <v>152083</v>
      </c>
      <c r="G3553" s="4" t="s">
        <v>7</v>
      </c>
      <c r="H3553" t="str">
        <f>IFERROR(VLOOKUP(E3553,'GASB Match'!$A$2:$B$240,2,FALSE),"")</f>
        <v/>
      </c>
    </row>
    <row r="3554" spans="1:8" x14ac:dyDescent="0.2">
      <c r="A3554" t="s">
        <v>7</v>
      </c>
      <c r="B3554" s="3">
        <v>2023</v>
      </c>
      <c r="C3554" t="s">
        <v>965</v>
      </c>
      <c r="D3554" t="s">
        <v>966</v>
      </c>
      <c r="E3554" t="s">
        <v>966</v>
      </c>
      <c r="F3554" s="4">
        <v>259364</v>
      </c>
      <c r="G3554" s="4" t="s">
        <v>7</v>
      </c>
      <c r="H3554" t="str">
        <f>IFERROR(VLOOKUP(E3554,'GASB Match'!$A$2:$B$240,2,FALSE),"")</f>
        <v/>
      </c>
    </row>
    <row r="3555" spans="1:8" x14ac:dyDescent="0.2">
      <c r="A3555" t="s">
        <v>7</v>
      </c>
      <c r="B3555" s="3">
        <v>2022</v>
      </c>
      <c r="C3555" t="s">
        <v>967</v>
      </c>
      <c r="D3555" t="s">
        <v>968</v>
      </c>
      <c r="E3555" t="s">
        <v>968</v>
      </c>
      <c r="F3555" s="4">
        <v>24955</v>
      </c>
      <c r="G3555" s="4" t="s">
        <v>7</v>
      </c>
      <c r="H3555" t="str">
        <f>IFERROR(VLOOKUP(E3555,'GASB Match'!$A$2:$B$240,2,FALSE),"")</f>
        <v/>
      </c>
    </row>
    <row r="3556" spans="1:8" x14ac:dyDescent="0.2">
      <c r="A3556" t="s">
        <v>7</v>
      </c>
      <c r="B3556" s="3">
        <v>2023</v>
      </c>
      <c r="C3556" t="s">
        <v>967</v>
      </c>
      <c r="D3556" t="s">
        <v>968</v>
      </c>
      <c r="E3556" t="s">
        <v>968</v>
      </c>
      <c r="F3556" s="4">
        <v>26265</v>
      </c>
      <c r="G3556" s="4" t="s">
        <v>7</v>
      </c>
      <c r="H3556" t="str">
        <f>IFERROR(VLOOKUP(E3556,'GASB Match'!$A$2:$B$240,2,FALSE),"")</f>
        <v/>
      </c>
    </row>
    <row r="3557" spans="1:8" x14ac:dyDescent="0.2">
      <c r="A3557" t="s">
        <v>7</v>
      </c>
      <c r="B3557" s="3">
        <v>2020</v>
      </c>
      <c r="C3557" t="s">
        <v>969</v>
      </c>
      <c r="D3557" t="s">
        <v>970</v>
      </c>
      <c r="E3557" t="s">
        <v>970</v>
      </c>
      <c r="F3557" s="4">
        <v>2094</v>
      </c>
      <c r="G3557" s="4" t="s">
        <v>7</v>
      </c>
      <c r="H3557" t="str">
        <f>IFERROR(VLOOKUP(E3557,'GASB Match'!$A$2:$B$240,2,FALSE),"")</f>
        <v/>
      </c>
    </row>
    <row r="3558" spans="1:8" x14ac:dyDescent="0.2">
      <c r="A3558" t="s">
        <v>7</v>
      </c>
      <c r="B3558" s="3">
        <v>2021</v>
      </c>
      <c r="C3558" t="s">
        <v>969</v>
      </c>
      <c r="D3558" t="s">
        <v>970</v>
      </c>
      <c r="E3558" t="s">
        <v>970</v>
      </c>
      <c r="F3558" s="4">
        <v>4721</v>
      </c>
      <c r="G3558" s="4" t="s">
        <v>7</v>
      </c>
      <c r="H3558" t="str">
        <f>IFERROR(VLOOKUP(E3558,'GASB Match'!$A$2:$B$240,2,FALSE),"")</f>
        <v/>
      </c>
    </row>
    <row r="3559" spans="1:8" x14ac:dyDescent="0.2">
      <c r="A3559" t="s">
        <v>7</v>
      </c>
      <c r="B3559" s="3">
        <v>2023</v>
      </c>
      <c r="C3559" t="s">
        <v>969</v>
      </c>
      <c r="D3559" t="s">
        <v>970</v>
      </c>
      <c r="E3559" t="s">
        <v>970</v>
      </c>
      <c r="F3559" s="4">
        <v>2959</v>
      </c>
      <c r="G3559" s="4" t="s">
        <v>7</v>
      </c>
      <c r="H3559" t="str">
        <f>IFERROR(VLOOKUP(E3559,'GASB Match'!$A$2:$B$240,2,FALSE),"")</f>
        <v/>
      </c>
    </row>
    <row r="3560" spans="1:8" x14ac:dyDescent="0.2">
      <c r="A3560" t="s">
        <v>7</v>
      </c>
      <c r="B3560" s="3">
        <v>2017</v>
      </c>
      <c r="C3560" t="s">
        <v>971</v>
      </c>
      <c r="D3560" t="s">
        <v>973</v>
      </c>
      <c r="E3560" t="s">
        <v>972</v>
      </c>
      <c r="F3560" s="4">
        <v>161</v>
      </c>
      <c r="G3560" s="4" t="s">
        <v>7</v>
      </c>
      <c r="H3560" t="str">
        <f>IFERROR(VLOOKUP(E3560,'GASB Match'!$A$2:$B$240,2,FALSE),"")</f>
        <v/>
      </c>
    </row>
    <row r="3561" spans="1:8" x14ac:dyDescent="0.2">
      <c r="A3561" t="s">
        <v>7</v>
      </c>
      <c r="B3561" s="3">
        <v>2018</v>
      </c>
      <c r="C3561" t="s">
        <v>971</v>
      </c>
      <c r="D3561" t="s">
        <v>973</v>
      </c>
      <c r="E3561" t="s">
        <v>972</v>
      </c>
      <c r="F3561" s="4">
        <v>4539</v>
      </c>
      <c r="G3561" s="4" t="s">
        <v>7</v>
      </c>
      <c r="H3561" t="str">
        <f>IFERROR(VLOOKUP(E3561,'GASB Match'!$A$2:$B$240,2,FALSE),"")</f>
        <v/>
      </c>
    </row>
    <row r="3562" spans="1:8" x14ac:dyDescent="0.2">
      <c r="A3562" t="s">
        <v>7</v>
      </c>
      <c r="B3562" s="3">
        <v>2019</v>
      </c>
      <c r="C3562" t="s">
        <v>971</v>
      </c>
      <c r="D3562" t="s">
        <v>974</v>
      </c>
      <c r="E3562" t="s">
        <v>972</v>
      </c>
      <c r="F3562" s="4">
        <v>5667</v>
      </c>
      <c r="G3562" s="4" t="s">
        <v>7</v>
      </c>
      <c r="H3562" t="str">
        <f>IFERROR(VLOOKUP(E3562,'GASB Match'!$A$2:$B$240,2,FALSE),"")</f>
        <v/>
      </c>
    </row>
    <row r="3563" spans="1:8" x14ac:dyDescent="0.2">
      <c r="A3563" t="s">
        <v>7</v>
      </c>
      <c r="B3563" s="3">
        <v>2020</v>
      </c>
      <c r="C3563" t="s">
        <v>971</v>
      </c>
      <c r="D3563" t="s">
        <v>974</v>
      </c>
      <c r="E3563" t="s">
        <v>972</v>
      </c>
      <c r="F3563" s="4">
        <v>6279</v>
      </c>
      <c r="G3563" s="4" t="s">
        <v>7</v>
      </c>
      <c r="H3563" t="str">
        <f>IFERROR(VLOOKUP(E3563,'GASB Match'!$A$2:$B$240,2,FALSE),"")</f>
        <v/>
      </c>
    </row>
    <row r="3564" spans="1:8" x14ac:dyDescent="0.2">
      <c r="A3564" t="s">
        <v>7</v>
      </c>
      <c r="B3564" s="3">
        <v>2021</v>
      </c>
      <c r="C3564" t="s">
        <v>971</v>
      </c>
      <c r="D3564" t="s">
        <v>974</v>
      </c>
      <c r="E3564" t="s">
        <v>972</v>
      </c>
      <c r="F3564" s="4">
        <v>5661</v>
      </c>
      <c r="G3564" s="4" t="s">
        <v>7</v>
      </c>
      <c r="H3564" t="str">
        <f>IFERROR(VLOOKUP(E3564,'GASB Match'!$A$2:$B$240,2,FALSE),"")</f>
        <v/>
      </c>
    </row>
    <row r="3565" spans="1:8" x14ac:dyDescent="0.2">
      <c r="A3565" t="s">
        <v>7</v>
      </c>
      <c r="B3565" s="3">
        <v>2022</v>
      </c>
      <c r="C3565" t="s">
        <v>971</v>
      </c>
      <c r="D3565" t="s">
        <v>972</v>
      </c>
      <c r="E3565" t="s">
        <v>972</v>
      </c>
      <c r="F3565" s="4">
        <v>6797</v>
      </c>
      <c r="G3565" s="4" t="s">
        <v>7</v>
      </c>
      <c r="H3565" t="str">
        <f>IFERROR(VLOOKUP(E3565,'GASB Match'!$A$2:$B$240,2,FALSE),"")</f>
        <v/>
      </c>
    </row>
    <row r="3566" spans="1:8" x14ac:dyDescent="0.2">
      <c r="A3566" t="s">
        <v>7</v>
      </c>
      <c r="B3566" s="3">
        <v>2023</v>
      </c>
      <c r="C3566" t="s">
        <v>971</v>
      </c>
      <c r="D3566" t="s">
        <v>972</v>
      </c>
      <c r="E3566" t="s">
        <v>972</v>
      </c>
      <c r="F3566" s="4">
        <v>7220</v>
      </c>
      <c r="G3566" s="4" t="s">
        <v>7</v>
      </c>
      <c r="H3566" t="str">
        <f>IFERROR(VLOOKUP(E3566,'GASB Match'!$A$2:$B$240,2,FALSE),"")</f>
        <v/>
      </c>
    </row>
    <row r="3567" spans="1:8" x14ac:dyDescent="0.2">
      <c r="A3567" t="s">
        <v>7</v>
      </c>
      <c r="B3567" s="3">
        <v>2018</v>
      </c>
      <c r="C3567" t="s">
        <v>975</v>
      </c>
      <c r="D3567" t="s">
        <v>977</v>
      </c>
      <c r="E3567" t="s">
        <v>976</v>
      </c>
      <c r="F3567" s="4">
        <v>6544</v>
      </c>
      <c r="G3567" s="4" t="s">
        <v>7</v>
      </c>
      <c r="H3567" t="str">
        <f>IFERROR(VLOOKUP(E3567,'GASB Match'!$A$2:$B$240,2,FALSE),"")</f>
        <v/>
      </c>
    </row>
    <row r="3568" spans="1:8" x14ac:dyDescent="0.2">
      <c r="A3568" t="s">
        <v>7</v>
      </c>
      <c r="B3568" s="3">
        <v>2019</v>
      </c>
      <c r="C3568" t="s">
        <v>975</v>
      </c>
      <c r="D3568" t="s">
        <v>976</v>
      </c>
      <c r="E3568" t="s">
        <v>976</v>
      </c>
      <c r="F3568" s="4">
        <v>7458</v>
      </c>
      <c r="G3568" s="4" t="s">
        <v>7</v>
      </c>
      <c r="H3568" t="str">
        <f>IFERROR(VLOOKUP(E3568,'GASB Match'!$A$2:$B$240,2,FALSE),"")</f>
        <v/>
      </c>
    </row>
    <row r="3569" spans="1:8" x14ac:dyDescent="0.2">
      <c r="A3569" t="s">
        <v>7</v>
      </c>
      <c r="B3569" s="3">
        <v>2019</v>
      </c>
      <c r="C3569" t="s">
        <v>978</v>
      </c>
      <c r="D3569" t="s">
        <v>980</v>
      </c>
      <c r="E3569" t="s">
        <v>979</v>
      </c>
      <c r="F3569" s="4">
        <v>941</v>
      </c>
      <c r="G3569" s="4" t="s">
        <v>7</v>
      </c>
      <c r="H3569" t="str">
        <f>IFERROR(VLOOKUP(E3569,'GASB Match'!$A$2:$B$240,2,FALSE),"")</f>
        <v/>
      </c>
    </row>
    <row r="3570" spans="1:8" x14ac:dyDescent="0.2">
      <c r="A3570" t="s">
        <v>7</v>
      </c>
      <c r="B3570" s="3">
        <v>2020</v>
      </c>
      <c r="C3570" t="s">
        <v>978</v>
      </c>
      <c r="D3570" t="s">
        <v>979</v>
      </c>
      <c r="E3570" t="s">
        <v>979</v>
      </c>
      <c r="F3570" s="4">
        <v>5708</v>
      </c>
      <c r="G3570" s="4" t="s">
        <v>7</v>
      </c>
      <c r="H3570" t="str">
        <f>IFERROR(VLOOKUP(E3570,'GASB Match'!$A$2:$B$240,2,FALSE),"")</f>
        <v/>
      </c>
    </row>
    <row r="3571" spans="1:8" x14ac:dyDescent="0.2">
      <c r="A3571" t="s">
        <v>7</v>
      </c>
      <c r="B3571" s="3">
        <v>2021</v>
      </c>
      <c r="C3571" t="s">
        <v>978</v>
      </c>
      <c r="D3571" t="s">
        <v>979</v>
      </c>
      <c r="E3571" t="s">
        <v>979</v>
      </c>
      <c r="F3571" s="4">
        <v>5146</v>
      </c>
      <c r="G3571" s="4" t="s">
        <v>7</v>
      </c>
      <c r="H3571" t="str">
        <f>IFERROR(VLOOKUP(E3571,'GASB Match'!$A$2:$B$240,2,FALSE),"")</f>
        <v/>
      </c>
    </row>
    <row r="3572" spans="1:8" x14ac:dyDescent="0.2">
      <c r="A3572" t="s">
        <v>7</v>
      </c>
      <c r="B3572" s="3">
        <v>2022</v>
      </c>
      <c r="C3572" t="s">
        <v>978</v>
      </c>
      <c r="D3572" t="s">
        <v>979</v>
      </c>
      <c r="E3572" t="s">
        <v>979</v>
      </c>
      <c r="F3572" s="4">
        <v>6262</v>
      </c>
      <c r="G3572" s="4" t="s">
        <v>7</v>
      </c>
      <c r="H3572" t="str">
        <f>IFERROR(VLOOKUP(E3572,'GASB Match'!$A$2:$B$240,2,FALSE),"")</f>
        <v/>
      </c>
    </row>
    <row r="3573" spans="1:8" x14ac:dyDescent="0.2">
      <c r="A3573" t="s">
        <v>7</v>
      </c>
      <c r="B3573" s="3">
        <v>2023</v>
      </c>
      <c r="C3573" t="s">
        <v>978</v>
      </c>
      <c r="D3573" t="s">
        <v>979</v>
      </c>
      <c r="E3573" t="s">
        <v>979</v>
      </c>
      <c r="F3573" s="4">
        <v>6969</v>
      </c>
      <c r="G3573" s="4" t="s">
        <v>7</v>
      </c>
      <c r="H3573" t="str">
        <f>IFERROR(VLOOKUP(E3573,'GASB Match'!$A$2:$B$240,2,FALSE),"")</f>
        <v/>
      </c>
    </row>
    <row r="3574" spans="1:8" x14ac:dyDescent="0.2">
      <c r="A3574" t="s">
        <v>7</v>
      </c>
      <c r="B3574" s="3">
        <v>2020</v>
      </c>
      <c r="C3574" t="s">
        <v>981</v>
      </c>
      <c r="D3574" t="s">
        <v>982</v>
      </c>
      <c r="E3574" t="s">
        <v>982</v>
      </c>
      <c r="F3574" s="4">
        <v>5611</v>
      </c>
      <c r="G3574" s="4" t="s">
        <v>7</v>
      </c>
      <c r="H3574" t="str">
        <f>IFERROR(VLOOKUP(E3574,'GASB Match'!$A$2:$B$240,2,FALSE),"")</f>
        <v/>
      </c>
    </row>
    <row r="3575" spans="1:8" x14ac:dyDescent="0.2">
      <c r="A3575" t="s">
        <v>7</v>
      </c>
      <c r="B3575" s="3">
        <v>2021</v>
      </c>
      <c r="C3575" t="s">
        <v>981</v>
      </c>
      <c r="D3575" t="s">
        <v>982</v>
      </c>
      <c r="E3575" t="s">
        <v>982</v>
      </c>
      <c r="F3575" s="4">
        <v>7313</v>
      </c>
      <c r="G3575" s="4" t="s">
        <v>7</v>
      </c>
      <c r="H3575" t="str">
        <f>IFERROR(VLOOKUP(E3575,'GASB Match'!$A$2:$B$240,2,FALSE),"")</f>
        <v/>
      </c>
    </row>
    <row r="3576" spans="1:8" x14ac:dyDescent="0.2">
      <c r="A3576" t="s">
        <v>7</v>
      </c>
      <c r="B3576" s="3">
        <v>2022</v>
      </c>
      <c r="C3576" t="s">
        <v>981</v>
      </c>
      <c r="D3576" t="s">
        <v>982</v>
      </c>
      <c r="E3576" t="s">
        <v>982</v>
      </c>
      <c r="F3576" s="4">
        <v>707</v>
      </c>
      <c r="G3576" s="4" t="s">
        <v>7</v>
      </c>
      <c r="H3576" t="str">
        <f>IFERROR(VLOOKUP(E3576,'GASB Match'!$A$2:$B$240,2,FALSE),"")</f>
        <v/>
      </c>
    </row>
    <row r="3577" spans="1:8" x14ac:dyDescent="0.2">
      <c r="A3577" t="s">
        <v>7</v>
      </c>
      <c r="B3577" s="3">
        <v>2020</v>
      </c>
      <c r="C3577" t="s">
        <v>983</v>
      </c>
      <c r="D3577" t="s">
        <v>984</v>
      </c>
      <c r="E3577" t="s">
        <v>984</v>
      </c>
      <c r="F3577" s="4">
        <v>7045</v>
      </c>
      <c r="G3577" s="4" t="s">
        <v>7</v>
      </c>
      <c r="H3577" t="str">
        <f>IFERROR(VLOOKUP(E3577,'GASB Match'!$A$2:$B$240,2,FALSE),"")</f>
        <v/>
      </c>
    </row>
    <row r="3578" spans="1:8" x14ac:dyDescent="0.2">
      <c r="A3578" t="s">
        <v>7</v>
      </c>
      <c r="B3578" s="3">
        <v>2021</v>
      </c>
      <c r="C3578" t="s">
        <v>983</v>
      </c>
      <c r="D3578" t="s">
        <v>984</v>
      </c>
      <c r="E3578" t="s">
        <v>984</v>
      </c>
      <c r="F3578" s="4">
        <v>1237</v>
      </c>
      <c r="G3578" s="4" t="s">
        <v>7</v>
      </c>
      <c r="H3578" t="str">
        <f>IFERROR(VLOOKUP(E3578,'GASB Match'!$A$2:$B$240,2,FALSE),"")</f>
        <v/>
      </c>
    </row>
    <row r="3579" spans="1:8" x14ac:dyDescent="0.2">
      <c r="A3579" t="s">
        <v>7</v>
      </c>
      <c r="B3579" s="3">
        <v>2021</v>
      </c>
      <c r="C3579" t="s">
        <v>985</v>
      </c>
      <c r="D3579" t="s">
        <v>986</v>
      </c>
      <c r="E3579" t="s">
        <v>986</v>
      </c>
      <c r="F3579" s="4">
        <v>6287</v>
      </c>
      <c r="G3579" s="4" t="s">
        <v>7</v>
      </c>
      <c r="H3579" t="str">
        <f>IFERROR(VLOOKUP(E3579,'GASB Match'!$A$2:$B$240,2,FALSE),"")</f>
        <v/>
      </c>
    </row>
    <row r="3580" spans="1:8" x14ac:dyDescent="0.2">
      <c r="A3580" t="s">
        <v>7</v>
      </c>
      <c r="B3580" s="3">
        <v>2022</v>
      </c>
      <c r="C3580" t="s">
        <v>985</v>
      </c>
      <c r="D3580" t="s">
        <v>986</v>
      </c>
      <c r="E3580" t="s">
        <v>986</v>
      </c>
      <c r="F3580" s="4">
        <v>11674</v>
      </c>
      <c r="G3580" s="4" t="s">
        <v>7</v>
      </c>
      <c r="H3580" t="str">
        <f>IFERROR(VLOOKUP(E3580,'GASB Match'!$A$2:$B$240,2,FALSE),"")</f>
        <v/>
      </c>
    </row>
    <row r="3581" spans="1:8" x14ac:dyDescent="0.2">
      <c r="A3581" t="s">
        <v>7</v>
      </c>
      <c r="B3581" s="3">
        <v>2023</v>
      </c>
      <c r="C3581" t="s">
        <v>985</v>
      </c>
      <c r="D3581" t="s">
        <v>986</v>
      </c>
      <c r="E3581" t="s">
        <v>986</v>
      </c>
      <c r="F3581" s="4">
        <v>13179</v>
      </c>
      <c r="G3581" s="4" t="s">
        <v>7</v>
      </c>
      <c r="H3581" t="str">
        <f>IFERROR(VLOOKUP(E3581,'GASB Match'!$A$2:$B$240,2,FALSE),"")</f>
        <v/>
      </c>
    </row>
    <row r="3582" spans="1:8" x14ac:dyDescent="0.2">
      <c r="A3582" t="s">
        <v>7</v>
      </c>
      <c r="B3582" s="3">
        <v>2017</v>
      </c>
      <c r="C3582" t="s">
        <v>987</v>
      </c>
      <c r="D3582" t="s">
        <v>988</v>
      </c>
      <c r="E3582" t="s">
        <v>988</v>
      </c>
      <c r="F3582" s="4">
        <v>4781</v>
      </c>
      <c r="G3582" s="4" t="s">
        <v>7</v>
      </c>
      <c r="H3582" t="str">
        <f>IFERROR(VLOOKUP(E3582,'GASB Match'!$A$2:$B$240,2,FALSE),"")</f>
        <v/>
      </c>
    </row>
    <row r="3583" spans="1:8" x14ac:dyDescent="0.2">
      <c r="A3583" t="s">
        <v>7</v>
      </c>
      <c r="B3583" s="3">
        <v>2018</v>
      </c>
      <c r="C3583" t="s">
        <v>987</v>
      </c>
      <c r="D3583" t="s">
        <v>988</v>
      </c>
      <c r="E3583" t="s">
        <v>988</v>
      </c>
      <c r="F3583" s="4">
        <v>6544</v>
      </c>
      <c r="G3583" s="4" t="s">
        <v>7</v>
      </c>
      <c r="H3583" t="str">
        <f>IFERROR(VLOOKUP(E3583,'GASB Match'!$A$2:$B$240,2,FALSE),"")</f>
        <v/>
      </c>
    </row>
    <row r="3584" spans="1:8" x14ac:dyDescent="0.2">
      <c r="A3584" t="s">
        <v>7</v>
      </c>
      <c r="B3584" s="3">
        <v>2019</v>
      </c>
      <c r="C3584" t="s">
        <v>987</v>
      </c>
      <c r="D3584" t="s">
        <v>989</v>
      </c>
      <c r="E3584" t="s">
        <v>988</v>
      </c>
      <c r="F3584" s="4">
        <v>8136</v>
      </c>
      <c r="G3584" s="4" t="s">
        <v>7</v>
      </c>
      <c r="H3584" t="str">
        <f>IFERROR(VLOOKUP(E3584,'GASB Match'!$A$2:$B$240,2,FALSE),"")</f>
        <v/>
      </c>
    </row>
    <row r="3585" spans="1:8" x14ac:dyDescent="0.2">
      <c r="A3585" t="s">
        <v>7</v>
      </c>
      <c r="B3585" s="3">
        <v>2020</v>
      </c>
      <c r="C3585" t="s">
        <v>987</v>
      </c>
      <c r="D3585" t="s">
        <v>988</v>
      </c>
      <c r="E3585" t="s">
        <v>988</v>
      </c>
      <c r="F3585" s="4">
        <v>8394</v>
      </c>
      <c r="G3585" s="4" t="s">
        <v>7</v>
      </c>
      <c r="H3585" t="str">
        <f>IFERROR(VLOOKUP(E3585,'GASB Match'!$A$2:$B$240,2,FALSE),"")</f>
        <v/>
      </c>
    </row>
    <row r="3586" spans="1:8" x14ac:dyDescent="0.2">
      <c r="A3586" t="s">
        <v>7</v>
      </c>
      <c r="B3586" s="3">
        <v>2021</v>
      </c>
      <c r="C3586" t="s">
        <v>987</v>
      </c>
      <c r="D3586" t="s">
        <v>988</v>
      </c>
      <c r="E3586" t="s">
        <v>988</v>
      </c>
      <c r="F3586" s="4">
        <v>7757</v>
      </c>
      <c r="G3586" s="4" t="s">
        <v>7</v>
      </c>
      <c r="H3586" t="str">
        <f>IFERROR(VLOOKUP(E3586,'GASB Match'!$A$2:$B$240,2,FALSE),"")</f>
        <v/>
      </c>
    </row>
    <row r="3587" spans="1:8" x14ac:dyDescent="0.2">
      <c r="A3587" t="s">
        <v>7</v>
      </c>
      <c r="B3587" s="3">
        <v>2022</v>
      </c>
      <c r="C3587" t="s">
        <v>987</v>
      </c>
      <c r="D3587" t="s">
        <v>988</v>
      </c>
      <c r="E3587" t="s">
        <v>988</v>
      </c>
      <c r="F3587" s="4">
        <v>9665</v>
      </c>
      <c r="G3587" s="4" t="s">
        <v>7</v>
      </c>
      <c r="H3587" t="str">
        <f>IFERROR(VLOOKUP(E3587,'GASB Match'!$A$2:$B$240,2,FALSE),"")</f>
        <v/>
      </c>
    </row>
    <row r="3588" spans="1:8" x14ac:dyDescent="0.2">
      <c r="A3588" t="s">
        <v>7</v>
      </c>
      <c r="B3588" s="3">
        <v>2023</v>
      </c>
      <c r="C3588" t="s">
        <v>987</v>
      </c>
      <c r="D3588" t="s">
        <v>988</v>
      </c>
      <c r="E3588" t="s">
        <v>988</v>
      </c>
      <c r="F3588" s="4">
        <v>10598</v>
      </c>
      <c r="G3588" s="4" t="s">
        <v>7</v>
      </c>
      <c r="H3588" t="str">
        <f>IFERROR(VLOOKUP(E3588,'GASB Match'!$A$2:$B$240,2,FALSE),"")</f>
        <v/>
      </c>
    </row>
    <row r="3589" spans="1:8" x14ac:dyDescent="0.2">
      <c r="A3589" t="s">
        <v>7</v>
      </c>
      <c r="B3589" s="3">
        <v>2017</v>
      </c>
      <c r="C3589" t="s">
        <v>990</v>
      </c>
      <c r="D3589" t="s">
        <v>991</v>
      </c>
      <c r="E3589" t="s">
        <v>991</v>
      </c>
      <c r="F3589" s="4">
        <v>1586</v>
      </c>
      <c r="G3589" s="4" t="s">
        <v>7</v>
      </c>
      <c r="H3589" t="str">
        <f>IFERROR(VLOOKUP(E3589,'GASB Match'!$A$2:$B$240,2,FALSE),"")</f>
        <v/>
      </c>
    </row>
    <row r="3590" spans="1:8" x14ac:dyDescent="0.2">
      <c r="A3590" t="s">
        <v>7</v>
      </c>
      <c r="B3590" s="3">
        <v>2021</v>
      </c>
      <c r="C3590" t="s">
        <v>992</v>
      </c>
      <c r="D3590" t="s">
        <v>993</v>
      </c>
      <c r="E3590" t="s">
        <v>993</v>
      </c>
      <c r="F3590" s="4">
        <v>281</v>
      </c>
      <c r="G3590" s="4" t="s">
        <v>7</v>
      </c>
      <c r="H3590" t="str">
        <f>IFERROR(VLOOKUP(E3590,'GASB Match'!$A$2:$B$240,2,FALSE),"")</f>
        <v/>
      </c>
    </row>
    <row r="3591" spans="1:8" x14ac:dyDescent="0.2">
      <c r="A3591" t="s">
        <v>7</v>
      </c>
      <c r="B3591" s="3">
        <v>2022</v>
      </c>
      <c r="C3591" t="s">
        <v>992</v>
      </c>
      <c r="D3591" t="s">
        <v>993</v>
      </c>
      <c r="E3591" t="s">
        <v>993</v>
      </c>
      <c r="F3591" s="4">
        <v>2337</v>
      </c>
      <c r="G3591" s="4" t="s">
        <v>7</v>
      </c>
      <c r="H3591" t="str">
        <f>IFERROR(VLOOKUP(E3591,'GASB Match'!$A$2:$B$240,2,FALSE),"")</f>
        <v/>
      </c>
    </row>
    <row r="3592" spans="1:8" x14ac:dyDescent="0.2">
      <c r="A3592" t="s">
        <v>7</v>
      </c>
      <c r="B3592" s="3">
        <v>2022</v>
      </c>
      <c r="C3592" t="s">
        <v>994</v>
      </c>
      <c r="D3592" t="s">
        <v>995</v>
      </c>
      <c r="E3592" t="s">
        <v>995</v>
      </c>
      <c r="F3592" s="4">
        <v>4446</v>
      </c>
      <c r="G3592" s="4" t="s">
        <v>7</v>
      </c>
      <c r="H3592" t="str">
        <f>IFERROR(VLOOKUP(E3592,'GASB Match'!$A$2:$B$240,2,FALSE),"")</f>
        <v/>
      </c>
    </row>
    <row r="3593" spans="1:8" x14ac:dyDescent="0.2">
      <c r="A3593" t="s">
        <v>7</v>
      </c>
      <c r="B3593" s="3">
        <v>2023</v>
      </c>
      <c r="C3593" t="s">
        <v>994</v>
      </c>
      <c r="D3593" t="s">
        <v>995</v>
      </c>
      <c r="E3593" t="s">
        <v>995</v>
      </c>
      <c r="F3593" s="4">
        <v>15145</v>
      </c>
      <c r="G3593" s="4" t="s">
        <v>7</v>
      </c>
      <c r="H3593" t="str">
        <f>IFERROR(VLOOKUP(E3593,'GASB Match'!$A$2:$B$240,2,FALSE),"")</f>
        <v/>
      </c>
    </row>
    <row r="3594" spans="1:8" x14ac:dyDescent="0.2">
      <c r="A3594" t="s">
        <v>7</v>
      </c>
      <c r="B3594" s="3">
        <v>2022</v>
      </c>
      <c r="C3594" t="s">
        <v>996</v>
      </c>
      <c r="D3594" t="s">
        <v>997</v>
      </c>
      <c r="E3594" t="s">
        <v>997</v>
      </c>
      <c r="F3594" s="4">
        <v>7135</v>
      </c>
      <c r="G3594" s="4" t="s">
        <v>7</v>
      </c>
      <c r="H3594" t="str">
        <f>IFERROR(VLOOKUP(E3594,'GASB Match'!$A$2:$B$240,2,FALSE),"")</f>
        <v/>
      </c>
    </row>
    <row r="3595" spans="1:8" x14ac:dyDescent="0.2">
      <c r="A3595" t="s">
        <v>7</v>
      </c>
      <c r="B3595" s="3">
        <v>2023</v>
      </c>
      <c r="C3595" t="s">
        <v>996</v>
      </c>
      <c r="D3595" t="s">
        <v>997</v>
      </c>
      <c r="E3595" t="s">
        <v>997</v>
      </c>
      <c r="F3595" s="4">
        <v>11266</v>
      </c>
      <c r="G3595" s="4" t="s">
        <v>7</v>
      </c>
      <c r="H3595" t="str">
        <f>IFERROR(VLOOKUP(E3595,'GASB Match'!$A$2:$B$240,2,FALSE),"")</f>
        <v/>
      </c>
    </row>
    <row r="3596" spans="1:8" x14ac:dyDescent="0.2">
      <c r="A3596" t="s">
        <v>7</v>
      </c>
      <c r="B3596" s="3">
        <v>2015</v>
      </c>
      <c r="C3596" t="s">
        <v>998</v>
      </c>
      <c r="D3596" t="s">
        <v>999</v>
      </c>
      <c r="E3596" t="s">
        <v>999</v>
      </c>
      <c r="F3596" s="4"/>
      <c r="G3596" s="4" t="s">
        <v>7</v>
      </c>
      <c r="H3596" t="str">
        <f>IFERROR(VLOOKUP(E3596,'GASB Match'!$A$2:$B$240,2,FALSE),"")</f>
        <v/>
      </c>
    </row>
    <row r="3597" spans="1:8" x14ac:dyDescent="0.2">
      <c r="A3597" t="s">
        <v>7</v>
      </c>
      <c r="B3597" s="3">
        <v>2016</v>
      </c>
      <c r="C3597" t="s">
        <v>998</v>
      </c>
      <c r="D3597" t="s">
        <v>999</v>
      </c>
      <c r="E3597" t="s">
        <v>999</v>
      </c>
      <c r="F3597" s="4"/>
      <c r="G3597" s="4" t="s">
        <v>7</v>
      </c>
      <c r="H3597" t="str">
        <f>IFERROR(VLOOKUP(E3597,'GASB Match'!$A$2:$B$240,2,FALSE),"")</f>
        <v/>
      </c>
    </row>
    <row r="3598" spans="1:8" x14ac:dyDescent="0.2">
      <c r="A3598" t="s">
        <v>7</v>
      </c>
      <c r="B3598" s="3">
        <v>2015</v>
      </c>
      <c r="C3598" t="s">
        <v>1000</v>
      </c>
      <c r="D3598" t="s">
        <v>1002</v>
      </c>
      <c r="E3598" t="s">
        <v>1001</v>
      </c>
      <c r="F3598" s="4">
        <v>17094.96</v>
      </c>
      <c r="G3598" s="4" t="s">
        <v>7</v>
      </c>
      <c r="H3598" t="str">
        <f>IFERROR(VLOOKUP(E3598,'GASB Match'!$A$2:$B$240,2,FALSE),"")</f>
        <v/>
      </c>
    </row>
    <row r="3599" spans="1:8" x14ac:dyDescent="0.2">
      <c r="A3599" t="s">
        <v>7</v>
      </c>
      <c r="B3599" s="3">
        <v>2016</v>
      </c>
      <c r="C3599" t="s">
        <v>1000</v>
      </c>
      <c r="D3599" t="s">
        <v>1002</v>
      </c>
      <c r="E3599" t="s">
        <v>1001</v>
      </c>
      <c r="F3599" s="4">
        <v>18551.04</v>
      </c>
      <c r="G3599" s="4" t="s">
        <v>7</v>
      </c>
      <c r="H3599" t="str">
        <f>IFERROR(VLOOKUP(E3599,'GASB Match'!$A$2:$B$240,2,FALSE),"")</f>
        <v/>
      </c>
    </row>
    <row r="3600" spans="1:8" x14ac:dyDescent="0.2">
      <c r="A3600" t="s">
        <v>7</v>
      </c>
      <c r="B3600" s="3">
        <v>2017</v>
      </c>
      <c r="C3600" t="s">
        <v>1000</v>
      </c>
      <c r="D3600" t="s">
        <v>1002</v>
      </c>
      <c r="E3600" t="s">
        <v>1001</v>
      </c>
      <c r="F3600" s="4">
        <v>16418</v>
      </c>
      <c r="G3600" s="4" t="s">
        <v>7</v>
      </c>
      <c r="H3600" t="str">
        <f>IFERROR(VLOOKUP(E3600,'GASB Match'!$A$2:$B$240,2,FALSE),"")</f>
        <v/>
      </c>
    </row>
    <row r="3601" spans="1:8" x14ac:dyDescent="0.2">
      <c r="A3601" t="s">
        <v>7</v>
      </c>
      <c r="B3601" s="3">
        <v>2018</v>
      </c>
      <c r="C3601" t="s">
        <v>1000</v>
      </c>
      <c r="D3601" t="s">
        <v>1002</v>
      </c>
      <c r="E3601" t="s">
        <v>1001</v>
      </c>
      <c r="F3601" s="4">
        <v>11491</v>
      </c>
      <c r="G3601" s="4" t="s">
        <v>7</v>
      </c>
      <c r="H3601" t="str">
        <f>IFERROR(VLOOKUP(E3601,'GASB Match'!$A$2:$B$240,2,FALSE),"")</f>
        <v/>
      </c>
    </row>
    <row r="3602" spans="1:8" x14ac:dyDescent="0.2">
      <c r="A3602" t="s">
        <v>7</v>
      </c>
      <c r="B3602" s="3">
        <v>2022</v>
      </c>
      <c r="C3602" t="s">
        <v>1000</v>
      </c>
      <c r="D3602" t="s">
        <v>1001</v>
      </c>
      <c r="E3602" t="s">
        <v>1001</v>
      </c>
      <c r="F3602" s="4">
        <v>8832</v>
      </c>
      <c r="G3602" s="4" t="s">
        <v>7</v>
      </c>
      <c r="H3602" t="str">
        <f>IFERROR(VLOOKUP(E3602,'GASB Match'!$A$2:$B$240,2,FALSE),"")</f>
        <v/>
      </c>
    </row>
    <row r="3603" spans="1:8" x14ac:dyDescent="0.2">
      <c r="A3603" t="s">
        <v>7</v>
      </c>
      <c r="B3603" s="3">
        <v>2023</v>
      </c>
      <c r="C3603" t="s">
        <v>1000</v>
      </c>
      <c r="D3603" t="s">
        <v>1001</v>
      </c>
      <c r="E3603" t="s">
        <v>1001</v>
      </c>
      <c r="F3603" s="4">
        <v>11072</v>
      </c>
      <c r="G3603" s="4" t="s">
        <v>7</v>
      </c>
      <c r="H3603" t="str">
        <f>IFERROR(VLOOKUP(E3603,'GASB Match'!$A$2:$B$240,2,FALSE),"")</f>
        <v/>
      </c>
    </row>
    <row r="3604" spans="1:8" x14ac:dyDescent="0.2">
      <c r="A3604" t="s">
        <v>7</v>
      </c>
      <c r="B3604" s="3">
        <v>2015</v>
      </c>
      <c r="C3604" t="s">
        <v>1003</v>
      </c>
      <c r="D3604" t="s">
        <v>1004</v>
      </c>
      <c r="E3604" t="s">
        <v>1004</v>
      </c>
      <c r="F3604" s="4">
        <v>16057.62</v>
      </c>
      <c r="G3604" s="4" t="s">
        <v>7</v>
      </c>
      <c r="H3604" t="str">
        <f>IFERROR(VLOOKUP(E3604,'GASB Match'!$A$2:$B$240,2,FALSE),"")</f>
        <v/>
      </c>
    </row>
    <row r="3605" spans="1:8" x14ac:dyDescent="0.2">
      <c r="A3605" t="s">
        <v>7</v>
      </c>
      <c r="B3605" s="3">
        <v>2016</v>
      </c>
      <c r="C3605" t="s">
        <v>1003</v>
      </c>
      <c r="D3605" t="s">
        <v>1004</v>
      </c>
      <c r="E3605" t="s">
        <v>1004</v>
      </c>
      <c r="F3605" s="4">
        <v>20540.88</v>
      </c>
      <c r="G3605" s="4" t="s">
        <v>7</v>
      </c>
      <c r="H3605" t="str">
        <f>IFERROR(VLOOKUP(E3605,'GASB Match'!$A$2:$B$240,2,FALSE),"")</f>
        <v/>
      </c>
    </row>
    <row r="3606" spans="1:8" x14ac:dyDescent="0.2">
      <c r="A3606" t="s">
        <v>7</v>
      </c>
      <c r="B3606" s="3">
        <v>2017</v>
      </c>
      <c r="C3606" t="s">
        <v>1003</v>
      </c>
      <c r="D3606" t="s">
        <v>1004</v>
      </c>
      <c r="E3606" t="s">
        <v>1004</v>
      </c>
      <c r="F3606" s="4">
        <v>21627</v>
      </c>
      <c r="G3606" s="4" t="s">
        <v>7</v>
      </c>
      <c r="H3606" t="str">
        <f>IFERROR(VLOOKUP(E3606,'GASB Match'!$A$2:$B$240,2,FALSE),"")</f>
        <v/>
      </c>
    </row>
    <row r="3607" spans="1:8" x14ac:dyDescent="0.2">
      <c r="A3607" t="s">
        <v>7</v>
      </c>
      <c r="B3607" s="3">
        <v>2018</v>
      </c>
      <c r="C3607" t="s">
        <v>1003</v>
      </c>
      <c r="D3607" t="s">
        <v>1004</v>
      </c>
      <c r="E3607" t="s">
        <v>1004</v>
      </c>
      <c r="F3607" s="4">
        <v>25910</v>
      </c>
      <c r="G3607" s="4" t="s">
        <v>7</v>
      </c>
      <c r="H3607" t="str">
        <f>IFERROR(VLOOKUP(E3607,'GASB Match'!$A$2:$B$240,2,FALSE),"")</f>
        <v/>
      </c>
    </row>
    <row r="3608" spans="1:8" x14ac:dyDescent="0.2">
      <c r="A3608" t="s">
        <v>7</v>
      </c>
      <c r="B3608" s="3">
        <v>2019</v>
      </c>
      <c r="C3608" t="s">
        <v>1003</v>
      </c>
      <c r="D3608" t="s">
        <v>1004</v>
      </c>
      <c r="E3608" t="s">
        <v>1004</v>
      </c>
      <c r="F3608" s="4">
        <v>20794</v>
      </c>
      <c r="G3608" s="4" t="s">
        <v>7</v>
      </c>
      <c r="H3608" t="str">
        <f>IFERROR(VLOOKUP(E3608,'GASB Match'!$A$2:$B$240,2,FALSE),"")</f>
        <v/>
      </c>
    </row>
    <row r="3609" spans="1:8" x14ac:dyDescent="0.2">
      <c r="A3609" t="s">
        <v>7</v>
      </c>
      <c r="B3609" s="3">
        <v>2020</v>
      </c>
      <c r="C3609" t="s">
        <v>1003</v>
      </c>
      <c r="D3609" t="s">
        <v>1004</v>
      </c>
      <c r="E3609" t="s">
        <v>1004</v>
      </c>
      <c r="F3609" s="4">
        <v>59515</v>
      </c>
      <c r="G3609" s="4" t="s">
        <v>7</v>
      </c>
      <c r="H3609" t="str">
        <f>IFERROR(VLOOKUP(E3609,'GASB Match'!$A$2:$B$240,2,FALSE),"")</f>
        <v/>
      </c>
    </row>
    <row r="3610" spans="1:8" x14ac:dyDescent="0.2">
      <c r="A3610" t="s">
        <v>7</v>
      </c>
      <c r="B3610" s="3">
        <v>2021</v>
      </c>
      <c r="C3610" t="s">
        <v>1003</v>
      </c>
      <c r="D3610" t="s">
        <v>1004</v>
      </c>
      <c r="E3610" t="s">
        <v>1004</v>
      </c>
      <c r="F3610" s="4">
        <v>61118</v>
      </c>
      <c r="G3610" s="4" t="s">
        <v>7</v>
      </c>
      <c r="H3610" t="str">
        <f>IFERROR(VLOOKUP(E3610,'GASB Match'!$A$2:$B$240,2,FALSE),"")</f>
        <v/>
      </c>
    </row>
    <row r="3611" spans="1:8" x14ac:dyDescent="0.2">
      <c r="A3611" t="s">
        <v>7</v>
      </c>
      <c r="B3611" s="3">
        <v>2022</v>
      </c>
      <c r="C3611" t="s">
        <v>1003</v>
      </c>
      <c r="D3611" t="s">
        <v>1004</v>
      </c>
      <c r="E3611" t="s">
        <v>1004</v>
      </c>
      <c r="F3611" s="4">
        <v>58963</v>
      </c>
      <c r="G3611" s="4" t="s">
        <v>7</v>
      </c>
      <c r="H3611" t="str">
        <f>IFERROR(VLOOKUP(E3611,'GASB Match'!$A$2:$B$240,2,FALSE),"")</f>
        <v/>
      </c>
    </row>
    <row r="3612" spans="1:8" x14ac:dyDescent="0.2">
      <c r="A3612" t="s">
        <v>7</v>
      </c>
      <c r="B3612" s="3">
        <v>2023</v>
      </c>
      <c r="C3612" t="s">
        <v>1003</v>
      </c>
      <c r="D3612" t="s">
        <v>1004</v>
      </c>
      <c r="E3612" t="s">
        <v>1004</v>
      </c>
      <c r="F3612" s="4">
        <v>24158</v>
      </c>
      <c r="G3612" s="4" t="s">
        <v>7</v>
      </c>
      <c r="H3612" t="str">
        <f>IFERROR(VLOOKUP(E3612,'GASB Match'!$A$2:$B$240,2,FALSE),"")</f>
        <v/>
      </c>
    </row>
    <row r="3613" spans="1:8" x14ac:dyDescent="0.2">
      <c r="A3613" t="s">
        <v>7</v>
      </c>
      <c r="B3613" s="3">
        <v>2015</v>
      </c>
      <c r="C3613" t="s">
        <v>1005</v>
      </c>
      <c r="D3613" t="s">
        <v>1007</v>
      </c>
      <c r="E3613" t="s">
        <v>1006</v>
      </c>
      <c r="F3613" s="4"/>
      <c r="G3613" s="4" t="s">
        <v>7</v>
      </c>
      <c r="H3613" t="str">
        <f>IFERROR(VLOOKUP(E3613,'GASB Match'!$A$2:$B$240,2,FALSE),"")</f>
        <v/>
      </c>
    </row>
    <row r="3614" spans="1:8" x14ac:dyDescent="0.2">
      <c r="A3614" t="s">
        <v>7</v>
      </c>
      <c r="B3614" s="3">
        <v>2020</v>
      </c>
      <c r="C3614" t="s">
        <v>1005</v>
      </c>
      <c r="D3614" t="s">
        <v>1006</v>
      </c>
      <c r="E3614" t="s">
        <v>1006</v>
      </c>
      <c r="F3614" s="4">
        <v>5076</v>
      </c>
      <c r="G3614" s="4" t="s">
        <v>7</v>
      </c>
      <c r="H3614" t="str">
        <f>IFERROR(VLOOKUP(E3614,'GASB Match'!$A$2:$B$240,2,FALSE),"")</f>
        <v/>
      </c>
    </row>
    <row r="3615" spans="1:8" x14ac:dyDescent="0.2">
      <c r="A3615" t="s">
        <v>7</v>
      </c>
      <c r="B3615" s="3">
        <v>2021</v>
      </c>
      <c r="C3615" t="s">
        <v>1005</v>
      </c>
      <c r="D3615" t="s">
        <v>1006</v>
      </c>
      <c r="E3615" t="s">
        <v>1006</v>
      </c>
      <c r="F3615" s="4">
        <v>6865</v>
      </c>
      <c r="G3615" s="4" t="s">
        <v>7</v>
      </c>
      <c r="H3615" t="str">
        <f>IFERROR(VLOOKUP(E3615,'GASB Match'!$A$2:$B$240,2,FALSE),"")</f>
        <v/>
      </c>
    </row>
    <row r="3616" spans="1:8" x14ac:dyDescent="0.2">
      <c r="A3616" t="s">
        <v>7</v>
      </c>
      <c r="B3616" s="3">
        <v>2022</v>
      </c>
      <c r="C3616" t="s">
        <v>1005</v>
      </c>
      <c r="D3616" t="s">
        <v>1006</v>
      </c>
      <c r="E3616" t="s">
        <v>1006</v>
      </c>
      <c r="F3616" s="4">
        <v>1487</v>
      </c>
      <c r="G3616" s="4" t="s">
        <v>7</v>
      </c>
      <c r="H3616" t="str">
        <f>IFERROR(VLOOKUP(E3616,'GASB Match'!$A$2:$B$240,2,FALSE),"")</f>
        <v/>
      </c>
    </row>
    <row r="3617" spans="1:8" x14ac:dyDescent="0.2">
      <c r="A3617" t="s">
        <v>7</v>
      </c>
      <c r="B3617" s="3">
        <v>2023</v>
      </c>
      <c r="C3617" t="s">
        <v>1005</v>
      </c>
      <c r="D3617" t="s">
        <v>1006</v>
      </c>
      <c r="E3617" t="s">
        <v>1006</v>
      </c>
      <c r="F3617" s="4">
        <v>7397</v>
      </c>
      <c r="G3617" s="4" t="s">
        <v>7</v>
      </c>
      <c r="H3617" t="str">
        <f>IFERROR(VLOOKUP(E3617,'GASB Match'!$A$2:$B$240,2,FALSE),"")</f>
        <v/>
      </c>
    </row>
    <row r="3618" spans="1:8" x14ac:dyDescent="0.2">
      <c r="A3618" t="s">
        <v>7</v>
      </c>
      <c r="B3618" s="3">
        <v>2015</v>
      </c>
      <c r="C3618" t="s">
        <v>1008</v>
      </c>
      <c r="D3618" t="s">
        <v>1010</v>
      </c>
      <c r="E3618" t="s">
        <v>1009</v>
      </c>
      <c r="F3618" s="4">
        <v>4017.6</v>
      </c>
      <c r="G3618" s="4" t="s">
        <v>7</v>
      </c>
      <c r="H3618" t="str">
        <f>IFERROR(VLOOKUP(E3618,'GASB Match'!$A$2:$B$240,2,FALSE),"")</f>
        <v/>
      </c>
    </row>
    <row r="3619" spans="1:8" x14ac:dyDescent="0.2">
      <c r="A3619" t="s">
        <v>7</v>
      </c>
      <c r="B3619" s="3">
        <v>2016</v>
      </c>
      <c r="C3619" t="s">
        <v>1008</v>
      </c>
      <c r="D3619" t="s">
        <v>1010</v>
      </c>
      <c r="E3619" t="s">
        <v>1009</v>
      </c>
      <c r="F3619" s="4">
        <v>4367.1000000000004</v>
      </c>
      <c r="G3619" s="4" t="s">
        <v>7</v>
      </c>
      <c r="H3619" t="str">
        <f>IFERROR(VLOOKUP(E3619,'GASB Match'!$A$2:$B$240,2,FALSE),"")</f>
        <v/>
      </c>
    </row>
    <row r="3620" spans="1:8" x14ac:dyDescent="0.2">
      <c r="A3620" t="s">
        <v>7</v>
      </c>
      <c r="B3620" s="3">
        <v>2017</v>
      </c>
      <c r="C3620" t="s">
        <v>1008</v>
      </c>
      <c r="D3620" t="s">
        <v>1010</v>
      </c>
      <c r="E3620" t="s">
        <v>1009</v>
      </c>
      <c r="F3620" s="4">
        <v>4536</v>
      </c>
      <c r="G3620" s="4" t="s">
        <v>7</v>
      </c>
      <c r="H3620" t="str">
        <f>IFERROR(VLOOKUP(E3620,'GASB Match'!$A$2:$B$240,2,FALSE),"")</f>
        <v/>
      </c>
    </row>
    <row r="3621" spans="1:8" x14ac:dyDescent="0.2">
      <c r="A3621" t="s">
        <v>7</v>
      </c>
      <c r="B3621" s="3">
        <v>2018</v>
      </c>
      <c r="C3621" t="s">
        <v>1008</v>
      </c>
      <c r="D3621" t="s">
        <v>1010</v>
      </c>
      <c r="E3621" t="s">
        <v>1009</v>
      </c>
      <c r="F3621" s="4">
        <v>8748</v>
      </c>
      <c r="G3621" s="4" t="s">
        <v>7</v>
      </c>
      <c r="H3621" t="str">
        <f>IFERROR(VLOOKUP(E3621,'GASB Match'!$A$2:$B$240,2,FALSE),"")</f>
        <v/>
      </c>
    </row>
    <row r="3622" spans="1:8" x14ac:dyDescent="0.2">
      <c r="A3622" t="s">
        <v>7</v>
      </c>
      <c r="B3622" s="3">
        <v>2019</v>
      </c>
      <c r="C3622" t="s">
        <v>1008</v>
      </c>
      <c r="D3622" t="s">
        <v>1010</v>
      </c>
      <c r="E3622" t="s">
        <v>1009</v>
      </c>
      <c r="F3622" s="4">
        <v>14945</v>
      </c>
      <c r="G3622" s="4" t="s">
        <v>7</v>
      </c>
      <c r="H3622" t="str">
        <f>IFERROR(VLOOKUP(E3622,'GASB Match'!$A$2:$B$240,2,FALSE),"")</f>
        <v/>
      </c>
    </row>
    <row r="3623" spans="1:8" x14ac:dyDescent="0.2">
      <c r="A3623" t="s">
        <v>7</v>
      </c>
      <c r="B3623" s="3">
        <v>2020</v>
      </c>
      <c r="C3623" t="s">
        <v>1008</v>
      </c>
      <c r="D3623" t="s">
        <v>1010</v>
      </c>
      <c r="E3623" t="s">
        <v>1009</v>
      </c>
      <c r="F3623" s="4">
        <v>15453</v>
      </c>
      <c r="G3623" s="4" t="s">
        <v>7</v>
      </c>
      <c r="H3623" t="str">
        <f>IFERROR(VLOOKUP(E3623,'GASB Match'!$A$2:$B$240,2,FALSE),"")</f>
        <v/>
      </c>
    </row>
    <row r="3624" spans="1:8" x14ac:dyDescent="0.2">
      <c r="A3624" t="s">
        <v>7</v>
      </c>
      <c r="B3624" s="3">
        <v>2021</v>
      </c>
      <c r="C3624" t="s">
        <v>1008</v>
      </c>
      <c r="D3624" t="s">
        <v>1010</v>
      </c>
      <c r="E3624" t="s">
        <v>1009</v>
      </c>
      <c r="F3624" s="4">
        <v>9518</v>
      </c>
      <c r="G3624" s="4" t="s">
        <v>7</v>
      </c>
      <c r="H3624" t="str">
        <f>IFERROR(VLOOKUP(E3624,'GASB Match'!$A$2:$B$240,2,FALSE),"")</f>
        <v/>
      </c>
    </row>
    <row r="3625" spans="1:8" x14ac:dyDescent="0.2">
      <c r="A3625" t="s">
        <v>7</v>
      </c>
      <c r="B3625" s="3">
        <v>2022</v>
      </c>
      <c r="C3625" t="s">
        <v>1008</v>
      </c>
      <c r="D3625" t="s">
        <v>1009</v>
      </c>
      <c r="E3625" t="s">
        <v>1009</v>
      </c>
      <c r="F3625" s="4">
        <v>10827</v>
      </c>
      <c r="G3625" s="4" t="s">
        <v>7</v>
      </c>
      <c r="H3625" t="str">
        <f>IFERROR(VLOOKUP(E3625,'GASB Match'!$A$2:$B$240,2,FALSE),"")</f>
        <v/>
      </c>
    </row>
    <row r="3626" spans="1:8" x14ac:dyDescent="0.2">
      <c r="A3626" t="s">
        <v>7</v>
      </c>
      <c r="B3626" s="3">
        <v>2023</v>
      </c>
      <c r="C3626" t="s">
        <v>1008</v>
      </c>
      <c r="D3626" t="s">
        <v>1009</v>
      </c>
      <c r="E3626" t="s">
        <v>1009</v>
      </c>
      <c r="F3626" s="4">
        <v>22204</v>
      </c>
      <c r="G3626" s="4" t="s">
        <v>7</v>
      </c>
      <c r="H3626" t="str">
        <f>IFERROR(VLOOKUP(E3626,'GASB Match'!$A$2:$B$240,2,FALSE),"")</f>
        <v/>
      </c>
    </row>
    <row r="3627" spans="1:8" x14ac:dyDescent="0.2">
      <c r="A3627" t="s">
        <v>7</v>
      </c>
      <c r="B3627" s="3">
        <v>2015</v>
      </c>
      <c r="C3627" t="s">
        <v>1011</v>
      </c>
      <c r="D3627" t="s">
        <v>1012</v>
      </c>
      <c r="E3627" t="s">
        <v>1012</v>
      </c>
      <c r="F3627" s="4"/>
      <c r="G3627" s="4" t="s">
        <v>7</v>
      </c>
      <c r="H3627" t="str">
        <f>IFERROR(VLOOKUP(E3627,'GASB Match'!$A$2:$B$240,2,FALSE),"")</f>
        <v/>
      </c>
    </row>
    <row r="3628" spans="1:8" x14ac:dyDescent="0.2">
      <c r="A3628" t="s">
        <v>7</v>
      </c>
      <c r="B3628" s="3">
        <v>2015</v>
      </c>
      <c r="C3628" t="s">
        <v>1013</v>
      </c>
      <c r="D3628" t="s">
        <v>1014</v>
      </c>
      <c r="E3628" t="s">
        <v>1014</v>
      </c>
      <c r="F3628" s="4">
        <v>3452.62</v>
      </c>
      <c r="G3628" s="4" t="s">
        <v>7</v>
      </c>
      <c r="H3628" t="str">
        <f>IFERROR(VLOOKUP(E3628,'GASB Match'!$A$2:$B$240,2,FALSE),"")</f>
        <v/>
      </c>
    </row>
    <row r="3629" spans="1:8" x14ac:dyDescent="0.2">
      <c r="A3629" t="s">
        <v>7</v>
      </c>
      <c r="B3629" s="3">
        <v>2016</v>
      </c>
      <c r="C3629" t="s">
        <v>1013</v>
      </c>
      <c r="D3629" t="s">
        <v>1014</v>
      </c>
      <c r="E3629" t="s">
        <v>1014</v>
      </c>
      <c r="F3629" s="4"/>
      <c r="G3629" s="4" t="s">
        <v>7</v>
      </c>
      <c r="H3629" t="str">
        <f>IFERROR(VLOOKUP(E3629,'GASB Match'!$A$2:$B$240,2,FALSE),"")</f>
        <v/>
      </c>
    </row>
    <row r="3630" spans="1:8" x14ac:dyDescent="0.2">
      <c r="A3630" t="s">
        <v>7</v>
      </c>
      <c r="B3630" s="3">
        <v>2015</v>
      </c>
      <c r="C3630" t="s">
        <v>1015</v>
      </c>
      <c r="D3630" t="s">
        <v>1016</v>
      </c>
      <c r="E3630" t="s">
        <v>1016</v>
      </c>
      <c r="F3630" s="4">
        <v>3230.28</v>
      </c>
      <c r="G3630" s="4" t="s">
        <v>7</v>
      </c>
      <c r="H3630" t="str">
        <f>IFERROR(VLOOKUP(E3630,'GASB Match'!$A$2:$B$240,2,FALSE),"")</f>
        <v/>
      </c>
    </row>
    <row r="3631" spans="1:8" x14ac:dyDescent="0.2">
      <c r="A3631" t="s">
        <v>7</v>
      </c>
      <c r="B3631" s="3">
        <v>2016</v>
      </c>
      <c r="C3631" t="s">
        <v>1015</v>
      </c>
      <c r="D3631" t="s">
        <v>1016</v>
      </c>
      <c r="E3631" t="s">
        <v>1016</v>
      </c>
      <c r="F3631" s="4">
        <v>3918.84</v>
      </c>
      <c r="G3631" s="4" t="s">
        <v>7</v>
      </c>
      <c r="H3631" t="str">
        <f>IFERROR(VLOOKUP(E3631,'GASB Match'!$A$2:$B$240,2,FALSE),"")</f>
        <v/>
      </c>
    </row>
    <row r="3632" spans="1:8" x14ac:dyDescent="0.2">
      <c r="A3632" t="s">
        <v>7</v>
      </c>
      <c r="B3632" s="3">
        <v>2017</v>
      </c>
      <c r="C3632" t="s">
        <v>1015</v>
      </c>
      <c r="D3632" t="s">
        <v>1016</v>
      </c>
      <c r="E3632" t="s">
        <v>1016</v>
      </c>
      <c r="F3632" s="4">
        <v>4593</v>
      </c>
      <c r="G3632" s="4" t="s">
        <v>7</v>
      </c>
      <c r="H3632" t="str">
        <f>IFERROR(VLOOKUP(E3632,'GASB Match'!$A$2:$B$240,2,FALSE),"")</f>
        <v/>
      </c>
    </row>
    <row r="3633" spans="1:8" x14ac:dyDescent="0.2">
      <c r="A3633" t="s">
        <v>7</v>
      </c>
      <c r="B3633" s="3">
        <v>2018</v>
      </c>
      <c r="C3633" t="s">
        <v>1015</v>
      </c>
      <c r="D3633" t="s">
        <v>1016</v>
      </c>
      <c r="E3633" t="s">
        <v>1016</v>
      </c>
      <c r="F3633" s="4">
        <v>6173</v>
      </c>
      <c r="G3633" s="4" t="s">
        <v>7</v>
      </c>
      <c r="H3633" t="str">
        <f>IFERROR(VLOOKUP(E3633,'GASB Match'!$A$2:$B$240,2,FALSE),"")</f>
        <v/>
      </c>
    </row>
    <row r="3634" spans="1:8" x14ac:dyDescent="0.2">
      <c r="A3634" t="s">
        <v>7</v>
      </c>
      <c r="B3634" s="3">
        <v>2019</v>
      </c>
      <c r="C3634" t="s">
        <v>1015</v>
      </c>
      <c r="D3634" t="s">
        <v>1017</v>
      </c>
      <c r="E3634" t="s">
        <v>1016</v>
      </c>
      <c r="F3634" s="4">
        <v>7674</v>
      </c>
      <c r="G3634" s="4" t="s">
        <v>7</v>
      </c>
      <c r="H3634" t="str">
        <f>IFERROR(VLOOKUP(E3634,'GASB Match'!$A$2:$B$240,2,FALSE),"")</f>
        <v/>
      </c>
    </row>
    <row r="3635" spans="1:8" x14ac:dyDescent="0.2">
      <c r="A3635" t="s">
        <v>7</v>
      </c>
      <c r="B3635" s="3">
        <v>2020</v>
      </c>
      <c r="C3635" t="s">
        <v>1015</v>
      </c>
      <c r="D3635" t="s">
        <v>1016</v>
      </c>
      <c r="E3635" t="s">
        <v>1016</v>
      </c>
      <c r="F3635" s="4">
        <v>7918</v>
      </c>
      <c r="G3635" s="4" t="s">
        <v>7</v>
      </c>
      <c r="H3635" t="str">
        <f>IFERROR(VLOOKUP(E3635,'GASB Match'!$A$2:$B$240,2,FALSE),"")</f>
        <v/>
      </c>
    </row>
    <row r="3636" spans="1:8" x14ac:dyDescent="0.2">
      <c r="A3636" t="s">
        <v>7</v>
      </c>
      <c r="B3636" s="3">
        <v>2021</v>
      </c>
      <c r="C3636" t="s">
        <v>1015</v>
      </c>
      <c r="D3636" t="s">
        <v>1016</v>
      </c>
      <c r="E3636" t="s">
        <v>1016</v>
      </c>
      <c r="F3636" s="4">
        <v>7139</v>
      </c>
      <c r="G3636" s="4" t="s">
        <v>7</v>
      </c>
      <c r="H3636" t="str">
        <f>IFERROR(VLOOKUP(E3636,'GASB Match'!$A$2:$B$240,2,FALSE),"")</f>
        <v/>
      </c>
    </row>
    <row r="3637" spans="1:8" x14ac:dyDescent="0.2">
      <c r="A3637" t="s">
        <v>7</v>
      </c>
      <c r="B3637" s="3">
        <v>2022</v>
      </c>
      <c r="C3637" t="s">
        <v>1015</v>
      </c>
      <c r="D3637" t="s">
        <v>1016</v>
      </c>
      <c r="E3637" t="s">
        <v>1016</v>
      </c>
      <c r="F3637" s="4">
        <v>8333</v>
      </c>
      <c r="G3637" s="4" t="s">
        <v>7</v>
      </c>
      <c r="H3637" t="str">
        <f>IFERROR(VLOOKUP(E3637,'GASB Match'!$A$2:$B$240,2,FALSE),"")</f>
        <v/>
      </c>
    </row>
    <row r="3638" spans="1:8" x14ac:dyDescent="0.2">
      <c r="A3638" t="s">
        <v>7</v>
      </c>
      <c r="B3638" s="3">
        <v>2015</v>
      </c>
      <c r="C3638" t="s">
        <v>1018</v>
      </c>
      <c r="D3638" t="s">
        <v>1019</v>
      </c>
      <c r="E3638" t="s">
        <v>1019</v>
      </c>
      <c r="F3638" s="4">
        <v>3873.72</v>
      </c>
      <c r="G3638" s="4" t="s">
        <v>7</v>
      </c>
      <c r="H3638" t="str">
        <f>IFERROR(VLOOKUP(E3638,'GASB Match'!$A$2:$B$240,2,FALSE),"")</f>
        <v/>
      </c>
    </row>
    <row r="3639" spans="1:8" x14ac:dyDescent="0.2">
      <c r="A3639" t="s">
        <v>7</v>
      </c>
      <c r="B3639" s="3">
        <v>2016</v>
      </c>
      <c r="C3639" t="s">
        <v>1018</v>
      </c>
      <c r="D3639" t="s">
        <v>1019</v>
      </c>
      <c r="E3639" t="s">
        <v>1019</v>
      </c>
      <c r="F3639" s="4">
        <v>7295.97</v>
      </c>
      <c r="G3639" s="4" t="s">
        <v>7</v>
      </c>
      <c r="H3639" t="str">
        <f>IFERROR(VLOOKUP(E3639,'GASB Match'!$A$2:$B$240,2,FALSE),"")</f>
        <v/>
      </c>
    </row>
    <row r="3640" spans="1:8" x14ac:dyDescent="0.2">
      <c r="A3640" t="s">
        <v>7</v>
      </c>
      <c r="B3640" s="3">
        <v>2017</v>
      </c>
      <c r="C3640" t="s">
        <v>1018</v>
      </c>
      <c r="D3640" t="s">
        <v>1019</v>
      </c>
      <c r="E3640" t="s">
        <v>1019</v>
      </c>
      <c r="F3640" s="4">
        <v>15118</v>
      </c>
      <c r="G3640" s="4" t="s">
        <v>7</v>
      </c>
      <c r="H3640" t="str">
        <f>IFERROR(VLOOKUP(E3640,'GASB Match'!$A$2:$B$240,2,FALSE),"")</f>
        <v/>
      </c>
    </row>
    <row r="3641" spans="1:8" x14ac:dyDescent="0.2">
      <c r="A3641" t="s">
        <v>7</v>
      </c>
      <c r="B3641" s="3">
        <v>2018</v>
      </c>
      <c r="C3641" t="s">
        <v>1018</v>
      </c>
      <c r="D3641" t="s">
        <v>1019</v>
      </c>
      <c r="E3641" t="s">
        <v>1019</v>
      </c>
      <c r="F3641" s="4">
        <v>24227</v>
      </c>
      <c r="G3641" s="4" t="s">
        <v>7</v>
      </c>
      <c r="H3641" t="str">
        <f>IFERROR(VLOOKUP(E3641,'GASB Match'!$A$2:$B$240,2,FALSE),"")</f>
        <v/>
      </c>
    </row>
    <row r="3642" spans="1:8" x14ac:dyDescent="0.2">
      <c r="A3642" t="s">
        <v>7</v>
      </c>
      <c r="B3642" s="3">
        <v>2019</v>
      </c>
      <c r="C3642" t="s">
        <v>1018</v>
      </c>
      <c r="D3642" t="s">
        <v>1019</v>
      </c>
      <c r="E3642" t="s">
        <v>1019</v>
      </c>
      <c r="F3642" s="4">
        <v>45141</v>
      </c>
      <c r="G3642" s="4" t="s">
        <v>7</v>
      </c>
      <c r="H3642" t="str">
        <f>IFERROR(VLOOKUP(E3642,'GASB Match'!$A$2:$B$240,2,FALSE),"")</f>
        <v/>
      </c>
    </row>
    <row r="3643" spans="1:8" x14ac:dyDescent="0.2">
      <c r="A3643" t="s">
        <v>7</v>
      </c>
      <c r="B3643" s="3">
        <v>2020</v>
      </c>
      <c r="C3643" t="s">
        <v>1018</v>
      </c>
      <c r="D3643" t="s">
        <v>1019</v>
      </c>
      <c r="E3643" t="s">
        <v>1019</v>
      </c>
      <c r="F3643" s="4">
        <v>52530</v>
      </c>
      <c r="G3643" s="4" t="s">
        <v>7</v>
      </c>
      <c r="H3643" t="str">
        <f>IFERROR(VLOOKUP(E3643,'GASB Match'!$A$2:$B$240,2,FALSE),"")</f>
        <v/>
      </c>
    </row>
    <row r="3644" spans="1:8" x14ac:dyDescent="0.2">
      <c r="A3644" t="s">
        <v>7</v>
      </c>
      <c r="B3644" s="3">
        <v>2021</v>
      </c>
      <c r="C3644" t="s">
        <v>1018</v>
      </c>
      <c r="D3644" t="s">
        <v>1019</v>
      </c>
      <c r="E3644" t="s">
        <v>1019</v>
      </c>
      <c r="F3644" s="4">
        <v>50443</v>
      </c>
      <c r="G3644" s="4" t="s">
        <v>7</v>
      </c>
      <c r="H3644" t="str">
        <f>IFERROR(VLOOKUP(E3644,'GASB Match'!$A$2:$B$240,2,FALSE),"")</f>
        <v/>
      </c>
    </row>
    <row r="3645" spans="1:8" x14ac:dyDescent="0.2">
      <c r="A3645" t="s">
        <v>7</v>
      </c>
      <c r="B3645" s="3">
        <v>2022</v>
      </c>
      <c r="C3645" t="s">
        <v>1018</v>
      </c>
      <c r="D3645" t="s">
        <v>1019</v>
      </c>
      <c r="E3645" t="s">
        <v>1019</v>
      </c>
      <c r="F3645" s="4">
        <v>46847</v>
      </c>
      <c r="G3645" s="4" t="s">
        <v>7</v>
      </c>
      <c r="H3645" t="str">
        <f>IFERROR(VLOOKUP(E3645,'GASB Match'!$A$2:$B$240,2,FALSE),"")</f>
        <v/>
      </c>
    </row>
    <row r="3646" spans="1:8" x14ac:dyDescent="0.2">
      <c r="A3646" t="s">
        <v>7</v>
      </c>
      <c r="B3646" s="3">
        <v>2023</v>
      </c>
      <c r="C3646" t="s">
        <v>1018</v>
      </c>
      <c r="D3646" t="s">
        <v>1019</v>
      </c>
      <c r="E3646" t="s">
        <v>1019</v>
      </c>
      <c r="F3646" s="4">
        <v>33292</v>
      </c>
      <c r="G3646" s="4" t="s">
        <v>7</v>
      </c>
      <c r="H3646" t="str">
        <f>IFERROR(VLOOKUP(E3646,'GASB Match'!$A$2:$B$240,2,FALSE),"")</f>
        <v/>
      </c>
    </row>
    <row r="3647" spans="1:8" x14ac:dyDescent="0.2">
      <c r="A3647" t="s">
        <v>7</v>
      </c>
      <c r="B3647" s="3">
        <v>2020</v>
      </c>
      <c r="C3647" t="s">
        <v>1020</v>
      </c>
      <c r="D3647" t="s">
        <v>1021</v>
      </c>
      <c r="E3647" t="s">
        <v>1021</v>
      </c>
      <c r="F3647" s="4">
        <v>5278</v>
      </c>
      <c r="G3647" s="4" t="s">
        <v>7</v>
      </c>
      <c r="H3647" t="str">
        <f>IFERROR(VLOOKUP(E3647,'GASB Match'!$A$2:$B$240,2,FALSE),"")</f>
        <v/>
      </c>
    </row>
    <row r="3648" spans="1:8" x14ac:dyDescent="0.2">
      <c r="A3648" t="s">
        <v>7</v>
      </c>
      <c r="B3648" s="3">
        <v>2021</v>
      </c>
      <c r="C3648" t="s">
        <v>1020</v>
      </c>
      <c r="D3648" t="s">
        <v>1021</v>
      </c>
      <c r="E3648" t="s">
        <v>1021</v>
      </c>
      <c r="F3648" s="4">
        <v>8158</v>
      </c>
      <c r="G3648" s="4" t="s">
        <v>7</v>
      </c>
      <c r="H3648" t="str">
        <f>IFERROR(VLOOKUP(E3648,'GASB Match'!$A$2:$B$240,2,FALSE),"")</f>
        <v/>
      </c>
    </row>
    <row r="3649" spans="1:8" x14ac:dyDescent="0.2">
      <c r="A3649" t="s">
        <v>7</v>
      </c>
      <c r="B3649" s="3">
        <v>2022</v>
      </c>
      <c r="C3649" t="s">
        <v>1020</v>
      </c>
      <c r="D3649" t="s">
        <v>1021</v>
      </c>
      <c r="E3649" t="s">
        <v>1021</v>
      </c>
      <c r="F3649" s="4">
        <v>8476</v>
      </c>
      <c r="G3649" s="4" t="s">
        <v>7</v>
      </c>
      <c r="H3649" t="str">
        <f>IFERROR(VLOOKUP(E3649,'GASB Match'!$A$2:$B$240,2,FALSE),"")</f>
        <v/>
      </c>
    </row>
    <row r="3650" spans="1:8" x14ac:dyDescent="0.2">
      <c r="A3650" t="s">
        <v>7</v>
      </c>
      <c r="B3650" s="3">
        <v>2016</v>
      </c>
      <c r="C3650" t="s">
        <v>1022</v>
      </c>
      <c r="D3650" t="s">
        <v>1023</v>
      </c>
      <c r="E3650" t="s">
        <v>1023</v>
      </c>
      <c r="F3650" s="4">
        <v>147.29</v>
      </c>
      <c r="G3650" s="4" t="s">
        <v>7</v>
      </c>
      <c r="H3650" t="str">
        <f>IFERROR(VLOOKUP(E3650,'GASB Match'!$A$2:$B$240,2,FALSE),"")</f>
        <v/>
      </c>
    </row>
    <row r="3651" spans="1:8" x14ac:dyDescent="0.2">
      <c r="A3651" t="s">
        <v>7</v>
      </c>
      <c r="B3651" s="3">
        <v>2017</v>
      </c>
      <c r="C3651" t="s">
        <v>1022</v>
      </c>
      <c r="D3651" t="s">
        <v>1023</v>
      </c>
      <c r="E3651" t="s">
        <v>1023</v>
      </c>
      <c r="F3651" s="4">
        <v>3747</v>
      </c>
      <c r="G3651" s="4" t="s">
        <v>7</v>
      </c>
      <c r="H3651" t="str">
        <f>IFERROR(VLOOKUP(E3651,'GASB Match'!$A$2:$B$240,2,FALSE),"")</f>
        <v/>
      </c>
    </row>
    <row r="3652" spans="1:8" x14ac:dyDescent="0.2">
      <c r="A3652" t="s">
        <v>7</v>
      </c>
      <c r="B3652" s="3">
        <v>2018</v>
      </c>
      <c r="C3652" t="s">
        <v>1022</v>
      </c>
      <c r="D3652" t="s">
        <v>1023</v>
      </c>
      <c r="E3652" t="s">
        <v>1023</v>
      </c>
      <c r="F3652" s="4">
        <v>4812</v>
      </c>
      <c r="G3652" s="4" t="s">
        <v>7</v>
      </c>
      <c r="H3652" t="str">
        <f>IFERROR(VLOOKUP(E3652,'GASB Match'!$A$2:$B$240,2,FALSE),"")</f>
        <v/>
      </c>
    </row>
    <row r="3653" spans="1:8" x14ac:dyDescent="0.2">
      <c r="A3653" t="s">
        <v>7</v>
      </c>
      <c r="B3653" s="3">
        <v>2019</v>
      </c>
      <c r="C3653" t="s">
        <v>1022</v>
      </c>
      <c r="D3653" t="s">
        <v>1023</v>
      </c>
      <c r="E3653" t="s">
        <v>1023</v>
      </c>
      <c r="F3653" s="4">
        <v>6188</v>
      </c>
      <c r="G3653" s="4" t="s">
        <v>7</v>
      </c>
      <c r="H3653" t="str">
        <f>IFERROR(VLOOKUP(E3653,'GASB Match'!$A$2:$B$240,2,FALSE),"")</f>
        <v/>
      </c>
    </row>
    <row r="3654" spans="1:8" x14ac:dyDescent="0.2">
      <c r="A3654" t="s">
        <v>7</v>
      </c>
      <c r="B3654" s="3">
        <v>2020</v>
      </c>
      <c r="C3654" t="s">
        <v>1022</v>
      </c>
      <c r="D3654" t="s">
        <v>1023</v>
      </c>
      <c r="E3654" t="s">
        <v>1023</v>
      </c>
      <c r="F3654" s="4">
        <v>6994</v>
      </c>
      <c r="G3654" s="4" t="s">
        <v>7</v>
      </c>
      <c r="H3654" t="str">
        <f>IFERROR(VLOOKUP(E3654,'GASB Match'!$A$2:$B$240,2,FALSE),"")</f>
        <v/>
      </c>
    </row>
    <row r="3655" spans="1:8" x14ac:dyDescent="0.2">
      <c r="A3655" t="s">
        <v>7</v>
      </c>
      <c r="B3655" s="3">
        <v>2021</v>
      </c>
      <c r="C3655" t="s">
        <v>1022</v>
      </c>
      <c r="D3655" t="s">
        <v>1023</v>
      </c>
      <c r="E3655" t="s">
        <v>1023</v>
      </c>
      <c r="F3655" s="4">
        <v>6595</v>
      </c>
      <c r="G3655" s="4" t="s">
        <v>7</v>
      </c>
      <c r="H3655" t="str">
        <f>IFERROR(VLOOKUP(E3655,'GASB Match'!$A$2:$B$240,2,FALSE),"")</f>
        <v/>
      </c>
    </row>
    <row r="3656" spans="1:8" x14ac:dyDescent="0.2">
      <c r="A3656" t="s">
        <v>7</v>
      </c>
      <c r="B3656" s="3">
        <v>2022</v>
      </c>
      <c r="C3656" t="s">
        <v>1022</v>
      </c>
      <c r="D3656" t="s">
        <v>1023</v>
      </c>
      <c r="E3656" t="s">
        <v>1023</v>
      </c>
      <c r="F3656" s="4">
        <v>8003</v>
      </c>
      <c r="G3656" s="4" t="s">
        <v>7</v>
      </c>
      <c r="H3656" t="str">
        <f>IFERROR(VLOOKUP(E3656,'GASB Match'!$A$2:$B$240,2,FALSE),"")</f>
        <v/>
      </c>
    </row>
    <row r="3657" spans="1:8" x14ac:dyDescent="0.2">
      <c r="A3657" t="s">
        <v>7</v>
      </c>
      <c r="B3657" s="3">
        <v>2023</v>
      </c>
      <c r="C3657" t="s">
        <v>1022</v>
      </c>
      <c r="D3657" t="s">
        <v>1023</v>
      </c>
      <c r="E3657" t="s">
        <v>1023</v>
      </c>
      <c r="F3657" s="4">
        <v>9027</v>
      </c>
      <c r="G3657" s="4" t="s">
        <v>7</v>
      </c>
      <c r="H3657" t="str">
        <f>IFERROR(VLOOKUP(E3657,'GASB Match'!$A$2:$B$240,2,FALSE),"")</f>
        <v/>
      </c>
    </row>
    <row r="3658" spans="1:8" x14ac:dyDescent="0.2">
      <c r="A3658" t="s">
        <v>7</v>
      </c>
      <c r="B3658" s="3">
        <v>2015</v>
      </c>
      <c r="C3658" t="s">
        <v>1024</v>
      </c>
      <c r="D3658" t="s">
        <v>1025</v>
      </c>
      <c r="E3658" t="s">
        <v>1025</v>
      </c>
      <c r="F3658" s="4">
        <v>21613.439999999999</v>
      </c>
      <c r="G3658" s="4" t="s">
        <v>7</v>
      </c>
      <c r="H3658" t="str">
        <f>IFERROR(VLOOKUP(E3658,'GASB Match'!$A$2:$B$240,2,FALSE),"")</f>
        <v/>
      </c>
    </row>
    <row r="3659" spans="1:8" x14ac:dyDescent="0.2">
      <c r="A3659" t="s">
        <v>7</v>
      </c>
      <c r="B3659" s="3">
        <v>2016</v>
      </c>
      <c r="C3659" t="s">
        <v>1024</v>
      </c>
      <c r="D3659" t="s">
        <v>1025</v>
      </c>
      <c r="E3659" t="s">
        <v>1025</v>
      </c>
      <c r="F3659" s="4">
        <v>23688.959999999999</v>
      </c>
      <c r="G3659" s="4" t="s">
        <v>7</v>
      </c>
      <c r="H3659" t="str">
        <f>IFERROR(VLOOKUP(E3659,'GASB Match'!$A$2:$B$240,2,FALSE),"")</f>
        <v/>
      </c>
    </row>
    <row r="3660" spans="1:8" x14ac:dyDescent="0.2">
      <c r="A3660" t="s">
        <v>7</v>
      </c>
      <c r="B3660" s="3">
        <v>2017</v>
      </c>
      <c r="C3660" t="s">
        <v>1024</v>
      </c>
      <c r="D3660" t="s">
        <v>1025</v>
      </c>
      <c r="E3660" t="s">
        <v>1025</v>
      </c>
      <c r="F3660" s="4">
        <v>26318</v>
      </c>
      <c r="G3660" s="4" t="s">
        <v>7</v>
      </c>
      <c r="H3660" t="str">
        <f>IFERROR(VLOOKUP(E3660,'GASB Match'!$A$2:$B$240,2,FALSE),"")</f>
        <v/>
      </c>
    </row>
    <row r="3661" spans="1:8" x14ac:dyDescent="0.2">
      <c r="A3661" t="s">
        <v>7</v>
      </c>
      <c r="B3661" s="3">
        <v>2018</v>
      </c>
      <c r="C3661" t="s">
        <v>1024</v>
      </c>
      <c r="D3661" t="s">
        <v>1025</v>
      </c>
      <c r="E3661" t="s">
        <v>1025</v>
      </c>
      <c r="F3661" s="4">
        <v>31623</v>
      </c>
      <c r="G3661" s="4" t="s">
        <v>7</v>
      </c>
      <c r="H3661" t="str">
        <f>IFERROR(VLOOKUP(E3661,'GASB Match'!$A$2:$B$240,2,FALSE),"")</f>
        <v/>
      </c>
    </row>
    <row r="3662" spans="1:8" x14ac:dyDescent="0.2">
      <c r="A3662" t="s">
        <v>7</v>
      </c>
      <c r="B3662" s="3">
        <v>2019</v>
      </c>
      <c r="C3662" t="s">
        <v>1024</v>
      </c>
      <c r="D3662" t="s">
        <v>1025</v>
      </c>
      <c r="E3662" t="s">
        <v>1025</v>
      </c>
      <c r="F3662" s="4">
        <v>39317</v>
      </c>
      <c r="G3662" s="4" t="s">
        <v>7</v>
      </c>
      <c r="H3662" t="str">
        <f>IFERROR(VLOOKUP(E3662,'GASB Match'!$A$2:$B$240,2,FALSE),"")</f>
        <v/>
      </c>
    </row>
    <row r="3663" spans="1:8" x14ac:dyDescent="0.2">
      <c r="A3663" t="s">
        <v>7</v>
      </c>
      <c r="B3663" s="3">
        <v>2020</v>
      </c>
      <c r="C3663" t="s">
        <v>1024</v>
      </c>
      <c r="D3663" t="s">
        <v>1025</v>
      </c>
      <c r="E3663" t="s">
        <v>1025</v>
      </c>
      <c r="F3663" s="4">
        <v>40610</v>
      </c>
      <c r="G3663" s="4" t="s">
        <v>7</v>
      </c>
      <c r="H3663" t="str">
        <f>IFERROR(VLOOKUP(E3663,'GASB Match'!$A$2:$B$240,2,FALSE),"")</f>
        <v/>
      </c>
    </row>
    <row r="3664" spans="1:8" x14ac:dyDescent="0.2">
      <c r="A3664" t="s">
        <v>7</v>
      </c>
      <c r="B3664" s="3">
        <v>2021</v>
      </c>
      <c r="C3664" t="s">
        <v>1024</v>
      </c>
      <c r="D3664" t="s">
        <v>1025</v>
      </c>
      <c r="E3664" t="s">
        <v>1025</v>
      </c>
      <c r="F3664" s="4">
        <v>36615</v>
      </c>
      <c r="G3664" s="4" t="s">
        <v>7</v>
      </c>
      <c r="H3664" t="str">
        <f>IFERROR(VLOOKUP(E3664,'GASB Match'!$A$2:$B$240,2,FALSE),"")</f>
        <v/>
      </c>
    </row>
    <row r="3665" spans="1:8" x14ac:dyDescent="0.2">
      <c r="A3665" t="s">
        <v>7</v>
      </c>
      <c r="B3665" s="3">
        <v>2022</v>
      </c>
      <c r="C3665" t="s">
        <v>1024</v>
      </c>
      <c r="D3665" t="s">
        <v>1025</v>
      </c>
      <c r="E3665" t="s">
        <v>1025</v>
      </c>
      <c r="F3665" s="4">
        <v>38551</v>
      </c>
      <c r="G3665" s="4" t="s">
        <v>7</v>
      </c>
      <c r="H3665" t="str">
        <f>IFERROR(VLOOKUP(E3665,'GASB Match'!$A$2:$B$240,2,FALSE),"")</f>
        <v/>
      </c>
    </row>
    <row r="3666" spans="1:8" x14ac:dyDescent="0.2">
      <c r="A3666" t="s">
        <v>7</v>
      </c>
      <c r="B3666" s="3">
        <v>2023</v>
      </c>
      <c r="C3666" t="s">
        <v>1024</v>
      </c>
      <c r="D3666" t="s">
        <v>1025</v>
      </c>
      <c r="E3666" t="s">
        <v>1025</v>
      </c>
      <c r="F3666" s="4">
        <v>35602</v>
      </c>
      <c r="G3666" s="4" t="s">
        <v>7</v>
      </c>
      <c r="H3666" t="str">
        <f>IFERROR(VLOOKUP(E3666,'GASB Match'!$A$2:$B$240,2,FALSE),"")</f>
        <v/>
      </c>
    </row>
    <row r="3667" spans="1:8" x14ac:dyDescent="0.2">
      <c r="A3667" t="s">
        <v>7</v>
      </c>
      <c r="B3667" s="3">
        <v>2015</v>
      </c>
      <c r="C3667" t="s">
        <v>1026</v>
      </c>
      <c r="D3667" t="s">
        <v>1028</v>
      </c>
      <c r="E3667" t="s">
        <v>1027</v>
      </c>
      <c r="F3667" s="4">
        <v>5129.76</v>
      </c>
      <c r="G3667" s="4" t="s">
        <v>7</v>
      </c>
      <c r="H3667" t="str">
        <f>IFERROR(VLOOKUP(E3667,'GASB Match'!$A$2:$B$240,2,FALSE),"")</f>
        <v/>
      </c>
    </row>
    <row r="3668" spans="1:8" x14ac:dyDescent="0.2">
      <c r="A3668" t="s">
        <v>7</v>
      </c>
      <c r="B3668" s="3">
        <v>2016</v>
      </c>
      <c r="C3668" t="s">
        <v>1026</v>
      </c>
      <c r="D3668" t="s">
        <v>1028</v>
      </c>
      <c r="E3668" t="s">
        <v>1027</v>
      </c>
      <c r="F3668" s="4">
        <v>5566.68</v>
      </c>
      <c r="G3668" s="4" t="s">
        <v>7</v>
      </c>
      <c r="H3668" t="str">
        <f>IFERROR(VLOOKUP(E3668,'GASB Match'!$A$2:$B$240,2,FALSE),"")</f>
        <v/>
      </c>
    </row>
    <row r="3669" spans="1:8" x14ac:dyDescent="0.2">
      <c r="A3669" t="s">
        <v>7</v>
      </c>
      <c r="B3669" s="3">
        <v>2017</v>
      </c>
      <c r="C3669" t="s">
        <v>1026</v>
      </c>
      <c r="D3669" t="s">
        <v>1028</v>
      </c>
      <c r="E3669" t="s">
        <v>1027</v>
      </c>
      <c r="F3669" s="4">
        <v>5184</v>
      </c>
      <c r="G3669" s="4" t="s">
        <v>7</v>
      </c>
      <c r="H3669" t="str">
        <f>IFERROR(VLOOKUP(E3669,'GASB Match'!$A$2:$B$240,2,FALSE),"")</f>
        <v/>
      </c>
    </row>
    <row r="3670" spans="1:8" x14ac:dyDescent="0.2">
      <c r="A3670" t="s">
        <v>7</v>
      </c>
      <c r="B3670" s="3">
        <v>2018</v>
      </c>
      <c r="C3670" t="s">
        <v>1026</v>
      </c>
      <c r="D3670" t="s">
        <v>1028</v>
      </c>
      <c r="E3670" t="s">
        <v>1027</v>
      </c>
      <c r="F3670" s="4">
        <v>7437</v>
      </c>
      <c r="G3670" s="4" t="s">
        <v>7</v>
      </c>
      <c r="H3670" t="str">
        <f>IFERROR(VLOOKUP(E3670,'GASB Match'!$A$2:$B$240,2,FALSE),"")</f>
        <v/>
      </c>
    </row>
    <row r="3671" spans="1:8" x14ac:dyDescent="0.2">
      <c r="A3671" t="s">
        <v>7</v>
      </c>
      <c r="B3671" s="3">
        <v>2019</v>
      </c>
      <c r="C3671" t="s">
        <v>1026</v>
      </c>
      <c r="D3671" t="s">
        <v>1028</v>
      </c>
      <c r="E3671" t="s">
        <v>1027</v>
      </c>
      <c r="F3671" s="4">
        <v>9246</v>
      </c>
      <c r="G3671" s="4" t="s">
        <v>7</v>
      </c>
      <c r="H3671" t="str">
        <f>IFERROR(VLOOKUP(E3671,'GASB Match'!$A$2:$B$240,2,FALSE),"")</f>
        <v/>
      </c>
    </row>
    <row r="3672" spans="1:8" x14ac:dyDescent="0.2">
      <c r="A3672" t="s">
        <v>7</v>
      </c>
      <c r="B3672" s="3">
        <v>2020</v>
      </c>
      <c r="C3672" t="s">
        <v>1026</v>
      </c>
      <c r="D3672" t="s">
        <v>1028</v>
      </c>
      <c r="E3672" t="s">
        <v>1027</v>
      </c>
      <c r="F3672" s="4">
        <v>10086</v>
      </c>
      <c r="G3672" s="4" t="s">
        <v>7</v>
      </c>
      <c r="H3672" t="str">
        <f>IFERROR(VLOOKUP(E3672,'GASB Match'!$A$2:$B$240,2,FALSE),"")</f>
        <v/>
      </c>
    </row>
    <row r="3673" spans="1:8" x14ac:dyDescent="0.2">
      <c r="A3673" t="s">
        <v>7</v>
      </c>
      <c r="B3673" s="3">
        <v>2021</v>
      </c>
      <c r="C3673" t="s">
        <v>1026</v>
      </c>
      <c r="D3673" t="s">
        <v>1029</v>
      </c>
      <c r="E3673" t="s">
        <v>1027</v>
      </c>
      <c r="F3673" s="4">
        <v>10292</v>
      </c>
      <c r="G3673" s="4" t="s">
        <v>7</v>
      </c>
      <c r="H3673" t="str">
        <f>IFERROR(VLOOKUP(E3673,'GASB Match'!$A$2:$B$240,2,FALSE),"")</f>
        <v/>
      </c>
    </row>
    <row r="3674" spans="1:8" x14ac:dyDescent="0.2">
      <c r="A3674" t="s">
        <v>7</v>
      </c>
      <c r="B3674" s="3">
        <v>2022</v>
      </c>
      <c r="C3674" t="s">
        <v>1026</v>
      </c>
      <c r="D3674" t="s">
        <v>1027</v>
      </c>
      <c r="E3674" t="s">
        <v>1027</v>
      </c>
      <c r="F3674" s="4">
        <v>11212</v>
      </c>
      <c r="G3674" s="4" t="s">
        <v>7</v>
      </c>
      <c r="H3674" t="str">
        <f>IFERROR(VLOOKUP(E3674,'GASB Match'!$A$2:$B$240,2,FALSE),"")</f>
        <v/>
      </c>
    </row>
    <row r="3675" spans="1:8" x14ac:dyDescent="0.2">
      <c r="A3675" t="s">
        <v>7</v>
      </c>
      <c r="B3675" s="3">
        <v>2023</v>
      </c>
      <c r="C3675" t="s">
        <v>1026</v>
      </c>
      <c r="D3675" t="s">
        <v>1027</v>
      </c>
      <c r="E3675" t="s">
        <v>1027</v>
      </c>
      <c r="F3675" s="4">
        <v>13993</v>
      </c>
      <c r="G3675" s="4" t="s">
        <v>7</v>
      </c>
      <c r="H3675" t="str">
        <f>IFERROR(VLOOKUP(E3675,'GASB Match'!$A$2:$B$240,2,FALSE),"")</f>
        <v/>
      </c>
    </row>
    <row r="3676" spans="1:8" x14ac:dyDescent="0.2">
      <c r="A3676" t="s">
        <v>7</v>
      </c>
      <c r="B3676" s="3">
        <v>2015</v>
      </c>
      <c r="C3676" t="s">
        <v>1030</v>
      </c>
      <c r="D3676" t="s">
        <v>1031</v>
      </c>
      <c r="E3676" t="s">
        <v>1031</v>
      </c>
      <c r="F3676" s="4">
        <v>3507.84</v>
      </c>
      <c r="G3676" s="4" t="s">
        <v>7</v>
      </c>
      <c r="H3676" t="str">
        <f>IFERROR(VLOOKUP(E3676,'GASB Match'!$A$2:$B$240,2,FALSE),"")</f>
        <v/>
      </c>
    </row>
    <row r="3677" spans="1:8" x14ac:dyDescent="0.2">
      <c r="A3677" t="s">
        <v>7</v>
      </c>
      <c r="B3677" s="3">
        <v>2016</v>
      </c>
      <c r="C3677" t="s">
        <v>1030</v>
      </c>
      <c r="D3677" t="s">
        <v>1031</v>
      </c>
      <c r="E3677" t="s">
        <v>1031</v>
      </c>
      <c r="F3677" s="4">
        <v>3415.92</v>
      </c>
      <c r="G3677" s="4" t="s">
        <v>7</v>
      </c>
      <c r="H3677" t="str">
        <f>IFERROR(VLOOKUP(E3677,'GASB Match'!$A$2:$B$240,2,FALSE),"")</f>
        <v/>
      </c>
    </row>
    <row r="3678" spans="1:8" x14ac:dyDescent="0.2">
      <c r="A3678" t="s">
        <v>7</v>
      </c>
      <c r="B3678" s="3">
        <v>2015</v>
      </c>
      <c r="C3678" t="s">
        <v>1032</v>
      </c>
      <c r="D3678" t="s">
        <v>1033</v>
      </c>
      <c r="E3678" t="s">
        <v>1033</v>
      </c>
      <c r="F3678" s="4">
        <v>2650.34</v>
      </c>
      <c r="G3678" s="4" t="s">
        <v>7</v>
      </c>
      <c r="H3678" t="str">
        <f>IFERROR(VLOOKUP(E3678,'GASB Match'!$A$2:$B$240,2,FALSE),"")</f>
        <v/>
      </c>
    </row>
    <row r="3679" spans="1:8" x14ac:dyDescent="0.2">
      <c r="A3679" t="s">
        <v>7</v>
      </c>
      <c r="B3679" s="3">
        <v>2016</v>
      </c>
      <c r="C3679" t="s">
        <v>1032</v>
      </c>
      <c r="D3679" t="s">
        <v>1033</v>
      </c>
      <c r="E3679" t="s">
        <v>1033</v>
      </c>
      <c r="F3679" s="4">
        <v>3048.2</v>
      </c>
      <c r="G3679" s="4" t="s">
        <v>7</v>
      </c>
      <c r="H3679" t="str">
        <f>IFERROR(VLOOKUP(E3679,'GASB Match'!$A$2:$B$240,2,FALSE),"")</f>
        <v/>
      </c>
    </row>
    <row r="3680" spans="1:8" x14ac:dyDescent="0.2">
      <c r="A3680" t="s">
        <v>7</v>
      </c>
      <c r="B3680" s="3">
        <v>2015</v>
      </c>
      <c r="C3680" t="s">
        <v>1034</v>
      </c>
      <c r="D3680" t="s">
        <v>1035</v>
      </c>
      <c r="E3680" t="s">
        <v>1035</v>
      </c>
      <c r="F3680" s="4">
        <v>8547.5</v>
      </c>
      <c r="G3680" s="4" t="s">
        <v>7</v>
      </c>
      <c r="H3680" t="str">
        <f>IFERROR(VLOOKUP(E3680,'GASB Match'!$A$2:$B$240,2,FALSE),"")</f>
        <v/>
      </c>
    </row>
    <row r="3681" spans="1:8" x14ac:dyDescent="0.2">
      <c r="A3681" t="s">
        <v>7</v>
      </c>
      <c r="B3681" s="3">
        <v>2016</v>
      </c>
      <c r="C3681" t="s">
        <v>1034</v>
      </c>
      <c r="D3681" t="s">
        <v>1035</v>
      </c>
      <c r="E3681" t="s">
        <v>1035</v>
      </c>
      <c r="F3681" s="4">
        <v>18087.240000000002</v>
      </c>
      <c r="G3681" s="4" t="s">
        <v>7</v>
      </c>
      <c r="H3681" t="str">
        <f>IFERROR(VLOOKUP(E3681,'GASB Match'!$A$2:$B$240,2,FALSE),"")</f>
        <v/>
      </c>
    </row>
    <row r="3682" spans="1:8" x14ac:dyDescent="0.2">
      <c r="A3682" t="s">
        <v>7</v>
      </c>
      <c r="B3682" s="3">
        <v>2017</v>
      </c>
      <c r="C3682" t="s">
        <v>1034</v>
      </c>
      <c r="D3682" t="s">
        <v>1035</v>
      </c>
      <c r="E3682" t="s">
        <v>1035</v>
      </c>
      <c r="F3682" s="4">
        <v>21523</v>
      </c>
      <c r="G3682" s="4" t="s">
        <v>7</v>
      </c>
      <c r="H3682" t="str">
        <f>IFERROR(VLOOKUP(E3682,'GASB Match'!$A$2:$B$240,2,FALSE),"")</f>
        <v/>
      </c>
    </row>
    <row r="3683" spans="1:8" x14ac:dyDescent="0.2">
      <c r="A3683" t="s">
        <v>7</v>
      </c>
      <c r="B3683" s="3">
        <v>2018</v>
      </c>
      <c r="C3683" t="s">
        <v>1034</v>
      </c>
      <c r="D3683" t="s">
        <v>1035</v>
      </c>
      <c r="E3683" t="s">
        <v>1035</v>
      </c>
      <c r="F3683" s="4">
        <v>26196</v>
      </c>
      <c r="G3683" s="4" t="s">
        <v>7</v>
      </c>
      <c r="H3683" t="str">
        <f>IFERROR(VLOOKUP(E3683,'GASB Match'!$A$2:$B$240,2,FALSE),"")</f>
        <v/>
      </c>
    </row>
    <row r="3684" spans="1:8" x14ac:dyDescent="0.2">
      <c r="A3684" t="s">
        <v>7</v>
      </c>
      <c r="B3684" s="3">
        <v>2019</v>
      </c>
      <c r="C3684" t="s">
        <v>1034</v>
      </c>
      <c r="D3684" t="s">
        <v>1035</v>
      </c>
      <c r="E3684" t="s">
        <v>1035</v>
      </c>
      <c r="F3684" s="4">
        <v>40979</v>
      </c>
      <c r="G3684" s="4" t="s">
        <v>7</v>
      </c>
      <c r="H3684" t="str">
        <f>IFERROR(VLOOKUP(E3684,'GASB Match'!$A$2:$B$240,2,FALSE),"")</f>
        <v/>
      </c>
    </row>
    <row r="3685" spans="1:8" x14ac:dyDescent="0.2">
      <c r="A3685" t="s">
        <v>7</v>
      </c>
      <c r="B3685" s="3">
        <v>2020</v>
      </c>
      <c r="C3685" t="s">
        <v>1034</v>
      </c>
      <c r="D3685" t="s">
        <v>1035</v>
      </c>
      <c r="E3685" t="s">
        <v>1035</v>
      </c>
      <c r="F3685" s="4">
        <v>29482</v>
      </c>
      <c r="G3685" s="4" t="s">
        <v>7</v>
      </c>
      <c r="H3685" t="str">
        <f>IFERROR(VLOOKUP(E3685,'GASB Match'!$A$2:$B$240,2,FALSE),"")</f>
        <v/>
      </c>
    </row>
    <row r="3686" spans="1:8" x14ac:dyDescent="0.2">
      <c r="A3686" t="s">
        <v>7</v>
      </c>
      <c r="B3686" s="3">
        <v>2021</v>
      </c>
      <c r="C3686" t="s">
        <v>1034</v>
      </c>
      <c r="D3686" t="s">
        <v>1035</v>
      </c>
      <c r="E3686" t="s">
        <v>1035</v>
      </c>
      <c r="F3686" s="4">
        <v>25353</v>
      </c>
      <c r="G3686" s="4" t="s">
        <v>7</v>
      </c>
      <c r="H3686" t="str">
        <f>IFERROR(VLOOKUP(E3686,'GASB Match'!$A$2:$B$240,2,FALSE),"")</f>
        <v/>
      </c>
    </row>
    <row r="3687" spans="1:8" x14ac:dyDescent="0.2">
      <c r="A3687" t="s">
        <v>7</v>
      </c>
      <c r="B3687" s="3">
        <v>2022</v>
      </c>
      <c r="C3687" t="s">
        <v>1034</v>
      </c>
      <c r="D3687" t="s">
        <v>1035</v>
      </c>
      <c r="E3687" t="s">
        <v>1035</v>
      </c>
      <c r="F3687" s="4">
        <v>27615</v>
      </c>
      <c r="G3687" s="4" t="s">
        <v>7</v>
      </c>
      <c r="H3687" t="str">
        <f>IFERROR(VLOOKUP(E3687,'GASB Match'!$A$2:$B$240,2,FALSE),"")</f>
        <v/>
      </c>
    </row>
    <row r="3688" spans="1:8" x14ac:dyDescent="0.2">
      <c r="A3688" t="s">
        <v>7</v>
      </c>
      <c r="B3688" s="3">
        <v>2023</v>
      </c>
      <c r="C3688" t="s">
        <v>1034</v>
      </c>
      <c r="D3688" t="s">
        <v>1035</v>
      </c>
      <c r="E3688" t="s">
        <v>1035</v>
      </c>
      <c r="F3688" s="4">
        <v>27265</v>
      </c>
      <c r="G3688" s="4" t="s">
        <v>7</v>
      </c>
      <c r="H3688" t="str">
        <f>IFERROR(VLOOKUP(E3688,'GASB Match'!$A$2:$B$240,2,FALSE),"")</f>
        <v/>
      </c>
    </row>
    <row r="3689" spans="1:8" x14ac:dyDescent="0.2">
      <c r="A3689" t="s">
        <v>7</v>
      </c>
      <c r="B3689" s="3">
        <v>2015</v>
      </c>
      <c r="C3689" t="s">
        <v>1036</v>
      </c>
      <c r="D3689" t="s">
        <v>1037</v>
      </c>
      <c r="E3689" t="s">
        <v>1037</v>
      </c>
      <c r="F3689" s="4">
        <v>7440.72</v>
      </c>
      <c r="G3689" s="4" t="s">
        <v>7</v>
      </c>
      <c r="H3689" t="str">
        <f>IFERROR(VLOOKUP(E3689,'GASB Match'!$A$2:$B$240,2,FALSE),"")</f>
        <v/>
      </c>
    </row>
    <row r="3690" spans="1:8" x14ac:dyDescent="0.2">
      <c r="A3690" t="s">
        <v>7</v>
      </c>
      <c r="B3690" s="3">
        <v>2016</v>
      </c>
      <c r="C3690" t="s">
        <v>1036</v>
      </c>
      <c r="D3690" t="s">
        <v>1037</v>
      </c>
      <c r="E3690" t="s">
        <v>1037</v>
      </c>
      <c r="F3690" s="4">
        <v>14205.3</v>
      </c>
      <c r="G3690" s="4" t="s">
        <v>7</v>
      </c>
      <c r="H3690" t="str">
        <f>IFERROR(VLOOKUP(E3690,'GASB Match'!$A$2:$B$240,2,FALSE),"")</f>
        <v/>
      </c>
    </row>
    <row r="3691" spans="1:8" x14ac:dyDescent="0.2">
      <c r="A3691" t="s">
        <v>7</v>
      </c>
      <c r="B3691" s="3">
        <v>2017</v>
      </c>
      <c r="C3691" t="s">
        <v>1036</v>
      </c>
      <c r="D3691" t="s">
        <v>1037</v>
      </c>
      <c r="E3691" t="s">
        <v>1037</v>
      </c>
      <c r="F3691" s="4">
        <v>4328</v>
      </c>
      <c r="G3691" s="4" t="s">
        <v>7</v>
      </c>
      <c r="H3691" t="str">
        <f>IFERROR(VLOOKUP(E3691,'GASB Match'!$A$2:$B$240,2,FALSE),"")</f>
        <v/>
      </c>
    </row>
    <row r="3692" spans="1:8" x14ac:dyDescent="0.2">
      <c r="A3692" t="s">
        <v>7</v>
      </c>
      <c r="B3692" s="3">
        <v>2015</v>
      </c>
      <c r="C3692" t="s">
        <v>1038</v>
      </c>
      <c r="D3692" t="s">
        <v>1039</v>
      </c>
      <c r="E3692" t="s">
        <v>1039</v>
      </c>
      <c r="F3692" s="4">
        <v>1896.95</v>
      </c>
      <c r="G3692" s="4" t="s">
        <v>7</v>
      </c>
      <c r="H3692" t="str">
        <f>IFERROR(VLOOKUP(E3692,'GASB Match'!$A$2:$B$240,2,FALSE),"")</f>
        <v/>
      </c>
    </row>
    <row r="3693" spans="1:8" x14ac:dyDescent="0.2">
      <c r="A3693" t="s">
        <v>7</v>
      </c>
      <c r="B3693" s="3">
        <v>2016</v>
      </c>
      <c r="C3693" t="s">
        <v>1038</v>
      </c>
      <c r="D3693" t="s">
        <v>1039</v>
      </c>
      <c r="E3693" t="s">
        <v>1039</v>
      </c>
      <c r="F3693" s="4">
        <v>5006.3599999999997</v>
      </c>
      <c r="G3693" s="4" t="s">
        <v>7</v>
      </c>
      <c r="H3693" t="str">
        <f>IFERROR(VLOOKUP(E3693,'GASB Match'!$A$2:$B$240,2,FALSE),"")</f>
        <v/>
      </c>
    </row>
    <row r="3694" spans="1:8" x14ac:dyDescent="0.2">
      <c r="A3694" t="s">
        <v>7</v>
      </c>
      <c r="B3694" s="3">
        <v>2015</v>
      </c>
      <c r="C3694" t="s">
        <v>1040</v>
      </c>
      <c r="D3694" t="s">
        <v>1041</v>
      </c>
      <c r="E3694" t="s">
        <v>1041</v>
      </c>
      <c r="F3694" s="4">
        <v>3624.48</v>
      </c>
      <c r="G3694" s="4" t="s">
        <v>7</v>
      </c>
      <c r="H3694" t="str">
        <f>IFERROR(VLOOKUP(E3694,'GASB Match'!$A$2:$B$240,2,FALSE),"")</f>
        <v/>
      </c>
    </row>
    <row r="3695" spans="1:8" x14ac:dyDescent="0.2">
      <c r="A3695" t="s">
        <v>7</v>
      </c>
      <c r="B3695" s="3">
        <v>2016</v>
      </c>
      <c r="C3695" t="s">
        <v>1040</v>
      </c>
      <c r="D3695" t="s">
        <v>1041</v>
      </c>
      <c r="E3695" t="s">
        <v>1041</v>
      </c>
      <c r="F3695" s="4">
        <v>10488.48</v>
      </c>
      <c r="G3695" s="4" t="s">
        <v>7</v>
      </c>
      <c r="H3695" t="str">
        <f>IFERROR(VLOOKUP(E3695,'GASB Match'!$A$2:$B$240,2,FALSE),"")</f>
        <v/>
      </c>
    </row>
    <row r="3696" spans="1:8" x14ac:dyDescent="0.2">
      <c r="A3696" t="s">
        <v>7</v>
      </c>
      <c r="B3696" s="3">
        <v>2023</v>
      </c>
      <c r="C3696" t="s">
        <v>1040</v>
      </c>
      <c r="D3696" t="s">
        <v>1041</v>
      </c>
      <c r="E3696" t="s">
        <v>1041</v>
      </c>
      <c r="F3696" s="4">
        <v>8408</v>
      </c>
      <c r="G3696" s="4" t="s">
        <v>7</v>
      </c>
      <c r="H3696" t="str">
        <f>IFERROR(VLOOKUP(E3696,'GASB Match'!$A$2:$B$240,2,FALSE),"")</f>
        <v/>
      </c>
    </row>
    <row r="3697" spans="1:8" x14ac:dyDescent="0.2">
      <c r="A3697" t="s">
        <v>7</v>
      </c>
      <c r="B3697" s="3">
        <v>2015</v>
      </c>
      <c r="C3697" t="s">
        <v>1042</v>
      </c>
      <c r="D3697" t="s">
        <v>1044</v>
      </c>
      <c r="E3697" t="s">
        <v>1043</v>
      </c>
      <c r="F3697" s="4">
        <v>1193.24</v>
      </c>
      <c r="G3697" s="4" t="s">
        <v>7</v>
      </c>
      <c r="H3697" t="str">
        <f>IFERROR(VLOOKUP(E3697,'GASB Match'!$A$2:$B$240,2,FALSE),"")</f>
        <v/>
      </c>
    </row>
    <row r="3698" spans="1:8" x14ac:dyDescent="0.2">
      <c r="A3698" t="s">
        <v>7</v>
      </c>
      <c r="B3698" s="3">
        <v>2016</v>
      </c>
      <c r="C3698" t="s">
        <v>1042</v>
      </c>
      <c r="D3698" t="s">
        <v>1044</v>
      </c>
      <c r="E3698" t="s">
        <v>1043</v>
      </c>
      <c r="F3698" s="4">
        <v>6227.76</v>
      </c>
      <c r="G3698" s="4" t="s">
        <v>7</v>
      </c>
      <c r="H3698" t="str">
        <f>IFERROR(VLOOKUP(E3698,'GASB Match'!$A$2:$B$240,2,FALSE),"")</f>
        <v/>
      </c>
    </row>
    <row r="3699" spans="1:8" x14ac:dyDescent="0.2">
      <c r="A3699" t="s">
        <v>7</v>
      </c>
      <c r="B3699" s="3">
        <v>2017</v>
      </c>
      <c r="C3699" t="s">
        <v>1042</v>
      </c>
      <c r="D3699" t="s">
        <v>1044</v>
      </c>
      <c r="E3699" t="s">
        <v>1043</v>
      </c>
      <c r="F3699" s="4">
        <v>9244</v>
      </c>
      <c r="G3699" s="4" t="s">
        <v>7</v>
      </c>
      <c r="H3699" t="str">
        <f>IFERROR(VLOOKUP(E3699,'GASB Match'!$A$2:$B$240,2,FALSE),"")</f>
        <v/>
      </c>
    </row>
    <row r="3700" spans="1:8" x14ac:dyDescent="0.2">
      <c r="A3700" t="s">
        <v>7</v>
      </c>
      <c r="B3700" s="3">
        <v>2018</v>
      </c>
      <c r="C3700" t="s">
        <v>1042</v>
      </c>
      <c r="D3700" t="s">
        <v>1044</v>
      </c>
      <c r="E3700" t="s">
        <v>1043</v>
      </c>
      <c r="F3700" s="4">
        <v>8284</v>
      </c>
      <c r="G3700" s="4" t="s">
        <v>7</v>
      </c>
      <c r="H3700" t="str">
        <f>IFERROR(VLOOKUP(E3700,'GASB Match'!$A$2:$B$240,2,FALSE),"")</f>
        <v/>
      </c>
    </row>
    <row r="3701" spans="1:8" x14ac:dyDescent="0.2">
      <c r="A3701" t="s">
        <v>7</v>
      </c>
      <c r="B3701" s="3">
        <v>2019</v>
      </c>
      <c r="C3701" t="s">
        <v>1042</v>
      </c>
      <c r="D3701" t="s">
        <v>1044</v>
      </c>
      <c r="E3701" t="s">
        <v>1043</v>
      </c>
      <c r="F3701" s="4">
        <v>23622</v>
      </c>
      <c r="G3701" s="4" t="s">
        <v>7</v>
      </c>
      <c r="H3701" t="str">
        <f>IFERROR(VLOOKUP(E3701,'GASB Match'!$A$2:$B$240,2,FALSE),"")</f>
        <v/>
      </c>
    </row>
    <row r="3702" spans="1:8" x14ac:dyDescent="0.2">
      <c r="A3702" t="s">
        <v>7</v>
      </c>
      <c r="B3702" s="3">
        <v>2020</v>
      </c>
      <c r="C3702" t="s">
        <v>1042</v>
      </c>
      <c r="D3702" t="s">
        <v>1044</v>
      </c>
      <c r="E3702" t="s">
        <v>1043</v>
      </c>
      <c r="F3702" s="4">
        <v>34096</v>
      </c>
      <c r="G3702" s="4" t="s">
        <v>7</v>
      </c>
      <c r="H3702" t="str">
        <f>IFERROR(VLOOKUP(E3702,'GASB Match'!$A$2:$B$240,2,FALSE),"")</f>
        <v/>
      </c>
    </row>
    <row r="3703" spans="1:8" x14ac:dyDescent="0.2">
      <c r="A3703" t="s">
        <v>7</v>
      </c>
      <c r="B3703" s="3">
        <v>2021</v>
      </c>
      <c r="C3703" t="s">
        <v>1042</v>
      </c>
      <c r="D3703" t="s">
        <v>1043</v>
      </c>
      <c r="E3703" t="s">
        <v>1043</v>
      </c>
      <c r="F3703" s="4">
        <v>30741</v>
      </c>
      <c r="G3703" s="4" t="s">
        <v>7</v>
      </c>
      <c r="H3703" t="str">
        <f>IFERROR(VLOOKUP(E3703,'GASB Match'!$A$2:$B$240,2,FALSE),"")</f>
        <v/>
      </c>
    </row>
    <row r="3704" spans="1:8" x14ac:dyDescent="0.2">
      <c r="A3704" t="s">
        <v>7</v>
      </c>
      <c r="B3704" s="3">
        <v>2022</v>
      </c>
      <c r="C3704" t="s">
        <v>1042</v>
      </c>
      <c r="D3704" t="s">
        <v>1043</v>
      </c>
      <c r="E3704" t="s">
        <v>1043</v>
      </c>
      <c r="F3704" s="4">
        <v>36595</v>
      </c>
      <c r="G3704" s="4" t="s">
        <v>7</v>
      </c>
      <c r="H3704" t="str">
        <f>IFERROR(VLOOKUP(E3704,'GASB Match'!$A$2:$B$240,2,FALSE),"")</f>
        <v/>
      </c>
    </row>
    <row r="3705" spans="1:8" x14ac:dyDescent="0.2">
      <c r="A3705" t="s">
        <v>7</v>
      </c>
      <c r="B3705" s="3">
        <v>2023</v>
      </c>
      <c r="C3705" t="s">
        <v>1042</v>
      </c>
      <c r="D3705" t="s">
        <v>1043</v>
      </c>
      <c r="E3705" t="s">
        <v>1043</v>
      </c>
      <c r="F3705" s="4">
        <v>43897</v>
      </c>
      <c r="G3705" s="4" t="s">
        <v>7</v>
      </c>
      <c r="H3705" t="str">
        <f>IFERROR(VLOOKUP(E3705,'GASB Match'!$A$2:$B$240,2,FALSE),"")</f>
        <v/>
      </c>
    </row>
    <row r="3706" spans="1:8" x14ac:dyDescent="0.2">
      <c r="A3706" t="s">
        <v>7</v>
      </c>
      <c r="B3706" s="3">
        <v>2015</v>
      </c>
      <c r="C3706" t="s">
        <v>1045</v>
      </c>
      <c r="D3706" t="s">
        <v>1046</v>
      </c>
      <c r="E3706" t="s">
        <v>1046</v>
      </c>
      <c r="F3706" s="4">
        <v>1698.55</v>
      </c>
      <c r="G3706" s="4" t="s">
        <v>7</v>
      </c>
      <c r="H3706" t="str">
        <f>IFERROR(VLOOKUP(E3706,'GASB Match'!$A$2:$B$240,2,FALSE),"")</f>
        <v/>
      </c>
    </row>
    <row r="3707" spans="1:8" x14ac:dyDescent="0.2">
      <c r="A3707" t="s">
        <v>7</v>
      </c>
      <c r="B3707" s="3">
        <v>2016</v>
      </c>
      <c r="C3707" t="s">
        <v>1045</v>
      </c>
      <c r="D3707" t="s">
        <v>1046</v>
      </c>
      <c r="E3707" t="s">
        <v>1046</v>
      </c>
      <c r="F3707" s="4">
        <v>8847.36</v>
      </c>
      <c r="G3707" s="4" t="s">
        <v>7</v>
      </c>
      <c r="H3707" t="str">
        <f>IFERROR(VLOOKUP(E3707,'GASB Match'!$A$2:$B$240,2,FALSE),"")</f>
        <v/>
      </c>
    </row>
    <row r="3708" spans="1:8" x14ac:dyDescent="0.2">
      <c r="A3708" t="s">
        <v>7</v>
      </c>
      <c r="B3708" s="3">
        <v>2017</v>
      </c>
      <c r="C3708" t="s">
        <v>1045</v>
      </c>
      <c r="D3708" t="s">
        <v>1046</v>
      </c>
      <c r="E3708" t="s">
        <v>1046</v>
      </c>
      <c r="F3708" s="4">
        <v>9437</v>
      </c>
      <c r="G3708" s="4" t="s">
        <v>7</v>
      </c>
      <c r="H3708" t="str">
        <f>IFERROR(VLOOKUP(E3708,'GASB Match'!$A$2:$B$240,2,FALSE),"")</f>
        <v/>
      </c>
    </row>
    <row r="3709" spans="1:8" x14ac:dyDescent="0.2">
      <c r="A3709" t="s">
        <v>7</v>
      </c>
      <c r="B3709" s="3">
        <v>2018</v>
      </c>
      <c r="C3709" t="s">
        <v>1045</v>
      </c>
      <c r="D3709" t="s">
        <v>1046</v>
      </c>
      <c r="E3709" t="s">
        <v>1046</v>
      </c>
      <c r="F3709" s="4">
        <v>11560</v>
      </c>
      <c r="G3709" s="4" t="s">
        <v>7</v>
      </c>
      <c r="H3709" t="str">
        <f>IFERROR(VLOOKUP(E3709,'GASB Match'!$A$2:$B$240,2,FALSE),"")</f>
        <v/>
      </c>
    </row>
    <row r="3710" spans="1:8" x14ac:dyDescent="0.2">
      <c r="A3710" t="s">
        <v>7</v>
      </c>
      <c r="B3710" s="3">
        <v>2019</v>
      </c>
      <c r="C3710" t="s">
        <v>1045</v>
      </c>
      <c r="D3710" t="s">
        <v>1046</v>
      </c>
      <c r="E3710" t="s">
        <v>1046</v>
      </c>
      <c r="F3710" s="4">
        <v>14373</v>
      </c>
      <c r="G3710" s="4" t="s">
        <v>7</v>
      </c>
      <c r="H3710" t="str">
        <f>IFERROR(VLOOKUP(E3710,'GASB Match'!$A$2:$B$240,2,FALSE),"")</f>
        <v/>
      </c>
    </row>
    <row r="3711" spans="1:8" x14ac:dyDescent="0.2">
      <c r="A3711" t="s">
        <v>7</v>
      </c>
      <c r="B3711" s="3">
        <v>2020</v>
      </c>
      <c r="C3711" t="s">
        <v>1045</v>
      </c>
      <c r="D3711" t="s">
        <v>1046</v>
      </c>
      <c r="E3711" t="s">
        <v>1046</v>
      </c>
      <c r="F3711" s="4">
        <v>17499</v>
      </c>
      <c r="G3711" s="4" t="s">
        <v>7</v>
      </c>
      <c r="H3711" t="str">
        <f>IFERROR(VLOOKUP(E3711,'GASB Match'!$A$2:$B$240,2,FALSE),"")</f>
        <v/>
      </c>
    </row>
    <row r="3712" spans="1:8" x14ac:dyDescent="0.2">
      <c r="A3712" t="s">
        <v>7</v>
      </c>
      <c r="B3712" s="3">
        <v>2021</v>
      </c>
      <c r="C3712" t="s">
        <v>1045</v>
      </c>
      <c r="D3712" t="s">
        <v>1046</v>
      </c>
      <c r="E3712" t="s">
        <v>1046</v>
      </c>
      <c r="F3712" s="4">
        <v>16421</v>
      </c>
      <c r="G3712" s="4" t="s">
        <v>7</v>
      </c>
      <c r="H3712" t="str">
        <f>IFERROR(VLOOKUP(E3712,'GASB Match'!$A$2:$B$240,2,FALSE),"")</f>
        <v/>
      </c>
    </row>
    <row r="3713" spans="1:8" x14ac:dyDescent="0.2">
      <c r="A3713" t="s">
        <v>7</v>
      </c>
      <c r="B3713" s="3">
        <v>2022</v>
      </c>
      <c r="C3713" t="s">
        <v>1045</v>
      </c>
      <c r="D3713" t="s">
        <v>1046</v>
      </c>
      <c r="E3713" t="s">
        <v>1046</v>
      </c>
      <c r="F3713" s="4">
        <v>22727</v>
      </c>
      <c r="G3713" s="4" t="s">
        <v>7</v>
      </c>
      <c r="H3713" t="str">
        <f>IFERROR(VLOOKUP(E3713,'GASB Match'!$A$2:$B$240,2,FALSE),"")</f>
        <v/>
      </c>
    </row>
    <row r="3714" spans="1:8" x14ac:dyDescent="0.2">
      <c r="A3714" t="s">
        <v>7</v>
      </c>
      <c r="B3714" s="3">
        <v>2023</v>
      </c>
      <c r="C3714" t="s">
        <v>1045</v>
      </c>
      <c r="D3714" t="s">
        <v>1046</v>
      </c>
      <c r="E3714" t="s">
        <v>1046</v>
      </c>
      <c r="F3714" s="4">
        <v>19472</v>
      </c>
      <c r="G3714" s="4" t="s">
        <v>7</v>
      </c>
      <c r="H3714" t="str">
        <f>IFERROR(VLOOKUP(E3714,'GASB Match'!$A$2:$B$240,2,FALSE),"")</f>
        <v/>
      </c>
    </row>
    <row r="3715" spans="1:8" x14ac:dyDescent="0.2">
      <c r="A3715" t="s">
        <v>7</v>
      </c>
      <c r="B3715" s="3">
        <v>2017</v>
      </c>
      <c r="C3715" t="s">
        <v>1047</v>
      </c>
      <c r="D3715" t="s">
        <v>1048</v>
      </c>
      <c r="E3715" t="s">
        <v>1048</v>
      </c>
      <c r="F3715" s="4">
        <v>7307</v>
      </c>
      <c r="G3715" s="4" t="s">
        <v>7</v>
      </c>
      <c r="H3715" t="str">
        <f>IFERROR(VLOOKUP(E3715,'GASB Match'!$A$2:$B$240,2,FALSE),"")</f>
        <v/>
      </c>
    </row>
    <row r="3716" spans="1:8" x14ac:dyDescent="0.2">
      <c r="A3716" t="s">
        <v>7</v>
      </c>
      <c r="B3716" s="3">
        <v>2018</v>
      </c>
      <c r="C3716" t="s">
        <v>1047</v>
      </c>
      <c r="D3716" t="s">
        <v>1048</v>
      </c>
      <c r="E3716" t="s">
        <v>1048</v>
      </c>
      <c r="F3716" s="4">
        <v>9967</v>
      </c>
      <c r="G3716" s="4" t="s">
        <v>7</v>
      </c>
      <c r="H3716" t="str">
        <f>IFERROR(VLOOKUP(E3716,'GASB Match'!$A$2:$B$240,2,FALSE),"")</f>
        <v/>
      </c>
    </row>
    <row r="3717" spans="1:8" x14ac:dyDescent="0.2">
      <c r="A3717" t="s">
        <v>7</v>
      </c>
      <c r="B3717" s="3">
        <v>2019</v>
      </c>
      <c r="C3717" t="s">
        <v>1047</v>
      </c>
      <c r="D3717" t="s">
        <v>1048</v>
      </c>
      <c r="E3717" t="s">
        <v>1048</v>
      </c>
      <c r="F3717" s="4">
        <v>13028</v>
      </c>
      <c r="G3717" s="4" t="s">
        <v>7</v>
      </c>
      <c r="H3717" t="str">
        <f>IFERROR(VLOOKUP(E3717,'GASB Match'!$A$2:$B$240,2,FALSE),"")</f>
        <v/>
      </c>
    </row>
    <row r="3718" spans="1:8" x14ac:dyDescent="0.2">
      <c r="A3718" t="s">
        <v>7</v>
      </c>
      <c r="B3718" s="3">
        <v>2020</v>
      </c>
      <c r="C3718" t="s">
        <v>1047</v>
      </c>
      <c r="D3718" t="s">
        <v>1048</v>
      </c>
      <c r="E3718" t="s">
        <v>1048</v>
      </c>
      <c r="F3718" s="4">
        <v>19931</v>
      </c>
      <c r="G3718" s="4" t="s">
        <v>7</v>
      </c>
      <c r="H3718" t="str">
        <f>IFERROR(VLOOKUP(E3718,'GASB Match'!$A$2:$B$240,2,FALSE),"")</f>
        <v/>
      </c>
    </row>
    <row r="3719" spans="1:8" x14ac:dyDescent="0.2">
      <c r="A3719" t="s">
        <v>7</v>
      </c>
      <c r="B3719" s="3">
        <v>2021</v>
      </c>
      <c r="C3719" t="s">
        <v>1047</v>
      </c>
      <c r="D3719" t="s">
        <v>1048</v>
      </c>
      <c r="E3719" t="s">
        <v>1048</v>
      </c>
      <c r="F3719" s="4">
        <v>10887</v>
      </c>
      <c r="G3719" s="4" t="s">
        <v>7</v>
      </c>
      <c r="H3719" t="str">
        <f>IFERROR(VLOOKUP(E3719,'GASB Match'!$A$2:$B$240,2,FALSE),"")</f>
        <v/>
      </c>
    </row>
    <row r="3720" spans="1:8" x14ac:dyDescent="0.2">
      <c r="A3720" t="s">
        <v>7</v>
      </c>
      <c r="B3720" s="3">
        <v>2022</v>
      </c>
      <c r="C3720" t="s">
        <v>1047</v>
      </c>
      <c r="D3720" t="s">
        <v>1048</v>
      </c>
      <c r="E3720" t="s">
        <v>1048</v>
      </c>
      <c r="F3720" s="4">
        <v>12306</v>
      </c>
      <c r="G3720" s="4" t="s">
        <v>7</v>
      </c>
      <c r="H3720" t="str">
        <f>IFERROR(VLOOKUP(E3720,'GASB Match'!$A$2:$B$240,2,FALSE),"")</f>
        <v/>
      </c>
    </row>
    <row r="3721" spans="1:8" x14ac:dyDescent="0.2">
      <c r="A3721" t="s">
        <v>7</v>
      </c>
      <c r="B3721" s="3">
        <v>2023</v>
      </c>
      <c r="C3721" t="s">
        <v>1047</v>
      </c>
      <c r="D3721" t="s">
        <v>1048</v>
      </c>
      <c r="E3721" t="s">
        <v>1048</v>
      </c>
      <c r="F3721" s="4">
        <v>21795</v>
      </c>
      <c r="G3721" s="4" t="s">
        <v>7</v>
      </c>
      <c r="H3721" t="str">
        <f>IFERROR(VLOOKUP(E3721,'GASB Match'!$A$2:$B$240,2,FALSE),"")</f>
        <v/>
      </c>
    </row>
    <row r="3722" spans="1:8" x14ac:dyDescent="0.2">
      <c r="A3722" t="s">
        <v>7</v>
      </c>
      <c r="B3722" s="3">
        <v>2017</v>
      </c>
      <c r="C3722" t="s">
        <v>1049</v>
      </c>
      <c r="D3722" t="s">
        <v>1050</v>
      </c>
      <c r="E3722" t="s">
        <v>1050</v>
      </c>
      <c r="F3722" s="4">
        <v>12474</v>
      </c>
      <c r="G3722" s="4" t="s">
        <v>7</v>
      </c>
      <c r="H3722" t="str">
        <f>IFERROR(VLOOKUP(E3722,'GASB Match'!$A$2:$B$240,2,FALSE),"")</f>
        <v/>
      </c>
    </row>
    <row r="3723" spans="1:8" x14ac:dyDescent="0.2">
      <c r="A3723" t="s">
        <v>7</v>
      </c>
      <c r="B3723" s="3">
        <v>2018</v>
      </c>
      <c r="C3723" t="s">
        <v>1049</v>
      </c>
      <c r="D3723" t="s">
        <v>1050</v>
      </c>
      <c r="E3723" t="s">
        <v>1050</v>
      </c>
      <c r="F3723" s="4">
        <v>12811</v>
      </c>
      <c r="G3723" s="4" t="s">
        <v>7</v>
      </c>
      <c r="H3723" t="str">
        <f>IFERROR(VLOOKUP(E3723,'GASB Match'!$A$2:$B$240,2,FALSE),"")</f>
        <v/>
      </c>
    </row>
    <row r="3724" spans="1:8" x14ac:dyDescent="0.2">
      <c r="A3724" t="s">
        <v>7</v>
      </c>
      <c r="B3724" s="3">
        <v>2019</v>
      </c>
      <c r="C3724" t="s">
        <v>1049</v>
      </c>
      <c r="D3724" t="s">
        <v>1050</v>
      </c>
      <c r="E3724" t="s">
        <v>1050</v>
      </c>
      <c r="F3724" s="4">
        <v>16191</v>
      </c>
      <c r="G3724" s="4" t="s">
        <v>7</v>
      </c>
      <c r="H3724" t="str">
        <f>IFERROR(VLOOKUP(E3724,'GASB Match'!$A$2:$B$240,2,FALSE),"")</f>
        <v/>
      </c>
    </row>
    <row r="3725" spans="1:8" x14ac:dyDescent="0.2">
      <c r="A3725" t="s">
        <v>7</v>
      </c>
      <c r="B3725" s="3">
        <v>2020</v>
      </c>
      <c r="C3725" t="s">
        <v>1049</v>
      </c>
      <c r="D3725" t="s">
        <v>1050</v>
      </c>
      <c r="E3725" t="s">
        <v>1050</v>
      </c>
      <c r="F3725" s="4">
        <v>18532</v>
      </c>
      <c r="G3725" s="4" t="s">
        <v>7</v>
      </c>
      <c r="H3725" t="str">
        <f>IFERROR(VLOOKUP(E3725,'GASB Match'!$A$2:$B$240,2,FALSE),"")</f>
        <v/>
      </c>
    </row>
    <row r="3726" spans="1:8" x14ac:dyDescent="0.2">
      <c r="A3726" t="s">
        <v>7</v>
      </c>
      <c r="B3726" s="3">
        <v>2021</v>
      </c>
      <c r="C3726" t="s">
        <v>1049</v>
      </c>
      <c r="D3726" t="s">
        <v>1050</v>
      </c>
      <c r="E3726" t="s">
        <v>1050</v>
      </c>
      <c r="F3726" s="4">
        <v>17947</v>
      </c>
      <c r="G3726" s="4" t="s">
        <v>7</v>
      </c>
      <c r="H3726" t="str">
        <f>IFERROR(VLOOKUP(E3726,'GASB Match'!$A$2:$B$240,2,FALSE),"")</f>
        <v/>
      </c>
    </row>
    <row r="3727" spans="1:8" x14ac:dyDescent="0.2">
      <c r="A3727" t="s">
        <v>7</v>
      </c>
      <c r="B3727" s="3">
        <v>2022</v>
      </c>
      <c r="C3727" t="s">
        <v>1049</v>
      </c>
      <c r="D3727" t="s">
        <v>1050</v>
      </c>
      <c r="E3727" t="s">
        <v>1050</v>
      </c>
      <c r="F3727" s="4">
        <v>14275</v>
      </c>
      <c r="G3727" s="4" t="s">
        <v>7</v>
      </c>
      <c r="H3727" t="str">
        <f>IFERROR(VLOOKUP(E3727,'GASB Match'!$A$2:$B$240,2,FALSE),"")</f>
        <v/>
      </c>
    </row>
    <row r="3728" spans="1:8" x14ac:dyDescent="0.2">
      <c r="A3728" t="s">
        <v>7</v>
      </c>
      <c r="B3728" s="3">
        <v>2023</v>
      </c>
      <c r="C3728" t="s">
        <v>1049</v>
      </c>
      <c r="D3728" t="s">
        <v>1050</v>
      </c>
      <c r="E3728" t="s">
        <v>1050</v>
      </c>
      <c r="F3728" s="4">
        <v>16456</v>
      </c>
      <c r="G3728" s="4" t="s">
        <v>7</v>
      </c>
      <c r="H3728" t="str">
        <f>IFERROR(VLOOKUP(E3728,'GASB Match'!$A$2:$B$240,2,FALSE),"")</f>
        <v/>
      </c>
    </row>
    <row r="3729" spans="1:8" x14ac:dyDescent="0.2">
      <c r="A3729" t="s">
        <v>7</v>
      </c>
      <c r="B3729" s="3">
        <v>2016</v>
      </c>
      <c r="C3729" t="s">
        <v>1051</v>
      </c>
      <c r="D3729" t="s">
        <v>1052</v>
      </c>
      <c r="E3729" t="s">
        <v>1052</v>
      </c>
      <c r="F3729" s="4">
        <v>3469.5</v>
      </c>
      <c r="G3729" s="4" t="s">
        <v>7</v>
      </c>
      <c r="H3729" t="str">
        <f>IFERROR(VLOOKUP(E3729,'GASB Match'!$A$2:$B$240,2,FALSE),"")</f>
        <v/>
      </c>
    </row>
    <row r="3730" spans="1:8" x14ac:dyDescent="0.2">
      <c r="A3730" t="s">
        <v>7</v>
      </c>
      <c r="B3730" s="3">
        <v>2017</v>
      </c>
      <c r="C3730" t="s">
        <v>1053</v>
      </c>
      <c r="D3730" t="s">
        <v>1054</v>
      </c>
      <c r="E3730" t="s">
        <v>1054</v>
      </c>
      <c r="F3730" s="4">
        <v>7420</v>
      </c>
      <c r="G3730" s="4" t="s">
        <v>7</v>
      </c>
      <c r="H3730" t="str">
        <f>IFERROR(VLOOKUP(E3730,'GASB Match'!$A$2:$B$240,2,FALSE),"")</f>
        <v/>
      </c>
    </row>
    <row r="3731" spans="1:8" x14ac:dyDescent="0.2">
      <c r="A3731" t="s">
        <v>7</v>
      </c>
      <c r="B3731" s="3">
        <v>2018</v>
      </c>
      <c r="C3731" t="s">
        <v>1053</v>
      </c>
      <c r="D3731" t="s">
        <v>1054</v>
      </c>
      <c r="E3731" t="s">
        <v>1054</v>
      </c>
      <c r="F3731" s="4">
        <v>10699</v>
      </c>
      <c r="G3731" s="4" t="s">
        <v>7</v>
      </c>
      <c r="H3731" t="str">
        <f>IFERROR(VLOOKUP(E3731,'GASB Match'!$A$2:$B$240,2,FALSE),"")</f>
        <v/>
      </c>
    </row>
    <row r="3732" spans="1:8" x14ac:dyDescent="0.2">
      <c r="A3732" t="s">
        <v>7</v>
      </c>
      <c r="B3732" s="3">
        <v>2019</v>
      </c>
      <c r="C3732" t="s">
        <v>1053</v>
      </c>
      <c r="D3732" t="s">
        <v>1054</v>
      </c>
      <c r="E3732" t="s">
        <v>1054</v>
      </c>
      <c r="F3732" s="4">
        <v>13302</v>
      </c>
      <c r="G3732" s="4" t="s">
        <v>7</v>
      </c>
      <c r="H3732" t="str">
        <f>IFERROR(VLOOKUP(E3732,'GASB Match'!$A$2:$B$240,2,FALSE),"")</f>
        <v/>
      </c>
    </row>
    <row r="3733" spans="1:8" x14ac:dyDescent="0.2">
      <c r="A3733" t="s">
        <v>7</v>
      </c>
      <c r="B3733" s="3">
        <v>2020</v>
      </c>
      <c r="C3733" t="s">
        <v>1053</v>
      </c>
      <c r="D3733" t="s">
        <v>1054</v>
      </c>
      <c r="E3733" t="s">
        <v>1054</v>
      </c>
      <c r="F3733" s="4">
        <v>13724</v>
      </c>
      <c r="G3733" s="4" t="s">
        <v>7</v>
      </c>
      <c r="H3733" t="str">
        <f>IFERROR(VLOOKUP(E3733,'GASB Match'!$A$2:$B$240,2,FALSE),"")</f>
        <v/>
      </c>
    </row>
    <row r="3734" spans="1:8" x14ac:dyDescent="0.2">
      <c r="A3734" t="s">
        <v>7</v>
      </c>
      <c r="B3734" s="3">
        <v>2021</v>
      </c>
      <c r="C3734" t="s">
        <v>1053</v>
      </c>
      <c r="D3734" t="s">
        <v>1054</v>
      </c>
      <c r="E3734" t="s">
        <v>1054</v>
      </c>
      <c r="F3734" s="4">
        <v>12374</v>
      </c>
      <c r="G3734" s="4" t="s">
        <v>7</v>
      </c>
      <c r="H3734" t="str">
        <f>IFERROR(VLOOKUP(E3734,'GASB Match'!$A$2:$B$240,2,FALSE),"")</f>
        <v/>
      </c>
    </row>
    <row r="3735" spans="1:8" x14ac:dyDescent="0.2">
      <c r="A3735" t="s">
        <v>7</v>
      </c>
      <c r="B3735" s="3">
        <v>2022</v>
      </c>
      <c r="C3735" t="s">
        <v>1053</v>
      </c>
      <c r="D3735" t="s">
        <v>1054</v>
      </c>
      <c r="E3735" t="s">
        <v>1054</v>
      </c>
      <c r="F3735" s="4">
        <v>13109</v>
      </c>
      <c r="G3735" s="4" t="s">
        <v>7</v>
      </c>
      <c r="H3735" t="str">
        <f>IFERROR(VLOOKUP(E3735,'GASB Match'!$A$2:$B$240,2,FALSE),"")</f>
        <v/>
      </c>
    </row>
    <row r="3736" spans="1:8" x14ac:dyDescent="0.2">
      <c r="A3736" t="s">
        <v>7</v>
      </c>
      <c r="B3736" s="3">
        <v>2023</v>
      </c>
      <c r="C3736" t="s">
        <v>1053</v>
      </c>
      <c r="D3736" t="s">
        <v>1054</v>
      </c>
      <c r="E3736" t="s">
        <v>1054</v>
      </c>
      <c r="F3736" s="4">
        <v>13970</v>
      </c>
      <c r="G3736" s="4" t="s">
        <v>7</v>
      </c>
      <c r="H3736" t="str">
        <f>IFERROR(VLOOKUP(E3736,'GASB Match'!$A$2:$B$240,2,FALSE),"")</f>
        <v/>
      </c>
    </row>
    <row r="3737" spans="1:8" x14ac:dyDescent="0.2">
      <c r="A3737" t="s">
        <v>7</v>
      </c>
      <c r="B3737" s="3">
        <v>2017</v>
      </c>
      <c r="C3737" t="s">
        <v>1055</v>
      </c>
      <c r="D3737" t="s">
        <v>1056</v>
      </c>
      <c r="E3737" t="s">
        <v>1056</v>
      </c>
      <c r="F3737" s="4">
        <v>3330</v>
      </c>
      <c r="G3737" s="4" t="s">
        <v>7</v>
      </c>
      <c r="H3737" t="str">
        <f>IFERROR(VLOOKUP(E3737,'GASB Match'!$A$2:$B$240,2,FALSE),"")</f>
        <v/>
      </c>
    </row>
    <row r="3738" spans="1:8" x14ac:dyDescent="0.2">
      <c r="A3738" t="s">
        <v>7</v>
      </c>
      <c r="B3738" s="3">
        <v>2018</v>
      </c>
      <c r="C3738" t="s">
        <v>1057</v>
      </c>
      <c r="D3738" t="s">
        <v>1058</v>
      </c>
      <c r="E3738" t="s">
        <v>1058</v>
      </c>
      <c r="F3738" s="4">
        <v>4047</v>
      </c>
      <c r="G3738" s="4" t="s">
        <v>7</v>
      </c>
      <c r="H3738" t="str">
        <f>IFERROR(VLOOKUP(E3738,'GASB Match'!$A$2:$B$240,2,FALSE),"")</f>
        <v/>
      </c>
    </row>
    <row r="3739" spans="1:8" x14ac:dyDescent="0.2">
      <c r="A3739" t="s">
        <v>7</v>
      </c>
      <c r="B3739" s="3">
        <v>2019</v>
      </c>
      <c r="C3739" t="s">
        <v>1057</v>
      </c>
      <c r="D3739" t="s">
        <v>1058</v>
      </c>
      <c r="E3739" t="s">
        <v>1058</v>
      </c>
      <c r="F3739" s="4">
        <v>9286</v>
      </c>
      <c r="G3739" s="4" t="s">
        <v>7</v>
      </c>
      <c r="H3739" t="str">
        <f>IFERROR(VLOOKUP(E3739,'GASB Match'!$A$2:$B$240,2,FALSE),"")</f>
        <v/>
      </c>
    </row>
    <row r="3740" spans="1:8" x14ac:dyDescent="0.2">
      <c r="A3740" t="s">
        <v>7</v>
      </c>
      <c r="B3740" s="3">
        <v>2020</v>
      </c>
      <c r="C3740" t="s">
        <v>1057</v>
      </c>
      <c r="D3740" t="s">
        <v>1058</v>
      </c>
      <c r="E3740" t="s">
        <v>1058</v>
      </c>
      <c r="F3740" s="4">
        <v>19500</v>
      </c>
      <c r="G3740" s="4" t="s">
        <v>7</v>
      </c>
      <c r="H3740" t="str">
        <f>IFERROR(VLOOKUP(E3740,'GASB Match'!$A$2:$B$240,2,FALSE),"")</f>
        <v/>
      </c>
    </row>
    <row r="3741" spans="1:8" x14ac:dyDescent="0.2">
      <c r="A3741" t="s">
        <v>7</v>
      </c>
      <c r="B3741" s="3">
        <v>2021</v>
      </c>
      <c r="C3741" t="s">
        <v>1057</v>
      </c>
      <c r="D3741" t="s">
        <v>1058</v>
      </c>
      <c r="E3741" t="s">
        <v>1058</v>
      </c>
      <c r="F3741" s="4">
        <v>20268</v>
      </c>
      <c r="G3741" s="4" t="s">
        <v>7</v>
      </c>
      <c r="H3741" t="str">
        <f>IFERROR(VLOOKUP(E3741,'GASB Match'!$A$2:$B$240,2,FALSE),"")</f>
        <v/>
      </c>
    </row>
    <row r="3742" spans="1:8" x14ac:dyDescent="0.2">
      <c r="A3742" t="s">
        <v>7</v>
      </c>
      <c r="B3742" s="3">
        <v>2022</v>
      </c>
      <c r="C3742" t="s">
        <v>1057</v>
      </c>
      <c r="D3742" t="s">
        <v>1058</v>
      </c>
      <c r="E3742" t="s">
        <v>1058</v>
      </c>
      <c r="F3742" s="4">
        <v>22888</v>
      </c>
      <c r="G3742" s="4" t="s">
        <v>7</v>
      </c>
      <c r="H3742" t="str">
        <f>IFERROR(VLOOKUP(E3742,'GASB Match'!$A$2:$B$240,2,FALSE),"")</f>
        <v/>
      </c>
    </row>
    <row r="3743" spans="1:8" x14ac:dyDescent="0.2">
      <c r="A3743" t="s">
        <v>7</v>
      </c>
      <c r="B3743" s="3">
        <v>2023</v>
      </c>
      <c r="C3743" t="s">
        <v>1057</v>
      </c>
      <c r="D3743" t="s">
        <v>1058</v>
      </c>
      <c r="E3743" t="s">
        <v>1058</v>
      </c>
      <c r="F3743" s="4">
        <v>26061</v>
      </c>
      <c r="G3743" s="4" t="s">
        <v>7</v>
      </c>
      <c r="H3743" t="str">
        <f>IFERROR(VLOOKUP(E3743,'GASB Match'!$A$2:$B$240,2,FALSE),"")</f>
        <v/>
      </c>
    </row>
    <row r="3744" spans="1:8" x14ac:dyDescent="0.2">
      <c r="A3744" t="s">
        <v>7</v>
      </c>
      <c r="B3744" s="3">
        <v>2018</v>
      </c>
      <c r="C3744" t="s">
        <v>1059</v>
      </c>
      <c r="D3744" t="s">
        <v>1060</v>
      </c>
      <c r="E3744" t="s">
        <v>1060</v>
      </c>
      <c r="F3744" s="4">
        <v>2606</v>
      </c>
      <c r="G3744" s="4" t="s">
        <v>7</v>
      </c>
      <c r="H3744" t="str">
        <f>IFERROR(VLOOKUP(E3744,'GASB Match'!$A$2:$B$240,2,FALSE),"")</f>
        <v/>
      </c>
    </row>
    <row r="3745" spans="1:8" x14ac:dyDescent="0.2">
      <c r="A3745" t="s">
        <v>7</v>
      </c>
      <c r="B3745" s="3">
        <v>2019</v>
      </c>
      <c r="C3745" t="s">
        <v>1059</v>
      </c>
      <c r="D3745" t="s">
        <v>1060</v>
      </c>
      <c r="E3745" t="s">
        <v>1060</v>
      </c>
      <c r="F3745" s="4">
        <v>13356</v>
      </c>
      <c r="G3745" s="4" t="s">
        <v>7</v>
      </c>
      <c r="H3745" t="str">
        <f>IFERROR(VLOOKUP(E3745,'GASB Match'!$A$2:$B$240,2,FALSE),"")</f>
        <v/>
      </c>
    </row>
    <row r="3746" spans="1:8" x14ac:dyDescent="0.2">
      <c r="A3746" t="s">
        <v>7</v>
      </c>
      <c r="B3746" s="3">
        <v>2022</v>
      </c>
      <c r="C3746" t="s">
        <v>1059</v>
      </c>
      <c r="D3746" t="s">
        <v>1060</v>
      </c>
      <c r="E3746" t="s">
        <v>1060</v>
      </c>
      <c r="F3746" s="4">
        <v>3285</v>
      </c>
      <c r="G3746" s="4" t="s">
        <v>7</v>
      </c>
      <c r="H3746" t="str">
        <f>IFERROR(VLOOKUP(E3746,'GASB Match'!$A$2:$B$240,2,FALSE),"")</f>
        <v/>
      </c>
    </row>
    <row r="3747" spans="1:8" x14ac:dyDescent="0.2">
      <c r="A3747" t="s">
        <v>7</v>
      </c>
      <c r="B3747" s="3">
        <v>2023</v>
      </c>
      <c r="C3747" t="s">
        <v>1059</v>
      </c>
      <c r="D3747" t="s">
        <v>1060</v>
      </c>
      <c r="E3747" t="s">
        <v>1060</v>
      </c>
      <c r="F3747" s="4">
        <v>9667</v>
      </c>
      <c r="G3747" s="4" t="s">
        <v>7</v>
      </c>
      <c r="H3747" t="str">
        <f>IFERROR(VLOOKUP(E3747,'GASB Match'!$A$2:$B$240,2,FALSE),"")</f>
        <v/>
      </c>
    </row>
    <row r="3748" spans="1:8" x14ac:dyDescent="0.2">
      <c r="A3748" t="s">
        <v>7</v>
      </c>
      <c r="B3748" s="3">
        <v>2021</v>
      </c>
      <c r="C3748" t="s">
        <v>1061</v>
      </c>
      <c r="D3748" t="s">
        <v>1062</v>
      </c>
      <c r="E3748" t="s">
        <v>1062</v>
      </c>
      <c r="F3748" s="4">
        <v>9738</v>
      </c>
      <c r="G3748" s="4" t="s">
        <v>7</v>
      </c>
      <c r="H3748" t="str">
        <f>IFERROR(VLOOKUP(E3748,'GASB Match'!$A$2:$B$240,2,FALSE),"")</f>
        <v/>
      </c>
    </row>
    <row r="3749" spans="1:8" x14ac:dyDescent="0.2">
      <c r="A3749" t="s">
        <v>7</v>
      </c>
      <c r="B3749" s="3">
        <v>2022</v>
      </c>
      <c r="C3749" t="s">
        <v>1061</v>
      </c>
      <c r="D3749" t="s">
        <v>1062</v>
      </c>
      <c r="E3749" t="s">
        <v>1062</v>
      </c>
      <c r="F3749" s="4">
        <v>19944</v>
      </c>
      <c r="G3749" s="4" t="s">
        <v>7</v>
      </c>
      <c r="H3749" t="str">
        <f>IFERROR(VLOOKUP(E3749,'GASB Match'!$A$2:$B$240,2,FALSE),"")</f>
        <v/>
      </c>
    </row>
    <row r="3750" spans="1:8" x14ac:dyDescent="0.2">
      <c r="A3750" t="s">
        <v>7</v>
      </c>
      <c r="B3750" s="3">
        <v>2023</v>
      </c>
      <c r="C3750" t="s">
        <v>1061</v>
      </c>
      <c r="D3750" t="s">
        <v>1062</v>
      </c>
      <c r="E3750" t="s">
        <v>1062</v>
      </c>
      <c r="F3750" s="4">
        <v>54586</v>
      </c>
      <c r="G3750" s="4" t="s">
        <v>7</v>
      </c>
      <c r="H3750" t="str">
        <f>IFERROR(VLOOKUP(E3750,'GASB Match'!$A$2:$B$240,2,FALSE),"")</f>
        <v/>
      </c>
    </row>
    <row r="3751" spans="1:8" x14ac:dyDescent="0.2">
      <c r="A3751" t="s">
        <v>7</v>
      </c>
      <c r="B3751" s="3">
        <v>2023</v>
      </c>
      <c r="C3751" t="s">
        <v>1063</v>
      </c>
      <c r="D3751" t="s">
        <v>1064</v>
      </c>
      <c r="E3751" t="s">
        <v>1064</v>
      </c>
      <c r="F3751" s="4">
        <v>4329</v>
      </c>
      <c r="G3751" s="4" t="s">
        <v>7</v>
      </c>
      <c r="H3751" t="str">
        <f>IFERROR(VLOOKUP(E3751,'GASB Match'!$A$2:$B$240,2,FALSE),"")</f>
        <v/>
      </c>
    </row>
    <row r="3752" spans="1:8" x14ac:dyDescent="0.2">
      <c r="A3752" t="s">
        <v>7</v>
      </c>
      <c r="B3752" s="3">
        <v>2022</v>
      </c>
      <c r="C3752" t="s">
        <v>1065</v>
      </c>
      <c r="D3752" t="s">
        <v>1066</v>
      </c>
      <c r="E3752" t="s">
        <v>1066</v>
      </c>
      <c r="F3752" s="4">
        <v>6026</v>
      </c>
      <c r="G3752" s="4" t="s">
        <v>7</v>
      </c>
      <c r="H3752" t="str">
        <f>IFERROR(VLOOKUP(E3752,'GASB Match'!$A$2:$B$240,2,FALSE),"")</f>
        <v/>
      </c>
    </row>
    <row r="3753" spans="1:8" x14ac:dyDescent="0.2">
      <c r="A3753" t="s">
        <v>7</v>
      </c>
      <c r="B3753" s="3">
        <v>2023</v>
      </c>
      <c r="C3753" t="s">
        <v>1065</v>
      </c>
      <c r="D3753" t="s">
        <v>1066</v>
      </c>
      <c r="E3753" t="s">
        <v>1066</v>
      </c>
      <c r="F3753" s="4">
        <v>11099</v>
      </c>
      <c r="G3753" s="4" t="s">
        <v>7</v>
      </c>
      <c r="H3753" t="str">
        <f>IFERROR(VLOOKUP(E3753,'GASB Match'!$A$2:$B$240,2,FALSE),"")</f>
        <v/>
      </c>
    </row>
    <row r="3754" spans="1:8" x14ac:dyDescent="0.2">
      <c r="A3754" t="s">
        <v>7</v>
      </c>
      <c r="B3754" s="3">
        <v>2022</v>
      </c>
      <c r="C3754" t="s">
        <v>1067</v>
      </c>
      <c r="D3754" t="s">
        <v>1068</v>
      </c>
      <c r="E3754" t="s">
        <v>1068</v>
      </c>
      <c r="F3754" s="4">
        <v>3516</v>
      </c>
      <c r="G3754" s="4" t="s">
        <v>7</v>
      </c>
      <c r="H3754" t="str">
        <f>IFERROR(VLOOKUP(E3754,'GASB Match'!$A$2:$B$240,2,FALSE),"")</f>
        <v/>
      </c>
    </row>
    <row r="3755" spans="1:8" x14ac:dyDescent="0.2">
      <c r="A3755" t="s">
        <v>7</v>
      </c>
      <c r="B3755" s="3">
        <v>2023</v>
      </c>
      <c r="C3755" t="s">
        <v>1067</v>
      </c>
      <c r="D3755" t="s">
        <v>1068</v>
      </c>
      <c r="E3755" t="s">
        <v>1068</v>
      </c>
      <c r="F3755" s="4">
        <v>6305</v>
      </c>
      <c r="G3755" s="4" t="s">
        <v>7</v>
      </c>
      <c r="H3755" t="str">
        <f>IFERROR(VLOOKUP(E3755,'GASB Match'!$A$2:$B$240,2,FALSE),"")</f>
        <v/>
      </c>
    </row>
    <row r="3756" spans="1:8" x14ac:dyDescent="0.2">
      <c r="A3756" t="s">
        <v>7</v>
      </c>
      <c r="B3756" s="3">
        <v>2023</v>
      </c>
      <c r="C3756" t="s">
        <v>1069</v>
      </c>
      <c r="D3756" t="s">
        <v>1070</v>
      </c>
      <c r="E3756" t="s">
        <v>1070</v>
      </c>
      <c r="F3756" s="4">
        <v>4683</v>
      </c>
      <c r="G3756" s="4" t="s">
        <v>7</v>
      </c>
      <c r="H3756" t="str">
        <f>IFERROR(VLOOKUP(E3756,'GASB Match'!$A$2:$B$240,2,FALSE),"")</f>
        <v/>
      </c>
    </row>
    <row r="3757" spans="1:8" x14ac:dyDescent="0.2">
      <c r="A3757" t="s">
        <v>7</v>
      </c>
      <c r="B3757" s="3">
        <v>2015</v>
      </c>
      <c r="C3757" t="s">
        <v>1071</v>
      </c>
      <c r="D3757" t="s">
        <v>1073</v>
      </c>
      <c r="E3757" t="s">
        <v>1072</v>
      </c>
      <c r="F3757" s="4">
        <v>17176.12</v>
      </c>
      <c r="G3757" s="4" t="s">
        <v>7</v>
      </c>
      <c r="H3757" t="str">
        <f>IFERROR(VLOOKUP(E3757,'GASB Match'!$A$2:$B$240,2,FALSE),"")</f>
        <v/>
      </c>
    </row>
    <row r="3758" spans="1:8" x14ac:dyDescent="0.2">
      <c r="A3758" t="s">
        <v>7</v>
      </c>
      <c r="B3758" s="3">
        <v>2016</v>
      </c>
      <c r="C3758" t="s">
        <v>1071</v>
      </c>
      <c r="D3758" t="s">
        <v>1073</v>
      </c>
      <c r="E3758" t="s">
        <v>1072</v>
      </c>
      <c r="F3758" s="4">
        <v>18833.79</v>
      </c>
      <c r="G3758" s="4" t="s">
        <v>7</v>
      </c>
      <c r="H3758" t="str">
        <f>IFERROR(VLOOKUP(E3758,'GASB Match'!$A$2:$B$240,2,FALSE),"")</f>
        <v/>
      </c>
    </row>
    <row r="3759" spans="1:8" x14ac:dyDescent="0.2">
      <c r="A3759" t="s">
        <v>7</v>
      </c>
      <c r="B3759" s="3">
        <v>2017</v>
      </c>
      <c r="C3759" t="s">
        <v>1071</v>
      </c>
      <c r="D3759" t="s">
        <v>1073</v>
      </c>
      <c r="E3759" t="s">
        <v>1072</v>
      </c>
      <c r="F3759" s="4">
        <v>17929</v>
      </c>
      <c r="G3759" s="4" t="s">
        <v>7</v>
      </c>
      <c r="H3759" t="str">
        <f>IFERROR(VLOOKUP(E3759,'GASB Match'!$A$2:$B$240,2,FALSE),"")</f>
        <v/>
      </c>
    </row>
    <row r="3760" spans="1:8" x14ac:dyDescent="0.2">
      <c r="A3760" t="s">
        <v>7</v>
      </c>
      <c r="B3760" s="3">
        <v>2018</v>
      </c>
      <c r="C3760" t="s">
        <v>1071</v>
      </c>
      <c r="D3760" t="s">
        <v>1073</v>
      </c>
      <c r="E3760" t="s">
        <v>1072</v>
      </c>
      <c r="F3760" s="4">
        <v>14404</v>
      </c>
      <c r="G3760" s="4" t="s">
        <v>7</v>
      </c>
      <c r="H3760" t="str">
        <f>IFERROR(VLOOKUP(E3760,'GASB Match'!$A$2:$B$240,2,FALSE),"")</f>
        <v/>
      </c>
    </row>
    <row r="3761" spans="1:8" x14ac:dyDescent="0.2">
      <c r="A3761" t="s">
        <v>7</v>
      </c>
      <c r="B3761" s="3">
        <v>2019</v>
      </c>
      <c r="C3761" t="s">
        <v>1071</v>
      </c>
      <c r="D3761" t="s">
        <v>1073</v>
      </c>
      <c r="E3761" t="s">
        <v>1072</v>
      </c>
      <c r="F3761" s="4">
        <v>23839</v>
      </c>
      <c r="G3761" s="4" t="s">
        <v>7</v>
      </c>
      <c r="H3761" t="str">
        <f>IFERROR(VLOOKUP(E3761,'GASB Match'!$A$2:$B$240,2,FALSE),"")</f>
        <v/>
      </c>
    </row>
    <row r="3762" spans="1:8" x14ac:dyDescent="0.2">
      <c r="A3762" t="s">
        <v>7</v>
      </c>
      <c r="B3762" s="3">
        <v>2020</v>
      </c>
      <c r="C3762" t="s">
        <v>1071</v>
      </c>
      <c r="D3762" t="s">
        <v>1073</v>
      </c>
      <c r="E3762" t="s">
        <v>1072</v>
      </c>
      <c r="F3762" s="4">
        <v>16588</v>
      </c>
      <c r="G3762" s="4" t="s">
        <v>7</v>
      </c>
      <c r="H3762" t="str">
        <f>IFERROR(VLOOKUP(E3762,'GASB Match'!$A$2:$B$240,2,FALSE),"")</f>
        <v/>
      </c>
    </row>
    <row r="3763" spans="1:8" x14ac:dyDescent="0.2">
      <c r="A3763" t="s">
        <v>7</v>
      </c>
      <c r="B3763" s="3">
        <v>2021</v>
      </c>
      <c r="C3763" t="s">
        <v>1071</v>
      </c>
      <c r="D3763" t="s">
        <v>1073</v>
      </c>
      <c r="E3763" t="s">
        <v>1072</v>
      </c>
      <c r="F3763" s="4">
        <v>24105</v>
      </c>
      <c r="G3763" s="4" t="s">
        <v>7</v>
      </c>
      <c r="H3763" t="str">
        <f>IFERROR(VLOOKUP(E3763,'GASB Match'!$A$2:$B$240,2,FALSE),"")</f>
        <v/>
      </c>
    </row>
    <row r="3764" spans="1:8" x14ac:dyDescent="0.2">
      <c r="A3764" t="s">
        <v>7</v>
      </c>
      <c r="B3764" s="3">
        <v>2022</v>
      </c>
      <c r="C3764" t="s">
        <v>1071</v>
      </c>
      <c r="D3764" t="s">
        <v>1072</v>
      </c>
      <c r="E3764" t="s">
        <v>1072</v>
      </c>
      <c r="F3764" s="4">
        <v>48333</v>
      </c>
      <c r="G3764" s="4" t="s">
        <v>7</v>
      </c>
      <c r="H3764" t="str">
        <f>IFERROR(VLOOKUP(E3764,'GASB Match'!$A$2:$B$240,2,FALSE),"")</f>
        <v/>
      </c>
    </row>
    <row r="3765" spans="1:8" x14ac:dyDescent="0.2">
      <c r="A3765" t="s">
        <v>7</v>
      </c>
      <c r="B3765" s="3">
        <v>2023</v>
      </c>
      <c r="C3765" t="s">
        <v>1071</v>
      </c>
      <c r="D3765" t="s">
        <v>1072</v>
      </c>
      <c r="E3765" t="s">
        <v>1072</v>
      </c>
      <c r="F3765" s="4">
        <v>73046</v>
      </c>
      <c r="G3765" s="4" t="s">
        <v>7</v>
      </c>
      <c r="H3765" t="str">
        <f>IFERROR(VLOOKUP(E3765,'GASB Match'!$A$2:$B$240,2,FALSE),"")</f>
        <v/>
      </c>
    </row>
    <row r="3766" spans="1:8" x14ac:dyDescent="0.2">
      <c r="A3766" t="s">
        <v>7</v>
      </c>
      <c r="B3766" s="3">
        <v>2015</v>
      </c>
      <c r="C3766" t="s">
        <v>1074</v>
      </c>
      <c r="D3766" t="s">
        <v>1075</v>
      </c>
      <c r="E3766" t="s">
        <v>1075</v>
      </c>
      <c r="F3766" s="4">
        <v>655898.29</v>
      </c>
      <c r="G3766" s="4" t="s">
        <v>7</v>
      </c>
      <c r="H3766" t="str">
        <f>IFERROR(VLOOKUP(E3766,'GASB Match'!$A$2:$B$240,2,FALSE),"")</f>
        <v/>
      </c>
    </row>
    <row r="3767" spans="1:8" x14ac:dyDescent="0.2">
      <c r="A3767" t="s">
        <v>7</v>
      </c>
      <c r="B3767" s="3">
        <v>2016</v>
      </c>
      <c r="C3767" t="s">
        <v>1074</v>
      </c>
      <c r="D3767" t="s">
        <v>1075</v>
      </c>
      <c r="E3767" t="s">
        <v>1075</v>
      </c>
      <c r="F3767" s="4">
        <v>683011.56</v>
      </c>
      <c r="G3767" s="4" t="s">
        <v>7</v>
      </c>
      <c r="H3767" t="str">
        <f>IFERROR(VLOOKUP(E3767,'GASB Match'!$A$2:$B$240,2,FALSE),"")</f>
        <v/>
      </c>
    </row>
    <row r="3768" spans="1:8" x14ac:dyDescent="0.2">
      <c r="A3768" t="s">
        <v>7</v>
      </c>
      <c r="B3768" s="3">
        <v>2017</v>
      </c>
      <c r="C3768" t="s">
        <v>1074</v>
      </c>
      <c r="D3768" t="s">
        <v>1075</v>
      </c>
      <c r="E3768" t="s">
        <v>1075</v>
      </c>
      <c r="F3768" s="4">
        <v>716754</v>
      </c>
      <c r="G3768" s="4" t="s">
        <v>7</v>
      </c>
      <c r="H3768" t="str">
        <f>IFERROR(VLOOKUP(E3768,'GASB Match'!$A$2:$B$240,2,FALSE),"")</f>
        <v/>
      </c>
    </row>
    <row r="3769" spans="1:8" x14ac:dyDescent="0.2">
      <c r="A3769" t="s">
        <v>7</v>
      </c>
      <c r="B3769" s="3">
        <v>2018</v>
      </c>
      <c r="C3769" t="s">
        <v>1074</v>
      </c>
      <c r="D3769" t="s">
        <v>1075</v>
      </c>
      <c r="E3769" t="s">
        <v>1075</v>
      </c>
      <c r="F3769" s="4">
        <v>900248</v>
      </c>
      <c r="G3769" s="4" t="s">
        <v>7</v>
      </c>
      <c r="H3769" t="str">
        <f>IFERROR(VLOOKUP(E3769,'GASB Match'!$A$2:$B$240,2,FALSE),"")</f>
        <v/>
      </c>
    </row>
    <row r="3770" spans="1:8" x14ac:dyDescent="0.2">
      <c r="A3770" t="s">
        <v>7</v>
      </c>
      <c r="B3770" s="3">
        <v>2019</v>
      </c>
      <c r="C3770" t="s">
        <v>1074</v>
      </c>
      <c r="D3770" t="s">
        <v>1075</v>
      </c>
      <c r="E3770" t="s">
        <v>1075</v>
      </c>
      <c r="F3770" s="4">
        <v>1118812</v>
      </c>
      <c r="G3770" s="4" t="s">
        <v>7</v>
      </c>
      <c r="H3770" t="str">
        <f>IFERROR(VLOOKUP(E3770,'GASB Match'!$A$2:$B$240,2,FALSE),"")</f>
        <v/>
      </c>
    </row>
    <row r="3771" spans="1:8" x14ac:dyDescent="0.2">
      <c r="A3771" t="s">
        <v>7</v>
      </c>
      <c r="B3771" s="3">
        <v>2020</v>
      </c>
      <c r="C3771" t="s">
        <v>1074</v>
      </c>
      <c r="D3771" t="s">
        <v>1075</v>
      </c>
      <c r="E3771" t="s">
        <v>1075</v>
      </c>
      <c r="F3771" s="4">
        <v>1119542</v>
      </c>
      <c r="G3771" s="4" t="s">
        <v>7</v>
      </c>
      <c r="H3771" t="str">
        <f>IFERROR(VLOOKUP(E3771,'GASB Match'!$A$2:$B$240,2,FALSE),"")</f>
        <v/>
      </c>
    </row>
    <row r="3772" spans="1:8" x14ac:dyDescent="0.2">
      <c r="A3772" t="s">
        <v>7</v>
      </c>
      <c r="B3772" s="3">
        <v>2021</v>
      </c>
      <c r="C3772" t="s">
        <v>1074</v>
      </c>
      <c r="D3772" t="s">
        <v>1075</v>
      </c>
      <c r="E3772" t="s">
        <v>1075</v>
      </c>
      <c r="F3772" s="4">
        <v>894516</v>
      </c>
      <c r="G3772" s="4" t="s">
        <v>7</v>
      </c>
      <c r="H3772" t="str">
        <f>IFERROR(VLOOKUP(E3772,'GASB Match'!$A$2:$B$240,2,FALSE),"")</f>
        <v/>
      </c>
    </row>
    <row r="3773" spans="1:8" x14ac:dyDescent="0.2">
      <c r="A3773" t="s">
        <v>7</v>
      </c>
      <c r="B3773" s="3">
        <v>2022</v>
      </c>
      <c r="C3773" t="s">
        <v>1074</v>
      </c>
      <c r="D3773" t="s">
        <v>1075</v>
      </c>
      <c r="E3773" t="s">
        <v>1075</v>
      </c>
      <c r="F3773" s="4">
        <v>904179</v>
      </c>
      <c r="G3773" s="4" t="s">
        <v>7</v>
      </c>
      <c r="H3773" t="str">
        <f>IFERROR(VLOOKUP(E3773,'GASB Match'!$A$2:$B$240,2,FALSE),"")</f>
        <v/>
      </c>
    </row>
    <row r="3774" spans="1:8" x14ac:dyDescent="0.2">
      <c r="A3774" t="s">
        <v>7</v>
      </c>
      <c r="B3774" s="3">
        <v>2023</v>
      </c>
      <c r="C3774" t="s">
        <v>1074</v>
      </c>
      <c r="D3774" t="s">
        <v>1075</v>
      </c>
      <c r="E3774" t="s">
        <v>1075</v>
      </c>
      <c r="F3774" s="4">
        <v>895235</v>
      </c>
      <c r="G3774" s="4" t="s">
        <v>7</v>
      </c>
      <c r="H3774" t="str">
        <f>IFERROR(VLOOKUP(E3774,'GASB Match'!$A$2:$B$240,2,FALSE),"")</f>
        <v/>
      </c>
    </row>
    <row r="3775" spans="1:8" x14ac:dyDescent="0.2">
      <c r="A3775" t="s">
        <v>7</v>
      </c>
      <c r="B3775" s="3">
        <v>2015</v>
      </c>
      <c r="C3775" t="s">
        <v>1076</v>
      </c>
      <c r="D3775" t="s">
        <v>1077</v>
      </c>
      <c r="E3775" t="s">
        <v>1077</v>
      </c>
      <c r="F3775" s="4">
        <v>13604.74</v>
      </c>
      <c r="G3775" s="4" t="s">
        <v>7</v>
      </c>
      <c r="H3775" t="str">
        <f>IFERROR(VLOOKUP(E3775,'GASB Match'!$A$2:$B$240,2,FALSE),"")</f>
        <v/>
      </c>
    </row>
    <row r="3776" spans="1:8" x14ac:dyDescent="0.2">
      <c r="A3776" t="s">
        <v>7</v>
      </c>
      <c r="B3776" s="3">
        <v>2016</v>
      </c>
      <c r="C3776" t="s">
        <v>1076</v>
      </c>
      <c r="D3776" t="s">
        <v>1078</v>
      </c>
      <c r="E3776" t="s">
        <v>1077</v>
      </c>
      <c r="F3776" s="4">
        <v>16208.92</v>
      </c>
      <c r="G3776" s="4" t="s">
        <v>7</v>
      </c>
      <c r="H3776" t="str">
        <f>IFERROR(VLOOKUP(E3776,'GASB Match'!$A$2:$B$240,2,FALSE),"")</f>
        <v/>
      </c>
    </row>
    <row r="3777" spans="1:8" x14ac:dyDescent="0.2">
      <c r="A3777" t="s">
        <v>7</v>
      </c>
      <c r="B3777" s="3">
        <v>2017</v>
      </c>
      <c r="C3777" t="s">
        <v>1076</v>
      </c>
      <c r="D3777" t="s">
        <v>1077</v>
      </c>
      <c r="E3777" t="s">
        <v>1077</v>
      </c>
      <c r="F3777" s="4">
        <v>16127</v>
      </c>
      <c r="G3777" s="4" t="s">
        <v>7</v>
      </c>
      <c r="H3777" t="str">
        <f>IFERROR(VLOOKUP(E3777,'GASB Match'!$A$2:$B$240,2,FALSE),"")</f>
        <v/>
      </c>
    </row>
    <row r="3778" spans="1:8" x14ac:dyDescent="0.2">
      <c r="A3778" t="s">
        <v>7</v>
      </c>
      <c r="B3778" s="3">
        <v>2018</v>
      </c>
      <c r="C3778" t="s">
        <v>1076</v>
      </c>
      <c r="D3778" t="s">
        <v>1077</v>
      </c>
      <c r="E3778" t="s">
        <v>1077</v>
      </c>
      <c r="F3778" s="4">
        <v>18457</v>
      </c>
      <c r="G3778" s="4" t="s">
        <v>7</v>
      </c>
      <c r="H3778" t="str">
        <f>IFERROR(VLOOKUP(E3778,'GASB Match'!$A$2:$B$240,2,FALSE),"")</f>
        <v/>
      </c>
    </row>
    <row r="3779" spans="1:8" x14ac:dyDescent="0.2">
      <c r="A3779" t="s">
        <v>7</v>
      </c>
      <c r="B3779" s="3">
        <v>2019</v>
      </c>
      <c r="C3779" t="s">
        <v>1076</v>
      </c>
      <c r="D3779" t="s">
        <v>1077</v>
      </c>
      <c r="E3779" t="s">
        <v>1077</v>
      </c>
      <c r="F3779" s="4">
        <v>22635</v>
      </c>
      <c r="G3779" s="4" t="s">
        <v>7</v>
      </c>
      <c r="H3779" t="str">
        <f>IFERROR(VLOOKUP(E3779,'GASB Match'!$A$2:$B$240,2,FALSE),"")</f>
        <v/>
      </c>
    </row>
    <row r="3780" spans="1:8" x14ac:dyDescent="0.2">
      <c r="A3780" t="s">
        <v>7</v>
      </c>
      <c r="B3780" s="3">
        <v>2020</v>
      </c>
      <c r="C3780" t="s">
        <v>1076</v>
      </c>
      <c r="D3780" t="s">
        <v>1077</v>
      </c>
      <c r="E3780" t="s">
        <v>1077</v>
      </c>
      <c r="F3780" s="4">
        <v>23973</v>
      </c>
      <c r="G3780" s="4" t="s">
        <v>7</v>
      </c>
      <c r="H3780" t="str">
        <f>IFERROR(VLOOKUP(E3780,'GASB Match'!$A$2:$B$240,2,FALSE),"")</f>
        <v/>
      </c>
    </row>
    <row r="3781" spans="1:8" x14ac:dyDescent="0.2">
      <c r="A3781" t="s">
        <v>7</v>
      </c>
      <c r="B3781" s="3">
        <v>2021</v>
      </c>
      <c r="C3781" t="s">
        <v>1076</v>
      </c>
      <c r="D3781" t="s">
        <v>1077</v>
      </c>
      <c r="E3781" t="s">
        <v>1077</v>
      </c>
      <c r="F3781" s="4">
        <v>22110</v>
      </c>
      <c r="G3781" s="4" t="s">
        <v>7</v>
      </c>
      <c r="H3781" t="str">
        <f>IFERROR(VLOOKUP(E3781,'GASB Match'!$A$2:$B$240,2,FALSE),"")</f>
        <v/>
      </c>
    </row>
    <row r="3782" spans="1:8" x14ac:dyDescent="0.2">
      <c r="A3782" t="s">
        <v>7</v>
      </c>
      <c r="B3782" s="3">
        <v>2022</v>
      </c>
      <c r="C3782" t="s">
        <v>1076</v>
      </c>
      <c r="D3782" t="s">
        <v>1077</v>
      </c>
      <c r="E3782" t="s">
        <v>1077</v>
      </c>
      <c r="F3782" s="4">
        <v>23559</v>
      </c>
      <c r="G3782" s="4" t="s">
        <v>7</v>
      </c>
      <c r="H3782" t="str">
        <f>IFERROR(VLOOKUP(E3782,'GASB Match'!$A$2:$B$240,2,FALSE),"")</f>
        <v/>
      </c>
    </row>
    <row r="3783" spans="1:8" x14ac:dyDescent="0.2">
      <c r="A3783" t="s">
        <v>7</v>
      </c>
      <c r="B3783" s="3">
        <v>2023</v>
      </c>
      <c r="C3783" t="s">
        <v>1076</v>
      </c>
      <c r="D3783" t="s">
        <v>1077</v>
      </c>
      <c r="E3783" t="s">
        <v>1077</v>
      </c>
      <c r="F3783" s="4">
        <v>24585</v>
      </c>
      <c r="G3783" s="4" t="s">
        <v>7</v>
      </c>
      <c r="H3783" t="str">
        <f>IFERROR(VLOOKUP(E3783,'GASB Match'!$A$2:$B$240,2,FALSE),"")</f>
        <v/>
      </c>
    </row>
    <row r="3784" spans="1:8" x14ac:dyDescent="0.2">
      <c r="A3784" t="s">
        <v>7</v>
      </c>
      <c r="B3784" s="3">
        <v>2015</v>
      </c>
      <c r="C3784" t="s">
        <v>1079</v>
      </c>
      <c r="D3784" t="s">
        <v>1080</v>
      </c>
      <c r="E3784" t="s">
        <v>1080</v>
      </c>
      <c r="F3784" s="4">
        <v>119824.97</v>
      </c>
      <c r="G3784" s="4" t="s">
        <v>7</v>
      </c>
      <c r="H3784" t="str">
        <f>IFERROR(VLOOKUP(E3784,'GASB Match'!$A$2:$B$240,2,FALSE),"")</f>
        <v/>
      </c>
    </row>
    <row r="3785" spans="1:8" x14ac:dyDescent="0.2">
      <c r="A3785" t="s">
        <v>7</v>
      </c>
      <c r="B3785" s="3">
        <v>2016</v>
      </c>
      <c r="C3785" t="s">
        <v>1079</v>
      </c>
      <c r="D3785" t="s">
        <v>1080</v>
      </c>
      <c r="E3785" t="s">
        <v>1080</v>
      </c>
      <c r="F3785" s="4">
        <v>129147.24</v>
      </c>
      <c r="G3785" s="4" t="s">
        <v>7</v>
      </c>
      <c r="H3785" t="str">
        <f>IFERROR(VLOOKUP(E3785,'GASB Match'!$A$2:$B$240,2,FALSE),"")</f>
        <v/>
      </c>
    </row>
    <row r="3786" spans="1:8" x14ac:dyDescent="0.2">
      <c r="A3786" t="s">
        <v>7</v>
      </c>
      <c r="B3786" s="3">
        <v>2017</v>
      </c>
      <c r="C3786" t="s">
        <v>1079</v>
      </c>
      <c r="D3786" t="s">
        <v>1080</v>
      </c>
      <c r="E3786" t="s">
        <v>1080</v>
      </c>
      <c r="F3786" s="4">
        <v>136186</v>
      </c>
      <c r="G3786" s="4" t="s">
        <v>7</v>
      </c>
      <c r="H3786" t="str">
        <f>IFERROR(VLOOKUP(E3786,'GASB Match'!$A$2:$B$240,2,FALSE),"")</f>
        <v/>
      </c>
    </row>
    <row r="3787" spans="1:8" x14ac:dyDescent="0.2">
      <c r="A3787" t="s">
        <v>7</v>
      </c>
      <c r="B3787" s="3">
        <v>2018</v>
      </c>
      <c r="C3787" t="s">
        <v>1079</v>
      </c>
      <c r="D3787" t="s">
        <v>1080</v>
      </c>
      <c r="E3787" t="s">
        <v>1080</v>
      </c>
      <c r="F3787" s="4">
        <v>163458</v>
      </c>
      <c r="G3787" s="4" t="s">
        <v>7</v>
      </c>
      <c r="H3787" t="str">
        <f>IFERROR(VLOOKUP(E3787,'GASB Match'!$A$2:$B$240,2,FALSE),"")</f>
        <v/>
      </c>
    </row>
    <row r="3788" spans="1:8" x14ac:dyDescent="0.2">
      <c r="A3788" t="s">
        <v>7</v>
      </c>
      <c r="B3788" s="3">
        <v>2019</v>
      </c>
      <c r="C3788" t="s">
        <v>1079</v>
      </c>
      <c r="D3788" t="s">
        <v>1080</v>
      </c>
      <c r="E3788" t="s">
        <v>1080</v>
      </c>
      <c r="F3788" s="4">
        <v>204979</v>
      </c>
      <c r="G3788" s="4" t="s">
        <v>7</v>
      </c>
      <c r="H3788" t="str">
        <f>IFERROR(VLOOKUP(E3788,'GASB Match'!$A$2:$B$240,2,FALSE),"")</f>
        <v/>
      </c>
    </row>
    <row r="3789" spans="1:8" x14ac:dyDescent="0.2">
      <c r="A3789" t="s">
        <v>7</v>
      </c>
      <c r="B3789" s="3">
        <v>2020</v>
      </c>
      <c r="C3789" t="s">
        <v>1079</v>
      </c>
      <c r="D3789" t="s">
        <v>1080</v>
      </c>
      <c r="E3789" t="s">
        <v>1080</v>
      </c>
      <c r="F3789" s="4">
        <v>206584</v>
      </c>
      <c r="G3789" s="4" t="s">
        <v>7</v>
      </c>
      <c r="H3789" t="str">
        <f>IFERROR(VLOOKUP(E3789,'GASB Match'!$A$2:$B$240,2,FALSE),"")</f>
        <v/>
      </c>
    </row>
    <row r="3790" spans="1:8" x14ac:dyDescent="0.2">
      <c r="A3790" t="s">
        <v>7</v>
      </c>
      <c r="B3790" s="3">
        <v>2021</v>
      </c>
      <c r="C3790" t="s">
        <v>1079</v>
      </c>
      <c r="D3790" t="s">
        <v>1080</v>
      </c>
      <c r="E3790" t="s">
        <v>1080</v>
      </c>
      <c r="F3790" s="4">
        <v>173438</v>
      </c>
      <c r="G3790" s="4" t="s">
        <v>7</v>
      </c>
      <c r="H3790" t="str">
        <f>IFERROR(VLOOKUP(E3790,'GASB Match'!$A$2:$B$240,2,FALSE),"")</f>
        <v/>
      </c>
    </row>
    <row r="3791" spans="1:8" x14ac:dyDescent="0.2">
      <c r="A3791" t="s">
        <v>7</v>
      </c>
      <c r="B3791" s="3">
        <v>2022</v>
      </c>
      <c r="C3791" t="s">
        <v>1079</v>
      </c>
      <c r="D3791" t="s">
        <v>1080</v>
      </c>
      <c r="E3791" t="s">
        <v>1080</v>
      </c>
      <c r="F3791" s="4">
        <v>188325</v>
      </c>
      <c r="G3791" s="4" t="s">
        <v>7</v>
      </c>
      <c r="H3791" t="str">
        <f>IFERROR(VLOOKUP(E3791,'GASB Match'!$A$2:$B$240,2,FALSE),"")</f>
        <v/>
      </c>
    </row>
    <row r="3792" spans="1:8" x14ac:dyDescent="0.2">
      <c r="A3792" t="s">
        <v>7</v>
      </c>
      <c r="B3792" s="3">
        <v>2023</v>
      </c>
      <c r="C3792" t="s">
        <v>1079</v>
      </c>
      <c r="D3792" t="s">
        <v>1080</v>
      </c>
      <c r="E3792" t="s">
        <v>1080</v>
      </c>
      <c r="F3792" s="4">
        <v>219562</v>
      </c>
      <c r="G3792" s="4" t="s">
        <v>7</v>
      </c>
      <c r="H3792" t="str">
        <f>IFERROR(VLOOKUP(E3792,'GASB Match'!$A$2:$B$240,2,FALSE),"")</f>
        <v/>
      </c>
    </row>
    <row r="3793" spans="1:8" x14ac:dyDescent="0.2">
      <c r="A3793" t="s">
        <v>7</v>
      </c>
      <c r="B3793" s="3">
        <v>2015</v>
      </c>
      <c r="C3793" t="s">
        <v>1081</v>
      </c>
      <c r="D3793" t="s">
        <v>1083</v>
      </c>
      <c r="E3793" t="s">
        <v>1082</v>
      </c>
      <c r="F3793" s="4">
        <v>28379.46</v>
      </c>
      <c r="G3793" s="4" t="s">
        <v>7</v>
      </c>
      <c r="H3793" t="str">
        <f>IFERROR(VLOOKUP(E3793,'GASB Match'!$A$2:$B$240,2,FALSE),"")</f>
        <v/>
      </c>
    </row>
    <row r="3794" spans="1:8" x14ac:dyDescent="0.2">
      <c r="A3794" t="s">
        <v>7</v>
      </c>
      <c r="B3794" s="3">
        <v>2016</v>
      </c>
      <c r="C3794" t="s">
        <v>1081</v>
      </c>
      <c r="D3794" t="s">
        <v>1083</v>
      </c>
      <c r="E3794" t="s">
        <v>1082</v>
      </c>
      <c r="F3794" s="4">
        <v>39454.07</v>
      </c>
      <c r="G3794" s="4" t="s">
        <v>7</v>
      </c>
      <c r="H3794" t="str">
        <f>IFERROR(VLOOKUP(E3794,'GASB Match'!$A$2:$B$240,2,FALSE),"")</f>
        <v/>
      </c>
    </row>
    <row r="3795" spans="1:8" x14ac:dyDescent="0.2">
      <c r="A3795" t="s">
        <v>7</v>
      </c>
      <c r="B3795" s="3">
        <v>2017</v>
      </c>
      <c r="C3795" t="s">
        <v>1081</v>
      </c>
      <c r="D3795" t="s">
        <v>1083</v>
      </c>
      <c r="E3795" t="s">
        <v>1082</v>
      </c>
      <c r="F3795" s="4">
        <v>37801</v>
      </c>
      <c r="G3795" s="4" t="s">
        <v>7</v>
      </c>
      <c r="H3795" t="str">
        <f>IFERROR(VLOOKUP(E3795,'GASB Match'!$A$2:$B$240,2,FALSE),"")</f>
        <v/>
      </c>
    </row>
    <row r="3796" spans="1:8" x14ac:dyDescent="0.2">
      <c r="A3796" t="s">
        <v>7</v>
      </c>
      <c r="B3796" s="3">
        <v>2018</v>
      </c>
      <c r="C3796" t="s">
        <v>1081</v>
      </c>
      <c r="D3796" t="s">
        <v>1083</v>
      </c>
      <c r="E3796" t="s">
        <v>1082</v>
      </c>
      <c r="F3796" s="4">
        <v>43508</v>
      </c>
      <c r="G3796" s="4" t="s">
        <v>7</v>
      </c>
      <c r="H3796" t="str">
        <f>IFERROR(VLOOKUP(E3796,'GASB Match'!$A$2:$B$240,2,FALSE),"")</f>
        <v/>
      </c>
    </row>
    <row r="3797" spans="1:8" x14ac:dyDescent="0.2">
      <c r="A3797" t="s">
        <v>7</v>
      </c>
      <c r="B3797" s="3">
        <v>2019</v>
      </c>
      <c r="C3797" t="s">
        <v>1081</v>
      </c>
      <c r="D3797" t="s">
        <v>1082</v>
      </c>
      <c r="E3797" t="s">
        <v>1082</v>
      </c>
      <c r="F3797" s="4">
        <v>55425</v>
      </c>
      <c r="G3797" s="4" t="s">
        <v>7</v>
      </c>
      <c r="H3797" t="str">
        <f>IFERROR(VLOOKUP(E3797,'GASB Match'!$A$2:$B$240,2,FALSE),"")</f>
        <v/>
      </c>
    </row>
    <row r="3798" spans="1:8" x14ac:dyDescent="0.2">
      <c r="A3798" t="s">
        <v>7</v>
      </c>
      <c r="B3798" s="3">
        <v>2020</v>
      </c>
      <c r="C3798" t="s">
        <v>1081</v>
      </c>
      <c r="D3798" t="s">
        <v>1082</v>
      </c>
      <c r="E3798" t="s">
        <v>1082</v>
      </c>
      <c r="F3798" s="4">
        <v>55119</v>
      </c>
      <c r="G3798" s="4" t="s">
        <v>7</v>
      </c>
      <c r="H3798" t="str">
        <f>IFERROR(VLOOKUP(E3798,'GASB Match'!$A$2:$B$240,2,FALSE),"")</f>
        <v/>
      </c>
    </row>
    <row r="3799" spans="1:8" x14ac:dyDescent="0.2">
      <c r="A3799" t="s">
        <v>7</v>
      </c>
      <c r="B3799" s="3">
        <v>2021</v>
      </c>
      <c r="C3799" t="s">
        <v>1081</v>
      </c>
      <c r="D3799" t="s">
        <v>1082</v>
      </c>
      <c r="E3799" t="s">
        <v>1082</v>
      </c>
      <c r="F3799" s="4">
        <v>47467</v>
      </c>
      <c r="G3799" s="4" t="s">
        <v>7</v>
      </c>
      <c r="H3799" t="str">
        <f>IFERROR(VLOOKUP(E3799,'GASB Match'!$A$2:$B$240,2,FALSE),"")</f>
        <v/>
      </c>
    </row>
    <row r="3800" spans="1:8" x14ac:dyDescent="0.2">
      <c r="A3800" t="s">
        <v>7</v>
      </c>
      <c r="B3800" s="3">
        <v>2015</v>
      </c>
      <c r="C3800" t="s">
        <v>1084</v>
      </c>
      <c r="D3800" t="s">
        <v>1086</v>
      </c>
      <c r="E3800" t="s">
        <v>1085</v>
      </c>
      <c r="F3800" s="4">
        <v>3322.5</v>
      </c>
      <c r="G3800" s="4" t="s">
        <v>7</v>
      </c>
      <c r="H3800" t="str">
        <f>IFERROR(VLOOKUP(E3800,'GASB Match'!$A$2:$B$240,2,FALSE),"")</f>
        <v/>
      </c>
    </row>
    <row r="3801" spans="1:8" x14ac:dyDescent="0.2">
      <c r="A3801" t="s">
        <v>7</v>
      </c>
      <c r="B3801" s="3">
        <v>2016</v>
      </c>
      <c r="C3801" t="s">
        <v>1084</v>
      </c>
      <c r="D3801" t="s">
        <v>1086</v>
      </c>
      <c r="E3801" t="s">
        <v>1085</v>
      </c>
      <c r="F3801" s="4">
        <v>3717.65</v>
      </c>
      <c r="G3801" s="4" t="s">
        <v>7</v>
      </c>
      <c r="H3801" t="str">
        <f>IFERROR(VLOOKUP(E3801,'GASB Match'!$A$2:$B$240,2,FALSE),"")</f>
        <v/>
      </c>
    </row>
    <row r="3802" spans="1:8" x14ac:dyDescent="0.2">
      <c r="A3802" t="s">
        <v>7</v>
      </c>
      <c r="B3802" s="3">
        <v>2017</v>
      </c>
      <c r="C3802" t="s">
        <v>1084</v>
      </c>
      <c r="D3802" t="s">
        <v>1086</v>
      </c>
      <c r="E3802" t="s">
        <v>1085</v>
      </c>
      <c r="F3802" s="4">
        <v>3931</v>
      </c>
      <c r="G3802" s="4" t="s">
        <v>7</v>
      </c>
      <c r="H3802" t="str">
        <f>IFERROR(VLOOKUP(E3802,'GASB Match'!$A$2:$B$240,2,FALSE),"")</f>
        <v/>
      </c>
    </row>
    <row r="3803" spans="1:8" x14ac:dyDescent="0.2">
      <c r="A3803" t="s">
        <v>7</v>
      </c>
      <c r="B3803" s="3">
        <v>2018</v>
      </c>
      <c r="C3803" t="s">
        <v>1084</v>
      </c>
      <c r="D3803" t="s">
        <v>1086</v>
      </c>
      <c r="E3803" t="s">
        <v>1085</v>
      </c>
      <c r="F3803" s="4">
        <v>4273</v>
      </c>
      <c r="G3803" s="4" t="s">
        <v>7</v>
      </c>
      <c r="H3803" t="str">
        <f>IFERROR(VLOOKUP(E3803,'GASB Match'!$A$2:$B$240,2,FALSE),"")</f>
        <v/>
      </c>
    </row>
    <row r="3804" spans="1:8" x14ac:dyDescent="0.2">
      <c r="A3804" t="s">
        <v>7</v>
      </c>
      <c r="B3804" s="3">
        <v>2019</v>
      </c>
      <c r="C3804" t="s">
        <v>1084</v>
      </c>
      <c r="D3804" t="s">
        <v>1086</v>
      </c>
      <c r="E3804" t="s">
        <v>1085</v>
      </c>
      <c r="F3804" s="4">
        <v>7201</v>
      </c>
      <c r="G3804" s="4" t="s">
        <v>7</v>
      </c>
      <c r="H3804" t="str">
        <f>IFERROR(VLOOKUP(E3804,'GASB Match'!$A$2:$B$240,2,FALSE),"")</f>
        <v/>
      </c>
    </row>
    <row r="3805" spans="1:8" x14ac:dyDescent="0.2">
      <c r="A3805" t="s">
        <v>7</v>
      </c>
      <c r="B3805" s="3">
        <v>2020</v>
      </c>
      <c r="C3805" t="s">
        <v>1084</v>
      </c>
      <c r="D3805" t="s">
        <v>1086</v>
      </c>
      <c r="E3805" t="s">
        <v>1085</v>
      </c>
      <c r="F3805" s="4">
        <v>7401</v>
      </c>
      <c r="G3805" s="4" t="s">
        <v>7</v>
      </c>
      <c r="H3805" t="str">
        <f>IFERROR(VLOOKUP(E3805,'GASB Match'!$A$2:$B$240,2,FALSE),"")</f>
        <v/>
      </c>
    </row>
    <row r="3806" spans="1:8" x14ac:dyDescent="0.2">
      <c r="A3806" t="s">
        <v>7</v>
      </c>
      <c r="B3806" s="3">
        <v>2021</v>
      </c>
      <c r="C3806" t="s">
        <v>1084</v>
      </c>
      <c r="D3806" t="s">
        <v>1086</v>
      </c>
      <c r="E3806" t="s">
        <v>1085</v>
      </c>
      <c r="F3806" s="4">
        <v>6754</v>
      </c>
      <c r="G3806" s="4" t="s">
        <v>7</v>
      </c>
      <c r="H3806" t="str">
        <f>IFERROR(VLOOKUP(E3806,'GASB Match'!$A$2:$B$240,2,FALSE),"")</f>
        <v/>
      </c>
    </row>
    <row r="3807" spans="1:8" x14ac:dyDescent="0.2">
      <c r="A3807" t="s">
        <v>7</v>
      </c>
      <c r="B3807" s="3">
        <v>2022</v>
      </c>
      <c r="C3807" t="s">
        <v>1084</v>
      </c>
      <c r="D3807" t="s">
        <v>1085</v>
      </c>
      <c r="E3807" t="s">
        <v>1085</v>
      </c>
      <c r="F3807" s="4">
        <v>7134</v>
      </c>
      <c r="G3807" s="4" t="s">
        <v>7</v>
      </c>
      <c r="H3807" t="str">
        <f>IFERROR(VLOOKUP(E3807,'GASB Match'!$A$2:$B$240,2,FALSE),"")</f>
        <v/>
      </c>
    </row>
    <row r="3808" spans="1:8" x14ac:dyDescent="0.2">
      <c r="A3808" t="s">
        <v>7</v>
      </c>
      <c r="B3808" s="3">
        <v>2023</v>
      </c>
      <c r="C3808" t="s">
        <v>1084</v>
      </c>
      <c r="D3808" t="s">
        <v>1085</v>
      </c>
      <c r="E3808" t="s">
        <v>1085</v>
      </c>
      <c r="F3808" s="4">
        <v>7571</v>
      </c>
      <c r="G3808" s="4" t="s">
        <v>7</v>
      </c>
      <c r="H3808" t="str">
        <f>IFERROR(VLOOKUP(E3808,'GASB Match'!$A$2:$B$240,2,FALSE),"")</f>
        <v/>
      </c>
    </row>
    <row r="3809" spans="1:8" x14ac:dyDescent="0.2">
      <c r="A3809" t="s">
        <v>7</v>
      </c>
      <c r="B3809" s="3">
        <v>2016</v>
      </c>
      <c r="C3809" t="s">
        <v>1087</v>
      </c>
      <c r="D3809" t="s">
        <v>1088</v>
      </c>
      <c r="E3809" t="s">
        <v>1088</v>
      </c>
      <c r="F3809" s="4">
        <v>376.73</v>
      </c>
      <c r="G3809" s="4" t="s">
        <v>7</v>
      </c>
      <c r="H3809" t="str">
        <f>IFERROR(VLOOKUP(E3809,'GASB Match'!$A$2:$B$240,2,FALSE),"")</f>
        <v/>
      </c>
    </row>
    <row r="3810" spans="1:8" x14ac:dyDescent="0.2">
      <c r="A3810" t="s">
        <v>7</v>
      </c>
      <c r="B3810" s="3">
        <v>2017</v>
      </c>
      <c r="C3810" t="s">
        <v>1087</v>
      </c>
      <c r="D3810" t="s">
        <v>1088</v>
      </c>
      <c r="E3810" t="s">
        <v>1088</v>
      </c>
      <c r="F3810" s="4">
        <v>1057</v>
      </c>
      <c r="G3810" s="4" t="s">
        <v>7</v>
      </c>
      <c r="H3810" t="str">
        <f>IFERROR(VLOOKUP(E3810,'GASB Match'!$A$2:$B$240,2,FALSE),"")</f>
        <v/>
      </c>
    </row>
    <row r="3811" spans="1:8" x14ac:dyDescent="0.2">
      <c r="A3811" t="s">
        <v>7</v>
      </c>
      <c r="B3811" s="3">
        <v>2015</v>
      </c>
      <c r="C3811" t="s">
        <v>1089</v>
      </c>
      <c r="D3811" t="s">
        <v>1090</v>
      </c>
      <c r="E3811" t="s">
        <v>1090</v>
      </c>
      <c r="F3811" s="4"/>
      <c r="G3811" s="4" t="s">
        <v>7</v>
      </c>
      <c r="H3811" t="str">
        <f>IFERROR(VLOOKUP(E3811,'GASB Match'!$A$2:$B$240,2,FALSE),"")</f>
        <v/>
      </c>
    </row>
    <row r="3812" spans="1:8" x14ac:dyDescent="0.2">
      <c r="A3812" t="s">
        <v>7</v>
      </c>
      <c r="B3812" s="3">
        <v>2015</v>
      </c>
      <c r="C3812" t="s">
        <v>1091</v>
      </c>
      <c r="D3812" t="s">
        <v>1092</v>
      </c>
      <c r="E3812" t="s">
        <v>1092</v>
      </c>
      <c r="F3812" s="4">
        <v>11665.35</v>
      </c>
      <c r="G3812" s="4" t="s">
        <v>7</v>
      </c>
      <c r="H3812" t="str">
        <f>IFERROR(VLOOKUP(E3812,'GASB Match'!$A$2:$B$240,2,FALSE),"")</f>
        <v/>
      </c>
    </row>
    <row r="3813" spans="1:8" x14ac:dyDescent="0.2">
      <c r="A3813">
        <v>1300231</v>
      </c>
      <c r="B3813" s="3">
        <v>2015</v>
      </c>
      <c r="C3813" t="s">
        <v>1093</v>
      </c>
      <c r="D3813" t="s">
        <v>1094</v>
      </c>
      <c r="E3813" t="s">
        <v>1094</v>
      </c>
      <c r="F3813" s="4">
        <v>291728.03999999998</v>
      </c>
      <c r="G3813" s="4" t="s">
        <v>7</v>
      </c>
      <c r="H3813">
        <f>IFERROR(VLOOKUP(E3813,'GASB Match'!$A$2:$B$240,2,FALSE),"")</f>
        <v>1300231</v>
      </c>
    </row>
    <row r="3814" spans="1:8" x14ac:dyDescent="0.2">
      <c r="A3814" t="s">
        <v>7</v>
      </c>
      <c r="B3814" s="3">
        <v>2015</v>
      </c>
      <c r="C3814" t="s">
        <v>1095</v>
      </c>
      <c r="D3814" t="s">
        <v>1096</v>
      </c>
      <c r="E3814" t="s">
        <v>1096</v>
      </c>
      <c r="F3814" s="4">
        <v>1086053.6000000001</v>
      </c>
      <c r="G3814" s="4" t="s">
        <v>7</v>
      </c>
      <c r="H3814" t="str">
        <f>IFERROR(VLOOKUP(E3814,'GASB Match'!$A$2:$B$240,2,FALSE),"")</f>
        <v/>
      </c>
    </row>
    <row r="3815" spans="1:8" x14ac:dyDescent="0.2">
      <c r="A3815" t="s">
        <v>7</v>
      </c>
      <c r="B3815" s="3">
        <v>2015</v>
      </c>
      <c r="C3815" t="s">
        <v>1097</v>
      </c>
      <c r="D3815" t="s">
        <v>1098</v>
      </c>
      <c r="E3815" t="s">
        <v>1098</v>
      </c>
      <c r="F3815" s="4">
        <v>479999.41</v>
      </c>
      <c r="G3815" s="4" t="s">
        <v>7</v>
      </c>
      <c r="H3815" t="str">
        <f>IFERROR(VLOOKUP(E3815,'GASB Match'!$A$2:$B$240,2,FALSE),"")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B1A8-372C-0845-A7F7-71C6BD4D5476}">
  <sheetPr>
    <tabColor rgb="FFFFFF00"/>
  </sheetPr>
  <dimension ref="A1:C3815"/>
  <sheetViews>
    <sheetView topLeftCell="A193" workbookViewId="0">
      <selection activeCell="A12" sqref="A12"/>
    </sheetView>
  </sheetViews>
  <sheetFormatPr baseColWidth="10" defaultRowHeight="16" x14ac:dyDescent="0.2"/>
  <cols>
    <col min="1" max="1" width="54.5" style="6" bestFit="1" customWidth="1"/>
    <col min="2" max="16384" width="10.83203125" style="6"/>
  </cols>
  <sheetData>
    <row r="1" spans="1:3" x14ac:dyDescent="0.2">
      <c r="A1" s="6" t="s">
        <v>1100</v>
      </c>
      <c r="B1" s="6" t="s">
        <v>1099</v>
      </c>
    </row>
    <row r="2" spans="1:3" x14ac:dyDescent="0.2">
      <c r="A2" t="s">
        <v>359</v>
      </c>
      <c r="B2" s="6">
        <v>1302820</v>
      </c>
      <c r="C2" s="6">
        <f>COUNTIF($B$2:$B$240,B2)</f>
        <v>1</v>
      </c>
    </row>
    <row r="3" spans="1:3" x14ac:dyDescent="0.2">
      <c r="A3" t="s">
        <v>363</v>
      </c>
      <c r="B3" s="6">
        <v>1302880</v>
      </c>
      <c r="C3" s="6">
        <f t="shared" ref="C3:C66" si="0">COUNTIF($B$2:$B$240,B3)</f>
        <v>1</v>
      </c>
    </row>
    <row r="4" spans="1:3" x14ac:dyDescent="0.2">
      <c r="A4" t="s">
        <v>485</v>
      </c>
      <c r="B4" s="6">
        <v>1304410</v>
      </c>
      <c r="C4" s="6">
        <f t="shared" si="0"/>
        <v>1</v>
      </c>
    </row>
    <row r="5" spans="1:3" x14ac:dyDescent="0.2">
      <c r="A5" t="s">
        <v>628</v>
      </c>
      <c r="B5" s="6">
        <v>1304440</v>
      </c>
      <c r="C5" s="6">
        <f t="shared" si="0"/>
        <v>1</v>
      </c>
    </row>
    <row r="6" spans="1:3" x14ac:dyDescent="0.2">
      <c r="A6" t="s">
        <v>546</v>
      </c>
      <c r="B6" s="6">
        <v>1300001</v>
      </c>
      <c r="C6" s="6">
        <f t="shared" si="0"/>
        <v>1</v>
      </c>
    </row>
    <row r="7" spans="1:3" x14ac:dyDescent="0.2">
      <c r="A7" t="s">
        <v>723</v>
      </c>
      <c r="B7" s="6">
        <v>1300006</v>
      </c>
      <c r="C7" s="6">
        <f t="shared" si="0"/>
        <v>1</v>
      </c>
    </row>
    <row r="8" spans="1:3" x14ac:dyDescent="0.2">
      <c r="A8" t="s">
        <v>725</v>
      </c>
      <c r="B8" s="6">
        <v>1300007</v>
      </c>
      <c r="C8" s="6">
        <f t="shared" si="0"/>
        <v>1</v>
      </c>
    </row>
    <row r="9" spans="1:3" x14ac:dyDescent="0.2">
      <c r="A9" t="s">
        <v>727</v>
      </c>
      <c r="B9" s="6">
        <v>1300008</v>
      </c>
      <c r="C9" s="6">
        <f t="shared" si="0"/>
        <v>1</v>
      </c>
    </row>
    <row r="10" spans="1:3" x14ac:dyDescent="0.2">
      <c r="A10" t="s">
        <v>729</v>
      </c>
      <c r="B10" s="6">
        <v>1300009</v>
      </c>
      <c r="C10" s="6">
        <f t="shared" si="0"/>
        <v>1</v>
      </c>
    </row>
    <row r="11" spans="1:3" x14ac:dyDescent="0.2">
      <c r="A11" t="s">
        <v>731</v>
      </c>
      <c r="B11" s="6">
        <v>1300010</v>
      </c>
      <c r="C11" s="6">
        <f t="shared" si="0"/>
        <v>1</v>
      </c>
    </row>
    <row r="12" spans="1:3" x14ac:dyDescent="0.2">
      <c r="A12" t="s">
        <v>733</v>
      </c>
      <c r="B12" s="6">
        <v>1300011</v>
      </c>
      <c r="C12" s="6">
        <f t="shared" si="0"/>
        <v>1</v>
      </c>
    </row>
    <row r="13" spans="1:3" x14ac:dyDescent="0.2">
      <c r="A13" t="s">
        <v>735</v>
      </c>
      <c r="B13" s="6">
        <v>1300012</v>
      </c>
      <c r="C13" s="6">
        <f t="shared" si="0"/>
        <v>1</v>
      </c>
    </row>
    <row r="14" spans="1:3" x14ac:dyDescent="0.2">
      <c r="A14" t="s">
        <v>737</v>
      </c>
      <c r="B14" s="6">
        <v>1300013</v>
      </c>
      <c r="C14" s="6">
        <f t="shared" si="0"/>
        <v>1</v>
      </c>
    </row>
    <row r="15" spans="1:3" x14ac:dyDescent="0.2">
      <c r="A15" t="s">
        <v>739</v>
      </c>
      <c r="B15" s="6">
        <v>1300014</v>
      </c>
      <c r="C15" s="6">
        <f t="shared" si="0"/>
        <v>1</v>
      </c>
    </row>
    <row r="16" spans="1:3" x14ac:dyDescent="0.2">
      <c r="A16" t="s">
        <v>743</v>
      </c>
      <c r="B16" s="6">
        <v>1300016</v>
      </c>
      <c r="C16" s="6">
        <f t="shared" si="0"/>
        <v>1</v>
      </c>
    </row>
    <row r="17" spans="1:3" x14ac:dyDescent="0.2">
      <c r="A17" t="s">
        <v>745</v>
      </c>
      <c r="B17" s="6">
        <v>1300017</v>
      </c>
      <c r="C17" s="6">
        <f t="shared" si="0"/>
        <v>1</v>
      </c>
    </row>
    <row r="18" spans="1:3" x14ac:dyDescent="0.2">
      <c r="A18" t="s">
        <v>749</v>
      </c>
      <c r="B18" s="6">
        <v>1300019</v>
      </c>
      <c r="C18" s="6">
        <f t="shared" si="0"/>
        <v>1</v>
      </c>
    </row>
    <row r="19" spans="1:3" x14ac:dyDescent="0.2">
      <c r="A19" t="s">
        <v>751</v>
      </c>
      <c r="B19" s="6">
        <v>1300020</v>
      </c>
      <c r="C19" s="6">
        <f t="shared" si="0"/>
        <v>1</v>
      </c>
    </row>
    <row r="20" spans="1:3" x14ac:dyDescent="0.2">
      <c r="A20" t="s">
        <v>753</v>
      </c>
      <c r="B20" s="6">
        <v>1300021</v>
      </c>
      <c r="C20" s="6">
        <f t="shared" si="0"/>
        <v>1</v>
      </c>
    </row>
    <row r="21" spans="1:3" x14ac:dyDescent="0.2">
      <c r="A21" t="s">
        <v>916</v>
      </c>
      <c r="B21" s="6">
        <v>1300023</v>
      </c>
      <c r="C21" s="6">
        <f t="shared" si="0"/>
        <v>1</v>
      </c>
    </row>
    <row r="22" spans="1:3" x14ac:dyDescent="0.2">
      <c r="A22" t="s">
        <v>45</v>
      </c>
      <c r="B22" s="6">
        <v>1300025</v>
      </c>
      <c r="C22" s="6">
        <f t="shared" si="0"/>
        <v>1</v>
      </c>
    </row>
    <row r="23" spans="1:3" x14ac:dyDescent="0.2">
      <c r="A23" t="s">
        <v>29</v>
      </c>
      <c r="B23" s="6">
        <v>1300027</v>
      </c>
      <c r="C23" s="6">
        <f t="shared" si="0"/>
        <v>1</v>
      </c>
    </row>
    <row r="24" spans="1:3" x14ac:dyDescent="0.2">
      <c r="A24" t="s">
        <v>127</v>
      </c>
      <c r="B24" s="6">
        <v>1300060</v>
      </c>
      <c r="C24" s="6">
        <f t="shared" si="0"/>
        <v>1</v>
      </c>
    </row>
    <row r="25" spans="1:3" x14ac:dyDescent="0.2">
      <c r="A25" t="s">
        <v>129</v>
      </c>
      <c r="B25" s="6">
        <v>1300090</v>
      </c>
      <c r="C25" s="6">
        <f t="shared" si="0"/>
        <v>1</v>
      </c>
    </row>
    <row r="26" spans="1:3" x14ac:dyDescent="0.2">
      <c r="A26" t="s">
        <v>598</v>
      </c>
      <c r="B26" s="6">
        <v>1300120</v>
      </c>
      <c r="C26" s="6">
        <f t="shared" si="0"/>
        <v>1</v>
      </c>
    </row>
    <row r="27" spans="1:3" x14ac:dyDescent="0.2">
      <c r="A27" t="s">
        <v>132</v>
      </c>
      <c r="B27" s="6">
        <v>1300180</v>
      </c>
      <c r="C27" s="6">
        <f t="shared" si="0"/>
        <v>1</v>
      </c>
    </row>
    <row r="28" spans="1:3" x14ac:dyDescent="0.2">
      <c r="A28" t="s">
        <v>138</v>
      </c>
      <c r="B28" s="6">
        <v>1300210</v>
      </c>
      <c r="C28" s="6">
        <f t="shared" si="0"/>
        <v>1</v>
      </c>
    </row>
    <row r="29" spans="1:3" x14ac:dyDescent="0.2">
      <c r="A29" t="s">
        <v>853</v>
      </c>
      <c r="B29" s="6">
        <v>1300214</v>
      </c>
      <c r="C29" s="6">
        <f t="shared" si="0"/>
        <v>1</v>
      </c>
    </row>
    <row r="30" spans="1:3" x14ac:dyDescent="0.2">
      <c r="A30" t="s">
        <v>914</v>
      </c>
      <c r="B30" s="6">
        <v>1300216</v>
      </c>
      <c r="C30" s="6">
        <f t="shared" si="0"/>
        <v>1</v>
      </c>
    </row>
    <row r="31" spans="1:3" x14ac:dyDescent="0.2">
      <c r="A31" t="s">
        <v>861</v>
      </c>
      <c r="B31" s="6">
        <v>1300217</v>
      </c>
      <c r="C31" s="6">
        <f t="shared" si="0"/>
        <v>1</v>
      </c>
    </row>
    <row r="32" spans="1:3" x14ac:dyDescent="0.2">
      <c r="A32" t="s">
        <v>893</v>
      </c>
      <c r="B32" s="6">
        <v>1300218</v>
      </c>
      <c r="C32" s="6">
        <f t="shared" si="0"/>
        <v>1</v>
      </c>
    </row>
    <row r="33" spans="1:3" x14ac:dyDescent="0.2">
      <c r="A33" t="s">
        <v>929</v>
      </c>
      <c r="B33" s="6">
        <v>1300221</v>
      </c>
      <c r="C33" s="6">
        <f t="shared" si="0"/>
        <v>1</v>
      </c>
    </row>
    <row r="34" spans="1:3" x14ac:dyDescent="0.2">
      <c r="A34" t="s">
        <v>831</v>
      </c>
      <c r="B34" s="6">
        <v>1300222</v>
      </c>
      <c r="C34" s="6">
        <f t="shared" si="0"/>
        <v>1</v>
      </c>
    </row>
    <row r="35" spans="1:3" x14ac:dyDescent="0.2">
      <c r="A35" t="s">
        <v>911</v>
      </c>
      <c r="B35" s="6">
        <v>1300226</v>
      </c>
      <c r="C35" s="6">
        <f t="shared" si="0"/>
        <v>1</v>
      </c>
    </row>
    <row r="36" spans="1:3" x14ac:dyDescent="0.2">
      <c r="A36" t="s">
        <v>883</v>
      </c>
      <c r="B36" s="6">
        <v>1300227</v>
      </c>
      <c r="C36" s="6">
        <f t="shared" si="0"/>
        <v>1</v>
      </c>
    </row>
    <row r="37" spans="1:3" x14ac:dyDescent="0.2">
      <c r="A37" t="s">
        <v>845</v>
      </c>
      <c r="B37" s="6">
        <v>1300228</v>
      </c>
      <c r="C37" s="6">
        <f t="shared" si="0"/>
        <v>1</v>
      </c>
    </row>
    <row r="38" spans="1:3" x14ac:dyDescent="0.2">
      <c r="A38" t="s">
        <v>907</v>
      </c>
      <c r="B38" s="6">
        <v>1300229</v>
      </c>
      <c r="C38" s="6">
        <f t="shared" si="0"/>
        <v>1</v>
      </c>
    </row>
    <row r="39" spans="1:3" x14ac:dyDescent="0.2">
      <c r="A39" t="s">
        <v>886</v>
      </c>
      <c r="B39" s="6">
        <v>1300230</v>
      </c>
      <c r="C39" s="6">
        <f t="shared" si="0"/>
        <v>1</v>
      </c>
    </row>
    <row r="40" spans="1:3" x14ac:dyDescent="0.2">
      <c r="A40" t="s">
        <v>1094</v>
      </c>
      <c r="B40" s="6">
        <v>1300231</v>
      </c>
      <c r="C40" s="6">
        <f t="shared" si="0"/>
        <v>1</v>
      </c>
    </row>
    <row r="41" spans="1:3" x14ac:dyDescent="0.2">
      <c r="A41" t="s">
        <v>764</v>
      </c>
      <c r="B41" s="6">
        <v>1300232</v>
      </c>
      <c r="C41" s="6">
        <f t="shared" si="0"/>
        <v>1</v>
      </c>
    </row>
    <row r="42" spans="1:3" x14ac:dyDescent="0.2">
      <c r="A42" t="s">
        <v>770</v>
      </c>
      <c r="B42" s="6">
        <v>1300233</v>
      </c>
      <c r="C42" s="6">
        <f t="shared" si="0"/>
        <v>1</v>
      </c>
    </row>
    <row r="43" spans="1:3" x14ac:dyDescent="0.2">
      <c r="A43" t="s">
        <v>800</v>
      </c>
      <c r="B43" s="6">
        <v>1300234</v>
      </c>
      <c r="C43" s="6">
        <f t="shared" si="0"/>
        <v>1</v>
      </c>
    </row>
    <row r="44" spans="1:3" x14ac:dyDescent="0.2">
      <c r="A44" t="s">
        <v>943</v>
      </c>
      <c r="B44" s="6">
        <v>1300235</v>
      </c>
      <c r="C44" s="6">
        <f t="shared" si="0"/>
        <v>1</v>
      </c>
    </row>
    <row r="45" spans="1:3" x14ac:dyDescent="0.2">
      <c r="A45" t="s">
        <v>802</v>
      </c>
      <c r="B45" s="6">
        <v>1300236</v>
      </c>
      <c r="C45" s="6">
        <f t="shared" si="0"/>
        <v>1</v>
      </c>
    </row>
    <row r="46" spans="1:3" x14ac:dyDescent="0.2">
      <c r="A46" t="s">
        <v>794</v>
      </c>
      <c r="B46" s="6">
        <v>1300237</v>
      </c>
      <c r="C46" s="6">
        <f t="shared" si="0"/>
        <v>1</v>
      </c>
    </row>
    <row r="47" spans="1:3" x14ac:dyDescent="0.2">
      <c r="A47" t="s">
        <v>798</v>
      </c>
      <c r="B47" s="6">
        <v>1300238</v>
      </c>
      <c r="C47" s="6">
        <f t="shared" si="0"/>
        <v>1</v>
      </c>
    </row>
    <row r="48" spans="1:3" x14ac:dyDescent="0.2">
      <c r="A48" t="s">
        <v>810</v>
      </c>
      <c r="B48" s="6">
        <v>1300239</v>
      </c>
      <c r="C48" s="6">
        <f t="shared" si="0"/>
        <v>1</v>
      </c>
    </row>
    <row r="49" spans="1:3" x14ac:dyDescent="0.2">
      <c r="A49" t="s">
        <v>143</v>
      </c>
      <c r="B49" s="6">
        <v>1300240</v>
      </c>
      <c r="C49" s="6">
        <f t="shared" si="0"/>
        <v>1</v>
      </c>
    </row>
    <row r="50" spans="1:3" x14ac:dyDescent="0.2">
      <c r="A50" t="s">
        <v>814</v>
      </c>
      <c r="B50" s="6">
        <v>1300241</v>
      </c>
      <c r="C50" s="6">
        <f t="shared" si="0"/>
        <v>1</v>
      </c>
    </row>
    <row r="51" spans="1:3" x14ac:dyDescent="0.2">
      <c r="A51" t="s">
        <v>871</v>
      </c>
      <c r="B51" s="6">
        <v>1300242</v>
      </c>
      <c r="C51" s="6">
        <f t="shared" si="0"/>
        <v>1</v>
      </c>
    </row>
    <row r="52" spans="1:3" x14ac:dyDescent="0.2">
      <c r="A52" t="s">
        <v>808</v>
      </c>
      <c r="B52" s="6">
        <v>1300243</v>
      </c>
      <c r="C52" s="6">
        <f t="shared" si="0"/>
        <v>1</v>
      </c>
    </row>
    <row r="53" spans="1:3" x14ac:dyDescent="0.2">
      <c r="A53" t="s">
        <v>952</v>
      </c>
      <c r="B53" s="6">
        <v>1300244</v>
      </c>
      <c r="C53" s="6">
        <f t="shared" si="0"/>
        <v>1</v>
      </c>
    </row>
    <row r="54" spans="1:3" x14ac:dyDescent="0.2">
      <c r="A54" t="s">
        <v>816</v>
      </c>
      <c r="B54" s="6">
        <v>1300245</v>
      </c>
      <c r="C54" s="6">
        <f t="shared" si="0"/>
        <v>1</v>
      </c>
    </row>
    <row r="55" spans="1:3" x14ac:dyDescent="0.2">
      <c r="A55" t="s">
        <v>950</v>
      </c>
      <c r="B55" s="6">
        <v>1300247</v>
      </c>
      <c r="C55" s="6">
        <f t="shared" si="0"/>
        <v>1</v>
      </c>
    </row>
    <row r="56" spans="1:3" x14ac:dyDescent="0.2">
      <c r="A56" t="s">
        <v>954</v>
      </c>
      <c r="B56" s="6">
        <v>1300248</v>
      </c>
      <c r="C56" s="6">
        <f t="shared" si="0"/>
        <v>1</v>
      </c>
    </row>
    <row r="57" spans="1:3" x14ac:dyDescent="0.2">
      <c r="A57" t="s">
        <v>839</v>
      </c>
      <c r="B57" s="6">
        <v>1300249</v>
      </c>
      <c r="C57" s="6">
        <f t="shared" si="0"/>
        <v>1</v>
      </c>
    </row>
    <row r="58" spans="1:3" x14ac:dyDescent="0.2">
      <c r="A58" t="s">
        <v>820</v>
      </c>
      <c r="B58" s="6">
        <v>1300250</v>
      </c>
      <c r="C58" s="6">
        <f t="shared" si="0"/>
        <v>1</v>
      </c>
    </row>
    <row r="59" spans="1:3" x14ac:dyDescent="0.2">
      <c r="A59" t="s">
        <v>822</v>
      </c>
      <c r="B59" s="6">
        <v>1300251</v>
      </c>
      <c r="C59" s="6">
        <f t="shared" si="0"/>
        <v>1</v>
      </c>
    </row>
    <row r="60" spans="1:3" x14ac:dyDescent="0.2">
      <c r="A60" t="s">
        <v>766</v>
      </c>
      <c r="B60" s="6">
        <v>1300252</v>
      </c>
      <c r="C60" s="6">
        <f t="shared" si="0"/>
        <v>1</v>
      </c>
    </row>
    <row r="61" spans="1:3" x14ac:dyDescent="0.2">
      <c r="A61" t="s">
        <v>901</v>
      </c>
      <c r="B61" s="6">
        <v>1300253</v>
      </c>
      <c r="C61" s="6">
        <f t="shared" si="0"/>
        <v>1</v>
      </c>
    </row>
    <row r="62" spans="1:3" x14ac:dyDescent="0.2">
      <c r="A62" t="s">
        <v>905</v>
      </c>
      <c r="B62" s="6">
        <v>1300255</v>
      </c>
      <c r="C62" s="6">
        <f t="shared" si="0"/>
        <v>1</v>
      </c>
    </row>
    <row r="63" spans="1:3" x14ac:dyDescent="0.2">
      <c r="A63" t="s">
        <v>829</v>
      </c>
      <c r="B63" s="6">
        <v>1300256</v>
      </c>
      <c r="C63" s="6">
        <f t="shared" si="0"/>
        <v>1</v>
      </c>
    </row>
    <row r="64" spans="1:3" x14ac:dyDescent="0.2">
      <c r="A64" t="s">
        <v>958</v>
      </c>
      <c r="B64" s="6">
        <v>1300257</v>
      </c>
      <c r="C64" s="6">
        <f t="shared" si="0"/>
        <v>1</v>
      </c>
    </row>
    <row r="65" spans="1:3" x14ac:dyDescent="0.2">
      <c r="A65" t="s">
        <v>875</v>
      </c>
      <c r="B65" s="6">
        <v>1300258</v>
      </c>
      <c r="C65" s="6">
        <f t="shared" si="0"/>
        <v>1</v>
      </c>
    </row>
    <row r="66" spans="1:3" x14ac:dyDescent="0.2">
      <c r="A66" t="s">
        <v>866</v>
      </c>
      <c r="B66" s="6">
        <v>1300259</v>
      </c>
      <c r="C66" s="6">
        <f t="shared" si="0"/>
        <v>1</v>
      </c>
    </row>
    <row r="67" spans="1:3" x14ac:dyDescent="0.2">
      <c r="A67" t="s">
        <v>903</v>
      </c>
      <c r="B67" s="6">
        <v>1300260</v>
      </c>
      <c r="C67" s="6">
        <f t="shared" ref="C67:C130" si="1">COUNTIF($B$2:$B$240,B67)</f>
        <v>1</v>
      </c>
    </row>
    <row r="68" spans="1:3" x14ac:dyDescent="0.2">
      <c r="A68" t="s">
        <v>956</v>
      </c>
      <c r="B68" s="6">
        <v>1300261</v>
      </c>
      <c r="C68" s="6">
        <f t="shared" si="1"/>
        <v>1</v>
      </c>
    </row>
    <row r="69" spans="1:3" x14ac:dyDescent="0.2">
      <c r="A69" t="s">
        <v>960</v>
      </c>
      <c r="B69" s="6">
        <v>1300262</v>
      </c>
      <c r="C69" s="6">
        <f t="shared" si="1"/>
        <v>1</v>
      </c>
    </row>
    <row r="70" spans="1:3" x14ac:dyDescent="0.2">
      <c r="A70" t="s">
        <v>962</v>
      </c>
      <c r="B70" s="6">
        <v>1300263</v>
      </c>
      <c r="C70" s="6">
        <f t="shared" si="1"/>
        <v>1</v>
      </c>
    </row>
    <row r="71" spans="1:3" x14ac:dyDescent="0.2">
      <c r="A71" t="s">
        <v>857</v>
      </c>
      <c r="B71" s="6">
        <v>1300264</v>
      </c>
      <c r="C71" s="6">
        <f t="shared" si="1"/>
        <v>1</v>
      </c>
    </row>
    <row r="72" spans="1:3" x14ac:dyDescent="0.2">
      <c r="A72" t="s">
        <v>151</v>
      </c>
      <c r="B72" s="6">
        <v>1300330</v>
      </c>
      <c r="C72" s="6">
        <f t="shared" si="1"/>
        <v>1</v>
      </c>
    </row>
    <row r="73" spans="1:3" x14ac:dyDescent="0.2">
      <c r="A73" t="s">
        <v>156</v>
      </c>
      <c r="B73" s="6">
        <v>1300360</v>
      </c>
      <c r="C73" s="6">
        <f t="shared" si="1"/>
        <v>1</v>
      </c>
    </row>
    <row r="74" spans="1:3" x14ac:dyDescent="0.2">
      <c r="A74" t="s">
        <v>160</v>
      </c>
      <c r="B74" s="6">
        <v>1300390</v>
      </c>
      <c r="C74" s="6">
        <f t="shared" si="1"/>
        <v>1</v>
      </c>
    </row>
    <row r="75" spans="1:3" x14ac:dyDescent="0.2">
      <c r="A75" t="s">
        <v>162</v>
      </c>
      <c r="B75" s="6">
        <v>1300420</v>
      </c>
      <c r="C75" s="6">
        <f t="shared" si="1"/>
        <v>1</v>
      </c>
    </row>
    <row r="76" spans="1:3" x14ac:dyDescent="0.2">
      <c r="A76" t="s">
        <v>166</v>
      </c>
      <c r="B76" s="6">
        <v>1300440</v>
      </c>
      <c r="C76" s="6">
        <f t="shared" si="1"/>
        <v>1</v>
      </c>
    </row>
    <row r="77" spans="1:3" x14ac:dyDescent="0.2">
      <c r="A77" t="s">
        <v>168</v>
      </c>
      <c r="B77" s="6">
        <v>1300480</v>
      </c>
      <c r="C77" s="6">
        <f t="shared" si="1"/>
        <v>1</v>
      </c>
    </row>
    <row r="78" spans="1:3" x14ac:dyDescent="0.2">
      <c r="A78" t="s">
        <v>600</v>
      </c>
      <c r="B78" s="6">
        <v>1300510</v>
      </c>
      <c r="C78" s="6">
        <f t="shared" si="1"/>
        <v>1</v>
      </c>
    </row>
    <row r="79" spans="1:3" x14ac:dyDescent="0.2">
      <c r="A79" t="s">
        <v>170</v>
      </c>
      <c r="B79" s="6">
        <v>1300540</v>
      </c>
      <c r="C79" s="6">
        <f t="shared" si="1"/>
        <v>1</v>
      </c>
    </row>
    <row r="80" spans="1:3" x14ac:dyDescent="0.2">
      <c r="A80" t="s">
        <v>174</v>
      </c>
      <c r="B80" s="6">
        <v>1300570</v>
      </c>
      <c r="C80" s="6">
        <f t="shared" si="1"/>
        <v>1</v>
      </c>
    </row>
    <row r="81" spans="1:3" x14ac:dyDescent="0.2">
      <c r="A81" t="s">
        <v>602</v>
      </c>
      <c r="B81" s="6">
        <v>1300600</v>
      </c>
      <c r="C81" s="6">
        <f t="shared" si="1"/>
        <v>1</v>
      </c>
    </row>
    <row r="82" spans="1:3" x14ac:dyDescent="0.2">
      <c r="A82" t="s">
        <v>176</v>
      </c>
      <c r="B82" s="6">
        <v>1300630</v>
      </c>
      <c r="C82" s="6">
        <f t="shared" si="1"/>
        <v>1</v>
      </c>
    </row>
    <row r="83" spans="1:3" x14ac:dyDescent="0.2">
      <c r="A83" t="s">
        <v>180</v>
      </c>
      <c r="B83" s="6">
        <v>1300660</v>
      </c>
      <c r="C83" s="6">
        <f t="shared" si="1"/>
        <v>1</v>
      </c>
    </row>
    <row r="84" spans="1:3" x14ac:dyDescent="0.2">
      <c r="A84" t="s">
        <v>182</v>
      </c>
      <c r="B84" s="6">
        <v>1300690</v>
      </c>
      <c r="C84" s="6">
        <f t="shared" si="1"/>
        <v>1</v>
      </c>
    </row>
    <row r="85" spans="1:3" x14ac:dyDescent="0.2">
      <c r="A85" t="s">
        <v>604</v>
      </c>
      <c r="B85" s="6">
        <v>1300720</v>
      </c>
      <c r="C85" s="6">
        <f t="shared" si="1"/>
        <v>1</v>
      </c>
    </row>
    <row r="86" spans="1:3" x14ac:dyDescent="0.2">
      <c r="A86" t="s">
        <v>186</v>
      </c>
      <c r="B86" s="6">
        <v>1300750</v>
      </c>
      <c r="C86" s="6">
        <f t="shared" si="1"/>
        <v>1</v>
      </c>
    </row>
    <row r="87" spans="1:3" x14ac:dyDescent="0.2">
      <c r="A87" t="s">
        <v>188</v>
      </c>
      <c r="B87" s="6">
        <v>1300780</v>
      </c>
      <c r="C87" s="6">
        <f t="shared" si="1"/>
        <v>1</v>
      </c>
    </row>
    <row r="88" spans="1:3" x14ac:dyDescent="0.2">
      <c r="A88" t="s">
        <v>192</v>
      </c>
      <c r="B88" s="6">
        <v>1300810</v>
      </c>
      <c r="C88" s="6">
        <f t="shared" si="1"/>
        <v>1</v>
      </c>
    </row>
    <row r="89" spans="1:3" x14ac:dyDescent="0.2">
      <c r="A89" t="s">
        <v>194</v>
      </c>
      <c r="B89" s="6">
        <v>1300840</v>
      </c>
      <c r="C89" s="6">
        <f t="shared" si="1"/>
        <v>1</v>
      </c>
    </row>
    <row r="90" spans="1:3" x14ac:dyDescent="0.2">
      <c r="A90" t="s">
        <v>606</v>
      </c>
      <c r="B90" s="6">
        <v>1300870</v>
      </c>
      <c r="C90" s="6">
        <f t="shared" si="1"/>
        <v>1</v>
      </c>
    </row>
    <row r="91" spans="1:3" x14ac:dyDescent="0.2">
      <c r="A91" t="s">
        <v>608</v>
      </c>
      <c r="B91" s="6">
        <v>1300900</v>
      </c>
      <c r="C91" s="6">
        <f t="shared" si="1"/>
        <v>1</v>
      </c>
    </row>
    <row r="92" spans="1:3" x14ac:dyDescent="0.2">
      <c r="A92" t="s">
        <v>199</v>
      </c>
      <c r="B92" s="6">
        <v>1300930</v>
      </c>
      <c r="C92" s="6">
        <f t="shared" si="1"/>
        <v>1</v>
      </c>
    </row>
    <row r="93" spans="1:3" x14ac:dyDescent="0.2">
      <c r="A93" t="s">
        <v>203</v>
      </c>
      <c r="B93" s="6">
        <v>1300990</v>
      </c>
      <c r="C93" s="6">
        <f t="shared" si="1"/>
        <v>1</v>
      </c>
    </row>
    <row r="94" spans="1:3" x14ac:dyDescent="0.2">
      <c r="A94" t="s">
        <v>205</v>
      </c>
      <c r="B94" s="6">
        <v>1301020</v>
      </c>
      <c r="C94" s="6">
        <f t="shared" si="1"/>
        <v>1</v>
      </c>
    </row>
    <row r="95" spans="1:3" x14ac:dyDescent="0.2">
      <c r="A95" t="s">
        <v>209</v>
      </c>
      <c r="B95" s="6">
        <v>1301050</v>
      </c>
      <c r="C95" s="6">
        <f t="shared" si="1"/>
        <v>1</v>
      </c>
    </row>
    <row r="96" spans="1:3" x14ac:dyDescent="0.2">
      <c r="A96" t="s">
        <v>211</v>
      </c>
      <c r="B96" s="6">
        <v>1301080</v>
      </c>
      <c r="C96" s="6">
        <f t="shared" si="1"/>
        <v>1</v>
      </c>
    </row>
    <row r="97" spans="1:3" x14ac:dyDescent="0.2">
      <c r="A97" t="s">
        <v>215</v>
      </c>
      <c r="B97" s="6">
        <v>1301110</v>
      </c>
      <c r="C97" s="6">
        <f t="shared" si="1"/>
        <v>1</v>
      </c>
    </row>
    <row r="98" spans="1:3" x14ac:dyDescent="0.2">
      <c r="A98" t="s">
        <v>610</v>
      </c>
      <c r="B98" s="6">
        <v>1301140</v>
      </c>
      <c r="C98" s="6">
        <f t="shared" si="1"/>
        <v>1</v>
      </c>
    </row>
    <row r="99" spans="1:3" x14ac:dyDescent="0.2">
      <c r="A99" t="s">
        <v>220</v>
      </c>
      <c r="B99" s="6">
        <v>1301170</v>
      </c>
      <c r="C99" s="6">
        <f t="shared" si="1"/>
        <v>1</v>
      </c>
    </row>
    <row r="100" spans="1:3" x14ac:dyDescent="0.2">
      <c r="A100" t="s">
        <v>225</v>
      </c>
      <c r="B100" s="6">
        <v>1301200</v>
      </c>
      <c r="C100" s="6">
        <f t="shared" si="1"/>
        <v>1</v>
      </c>
    </row>
    <row r="101" spans="1:3" x14ac:dyDescent="0.2">
      <c r="A101" t="s">
        <v>227</v>
      </c>
      <c r="B101" s="6">
        <v>1301230</v>
      </c>
      <c r="C101" s="6">
        <f t="shared" si="1"/>
        <v>1</v>
      </c>
    </row>
    <row r="102" spans="1:3" x14ac:dyDescent="0.2">
      <c r="A102" t="s">
        <v>232</v>
      </c>
      <c r="B102" s="6">
        <v>1301260</v>
      </c>
      <c r="C102" s="6">
        <f t="shared" si="1"/>
        <v>1</v>
      </c>
    </row>
    <row r="103" spans="1:3" x14ac:dyDescent="0.2">
      <c r="A103" t="s">
        <v>234</v>
      </c>
      <c r="B103" s="6">
        <v>1301290</v>
      </c>
      <c r="C103" s="6">
        <f t="shared" si="1"/>
        <v>1</v>
      </c>
    </row>
    <row r="104" spans="1:3" x14ac:dyDescent="0.2">
      <c r="A104" t="s">
        <v>239</v>
      </c>
      <c r="B104" s="6">
        <v>1301350</v>
      </c>
      <c r="C104" s="6">
        <f t="shared" si="1"/>
        <v>1</v>
      </c>
    </row>
    <row r="105" spans="1:3" x14ac:dyDescent="0.2">
      <c r="A105" t="s">
        <v>243</v>
      </c>
      <c r="B105" s="6">
        <v>1301380</v>
      </c>
      <c r="C105" s="6">
        <f t="shared" si="1"/>
        <v>1</v>
      </c>
    </row>
    <row r="106" spans="1:3" x14ac:dyDescent="0.2">
      <c r="A106" t="s">
        <v>249</v>
      </c>
      <c r="B106" s="6">
        <v>1301410</v>
      </c>
      <c r="C106" s="6">
        <f t="shared" si="1"/>
        <v>1</v>
      </c>
    </row>
    <row r="107" spans="1:3" x14ac:dyDescent="0.2">
      <c r="A107" t="s">
        <v>612</v>
      </c>
      <c r="B107" s="6">
        <v>1301440</v>
      </c>
      <c r="C107" s="6">
        <f t="shared" si="1"/>
        <v>1</v>
      </c>
    </row>
    <row r="108" spans="1:3" x14ac:dyDescent="0.2">
      <c r="A108" t="s">
        <v>251</v>
      </c>
      <c r="B108" s="6">
        <v>1301470</v>
      </c>
      <c r="C108" s="6">
        <f t="shared" si="1"/>
        <v>1</v>
      </c>
    </row>
    <row r="109" spans="1:3" x14ac:dyDescent="0.2">
      <c r="A109" t="s">
        <v>253</v>
      </c>
      <c r="B109" s="6">
        <v>1301500</v>
      </c>
      <c r="C109" s="6">
        <f t="shared" si="1"/>
        <v>1</v>
      </c>
    </row>
    <row r="110" spans="1:3" x14ac:dyDescent="0.2">
      <c r="A110" t="s">
        <v>255</v>
      </c>
      <c r="B110" s="6">
        <v>1301530</v>
      </c>
      <c r="C110" s="6">
        <f t="shared" si="1"/>
        <v>1</v>
      </c>
    </row>
    <row r="111" spans="1:3" x14ac:dyDescent="0.2">
      <c r="A111" t="s">
        <v>257</v>
      </c>
      <c r="B111" s="6">
        <v>1301560</v>
      </c>
      <c r="C111" s="6">
        <f t="shared" si="1"/>
        <v>1</v>
      </c>
    </row>
    <row r="112" spans="1:3" x14ac:dyDescent="0.2">
      <c r="A112" t="s">
        <v>259</v>
      </c>
      <c r="B112" s="6">
        <v>1301590</v>
      </c>
      <c r="C112" s="6">
        <f t="shared" si="1"/>
        <v>1</v>
      </c>
    </row>
    <row r="113" spans="1:3" x14ac:dyDescent="0.2">
      <c r="A113" t="s">
        <v>614</v>
      </c>
      <c r="B113" s="6">
        <v>1301620</v>
      </c>
      <c r="C113" s="6">
        <f t="shared" si="1"/>
        <v>1</v>
      </c>
    </row>
    <row r="114" spans="1:3" x14ac:dyDescent="0.2">
      <c r="A114" t="s">
        <v>261</v>
      </c>
      <c r="B114" s="6">
        <v>1301650</v>
      </c>
      <c r="C114" s="6">
        <f t="shared" si="1"/>
        <v>1</v>
      </c>
    </row>
    <row r="115" spans="1:3" x14ac:dyDescent="0.2">
      <c r="A115" t="s">
        <v>616</v>
      </c>
      <c r="B115" s="6">
        <v>1301680</v>
      </c>
      <c r="C115" s="6">
        <f t="shared" si="1"/>
        <v>1</v>
      </c>
    </row>
    <row r="116" spans="1:3" x14ac:dyDescent="0.2">
      <c r="A116" t="s">
        <v>263</v>
      </c>
      <c r="B116" s="6">
        <v>1301710</v>
      </c>
      <c r="C116" s="6">
        <f t="shared" si="1"/>
        <v>1</v>
      </c>
    </row>
    <row r="117" spans="1:3" x14ac:dyDescent="0.2">
      <c r="A117" t="s">
        <v>268</v>
      </c>
      <c r="B117" s="6">
        <v>1301740</v>
      </c>
      <c r="C117" s="6">
        <f t="shared" si="1"/>
        <v>1</v>
      </c>
    </row>
    <row r="118" spans="1:3" x14ac:dyDescent="0.2">
      <c r="A118" t="s">
        <v>272</v>
      </c>
      <c r="B118" s="6">
        <v>1301770</v>
      </c>
      <c r="C118" s="6">
        <f t="shared" si="1"/>
        <v>1</v>
      </c>
    </row>
    <row r="119" spans="1:3" x14ac:dyDescent="0.2">
      <c r="A119" t="s">
        <v>276</v>
      </c>
      <c r="B119" s="6">
        <v>1301800</v>
      </c>
      <c r="C119" s="6">
        <f t="shared" si="1"/>
        <v>1</v>
      </c>
    </row>
    <row r="120" spans="1:3" x14ac:dyDescent="0.2">
      <c r="A120" t="s">
        <v>278</v>
      </c>
      <c r="B120" s="6">
        <v>1301830</v>
      </c>
      <c r="C120" s="6">
        <f t="shared" si="1"/>
        <v>1</v>
      </c>
    </row>
    <row r="121" spans="1:3" x14ac:dyDescent="0.2">
      <c r="A121" t="s">
        <v>282</v>
      </c>
      <c r="B121" s="6">
        <v>1301860</v>
      </c>
      <c r="C121" s="6">
        <f t="shared" si="1"/>
        <v>1</v>
      </c>
    </row>
    <row r="122" spans="1:3" x14ac:dyDescent="0.2">
      <c r="A122" t="s">
        <v>618</v>
      </c>
      <c r="B122" s="6">
        <v>1301870</v>
      </c>
      <c r="C122" s="6">
        <f t="shared" si="1"/>
        <v>1</v>
      </c>
    </row>
    <row r="123" spans="1:3" x14ac:dyDescent="0.2">
      <c r="A123" t="s">
        <v>390</v>
      </c>
      <c r="B123" s="6">
        <v>1301890</v>
      </c>
      <c r="C123" s="6">
        <f t="shared" si="1"/>
        <v>1</v>
      </c>
    </row>
    <row r="124" spans="1:3" x14ac:dyDescent="0.2">
      <c r="A124" t="s">
        <v>284</v>
      </c>
      <c r="B124" s="6">
        <v>1301920</v>
      </c>
      <c r="C124" s="6">
        <f t="shared" si="1"/>
        <v>1</v>
      </c>
    </row>
    <row r="125" spans="1:3" x14ac:dyDescent="0.2">
      <c r="A125" t="s">
        <v>286</v>
      </c>
      <c r="B125" s="6">
        <v>1301950</v>
      </c>
      <c r="C125" s="6">
        <f t="shared" si="1"/>
        <v>1</v>
      </c>
    </row>
    <row r="126" spans="1:3" x14ac:dyDescent="0.2">
      <c r="A126" t="s">
        <v>288</v>
      </c>
      <c r="B126" s="6">
        <v>1301980</v>
      </c>
      <c r="C126" s="6">
        <f t="shared" si="1"/>
        <v>1</v>
      </c>
    </row>
    <row r="127" spans="1:3" x14ac:dyDescent="0.2">
      <c r="A127" t="s">
        <v>290</v>
      </c>
      <c r="B127" s="6">
        <v>1302010</v>
      </c>
      <c r="C127" s="6">
        <f t="shared" si="1"/>
        <v>1</v>
      </c>
    </row>
    <row r="128" spans="1:3" x14ac:dyDescent="0.2">
      <c r="A128" t="s">
        <v>294</v>
      </c>
      <c r="B128" s="6">
        <v>1302040</v>
      </c>
      <c r="C128" s="6">
        <f t="shared" si="1"/>
        <v>1</v>
      </c>
    </row>
    <row r="129" spans="1:3" x14ac:dyDescent="0.2">
      <c r="A129" t="s">
        <v>296</v>
      </c>
      <c r="B129" s="6">
        <v>1302070</v>
      </c>
      <c r="C129" s="6">
        <f t="shared" si="1"/>
        <v>1</v>
      </c>
    </row>
    <row r="130" spans="1:3" x14ac:dyDescent="0.2">
      <c r="A130" t="s">
        <v>298</v>
      </c>
      <c r="B130" s="6">
        <v>1302100</v>
      </c>
      <c r="C130" s="6">
        <f t="shared" si="1"/>
        <v>1</v>
      </c>
    </row>
    <row r="131" spans="1:3" x14ac:dyDescent="0.2">
      <c r="A131" t="s">
        <v>300</v>
      </c>
      <c r="B131" s="6">
        <v>1302130</v>
      </c>
      <c r="C131" s="6">
        <f t="shared" ref="C131:C194" si="2">COUNTIF($B$2:$B$240,B131)</f>
        <v>1</v>
      </c>
    </row>
    <row r="132" spans="1:3" x14ac:dyDescent="0.2">
      <c r="A132" t="s">
        <v>302</v>
      </c>
      <c r="B132" s="6">
        <v>1302190</v>
      </c>
      <c r="C132" s="6">
        <f t="shared" si="2"/>
        <v>1</v>
      </c>
    </row>
    <row r="133" spans="1:3" x14ac:dyDescent="0.2">
      <c r="A133" t="s">
        <v>307</v>
      </c>
      <c r="B133" s="6">
        <v>1302220</v>
      </c>
      <c r="C133" s="6">
        <f t="shared" si="2"/>
        <v>1</v>
      </c>
    </row>
    <row r="134" spans="1:3" x14ac:dyDescent="0.2">
      <c r="A134" t="s">
        <v>311</v>
      </c>
      <c r="B134" s="6">
        <v>1302250</v>
      </c>
      <c r="C134" s="6">
        <f t="shared" si="2"/>
        <v>1</v>
      </c>
    </row>
    <row r="135" spans="1:3" x14ac:dyDescent="0.2">
      <c r="A135" t="s">
        <v>313</v>
      </c>
      <c r="B135" s="6">
        <v>1302280</v>
      </c>
      <c r="C135" s="6">
        <f t="shared" si="2"/>
        <v>1</v>
      </c>
    </row>
    <row r="136" spans="1:3" x14ac:dyDescent="0.2">
      <c r="A136" t="s">
        <v>620</v>
      </c>
      <c r="B136" s="6">
        <v>1302310</v>
      </c>
      <c r="C136" s="6">
        <f t="shared" si="2"/>
        <v>1</v>
      </c>
    </row>
    <row r="137" spans="1:3" x14ac:dyDescent="0.2">
      <c r="A137" t="s">
        <v>315</v>
      </c>
      <c r="B137" s="6">
        <v>1302340</v>
      </c>
      <c r="C137" s="6">
        <f t="shared" si="2"/>
        <v>1</v>
      </c>
    </row>
    <row r="138" spans="1:3" x14ac:dyDescent="0.2">
      <c r="A138" t="s">
        <v>317</v>
      </c>
      <c r="B138" s="6">
        <v>1302370</v>
      </c>
      <c r="C138" s="6">
        <f t="shared" si="2"/>
        <v>1</v>
      </c>
    </row>
    <row r="139" spans="1:3" x14ac:dyDescent="0.2">
      <c r="A139" t="s">
        <v>319</v>
      </c>
      <c r="B139" s="6">
        <v>1302400</v>
      </c>
      <c r="C139" s="6">
        <f t="shared" si="2"/>
        <v>1</v>
      </c>
    </row>
    <row r="140" spans="1:3" x14ac:dyDescent="0.2">
      <c r="A140" t="s">
        <v>323</v>
      </c>
      <c r="B140" s="6">
        <v>1302430</v>
      </c>
      <c r="C140" s="6">
        <f t="shared" si="2"/>
        <v>1</v>
      </c>
    </row>
    <row r="141" spans="1:3" x14ac:dyDescent="0.2">
      <c r="A141" t="s">
        <v>325</v>
      </c>
      <c r="B141" s="6">
        <v>1302460</v>
      </c>
      <c r="C141" s="6">
        <f t="shared" si="2"/>
        <v>1</v>
      </c>
    </row>
    <row r="142" spans="1:3" x14ac:dyDescent="0.2">
      <c r="A142" t="s">
        <v>329</v>
      </c>
      <c r="B142" s="6">
        <v>1302490</v>
      </c>
      <c r="C142" s="6">
        <f t="shared" si="2"/>
        <v>1</v>
      </c>
    </row>
    <row r="143" spans="1:3" x14ac:dyDescent="0.2">
      <c r="A143" t="s">
        <v>499</v>
      </c>
      <c r="B143" s="6">
        <v>1302520</v>
      </c>
      <c r="C143" s="6">
        <f t="shared" si="2"/>
        <v>1</v>
      </c>
    </row>
    <row r="144" spans="1:3" x14ac:dyDescent="0.2">
      <c r="A144" t="s">
        <v>331</v>
      </c>
      <c r="B144" s="6">
        <v>1302550</v>
      </c>
      <c r="C144" s="6">
        <f t="shared" si="2"/>
        <v>1</v>
      </c>
    </row>
    <row r="145" spans="1:3" x14ac:dyDescent="0.2">
      <c r="A145" t="s">
        <v>336</v>
      </c>
      <c r="B145" s="6">
        <v>1302580</v>
      </c>
      <c r="C145" s="6">
        <f t="shared" si="2"/>
        <v>1</v>
      </c>
    </row>
    <row r="146" spans="1:3" x14ac:dyDescent="0.2">
      <c r="A146" t="s">
        <v>341</v>
      </c>
      <c r="B146" s="6">
        <v>1302610</v>
      </c>
      <c r="C146" s="6">
        <f t="shared" si="2"/>
        <v>1</v>
      </c>
    </row>
    <row r="147" spans="1:3" x14ac:dyDescent="0.2">
      <c r="A147" t="s">
        <v>347</v>
      </c>
      <c r="B147" s="6">
        <v>1302640</v>
      </c>
      <c r="C147" s="6">
        <f t="shared" si="2"/>
        <v>1</v>
      </c>
    </row>
    <row r="148" spans="1:3" x14ac:dyDescent="0.2">
      <c r="A148" t="s">
        <v>349</v>
      </c>
      <c r="B148" s="6">
        <v>1302670</v>
      </c>
      <c r="C148" s="6">
        <f t="shared" si="2"/>
        <v>1</v>
      </c>
    </row>
    <row r="149" spans="1:3" x14ac:dyDescent="0.2">
      <c r="A149" t="s">
        <v>351</v>
      </c>
      <c r="B149" s="6">
        <v>1302700</v>
      </c>
      <c r="C149" s="6">
        <f t="shared" si="2"/>
        <v>1</v>
      </c>
    </row>
    <row r="150" spans="1:3" x14ac:dyDescent="0.2">
      <c r="A150" t="s">
        <v>353</v>
      </c>
      <c r="B150" s="6">
        <v>1302730</v>
      </c>
      <c r="C150" s="6">
        <f t="shared" si="2"/>
        <v>1</v>
      </c>
    </row>
    <row r="151" spans="1:3" x14ac:dyDescent="0.2">
      <c r="A151" t="s">
        <v>357</v>
      </c>
      <c r="B151" s="6">
        <v>1302790</v>
      </c>
      <c r="C151" s="6">
        <f t="shared" si="2"/>
        <v>1</v>
      </c>
    </row>
    <row r="152" spans="1:3" x14ac:dyDescent="0.2">
      <c r="A152" t="s">
        <v>367</v>
      </c>
      <c r="B152" s="6">
        <v>1302910</v>
      </c>
      <c r="C152" s="6">
        <f t="shared" si="2"/>
        <v>1</v>
      </c>
    </row>
    <row r="153" spans="1:3" x14ac:dyDescent="0.2">
      <c r="A153" t="s">
        <v>369</v>
      </c>
      <c r="B153" s="6">
        <v>1302940</v>
      </c>
      <c r="C153" s="6">
        <f t="shared" si="2"/>
        <v>1</v>
      </c>
    </row>
    <row r="154" spans="1:3" x14ac:dyDescent="0.2">
      <c r="A154" t="s">
        <v>371</v>
      </c>
      <c r="B154" s="6">
        <v>1302970</v>
      </c>
      <c r="C154" s="6">
        <f t="shared" si="2"/>
        <v>1</v>
      </c>
    </row>
    <row r="155" spans="1:3" x14ac:dyDescent="0.2">
      <c r="A155" t="s">
        <v>373</v>
      </c>
      <c r="B155" s="6">
        <v>1303000</v>
      </c>
      <c r="C155" s="6">
        <f t="shared" si="2"/>
        <v>1</v>
      </c>
    </row>
    <row r="156" spans="1:3" x14ac:dyDescent="0.2">
      <c r="A156" t="s">
        <v>622</v>
      </c>
      <c r="B156" s="6">
        <v>1303030</v>
      </c>
      <c r="C156" s="6">
        <f t="shared" si="2"/>
        <v>1</v>
      </c>
    </row>
    <row r="157" spans="1:3" x14ac:dyDescent="0.2">
      <c r="A157" t="s">
        <v>375</v>
      </c>
      <c r="B157" s="6">
        <v>1303060</v>
      </c>
      <c r="C157" s="6">
        <f t="shared" si="2"/>
        <v>1</v>
      </c>
    </row>
    <row r="158" spans="1:3" x14ac:dyDescent="0.2">
      <c r="A158" t="s">
        <v>382</v>
      </c>
      <c r="B158" s="6">
        <v>1303120</v>
      </c>
      <c r="C158" s="6">
        <f t="shared" si="2"/>
        <v>1</v>
      </c>
    </row>
    <row r="159" spans="1:3" x14ac:dyDescent="0.2">
      <c r="A159" t="s">
        <v>384</v>
      </c>
      <c r="B159" s="6">
        <v>1303150</v>
      </c>
      <c r="C159" s="6">
        <f t="shared" si="2"/>
        <v>1</v>
      </c>
    </row>
    <row r="160" spans="1:3" x14ac:dyDescent="0.2">
      <c r="A160" t="s">
        <v>386</v>
      </c>
      <c r="B160" s="6">
        <v>1303210</v>
      </c>
      <c r="C160" s="6">
        <f t="shared" si="2"/>
        <v>1</v>
      </c>
    </row>
    <row r="161" spans="1:3" x14ac:dyDescent="0.2">
      <c r="A161" t="s">
        <v>388</v>
      </c>
      <c r="B161" s="6">
        <v>1303240</v>
      </c>
      <c r="C161" s="6">
        <f t="shared" si="2"/>
        <v>1</v>
      </c>
    </row>
    <row r="162" spans="1:3" x14ac:dyDescent="0.2">
      <c r="A162" t="s">
        <v>394</v>
      </c>
      <c r="B162" s="6">
        <v>1303270</v>
      </c>
      <c r="C162" s="6">
        <f t="shared" si="2"/>
        <v>1</v>
      </c>
    </row>
    <row r="163" spans="1:3" x14ac:dyDescent="0.2">
      <c r="A163" t="s">
        <v>398</v>
      </c>
      <c r="B163" s="6">
        <v>1303300</v>
      </c>
      <c r="C163" s="6">
        <f t="shared" si="2"/>
        <v>1</v>
      </c>
    </row>
    <row r="164" spans="1:3" x14ac:dyDescent="0.2">
      <c r="A164" t="s">
        <v>400</v>
      </c>
      <c r="B164" s="6">
        <v>1303330</v>
      </c>
      <c r="C164" s="6">
        <f t="shared" si="2"/>
        <v>1</v>
      </c>
    </row>
    <row r="165" spans="1:3" x14ac:dyDescent="0.2">
      <c r="A165" t="s">
        <v>404</v>
      </c>
      <c r="B165" s="6">
        <v>1303360</v>
      </c>
      <c r="C165" s="6">
        <f t="shared" si="2"/>
        <v>1</v>
      </c>
    </row>
    <row r="166" spans="1:3" x14ac:dyDescent="0.2">
      <c r="A166" t="s">
        <v>406</v>
      </c>
      <c r="B166" s="6">
        <v>1303390</v>
      </c>
      <c r="C166" s="6">
        <f t="shared" si="2"/>
        <v>1</v>
      </c>
    </row>
    <row r="167" spans="1:3" x14ac:dyDescent="0.2">
      <c r="A167" t="s">
        <v>411</v>
      </c>
      <c r="B167" s="6">
        <v>1303420</v>
      </c>
      <c r="C167" s="6">
        <f t="shared" si="2"/>
        <v>1</v>
      </c>
    </row>
    <row r="168" spans="1:3" x14ac:dyDescent="0.2">
      <c r="A168" t="s">
        <v>413</v>
      </c>
      <c r="B168" s="6">
        <v>1303450</v>
      </c>
      <c r="C168" s="6">
        <f t="shared" si="2"/>
        <v>1</v>
      </c>
    </row>
    <row r="169" spans="1:3" x14ac:dyDescent="0.2">
      <c r="A169" t="s">
        <v>415</v>
      </c>
      <c r="B169" s="6">
        <v>1303480</v>
      </c>
      <c r="C169" s="6">
        <f t="shared" si="2"/>
        <v>1</v>
      </c>
    </row>
    <row r="170" spans="1:3" x14ac:dyDescent="0.2">
      <c r="A170" t="s">
        <v>624</v>
      </c>
      <c r="B170" s="6">
        <v>1303510</v>
      </c>
      <c r="C170" s="6">
        <f t="shared" si="2"/>
        <v>1</v>
      </c>
    </row>
    <row r="171" spans="1:3" x14ac:dyDescent="0.2">
      <c r="A171" t="s">
        <v>417</v>
      </c>
      <c r="B171" s="6">
        <v>1303540</v>
      </c>
      <c r="C171" s="6">
        <f t="shared" si="2"/>
        <v>1</v>
      </c>
    </row>
    <row r="172" spans="1:3" x14ac:dyDescent="0.2">
      <c r="A172" t="s">
        <v>419</v>
      </c>
      <c r="B172" s="6">
        <v>1303570</v>
      </c>
      <c r="C172" s="6">
        <f t="shared" si="2"/>
        <v>1</v>
      </c>
    </row>
    <row r="173" spans="1:3" x14ac:dyDescent="0.2">
      <c r="A173" t="s">
        <v>421</v>
      </c>
      <c r="B173" s="6">
        <v>1303600</v>
      </c>
      <c r="C173" s="6">
        <f t="shared" si="2"/>
        <v>1</v>
      </c>
    </row>
    <row r="174" spans="1:3" x14ac:dyDescent="0.2">
      <c r="A174" t="s">
        <v>423</v>
      </c>
      <c r="B174" s="6">
        <v>1303630</v>
      </c>
      <c r="C174" s="6">
        <f t="shared" si="2"/>
        <v>1</v>
      </c>
    </row>
    <row r="175" spans="1:3" x14ac:dyDescent="0.2">
      <c r="A175" t="s">
        <v>427</v>
      </c>
      <c r="B175" s="6">
        <v>1303660</v>
      </c>
      <c r="C175" s="6">
        <f t="shared" si="2"/>
        <v>1</v>
      </c>
    </row>
    <row r="176" spans="1:3" x14ac:dyDescent="0.2">
      <c r="A176" t="s">
        <v>429</v>
      </c>
      <c r="B176" s="6">
        <v>1303690</v>
      </c>
      <c r="C176" s="6">
        <f t="shared" si="2"/>
        <v>1</v>
      </c>
    </row>
    <row r="177" spans="1:3" x14ac:dyDescent="0.2">
      <c r="A177" t="s">
        <v>435</v>
      </c>
      <c r="B177" s="6">
        <v>1303720</v>
      </c>
      <c r="C177" s="6">
        <f t="shared" si="2"/>
        <v>1</v>
      </c>
    </row>
    <row r="178" spans="1:3" x14ac:dyDescent="0.2">
      <c r="A178" t="s">
        <v>437</v>
      </c>
      <c r="B178" s="6">
        <v>1303750</v>
      </c>
      <c r="C178" s="6">
        <f t="shared" si="2"/>
        <v>1</v>
      </c>
    </row>
    <row r="179" spans="1:3" x14ac:dyDescent="0.2">
      <c r="A179" t="s">
        <v>439</v>
      </c>
      <c r="B179" s="6">
        <v>1303780</v>
      </c>
      <c r="C179" s="6">
        <f t="shared" si="2"/>
        <v>1</v>
      </c>
    </row>
    <row r="180" spans="1:3" x14ac:dyDescent="0.2">
      <c r="A180" t="s">
        <v>444</v>
      </c>
      <c r="B180" s="6">
        <v>1303840</v>
      </c>
      <c r="C180" s="6">
        <f t="shared" si="2"/>
        <v>1</v>
      </c>
    </row>
    <row r="181" spans="1:3" x14ac:dyDescent="0.2">
      <c r="A181" t="s">
        <v>446</v>
      </c>
      <c r="B181" s="6">
        <v>1303870</v>
      </c>
      <c r="C181" s="6">
        <f t="shared" si="2"/>
        <v>1</v>
      </c>
    </row>
    <row r="182" spans="1:3" x14ac:dyDescent="0.2">
      <c r="A182" t="s">
        <v>448</v>
      </c>
      <c r="B182" s="6">
        <v>1303930</v>
      </c>
      <c r="C182" s="6">
        <f t="shared" si="2"/>
        <v>1</v>
      </c>
    </row>
    <row r="183" spans="1:3" x14ac:dyDescent="0.2">
      <c r="A183" t="s">
        <v>452</v>
      </c>
      <c r="B183" s="6">
        <v>1303960</v>
      </c>
      <c r="C183" s="6">
        <f t="shared" si="2"/>
        <v>1</v>
      </c>
    </row>
    <row r="184" spans="1:3" x14ac:dyDescent="0.2">
      <c r="A184" t="s">
        <v>454</v>
      </c>
      <c r="B184" s="6">
        <v>1303990</v>
      </c>
      <c r="C184" s="6">
        <f t="shared" si="2"/>
        <v>1</v>
      </c>
    </row>
    <row r="185" spans="1:3" x14ac:dyDescent="0.2">
      <c r="A185" t="s">
        <v>456</v>
      </c>
      <c r="B185" s="6">
        <v>1304020</v>
      </c>
      <c r="C185" s="6">
        <f t="shared" si="2"/>
        <v>1</v>
      </c>
    </row>
    <row r="186" spans="1:3" x14ac:dyDescent="0.2">
      <c r="A186" t="s">
        <v>458</v>
      </c>
      <c r="B186" s="6">
        <v>1304050</v>
      </c>
      <c r="C186" s="6">
        <f t="shared" si="2"/>
        <v>1</v>
      </c>
    </row>
    <row r="187" spans="1:3" x14ac:dyDescent="0.2">
      <c r="A187" t="s">
        <v>626</v>
      </c>
      <c r="B187" s="6">
        <v>1304080</v>
      </c>
      <c r="C187" s="6">
        <f t="shared" si="2"/>
        <v>1</v>
      </c>
    </row>
    <row r="188" spans="1:3" x14ac:dyDescent="0.2">
      <c r="A188" t="s">
        <v>462</v>
      </c>
      <c r="B188" s="6">
        <v>1304110</v>
      </c>
      <c r="C188" s="6">
        <f t="shared" si="2"/>
        <v>1</v>
      </c>
    </row>
    <row r="189" spans="1:3" x14ac:dyDescent="0.2">
      <c r="A189" t="s">
        <v>464</v>
      </c>
      <c r="B189" s="6">
        <v>1304140</v>
      </c>
      <c r="C189" s="6">
        <f t="shared" si="2"/>
        <v>1</v>
      </c>
    </row>
    <row r="190" spans="1:3" x14ac:dyDescent="0.2">
      <c r="A190" t="s">
        <v>466</v>
      </c>
      <c r="B190" s="6">
        <v>1304170</v>
      </c>
      <c r="C190" s="6">
        <f t="shared" si="2"/>
        <v>1</v>
      </c>
    </row>
    <row r="191" spans="1:3" x14ac:dyDescent="0.2">
      <c r="A191" t="s">
        <v>468</v>
      </c>
      <c r="B191" s="6">
        <v>1304200</v>
      </c>
      <c r="C191" s="6">
        <f t="shared" si="2"/>
        <v>1</v>
      </c>
    </row>
    <row r="192" spans="1:3" x14ac:dyDescent="0.2">
      <c r="A192" t="s">
        <v>470</v>
      </c>
      <c r="B192" s="6">
        <v>1304220</v>
      </c>
      <c r="C192" s="6">
        <f t="shared" si="2"/>
        <v>1</v>
      </c>
    </row>
    <row r="193" spans="1:3" x14ac:dyDescent="0.2">
      <c r="A193" t="s">
        <v>472</v>
      </c>
      <c r="B193" s="6">
        <v>1304260</v>
      </c>
      <c r="C193" s="6">
        <f t="shared" si="2"/>
        <v>1</v>
      </c>
    </row>
    <row r="194" spans="1:3" x14ac:dyDescent="0.2">
      <c r="A194" t="s">
        <v>474</v>
      </c>
      <c r="B194" s="6">
        <v>1304290</v>
      </c>
      <c r="C194" s="6">
        <f t="shared" si="2"/>
        <v>1</v>
      </c>
    </row>
    <row r="195" spans="1:3" x14ac:dyDescent="0.2">
      <c r="A195" t="s">
        <v>476</v>
      </c>
      <c r="B195" s="6">
        <v>1304320</v>
      </c>
      <c r="C195" s="6">
        <f t="shared" ref="C195:C240" si="3">COUNTIF($B$2:$B$240,B195)</f>
        <v>1</v>
      </c>
    </row>
    <row r="196" spans="1:3" x14ac:dyDescent="0.2">
      <c r="A196" t="s">
        <v>478</v>
      </c>
      <c r="B196" s="6">
        <v>1304350</v>
      </c>
      <c r="C196" s="6">
        <f t="shared" si="3"/>
        <v>1</v>
      </c>
    </row>
    <row r="197" spans="1:3" x14ac:dyDescent="0.2">
      <c r="A197" t="s">
        <v>480</v>
      </c>
      <c r="B197" s="6">
        <v>1304380</v>
      </c>
      <c r="C197" s="6">
        <f t="shared" si="3"/>
        <v>1</v>
      </c>
    </row>
    <row r="198" spans="1:3" x14ac:dyDescent="0.2">
      <c r="A198" t="s">
        <v>491</v>
      </c>
      <c r="B198" s="6">
        <v>1304470</v>
      </c>
      <c r="C198" s="6">
        <f t="shared" si="3"/>
        <v>1</v>
      </c>
    </row>
    <row r="199" spans="1:3" x14ac:dyDescent="0.2">
      <c r="A199" t="s">
        <v>493</v>
      </c>
      <c r="B199" s="6">
        <v>1304500</v>
      </c>
      <c r="C199" s="6">
        <f t="shared" si="3"/>
        <v>1</v>
      </c>
    </row>
    <row r="200" spans="1:3" x14ac:dyDescent="0.2">
      <c r="A200" t="s">
        <v>497</v>
      </c>
      <c r="B200" s="6">
        <v>1304530</v>
      </c>
      <c r="C200" s="6">
        <f t="shared" si="3"/>
        <v>1</v>
      </c>
    </row>
    <row r="201" spans="1:3" x14ac:dyDescent="0.2">
      <c r="A201" t="s">
        <v>630</v>
      </c>
      <c r="B201" s="6">
        <v>1304540</v>
      </c>
      <c r="C201" s="6">
        <f t="shared" si="3"/>
        <v>1</v>
      </c>
    </row>
    <row r="202" spans="1:3" x14ac:dyDescent="0.2">
      <c r="A202" t="s">
        <v>503</v>
      </c>
      <c r="B202" s="6">
        <v>1304560</v>
      </c>
      <c r="C202" s="6">
        <f t="shared" si="3"/>
        <v>1</v>
      </c>
    </row>
    <row r="203" spans="1:3" x14ac:dyDescent="0.2">
      <c r="A203" t="s">
        <v>505</v>
      </c>
      <c r="B203" s="6">
        <v>1304590</v>
      </c>
      <c r="C203" s="6">
        <f t="shared" si="3"/>
        <v>1</v>
      </c>
    </row>
    <row r="204" spans="1:3" x14ac:dyDescent="0.2">
      <c r="A204" t="s">
        <v>507</v>
      </c>
      <c r="B204" s="6">
        <v>1304620</v>
      </c>
      <c r="C204" s="6">
        <f t="shared" si="3"/>
        <v>1</v>
      </c>
    </row>
    <row r="205" spans="1:3" x14ac:dyDescent="0.2">
      <c r="A205" t="s">
        <v>512</v>
      </c>
      <c r="B205" s="6">
        <v>1304650</v>
      </c>
      <c r="C205" s="6">
        <f t="shared" si="3"/>
        <v>1</v>
      </c>
    </row>
    <row r="206" spans="1:3" x14ac:dyDescent="0.2">
      <c r="A206" t="s">
        <v>514</v>
      </c>
      <c r="B206" s="6">
        <v>1304680</v>
      </c>
      <c r="C206" s="6">
        <f t="shared" si="3"/>
        <v>1</v>
      </c>
    </row>
    <row r="207" spans="1:3" x14ac:dyDescent="0.2">
      <c r="A207" t="s">
        <v>516</v>
      </c>
      <c r="B207" s="6">
        <v>1304770</v>
      </c>
      <c r="C207" s="6">
        <f t="shared" si="3"/>
        <v>1</v>
      </c>
    </row>
    <row r="208" spans="1:3" x14ac:dyDescent="0.2">
      <c r="A208" t="s">
        <v>518</v>
      </c>
      <c r="B208" s="6">
        <v>1304800</v>
      </c>
      <c r="C208" s="6">
        <f t="shared" si="3"/>
        <v>1</v>
      </c>
    </row>
    <row r="209" spans="1:3" x14ac:dyDescent="0.2">
      <c r="A209" t="s">
        <v>520</v>
      </c>
      <c r="B209" s="6">
        <v>1304830</v>
      </c>
      <c r="C209" s="6">
        <f t="shared" si="3"/>
        <v>1</v>
      </c>
    </row>
    <row r="210" spans="1:3" x14ac:dyDescent="0.2">
      <c r="A210" t="s">
        <v>522</v>
      </c>
      <c r="B210" s="6">
        <v>1304860</v>
      </c>
      <c r="C210" s="6">
        <f t="shared" si="3"/>
        <v>1</v>
      </c>
    </row>
    <row r="211" spans="1:3" x14ac:dyDescent="0.2">
      <c r="A211" t="s">
        <v>527</v>
      </c>
      <c r="B211" s="6">
        <v>1304890</v>
      </c>
      <c r="C211" s="6">
        <f t="shared" si="3"/>
        <v>1</v>
      </c>
    </row>
    <row r="212" spans="1:3" x14ac:dyDescent="0.2">
      <c r="A212" t="s">
        <v>632</v>
      </c>
      <c r="B212" s="6">
        <v>1304950</v>
      </c>
      <c r="C212" s="6">
        <f t="shared" si="3"/>
        <v>1</v>
      </c>
    </row>
    <row r="213" spans="1:3" x14ac:dyDescent="0.2">
      <c r="A213" t="s">
        <v>531</v>
      </c>
      <c r="B213" s="6">
        <v>1304980</v>
      </c>
      <c r="C213" s="6">
        <f t="shared" si="3"/>
        <v>1</v>
      </c>
    </row>
    <row r="214" spans="1:3" x14ac:dyDescent="0.2">
      <c r="A214" t="s">
        <v>535</v>
      </c>
      <c r="B214" s="6">
        <v>1305040</v>
      </c>
      <c r="C214" s="6">
        <f t="shared" si="3"/>
        <v>1</v>
      </c>
    </row>
    <row r="215" spans="1:3" x14ac:dyDescent="0.2">
      <c r="A215" t="s">
        <v>540</v>
      </c>
      <c r="B215" s="6">
        <v>1305070</v>
      </c>
      <c r="C215" s="6">
        <f t="shared" si="3"/>
        <v>1</v>
      </c>
    </row>
    <row r="216" spans="1:3" x14ac:dyDescent="0.2">
      <c r="A216" t="s">
        <v>544</v>
      </c>
      <c r="B216" s="6">
        <v>1305100</v>
      </c>
      <c r="C216" s="6">
        <f t="shared" si="3"/>
        <v>1</v>
      </c>
    </row>
    <row r="217" spans="1:3" x14ac:dyDescent="0.2">
      <c r="A217" t="s">
        <v>634</v>
      </c>
      <c r="B217" s="6">
        <v>1305130</v>
      </c>
      <c r="C217" s="6">
        <f t="shared" si="3"/>
        <v>1</v>
      </c>
    </row>
    <row r="218" spans="1:3" x14ac:dyDescent="0.2">
      <c r="A218" t="s">
        <v>551</v>
      </c>
      <c r="B218" s="6">
        <v>1305190</v>
      </c>
      <c r="C218" s="6">
        <f t="shared" si="3"/>
        <v>1</v>
      </c>
    </row>
    <row r="219" spans="1:3" x14ac:dyDescent="0.2">
      <c r="A219" t="s">
        <v>553</v>
      </c>
      <c r="B219" s="6">
        <v>1305220</v>
      </c>
      <c r="C219" s="6">
        <f t="shared" si="3"/>
        <v>1</v>
      </c>
    </row>
    <row r="220" spans="1:3" x14ac:dyDescent="0.2">
      <c r="A220" t="s">
        <v>555</v>
      </c>
      <c r="B220" s="6">
        <v>1305250</v>
      </c>
      <c r="C220" s="6">
        <f t="shared" si="3"/>
        <v>1</v>
      </c>
    </row>
    <row r="221" spans="1:3" x14ac:dyDescent="0.2">
      <c r="A221" t="s">
        <v>557</v>
      </c>
      <c r="B221" s="6">
        <v>1305280</v>
      </c>
      <c r="C221" s="6">
        <f t="shared" si="3"/>
        <v>1</v>
      </c>
    </row>
    <row r="222" spans="1:3" x14ac:dyDescent="0.2">
      <c r="A222" t="s">
        <v>636</v>
      </c>
      <c r="B222" s="6">
        <v>1305310</v>
      </c>
      <c r="C222" s="6">
        <f t="shared" si="3"/>
        <v>1</v>
      </c>
    </row>
    <row r="223" spans="1:3" x14ac:dyDescent="0.2">
      <c r="A223" t="s">
        <v>638</v>
      </c>
      <c r="B223" s="6">
        <v>1305340</v>
      </c>
      <c r="C223" s="6">
        <f t="shared" si="3"/>
        <v>1</v>
      </c>
    </row>
    <row r="224" spans="1:3" x14ac:dyDescent="0.2">
      <c r="A224" t="s">
        <v>559</v>
      </c>
      <c r="B224" s="6">
        <v>1305370</v>
      </c>
      <c r="C224" s="6">
        <f t="shared" si="3"/>
        <v>1</v>
      </c>
    </row>
    <row r="225" spans="1:3" x14ac:dyDescent="0.2">
      <c r="A225" t="s">
        <v>563</v>
      </c>
      <c r="B225" s="6">
        <v>1305390</v>
      </c>
      <c r="C225" s="6">
        <f t="shared" si="3"/>
        <v>1</v>
      </c>
    </row>
    <row r="226" spans="1:3" x14ac:dyDescent="0.2">
      <c r="A226" t="s">
        <v>565</v>
      </c>
      <c r="B226" s="6">
        <v>1305430</v>
      </c>
      <c r="C226" s="6">
        <f t="shared" si="3"/>
        <v>1</v>
      </c>
    </row>
    <row r="227" spans="1:3" x14ac:dyDescent="0.2">
      <c r="A227" t="s">
        <v>567</v>
      </c>
      <c r="B227" s="6">
        <v>1305460</v>
      </c>
      <c r="C227" s="6">
        <f t="shared" si="3"/>
        <v>1</v>
      </c>
    </row>
    <row r="228" spans="1:3" x14ac:dyDescent="0.2">
      <c r="A228" t="s">
        <v>571</v>
      </c>
      <c r="B228" s="6">
        <v>1305490</v>
      </c>
      <c r="C228" s="6">
        <f t="shared" si="3"/>
        <v>1</v>
      </c>
    </row>
    <row r="229" spans="1:3" x14ac:dyDescent="0.2">
      <c r="A229" t="s">
        <v>573</v>
      </c>
      <c r="B229" s="6">
        <v>1305550</v>
      </c>
      <c r="C229" s="6">
        <f t="shared" si="3"/>
        <v>1</v>
      </c>
    </row>
    <row r="230" spans="1:3" x14ac:dyDescent="0.2">
      <c r="A230" t="s">
        <v>575</v>
      </c>
      <c r="B230" s="6">
        <v>1305580</v>
      </c>
      <c r="C230" s="6">
        <f t="shared" si="3"/>
        <v>1</v>
      </c>
    </row>
    <row r="231" spans="1:3" x14ac:dyDescent="0.2">
      <c r="A231" t="s">
        <v>577</v>
      </c>
      <c r="B231" s="6">
        <v>1305640</v>
      </c>
      <c r="C231" s="6">
        <f t="shared" si="3"/>
        <v>1</v>
      </c>
    </row>
    <row r="232" spans="1:3" x14ac:dyDescent="0.2">
      <c r="A232" t="s">
        <v>579</v>
      </c>
      <c r="B232" s="6">
        <v>1305670</v>
      </c>
      <c r="C232" s="6">
        <f t="shared" si="3"/>
        <v>1</v>
      </c>
    </row>
    <row r="233" spans="1:3" x14ac:dyDescent="0.2">
      <c r="A233" t="s">
        <v>581</v>
      </c>
      <c r="B233" s="6">
        <v>1305700</v>
      </c>
      <c r="C233" s="6">
        <f t="shared" si="3"/>
        <v>1</v>
      </c>
    </row>
    <row r="234" spans="1:3" x14ac:dyDescent="0.2">
      <c r="A234" t="s">
        <v>586</v>
      </c>
      <c r="B234" s="6">
        <v>1305730</v>
      </c>
      <c r="C234" s="6">
        <f t="shared" si="3"/>
        <v>1</v>
      </c>
    </row>
    <row r="235" spans="1:3" x14ac:dyDescent="0.2">
      <c r="A235" t="s">
        <v>588</v>
      </c>
      <c r="B235" s="6">
        <v>1305760</v>
      </c>
      <c r="C235" s="6">
        <f t="shared" si="3"/>
        <v>1</v>
      </c>
    </row>
    <row r="236" spans="1:3" x14ac:dyDescent="0.2">
      <c r="A236" t="s">
        <v>592</v>
      </c>
      <c r="B236" s="6">
        <v>1305790</v>
      </c>
      <c r="C236" s="6">
        <f t="shared" si="3"/>
        <v>1</v>
      </c>
    </row>
    <row r="237" spans="1:3" x14ac:dyDescent="0.2">
      <c r="A237" t="s">
        <v>594</v>
      </c>
      <c r="B237" s="6">
        <v>1305850</v>
      </c>
      <c r="C237" s="6">
        <f t="shared" si="3"/>
        <v>1</v>
      </c>
    </row>
    <row r="238" spans="1:3" x14ac:dyDescent="0.2">
      <c r="A238" t="s">
        <v>380</v>
      </c>
      <c r="B238">
        <v>1303090</v>
      </c>
      <c r="C238" s="6">
        <f t="shared" si="3"/>
        <v>1</v>
      </c>
    </row>
    <row r="239" spans="1:3" x14ac:dyDescent="0.2">
      <c r="A239" t="s">
        <v>818</v>
      </c>
      <c r="B239">
        <v>1300246</v>
      </c>
      <c r="C239" s="6">
        <f t="shared" si="3"/>
        <v>1</v>
      </c>
    </row>
    <row r="240" spans="1:3" x14ac:dyDescent="0.2">
      <c r="A240" t="s">
        <v>909</v>
      </c>
      <c r="B240">
        <v>1300215</v>
      </c>
      <c r="C240" s="6">
        <f t="shared" si="3"/>
        <v>1</v>
      </c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Data</vt:lpstr>
      <vt:lpstr>GASB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2025-02-01T01:34:26Z</dcterms:created>
  <dcterms:modified xsi:type="dcterms:W3CDTF">2025-02-02T01:36:05Z</dcterms:modified>
</cp:coreProperties>
</file>